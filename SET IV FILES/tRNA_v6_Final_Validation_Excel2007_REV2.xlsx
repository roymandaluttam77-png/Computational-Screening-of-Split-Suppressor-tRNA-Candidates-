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firstSheet="21" activeTab="24"/>
  </bookViews>
  <sheets>
    <sheet name="Read Me" sheetId="1" r:id="rId1"/>
    <sheet name="Database + Frequency" sheetId="2" r:id="rId2"/>
    <sheet name="Frequency 1-72" sheetId="3" r:id="rId3"/>
    <sheet name="Background" sheetId="4" r:id="rId4"/>
    <sheet name="Formulas" sheetId="5" r:id="rId5"/>
    <sheet name="Emission Stepwise" sheetId="6" r:id="rId6"/>
    <sheet name="Emission Matrix" sheetId="7" r:id="rId7"/>
    <sheet name="Transition Stepwise" sheetId="8" r:id="rId8"/>
    <sheet name="Transition Count Matrices" sheetId="9" r:id="rId9"/>
    <sheet name="Transition Prob Matrices" sheetId="10" r:id="rId10"/>
    <sheet name="Cand+Decoy Sequences" sheetId="11" r:id="rId11"/>
    <sheet name="Cand+Decoy Per-Position" sheetId="12" r:id="rId12"/>
    <sheet name="Cand+Decoy Per-Transition" sheetId="13" r:id="rId13"/>
    <sheet name="Cand+Decoy Scores" sheetId="14" r:id="rId14"/>
    <sheet name="TPsiC OTHER 96 Scores" sheetId="15" r:id="rId15"/>
    <sheet name="MBSW 62 Scores" sheetId="16" r:id="rId16"/>
    <sheet name="Reference 200 Scores" sheetId="17" r:id="rId17"/>
    <sheet name="Permutation Null" sheetId="18" r:id="rId18"/>
    <sheet name="Six-Set Comparison" sheetId="19" r:id="rId19"/>
    <sheet name="Decoy Discrimination" sheetId="20" r:id="rId20"/>
    <sheet name="Threshold Analysis" sheetId="21" r:id="rId21"/>
    <sheet name="Feature Discrimination" sheetId="22" r:id="rId22"/>
    <sheet name="Invariant Comparison" sheetId="23" r:id="rId23"/>
    <sheet name="Position Deficit" sheetId="24" r:id="rId24"/>
    <sheet name="Summary Table" sheetId="25" r:id="rId25"/>
    <sheet name="Correlations" sheetId="26" r:id="rId26"/>
    <sheet name="Verification" sheetId="27" r:id="rId27"/>
  </sheets>
  <calcPr calcId="12451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42" i="27"/>
  <c r="D42" s="1"/>
  <c r="C41"/>
  <c r="B41"/>
  <c r="D41" s="1"/>
  <c r="D39"/>
  <c r="D31"/>
  <c r="B31"/>
  <c r="B30"/>
  <c r="D30" s="1"/>
  <c r="D29"/>
  <c r="B29"/>
  <c r="B28"/>
  <c r="D28" s="1"/>
  <c r="B26"/>
  <c r="D26" s="1"/>
  <c r="D25"/>
  <c r="B25"/>
  <c r="B24"/>
  <c r="D24" s="1"/>
  <c r="D23"/>
  <c r="B23"/>
  <c r="B22"/>
  <c r="D22" s="1"/>
  <c r="C12"/>
  <c r="C11"/>
  <c r="B7"/>
  <c r="D7" s="1"/>
  <c r="D6"/>
  <c r="B6"/>
  <c r="B5"/>
  <c r="D5" s="1"/>
  <c r="G9" i="19"/>
  <c r="D9"/>
  <c r="J8"/>
  <c r="I8"/>
  <c r="I7"/>
  <c r="G6"/>
  <c r="G4"/>
  <c r="C976" i="18"/>
  <c r="M9" i="19" s="1"/>
  <c r="C975" i="18"/>
  <c r="L9" i="19" s="1"/>
  <c r="C974" i="18"/>
  <c r="K9" i="19" s="1"/>
  <c r="C973" i="18"/>
  <c r="C972"/>
  <c r="E9" i="19" s="1"/>
  <c r="C971" i="18"/>
  <c r="C970"/>
  <c r="C969"/>
  <c r="I9" i="19" s="1"/>
  <c r="C968" i="18"/>
  <c r="C967"/>
  <c r="F9" i="19" s="1"/>
  <c r="C966" i="18"/>
  <c r="C217" i="17"/>
  <c r="C216"/>
  <c r="L4" i="19" s="1"/>
  <c r="C215" i="17"/>
  <c r="K4" i="19" s="1"/>
  <c r="C214" i="17"/>
  <c r="I4" i="19" s="1"/>
  <c r="C213" i="17"/>
  <c r="H4" i="19" s="1"/>
  <c r="C212" i="17"/>
  <c r="C211"/>
  <c r="F4" i="19" s="1"/>
  <c r="C210" i="17"/>
  <c r="C209"/>
  <c r="E4" i="19" s="1"/>
  <c r="C208" i="17"/>
  <c r="C207"/>
  <c r="D4" i="19" s="1"/>
  <c r="C206" i="17"/>
  <c r="C79" i="16"/>
  <c r="C78"/>
  <c r="L6" i="19" s="1"/>
  <c r="C77" i="16"/>
  <c r="K6" i="19" s="1"/>
  <c r="C76" i="16"/>
  <c r="I6" i="19" s="1"/>
  <c r="C75" i="16"/>
  <c r="H6" i="19" s="1"/>
  <c r="C74" i="16"/>
  <c r="C73"/>
  <c r="F6" i="19" s="1"/>
  <c r="C72" i="16"/>
  <c r="C71"/>
  <c r="E6" i="19" s="1"/>
  <c r="C70" i="16"/>
  <c r="C69"/>
  <c r="D6" i="19" s="1"/>
  <c r="C68" i="16"/>
  <c r="C113" i="15"/>
  <c r="C112"/>
  <c r="L5" i="19" s="1"/>
  <c r="C111" i="15"/>
  <c r="K5" i="19" s="1"/>
  <c r="C110" i="15"/>
  <c r="I5" i="19" s="1"/>
  <c r="C109" i="15"/>
  <c r="H5" i="19" s="1"/>
  <c r="C108" i="15"/>
  <c r="G5" i="19" s="1"/>
  <c r="C107" i="15"/>
  <c r="F5" i="19" s="1"/>
  <c r="C106" i="15"/>
  <c r="C105"/>
  <c r="E5" i="19" s="1"/>
  <c r="C104" i="15"/>
  <c r="C103"/>
  <c r="D5" i="19" s="1"/>
  <c r="C102" i="15"/>
  <c r="C40" i="14"/>
  <c r="K8" i="19" s="1"/>
  <c r="C39" i="14"/>
  <c r="K7" i="19" s="1"/>
  <c r="C38" i="14"/>
  <c r="B39" i="27" s="1"/>
  <c r="C37" i="14"/>
  <c r="B38" i="27" s="1"/>
  <c r="D38" s="1"/>
  <c r="F26" i="14"/>
  <c r="F25"/>
  <c r="F24"/>
  <c r="F23"/>
  <c r="F22"/>
  <c r="F21"/>
  <c r="F20"/>
  <c r="F19"/>
  <c r="F18"/>
  <c r="F17"/>
  <c r="F16"/>
  <c r="F15"/>
  <c r="F14"/>
  <c r="F13"/>
  <c r="F12"/>
  <c r="F11"/>
  <c r="F10"/>
  <c r="F9"/>
  <c r="F8"/>
  <c r="F7"/>
  <c r="F6"/>
  <c r="F5"/>
  <c r="H1563" i="13"/>
  <c r="F1563"/>
  <c r="H1562"/>
  <c r="F1562"/>
  <c r="H1561"/>
  <c r="F1561"/>
  <c r="H1560"/>
  <c r="F1560"/>
  <c r="H1559"/>
  <c r="F1559"/>
  <c r="H1558"/>
  <c r="F1558"/>
  <c r="H1557"/>
  <c r="F1557"/>
  <c r="H1556"/>
  <c r="F1556"/>
  <c r="H1555"/>
  <c r="F1555"/>
  <c r="H1554"/>
  <c r="F1554"/>
  <c r="H1553"/>
  <c r="F1553"/>
  <c r="H1552"/>
  <c r="F1552"/>
  <c r="H1551"/>
  <c r="F1551"/>
  <c r="H1550"/>
  <c r="F1550"/>
  <c r="H1549"/>
  <c r="F1549"/>
  <c r="H1548"/>
  <c r="F1548"/>
  <c r="H1547"/>
  <c r="F1547"/>
  <c r="H1546"/>
  <c r="F1546"/>
  <c r="H1545"/>
  <c r="F1545"/>
  <c r="H1544"/>
  <c r="F1544"/>
  <c r="H1543"/>
  <c r="F1543"/>
  <c r="H1542"/>
  <c r="F1542"/>
  <c r="H1541"/>
  <c r="F1541"/>
  <c r="H1540"/>
  <c r="F1540"/>
  <c r="H1539"/>
  <c r="F1539"/>
  <c r="H1538"/>
  <c r="F1538"/>
  <c r="H1537"/>
  <c r="F1537"/>
  <c r="H1536"/>
  <c r="F1536"/>
  <c r="H1535"/>
  <c r="F1535"/>
  <c r="H1534"/>
  <c r="F1534"/>
  <c r="H1533"/>
  <c r="F1533"/>
  <c r="H1532"/>
  <c r="F1532"/>
  <c r="H1531"/>
  <c r="F1531"/>
  <c r="H1530"/>
  <c r="F1530"/>
  <c r="H1529"/>
  <c r="F1529"/>
  <c r="H1528"/>
  <c r="F1528"/>
  <c r="H1527"/>
  <c r="F1527"/>
  <c r="H1526"/>
  <c r="F1526"/>
  <c r="H1525"/>
  <c r="F1525"/>
  <c r="H1524"/>
  <c r="F1524"/>
  <c r="H1523"/>
  <c r="F1523"/>
  <c r="H1522"/>
  <c r="F1522"/>
  <c r="H1521"/>
  <c r="F1521"/>
  <c r="H1520"/>
  <c r="F1520"/>
  <c r="H1519"/>
  <c r="F1519"/>
  <c r="H1518"/>
  <c r="F1518"/>
  <c r="H1517"/>
  <c r="F1517"/>
  <c r="H1516"/>
  <c r="F1516"/>
  <c r="H1515"/>
  <c r="F1515"/>
  <c r="H1514"/>
  <c r="F1514"/>
  <c r="H1513"/>
  <c r="F1513"/>
  <c r="H1512"/>
  <c r="F1512"/>
  <c r="H1511"/>
  <c r="F1511"/>
  <c r="H1510"/>
  <c r="F1510"/>
  <c r="H1509"/>
  <c r="F1509"/>
  <c r="H1508"/>
  <c r="F1508"/>
  <c r="H1507"/>
  <c r="F1507"/>
  <c r="H1506"/>
  <c r="F1506"/>
  <c r="H1505"/>
  <c r="F1505"/>
  <c r="H1504"/>
  <c r="F1504"/>
  <c r="H1503"/>
  <c r="F1503"/>
  <c r="H1502"/>
  <c r="F1502"/>
  <c r="H1501"/>
  <c r="F1501"/>
  <c r="H1500"/>
  <c r="F1500"/>
  <c r="H1499"/>
  <c r="F1499"/>
  <c r="H1498"/>
  <c r="F1498"/>
  <c r="H1497"/>
  <c r="F1497"/>
  <c r="H1496"/>
  <c r="F1496"/>
  <c r="H1495"/>
  <c r="F1495"/>
  <c r="H1494"/>
  <c r="F1494"/>
  <c r="H1493"/>
  <c r="F1493"/>
  <c r="H1492"/>
  <c r="F1492"/>
  <c r="H1491"/>
  <c r="F1491"/>
  <c r="H1490"/>
  <c r="F1490"/>
  <c r="H1489"/>
  <c r="F1489"/>
  <c r="H1488"/>
  <c r="F1488"/>
  <c r="H1487"/>
  <c r="F1487"/>
  <c r="H1486"/>
  <c r="F1486"/>
  <c r="H1485"/>
  <c r="F1485"/>
  <c r="H1484"/>
  <c r="F1484"/>
  <c r="H1483"/>
  <c r="F1483"/>
  <c r="H1482"/>
  <c r="F1482"/>
  <c r="H1481"/>
  <c r="F1481"/>
  <c r="H1480"/>
  <c r="F1480"/>
  <c r="H1479"/>
  <c r="F1479"/>
  <c r="H1478"/>
  <c r="F1478"/>
  <c r="H1477"/>
  <c r="F1477"/>
  <c r="H1476"/>
  <c r="F1476"/>
  <c r="H1475"/>
  <c r="F1475"/>
  <c r="H1474"/>
  <c r="F1474"/>
  <c r="H1473"/>
  <c r="F1473"/>
  <c r="H1472"/>
  <c r="F1472"/>
  <c r="H1471"/>
  <c r="F1471"/>
  <c r="H1470"/>
  <c r="F1470"/>
  <c r="H1469"/>
  <c r="F1469"/>
  <c r="H1468"/>
  <c r="F1468"/>
  <c r="H1467"/>
  <c r="F1467"/>
  <c r="H1466"/>
  <c r="F1466"/>
  <c r="H1465"/>
  <c r="F1465"/>
  <c r="H1464"/>
  <c r="F1464"/>
  <c r="H1463"/>
  <c r="F1463"/>
  <c r="H1462"/>
  <c r="F1462"/>
  <c r="H1461"/>
  <c r="F1461"/>
  <c r="H1460"/>
  <c r="F1460"/>
  <c r="H1459"/>
  <c r="F1459"/>
  <c r="H1458"/>
  <c r="F1458"/>
  <c r="H1457"/>
  <c r="F1457"/>
  <c r="H1456"/>
  <c r="F1456"/>
  <c r="H1455"/>
  <c r="F1455"/>
  <c r="H1454"/>
  <c r="F1454"/>
  <c r="H1453"/>
  <c r="F1453"/>
  <c r="H1452"/>
  <c r="F1452"/>
  <c r="H1451"/>
  <c r="F1451"/>
  <c r="H1450"/>
  <c r="F1450"/>
  <c r="H1449"/>
  <c r="F1449"/>
  <c r="H1448"/>
  <c r="F1448"/>
  <c r="H1447"/>
  <c r="F1447"/>
  <c r="H1446"/>
  <c r="F1446"/>
  <c r="H1445"/>
  <c r="F1445"/>
  <c r="H1444"/>
  <c r="F1444"/>
  <c r="H1443"/>
  <c r="F1443"/>
  <c r="H1442"/>
  <c r="F1442"/>
  <c r="H1441"/>
  <c r="F1441"/>
  <c r="H1440"/>
  <c r="F1440"/>
  <c r="H1439"/>
  <c r="F1439"/>
  <c r="H1438"/>
  <c r="F1438"/>
  <c r="H1437"/>
  <c r="F1437"/>
  <c r="H1436"/>
  <c r="F1436"/>
  <c r="H1435"/>
  <c r="F1435"/>
  <c r="H1434"/>
  <c r="F1434"/>
  <c r="H1433"/>
  <c r="F1433"/>
  <c r="H1432"/>
  <c r="F1432"/>
  <c r="H1431"/>
  <c r="F1431"/>
  <c r="H1430"/>
  <c r="F1430"/>
  <c r="H1429"/>
  <c r="F1429"/>
  <c r="H1428"/>
  <c r="F1428"/>
  <c r="H1427"/>
  <c r="F1427"/>
  <c r="H1426"/>
  <c r="F1426"/>
  <c r="H1425"/>
  <c r="F1425"/>
  <c r="H1424"/>
  <c r="F1424"/>
  <c r="H1423"/>
  <c r="F1423"/>
  <c r="H1422"/>
  <c r="F1422"/>
  <c r="H1421"/>
  <c r="F1421"/>
  <c r="H1420"/>
  <c r="F1420"/>
  <c r="H1419"/>
  <c r="F1419"/>
  <c r="H1418"/>
  <c r="F1418"/>
  <c r="H1417"/>
  <c r="F1417"/>
  <c r="H1416"/>
  <c r="F1416"/>
  <c r="H1415"/>
  <c r="F1415"/>
  <c r="H1414"/>
  <c r="F1414"/>
  <c r="H1413"/>
  <c r="F1413"/>
  <c r="H1412"/>
  <c r="F1412"/>
  <c r="H1411"/>
  <c r="F1411"/>
  <c r="H1410"/>
  <c r="F1410"/>
  <c r="H1409"/>
  <c r="F1409"/>
  <c r="H1408"/>
  <c r="F1408"/>
  <c r="H1407"/>
  <c r="F1407"/>
  <c r="H1406"/>
  <c r="F1406"/>
  <c r="H1405"/>
  <c r="F1405"/>
  <c r="H1404"/>
  <c r="F1404"/>
  <c r="H1403"/>
  <c r="F1403"/>
  <c r="H1402"/>
  <c r="F1402"/>
  <c r="H1401"/>
  <c r="F1401"/>
  <c r="H1400"/>
  <c r="F1400"/>
  <c r="H1399"/>
  <c r="F1399"/>
  <c r="H1398"/>
  <c r="F1398"/>
  <c r="H1397"/>
  <c r="F1397"/>
  <c r="H1396"/>
  <c r="F1396"/>
  <c r="H1395"/>
  <c r="F1395"/>
  <c r="H1394"/>
  <c r="F1394"/>
  <c r="H1393"/>
  <c r="F1393"/>
  <c r="H1392"/>
  <c r="F1392"/>
  <c r="H1391"/>
  <c r="F1391"/>
  <c r="H1390"/>
  <c r="F1390"/>
  <c r="H1389"/>
  <c r="F1389"/>
  <c r="H1388"/>
  <c r="F1388"/>
  <c r="H1387"/>
  <c r="F1387"/>
  <c r="H1386"/>
  <c r="F1386"/>
  <c r="H1385"/>
  <c r="F1385"/>
  <c r="H1384"/>
  <c r="F1384"/>
  <c r="H1383"/>
  <c r="F1383"/>
  <c r="H1382"/>
  <c r="F1382"/>
  <c r="H1381"/>
  <c r="F1381"/>
  <c r="H1380"/>
  <c r="F1380"/>
  <c r="H1379"/>
  <c r="F1379"/>
  <c r="H1378"/>
  <c r="F1378"/>
  <c r="H1377"/>
  <c r="F1377"/>
  <c r="H1376"/>
  <c r="F1376"/>
  <c r="H1375"/>
  <c r="F1375"/>
  <c r="H1374"/>
  <c r="F1374"/>
  <c r="H1373"/>
  <c r="F1373"/>
  <c r="H1372"/>
  <c r="F1372"/>
  <c r="H1371"/>
  <c r="F1371"/>
  <c r="H1370"/>
  <c r="F1370"/>
  <c r="H1369"/>
  <c r="F1369"/>
  <c r="H1368"/>
  <c r="F1368"/>
  <c r="H1367"/>
  <c r="F1367"/>
  <c r="H1366"/>
  <c r="F1366"/>
  <c r="H1365"/>
  <c r="F1365"/>
  <c r="H1364"/>
  <c r="F1364"/>
  <c r="H1363"/>
  <c r="F1363"/>
  <c r="H1362"/>
  <c r="F1362"/>
  <c r="H1361"/>
  <c r="F1361"/>
  <c r="H1360"/>
  <c r="F1360"/>
  <c r="H1359"/>
  <c r="F1359"/>
  <c r="H1358"/>
  <c r="F1358"/>
  <c r="H1357"/>
  <c r="F1357"/>
  <c r="H1356"/>
  <c r="F1356"/>
  <c r="H1355"/>
  <c r="F1355"/>
  <c r="H1354"/>
  <c r="F1354"/>
  <c r="H1353"/>
  <c r="F1353"/>
  <c r="H1352"/>
  <c r="F1352"/>
  <c r="H1351"/>
  <c r="F1351"/>
  <c r="H1350"/>
  <c r="F1350"/>
  <c r="H1349"/>
  <c r="F1349"/>
  <c r="H1348"/>
  <c r="F1348"/>
  <c r="H1347"/>
  <c r="F1347"/>
  <c r="H1346"/>
  <c r="F1346"/>
  <c r="H1345"/>
  <c r="F1345"/>
  <c r="H1344"/>
  <c r="F1344"/>
  <c r="H1343"/>
  <c r="F1343"/>
  <c r="H1342"/>
  <c r="F1342"/>
  <c r="H1341"/>
  <c r="F1341"/>
  <c r="H1340"/>
  <c r="F1340"/>
  <c r="H1339"/>
  <c r="F1339"/>
  <c r="H1338"/>
  <c r="F1338"/>
  <c r="H1337"/>
  <c r="F1337"/>
  <c r="H1336"/>
  <c r="F1336"/>
  <c r="H1335"/>
  <c r="F1335"/>
  <c r="H1334"/>
  <c r="F1334"/>
  <c r="H1333"/>
  <c r="F1333"/>
  <c r="H1332"/>
  <c r="F1332"/>
  <c r="H1331"/>
  <c r="F1331"/>
  <c r="H1330"/>
  <c r="F1330"/>
  <c r="H1329"/>
  <c r="F1329"/>
  <c r="H1328"/>
  <c r="F1328"/>
  <c r="H1327"/>
  <c r="F1327"/>
  <c r="H1326"/>
  <c r="F1326"/>
  <c r="H1323"/>
  <c r="F1323"/>
  <c r="H1322"/>
  <c r="F1322"/>
  <c r="H1321"/>
  <c r="F1321"/>
  <c r="H1320"/>
  <c r="F1320"/>
  <c r="H1319"/>
  <c r="F1319"/>
  <c r="H1318"/>
  <c r="F1318"/>
  <c r="H1317"/>
  <c r="F1317"/>
  <c r="H1316"/>
  <c r="F1316"/>
  <c r="H1315"/>
  <c r="F1315"/>
  <c r="H1314"/>
  <c r="F1314"/>
  <c r="H1313"/>
  <c r="F1313"/>
  <c r="H1312"/>
  <c r="F1312"/>
  <c r="H1311"/>
  <c r="F1311"/>
  <c r="H1310"/>
  <c r="F1310"/>
  <c r="H1309"/>
  <c r="F1309"/>
  <c r="H1308"/>
  <c r="F1308"/>
  <c r="H1307"/>
  <c r="F1307"/>
  <c r="H1306"/>
  <c r="F1306"/>
  <c r="H1305"/>
  <c r="F1305"/>
  <c r="H1304"/>
  <c r="F1304"/>
  <c r="H1303"/>
  <c r="F1303"/>
  <c r="H1302"/>
  <c r="F1302"/>
  <c r="H1301"/>
  <c r="F1301"/>
  <c r="H1300"/>
  <c r="F1300"/>
  <c r="H1299"/>
  <c r="F1299"/>
  <c r="H1298"/>
  <c r="F1298"/>
  <c r="H1297"/>
  <c r="F1297"/>
  <c r="H1296"/>
  <c r="F1296"/>
  <c r="H1295"/>
  <c r="F1295"/>
  <c r="H1294"/>
  <c r="F1294"/>
  <c r="H1293"/>
  <c r="F1293"/>
  <c r="H1292"/>
  <c r="F1292"/>
  <c r="H1291"/>
  <c r="F1291"/>
  <c r="H1290"/>
  <c r="F1290"/>
  <c r="H1289"/>
  <c r="F1289"/>
  <c r="H1288"/>
  <c r="F1288"/>
  <c r="H1287"/>
  <c r="F1287"/>
  <c r="H1286"/>
  <c r="F1286"/>
  <c r="H1285"/>
  <c r="F1285"/>
  <c r="H1284"/>
  <c r="F1284"/>
  <c r="H1283"/>
  <c r="F1283"/>
  <c r="H1282"/>
  <c r="F1282"/>
  <c r="H1281"/>
  <c r="F1281"/>
  <c r="H1280"/>
  <c r="F1280"/>
  <c r="H1279"/>
  <c r="F1279"/>
  <c r="H1278"/>
  <c r="F1278"/>
  <c r="H1277"/>
  <c r="F1277"/>
  <c r="H1276"/>
  <c r="F1276"/>
  <c r="H1275"/>
  <c r="F1275"/>
  <c r="H1274"/>
  <c r="F1274"/>
  <c r="H1273"/>
  <c r="F1273"/>
  <c r="H1272"/>
  <c r="F1272"/>
  <c r="H1271"/>
  <c r="F1271"/>
  <c r="H1270"/>
  <c r="F1270"/>
  <c r="H1269"/>
  <c r="F1269"/>
  <c r="H1268"/>
  <c r="F1268"/>
  <c r="H1267"/>
  <c r="F1267"/>
  <c r="H1266"/>
  <c r="F1266"/>
  <c r="H1265"/>
  <c r="F1265"/>
  <c r="H1264"/>
  <c r="F1264"/>
  <c r="H1263"/>
  <c r="F1263"/>
  <c r="H1262"/>
  <c r="F1262"/>
  <c r="H1261"/>
  <c r="F1261"/>
  <c r="H1260"/>
  <c r="F1260"/>
  <c r="H1259"/>
  <c r="F1259"/>
  <c r="H1258"/>
  <c r="F1258"/>
  <c r="H1257"/>
  <c r="F1257"/>
  <c r="H1256"/>
  <c r="F1256"/>
  <c r="H1255"/>
  <c r="F1255"/>
  <c r="H1254"/>
  <c r="F1254"/>
  <c r="H1253"/>
  <c r="F1253"/>
  <c r="H1252"/>
  <c r="F1252"/>
  <c r="H1251"/>
  <c r="F1251"/>
  <c r="H1250"/>
  <c r="F1250"/>
  <c r="H1249"/>
  <c r="F1249"/>
  <c r="H1248"/>
  <c r="F1248"/>
  <c r="H1247"/>
  <c r="F1247"/>
  <c r="H1246"/>
  <c r="F1246"/>
  <c r="H1245"/>
  <c r="F1245"/>
  <c r="H1244"/>
  <c r="F1244"/>
  <c r="H1243"/>
  <c r="F1243"/>
  <c r="H1242"/>
  <c r="F1242"/>
  <c r="H1241"/>
  <c r="F1241"/>
  <c r="H1240"/>
  <c r="F1240"/>
  <c r="H1239"/>
  <c r="F1239"/>
  <c r="H1238"/>
  <c r="F1238"/>
  <c r="H1237"/>
  <c r="F1237"/>
  <c r="H1236"/>
  <c r="F1236"/>
  <c r="H1235"/>
  <c r="F1235"/>
  <c r="H1234"/>
  <c r="F1234"/>
  <c r="H1233"/>
  <c r="F1233"/>
  <c r="H1232"/>
  <c r="F1232"/>
  <c r="H1231"/>
  <c r="F1231"/>
  <c r="H1230"/>
  <c r="F1230"/>
  <c r="H1229"/>
  <c r="F1229"/>
  <c r="H1228"/>
  <c r="F1228"/>
  <c r="H1227"/>
  <c r="F1227"/>
  <c r="H1226"/>
  <c r="F1226"/>
  <c r="H1225"/>
  <c r="F1225"/>
  <c r="H1224"/>
  <c r="F1224"/>
  <c r="H1223"/>
  <c r="F1223"/>
  <c r="H1222"/>
  <c r="F1222"/>
  <c r="H1221"/>
  <c r="F1221"/>
  <c r="H1220"/>
  <c r="F1220"/>
  <c r="H1219"/>
  <c r="F1219"/>
  <c r="H1218"/>
  <c r="F1218"/>
  <c r="H1217"/>
  <c r="F1217"/>
  <c r="H1216"/>
  <c r="F1216"/>
  <c r="H1215"/>
  <c r="F1215"/>
  <c r="H1214"/>
  <c r="F1214"/>
  <c r="H1213"/>
  <c r="F1213"/>
  <c r="H1212"/>
  <c r="F1212"/>
  <c r="H1211"/>
  <c r="F1211"/>
  <c r="H1210"/>
  <c r="F1210"/>
  <c r="H1209"/>
  <c r="F1209"/>
  <c r="H1208"/>
  <c r="F1208"/>
  <c r="H1207"/>
  <c r="F1207"/>
  <c r="H1206"/>
  <c r="F1206"/>
  <c r="H1205"/>
  <c r="F1205"/>
  <c r="H1204"/>
  <c r="F1204"/>
  <c r="H1203"/>
  <c r="F1203"/>
  <c r="H1202"/>
  <c r="F1202"/>
  <c r="H1201"/>
  <c r="F1201"/>
  <c r="H1200"/>
  <c r="F1200"/>
  <c r="H1199"/>
  <c r="F1199"/>
  <c r="H1198"/>
  <c r="F1198"/>
  <c r="H1197"/>
  <c r="F1197"/>
  <c r="H1196"/>
  <c r="F1196"/>
  <c r="H1195"/>
  <c r="F1195"/>
  <c r="H1194"/>
  <c r="F1194"/>
  <c r="H1193"/>
  <c r="F1193"/>
  <c r="H1192"/>
  <c r="F1192"/>
  <c r="H1191"/>
  <c r="F1191"/>
  <c r="H1190"/>
  <c r="F1190"/>
  <c r="H1189"/>
  <c r="F1189"/>
  <c r="H1188"/>
  <c r="F1188"/>
  <c r="H1187"/>
  <c r="F1187"/>
  <c r="H1186"/>
  <c r="F1186"/>
  <c r="H1185"/>
  <c r="F1185"/>
  <c r="H1184"/>
  <c r="F1184"/>
  <c r="H1181"/>
  <c r="F1181"/>
  <c r="H1180"/>
  <c r="F1180"/>
  <c r="H1179"/>
  <c r="F1179"/>
  <c r="H1178"/>
  <c r="F1178"/>
  <c r="H1177"/>
  <c r="F1177"/>
  <c r="H1176"/>
  <c r="F1176"/>
  <c r="H1175"/>
  <c r="F1175"/>
  <c r="H1174"/>
  <c r="F1174"/>
  <c r="H1173"/>
  <c r="F1173"/>
  <c r="H1172"/>
  <c r="F1172"/>
  <c r="H1171"/>
  <c r="F1171"/>
  <c r="H1170"/>
  <c r="F1170"/>
  <c r="H1169"/>
  <c r="F1169"/>
  <c r="H1168"/>
  <c r="F1168"/>
  <c r="H1167"/>
  <c r="F1167"/>
  <c r="H1166"/>
  <c r="F1166"/>
  <c r="H1165"/>
  <c r="F1165"/>
  <c r="H1164"/>
  <c r="F1164"/>
  <c r="H1163"/>
  <c r="F1163"/>
  <c r="H1162"/>
  <c r="F1162"/>
  <c r="H1161"/>
  <c r="F1161"/>
  <c r="H1160"/>
  <c r="F1160"/>
  <c r="H1159"/>
  <c r="F1159"/>
  <c r="H1158"/>
  <c r="F1158"/>
  <c r="H1157"/>
  <c r="F1157"/>
  <c r="H1156"/>
  <c r="F1156"/>
  <c r="H1155"/>
  <c r="F1155"/>
  <c r="H1154"/>
  <c r="F1154"/>
  <c r="H1153"/>
  <c r="F1153"/>
  <c r="H1152"/>
  <c r="F1152"/>
  <c r="H1151"/>
  <c r="F1151"/>
  <c r="H1150"/>
  <c r="F1150"/>
  <c r="H1149"/>
  <c r="F1149"/>
  <c r="H1148"/>
  <c r="F1148"/>
  <c r="H1147"/>
  <c r="F1147"/>
  <c r="H1146"/>
  <c r="F1146"/>
  <c r="H1145"/>
  <c r="F1145"/>
  <c r="H1144"/>
  <c r="F1144"/>
  <c r="H1143"/>
  <c r="F1143"/>
  <c r="H1142"/>
  <c r="F1142"/>
  <c r="H1141"/>
  <c r="F1141"/>
  <c r="H1140"/>
  <c r="F1140"/>
  <c r="H1139"/>
  <c r="F1139"/>
  <c r="H1138"/>
  <c r="F1138"/>
  <c r="H1137"/>
  <c r="F1137"/>
  <c r="H1136"/>
  <c r="F1136"/>
  <c r="H1135"/>
  <c r="F1135"/>
  <c r="H1134"/>
  <c r="F1134"/>
  <c r="H1133"/>
  <c r="F1133"/>
  <c r="H1132"/>
  <c r="F1132"/>
  <c r="H1131"/>
  <c r="F1131"/>
  <c r="H1130"/>
  <c r="F1130"/>
  <c r="H1129"/>
  <c r="F1129"/>
  <c r="H1128"/>
  <c r="F1128"/>
  <c r="H1127"/>
  <c r="F1127"/>
  <c r="H1126"/>
  <c r="F1126"/>
  <c r="H1125"/>
  <c r="F1125"/>
  <c r="H1124"/>
  <c r="F1124"/>
  <c r="H1123"/>
  <c r="F1123"/>
  <c r="H1122"/>
  <c r="F1122"/>
  <c r="H1121"/>
  <c r="F1121"/>
  <c r="H1120"/>
  <c r="F1120"/>
  <c r="H1119"/>
  <c r="F1119"/>
  <c r="H1118"/>
  <c r="F1118"/>
  <c r="H1117"/>
  <c r="F1117"/>
  <c r="H1116"/>
  <c r="F1116"/>
  <c r="H1115"/>
  <c r="F1115"/>
  <c r="H1114"/>
  <c r="F1114"/>
  <c r="H1113"/>
  <c r="F1113"/>
  <c r="H1112"/>
  <c r="F1112"/>
  <c r="H1111"/>
  <c r="F1111"/>
  <c r="H1110"/>
  <c r="F1110"/>
  <c r="H1109"/>
  <c r="F1109"/>
  <c r="H1108"/>
  <c r="F1108"/>
  <c r="H1107"/>
  <c r="F1107"/>
  <c r="H1106"/>
  <c r="F1106"/>
  <c r="H1105"/>
  <c r="F1105"/>
  <c r="H1104"/>
  <c r="F1104"/>
  <c r="H1103"/>
  <c r="F1103"/>
  <c r="H1102"/>
  <c r="F1102"/>
  <c r="H1101"/>
  <c r="F1101"/>
  <c r="H1100"/>
  <c r="F1100"/>
  <c r="H1099"/>
  <c r="F1099"/>
  <c r="H1098"/>
  <c r="F1098"/>
  <c r="H1097"/>
  <c r="F1097"/>
  <c r="H1096"/>
  <c r="F1096"/>
  <c r="H1095"/>
  <c r="F1095"/>
  <c r="H1094"/>
  <c r="F1094"/>
  <c r="H1093"/>
  <c r="F1093"/>
  <c r="H1092"/>
  <c r="F1092"/>
  <c r="H1091"/>
  <c r="F1091"/>
  <c r="H1090"/>
  <c r="F1090"/>
  <c r="H1089"/>
  <c r="F1089"/>
  <c r="H1088"/>
  <c r="F1088"/>
  <c r="H1087"/>
  <c r="F1087"/>
  <c r="H1086"/>
  <c r="F1086"/>
  <c r="H1085"/>
  <c r="F1085"/>
  <c r="H1084"/>
  <c r="F1084"/>
  <c r="H1083"/>
  <c r="F1083"/>
  <c r="H1082"/>
  <c r="F1082"/>
  <c r="H1081"/>
  <c r="F1081"/>
  <c r="H1080"/>
  <c r="F1080"/>
  <c r="H1079"/>
  <c r="F1079"/>
  <c r="H1078"/>
  <c r="F1078"/>
  <c r="H1077"/>
  <c r="F1077"/>
  <c r="H1076"/>
  <c r="F1076"/>
  <c r="H1075"/>
  <c r="F1075"/>
  <c r="H1074"/>
  <c r="F1074"/>
  <c r="H1073"/>
  <c r="F1073"/>
  <c r="H1072"/>
  <c r="F1072"/>
  <c r="H1071"/>
  <c r="F1071"/>
  <c r="H1070"/>
  <c r="F1070"/>
  <c r="H1069"/>
  <c r="F1069"/>
  <c r="H1068"/>
  <c r="F1068"/>
  <c r="H1067"/>
  <c r="F1067"/>
  <c r="H1066"/>
  <c r="F1066"/>
  <c r="H1065"/>
  <c r="F1065"/>
  <c r="H1064"/>
  <c r="F1064"/>
  <c r="H1063"/>
  <c r="F1063"/>
  <c r="H1062"/>
  <c r="F1062"/>
  <c r="H1061"/>
  <c r="F1061"/>
  <c r="H1060"/>
  <c r="F1060"/>
  <c r="H1059"/>
  <c r="F1059"/>
  <c r="H1058"/>
  <c r="F1058"/>
  <c r="H1057"/>
  <c r="F1057"/>
  <c r="H1056"/>
  <c r="F1056"/>
  <c r="H1055"/>
  <c r="F1055"/>
  <c r="H1054"/>
  <c r="F1054"/>
  <c r="H1053"/>
  <c r="F1053"/>
  <c r="H1052"/>
  <c r="F1052"/>
  <c r="H1051"/>
  <c r="F1051"/>
  <c r="H1050"/>
  <c r="F1050"/>
  <c r="H1049"/>
  <c r="F1049"/>
  <c r="H1048"/>
  <c r="F1048"/>
  <c r="H1047"/>
  <c r="F1047"/>
  <c r="H1046"/>
  <c r="F1046"/>
  <c r="H1045"/>
  <c r="F1045"/>
  <c r="H1044"/>
  <c r="F1044"/>
  <c r="H1043"/>
  <c r="F1043"/>
  <c r="H1042"/>
  <c r="F1042"/>
  <c r="H1041"/>
  <c r="F1041"/>
  <c r="H1040"/>
  <c r="F1040"/>
  <c r="H1039"/>
  <c r="F1039"/>
  <c r="H1038"/>
  <c r="F1038"/>
  <c r="H1037"/>
  <c r="F1037"/>
  <c r="H1036"/>
  <c r="F1036"/>
  <c r="H1035"/>
  <c r="F1035"/>
  <c r="H1034"/>
  <c r="F1034"/>
  <c r="H1033"/>
  <c r="F1033"/>
  <c r="H1032"/>
  <c r="F1032"/>
  <c r="H1031"/>
  <c r="F1031"/>
  <c r="H1030"/>
  <c r="F1030"/>
  <c r="H1029"/>
  <c r="F1029"/>
  <c r="H1028"/>
  <c r="F1028"/>
  <c r="H1027"/>
  <c r="F1027"/>
  <c r="H1026"/>
  <c r="F1026"/>
  <c r="H1025"/>
  <c r="F1025"/>
  <c r="H1024"/>
  <c r="F1024"/>
  <c r="H1023"/>
  <c r="F1023"/>
  <c r="H1022"/>
  <c r="F1022"/>
  <c r="H1021"/>
  <c r="F1021"/>
  <c r="H1020"/>
  <c r="F1020"/>
  <c r="H1019"/>
  <c r="F1019"/>
  <c r="H1018"/>
  <c r="F1018"/>
  <c r="H1017"/>
  <c r="F1017"/>
  <c r="H1016"/>
  <c r="F1016"/>
  <c r="H1015"/>
  <c r="F1015"/>
  <c r="H1014"/>
  <c r="F1014"/>
  <c r="H1013"/>
  <c r="F1013"/>
  <c r="H1012"/>
  <c r="F1012"/>
  <c r="H1011"/>
  <c r="F1011"/>
  <c r="H1010"/>
  <c r="F1010"/>
  <c r="H1009"/>
  <c r="F1009"/>
  <c r="H1008"/>
  <c r="F1008"/>
  <c r="H1007"/>
  <c r="F1007"/>
  <c r="H1006"/>
  <c r="F1006"/>
  <c r="H1005"/>
  <c r="F1005"/>
  <c r="H1004"/>
  <c r="F1004"/>
  <c r="H1003"/>
  <c r="F1003"/>
  <c r="H1002"/>
  <c r="F1002"/>
  <c r="H1001"/>
  <c r="F1001"/>
  <c r="H1000"/>
  <c r="F1000"/>
  <c r="H999"/>
  <c r="F999"/>
  <c r="H998"/>
  <c r="F998"/>
  <c r="H997"/>
  <c r="F997"/>
  <c r="H996"/>
  <c r="F996"/>
  <c r="H995"/>
  <c r="F995"/>
  <c r="H994"/>
  <c r="F994"/>
  <c r="H993"/>
  <c r="F993"/>
  <c r="H992"/>
  <c r="F992"/>
  <c r="H991"/>
  <c r="F991"/>
  <c r="H990"/>
  <c r="F990"/>
  <c r="H989"/>
  <c r="F989"/>
  <c r="H988"/>
  <c r="F988"/>
  <c r="H987"/>
  <c r="F987"/>
  <c r="H986"/>
  <c r="F986"/>
  <c r="H985"/>
  <c r="F985"/>
  <c r="H984"/>
  <c r="F984"/>
  <c r="H983"/>
  <c r="F983"/>
  <c r="H982"/>
  <c r="F982"/>
  <c r="H981"/>
  <c r="F981"/>
  <c r="H980"/>
  <c r="F980"/>
  <c r="H979"/>
  <c r="F979"/>
  <c r="H978"/>
  <c r="F978"/>
  <c r="H977"/>
  <c r="F977"/>
  <c r="H976"/>
  <c r="F976"/>
  <c r="H975"/>
  <c r="F975"/>
  <c r="H974"/>
  <c r="F974"/>
  <c r="H973"/>
  <c r="F973"/>
  <c r="H972"/>
  <c r="F972"/>
  <c r="H971"/>
  <c r="F971"/>
  <c r="H970"/>
  <c r="F970"/>
  <c r="H969"/>
  <c r="F969"/>
  <c r="H968"/>
  <c r="F968"/>
  <c r="H967"/>
  <c r="F967"/>
  <c r="H966"/>
  <c r="F966"/>
  <c r="H965"/>
  <c r="F965"/>
  <c r="H964"/>
  <c r="F964"/>
  <c r="H963"/>
  <c r="F963"/>
  <c r="H962"/>
  <c r="F962"/>
  <c r="H961"/>
  <c r="F961"/>
  <c r="H960"/>
  <c r="F960"/>
  <c r="H959"/>
  <c r="F959"/>
  <c r="H958"/>
  <c r="F958"/>
  <c r="H957"/>
  <c r="F957"/>
  <c r="H956"/>
  <c r="F956"/>
  <c r="H955"/>
  <c r="F955"/>
  <c r="H954"/>
  <c r="F954"/>
  <c r="H953"/>
  <c r="F953"/>
  <c r="H952"/>
  <c r="F952"/>
  <c r="H951"/>
  <c r="F951"/>
  <c r="H950"/>
  <c r="F950"/>
  <c r="H949"/>
  <c r="F949"/>
  <c r="H948"/>
  <c r="F948"/>
  <c r="H947"/>
  <c r="F947"/>
  <c r="H946"/>
  <c r="F946"/>
  <c r="H945"/>
  <c r="F945"/>
  <c r="H944"/>
  <c r="F944"/>
  <c r="H943"/>
  <c r="F943"/>
  <c r="H942"/>
  <c r="F942"/>
  <c r="H941"/>
  <c r="F941"/>
  <c r="H940"/>
  <c r="F940"/>
  <c r="H939"/>
  <c r="F939"/>
  <c r="H938"/>
  <c r="F938"/>
  <c r="H937"/>
  <c r="F937"/>
  <c r="H936"/>
  <c r="F936"/>
  <c r="H935"/>
  <c r="F935"/>
  <c r="H934"/>
  <c r="F934"/>
  <c r="H933"/>
  <c r="F933"/>
  <c r="H932"/>
  <c r="F932"/>
  <c r="H931"/>
  <c r="F931"/>
  <c r="H930"/>
  <c r="F930"/>
  <c r="H929"/>
  <c r="F929"/>
  <c r="H928"/>
  <c r="F928"/>
  <c r="H927"/>
  <c r="F927"/>
  <c r="H926"/>
  <c r="F926"/>
  <c r="H925"/>
  <c r="F925"/>
  <c r="H924"/>
  <c r="F924"/>
  <c r="H923"/>
  <c r="F923"/>
  <c r="H922"/>
  <c r="F922"/>
  <c r="H921"/>
  <c r="F921"/>
  <c r="H920"/>
  <c r="F920"/>
  <c r="H919"/>
  <c r="F919"/>
  <c r="H918"/>
  <c r="F918"/>
  <c r="H917"/>
  <c r="F917"/>
  <c r="H916"/>
  <c r="F916"/>
  <c r="H915"/>
  <c r="F915"/>
  <c r="H914"/>
  <c r="F914"/>
  <c r="H913"/>
  <c r="F913"/>
  <c r="H912"/>
  <c r="F912"/>
  <c r="H911"/>
  <c r="F911"/>
  <c r="H910"/>
  <c r="F910"/>
  <c r="H909"/>
  <c r="F909"/>
  <c r="H908"/>
  <c r="F908"/>
  <c r="H907"/>
  <c r="F907"/>
  <c r="H906"/>
  <c r="F906"/>
  <c r="H905"/>
  <c r="F905"/>
  <c r="H904"/>
  <c r="F904"/>
  <c r="H903"/>
  <c r="F903"/>
  <c r="H902"/>
  <c r="F902"/>
  <c r="H901"/>
  <c r="F901"/>
  <c r="H900"/>
  <c r="F900"/>
  <c r="H899"/>
  <c r="F899"/>
  <c r="H898"/>
  <c r="F898"/>
  <c r="H897"/>
  <c r="F897"/>
  <c r="H896"/>
  <c r="F896"/>
  <c r="H895"/>
  <c r="F895"/>
  <c r="H894"/>
  <c r="F894"/>
  <c r="H893"/>
  <c r="F893"/>
  <c r="H892"/>
  <c r="F892"/>
  <c r="H891"/>
  <c r="F891"/>
  <c r="H890"/>
  <c r="F890"/>
  <c r="H889"/>
  <c r="F889"/>
  <c r="H888"/>
  <c r="F888"/>
  <c r="H887"/>
  <c r="F887"/>
  <c r="H886"/>
  <c r="F886"/>
  <c r="H885"/>
  <c r="F885"/>
  <c r="H884"/>
  <c r="F884"/>
  <c r="H883"/>
  <c r="F883"/>
  <c r="H882"/>
  <c r="F882"/>
  <c r="H881"/>
  <c r="F881"/>
  <c r="H880"/>
  <c r="F880"/>
  <c r="H879"/>
  <c r="F879"/>
  <c r="H878"/>
  <c r="F878"/>
  <c r="H877"/>
  <c r="F877"/>
  <c r="H876"/>
  <c r="F876"/>
  <c r="H875"/>
  <c r="F875"/>
  <c r="H874"/>
  <c r="F874"/>
  <c r="H873"/>
  <c r="F873"/>
  <c r="H872"/>
  <c r="F872"/>
  <c r="H871"/>
  <c r="F871"/>
  <c r="H870"/>
  <c r="F870"/>
  <c r="H867"/>
  <c r="F867"/>
  <c r="H866"/>
  <c r="F866"/>
  <c r="H865"/>
  <c r="F865"/>
  <c r="H864"/>
  <c r="F864"/>
  <c r="H863"/>
  <c r="F863"/>
  <c r="H862"/>
  <c r="F862"/>
  <c r="H861"/>
  <c r="F861"/>
  <c r="H860"/>
  <c r="F860"/>
  <c r="H859"/>
  <c r="F859"/>
  <c r="H858"/>
  <c r="F858"/>
  <c r="H857"/>
  <c r="F857"/>
  <c r="H856"/>
  <c r="F856"/>
  <c r="H855"/>
  <c r="F855"/>
  <c r="H854"/>
  <c r="F854"/>
  <c r="H853"/>
  <c r="F853"/>
  <c r="H852"/>
  <c r="F852"/>
  <c r="H851"/>
  <c r="F851"/>
  <c r="H850"/>
  <c r="F850"/>
  <c r="H849"/>
  <c r="F849"/>
  <c r="H848"/>
  <c r="F848"/>
  <c r="H847"/>
  <c r="F847"/>
  <c r="H846"/>
  <c r="F846"/>
  <c r="H845"/>
  <c r="F845"/>
  <c r="H844"/>
  <c r="F844"/>
  <c r="H843"/>
  <c r="F843"/>
  <c r="H842"/>
  <c r="F842"/>
  <c r="H841"/>
  <c r="F841"/>
  <c r="H840"/>
  <c r="F840"/>
  <c r="H839"/>
  <c r="F839"/>
  <c r="H838"/>
  <c r="F838"/>
  <c r="H837"/>
  <c r="F837"/>
  <c r="H836"/>
  <c r="F836"/>
  <c r="H835"/>
  <c r="F835"/>
  <c r="H834"/>
  <c r="F834"/>
  <c r="H833"/>
  <c r="F833"/>
  <c r="H832"/>
  <c r="F832"/>
  <c r="H831"/>
  <c r="F831"/>
  <c r="H830"/>
  <c r="F830"/>
  <c r="H829"/>
  <c r="F829"/>
  <c r="H828"/>
  <c r="F828"/>
  <c r="H827"/>
  <c r="F827"/>
  <c r="H826"/>
  <c r="F826"/>
  <c r="H825"/>
  <c r="F825"/>
  <c r="H824"/>
  <c r="F824"/>
  <c r="H823"/>
  <c r="F823"/>
  <c r="H822"/>
  <c r="F822"/>
  <c r="H821"/>
  <c r="F821"/>
  <c r="H820"/>
  <c r="F820"/>
  <c r="H819"/>
  <c r="F819"/>
  <c r="H818"/>
  <c r="F818"/>
  <c r="H817"/>
  <c r="F817"/>
  <c r="H816"/>
  <c r="F816"/>
  <c r="H815"/>
  <c r="F815"/>
  <c r="H814"/>
  <c r="F814"/>
  <c r="H813"/>
  <c r="F813"/>
  <c r="H812"/>
  <c r="F812"/>
  <c r="H811"/>
  <c r="F811"/>
  <c r="H810"/>
  <c r="F810"/>
  <c r="H809"/>
  <c r="F809"/>
  <c r="H808"/>
  <c r="F808"/>
  <c r="H807"/>
  <c r="F807"/>
  <c r="H806"/>
  <c r="F806"/>
  <c r="H805"/>
  <c r="F805"/>
  <c r="H804"/>
  <c r="F804"/>
  <c r="H803"/>
  <c r="F803"/>
  <c r="H802"/>
  <c r="F802"/>
  <c r="H801"/>
  <c r="F801"/>
  <c r="H800"/>
  <c r="F800"/>
  <c r="H799"/>
  <c r="F799"/>
  <c r="H796"/>
  <c r="F796"/>
  <c r="H795"/>
  <c r="F795"/>
  <c r="H794"/>
  <c r="F794"/>
  <c r="H793"/>
  <c r="F793"/>
  <c r="H792"/>
  <c r="F792"/>
  <c r="H791"/>
  <c r="F791"/>
  <c r="H790"/>
  <c r="F790"/>
  <c r="H789"/>
  <c r="F789"/>
  <c r="H788"/>
  <c r="F788"/>
  <c r="H787"/>
  <c r="F787"/>
  <c r="H786"/>
  <c r="F786"/>
  <c r="H785"/>
  <c r="F785"/>
  <c r="H784"/>
  <c r="F784"/>
  <c r="H783"/>
  <c r="F783"/>
  <c r="H782"/>
  <c r="F782"/>
  <c r="H781"/>
  <c r="F781"/>
  <c r="H780"/>
  <c r="F780"/>
  <c r="H779"/>
  <c r="F779"/>
  <c r="H778"/>
  <c r="F778"/>
  <c r="H777"/>
  <c r="F777"/>
  <c r="H776"/>
  <c r="F776"/>
  <c r="H775"/>
  <c r="F775"/>
  <c r="H774"/>
  <c r="F774"/>
  <c r="H773"/>
  <c r="F773"/>
  <c r="H772"/>
  <c r="F772"/>
  <c r="H771"/>
  <c r="F771"/>
  <c r="H770"/>
  <c r="F770"/>
  <c r="H769"/>
  <c r="F769"/>
  <c r="H768"/>
  <c r="F768"/>
  <c r="H767"/>
  <c r="F767"/>
  <c r="H766"/>
  <c r="F766"/>
  <c r="H765"/>
  <c r="F765"/>
  <c r="H764"/>
  <c r="F764"/>
  <c r="H763"/>
  <c r="F763"/>
  <c r="H762"/>
  <c r="F762"/>
  <c r="H761"/>
  <c r="F761"/>
  <c r="H760"/>
  <c r="F760"/>
  <c r="H759"/>
  <c r="F759"/>
  <c r="H758"/>
  <c r="F758"/>
  <c r="H757"/>
  <c r="F757"/>
  <c r="H756"/>
  <c r="F756"/>
  <c r="H755"/>
  <c r="F755"/>
  <c r="H754"/>
  <c r="F754"/>
  <c r="H753"/>
  <c r="F753"/>
  <c r="H752"/>
  <c r="F752"/>
  <c r="H751"/>
  <c r="F751"/>
  <c r="H750"/>
  <c r="F750"/>
  <c r="H749"/>
  <c r="F749"/>
  <c r="H748"/>
  <c r="F748"/>
  <c r="H747"/>
  <c r="F747"/>
  <c r="H746"/>
  <c r="F746"/>
  <c r="H745"/>
  <c r="F745"/>
  <c r="H744"/>
  <c r="F744"/>
  <c r="H743"/>
  <c r="F743"/>
  <c r="H742"/>
  <c r="F742"/>
  <c r="H741"/>
  <c r="F741"/>
  <c r="H740"/>
  <c r="F740"/>
  <c r="H739"/>
  <c r="F739"/>
  <c r="H738"/>
  <c r="F738"/>
  <c r="H737"/>
  <c r="F737"/>
  <c r="H736"/>
  <c r="F736"/>
  <c r="H735"/>
  <c r="F735"/>
  <c r="H734"/>
  <c r="F734"/>
  <c r="H733"/>
  <c r="F733"/>
  <c r="H732"/>
  <c r="F732"/>
  <c r="H731"/>
  <c r="F731"/>
  <c r="H730"/>
  <c r="F730"/>
  <c r="H729"/>
  <c r="F729"/>
  <c r="H728"/>
  <c r="F728"/>
  <c r="H727"/>
  <c r="F727"/>
  <c r="H726"/>
  <c r="F726"/>
  <c r="H725"/>
  <c r="F725"/>
  <c r="H724"/>
  <c r="F724"/>
  <c r="H723"/>
  <c r="F723"/>
  <c r="H722"/>
  <c r="F722"/>
  <c r="H721"/>
  <c r="F721"/>
  <c r="H720"/>
  <c r="F720"/>
  <c r="H719"/>
  <c r="F719"/>
  <c r="H718"/>
  <c r="F718"/>
  <c r="H717"/>
  <c r="F717"/>
  <c r="H716"/>
  <c r="F716"/>
  <c r="H715"/>
  <c r="F715"/>
  <c r="H714"/>
  <c r="F714"/>
  <c r="H713"/>
  <c r="F713"/>
  <c r="H712"/>
  <c r="F712"/>
  <c r="H711"/>
  <c r="F711"/>
  <c r="H710"/>
  <c r="F710"/>
  <c r="H709"/>
  <c r="F709"/>
  <c r="H708"/>
  <c r="F708"/>
  <c r="H707"/>
  <c r="F707"/>
  <c r="H706"/>
  <c r="F706"/>
  <c r="H705"/>
  <c r="F705"/>
  <c r="H704"/>
  <c r="F704"/>
  <c r="H703"/>
  <c r="F703"/>
  <c r="H702"/>
  <c r="F702"/>
  <c r="H701"/>
  <c r="F701"/>
  <c r="H700"/>
  <c r="F700"/>
  <c r="H699"/>
  <c r="F699"/>
  <c r="H698"/>
  <c r="F698"/>
  <c r="H697"/>
  <c r="F697"/>
  <c r="H696"/>
  <c r="F696"/>
  <c r="H695"/>
  <c r="F695"/>
  <c r="H694"/>
  <c r="F694"/>
  <c r="H693"/>
  <c r="F693"/>
  <c r="H692"/>
  <c r="F692"/>
  <c r="H691"/>
  <c r="F691"/>
  <c r="H690"/>
  <c r="F690"/>
  <c r="H689"/>
  <c r="F689"/>
  <c r="H688"/>
  <c r="F688"/>
  <c r="H687"/>
  <c r="F687"/>
  <c r="H686"/>
  <c r="F686"/>
  <c r="H685"/>
  <c r="F685"/>
  <c r="H684"/>
  <c r="F684"/>
  <c r="H683"/>
  <c r="F683"/>
  <c r="H682"/>
  <c r="F682"/>
  <c r="H681"/>
  <c r="F681"/>
  <c r="H680"/>
  <c r="F680"/>
  <c r="H679"/>
  <c r="F679"/>
  <c r="H678"/>
  <c r="F678"/>
  <c r="H677"/>
  <c r="F677"/>
  <c r="H676"/>
  <c r="F676"/>
  <c r="H675"/>
  <c r="F675"/>
  <c r="H674"/>
  <c r="F674"/>
  <c r="H673"/>
  <c r="F673"/>
  <c r="H672"/>
  <c r="F672"/>
  <c r="H671"/>
  <c r="F671"/>
  <c r="H670"/>
  <c r="F670"/>
  <c r="H669"/>
  <c r="F669"/>
  <c r="H668"/>
  <c r="F668"/>
  <c r="H667"/>
  <c r="F667"/>
  <c r="H666"/>
  <c r="F666"/>
  <c r="H665"/>
  <c r="F665"/>
  <c r="H664"/>
  <c r="F664"/>
  <c r="H663"/>
  <c r="F663"/>
  <c r="H662"/>
  <c r="F662"/>
  <c r="H661"/>
  <c r="F661"/>
  <c r="H660"/>
  <c r="F660"/>
  <c r="H659"/>
  <c r="F659"/>
  <c r="H658"/>
  <c r="F658"/>
  <c r="H657"/>
  <c r="F657"/>
  <c r="H654"/>
  <c r="F654"/>
  <c r="H653"/>
  <c r="F653"/>
  <c r="H652"/>
  <c r="F652"/>
  <c r="H651"/>
  <c r="F651"/>
  <c r="H650"/>
  <c r="F650"/>
  <c r="H649"/>
  <c r="F649"/>
  <c r="H648"/>
  <c r="F648"/>
  <c r="H647"/>
  <c r="F647"/>
  <c r="H646"/>
  <c r="F646"/>
  <c r="H645"/>
  <c r="F645"/>
  <c r="H644"/>
  <c r="F644"/>
  <c r="H643"/>
  <c r="F643"/>
  <c r="H642"/>
  <c r="F642"/>
  <c r="H641"/>
  <c r="F641"/>
  <c r="H640"/>
  <c r="F640"/>
  <c r="H639"/>
  <c r="F639"/>
  <c r="H638"/>
  <c r="F638"/>
  <c r="H637"/>
  <c r="F637"/>
  <c r="H636"/>
  <c r="F636"/>
  <c r="H635"/>
  <c r="F635"/>
  <c r="H634"/>
  <c r="F634"/>
  <c r="H633"/>
  <c r="F633"/>
  <c r="H632"/>
  <c r="F632"/>
  <c r="H631"/>
  <c r="F631"/>
  <c r="H630"/>
  <c r="F630"/>
  <c r="H629"/>
  <c r="F629"/>
  <c r="H628"/>
  <c r="F628"/>
  <c r="H627"/>
  <c r="F627"/>
  <c r="H626"/>
  <c r="F626"/>
  <c r="H625"/>
  <c r="F625"/>
  <c r="H624"/>
  <c r="F624"/>
  <c r="H623"/>
  <c r="F623"/>
  <c r="H622"/>
  <c r="F622"/>
  <c r="H621"/>
  <c r="F621"/>
  <c r="H620"/>
  <c r="F620"/>
  <c r="H619"/>
  <c r="F619"/>
  <c r="H618"/>
  <c r="F618"/>
  <c r="H617"/>
  <c r="F617"/>
  <c r="H616"/>
  <c r="F616"/>
  <c r="H613"/>
  <c r="F613"/>
  <c r="H612"/>
  <c r="F612"/>
  <c r="H611"/>
  <c r="F611"/>
  <c r="H610"/>
  <c r="F610"/>
  <c r="H609"/>
  <c r="F609"/>
  <c r="H608"/>
  <c r="F608"/>
  <c r="H607"/>
  <c r="F607"/>
  <c r="H606"/>
  <c r="F606"/>
  <c r="H605"/>
  <c r="F605"/>
  <c r="H604"/>
  <c r="F604"/>
  <c r="H603"/>
  <c r="F603"/>
  <c r="H602"/>
  <c r="F602"/>
  <c r="H601"/>
  <c r="F601"/>
  <c r="H600"/>
  <c r="F600"/>
  <c r="H599"/>
  <c r="F599"/>
  <c r="H598"/>
  <c r="F598"/>
  <c r="H597"/>
  <c r="F597"/>
  <c r="H596"/>
  <c r="F596"/>
  <c r="H595"/>
  <c r="F595"/>
  <c r="H594"/>
  <c r="F594"/>
  <c r="H593"/>
  <c r="F593"/>
  <c r="H592"/>
  <c r="F592"/>
  <c r="H591"/>
  <c r="F591"/>
  <c r="H590"/>
  <c r="F590"/>
  <c r="H589"/>
  <c r="F589"/>
  <c r="H588"/>
  <c r="F588"/>
  <c r="H587"/>
  <c r="F587"/>
  <c r="H586"/>
  <c r="F586"/>
  <c r="H585"/>
  <c r="F585"/>
  <c r="H584"/>
  <c r="F584"/>
  <c r="H583"/>
  <c r="F583"/>
  <c r="H582"/>
  <c r="F582"/>
  <c r="H581"/>
  <c r="F581"/>
  <c r="H580"/>
  <c r="F580"/>
  <c r="H579"/>
  <c r="F579"/>
  <c r="H578"/>
  <c r="F578"/>
  <c r="H577"/>
  <c r="F577"/>
  <c r="H576"/>
  <c r="F576"/>
  <c r="H575"/>
  <c r="F575"/>
  <c r="H574"/>
  <c r="F574"/>
  <c r="H573"/>
  <c r="F573"/>
  <c r="H572"/>
  <c r="F572"/>
  <c r="H571"/>
  <c r="F571"/>
  <c r="H570"/>
  <c r="F570"/>
  <c r="H569"/>
  <c r="F569"/>
  <c r="H568"/>
  <c r="F568"/>
  <c r="H567"/>
  <c r="F567"/>
  <c r="H566"/>
  <c r="F566"/>
  <c r="H565"/>
  <c r="F565"/>
  <c r="H564"/>
  <c r="F564"/>
  <c r="H563"/>
  <c r="F563"/>
  <c r="H562"/>
  <c r="F562"/>
  <c r="H561"/>
  <c r="F561"/>
  <c r="H560"/>
  <c r="F560"/>
  <c r="H559"/>
  <c r="F559"/>
  <c r="H558"/>
  <c r="F558"/>
  <c r="H557"/>
  <c r="F557"/>
  <c r="H556"/>
  <c r="F556"/>
  <c r="H555"/>
  <c r="F555"/>
  <c r="H554"/>
  <c r="F554"/>
  <c r="H553"/>
  <c r="F553"/>
  <c r="H552"/>
  <c r="F552"/>
  <c r="H551"/>
  <c r="F551"/>
  <c r="H550"/>
  <c r="F550"/>
  <c r="H549"/>
  <c r="F549"/>
  <c r="H548"/>
  <c r="F548"/>
  <c r="H547"/>
  <c r="F547"/>
  <c r="H546"/>
  <c r="F546"/>
  <c r="H545"/>
  <c r="F545"/>
  <c r="H542"/>
  <c r="F542"/>
  <c r="H541"/>
  <c r="F541"/>
  <c r="H540"/>
  <c r="F540"/>
  <c r="H539"/>
  <c r="F539"/>
  <c r="H538"/>
  <c r="F538"/>
  <c r="H537"/>
  <c r="F537"/>
  <c r="H536"/>
  <c r="F536"/>
  <c r="H535"/>
  <c r="F535"/>
  <c r="H534"/>
  <c r="F534"/>
  <c r="H533"/>
  <c r="F533"/>
  <c r="H532"/>
  <c r="F532"/>
  <c r="H531"/>
  <c r="F531"/>
  <c r="H530"/>
  <c r="F530"/>
  <c r="H529"/>
  <c r="F529"/>
  <c r="H528"/>
  <c r="F528"/>
  <c r="H527"/>
  <c r="F527"/>
  <c r="H526"/>
  <c r="F526"/>
  <c r="H525"/>
  <c r="F525"/>
  <c r="H524"/>
  <c r="F524"/>
  <c r="H523"/>
  <c r="F523"/>
  <c r="H522"/>
  <c r="F522"/>
  <c r="H521"/>
  <c r="F521"/>
  <c r="H520"/>
  <c r="F520"/>
  <c r="H519"/>
  <c r="F519"/>
  <c r="H518"/>
  <c r="F518"/>
  <c r="H517"/>
  <c r="F517"/>
  <c r="H516"/>
  <c r="F516"/>
  <c r="H515"/>
  <c r="F515"/>
  <c r="H512"/>
  <c r="F512"/>
  <c r="H511"/>
  <c r="F511"/>
  <c r="H510"/>
  <c r="F510"/>
  <c r="H509"/>
  <c r="F509"/>
  <c r="H508"/>
  <c r="F508"/>
  <c r="H507"/>
  <c r="F507"/>
  <c r="H506"/>
  <c r="F506"/>
  <c r="H505"/>
  <c r="F505"/>
  <c r="H504"/>
  <c r="F504"/>
  <c r="H503"/>
  <c r="F503"/>
  <c r="H502"/>
  <c r="F502"/>
  <c r="H501"/>
  <c r="F501"/>
  <c r="H500"/>
  <c r="F500"/>
  <c r="H499"/>
  <c r="F499"/>
  <c r="H498"/>
  <c r="F498"/>
  <c r="H497"/>
  <c r="F497"/>
  <c r="H496"/>
  <c r="F496"/>
  <c r="H495"/>
  <c r="F495"/>
  <c r="H494"/>
  <c r="F494"/>
  <c r="H493"/>
  <c r="F493"/>
  <c r="H492"/>
  <c r="F492"/>
  <c r="H491"/>
  <c r="F491"/>
  <c r="H490"/>
  <c r="F490"/>
  <c r="H489"/>
  <c r="F489"/>
  <c r="H488"/>
  <c r="F488"/>
  <c r="H487"/>
  <c r="F487"/>
  <c r="H486"/>
  <c r="F486"/>
  <c r="H485"/>
  <c r="F485"/>
  <c r="H484"/>
  <c r="F484"/>
  <c r="H483"/>
  <c r="F483"/>
  <c r="H482"/>
  <c r="F482"/>
  <c r="H481"/>
  <c r="F481"/>
  <c r="H480"/>
  <c r="F480"/>
  <c r="H479"/>
  <c r="F479"/>
  <c r="H478"/>
  <c r="F478"/>
  <c r="H477"/>
  <c r="F477"/>
  <c r="H476"/>
  <c r="F476"/>
  <c r="H475"/>
  <c r="F475"/>
  <c r="H474"/>
  <c r="F474"/>
  <c r="H473"/>
  <c r="F473"/>
  <c r="H472"/>
  <c r="F472"/>
  <c r="H471"/>
  <c r="F471"/>
  <c r="H470"/>
  <c r="F470"/>
  <c r="H469"/>
  <c r="F469"/>
  <c r="H468"/>
  <c r="F468"/>
  <c r="H467"/>
  <c r="F467"/>
  <c r="H466"/>
  <c r="F466"/>
  <c r="H465"/>
  <c r="F465"/>
  <c r="H464"/>
  <c r="F464"/>
  <c r="H463"/>
  <c r="F463"/>
  <c r="H462"/>
  <c r="F462"/>
  <c r="H461"/>
  <c r="F461"/>
  <c r="H460"/>
  <c r="F460"/>
  <c r="H459"/>
  <c r="F459"/>
  <c r="H458"/>
  <c r="F458"/>
  <c r="H457"/>
  <c r="F457"/>
  <c r="H456"/>
  <c r="F456"/>
  <c r="H455"/>
  <c r="F455"/>
  <c r="H454"/>
  <c r="F454"/>
  <c r="H453"/>
  <c r="F453"/>
  <c r="H452"/>
  <c r="F452"/>
  <c r="H451"/>
  <c r="F451"/>
  <c r="H450"/>
  <c r="F450"/>
  <c r="H449"/>
  <c r="F449"/>
  <c r="H448"/>
  <c r="F448"/>
  <c r="H447"/>
  <c r="F447"/>
  <c r="H446"/>
  <c r="F446"/>
  <c r="H445"/>
  <c r="F445"/>
  <c r="H444"/>
  <c r="F444"/>
  <c r="H443"/>
  <c r="F443"/>
  <c r="H442"/>
  <c r="F442"/>
  <c r="H441"/>
  <c r="F441"/>
  <c r="H440"/>
  <c r="F440"/>
  <c r="H439"/>
  <c r="F439"/>
  <c r="H438"/>
  <c r="F438"/>
  <c r="H437"/>
  <c r="F437"/>
  <c r="H436"/>
  <c r="F436"/>
  <c r="H435"/>
  <c r="F435"/>
  <c r="H434"/>
  <c r="F434"/>
  <c r="H433"/>
  <c r="F433"/>
  <c r="H432"/>
  <c r="F432"/>
  <c r="H431"/>
  <c r="F431"/>
  <c r="H430"/>
  <c r="F430"/>
  <c r="H429"/>
  <c r="F429"/>
  <c r="H428"/>
  <c r="F428"/>
  <c r="H427"/>
  <c r="F427"/>
  <c r="H426"/>
  <c r="F426"/>
  <c r="H425"/>
  <c r="F425"/>
  <c r="H424"/>
  <c r="F424"/>
  <c r="H423"/>
  <c r="F423"/>
  <c r="H422"/>
  <c r="F422"/>
  <c r="H421"/>
  <c r="F421"/>
  <c r="H420"/>
  <c r="F420"/>
  <c r="H419"/>
  <c r="F419"/>
  <c r="H418"/>
  <c r="F418"/>
  <c r="H417"/>
  <c r="F417"/>
  <c r="H416"/>
  <c r="F416"/>
  <c r="H415"/>
  <c r="F415"/>
  <c r="H414"/>
  <c r="F414"/>
  <c r="H413"/>
  <c r="F413"/>
  <c r="H412"/>
  <c r="F412"/>
  <c r="H411"/>
  <c r="F411"/>
  <c r="H410"/>
  <c r="F410"/>
  <c r="H409"/>
  <c r="F409"/>
  <c r="H408"/>
  <c r="F408"/>
  <c r="H407"/>
  <c r="F407"/>
  <c r="H406"/>
  <c r="F406"/>
  <c r="H405"/>
  <c r="F405"/>
  <c r="H404"/>
  <c r="F404"/>
  <c r="H403"/>
  <c r="F403"/>
  <c r="H402"/>
  <c r="F402"/>
  <c r="H401"/>
  <c r="F401"/>
  <c r="H400"/>
  <c r="F400"/>
  <c r="H399"/>
  <c r="F399"/>
  <c r="H398"/>
  <c r="F398"/>
  <c r="H397"/>
  <c r="F397"/>
  <c r="H396"/>
  <c r="F396"/>
  <c r="H395"/>
  <c r="F395"/>
  <c r="H394"/>
  <c r="F394"/>
  <c r="H393"/>
  <c r="F393"/>
  <c r="H392"/>
  <c r="F392"/>
  <c r="H391"/>
  <c r="F391"/>
  <c r="H390"/>
  <c r="F390"/>
  <c r="H389"/>
  <c r="F389"/>
  <c r="H388"/>
  <c r="F388"/>
  <c r="H387"/>
  <c r="F387"/>
  <c r="H386"/>
  <c r="F386"/>
  <c r="H385"/>
  <c r="F385"/>
  <c r="H384"/>
  <c r="F384"/>
  <c r="H383"/>
  <c r="F383"/>
  <c r="H382"/>
  <c r="F382"/>
  <c r="H381"/>
  <c r="F381"/>
  <c r="H380"/>
  <c r="F380"/>
  <c r="H379"/>
  <c r="F379"/>
  <c r="H378"/>
  <c r="F378"/>
  <c r="H377"/>
  <c r="F377"/>
  <c r="H376"/>
  <c r="F376"/>
  <c r="H375"/>
  <c r="F375"/>
  <c r="H374"/>
  <c r="F374"/>
  <c r="H373"/>
  <c r="F373"/>
  <c r="H370"/>
  <c r="F370"/>
  <c r="H369"/>
  <c r="F369"/>
  <c r="H368"/>
  <c r="F368"/>
  <c r="H367"/>
  <c r="F367"/>
  <c r="H366"/>
  <c r="F366"/>
  <c r="H365"/>
  <c r="F365"/>
  <c r="H364"/>
  <c r="F364"/>
  <c r="H363"/>
  <c r="F363"/>
  <c r="H362"/>
  <c r="F362"/>
  <c r="H361"/>
  <c r="F361"/>
  <c r="H360"/>
  <c r="F360"/>
  <c r="H359"/>
  <c r="F359"/>
  <c r="H358"/>
  <c r="F358"/>
  <c r="H357"/>
  <c r="F357"/>
  <c r="H356"/>
  <c r="F356"/>
  <c r="H355"/>
  <c r="F355"/>
  <c r="H354"/>
  <c r="F354"/>
  <c r="H353"/>
  <c r="F353"/>
  <c r="H352"/>
  <c r="F352"/>
  <c r="H351"/>
  <c r="F351"/>
  <c r="H350"/>
  <c r="F350"/>
  <c r="H349"/>
  <c r="F349"/>
  <c r="H348"/>
  <c r="F348"/>
  <c r="H347"/>
  <c r="F347"/>
  <c r="H346"/>
  <c r="F346"/>
  <c r="H345"/>
  <c r="F345"/>
  <c r="H344"/>
  <c r="F344"/>
  <c r="H343"/>
  <c r="F343"/>
  <c r="H342"/>
  <c r="F342"/>
  <c r="H341"/>
  <c r="F341"/>
  <c r="H340"/>
  <c r="F340"/>
  <c r="H339"/>
  <c r="F339"/>
  <c r="H338"/>
  <c r="F338"/>
  <c r="H337"/>
  <c r="F337"/>
  <c r="H336"/>
  <c r="F336"/>
  <c r="H335"/>
  <c r="F335"/>
  <c r="H334"/>
  <c r="F334"/>
  <c r="H333"/>
  <c r="F333"/>
  <c r="H332"/>
  <c r="F332"/>
  <c r="H331"/>
  <c r="F331"/>
  <c r="H330"/>
  <c r="F330"/>
  <c r="H329"/>
  <c r="F329"/>
  <c r="H328"/>
  <c r="F328"/>
  <c r="H327"/>
  <c r="F327"/>
  <c r="H326"/>
  <c r="F326"/>
  <c r="H325"/>
  <c r="F325"/>
  <c r="H324"/>
  <c r="F324"/>
  <c r="H323"/>
  <c r="F323"/>
  <c r="H322"/>
  <c r="F322"/>
  <c r="H321"/>
  <c r="F321"/>
  <c r="H320"/>
  <c r="F320"/>
  <c r="H319"/>
  <c r="F319"/>
  <c r="H318"/>
  <c r="F318"/>
  <c r="H317"/>
  <c r="F317"/>
  <c r="H316"/>
  <c r="F316"/>
  <c r="H315"/>
  <c r="F315"/>
  <c r="H314"/>
  <c r="F314"/>
  <c r="H313"/>
  <c r="F313"/>
  <c r="H312"/>
  <c r="F312"/>
  <c r="H311"/>
  <c r="F311"/>
  <c r="H310"/>
  <c r="F310"/>
  <c r="H309"/>
  <c r="F309"/>
  <c r="H308"/>
  <c r="F308"/>
  <c r="H307"/>
  <c r="F307"/>
  <c r="H306"/>
  <c r="F306"/>
  <c r="H305"/>
  <c r="F305"/>
  <c r="H304"/>
  <c r="F304"/>
  <c r="H303"/>
  <c r="F303"/>
  <c r="H302"/>
  <c r="F302"/>
  <c r="H301"/>
  <c r="F301"/>
  <c r="H300"/>
  <c r="F300"/>
  <c r="H299"/>
  <c r="F299"/>
  <c r="H298"/>
  <c r="F298"/>
  <c r="H297"/>
  <c r="F297"/>
  <c r="H296"/>
  <c r="F296"/>
  <c r="H295"/>
  <c r="F295"/>
  <c r="H294"/>
  <c r="F294"/>
  <c r="H293"/>
  <c r="F293"/>
  <c r="H292"/>
  <c r="F292"/>
  <c r="H291"/>
  <c r="F291"/>
  <c r="H290"/>
  <c r="F290"/>
  <c r="H289"/>
  <c r="F289"/>
  <c r="H288"/>
  <c r="F288"/>
  <c r="H287"/>
  <c r="F287"/>
  <c r="H286"/>
  <c r="F286"/>
  <c r="H285"/>
  <c r="F285"/>
  <c r="H284"/>
  <c r="F284"/>
  <c r="H283"/>
  <c r="F283"/>
  <c r="H282"/>
  <c r="F282"/>
  <c r="H281"/>
  <c r="F281"/>
  <c r="H280"/>
  <c r="F280"/>
  <c r="H279"/>
  <c r="F279"/>
  <c r="H278"/>
  <c r="F278"/>
  <c r="H277"/>
  <c r="F277"/>
  <c r="H276"/>
  <c r="F276"/>
  <c r="H275"/>
  <c r="F275"/>
  <c r="H274"/>
  <c r="F274"/>
  <c r="H273"/>
  <c r="F273"/>
  <c r="H272"/>
  <c r="F272"/>
  <c r="H271"/>
  <c r="F271"/>
  <c r="H270"/>
  <c r="F270"/>
  <c r="H269"/>
  <c r="F269"/>
  <c r="H268"/>
  <c r="F268"/>
  <c r="H267"/>
  <c r="F267"/>
  <c r="H266"/>
  <c r="F266"/>
  <c r="H265"/>
  <c r="F265"/>
  <c r="H264"/>
  <c r="F264"/>
  <c r="H263"/>
  <c r="F263"/>
  <c r="H262"/>
  <c r="F262"/>
  <c r="H261"/>
  <c r="F261"/>
  <c r="H260"/>
  <c r="F260"/>
  <c r="H259"/>
  <c r="F259"/>
  <c r="H258"/>
  <c r="F258"/>
  <c r="H257"/>
  <c r="F257"/>
  <c r="H256"/>
  <c r="F256"/>
  <c r="H255"/>
  <c r="F255"/>
  <c r="H254"/>
  <c r="F254"/>
  <c r="H253"/>
  <c r="F253"/>
  <c r="H252"/>
  <c r="F252"/>
  <c r="H251"/>
  <c r="F251"/>
  <c r="H250"/>
  <c r="F250"/>
  <c r="H249"/>
  <c r="F249"/>
  <c r="H248"/>
  <c r="F248"/>
  <c r="H247"/>
  <c r="F247"/>
  <c r="H246"/>
  <c r="F246"/>
  <c r="H245"/>
  <c r="F245"/>
  <c r="H244"/>
  <c r="F244"/>
  <c r="H243"/>
  <c r="F243"/>
  <c r="H242"/>
  <c r="F242"/>
  <c r="H241"/>
  <c r="F241"/>
  <c r="H240"/>
  <c r="F240"/>
  <c r="H239"/>
  <c r="F239"/>
  <c r="H238"/>
  <c r="F238"/>
  <c r="H237"/>
  <c r="F237"/>
  <c r="H236"/>
  <c r="F236"/>
  <c r="H235"/>
  <c r="F235"/>
  <c r="H234"/>
  <c r="F234"/>
  <c r="H233"/>
  <c r="F233"/>
  <c r="H232"/>
  <c r="F232"/>
  <c r="H231"/>
  <c r="F231"/>
  <c r="H230"/>
  <c r="F230"/>
  <c r="H229"/>
  <c r="F229"/>
  <c r="H228"/>
  <c r="F228"/>
  <c r="H227"/>
  <c r="F227"/>
  <c r="H226"/>
  <c r="F226"/>
  <c r="H225"/>
  <c r="F225"/>
  <c r="H224"/>
  <c r="F224"/>
  <c r="H223"/>
  <c r="F223"/>
  <c r="H222"/>
  <c r="F222"/>
  <c r="H221"/>
  <c r="F221"/>
  <c r="H220"/>
  <c r="F220"/>
  <c r="H219"/>
  <c r="F219"/>
  <c r="H218"/>
  <c r="F218"/>
  <c r="H217"/>
  <c r="F217"/>
  <c r="H216"/>
  <c r="F216"/>
  <c r="H215"/>
  <c r="F215"/>
  <c r="H214"/>
  <c r="F214"/>
  <c r="H213"/>
  <c r="F213"/>
  <c r="H212"/>
  <c r="F212"/>
  <c r="H211"/>
  <c r="F211"/>
  <c r="H210"/>
  <c r="F210"/>
  <c r="H209"/>
  <c r="F209"/>
  <c r="H208"/>
  <c r="F208"/>
  <c r="H207"/>
  <c r="F207"/>
  <c r="H206"/>
  <c r="F206"/>
  <c r="H205"/>
  <c r="F205"/>
  <c r="H204"/>
  <c r="F204"/>
  <c r="H203"/>
  <c r="F203"/>
  <c r="H202"/>
  <c r="F202"/>
  <c r="H201"/>
  <c r="F201"/>
  <c r="H200"/>
  <c r="F200"/>
  <c r="H199"/>
  <c r="F199"/>
  <c r="H198"/>
  <c r="F198"/>
  <c r="H197"/>
  <c r="F197"/>
  <c r="H196"/>
  <c r="F196"/>
  <c r="H195"/>
  <c r="F195"/>
  <c r="H194"/>
  <c r="F194"/>
  <c r="H193"/>
  <c r="F193"/>
  <c r="H192"/>
  <c r="F192"/>
  <c r="H191"/>
  <c r="F191"/>
  <c r="H190"/>
  <c r="F190"/>
  <c r="H189"/>
  <c r="F189"/>
  <c r="H188"/>
  <c r="F188"/>
  <c r="H187"/>
  <c r="F187"/>
  <c r="H186"/>
  <c r="F186"/>
  <c r="H185"/>
  <c r="F185"/>
  <c r="H184"/>
  <c r="F184"/>
  <c r="H183"/>
  <c r="F183"/>
  <c r="H182"/>
  <c r="F182"/>
  <c r="H181"/>
  <c r="F181"/>
  <c r="H180"/>
  <c r="F180"/>
  <c r="H179"/>
  <c r="F179"/>
  <c r="H178"/>
  <c r="F178"/>
  <c r="H177"/>
  <c r="F177"/>
  <c r="H176"/>
  <c r="F176"/>
  <c r="H175"/>
  <c r="F175"/>
  <c r="H174"/>
  <c r="F174"/>
  <c r="H173"/>
  <c r="F173"/>
  <c r="H172"/>
  <c r="F172"/>
  <c r="H171"/>
  <c r="F171"/>
  <c r="H170"/>
  <c r="F170"/>
  <c r="H169"/>
  <c r="F169"/>
  <c r="H168"/>
  <c r="F168"/>
  <c r="H167"/>
  <c r="F167"/>
  <c r="H166"/>
  <c r="F166"/>
  <c r="H165"/>
  <c r="F165"/>
  <c r="H164"/>
  <c r="F164"/>
  <c r="H163"/>
  <c r="F163"/>
  <c r="H162"/>
  <c r="F162"/>
  <c r="H161"/>
  <c r="F161"/>
  <c r="H160"/>
  <c r="F160"/>
  <c r="H157"/>
  <c r="F157"/>
  <c r="H156"/>
  <c r="F156"/>
  <c r="H155"/>
  <c r="F155"/>
  <c r="H154"/>
  <c r="F154"/>
  <c r="H153"/>
  <c r="F153"/>
  <c r="H152"/>
  <c r="F152"/>
  <c r="H151"/>
  <c r="F151"/>
  <c r="H150"/>
  <c r="F150"/>
  <c r="H149"/>
  <c r="F149"/>
  <c r="H148"/>
  <c r="F148"/>
  <c r="H147"/>
  <c r="F147"/>
  <c r="H146"/>
  <c r="F146"/>
  <c r="H145"/>
  <c r="F145"/>
  <c r="H144"/>
  <c r="F144"/>
  <c r="H143"/>
  <c r="F143"/>
  <c r="H142"/>
  <c r="F142"/>
  <c r="H141"/>
  <c r="F141"/>
  <c r="H140"/>
  <c r="F140"/>
  <c r="H139"/>
  <c r="F139"/>
  <c r="H138"/>
  <c r="F138"/>
  <c r="H137"/>
  <c r="F137"/>
  <c r="H136"/>
  <c r="F136"/>
  <c r="H135"/>
  <c r="F135"/>
  <c r="H134"/>
  <c r="F134"/>
  <c r="H133"/>
  <c r="F133"/>
  <c r="H132"/>
  <c r="F132"/>
  <c r="H131"/>
  <c r="F131"/>
  <c r="H130"/>
  <c r="F130"/>
  <c r="H129"/>
  <c r="F129"/>
  <c r="H128"/>
  <c r="F128"/>
  <c r="H127"/>
  <c r="F127"/>
  <c r="H126"/>
  <c r="F126"/>
  <c r="H125"/>
  <c r="F125"/>
  <c r="H124"/>
  <c r="F124"/>
  <c r="H123"/>
  <c r="F123"/>
  <c r="H122"/>
  <c r="F122"/>
  <c r="H121"/>
  <c r="F121"/>
  <c r="H120"/>
  <c r="F120"/>
  <c r="H116"/>
  <c r="F116"/>
  <c r="H115"/>
  <c r="F115"/>
  <c r="H114"/>
  <c r="F114"/>
  <c r="H113"/>
  <c r="F113"/>
  <c r="H112"/>
  <c r="F112"/>
  <c r="H111"/>
  <c r="F111"/>
  <c r="H110"/>
  <c r="F110"/>
  <c r="H109"/>
  <c r="F109"/>
  <c r="H108"/>
  <c r="F108"/>
  <c r="H107"/>
  <c r="F107"/>
  <c r="H106"/>
  <c r="F106"/>
  <c r="H105"/>
  <c r="F105"/>
  <c r="H104"/>
  <c r="F104"/>
  <c r="H103"/>
  <c r="F103"/>
  <c r="H102"/>
  <c r="F102"/>
  <c r="H101"/>
  <c r="F101"/>
  <c r="H100"/>
  <c r="F100"/>
  <c r="H99"/>
  <c r="F99"/>
  <c r="H98"/>
  <c r="F98"/>
  <c r="H97"/>
  <c r="F97"/>
  <c r="H96"/>
  <c r="F96"/>
  <c r="H95"/>
  <c r="F95"/>
  <c r="H94"/>
  <c r="F94"/>
  <c r="H93"/>
  <c r="F93"/>
  <c r="H92"/>
  <c r="F92"/>
  <c r="H91"/>
  <c r="F91"/>
  <c r="H90"/>
  <c r="F90"/>
  <c r="H89"/>
  <c r="F89"/>
  <c r="H88"/>
  <c r="F88"/>
  <c r="H87"/>
  <c r="F87"/>
  <c r="H86"/>
  <c r="F86"/>
  <c r="H85"/>
  <c r="F85"/>
  <c r="H84"/>
  <c r="F84"/>
  <c r="H83"/>
  <c r="F83"/>
  <c r="H82"/>
  <c r="F82"/>
  <c r="H81"/>
  <c r="F81"/>
  <c r="H80"/>
  <c r="F80"/>
  <c r="H79"/>
  <c r="F79"/>
  <c r="H78"/>
  <c r="F78"/>
  <c r="H77"/>
  <c r="F77"/>
  <c r="H76"/>
  <c r="F76"/>
  <c r="H75"/>
  <c r="F75"/>
  <c r="H74"/>
  <c r="F74"/>
  <c r="H73"/>
  <c r="F73"/>
  <c r="H72"/>
  <c r="F72"/>
  <c r="H71"/>
  <c r="F71"/>
  <c r="H70"/>
  <c r="F70"/>
  <c r="H69"/>
  <c r="F69"/>
  <c r="H68"/>
  <c r="F68"/>
  <c r="H67"/>
  <c r="F67"/>
  <c r="H66"/>
  <c r="F66"/>
  <c r="H65"/>
  <c r="F65"/>
  <c r="H64"/>
  <c r="F64"/>
  <c r="H63"/>
  <c r="F63"/>
  <c r="H62"/>
  <c r="F62"/>
  <c r="H61"/>
  <c r="F61"/>
  <c r="H60"/>
  <c r="F60"/>
  <c r="H59"/>
  <c r="F59"/>
  <c r="H58"/>
  <c r="F58"/>
  <c r="H57"/>
  <c r="F57"/>
  <c r="H56"/>
  <c r="F56"/>
  <c r="H55"/>
  <c r="F55"/>
  <c r="H54"/>
  <c r="F54"/>
  <c r="H53"/>
  <c r="F53"/>
  <c r="H52"/>
  <c r="F52"/>
  <c r="H51"/>
  <c r="F51"/>
  <c r="H50"/>
  <c r="F50"/>
  <c r="H49"/>
  <c r="F49"/>
  <c r="H48"/>
  <c r="F48"/>
  <c r="H45"/>
  <c r="F45"/>
  <c r="H44"/>
  <c r="F44"/>
  <c r="H43"/>
  <c r="F43"/>
  <c r="H42"/>
  <c r="F42"/>
  <c r="H41"/>
  <c r="F41"/>
  <c r="H40"/>
  <c r="F40"/>
  <c r="H39"/>
  <c r="F39"/>
  <c r="H38"/>
  <c r="F38"/>
  <c r="H37"/>
  <c r="F37"/>
  <c r="H36"/>
  <c r="F36"/>
  <c r="H35"/>
  <c r="F35"/>
  <c r="H34"/>
  <c r="F34"/>
  <c r="H33"/>
  <c r="F33"/>
  <c r="H32"/>
  <c r="F32"/>
  <c r="H31"/>
  <c r="F31"/>
  <c r="H30"/>
  <c r="F30"/>
  <c r="H29"/>
  <c r="F29"/>
  <c r="H28"/>
  <c r="F28"/>
  <c r="H27"/>
  <c r="F27"/>
  <c r="H26"/>
  <c r="F26"/>
  <c r="H25"/>
  <c r="F25"/>
  <c r="H24"/>
  <c r="F24"/>
  <c r="H23"/>
  <c r="F23"/>
  <c r="H22"/>
  <c r="F22"/>
  <c r="H21"/>
  <c r="F21"/>
  <c r="H20"/>
  <c r="F20"/>
  <c r="H19"/>
  <c r="F19"/>
  <c r="H18"/>
  <c r="F18"/>
  <c r="H15"/>
  <c r="F15"/>
  <c r="H14"/>
  <c r="F14"/>
  <c r="H13"/>
  <c r="F13"/>
  <c r="H12"/>
  <c r="F12"/>
  <c r="H11"/>
  <c r="F11"/>
  <c r="H10"/>
  <c r="F10"/>
  <c r="H9"/>
  <c r="F9"/>
  <c r="H8"/>
  <c r="F8"/>
  <c r="H7"/>
  <c r="F7"/>
  <c r="H6"/>
  <c r="F6"/>
  <c r="H5"/>
  <c r="F5"/>
  <c r="H4"/>
  <c r="F4"/>
  <c r="H3"/>
  <c r="F3"/>
  <c r="H2"/>
  <c r="F2"/>
  <c r="E1585" i="12"/>
  <c r="E1584"/>
  <c r="E1583"/>
  <c r="E1582"/>
  <c r="E1581"/>
  <c r="E1580"/>
  <c r="E1579"/>
  <c r="E1578"/>
  <c r="E1577"/>
  <c r="E1576"/>
  <c r="E1575"/>
  <c r="E1574"/>
  <c r="E1573"/>
  <c r="E1572"/>
  <c r="E1571"/>
  <c r="E1570"/>
  <c r="E1569"/>
  <c r="E1568"/>
  <c r="E1567"/>
  <c r="E1566"/>
  <c r="E1565"/>
  <c r="E1564"/>
  <c r="E1563"/>
  <c r="E1562"/>
  <c r="E1561"/>
  <c r="E1560"/>
  <c r="E1559"/>
  <c r="E1558"/>
  <c r="E1557"/>
  <c r="E1556"/>
  <c r="E1555"/>
  <c r="E1554"/>
  <c r="E1553"/>
  <c r="E1552"/>
  <c r="E1551"/>
  <c r="E1550"/>
  <c r="E1549"/>
  <c r="E1548"/>
  <c r="E1547"/>
  <c r="E1546"/>
  <c r="E1545"/>
  <c r="E1544"/>
  <c r="E1543"/>
  <c r="E1542"/>
  <c r="E1541"/>
  <c r="E1540"/>
  <c r="E1539"/>
  <c r="E1538"/>
  <c r="E1537"/>
  <c r="E1536"/>
  <c r="E1535"/>
  <c r="E1534"/>
  <c r="E1533"/>
  <c r="E1532"/>
  <c r="E1531"/>
  <c r="E1530"/>
  <c r="E1529"/>
  <c r="E1528"/>
  <c r="E1527"/>
  <c r="E1526"/>
  <c r="E1525"/>
  <c r="E1524"/>
  <c r="E1523"/>
  <c r="E1522"/>
  <c r="E1521"/>
  <c r="E1520"/>
  <c r="E1519"/>
  <c r="E1518"/>
  <c r="E1517"/>
  <c r="E1516"/>
  <c r="E1515"/>
  <c r="E1514"/>
  <c r="E1513"/>
  <c r="E1512"/>
  <c r="E1511"/>
  <c r="E1510"/>
  <c r="E1509"/>
  <c r="E1508"/>
  <c r="E1507"/>
  <c r="E1506"/>
  <c r="E1505"/>
  <c r="E1504"/>
  <c r="E1503"/>
  <c r="E1502"/>
  <c r="E1501"/>
  <c r="E1500"/>
  <c r="E1499"/>
  <c r="E1498"/>
  <c r="E1497"/>
  <c r="E1496"/>
  <c r="E1495"/>
  <c r="E1494"/>
  <c r="E1493"/>
  <c r="E1492"/>
  <c r="E1491"/>
  <c r="E1490"/>
  <c r="E1489"/>
  <c r="E1488"/>
  <c r="E1487"/>
  <c r="E1486"/>
  <c r="E1485"/>
  <c r="E1484"/>
  <c r="E1483"/>
  <c r="E1482"/>
  <c r="E1481"/>
  <c r="E1480"/>
  <c r="E1479"/>
  <c r="E1478"/>
  <c r="E1477"/>
  <c r="E1476"/>
  <c r="E1475"/>
  <c r="E1474"/>
  <c r="E1473"/>
  <c r="E1472"/>
  <c r="E1471"/>
  <c r="E1470"/>
  <c r="E1469"/>
  <c r="E1468"/>
  <c r="E1467"/>
  <c r="E1466"/>
  <c r="E1465"/>
  <c r="E1464"/>
  <c r="E1463"/>
  <c r="E1462"/>
  <c r="E1461"/>
  <c r="E1460"/>
  <c r="E1459"/>
  <c r="E1458"/>
  <c r="E1457"/>
  <c r="E1456"/>
  <c r="E1455"/>
  <c r="E1454"/>
  <c r="E1453"/>
  <c r="E1452"/>
  <c r="E1451"/>
  <c r="E1450"/>
  <c r="E1449"/>
  <c r="E1448"/>
  <c r="E1447"/>
  <c r="E1446"/>
  <c r="E1445"/>
  <c r="E1444"/>
  <c r="E1443"/>
  <c r="E1442"/>
  <c r="E1441"/>
  <c r="E1440"/>
  <c r="E1439"/>
  <c r="E1438"/>
  <c r="E1437"/>
  <c r="E1436"/>
  <c r="E1435"/>
  <c r="E1434"/>
  <c r="E1433"/>
  <c r="E1432"/>
  <c r="E1431"/>
  <c r="E1430"/>
  <c r="E1429"/>
  <c r="E1428"/>
  <c r="E1427"/>
  <c r="E1426"/>
  <c r="E1425"/>
  <c r="E1424"/>
  <c r="E1423"/>
  <c r="E1422"/>
  <c r="E1421"/>
  <c r="E1420"/>
  <c r="E1419"/>
  <c r="E1418"/>
  <c r="E1417"/>
  <c r="E1416"/>
  <c r="E1415"/>
  <c r="E1414"/>
  <c r="E1413"/>
  <c r="E1412"/>
  <c r="E1411"/>
  <c r="E1410"/>
  <c r="E1409"/>
  <c r="E1408"/>
  <c r="E1407"/>
  <c r="E1406"/>
  <c r="E1405"/>
  <c r="E1404"/>
  <c r="E1403"/>
  <c r="E1402"/>
  <c r="E1401"/>
  <c r="E1400"/>
  <c r="E1399"/>
  <c r="E1398"/>
  <c r="E1397"/>
  <c r="E1396"/>
  <c r="E1395"/>
  <c r="E1394"/>
  <c r="E1393"/>
  <c r="E1392"/>
  <c r="E1391"/>
  <c r="E1390"/>
  <c r="E1389"/>
  <c r="E1388"/>
  <c r="E1387"/>
  <c r="E1386"/>
  <c r="E1385"/>
  <c r="E1384"/>
  <c r="E1383"/>
  <c r="E1382"/>
  <c r="E1381"/>
  <c r="E1380"/>
  <c r="E1379"/>
  <c r="E1378"/>
  <c r="E1377"/>
  <c r="E1376"/>
  <c r="E1375"/>
  <c r="E1374"/>
  <c r="E1373"/>
  <c r="E1372"/>
  <c r="E1371"/>
  <c r="E1370"/>
  <c r="E1369"/>
  <c r="E1368"/>
  <c r="E1367"/>
  <c r="E1366"/>
  <c r="E1365"/>
  <c r="E1364"/>
  <c r="E1363"/>
  <c r="E1362"/>
  <c r="E1361"/>
  <c r="E1360"/>
  <c r="E1359"/>
  <c r="E1358"/>
  <c r="E1357"/>
  <c r="E1356"/>
  <c r="E1355"/>
  <c r="E1354"/>
  <c r="E1353"/>
  <c r="E1352"/>
  <c r="E1351"/>
  <c r="E1350"/>
  <c r="E1349"/>
  <c r="E1348"/>
  <c r="E1347"/>
  <c r="E1346"/>
  <c r="E1345"/>
  <c r="E1344"/>
  <c r="E1342"/>
  <c r="E1341"/>
  <c r="E1340"/>
  <c r="E1339"/>
  <c r="E1338"/>
  <c r="E1337"/>
  <c r="E1336"/>
  <c r="E1335"/>
  <c r="E1334"/>
  <c r="E1333"/>
  <c r="E1332"/>
  <c r="E1331"/>
  <c r="E1330"/>
  <c r="E1329"/>
  <c r="E1328"/>
  <c r="E1327"/>
  <c r="E1326"/>
  <c r="E1325"/>
  <c r="E1324"/>
  <c r="E1323"/>
  <c r="E1322"/>
  <c r="E1321"/>
  <c r="E1320"/>
  <c r="E1319"/>
  <c r="E1318"/>
  <c r="E1317"/>
  <c r="E1316"/>
  <c r="E1315"/>
  <c r="E1314"/>
  <c r="E1313"/>
  <c r="E1312"/>
  <c r="E1311"/>
  <c r="E1310"/>
  <c r="E1309"/>
  <c r="E1308"/>
  <c r="E1307"/>
  <c r="E1306"/>
  <c r="E1305"/>
  <c r="E1304"/>
  <c r="E1303"/>
  <c r="E1302"/>
  <c r="E1301"/>
  <c r="E1300"/>
  <c r="E1299"/>
  <c r="E1298"/>
  <c r="E1297"/>
  <c r="E1296"/>
  <c r="E1295"/>
  <c r="E1294"/>
  <c r="E1293"/>
  <c r="E1292"/>
  <c r="E1291"/>
  <c r="E1290"/>
  <c r="E1289"/>
  <c r="E1288"/>
  <c r="E1287"/>
  <c r="E1286"/>
  <c r="E1285"/>
  <c r="E1284"/>
  <c r="E1283"/>
  <c r="E1282"/>
  <c r="E1281"/>
  <c r="E1280"/>
  <c r="E1279"/>
  <c r="E1278"/>
  <c r="E1277"/>
  <c r="E1276"/>
  <c r="E1275"/>
  <c r="E1274"/>
  <c r="E1273"/>
  <c r="E1272"/>
  <c r="E1271"/>
  <c r="E1270"/>
  <c r="E1269"/>
  <c r="E1268"/>
  <c r="E1267"/>
  <c r="E1266"/>
  <c r="E1265"/>
  <c r="E1264"/>
  <c r="E1263"/>
  <c r="E1262"/>
  <c r="E1261"/>
  <c r="E1260"/>
  <c r="E1259"/>
  <c r="E1258"/>
  <c r="E1257"/>
  <c r="E1256"/>
  <c r="E1255"/>
  <c r="E1254"/>
  <c r="E1253"/>
  <c r="E1252"/>
  <c r="E1251"/>
  <c r="E1250"/>
  <c r="E1249"/>
  <c r="E1248"/>
  <c r="E1247"/>
  <c r="E1246"/>
  <c r="E1245"/>
  <c r="E1244"/>
  <c r="E1243"/>
  <c r="E1242"/>
  <c r="E1241"/>
  <c r="E1240"/>
  <c r="E1239"/>
  <c r="E1238"/>
  <c r="E1237"/>
  <c r="E1236"/>
  <c r="E1235"/>
  <c r="E1234"/>
  <c r="E1233"/>
  <c r="E1232"/>
  <c r="E1231"/>
  <c r="E1230"/>
  <c r="E1229"/>
  <c r="E1228"/>
  <c r="E1227"/>
  <c r="E1226"/>
  <c r="E1225"/>
  <c r="E1224"/>
  <c r="E1223"/>
  <c r="E1222"/>
  <c r="E1221"/>
  <c r="E1220"/>
  <c r="E1219"/>
  <c r="E1218"/>
  <c r="E1217"/>
  <c r="E1216"/>
  <c r="E1215"/>
  <c r="E1214"/>
  <c r="E1213"/>
  <c r="E1212"/>
  <c r="E1211"/>
  <c r="E1210"/>
  <c r="E1209"/>
  <c r="E1208"/>
  <c r="E1207"/>
  <c r="E1206"/>
  <c r="E1205"/>
  <c r="E1204"/>
  <c r="E1203"/>
  <c r="E1202"/>
  <c r="E1201"/>
  <c r="E1200"/>
  <c r="E1198"/>
  <c r="E1197"/>
  <c r="E1196"/>
  <c r="E1195"/>
  <c r="E1194"/>
  <c r="E1193"/>
  <c r="E1192"/>
  <c r="E1191"/>
  <c r="E1190"/>
  <c r="E1189"/>
  <c r="E1188"/>
  <c r="E1187"/>
  <c r="E1186"/>
  <c r="E1185"/>
  <c r="E1184"/>
  <c r="E1183"/>
  <c r="E1182"/>
  <c r="E1181"/>
  <c r="E1180"/>
  <c r="E1179"/>
  <c r="E1178"/>
  <c r="E1177"/>
  <c r="E1176"/>
  <c r="E1175"/>
  <c r="E1174"/>
  <c r="E1173"/>
  <c r="E1172"/>
  <c r="E1171"/>
  <c r="E1170"/>
  <c r="E1169"/>
  <c r="E1168"/>
  <c r="E1167"/>
  <c r="E1166"/>
  <c r="E1165"/>
  <c r="E1164"/>
  <c r="E1163"/>
  <c r="E1162"/>
  <c r="E1161"/>
  <c r="E1160"/>
  <c r="E1159"/>
  <c r="E1158"/>
  <c r="E1157"/>
  <c r="E1156"/>
  <c r="E1155"/>
  <c r="E1154"/>
  <c r="E1153"/>
  <c r="E1152"/>
  <c r="E1151"/>
  <c r="E1150"/>
  <c r="E1149"/>
  <c r="E1148"/>
  <c r="E1147"/>
  <c r="E1146"/>
  <c r="E1145"/>
  <c r="E1144"/>
  <c r="E1143"/>
  <c r="E1142"/>
  <c r="E1141"/>
  <c r="E1140"/>
  <c r="E1139"/>
  <c r="E1138"/>
  <c r="E1137"/>
  <c r="E1136"/>
  <c r="E1135"/>
  <c r="E1134"/>
  <c r="E1133"/>
  <c r="E1132"/>
  <c r="E1131"/>
  <c r="E1130"/>
  <c r="E1129"/>
  <c r="E1128"/>
  <c r="E1127"/>
  <c r="E1126"/>
  <c r="E1125"/>
  <c r="E1124"/>
  <c r="E1123"/>
  <c r="E1122"/>
  <c r="E1121"/>
  <c r="E1120"/>
  <c r="E1119"/>
  <c r="E1118"/>
  <c r="E1117"/>
  <c r="E1116"/>
  <c r="E1115"/>
  <c r="E1114"/>
  <c r="E1113"/>
  <c r="E1112"/>
  <c r="E1111"/>
  <c r="E1110"/>
  <c r="E1109"/>
  <c r="E1108"/>
  <c r="E1107"/>
  <c r="E1106"/>
  <c r="E1105"/>
  <c r="E1104"/>
  <c r="E1103"/>
  <c r="E1102"/>
  <c r="E1101"/>
  <c r="E1100"/>
  <c r="E1099"/>
  <c r="E1098"/>
  <c r="E1097"/>
  <c r="E1096"/>
  <c r="E1095"/>
  <c r="E1094"/>
  <c r="E1093"/>
  <c r="E1092"/>
  <c r="E1091"/>
  <c r="E1090"/>
  <c r="E1089"/>
  <c r="E1088"/>
  <c r="E1087"/>
  <c r="E1086"/>
  <c r="E1085"/>
  <c r="E1084"/>
  <c r="E1083"/>
  <c r="E1082"/>
  <c r="E1081"/>
  <c r="E1080"/>
  <c r="E1079"/>
  <c r="E1078"/>
  <c r="E1077"/>
  <c r="E1076"/>
  <c r="E1075"/>
  <c r="E1074"/>
  <c r="E1073"/>
  <c r="E1072"/>
  <c r="E1071"/>
  <c r="E1070"/>
  <c r="E1069"/>
  <c r="E1068"/>
  <c r="E1067"/>
  <c r="E1066"/>
  <c r="E1065"/>
  <c r="E1064"/>
  <c r="E1063"/>
  <c r="E1062"/>
  <c r="E1061"/>
  <c r="E1060"/>
  <c r="E1059"/>
  <c r="E1058"/>
  <c r="E1057"/>
  <c r="E1056"/>
  <c r="E1055"/>
  <c r="E1054"/>
  <c r="E1053"/>
  <c r="E1052"/>
  <c r="E1051"/>
  <c r="E1050"/>
  <c r="E1049"/>
  <c r="E1048"/>
  <c r="E1047"/>
  <c r="E1046"/>
  <c r="E1045"/>
  <c r="E1044"/>
  <c r="E1043"/>
  <c r="E1042"/>
  <c r="E1041"/>
  <c r="E1040"/>
  <c r="E1039"/>
  <c r="E1038"/>
  <c r="E1037"/>
  <c r="E1036"/>
  <c r="E1035"/>
  <c r="E1034"/>
  <c r="E1033"/>
  <c r="E1032"/>
  <c r="E1031"/>
  <c r="E1030"/>
  <c r="E1029"/>
  <c r="E1028"/>
  <c r="E1027"/>
  <c r="E1026"/>
  <c r="E1025"/>
  <c r="E1024"/>
  <c r="E1023"/>
  <c r="E1022"/>
  <c r="E1021"/>
  <c r="E1020"/>
  <c r="E1019"/>
  <c r="E1018"/>
  <c r="E1017"/>
  <c r="E1016"/>
  <c r="E1015"/>
  <c r="E1014"/>
  <c r="E1013"/>
  <c r="E1012"/>
  <c r="E1011"/>
  <c r="E1010"/>
  <c r="E1009"/>
  <c r="E1008"/>
  <c r="E1007"/>
  <c r="E1006"/>
  <c r="E1005"/>
  <c r="E1004"/>
  <c r="E1003"/>
  <c r="E1002"/>
  <c r="E1001"/>
  <c r="E1000"/>
  <c r="E999"/>
  <c r="E998"/>
  <c r="E997"/>
  <c r="E996"/>
  <c r="E995"/>
  <c r="E994"/>
  <c r="E993"/>
  <c r="E992"/>
  <c r="E991"/>
  <c r="E990"/>
  <c r="E989"/>
  <c r="E988"/>
  <c r="E987"/>
  <c r="E986"/>
  <c r="E985"/>
  <c r="E984"/>
  <c r="E983"/>
  <c r="E982"/>
  <c r="E981"/>
  <c r="E980"/>
  <c r="E979"/>
  <c r="E978"/>
  <c r="E977"/>
  <c r="E976"/>
  <c r="E975"/>
  <c r="E974"/>
  <c r="E973"/>
  <c r="E972"/>
  <c r="E971"/>
  <c r="E970"/>
  <c r="E969"/>
  <c r="E968"/>
  <c r="E967"/>
  <c r="E966"/>
  <c r="E965"/>
  <c r="E964"/>
  <c r="E963"/>
  <c r="E962"/>
  <c r="E961"/>
  <c r="E960"/>
  <c r="E959"/>
  <c r="E958"/>
  <c r="E957"/>
  <c r="E956"/>
  <c r="E955"/>
  <c r="E954"/>
  <c r="E953"/>
  <c r="E952"/>
  <c r="E951"/>
  <c r="E950"/>
  <c r="E949"/>
  <c r="E948"/>
  <c r="E947"/>
  <c r="E946"/>
  <c r="E945"/>
  <c r="E944"/>
  <c r="E943"/>
  <c r="E942"/>
  <c r="E941"/>
  <c r="E940"/>
  <c r="E939"/>
  <c r="E938"/>
  <c r="E937"/>
  <c r="E936"/>
  <c r="E935"/>
  <c r="E934"/>
  <c r="E933"/>
  <c r="E932"/>
  <c r="E931"/>
  <c r="E930"/>
  <c r="E929"/>
  <c r="E928"/>
  <c r="E927"/>
  <c r="E926"/>
  <c r="E925"/>
  <c r="E924"/>
  <c r="E923"/>
  <c r="E922"/>
  <c r="E921"/>
  <c r="E920"/>
  <c r="E919"/>
  <c r="E918"/>
  <c r="E917"/>
  <c r="E916"/>
  <c r="E915"/>
  <c r="E914"/>
  <c r="E913"/>
  <c r="E912"/>
  <c r="E911"/>
  <c r="E910"/>
  <c r="E909"/>
  <c r="E908"/>
  <c r="E907"/>
  <c r="E906"/>
  <c r="E905"/>
  <c r="E904"/>
  <c r="E903"/>
  <c r="E902"/>
  <c r="E901"/>
  <c r="E900"/>
  <c r="E899"/>
  <c r="E898"/>
  <c r="E897"/>
  <c r="E896"/>
  <c r="E895"/>
  <c r="E894"/>
  <c r="E893"/>
  <c r="E892"/>
  <c r="E891"/>
  <c r="E890"/>
  <c r="E889"/>
  <c r="E888"/>
  <c r="E887"/>
  <c r="E886"/>
  <c r="E885"/>
  <c r="E884"/>
  <c r="E883"/>
  <c r="E882"/>
  <c r="E880"/>
  <c r="E879"/>
  <c r="E878"/>
  <c r="E877"/>
  <c r="E876"/>
  <c r="E875"/>
  <c r="E874"/>
  <c r="E873"/>
  <c r="E872"/>
  <c r="E871"/>
  <c r="E870"/>
  <c r="E869"/>
  <c r="E868"/>
  <c r="E867"/>
  <c r="E866"/>
  <c r="E865"/>
  <c r="E864"/>
  <c r="E863"/>
  <c r="E862"/>
  <c r="E861"/>
  <c r="E860"/>
  <c r="E859"/>
  <c r="E858"/>
  <c r="E857"/>
  <c r="E856"/>
  <c r="E855"/>
  <c r="E854"/>
  <c r="E853"/>
  <c r="E852"/>
  <c r="E851"/>
  <c r="E850"/>
  <c r="E849"/>
  <c r="E848"/>
  <c r="E847"/>
  <c r="E846"/>
  <c r="E845"/>
  <c r="E844"/>
  <c r="E843"/>
  <c r="E842"/>
  <c r="E841"/>
  <c r="E840"/>
  <c r="E839"/>
  <c r="E838"/>
  <c r="E837"/>
  <c r="E836"/>
  <c r="E835"/>
  <c r="E834"/>
  <c r="E833"/>
  <c r="E832"/>
  <c r="E831"/>
  <c r="E830"/>
  <c r="E829"/>
  <c r="E828"/>
  <c r="E827"/>
  <c r="E826"/>
  <c r="E825"/>
  <c r="E824"/>
  <c r="E823"/>
  <c r="E822"/>
  <c r="E821"/>
  <c r="E820"/>
  <c r="E819"/>
  <c r="E818"/>
  <c r="E817"/>
  <c r="E816"/>
  <c r="E815"/>
  <c r="E814"/>
  <c r="E813"/>
  <c r="E812"/>
  <c r="E811"/>
  <c r="E810"/>
  <c r="E808"/>
  <c r="E807"/>
  <c r="E806"/>
  <c r="E805"/>
  <c r="E804"/>
  <c r="E803"/>
  <c r="E802"/>
  <c r="E801"/>
  <c r="E800"/>
  <c r="E799"/>
  <c r="E798"/>
  <c r="E797"/>
  <c r="E796"/>
  <c r="E795"/>
  <c r="E794"/>
  <c r="E793"/>
  <c r="E792"/>
  <c r="E791"/>
  <c r="E790"/>
  <c r="E789"/>
  <c r="E788"/>
  <c r="E787"/>
  <c r="E786"/>
  <c r="E785"/>
  <c r="E784"/>
  <c r="E783"/>
  <c r="E782"/>
  <c r="E781"/>
  <c r="E780"/>
  <c r="E779"/>
  <c r="E778"/>
  <c r="E777"/>
  <c r="E776"/>
  <c r="E775"/>
  <c r="E774"/>
  <c r="E773"/>
  <c r="E772"/>
  <c r="E771"/>
  <c r="E770"/>
  <c r="E769"/>
  <c r="E768"/>
  <c r="E767"/>
  <c r="E766"/>
  <c r="E765"/>
  <c r="E764"/>
  <c r="E763"/>
  <c r="E762"/>
  <c r="E761"/>
  <c r="E760"/>
  <c r="E759"/>
  <c r="E758"/>
  <c r="E757"/>
  <c r="E756"/>
  <c r="E755"/>
  <c r="E754"/>
  <c r="E753"/>
  <c r="E752"/>
  <c r="E751"/>
  <c r="E750"/>
  <c r="E749"/>
  <c r="E748"/>
  <c r="E747"/>
  <c r="E746"/>
  <c r="E745"/>
  <c r="E744"/>
  <c r="E743"/>
  <c r="E742"/>
  <c r="E741"/>
  <c r="E740"/>
  <c r="E739"/>
  <c r="E738"/>
  <c r="E737"/>
  <c r="E736"/>
  <c r="E735"/>
  <c r="E734"/>
  <c r="E733"/>
  <c r="E732"/>
  <c r="E731"/>
  <c r="E730"/>
  <c r="E729"/>
  <c r="E728"/>
  <c r="E727"/>
  <c r="E726"/>
  <c r="E725"/>
  <c r="E724"/>
  <c r="E723"/>
  <c r="E722"/>
  <c r="E721"/>
  <c r="E720"/>
  <c r="E719"/>
  <c r="E718"/>
  <c r="E717"/>
  <c r="E716"/>
  <c r="E715"/>
  <c r="E714"/>
  <c r="E713"/>
  <c r="E712"/>
  <c r="E711"/>
  <c r="E710"/>
  <c r="E709"/>
  <c r="E708"/>
  <c r="E707"/>
  <c r="E706"/>
  <c r="E705"/>
  <c r="E704"/>
  <c r="E703"/>
  <c r="E702"/>
  <c r="E701"/>
  <c r="E700"/>
  <c r="E699"/>
  <c r="E698"/>
  <c r="E697"/>
  <c r="E696"/>
  <c r="E695"/>
  <c r="E694"/>
  <c r="E693"/>
  <c r="E692"/>
  <c r="E691"/>
  <c r="E690"/>
  <c r="E689"/>
  <c r="E688"/>
  <c r="E687"/>
  <c r="E686"/>
  <c r="E685"/>
  <c r="E684"/>
  <c r="E683"/>
  <c r="E682"/>
  <c r="E681"/>
  <c r="E680"/>
  <c r="E679"/>
  <c r="E678"/>
  <c r="E677"/>
  <c r="E676"/>
  <c r="E675"/>
  <c r="E674"/>
  <c r="E673"/>
  <c r="E672"/>
  <c r="E671"/>
  <c r="E670"/>
  <c r="E669"/>
  <c r="E668"/>
  <c r="E667"/>
  <c r="E666"/>
  <c r="E664"/>
  <c r="E663"/>
  <c r="E662"/>
  <c r="E661"/>
  <c r="E660"/>
  <c r="E659"/>
  <c r="E658"/>
  <c r="E657"/>
  <c r="E656"/>
  <c r="E655"/>
  <c r="E654"/>
  <c r="E653"/>
  <c r="E652"/>
  <c r="E651"/>
  <c r="E650"/>
  <c r="E649"/>
  <c r="E648"/>
  <c r="E647"/>
  <c r="E646"/>
  <c r="E645"/>
  <c r="E644"/>
  <c r="E643"/>
  <c r="E642"/>
  <c r="E641"/>
  <c r="E640"/>
  <c r="E639"/>
  <c r="E638"/>
  <c r="E637"/>
  <c r="E636"/>
  <c r="E635"/>
  <c r="E634"/>
  <c r="E633"/>
  <c r="E632"/>
  <c r="E631"/>
  <c r="E630"/>
  <c r="E629"/>
  <c r="E628"/>
  <c r="E627"/>
  <c r="E626"/>
  <c r="E625"/>
  <c r="E624"/>
  <c r="E622"/>
  <c r="E621"/>
  <c r="E620"/>
  <c r="E619"/>
  <c r="E618"/>
  <c r="E617"/>
  <c r="E616"/>
  <c r="E615"/>
  <c r="E614"/>
  <c r="E613"/>
  <c r="E612"/>
  <c r="E611"/>
  <c r="E610"/>
  <c r="E609"/>
  <c r="E608"/>
  <c r="E607"/>
  <c r="E606"/>
  <c r="E605"/>
  <c r="E604"/>
  <c r="E603"/>
  <c r="E602"/>
  <c r="E601"/>
  <c r="E600"/>
  <c r="E599"/>
  <c r="E598"/>
  <c r="E597"/>
  <c r="E596"/>
  <c r="E595"/>
  <c r="E594"/>
  <c r="E593"/>
  <c r="E592"/>
  <c r="E591"/>
  <c r="E590"/>
  <c r="E589"/>
  <c r="E588"/>
  <c r="E587"/>
  <c r="E586"/>
  <c r="E585"/>
  <c r="E584"/>
  <c r="E583"/>
  <c r="E582"/>
  <c r="E581"/>
  <c r="E580"/>
  <c r="E579"/>
  <c r="E578"/>
  <c r="E577"/>
  <c r="E576"/>
  <c r="E575"/>
  <c r="E574"/>
  <c r="E573"/>
  <c r="E572"/>
  <c r="E571"/>
  <c r="E570"/>
  <c r="E569"/>
  <c r="E568"/>
  <c r="E567"/>
  <c r="E566"/>
  <c r="E565"/>
  <c r="E564"/>
  <c r="E563"/>
  <c r="E562"/>
  <c r="E561"/>
  <c r="E560"/>
  <c r="E559"/>
  <c r="E558"/>
  <c r="E557"/>
  <c r="E556"/>
  <c r="E555"/>
  <c r="E554"/>
  <c r="E553"/>
  <c r="E552"/>
  <c r="E550"/>
  <c r="E549"/>
  <c r="E548"/>
  <c r="E547"/>
  <c r="E546"/>
  <c r="E545"/>
  <c r="E544"/>
  <c r="E543"/>
  <c r="E542"/>
  <c r="E541"/>
  <c r="E540"/>
  <c r="E539"/>
  <c r="E538"/>
  <c r="E537"/>
  <c r="E536"/>
  <c r="E535"/>
  <c r="E534"/>
  <c r="E533"/>
  <c r="E532"/>
  <c r="E531"/>
  <c r="E530"/>
  <c r="E529"/>
  <c r="E528"/>
  <c r="E527"/>
  <c r="E526"/>
  <c r="E525"/>
  <c r="E524"/>
  <c r="E523"/>
  <c r="E522"/>
  <c r="E520"/>
  <c r="E519"/>
  <c r="E518"/>
  <c r="E517"/>
  <c r="E516"/>
  <c r="E515"/>
  <c r="E514"/>
  <c r="E513"/>
  <c r="E512"/>
  <c r="E511"/>
  <c r="E510"/>
  <c r="E509"/>
  <c r="E508"/>
  <c r="E507"/>
  <c r="E506"/>
  <c r="E505"/>
  <c r="E504"/>
  <c r="E503"/>
  <c r="E502"/>
  <c r="E501"/>
  <c r="E500"/>
  <c r="E499"/>
  <c r="E498"/>
  <c r="E497"/>
  <c r="E496"/>
  <c r="E495"/>
  <c r="E494"/>
  <c r="E493"/>
  <c r="E492"/>
  <c r="E491"/>
  <c r="E490"/>
  <c r="E489"/>
  <c r="E488"/>
  <c r="E487"/>
  <c r="E486"/>
  <c r="E485"/>
  <c r="E484"/>
  <c r="E483"/>
  <c r="E482"/>
  <c r="E481"/>
  <c r="E480"/>
  <c r="E479"/>
  <c r="E478"/>
  <c r="E477"/>
  <c r="E476"/>
  <c r="E475"/>
  <c r="E474"/>
  <c r="E473"/>
  <c r="E472"/>
  <c r="E471"/>
  <c r="E470"/>
  <c r="E469"/>
  <c r="E468"/>
  <c r="E467"/>
  <c r="E466"/>
  <c r="E465"/>
  <c r="E464"/>
  <c r="E463"/>
  <c r="E462"/>
  <c r="E461"/>
  <c r="E460"/>
  <c r="E459"/>
  <c r="E458"/>
  <c r="E457"/>
  <c r="E456"/>
  <c r="E455"/>
  <c r="E454"/>
  <c r="E453"/>
  <c r="E452"/>
  <c r="E451"/>
  <c r="E450"/>
  <c r="E449"/>
  <c r="E448"/>
  <c r="E447"/>
  <c r="E446"/>
  <c r="E445"/>
  <c r="E444"/>
  <c r="E443"/>
  <c r="E442"/>
  <c r="E441"/>
  <c r="E440"/>
  <c r="E439"/>
  <c r="E438"/>
  <c r="E437"/>
  <c r="E436"/>
  <c r="E435"/>
  <c r="E434"/>
  <c r="E433"/>
  <c r="E432"/>
  <c r="E431"/>
  <c r="E430"/>
  <c r="E429"/>
  <c r="E428"/>
  <c r="E427"/>
  <c r="E426"/>
  <c r="E425"/>
  <c r="E424"/>
  <c r="E423"/>
  <c r="E422"/>
  <c r="E421"/>
  <c r="E420"/>
  <c r="E419"/>
  <c r="E418"/>
  <c r="E417"/>
  <c r="E416"/>
  <c r="E415"/>
  <c r="E414"/>
  <c r="E413"/>
  <c r="E412"/>
  <c r="E411"/>
  <c r="E410"/>
  <c r="E409"/>
  <c r="E408"/>
  <c r="E407"/>
  <c r="E406"/>
  <c r="E405"/>
  <c r="E404"/>
  <c r="E403"/>
  <c r="E402"/>
  <c r="E401"/>
  <c r="E400"/>
  <c r="E399"/>
  <c r="E398"/>
  <c r="E397"/>
  <c r="E396"/>
  <c r="E395"/>
  <c r="E394"/>
  <c r="E393"/>
  <c r="E392"/>
  <c r="E391"/>
  <c r="E390"/>
  <c r="E389"/>
  <c r="E388"/>
  <c r="E387"/>
  <c r="E386"/>
  <c r="E385"/>
  <c r="E384"/>
  <c r="E383"/>
  <c r="E382"/>
  <c r="E381"/>
  <c r="E380"/>
  <c r="E379"/>
  <c r="E378"/>
  <c r="E376"/>
  <c r="E375"/>
  <c r="E374"/>
  <c r="E373"/>
  <c r="E372"/>
  <c r="E371"/>
  <c r="E370"/>
  <c r="E369"/>
  <c r="E368"/>
  <c r="E367"/>
  <c r="E366"/>
  <c r="E365"/>
  <c r="E364"/>
  <c r="E363"/>
  <c r="E362"/>
  <c r="E361"/>
  <c r="E360"/>
  <c r="E359"/>
  <c r="E358"/>
  <c r="E357"/>
  <c r="E356"/>
  <c r="E355"/>
  <c r="E354"/>
  <c r="E353"/>
  <c r="E352"/>
  <c r="E351"/>
  <c r="E350"/>
  <c r="E349"/>
  <c r="E348"/>
  <c r="E347"/>
  <c r="E346"/>
  <c r="E345"/>
  <c r="E344"/>
  <c r="E343"/>
  <c r="E342"/>
  <c r="E341"/>
  <c r="E340"/>
  <c r="E339"/>
  <c r="E338"/>
  <c r="E337"/>
  <c r="E336"/>
  <c r="E335"/>
  <c r="E334"/>
  <c r="E333"/>
  <c r="E332"/>
  <c r="E331"/>
  <c r="E330"/>
  <c r="E329"/>
  <c r="E328"/>
  <c r="E327"/>
  <c r="E326"/>
  <c r="E325"/>
  <c r="E324"/>
  <c r="E323"/>
  <c r="E322"/>
  <c r="E321"/>
  <c r="E320"/>
  <c r="E319"/>
  <c r="E318"/>
  <c r="E317"/>
  <c r="E316"/>
  <c r="E315"/>
  <c r="E314"/>
  <c r="E313"/>
  <c r="E312"/>
  <c r="E311"/>
  <c r="E310"/>
  <c r="E309"/>
  <c r="E308"/>
  <c r="E307"/>
  <c r="E306"/>
  <c r="E305"/>
  <c r="E304"/>
  <c r="E303"/>
  <c r="E302"/>
  <c r="E301"/>
  <c r="E300"/>
  <c r="E299"/>
  <c r="E298"/>
  <c r="E297"/>
  <c r="E296"/>
  <c r="E295"/>
  <c r="E294"/>
  <c r="E293"/>
  <c r="E292"/>
  <c r="E291"/>
  <c r="E290"/>
  <c r="E289"/>
  <c r="E288"/>
  <c r="E287"/>
  <c r="E286"/>
  <c r="E285"/>
  <c r="E284"/>
  <c r="E283"/>
  <c r="E282"/>
  <c r="E281"/>
  <c r="E280"/>
  <c r="E279"/>
  <c r="E278"/>
  <c r="E277"/>
  <c r="E276"/>
  <c r="E275"/>
  <c r="E274"/>
  <c r="E273"/>
  <c r="E272"/>
  <c r="E271"/>
  <c r="E270"/>
  <c r="E269"/>
  <c r="E268"/>
  <c r="E267"/>
  <c r="E266"/>
  <c r="E265"/>
  <c r="E264"/>
  <c r="E263"/>
  <c r="E262"/>
  <c r="E261"/>
  <c r="E260"/>
  <c r="E259"/>
  <c r="E258"/>
  <c r="E257"/>
  <c r="E256"/>
  <c r="E255"/>
  <c r="E254"/>
  <c r="E253"/>
  <c r="E252"/>
  <c r="E251"/>
  <c r="E250"/>
  <c r="E249"/>
  <c r="E248"/>
  <c r="E247"/>
  <c r="E246"/>
  <c r="E245"/>
  <c r="E244"/>
  <c r="E243"/>
  <c r="E242"/>
  <c r="E241"/>
  <c r="E240"/>
  <c r="E239"/>
  <c r="E238"/>
  <c r="E237"/>
  <c r="E236"/>
  <c r="E235"/>
  <c r="E234"/>
  <c r="E233"/>
  <c r="E232"/>
  <c r="E231"/>
  <c r="E230"/>
  <c r="E229"/>
  <c r="E228"/>
  <c r="E227"/>
  <c r="E226"/>
  <c r="E225"/>
  <c r="E224"/>
  <c r="E223"/>
  <c r="E222"/>
  <c r="E221"/>
  <c r="E220"/>
  <c r="E219"/>
  <c r="E218"/>
  <c r="E217"/>
  <c r="E216"/>
  <c r="E215"/>
  <c r="E214"/>
  <c r="E213"/>
  <c r="E212"/>
  <c r="E211"/>
  <c r="E210"/>
  <c r="E209"/>
  <c r="E208"/>
  <c r="E207"/>
  <c r="E206"/>
  <c r="E205"/>
  <c r="E204"/>
  <c r="E203"/>
  <c r="E202"/>
  <c r="E201"/>
  <c r="E200"/>
  <c r="E199"/>
  <c r="E198"/>
  <c r="E197"/>
  <c r="E196"/>
  <c r="E195"/>
  <c r="E194"/>
  <c r="E193"/>
  <c r="E192"/>
  <c r="E191"/>
  <c r="E190"/>
  <c r="E189"/>
  <c r="E188"/>
  <c r="E187"/>
  <c r="E186"/>
  <c r="E185"/>
  <c r="E184"/>
  <c r="E183"/>
  <c r="E182"/>
  <c r="E181"/>
  <c r="E180"/>
  <c r="E179"/>
  <c r="E178"/>
  <c r="E177"/>
  <c r="E176"/>
  <c r="E175"/>
  <c r="E174"/>
  <c r="E173"/>
  <c r="E172"/>
  <c r="E171"/>
  <c r="E170"/>
  <c r="E169"/>
  <c r="E168"/>
  <c r="E167"/>
  <c r="E166"/>
  <c r="E165"/>
  <c r="E164"/>
  <c r="E163"/>
  <c r="E162"/>
  <c r="E160"/>
  <c r="E159"/>
  <c r="E158"/>
  <c r="E157"/>
  <c r="E156"/>
  <c r="E155"/>
  <c r="E154"/>
  <c r="E153"/>
  <c r="E152"/>
  <c r="E151"/>
  <c r="E150"/>
  <c r="E149"/>
  <c r="E148"/>
  <c r="E147"/>
  <c r="E146"/>
  <c r="E145"/>
  <c r="E144"/>
  <c r="E143"/>
  <c r="E142"/>
  <c r="E141"/>
  <c r="E140"/>
  <c r="E139"/>
  <c r="E138"/>
  <c r="E137"/>
  <c r="E136"/>
  <c r="E135"/>
  <c r="E134"/>
  <c r="E133"/>
  <c r="E132"/>
  <c r="E131"/>
  <c r="E130"/>
  <c r="E129"/>
  <c r="E128"/>
  <c r="E127"/>
  <c r="E126"/>
  <c r="E125"/>
  <c r="E124"/>
  <c r="E123"/>
  <c r="E122"/>
  <c r="E121"/>
  <c r="E118"/>
  <c r="E117"/>
  <c r="E116"/>
  <c r="E115"/>
  <c r="E114"/>
  <c r="E113"/>
  <c r="E112"/>
  <c r="E111"/>
  <c r="E110"/>
  <c r="E109"/>
  <c r="E108"/>
  <c r="E107"/>
  <c r="E106"/>
  <c r="E105"/>
  <c r="E104"/>
  <c r="E103"/>
  <c r="E102"/>
  <c r="E101"/>
  <c r="E100"/>
  <c r="E99"/>
  <c r="E98"/>
  <c r="E97"/>
  <c r="E96"/>
  <c r="E95"/>
  <c r="E94"/>
  <c r="E93"/>
  <c r="E92"/>
  <c r="E91"/>
  <c r="E90"/>
  <c r="E89"/>
  <c r="E88"/>
  <c r="E87"/>
  <c r="E86"/>
  <c r="E85"/>
  <c r="E84"/>
  <c r="E83"/>
  <c r="E82"/>
  <c r="E81"/>
  <c r="E80"/>
  <c r="E79"/>
  <c r="E78"/>
  <c r="E77"/>
  <c r="E76"/>
  <c r="E75"/>
  <c r="E74"/>
  <c r="E73"/>
  <c r="E72"/>
  <c r="E71"/>
  <c r="E70"/>
  <c r="E69"/>
  <c r="E68"/>
  <c r="E67"/>
  <c r="E66"/>
  <c r="E65"/>
  <c r="E64"/>
  <c r="E63"/>
  <c r="E62"/>
  <c r="E61"/>
  <c r="E60"/>
  <c r="E59"/>
  <c r="E58"/>
  <c r="E57"/>
  <c r="E56"/>
  <c r="E55"/>
  <c r="E54"/>
  <c r="E53"/>
  <c r="E52"/>
  <c r="E51"/>
  <c r="E50"/>
  <c r="E49"/>
  <c r="E48"/>
  <c r="E46"/>
  <c r="E45"/>
  <c r="E44"/>
  <c r="E43"/>
  <c r="E42"/>
  <c r="E41"/>
  <c r="E40"/>
  <c r="E39"/>
  <c r="E38"/>
  <c r="E37"/>
  <c r="E36"/>
  <c r="E35"/>
  <c r="E34"/>
  <c r="E33"/>
  <c r="E32"/>
  <c r="E31"/>
  <c r="E30"/>
  <c r="E29"/>
  <c r="E28"/>
  <c r="E27"/>
  <c r="E26"/>
  <c r="E25"/>
  <c r="E24"/>
  <c r="E23"/>
  <c r="E22"/>
  <c r="E21"/>
  <c r="E20"/>
  <c r="E19"/>
  <c r="E18"/>
  <c r="E16"/>
  <c r="E15"/>
  <c r="E14"/>
  <c r="E13"/>
  <c r="E12"/>
  <c r="E11"/>
  <c r="E10"/>
  <c r="E9"/>
  <c r="E8"/>
  <c r="E7"/>
  <c r="E6"/>
  <c r="E5"/>
  <c r="E4"/>
  <c r="E3"/>
  <c r="E2"/>
  <c r="K1137" i="8"/>
  <c r="J1137" s="1"/>
  <c r="G1137"/>
  <c r="L1137" s="1"/>
  <c r="E1137"/>
  <c r="K1136"/>
  <c r="I1136"/>
  <c r="G1136"/>
  <c r="L1136" s="1"/>
  <c r="J1136" s="1"/>
  <c r="E1136"/>
  <c r="K1135"/>
  <c r="I1135"/>
  <c r="G1135"/>
  <c r="L1135" s="1"/>
  <c r="J1135" s="1"/>
  <c r="E1135"/>
  <c r="L1134"/>
  <c r="K1134"/>
  <c r="J1134" s="1"/>
  <c r="I1134"/>
  <c r="G1134"/>
  <c r="E1134"/>
  <c r="L1133"/>
  <c r="K1133"/>
  <c r="G1133"/>
  <c r="I1133" s="1"/>
  <c r="E1133"/>
  <c r="K1132"/>
  <c r="I1132"/>
  <c r="G1132"/>
  <c r="L1132" s="1"/>
  <c r="J1132" s="1"/>
  <c r="E1132"/>
  <c r="K1131"/>
  <c r="G1131"/>
  <c r="L1131" s="1"/>
  <c r="J1131" s="1"/>
  <c r="E1131"/>
  <c r="L1130"/>
  <c r="K1130"/>
  <c r="I1130"/>
  <c r="G1130"/>
  <c r="E1130"/>
  <c r="K1129"/>
  <c r="G1129"/>
  <c r="I1129" s="1"/>
  <c r="E1129"/>
  <c r="K1128"/>
  <c r="J1128"/>
  <c r="I1128"/>
  <c r="G1128"/>
  <c r="L1128" s="1"/>
  <c r="E1128"/>
  <c r="K1127"/>
  <c r="I1127"/>
  <c r="G1127"/>
  <c r="L1127" s="1"/>
  <c r="J1127" s="1"/>
  <c r="E1127"/>
  <c r="L1126"/>
  <c r="K1126"/>
  <c r="I1126"/>
  <c r="G1126"/>
  <c r="E1126"/>
  <c r="K1125"/>
  <c r="G1125"/>
  <c r="I1125" s="1"/>
  <c r="E1125"/>
  <c r="K1124"/>
  <c r="J1124"/>
  <c r="I1124"/>
  <c r="G1124"/>
  <c r="L1124" s="1"/>
  <c r="E1124"/>
  <c r="K1123"/>
  <c r="J1123" s="1"/>
  <c r="I1123"/>
  <c r="G1123"/>
  <c r="L1123" s="1"/>
  <c r="E1123"/>
  <c r="K1122"/>
  <c r="G1122"/>
  <c r="I1122" s="1"/>
  <c r="E1122"/>
  <c r="K1121"/>
  <c r="I1121"/>
  <c r="G1121"/>
  <c r="L1121" s="1"/>
  <c r="E1121"/>
  <c r="K1120"/>
  <c r="G1120"/>
  <c r="L1120" s="1"/>
  <c r="J1120" s="1"/>
  <c r="E1120"/>
  <c r="K1119"/>
  <c r="I1119"/>
  <c r="G1119"/>
  <c r="L1119" s="1"/>
  <c r="E1119"/>
  <c r="K1118"/>
  <c r="G1118"/>
  <c r="I1118" s="1"/>
  <c r="E1118"/>
  <c r="K1117"/>
  <c r="J1117" s="1"/>
  <c r="I1117"/>
  <c r="G1117"/>
  <c r="L1117" s="1"/>
  <c r="E1117"/>
  <c r="K1116"/>
  <c r="G1116"/>
  <c r="L1116" s="1"/>
  <c r="J1116" s="1"/>
  <c r="E1116"/>
  <c r="K1115"/>
  <c r="J1115" s="1"/>
  <c r="I1115"/>
  <c r="G1115"/>
  <c r="L1115" s="1"/>
  <c r="E1115"/>
  <c r="K1114"/>
  <c r="G1114"/>
  <c r="I1114" s="1"/>
  <c r="E1114"/>
  <c r="K1113"/>
  <c r="I1113"/>
  <c r="G1113"/>
  <c r="L1113" s="1"/>
  <c r="E1113"/>
  <c r="K1112"/>
  <c r="G1112"/>
  <c r="L1112" s="1"/>
  <c r="J1112" s="1"/>
  <c r="E1112"/>
  <c r="K1111"/>
  <c r="I1111"/>
  <c r="G1111"/>
  <c r="L1111" s="1"/>
  <c r="E1111"/>
  <c r="K1110"/>
  <c r="G1110"/>
  <c r="I1110" s="1"/>
  <c r="E1110"/>
  <c r="K1109"/>
  <c r="J1109" s="1"/>
  <c r="I1109"/>
  <c r="G1109"/>
  <c r="L1109" s="1"/>
  <c r="E1109"/>
  <c r="K1108"/>
  <c r="G1108"/>
  <c r="L1108" s="1"/>
  <c r="J1108" s="1"/>
  <c r="E1108"/>
  <c r="K1107"/>
  <c r="J1107" s="1"/>
  <c r="I1107"/>
  <c r="G1107"/>
  <c r="L1107" s="1"/>
  <c r="E1107"/>
  <c r="K1106"/>
  <c r="G1106"/>
  <c r="I1106" s="1"/>
  <c r="E1106"/>
  <c r="K1105"/>
  <c r="I1105"/>
  <c r="G1105"/>
  <c r="L1105" s="1"/>
  <c r="E1105"/>
  <c r="K1104"/>
  <c r="G1104"/>
  <c r="L1104" s="1"/>
  <c r="J1104" s="1"/>
  <c r="E1104"/>
  <c r="K1103"/>
  <c r="I1103"/>
  <c r="G1103"/>
  <c r="L1103" s="1"/>
  <c r="E1103"/>
  <c r="K1102"/>
  <c r="G1102"/>
  <c r="I1102" s="1"/>
  <c r="E1102"/>
  <c r="K1101"/>
  <c r="J1101" s="1"/>
  <c r="I1101"/>
  <c r="G1101"/>
  <c r="L1101" s="1"/>
  <c r="E1101"/>
  <c r="K1100"/>
  <c r="G1100"/>
  <c r="L1100" s="1"/>
  <c r="J1100" s="1"/>
  <c r="E1100"/>
  <c r="K1099"/>
  <c r="J1099" s="1"/>
  <c r="I1099"/>
  <c r="G1099"/>
  <c r="L1099" s="1"/>
  <c r="E1099"/>
  <c r="K1098"/>
  <c r="G1098"/>
  <c r="I1098" s="1"/>
  <c r="E1098"/>
  <c r="K1097"/>
  <c r="I1097"/>
  <c r="G1097"/>
  <c r="L1097" s="1"/>
  <c r="E1097"/>
  <c r="K1096"/>
  <c r="G1096"/>
  <c r="L1096" s="1"/>
  <c r="J1096" s="1"/>
  <c r="E1096"/>
  <c r="K1095"/>
  <c r="I1095"/>
  <c r="G1095"/>
  <c r="L1095" s="1"/>
  <c r="E1095"/>
  <c r="K1094"/>
  <c r="G1094"/>
  <c r="I1094" s="1"/>
  <c r="E1094"/>
  <c r="K1093"/>
  <c r="J1093" s="1"/>
  <c r="I1093"/>
  <c r="G1093"/>
  <c r="L1093" s="1"/>
  <c r="E1093"/>
  <c r="K1092"/>
  <c r="G1092"/>
  <c r="L1092" s="1"/>
  <c r="J1092" s="1"/>
  <c r="E1092"/>
  <c r="K1091"/>
  <c r="J1091" s="1"/>
  <c r="I1091"/>
  <c r="G1091"/>
  <c r="L1091" s="1"/>
  <c r="E1091"/>
  <c r="K1090"/>
  <c r="G1090"/>
  <c r="I1090" s="1"/>
  <c r="E1090"/>
  <c r="K1089"/>
  <c r="G1089"/>
  <c r="L1089" s="1"/>
  <c r="E1089"/>
  <c r="K1088"/>
  <c r="G1088"/>
  <c r="L1088" s="1"/>
  <c r="J1088" s="1"/>
  <c r="E1088"/>
  <c r="K1087"/>
  <c r="I1087"/>
  <c r="G1087"/>
  <c r="L1087" s="1"/>
  <c r="J1087" s="1"/>
  <c r="E1087"/>
  <c r="K1086"/>
  <c r="G1086"/>
  <c r="I1086" s="1"/>
  <c r="E1086"/>
  <c r="K1085"/>
  <c r="J1085" s="1"/>
  <c r="G1085"/>
  <c r="L1085" s="1"/>
  <c r="E1085"/>
  <c r="K1084"/>
  <c r="G1084"/>
  <c r="L1084" s="1"/>
  <c r="J1084" s="1"/>
  <c r="E1084"/>
  <c r="K1083"/>
  <c r="I1083"/>
  <c r="G1083"/>
  <c r="L1083" s="1"/>
  <c r="J1083" s="1"/>
  <c r="E1083"/>
  <c r="K1082"/>
  <c r="G1082"/>
  <c r="I1082" s="1"/>
  <c r="E1082"/>
  <c r="K1081"/>
  <c r="J1081" s="1"/>
  <c r="G1081"/>
  <c r="L1081" s="1"/>
  <c r="E1081"/>
  <c r="K1080"/>
  <c r="G1080"/>
  <c r="L1080" s="1"/>
  <c r="J1080" s="1"/>
  <c r="E1080"/>
  <c r="K1079"/>
  <c r="I1079"/>
  <c r="G1079"/>
  <c r="L1079" s="1"/>
  <c r="J1079" s="1"/>
  <c r="E1079"/>
  <c r="K1078"/>
  <c r="G1078"/>
  <c r="I1078" s="1"/>
  <c r="E1078"/>
  <c r="K1077"/>
  <c r="G1077"/>
  <c r="L1077" s="1"/>
  <c r="E1077"/>
  <c r="K1076"/>
  <c r="G1076"/>
  <c r="L1076" s="1"/>
  <c r="J1076" s="1"/>
  <c r="E1076"/>
  <c r="K1075"/>
  <c r="I1075"/>
  <c r="G1075"/>
  <c r="L1075" s="1"/>
  <c r="J1075" s="1"/>
  <c r="E1075"/>
  <c r="K1074"/>
  <c r="G1074"/>
  <c r="I1074" s="1"/>
  <c r="E1074"/>
  <c r="K1073"/>
  <c r="G1073"/>
  <c r="L1073" s="1"/>
  <c r="E1073"/>
  <c r="K1072"/>
  <c r="G1072"/>
  <c r="L1072" s="1"/>
  <c r="J1072" s="1"/>
  <c r="E1072"/>
  <c r="K1071"/>
  <c r="I1071"/>
  <c r="G1071"/>
  <c r="L1071" s="1"/>
  <c r="J1071" s="1"/>
  <c r="E1071"/>
  <c r="K1070"/>
  <c r="G1070"/>
  <c r="I1070" s="1"/>
  <c r="E1070"/>
  <c r="K1069"/>
  <c r="J1069" s="1"/>
  <c r="G1069"/>
  <c r="L1069" s="1"/>
  <c r="E1069"/>
  <c r="K1068"/>
  <c r="G1068"/>
  <c r="L1068" s="1"/>
  <c r="J1068" s="1"/>
  <c r="E1068"/>
  <c r="K1067"/>
  <c r="I1067"/>
  <c r="G1067"/>
  <c r="L1067" s="1"/>
  <c r="J1067" s="1"/>
  <c r="E1067"/>
  <c r="K1066"/>
  <c r="G1066"/>
  <c r="I1066" s="1"/>
  <c r="E1066"/>
  <c r="K1065"/>
  <c r="J1065" s="1"/>
  <c r="G1065"/>
  <c r="L1065" s="1"/>
  <c r="E1065"/>
  <c r="K1064"/>
  <c r="G1064"/>
  <c r="L1064" s="1"/>
  <c r="J1064" s="1"/>
  <c r="E1064"/>
  <c r="K1063"/>
  <c r="I1063"/>
  <c r="G1063"/>
  <c r="L1063" s="1"/>
  <c r="J1063" s="1"/>
  <c r="E1063"/>
  <c r="K1062"/>
  <c r="G1062"/>
  <c r="I1062" s="1"/>
  <c r="E1062"/>
  <c r="K1061"/>
  <c r="G1061"/>
  <c r="L1061" s="1"/>
  <c r="E1061"/>
  <c r="K1060"/>
  <c r="G1060"/>
  <c r="L1060" s="1"/>
  <c r="J1060" s="1"/>
  <c r="E1060"/>
  <c r="K1059"/>
  <c r="I1059"/>
  <c r="G1059"/>
  <c r="L1059" s="1"/>
  <c r="J1059" s="1"/>
  <c r="E1059"/>
  <c r="K1058"/>
  <c r="G1058"/>
  <c r="I1058" s="1"/>
  <c r="E1058"/>
  <c r="K1057"/>
  <c r="G1057"/>
  <c r="L1057" s="1"/>
  <c r="E1057"/>
  <c r="K1056"/>
  <c r="G1056"/>
  <c r="L1056" s="1"/>
  <c r="J1056" s="1"/>
  <c r="E1056"/>
  <c r="K1055"/>
  <c r="I1055"/>
  <c r="G1055"/>
  <c r="L1055" s="1"/>
  <c r="J1055" s="1"/>
  <c r="E1055"/>
  <c r="K1054"/>
  <c r="G1054"/>
  <c r="I1054" s="1"/>
  <c r="E1054"/>
  <c r="K1053"/>
  <c r="J1053" s="1"/>
  <c r="G1053"/>
  <c r="L1053" s="1"/>
  <c r="E1053"/>
  <c r="K1052"/>
  <c r="G1052"/>
  <c r="L1052" s="1"/>
  <c r="J1052" s="1"/>
  <c r="E1052"/>
  <c r="K1051"/>
  <c r="I1051"/>
  <c r="G1051"/>
  <c r="L1051" s="1"/>
  <c r="J1051" s="1"/>
  <c r="E1051"/>
  <c r="K1050"/>
  <c r="G1050"/>
  <c r="I1050" s="1"/>
  <c r="E1050"/>
  <c r="K1049"/>
  <c r="J1049" s="1"/>
  <c r="G1049"/>
  <c r="L1049" s="1"/>
  <c r="E1049"/>
  <c r="K1048"/>
  <c r="G1048"/>
  <c r="L1048" s="1"/>
  <c r="J1048" s="1"/>
  <c r="E1048"/>
  <c r="K1047"/>
  <c r="I1047"/>
  <c r="G1047"/>
  <c r="L1047" s="1"/>
  <c r="J1047" s="1"/>
  <c r="E1047"/>
  <c r="K1046"/>
  <c r="G1046"/>
  <c r="I1046" s="1"/>
  <c r="E1046"/>
  <c r="K1045"/>
  <c r="G1045"/>
  <c r="L1045" s="1"/>
  <c r="E1045"/>
  <c r="K1044"/>
  <c r="G1044"/>
  <c r="L1044" s="1"/>
  <c r="J1044" s="1"/>
  <c r="E1044"/>
  <c r="K1043"/>
  <c r="I1043"/>
  <c r="G1043"/>
  <c r="L1043" s="1"/>
  <c r="J1043" s="1"/>
  <c r="E1043"/>
  <c r="K1042"/>
  <c r="G1042"/>
  <c r="I1042" s="1"/>
  <c r="E1042"/>
  <c r="K1041"/>
  <c r="G1041"/>
  <c r="L1041" s="1"/>
  <c r="E1041"/>
  <c r="K1040"/>
  <c r="G1040"/>
  <c r="L1040" s="1"/>
  <c r="J1040" s="1"/>
  <c r="E1040"/>
  <c r="K1039"/>
  <c r="I1039"/>
  <c r="G1039"/>
  <c r="L1039" s="1"/>
  <c r="J1039" s="1"/>
  <c r="E1039"/>
  <c r="K1038"/>
  <c r="G1038"/>
  <c r="I1038" s="1"/>
  <c r="E1038"/>
  <c r="K1037"/>
  <c r="J1037" s="1"/>
  <c r="G1037"/>
  <c r="L1037" s="1"/>
  <c r="E1037"/>
  <c r="K1036"/>
  <c r="G1036"/>
  <c r="L1036" s="1"/>
  <c r="J1036" s="1"/>
  <c r="E1036"/>
  <c r="K1035"/>
  <c r="I1035"/>
  <c r="G1035"/>
  <c r="L1035" s="1"/>
  <c r="J1035" s="1"/>
  <c r="E1035"/>
  <c r="K1034"/>
  <c r="G1034"/>
  <c r="I1034" s="1"/>
  <c r="E1034"/>
  <c r="K1033"/>
  <c r="J1033" s="1"/>
  <c r="G1033"/>
  <c r="L1033" s="1"/>
  <c r="E1033"/>
  <c r="K1032"/>
  <c r="G1032"/>
  <c r="L1032" s="1"/>
  <c r="J1032" s="1"/>
  <c r="E1032"/>
  <c r="K1031"/>
  <c r="I1031"/>
  <c r="G1031"/>
  <c r="L1031" s="1"/>
  <c r="J1031" s="1"/>
  <c r="E1031"/>
  <c r="K1030"/>
  <c r="G1030"/>
  <c r="I1030" s="1"/>
  <c r="E1030"/>
  <c r="K1029"/>
  <c r="G1029"/>
  <c r="L1029" s="1"/>
  <c r="E1029"/>
  <c r="K1028"/>
  <c r="G1028"/>
  <c r="L1028" s="1"/>
  <c r="J1028" s="1"/>
  <c r="E1028"/>
  <c r="K1027"/>
  <c r="I1027"/>
  <c r="G1027"/>
  <c r="L1027" s="1"/>
  <c r="J1027" s="1"/>
  <c r="E1027"/>
  <c r="K1026"/>
  <c r="G1026"/>
  <c r="I1026" s="1"/>
  <c r="E1026"/>
  <c r="K1025"/>
  <c r="G1025"/>
  <c r="L1025" s="1"/>
  <c r="E1025"/>
  <c r="K1024"/>
  <c r="G1024"/>
  <c r="L1024" s="1"/>
  <c r="J1024" s="1"/>
  <c r="E1024"/>
  <c r="K1023"/>
  <c r="I1023"/>
  <c r="G1023"/>
  <c r="L1023" s="1"/>
  <c r="J1023" s="1"/>
  <c r="E1023"/>
  <c r="K1022"/>
  <c r="G1022"/>
  <c r="I1022" s="1"/>
  <c r="E1022"/>
  <c r="K1021"/>
  <c r="J1021" s="1"/>
  <c r="G1021"/>
  <c r="L1021" s="1"/>
  <c r="E1021"/>
  <c r="K1020"/>
  <c r="G1020"/>
  <c r="L1020" s="1"/>
  <c r="J1020" s="1"/>
  <c r="E1020"/>
  <c r="K1019"/>
  <c r="I1019"/>
  <c r="G1019"/>
  <c r="L1019" s="1"/>
  <c r="J1019" s="1"/>
  <c r="E1019"/>
  <c r="K1018"/>
  <c r="G1018"/>
  <c r="I1018" s="1"/>
  <c r="E1018"/>
  <c r="K1017"/>
  <c r="J1017" s="1"/>
  <c r="G1017"/>
  <c r="L1017" s="1"/>
  <c r="E1017"/>
  <c r="K1016"/>
  <c r="G1016"/>
  <c r="L1016" s="1"/>
  <c r="J1016" s="1"/>
  <c r="E1016"/>
  <c r="K1015"/>
  <c r="I1015"/>
  <c r="G1015"/>
  <c r="L1015" s="1"/>
  <c r="J1015" s="1"/>
  <c r="E1015"/>
  <c r="K1014"/>
  <c r="G1014"/>
  <c r="I1014" s="1"/>
  <c r="E1014"/>
  <c r="K1013"/>
  <c r="G1013"/>
  <c r="L1013" s="1"/>
  <c r="E1013"/>
  <c r="K1012"/>
  <c r="G1012"/>
  <c r="L1012" s="1"/>
  <c r="J1012" s="1"/>
  <c r="E1012"/>
  <c r="K1011"/>
  <c r="I1011"/>
  <c r="G1011"/>
  <c r="L1011" s="1"/>
  <c r="J1011" s="1"/>
  <c r="E1011"/>
  <c r="K1010"/>
  <c r="G1010"/>
  <c r="I1010" s="1"/>
  <c r="E1010"/>
  <c r="K1009"/>
  <c r="G1009"/>
  <c r="L1009" s="1"/>
  <c r="E1009"/>
  <c r="K1008"/>
  <c r="G1008"/>
  <c r="L1008" s="1"/>
  <c r="J1008" s="1"/>
  <c r="E1008"/>
  <c r="K1007"/>
  <c r="I1007"/>
  <c r="G1007"/>
  <c r="L1007" s="1"/>
  <c r="J1007" s="1"/>
  <c r="E1007"/>
  <c r="K1006"/>
  <c r="G1006"/>
  <c r="I1006" s="1"/>
  <c r="E1006"/>
  <c r="K1005"/>
  <c r="J1005" s="1"/>
  <c r="G1005"/>
  <c r="L1005" s="1"/>
  <c r="E1005"/>
  <c r="K1004"/>
  <c r="G1004"/>
  <c r="L1004" s="1"/>
  <c r="J1004" s="1"/>
  <c r="E1004"/>
  <c r="K1003"/>
  <c r="I1003"/>
  <c r="G1003"/>
  <c r="L1003" s="1"/>
  <c r="J1003" s="1"/>
  <c r="E1003"/>
  <c r="K1002"/>
  <c r="G1002"/>
  <c r="I1002" s="1"/>
  <c r="E1002"/>
  <c r="K1001"/>
  <c r="J1001" s="1"/>
  <c r="G1001"/>
  <c r="L1001" s="1"/>
  <c r="E1001"/>
  <c r="K1000"/>
  <c r="G1000"/>
  <c r="L1000" s="1"/>
  <c r="J1000" s="1"/>
  <c r="E1000"/>
  <c r="K999"/>
  <c r="I999"/>
  <c r="G999"/>
  <c r="L999" s="1"/>
  <c r="J999" s="1"/>
  <c r="E999"/>
  <c r="K998"/>
  <c r="G998"/>
  <c r="I998" s="1"/>
  <c r="E998"/>
  <c r="K997"/>
  <c r="G997"/>
  <c r="L997" s="1"/>
  <c r="E997"/>
  <c r="K996"/>
  <c r="G996"/>
  <c r="L996" s="1"/>
  <c r="J996" s="1"/>
  <c r="E996"/>
  <c r="K995"/>
  <c r="I995"/>
  <c r="G995"/>
  <c r="L995" s="1"/>
  <c r="J995" s="1"/>
  <c r="E995"/>
  <c r="K994"/>
  <c r="G994"/>
  <c r="I994" s="1"/>
  <c r="E994"/>
  <c r="K993"/>
  <c r="G993"/>
  <c r="L993" s="1"/>
  <c r="E993"/>
  <c r="K992"/>
  <c r="G992"/>
  <c r="L992" s="1"/>
  <c r="J992" s="1"/>
  <c r="E992"/>
  <c r="K991"/>
  <c r="I991"/>
  <c r="G991"/>
  <c r="L991" s="1"/>
  <c r="J991" s="1"/>
  <c r="E991"/>
  <c r="K990"/>
  <c r="G990"/>
  <c r="I990" s="1"/>
  <c r="E990"/>
  <c r="K989"/>
  <c r="J989" s="1"/>
  <c r="G989"/>
  <c r="L989" s="1"/>
  <c r="E989"/>
  <c r="K988"/>
  <c r="G988"/>
  <c r="L988" s="1"/>
  <c r="J988" s="1"/>
  <c r="E988"/>
  <c r="K987"/>
  <c r="I987"/>
  <c r="G987"/>
  <c r="L987" s="1"/>
  <c r="J987" s="1"/>
  <c r="E987"/>
  <c r="K986"/>
  <c r="G986"/>
  <c r="I986" s="1"/>
  <c r="E986"/>
  <c r="K985"/>
  <c r="J985" s="1"/>
  <c r="G985"/>
  <c r="L985" s="1"/>
  <c r="E985"/>
  <c r="K984"/>
  <c r="G984"/>
  <c r="L984" s="1"/>
  <c r="J984" s="1"/>
  <c r="E984"/>
  <c r="K983"/>
  <c r="I983"/>
  <c r="G983"/>
  <c r="L983" s="1"/>
  <c r="J983" s="1"/>
  <c r="E983"/>
  <c r="K982"/>
  <c r="G982"/>
  <c r="I982" s="1"/>
  <c r="E982"/>
  <c r="K981"/>
  <c r="G981"/>
  <c r="L981" s="1"/>
  <c r="E981"/>
  <c r="K980"/>
  <c r="G980"/>
  <c r="L980" s="1"/>
  <c r="J980" s="1"/>
  <c r="E980"/>
  <c r="K979"/>
  <c r="I979"/>
  <c r="G979"/>
  <c r="L979" s="1"/>
  <c r="J979" s="1"/>
  <c r="E979"/>
  <c r="K978"/>
  <c r="G978"/>
  <c r="I978" s="1"/>
  <c r="E978"/>
  <c r="K977"/>
  <c r="G977"/>
  <c r="L977" s="1"/>
  <c r="E977"/>
  <c r="K976"/>
  <c r="G976"/>
  <c r="L976" s="1"/>
  <c r="J976" s="1"/>
  <c r="E976"/>
  <c r="K975"/>
  <c r="I975"/>
  <c r="G975"/>
  <c r="L975" s="1"/>
  <c r="J975" s="1"/>
  <c r="E975"/>
  <c r="K974"/>
  <c r="G974"/>
  <c r="I974" s="1"/>
  <c r="E974"/>
  <c r="K973"/>
  <c r="J973" s="1"/>
  <c r="G973"/>
  <c r="L973" s="1"/>
  <c r="E973"/>
  <c r="K972"/>
  <c r="G972"/>
  <c r="L972" s="1"/>
  <c r="J972" s="1"/>
  <c r="E972"/>
  <c r="K971"/>
  <c r="I971"/>
  <c r="G971"/>
  <c r="L971" s="1"/>
  <c r="J971" s="1"/>
  <c r="E971"/>
  <c r="K970"/>
  <c r="G970"/>
  <c r="I970" s="1"/>
  <c r="E970"/>
  <c r="K969"/>
  <c r="J969" s="1"/>
  <c r="G969"/>
  <c r="L969" s="1"/>
  <c r="E969"/>
  <c r="K968"/>
  <c r="G968"/>
  <c r="L968" s="1"/>
  <c r="J968" s="1"/>
  <c r="E968"/>
  <c r="K967"/>
  <c r="I967"/>
  <c r="G967"/>
  <c r="L967" s="1"/>
  <c r="J967" s="1"/>
  <c r="E967"/>
  <c r="K966"/>
  <c r="G966"/>
  <c r="I966" s="1"/>
  <c r="E966"/>
  <c r="K965"/>
  <c r="G965"/>
  <c r="L965" s="1"/>
  <c r="E965"/>
  <c r="K964"/>
  <c r="G964"/>
  <c r="L964" s="1"/>
  <c r="J964" s="1"/>
  <c r="E964"/>
  <c r="K963"/>
  <c r="I963"/>
  <c r="G963"/>
  <c r="L963" s="1"/>
  <c r="J963" s="1"/>
  <c r="E963"/>
  <c r="K962"/>
  <c r="G962"/>
  <c r="I962" s="1"/>
  <c r="E962"/>
  <c r="K961"/>
  <c r="G961"/>
  <c r="L961" s="1"/>
  <c r="E961"/>
  <c r="K960"/>
  <c r="G960"/>
  <c r="L960" s="1"/>
  <c r="J960" s="1"/>
  <c r="E960"/>
  <c r="K959"/>
  <c r="I959"/>
  <c r="G959"/>
  <c r="L959" s="1"/>
  <c r="J959" s="1"/>
  <c r="E959"/>
  <c r="K958"/>
  <c r="G958"/>
  <c r="I958" s="1"/>
  <c r="E958"/>
  <c r="K957"/>
  <c r="G957"/>
  <c r="L957" s="1"/>
  <c r="E957"/>
  <c r="K956"/>
  <c r="G956"/>
  <c r="L956" s="1"/>
  <c r="J956" s="1"/>
  <c r="E956"/>
  <c r="K955"/>
  <c r="I955"/>
  <c r="G955"/>
  <c r="L955" s="1"/>
  <c r="J955" s="1"/>
  <c r="E955"/>
  <c r="K954"/>
  <c r="G954"/>
  <c r="I954" s="1"/>
  <c r="E954"/>
  <c r="K953"/>
  <c r="J953" s="1"/>
  <c r="G953"/>
  <c r="L953" s="1"/>
  <c r="E953"/>
  <c r="K952"/>
  <c r="G952"/>
  <c r="L952" s="1"/>
  <c r="J952" s="1"/>
  <c r="E952"/>
  <c r="K951"/>
  <c r="I951"/>
  <c r="G951"/>
  <c r="L951" s="1"/>
  <c r="J951" s="1"/>
  <c r="E951"/>
  <c r="K950"/>
  <c r="G950"/>
  <c r="I950" s="1"/>
  <c r="E950"/>
  <c r="K949"/>
  <c r="G949"/>
  <c r="L949" s="1"/>
  <c r="E949"/>
  <c r="K948"/>
  <c r="G948"/>
  <c r="L948" s="1"/>
  <c r="J948" s="1"/>
  <c r="E948"/>
  <c r="K947"/>
  <c r="I947"/>
  <c r="G947"/>
  <c r="L947" s="1"/>
  <c r="J947" s="1"/>
  <c r="E947"/>
  <c r="K946"/>
  <c r="G946"/>
  <c r="I946" s="1"/>
  <c r="E946"/>
  <c r="K945"/>
  <c r="G945"/>
  <c r="L945" s="1"/>
  <c r="E945"/>
  <c r="K944"/>
  <c r="G944"/>
  <c r="L944" s="1"/>
  <c r="J944" s="1"/>
  <c r="E944"/>
  <c r="K943"/>
  <c r="I943"/>
  <c r="G943"/>
  <c r="L943" s="1"/>
  <c r="J943" s="1"/>
  <c r="E943"/>
  <c r="K942"/>
  <c r="G942"/>
  <c r="I942" s="1"/>
  <c r="E942"/>
  <c r="K941"/>
  <c r="G941"/>
  <c r="L941" s="1"/>
  <c r="E941"/>
  <c r="K940"/>
  <c r="G940"/>
  <c r="L940" s="1"/>
  <c r="J940" s="1"/>
  <c r="E940"/>
  <c r="K939"/>
  <c r="I939"/>
  <c r="G939"/>
  <c r="L939" s="1"/>
  <c r="J939" s="1"/>
  <c r="E939"/>
  <c r="K938"/>
  <c r="G938"/>
  <c r="I938" s="1"/>
  <c r="E938"/>
  <c r="K937"/>
  <c r="J937" s="1"/>
  <c r="G937"/>
  <c r="L937" s="1"/>
  <c r="E937"/>
  <c r="K936"/>
  <c r="G936"/>
  <c r="L936" s="1"/>
  <c r="J936" s="1"/>
  <c r="E936"/>
  <c r="K935"/>
  <c r="I935"/>
  <c r="G935"/>
  <c r="L935" s="1"/>
  <c r="J935" s="1"/>
  <c r="E935"/>
  <c r="K934"/>
  <c r="G934"/>
  <c r="I934" s="1"/>
  <c r="E934"/>
  <c r="K933"/>
  <c r="G933"/>
  <c r="L933" s="1"/>
  <c r="E933"/>
  <c r="K932"/>
  <c r="G932"/>
  <c r="L932" s="1"/>
  <c r="J932" s="1"/>
  <c r="E932"/>
  <c r="K931"/>
  <c r="I931"/>
  <c r="G931"/>
  <c r="L931" s="1"/>
  <c r="J931" s="1"/>
  <c r="E931"/>
  <c r="K930"/>
  <c r="G930"/>
  <c r="I930" s="1"/>
  <c r="E930"/>
  <c r="K929"/>
  <c r="G929"/>
  <c r="L929" s="1"/>
  <c r="E929"/>
  <c r="K928"/>
  <c r="G928"/>
  <c r="L928" s="1"/>
  <c r="J928" s="1"/>
  <c r="E928"/>
  <c r="K927"/>
  <c r="I927"/>
  <c r="G927"/>
  <c r="L927" s="1"/>
  <c r="J927" s="1"/>
  <c r="E927"/>
  <c r="K926"/>
  <c r="G926"/>
  <c r="I926" s="1"/>
  <c r="E926"/>
  <c r="K925"/>
  <c r="G925"/>
  <c r="L925" s="1"/>
  <c r="E925"/>
  <c r="K924"/>
  <c r="G924"/>
  <c r="L924" s="1"/>
  <c r="J924" s="1"/>
  <c r="E924"/>
  <c r="K923"/>
  <c r="I923"/>
  <c r="G923"/>
  <c r="L923" s="1"/>
  <c r="J923" s="1"/>
  <c r="E923"/>
  <c r="K922"/>
  <c r="G922"/>
  <c r="I922" s="1"/>
  <c r="E922"/>
  <c r="K921"/>
  <c r="J921" s="1"/>
  <c r="G921"/>
  <c r="L921" s="1"/>
  <c r="E921"/>
  <c r="K920"/>
  <c r="G920"/>
  <c r="L920" s="1"/>
  <c r="J920" s="1"/>
  <c r="E920"/>
  <c r="K919"/>
  <c r="I919"/>
  <c r="G919"/>
  <c r="L919" s="1"/>
  <c r="J919" s="1"/>
  <c r="E919"/>
  <c r="K918"/>
  <c r="G918"/>
  <c r="I918" s="1"/>
  <c r="E918"/>
  <c r="K917"/>
  <c r="G917"/>
  <c r="L917" s="1"/>
  <c r="E917"/>
  <c r="K916"/>
  <c r="G916"/>
  <c r="L916" s="1"/>
  <c r="J916" s="1"/>
  <c r="E916"/>
  <c r="K915"/>
  <c r="I915"/>
  <c r="G915"/>
  <c r="L915" s="1"/>
  <c r="J915" s="1"/>
  <c r="E915"/>
  <c r="K914"/>
  <c r="G914"/>
  <c r="I914" s="1"/>
  <c r="E914"/>
  <c r="K913"/>
  <c r="G913"/>
  <c r="L913" s="1"/>
  <c r="E913"/>
  <c r="K912"/>
  <c r="G912"/>
  <c r="L912" s="1"/>
  <c r="J912" s="1"/>
  <c r="E912"/>
  <c r="K911"/>
  <c r="I911"/>
  <c r="G911"/>
  <c r="L911" s="1"/>
  <c r="J911" s="1"/>
  <c r="E911"/>
  <c r="K910"/>
  <c r="G910"/>
  <c r="I910" s="1"/>
  <c r="E910"/>
  <c r="K909"/>
  <c r="G909"/>
  <c r="L909" s="1"/>
  <c r="E909"/>
  <c r="K908"/>
  <c r="G908"/>
  <c r="L908" s="1"/>
  <c r="J908" s="1"/>
  <c r="E908"/>
  <c r="K907"/>
  <c r="I907"/>
  <c r="G907"/>
  <c r="L907" s="1"/>
  <c r="J907" s="1"/>
  <c r="E907"/>
  <c r="K906"/>
  <c r="G906"/>
  <c r="I906" s="1"/>
  <c r="E906"/>
  <c r="K905"/>
  <c r="J905" s="1"/>
  <c r="G905"/>
  <c r="L905" s="1"/>
  <c r="E905"/>
  <c r="K904"/>
  <c r="G904"/>
  <c r="L904" s="1"/>
  <c r="J904" s="1"/>
  <c r="E904"/>
  <c r="K903"/>
  <c r="I903"/>
  <c r="G903"/>
  <c r="L903" s="1"/>
  <c r="J903" s="1"/>
  <c r="E903"/>
  <c r="K902"/>
  <c r="G902"/>
  <c r="I902" s="1"/>
  <c r="E902"/>
  <c r="K901"/>
  <c r="G901"/>
  <c r="L901" s="1"/>
  <c r="E901"/>
  <c r="K900"/>
  <c r="G900"/>
  <c r="L900" s="1"/>
  <c r="J900" s="1"/>
  <c r="E900"/>
  <c r="K899"/>
  <c r="I899"/>
  <c r="G899"/>
  <c r="L899" s="1"/>
  <c r="J899" s="1"/>
  <c r="E899"/>
  <c r="K898"/>
  <c r="G898"/>
  <c r="I898" s="1"/>
  <c r="E898"/>
  <c r="K897"/>
  <c r="G897"/>
  <c r="L897" s="1"/>
  <c r="E897"/>
  <c r="K896"/>
  <c r="G896"/>
  <c r="L896" s="1"/>
  <c r="J896" s="1"/>
  <c r="E896"/>
  <c r="K895"/>
  <c r="I895"/>
  <c r="G895"/>
  <c r="L895" s="1"/>
  <c r="J895" s="1"/>
  <c r="E895"/>
  <c r="K894"/>
  <c r="G894"/>
  <c r="I894" s="1"/>
  <c r="E894"/>
  <c r="K893"/>
  <c r="J893" s="1"/>
  <c r="G893"/>
  <c r="L893" s="1"/>
  <c r="E893"/>
  <c r="K892"/>
  <c r="G892"/>
  <c r="L892" s="1"/>
  <c r="J892" s="1"/>
  <c r="E892"/>
  <c r="K891"/>
  <c r="I891"/>
  <c r="G891"/>
  <c r="L891" s="1"/>
  <c r="J891" s="1"/>
  <c r="E891"/>
  <c r="K890"/>
  <c r="G890"/>
  <c r="I890" s="1"/>
  <c r="E890"/>
  <c r="K889"/>
  <c r="J889" s="1"/>
  <c r="G889"/>
  <c r="L889" s="1"/>
  <c r="E889"/>
  <c r="K888"/>
  <c r="G888"/>
  <c r="L888" s="1"/>
  <c r="J888" s="1"/>
  <c r="E888"/>
  <c r="K887"/>
  <c r="I887"/>
  <c r="G887"/>
  <c r="L887" s="1"/>
  <c r="J887" s="1"/>
  <c r="E887"/>
  <c r="K886"/>
  <c r="G886"/>
  <c r="I886" s="1"/>
  <c r="E886"/>
  <c r="K885"/>
  <c r="G885"/>
  <c r="L885" s="1"/>
  <c r="E885"/>
  <c r="K884"/>
  <c r="G884"/>
  <c r="L884" s="1"/>
  <c r="J884" s="1"/>
  <c r="E884"/>
  <c r="K883"/>
  <c r="I883"/>
  <c r="G883"/>
  <c r="L883" s="1"/>
  <c r="J883" s="1"/>
  <c r="E883"/>
  <c r="K882"/>
  <c r="G882"/>
  <c r="I882" s="1"/>
  <c r="E882"/>
  <c r="K881"/>
  <c r="G881"/>
  <c r="L881" s="1"/>
  <c r="E881"/>
  <c r="K880"/>
  <c r="G880"/>
  <c r="L880" s="1"/>
  <c r="J880" s="1"/>
  <c r="E880"/>
  <c r="K879"/>
  <c r="I879"/>
  <c r="G879"/>
  <c r="L879" s="1"/>
  <c r="J879" s="1"/>
  <c r="E879"/>
  <c r="K878"/>
  <c r="G878"/>
  <c r="I878" s="1"/>
  <c r="E878"/>
  <c r="K877"/>
  <c r="J877" s="1"/>
  <c r="G877"/>
  <c r="L877" s="1"/>
  <c r="E877"/>
  <c r="K876"/>
  <c r="G876"/>
  <c r="L876" s="1"/>
  <c r="J876" s="1"/>
  <c r="E876"/>
  <c r="K875"/>
  <c r="I875"/>
  <c r="G875"/>
  <c r="L875" s="1"/>
  <c r="J875" s="1"/>
  <c r="E875"/>
  <c r="K874"/>
  <c r="G874"/>
  <c r="I874" s="1"/>
  <c r="E874"/>
  <c r="K873"/>
  <c r="J873" s="1"/>
  <c r="G873"/>
  <c r="L873" s="1"/>
  <c r="E873"/>
  <c r="K872"/>
  <c r="G872"/>
  <c r="L872" s="1"/>
  <c r="J872" s="1"/>
  <c r="E872"/>
  <c r="K871"/>
  <c r="I871"/>
  <c r="G871"/>
  <c r="L871" s="1"/>
  <c r="J871" s="1"/>
  <c r="E871"/>
  <c r="K870"/>
  <c r="G870"/>
  <c r="I870" s="1"/>
  <c r="E870"/>
  <c r="K869"/>
  <c r="G869"/>
  <c r="L869" s="1"/>
  <c r="E869"/>
  <c r="K868"/>
  <c r="G868"/>
  <c r="L868" s="1"/>
  <c r="J868" s="1"/>
  <c r="E868"/>
  <c r="K867"/>
  <c r="I867"/>
  <c r="G867"/>
  <c r="L867" s="1"/>
  <c r="J867" s="1"/>
  <c r="E867"/>
  <c r="K866"/>
  <c r="G866"/>
  <c r="I866" s="1"/>
  <c r="E866"/>
  <c r="K865"/>
  <c r="G865"/>
  <c r="L865" s="1"/>
  <c r="E865"/>
  <c r="K864"/>
  <c r="G864"/>
  <c r="L864" s="1"/>
  <c r="J864" s="1"/>
  <c r="E864"/>
  <c r="K863"/>
  <c r="I863"/>
  <c r="G863"/>
  <c r="L863" s="1"/>
  <c r="J863" s="1"/>
  <c r="E863"/>
  <c r="K862"/>
  <c r="G862"/>
  <c r="I862" s="1"/>
  <c r="E862"/>
  <c r="K861"/>
  <c r="J861" s="1"/>
  <c r="G861"/>
  <c r="L861" s="1"/>
  <c r="E861"/>
  <c r="K860"/>
  <c r="G860"/>
  <c r="L860" s="1"/>
  <c r="J860" s="1"/>
  <c r="E860"/>
  <c r="K859"/>
  <c r="I859"/>
  <c r="G859"/>
  <c r="L859" s="1"/>
  <c r="J859" s="1"/>
  <c r="E859"/>
  <c r="K858"/>
  <c r="G858"/>
  <c r="I858" s="1"/>
  <c r="E858"/>
  <c r="K857"/>
  <c r="J857" s="1"/>
  <c r="G857"/>
  <c r="L857" s="1"/>
  <c r="E857"/>
  <c r="K856"/>
  <c r="G856"/>
  <c r="L856" s="1"/>
  <c r="J856" s="1"/>
  <c r="E856"/>
  <c r="K855"/>
  <c r="I855"/>
  <c r="G855"/>
  <c r="L855" s="1"/>
  <c r="J855" s="1"/>
  <c r="E855"/>
  <c r="K854"/>
  <c r="G854"/>
  <c r="I854" s="1"/>
  <c r="E854"/>
  <c r="K853"/>
  <c r="G853"/>
  <c r="L853" s="1"/>
  <c r="E853"/>
  <c r="K852"/>
  <c r="G852"/>
  <c r="L852" s="1"/>
  <c r="J852" s="1"/>
  <c r="E852"/>
  <c r="K851"/>
  <c r="I851"/>
  <c r="G851"/>
  <c r="L851" s="1"/>
  <c r="J851" s="1"/>
  <c r="E851"/>
  <c r="K850"/>
  <c r="G850"/>
  <c r="I850" s="1"/>
  <c r="E850"/>
  <c r="K849"/>
  <c r="G849"/>
  <c r="L849" s="1"/>
  <c r="E849"/>
  <c r="K848"/>
  <c r="G848"/>
  <c r="L848" s="1"/>
  <c r="J848" s="1"/>
  <c r="E848"/>
  <c r="K847"/>
  <c r="I847"/>
  <c r="G847"/>
  <c r="L847" s="1"/>
  <c r="J847" s="1"/>
  <c r="E847"/>
  <c r="K846"/>
  <c r="G846"/>
  <c r="I846" s="1"/>
  <c r="E846"/>
  <c r="K845"/>
  <c r="J845" s="1"/>
  <c r="G845"/>
  <c r="L845" s="1"/>
  <c r="E845"/>
  <c r="K844"/>
  <c r="G844"/>
  <c r="L844" s="1"/>
  <c r="J844" s="1"/>
  <c r="E844"/>
  <c r="K843"/>
  <c r="I843"/>
  <c r="G843"/>
  <c r="L843" s="1"/>
  <c r="J843" s="1"/>
  <c r="E843"/>
  <c r="K842"/>
  <c r="G842"/>
  <c r="I842" s="1"/>
  <c r="E842"/>
  <c r="K841"/>
  <c r="J841" s="1"/>
  <c r="G841"/>
  <c r="L841" s="1"/>
  <c r="E841"/>
  <c r="K840"/>
  <c r="G840"/>
  <c r="L840" s="1"/>
  <c r="J840" s="1"/>
  <c r="E840"/>
  <c r="K839"/>
  <c r="I839"/>
  <c r="G839"/>
  <c r="L839" s="1"/>
  <c r="J839" s="1"/>
  <c r="E839"/>
  <c r="K838"/>
  <c r="G838"/>
  <c r="I838" s="1"/>
  <c r="E838"/>
  <c r="K837"/>
  <c r="G837"/>
  <c r="L837" s="1"/>
  <c r="E837"/>
  <c r="K836"/>
  <c r="G836"/>
  <c r="L836" s="1"/>
  <c r="J836" s="1"/>
  <c r="E836"/>
  <c r="K835"/>
  <c r="I835"/>
  <c r="G835"/>
  <c r="L835" s="1"/>
  <c r="J835" s="1"/>
  <c r="E835"/>
  <c r="K834"/>
  <c r="G834"/>
  <c r="I834" s="1"/>
  <c r="E834"/>
  <c r="K833"/>
  <c r="G833"/>
  <c r="L833" s="1"/>
  <c r="E833"/>
  <c r="K832"/>
  <c r="G832"/>
  <c r="L832" s="1"/>
  <c r="J832" s="1"/>
  <c r="E832"/>
  <c r="K831"/>
  <c r="I831"/>
  <c r="G831"/>
  <c r="L831" s="1"/>
  <c r="J831" s="1"/>
  <c r="E831"/>
  <c r="K830"/>
  <c r="G830"/>
  <c r="I830" s="1"/>
  <c r="E830"/>
  <c r="K829"/>
  <c r="J829" s="1"/>
  <c r="G829"/>
  <c r="L829" s="1"/>
  <c r="E829"/>
  <c r="K828"/>
  <c r="G828"/>
  <c r="L828" s="1"/>
  <c r="J828" s="1"/>
  <c r="E828"/>
  <c r="K827"/>
  <c r="I827"/>
  <c r="G827"/>
  <c r="L827" s="1"/>
  <c r="J827" s="1"/>
  <c r="E827"/>
  <c r="K826"/>
  <c r="G826"/>
  <c r="I826" s="1"/>
  <c r="E826"/>
  <c r="K825"/>
  <c r="J825" s="1"/>
  <c r="G825"/>
  <c r="L825" s="1"/>
  <c r="E825"/>
  <c r="K824"/>
  <c r="G824"/>
  <c r="L824" s="1"/>
  <c r="J824" s="1"/>
  <c r="E824"/>
  <c r="K823"/>
  <c r="I823"/>
  <c r="G823"/>
  <c r="L823" s="1"/>
  <c r="J823" s="1"/>
  <c r="E823"/>
  <c r="K822"/>
  <c r="G822"/>
  <c r="I822" s="1"/>
  <c r="E822"/>
  <c r="K821"/>
  <c r="G821"/>
  <c r="L821" s="1"/>
  <c r="E821"/>
  <c r="K820"/>
  <c r="G820"/>
  <c r="L820" s="1"/>
  <c r="J820" s="1"/>
  <c r="E820"/>
  <c r="K819"/>
  <c r="I819"/>
  <c r="G819"/>
  <c r="L819" s="1"/>
  <c r="J819" s="1"/>
  <c r="E819"/>
  <c r="K818"/>
  <c r="G818"/>
  <c r="I818" s="1"/>
  <c r="E818"/>
  <c r="K817"/>
  <c r="G817"/>
  <c r="L817" s="1"/>
  <c r="E817"/>
  <c r="K816"/>
  <c r="G816"/>
  <c r="L816" s="1"/>
  <c r="J816" s="1"/>
  <c r="E816"/>
  <c r="K815"/>
  <c r="I815"/>
  <c r="G815"/>
  <c r="L815" s="1"/>
  <c r="J815" s="1"/>
  <c r="E815"/>
  <c r="K814"/>
  <c r="G814"/>
  <c r="I814" s="1"/>
  <c r="E814"/>
  <c r="K813"/>
  <c r="G813"/>
  <c r="L813" s="1"/>
  <c r="E813"/>
  <c r="K812"/>
  <c r="G812"/>
  <c r="L812" s="1"/>
  <c r="J812" s="1"/>
  <c r="E812"/>
  <c r="K811"/>
  <c r="I811"/>
  <c r="G811"/>
  <c r="L811" s="1"/>
  <c r="J811" s="1"/>
  <c r="E811"/>
  <c r="K810"/>
  <c r="G810"/>
  <c r="I810" s="1"/>
  <c r="E810"/>
  <c r="K809"/>
  <c r="J809" s="1"/>
  <c r="G809"/>
  <c r="L809" s="1"/>
  <c r="E809"/>
  <c r="K808"/>
  <c r="G808"/>
  <c r="L808" s="1"/>
  <c r="J808" s="1"/>
  <c r="E808"/>
  <c r="K807"/>
  <c r="I807"/>
  <c r="G807"/>
  <c r="L807" s="1"/>
  <c r="J807" s="1"/>
  <c r="E807"/>
  <c r="K806"/>
  <c r="G806"/>
  <c r="I806" s="1"/>
  <c r="E806"/>
  <c r="K805"/>
  <c r="G805"/>
  <c r="L805" s="1"/>
  <c r="E805"/>
  <c r="K804"/>
  <c r="G804"/>
  <c r="L804" s="1"/>
  <c r="J804" s="1"/>
  <c r="E804"/>
  <c r="K803"/>
  <c r="I803"/>
  <c r="G803"/>
  <c r="L803" s="1"/>
  <c r="J803" s="1"/>
  <c r="E803"/>
  <c r="K802"/>
  <c r="G802"/>
  <c r="I802" s="1"/>
  <c r="E802"/>
  <c r="K801"/>
  <c r="G801"/>
  <c r="L801" s="1"/>
  <c r="E801"/>
  <c r="K800"/>
  <c r="G800"/>
  <c r="L800" s="1"/>
  <c r="J800" s="1"/>
  <c r="E800"/>
  <c r="K799"/>
  <c r="I799"/>
  <c r="G799"/>
  <c r="L799" s="1"/>
  <c r="J799" s="1"/>
  <c r="E799"/>
  <c r="K798"/>
  <c r="G798"/>
  <c r="I798" s="1"/>
  <c r="E798"/>
  <c r="K797"/>
  <c r="G797"/>
  <c r="L797" s="1"/>
  <c r="E797"/>
  <c r="K796"/>
  <c r="G796"/>
  <c r="L796" s="1"/>
  <c r="J796" s="1"/>
  <c r="E796"/>
  <c r="K795"/>
  <c r="I795"/>
  <c r="G795"/>
  <c r="L795" s="1"/>
  <c r="J795" s="1"/>
  <c r="E795"/>
  <c r="K794"/>
  <c r="G794"/>
  <c r="I794" s="1"/>
  <c r="E794"/>
  <c r="K793"/>
  <c r="J793" s="1"/>
  <c r="G793"/>
  <c r="L793" s="1"/>
  <c r="E793"/>
  <c r="K792"/>
  <c r="G792"/>
  <c r="L792" s="1"/>
  <c r="J792" s="1"/>
  <c r="E792"/>
  <c r="K791"/>
  <c r="I791"/>
  <c r="G791"/>
  <c r="L791" s="1"/>
  <c r="J791" s="1"/>
  <c r="E791"/>
  <c r="K790"/>
  <c r="G790"/>
  <c r="I790" s="1"/>
  <c r="E790"/>
  <c r="K789"/>
  <c r="G789"/>
  <c r="L789" s="1"/>
  <c r="E789"/>
  <c r="K788"/>
  <c r="G788"/>
  <c r="L788" s="1"/>
  <c r="J788" s="1"/>
  <c r="E788"/>
  <c r="K787"/>
  <c r="I787"/>
  <c r="G787"/>
  <c r="L787" s="1"/>
  <c r="J787" s="1"/>
  <c r="E787"/>
  <c r="K786"/>
  <c r="G786"/>
  <c r="I786" s="1"/>
  <c r="E786"/>
  <c r="K785"/>
  <c r="G785"/>
  <c r="L785" s="1"/>
  <c r="E785"/>
  <c r="K784"/>
  <c r="G784"/>
  <c r="L784" s="1"/>
  <c r="J784" s="1"/>
  <c r="E784"/>
  <c r="K783"/>
  <c r="I783"/>
  <c r="G783"/>
  <c r="L783" s="1"/>
  <c r="J783" s="1"/>
  <c r="E783"/>
  <c r="K782"/>
  <c r="G782"/>
  <c r="I782" s="1"/>
  <c r="E782"/>
  <c r="K781"/>
  <c r="J781" s="1"/>
  <c r="G781"/>
  <c r="L781" s="1"/>
  <c r="E781"/>
  <c r="K780"/>
  <c r="G780"/>
  <c r="L780" s="1"/>
  <c r="J780" s="1"/>
  <c r="E780"/>
  <c r="K779"/>
  <c r="I779"/>
  <c r="G779"/>
  <c r="L779" s="1"/>
  <c r="J779" s="1"/>
  <c r="E779"/>
  <c r="K778"/>
  <c r="G778"/>
  <c r="I778" s="1"/>
  <c r="E778"/>
  <c r="K777"/>
  <c r="J777" s="1"/>
  <c r="G777"/>
  <c r="L777" s="1"/>
  <c r="E777"/>
  <c r="K776"/>
  <c r="G776"/>
  <c r="L776" s="1"/>
  <c r="J776" s="1"/>
  <c r="E776"/>
  <c r="K775"/>
  <c r="I775"/>
  <c r="G775"/>
  <c r="L775" s="1"/>
  <c r="J775" s="1"/>
  <c r="E775"/>
  <c r="K774"/>
  <c r="G774"/>
  <c r="I774" s="1"/>
  <c r="E774"/>
  <c r="K773"/>
  <c r="G773"/>
  <c r="L773" s="1"/>
  <c r="E773"/>
  <c r="K772"/>
  <c r="G772"/>
  <c r="L772" s="1"/>
  <c r="J772" s="1"/>
  <c r="E772"/>
  <c r="K771"/>
  <c r="I771"/>
  <c r="G771"/>
  <c r="L771" s="1"/>
  <c r="J771" s="1"/>
  <c r="E771"/>
  <c r="K770"/>
  <c r="G770"/>
  <c r="I770" s="1"/>
  <c r="E770"/>
  <c r="K769"/>
  <c r="G769"/>
  <c r="L769" s="1"/>
  <c r="E769"/>
  <c r="K768"/>
  <c r="G768"/>
  <c r="L768" s="1"/>
  <c r="J768" s="1"/>
  <c r="E768"/>
  <c r="K767"/>
  <c r="I767"/>
  <c r="G767"/>
  <c r="L767" s="1"/>
  <c r="J767" s="1"/>
  <c r="E767"/>
  <c r="K766"/>
  <c r="G766"/>
  <c r="I766" s="1"/>
  <c r="E766"/>
  <c r="K765"/>
  <c r="J765" s="1"/>
  <c r="G765"/>
  <c r="L765" s="1"/>
  <c r="E765"/>
  <c r="K764"/>
  <c r="G764"/>
  <c r="L764" s="1"/>
  <c r="J764" s="1"/>
  <c r="E764"/>
  <c r="K763"/>
  <c r="I763"/>
  <c r="G763"/>
  <c r="L763" s="1"/>
  <c r="J763" s="1"/>
  <c r="E763"/>
  <c r="K762"/>
  <c r="G762"/>
  <c r="I762" s="1"/>
  <c r="E762"/>
  <c r="K761"/>
  <c r="J761" s="1"/>
  <c r="G761"/>
  <c r="L761" s="1"/>
  <c r="E761"/>
  <c r="K760"/>
  <c r="G760"/>
  <c r="L760" s="1"/>
  <c r="J760" s="1"/>
  <c r="E760"/>
  <c r="K759"/>
  <c r="I759"/>
  <c r="G759"/>
  <c r="L759" s="1"/>
  <c r="J759" s="1"/>
  <c r="E759"/>
  <c r="K758"/>
  <c r="G758"/>
  <c r="I758" s="1"/>
  <c r="E758"/>
  <c r="K757"/>
  <c r="G757"/>
  <c r="L757" s="1"/>
  <c r="E757"/>
  <c r="K756"/>
  <c r="G756"/>
  <c r="L756" s="1"/>
  <c r="J756" s="1"/>
  <c r="E756"/>
  <c r="K755"/>
  <c r="I755"/>
  <c r="G755"/>
  <c r="L755" s="1"/>
  <c r="J755" s="1"/>
  <c r="E755"/>
  <c r="K754"/>
  <c r="G754"/>
  <c r="I754" s="1"/>
  <c r="E754"/>
  <c r="K753"/>
  <c r="G753"/>
  <c r="L753" s="1"/>
  <c r="E753"/>
  <c r="K752"/>
  <c r="G752"/>
  <c r="L752" s="1"/>
  <c r="J752" s="1"/>
  <c r="E752"/>
  <c r="K751"/>
  <c r="I751"/>
  <c r="G751"/>
  <c r="L751" s="1"/>
  <c r="J751" s="1"/>
  <c r="E751"/>
  <c r="K750"/>
  <c r="G750"/>
  <c r="I750" s="1"/>
  <c r="E750"/>
  <c r="K749"/>
  <c r="J749" s="1"/>
  <c r="G749"/>
  <c r="L749" s="1"/>
  <c r="E749"/>
  <c r="K748"/>
  <c r="G748"/>
  <c r="L748" s="1"/>
  <c r="J748" s="1"/>
  <c r="E748"/>
  <c r="K747"/>
  <c r="I747"/>
  <c r="G747"/>
  <c r="L747" s="1"/>
  <c r="J747" s="1"/>
  <c r="E747"/>
  <c r="K746"/>
  <c r="G746"/>
  <c r="I746" s="1"/>
  <c r="E746"/>
  <c r="K745"/>
  <c r="J745" s="1"/>
  <c r="G745"/>
  <c r="L745" s="1"/>
  <c r="E745"/>
  <c r="K744"/>
  <c r="G744"/>
  <c r="L744" s="1"/>
  <c r="J744" s="1"/>
  <c r="E744"/>
  <c r="K743"/>
  <c r="I743"/>
  <c r="G743"/>
  <c r="L743" s="1"/>
  <c r="J743" s="1"/>
  <c r="E743"/>
  <c r="K742"/>
  <c r="G742"/>
  <c r="I742" s="1"/>
  <c r="E742"/>
  <c r="K741"/>
  <c r="G741"/>
  <c r="L741" s="1"/>
  <c r="E741"/>
  <c r="K740"/>
  <c r="G740"/>
  <c r="L740" s="1"/>
  <c r="J740" s="1"/>
  <c r="E740"/>
  <c r="K739"/>
  <c r="I739"/>
  <c r="G739"/>
  <c r="L739" s="1"/>
  <c r="J739" s="1"/>
  <c r="E739"/>
  <c r="K738"/>
  <c r="G738"/>
  <c r="I738" s="1"/>
  <c r="E738"/>
  <c r="K737"/>
  <c r="G737"/>
  <c r="L737" s="1"/>
  <c r="E737"/>
  <c r="K736"/>
  <c r="G736"/>
  <c r="L736" s="1"/>
  <c r="J736" s="1"/>
  <c r="E736"/>
  <c r="K735"/>
  <c r="I735"/>
  <c r="G735"/>
  <c r="L735" s="1"/>
  <c r="J735" s="1"/>
  <c r="E735"/>
  <c r="K734"/>
  <c r="G734"/>
  <c r="I734" s="1"/>
  <c r="E734"/>
  <c r="K733"/>
  <c r="J733" s="1"/>
  <c r="G733"/>
  <c r="L733" s="1"/>
  <c r="E733"/>
  <c r="K732"/>
  <c r="G732"/>
  <c r="L732" s="1"/>
  <c r="J732" s="1"/>
  <c r="E732"/>
  <c r="K731"/>
  <c r="I731"/>
  <c r="G731"/>
  <c r="L731" s="1"/>
  <c r="J731" s="1"/>
  <c r="E731"/>
  <c r="K730"/>
  <c r="G730"/>
  <c r="I730" s="1"/>
  <c r="E730"/>
  <c r="K729"/>
  <c r="J729" s="1"/>
  <c r="G729"/>
  <c r="L729" s="1"/>
  <c r="E729"/>
  <c r="K728"/>
  <c r="G728"/>
  <c r="L728" s="1"/>
  <c r="J728" s="1"/>
  <c r="E728"/>
  <c r="K727"/>
  <c r="I727"/>
  <c r="G727"/>
  <c r="L727" s="1"/>
  <c r="J727" s="1"/>
  <c r="E727"/>
  <c r="K726"/>
  <c r="G726"/>
  <c r="I726" s="1"/>
  <c r="E726"/>
  <c r="K725"/>
  <c r="G725"/>
  <c r="L725" s="1"/>
  <c r="E725"/>
  <c r="K724"/>
  <c r="G724"/>
  <c r="L724" s="1"/>
  <c r="J724" s="1"/>
  <c r="E724"/>
  <c r="K723"/>
  <c r="I723"/>
  <c r="G723"/>
  <c r="L723" s="1"/>
  <c r="J723" s="1"/>
  <c r="E723"/>
  <c r="K722"/>
  <c r="G722"/>
  <c r="I722" s="1"/>
  <c r="E722"/>
  <c r="K721"/>
  <c r="G721"/>
  <c r="L721" s="1"/>
  <c r="E721"/>
  <c r="K720"/>
  <c r="G720"/>
  <c r="L720" s="1"/>
  <c r="J720" s="1"/>
  <c r="E720"/>
  <c r="K719"/>
  <c r="I719"/>
  <c r="G719"/>
  <c r="L719" s="1"/>
  <c r="J719" s="1"/>
  <c r="E719"/>
  <c r="K718"/>
  <c r="G718"/>
  <c r="I718" s="1"/>
  <c r="E718"/>
  <c r="K717"/>
  <c r="J717" s="1"/>
  <c r="G717"/>
  <c r="L717" s="1"/>
  <c r="E717"/>
  <c r="K716"/>
  <c r="G716"/>
  <c r="L716" s="1"/>
  <c r="J716" s="1"/>
  <c r="E716"/>
  <c r="K715"/>
  <c r="I715"/>
  <c r="G715"/>
  <c r="L715" s="1"/>
  <c r="J715" s="1"/>
  <c r="E715"/>
  <c r="K714"/>
  <c r="G714"/>
  <c r="I714" s="1"/>
  <c r="E714"/>
  <c r="K713"/>
  <c r="J713" s="1"/>
  <c r="G713"/>
  <c r="L713" s="1"/>
  <c r="E713"/>
  <c r="K712"/>
  <c r="G712"/>
  <c r="L712" s="1"/>
  <c r="J712" s="1"/>
  <c r="E712"/>
  <c r="K711"/>
  <c r="I711"/>
  <c r="G711"/>
  <c r="L711" s="1"/>
  <c r="J711" s="1"/>
  <c r="E711"/>
  <c r="K710"/>
  <c r="G710"/>
  <c r="I710" s="1"/>
  <c r="E710"/>
  <c r="K709"/>
  <c r="G709"/>
  <c r="L709" s="1"/>
  <c r="E709"/>
  <c r="K708"/>
  <c r="G708"/>
  <c r="L708" s="1"/>
  <c r="J708" s="1"/>
  <c r="E708"/>
  <c r="K707"/>
  <c r="I707"/>
  <c r="G707"/>
  <c r="L707" s="1"/>
  <c r="J707" s="1"/>
  <c r="E707"/>
  <c r="K706"/>
  <c r="G706"/>
  <c r="I706" s="1"/>
  <c r="E706"/>
  <c r="K705"/>
  <c r="G705"/>
  <c r="L705" s="1"/>
  <c r="E705"/>
  <c r="K704"/>
  <c r="G704"/>
  <c r="L704" s="1"/>
  <c r="J704" s="1"/>
  <c r="E704"/>
  <c r="K703"/>
  <c r="I703"/>
  <c r="G703"/>
  <c r="L703" s="1"/>
  <c r="J703" s="1"/>
  <c r="E703"/>
  <c r="K702"/>
  <c r="G702"/>
  <c r="I702" s="1"/>
  <c r="E702"/>
  <c r="K701"/>
  <c r="J701" s="1"/>
  <c r="G701"/>
  <c r="L701" s="1"/>
  <c r="E701"/>
  <c r="K700"/>
  <c r="G700"/>
  <c r="L700" s="1"/>
  <c r="J700" s="1"/>
  <c r="E700"/>
  <c r="K699"/>
  <c r="I699"/>
  <c r="G699"/>
  <c r="L699" s="1"/>
  <c r="J699" s="1"/>
  <c r="E699"/>
  <c r="K698"/>
  <c r="G698"/>
  <c r="I698" s="1"/>
  <c r="E698"/>
  <c r="K697"/>
  <c r="J697" s="1"/>
  <c r="G697"/>
  <c r="L697" s="1"/>
  <c r="E697"/>
  <c r="K696"/>
  <c r="G696"/>
  <c r="L696" s="1"/>
  <c r="J696" s="1"/>
  <c r="E696"/>
  <c r="K695"/>
  <c r="I695"/>
  <c r="G695"/>
  <c r="L695" s="1"/>
  <c r="J695" s="1"/>
  <c r="E695"/>
  <c r="K694"/>
  <c r="G694"/>
  <c r="I694" s="1"/>
  <c r="E694"/>
  <c r="K693"/>
  <c r="G693"/>
  <c r="L693" s="1"/>
  <c r="E693"/>
  <c r="K692"/>
  <c r="G692"/>
  <c r="L692" s="1"/>
  <c r="J692" s="1"/>
  <c r="E692"/>
  <c r="K691"/>
  <c r="I691"/>
  <c r="G691"/>
  <c r="L691" s="1"/>
  <c r="J691" s="1"/>
  <c r="E691"/>
  <c r="K690"/>
  <c r="G690"/>
  <c r="I690" s="1"/>
  <c r="E690"/>
  <c r="K689"/>
  <c r="G689"/>
  <c r="L689" s="1"/>
  <c r="E689"/>
  <c r="K688"/>
  <c r="G688"/>
  <c r="L688" s="1"/>
  <c r="J688" s="1"/>
  <c r="E688"/>
  <c r="K687"/>
  <c r="I687"/>
  <c r="G687"/>
  <c r="L687" s="1"/>
  <c r="J687" s="1"/>
  <c r="E687"/>
  <c r="K686"/>
  <c r="G686"/>
  <c r="I686" s="1"/>
  <c r="E686"/>
  <c r="K685"/>
  <c r="J685" s="1"/>
  <c r="G685"/>
  <c r="L685" s="1"/>
  <c r="E685"/>
  <c r="K684"/>
  <c r="G684"/>
  <c r="L684" s="1"/>
  <c r="J684" s="1"/>
  <c r="E684"/>
  <c r="K683"/>
  <c r="I683"/>
  <c r="G683"/>
  <c r="L683" s="1"/>
  <c r="J683" s="1"/>
  <c r="E683"/>
  <c r="K682"/>
  <c r="G682"/>
  <c r="I682" s="1"/>
  <c r="E682"/>
  <c r="K681"/>
  <c r="J681" s="1"/>
  <c r="G681"/>
  <c r="L681" s="1"/>
  <c r="E681"/>
  <c r="K680"/>
  <c r="G680"/>
  <c r="L680" s="1"/>
  <c r="J680" s="1"/>
  <c r="E680"/>
  <c r="K679"/>
  <c r="I679"/>
  <c r="G679"/>
  <c r="L679" s="1"/>
  <c r="J679" s="1"/>
  <c r="E679"/>
  <c r="K678"/>
  <c r="G678"/>
  <c r="I678" s="1"/>
  <c r="E678"/>
  <c r="K677"/>
  <c r="G677"/>
  <c r="L677" s="1"/>
  <c r="E677"/>
  <c r="K676"/>
  <c r="G676"/>
  <c r="L676" s="1"/>
  <c r="J676" s="1"/>
  <c r="E676"/>
  <c r="K675"/>
  <c r="I675"/>
  <c r="G675"/>
  <c r="L675" s="1"/>
  <c r="J675" s="1"/>
  <c r="E675"/>
  <c r="K674"/>
  <c r="G674"/>
  <c r="I674" s="1"/>
  <c r="E674"/>
  <c r="K673"/>
  <c r="G673"/>
  <c r="L673" s="1"/>
  <c r="E673"/>
  <c r="K672"/>
  <c r="G672"/>
  <c r="L672" s="1"/>
  <c r="J672" s="1"/>
  <c r="E672"/>
  <c r="K671"/>
  <c r="I671"/>
  <c r="G671"/>
  <c r="L671" s="1"/>
  <c r="J671" s="1"/>
  <c r="E671"/>
  <c r="K670"/>
  <c r="G670"/>
  <c r="I670" s="1"/>
  <c r="E670"/>
  <c r="K669"/>
  <c r="J669" s="1"/>
  <c r="G669"/>
  <c r="L669" s="1"/>
  <c r="E669"/>
  <c r="K668"/>
  <c r="G668"/>
  <c r="L668" s="1"/>
  <c r="J668" s="1"/>
  <c r="E668"/>
  <c r="K667"/>
  <c r="I667"/>
  <c r="G667"/>
  <c r="L667" s="1"/>
  <c r="J667" s="1"/>
  <c r="E667"/>
  <c r="K666"/>
  <c r="G666"/>
  <c r="I666" s="1"/>
  <c r="E666"/>
  <c r="K665"/>
  <c r="J665" s="1"/>
  <c r="G665"/>
  <c r="L665" s="1"/>
  <c r="E665"/>
  <c r="K664"/>
  <c r="G664"/>
  <c r="L664" s="1"/>
  <c r="J664" s="1"/>
  <c r="E664"/>
  <c r="K663"/>
  <c r="I663"/>
  <c r="G663"/>
  <c r="L663" s="1"/>
  <c r="J663" s="1"/>
  <c r="E663"/>
  <c r="K662"/>
  <c r="G662"/>
  <c r="I662" s="1"/>
  <c r="E662"/>
  <c r="K661"/>
  <c r="G661"/>
  <c r="L661" s="1"/>
  <c r="E661"/>
  <c r="K660"/>
  <c r="G660"/>
  <c r="L660" s="1"/>
  <c r="J660" s="1"/>
  <c r="E660"/>
  <c r="K659"/>
  <c r="I659"/>
  <c r="G659"/>
  <c r="L659" s="1"/>
  <c r="J659" s="1"/>
  <c r="E659"/>
  <c r="K658"/>
  <c r="G658"/>
  <c r="I658" s="1"/>
  <c r="E658"/>
  <c r="K657"/>
  <c r="G657"/>
  <c r="L657" s="1"/>
  <c r="E657"/>
  <c r="K656"/>
  <c r="G656"/>
  <c r="L656" s="1"/>
  <c r="J656" s="1"/>
  <c r="E656"/>
  <c r="K655"/>
  <c r="I655"/>
  <c r="G655"/>
  <c r="L655" s="1"/>
  <c r="J655" s="1"/>
  <c r="E655"/>
  <c r="K654"/>
  <c r="G654"/>
  <c r="I654" s="1"/>
  <c r="E654"/>
  <c r="K653"/>
  <c r="J653" s="1"/>
  <c r="G653"/>
  <c r="L653" s="1"/>
  <c r="E653"/>
  <c r="K652"/>
  <c r="G652"/>
  <c r="L652" s="1"/>
  <c r="J652" s="1"/>
  <c r="E652"/>
  <c r="K651"/>
  <c r="I651"/>
  <c r="G651"/>
  <c r="L651" s="1"/>
  <c r="J651" s="1"/>
  <c r="E651"/>
  <c r="K650"/>
  <c r="G650"/>
  <c r="I650" s="1"/>
  <c r="E650"/>
  <c r="K649"/>
  <c r="J649" s="1"/>
  <c r="G649"/>
  <c r="L649" s="1"/>
  <c r="E649"/>
  <c r="K648"/>
  <c r="G648"/>
  <c r="L648" s="1"/>
  <c r="J648" s="1"/>
  <c r="E648"/>
  <c r="K647"/>
  <c r="I647"/>
  <c r="G647"/>
  <c r="L647" s="1"/>
  <c r="J647" s="1"/>
  <c r="E647"/>
  <c r="K646"/>
  <c r="G646"/>
  <c r="I646" s="1"/>
  <c r="E646"/>
  <c r="K645"/>
  <c r="G645"/>
  <c r="L645" s="1"/>
  <c r="E645"/>
  <c r="K644"/>
  <c r="G644"/>
  <c r="L644" s="1"/>
  <c r="J644" s="1"/>
  <c r="E644"/>
  <c r="K643"/>
  <c r="I643"/>
  <c r="G643"/>
  <c r="L643" s="1"/>
  <c r="J643" s="1"/>
  <c r="E643"/>
  <c r="K642"/>
  <c r="G642"/>
  <c r="I642" s="1"/>
  <c r="E642"/>
  <c r="K641"/>
  <c r="G641"/>
  <c r="L641" s="1"/>
  <c r="E641"/>
  <c r="K640"/>
  <c r="G640"/>
  <c r="L640" s="1"/>
  <c r="J640" s="1"/>
  <c r="E640"/>
  <c r="K639"/>
  <c r="I639"/>
  <c r="G639"/>
  <c r="L639" s="1"/>
  <c r="J639" s="1"/>
  <c r="E639"/>
  <c r="K638"/>
  <c r="G638"/>
  <c r="I638" s="1"/>
  <c r="E638"/>
  <c r="K637"/>
  <c r="J637" s="1"/>
  <c r="G637"/>
  <c r="L637" s="1"/>
  <c r="E637"/>
  <c r="K636"/>
  <c r="G636"/>
  <c r="L636" s="1"/>
  <c r="J636" s="1"/>
  <c r="E636"/>
  <c r="K635"/>
  <c r="I635"/>
  <c r="G635"/>
  <c r="L635" s="1"/>
  <c r="J635" s="1"/>
  <c r="E635"/>
  <c r="K634"/>
  <c r="G634"/>
  <c r="I634" s="1"/>
  <c r="E634"/>
  <c r="K633"/>
  <c r="J633" s="1"/>
  <c r="G633"/>
  <c r="L633" s="1"/>
  <c r="E633"/>
  <c r="K632"/>
  <c r="G632"/>
  <c r="L632" s="1"/>
  <c r="J632" s="1"/>
  <c r="E632"/>
  <c r="K631"/>
  <c r="I631"/>
  <c r="G631"/>
  <c r="L631" s="1"/>
  <c r="J631" s="1"/>
  <c r="E631"/>
  <c r="K630"/>
  <c r="G630"/>
  <c r="I630" s="1"/>
  <c r="E630"/>
  <c r="K629"/>
  <c r="G629"/>
  <c r="L629" s="1"/>
  <c r="E629"/>
  <c r="K628"/>
  <c r="G628"/>
  <c r="L628" s="1"/>
  <c r="J628" s="1"/>
  <c r="E628"/>
  <c r="K627"/>
  <c r="I627"/>
  <c r="G627"/>
  <c r="L627" s="1"/>
  <c r="J627" s="1"/>
  <c r="E627"/>
  <c r="K626"/>
  <c r="G626"/>
  <c r="I626" s="1"/>
  <c r="E626"/>
  <c r="K625"/>
  <c r="G625"/>
  <c r="L625" s="1"/>
  <c r="E625"/>
  <c r="K624"/>
  <c r="G624"/>
  <c r="L624" s="1"/>
  <c r="J624" s="1"/>
  <c r="E624"/>
  <c r="K623"/>
  <c r="I623"/>
  <c r="G623"/>
  <c r="L623" s="1"/>
  <c r="J623" s="1"/>
  <c r="E623"/>
  <c r="K622"/>
  <c r="G622"/>
  <c r="I622" s="1"/>
  <c r="E622"/>
  <c r="K621"/>
  <c r="J621" s="1"/>
  <c r="G621"/>
  <c r="L621" s="1"/>
  <c r="E621"/>
  <c r="K620"/>
  <c r="G620"/>
  <c r="L620" s="1"/>
  <c r="J620" s="1"/>
  <c r="E620"/>
  <c r="K619"/>
  <c r="I619"/>
  <c r="G619"/>
  <c r="L619" s="1"/>
  <c r="J619" s="1"/>
  <c r="E619"/>
  <c r="K618"/>
  <c r="G618"/>
  <c r="I618" s="1"/>
  <c r="E618"/>
  <c r="K617"/>
  <c r="J617" s="1"/>
  <c r="G617"/>
  <c r="L617" s="1"/>
  <c r="E617"/>
  <c r="K616"/>
  <c r="G616"/>
  <c r="L616" s="1"/>
  <c r="J616" s="1"/>
  <c r="E616"/>
  <c r="K615"/>
  <c r="I615"/>
  <c r="G615"/>
  <c r="L615" s="1"/>
  <c r="J615" s="1"/>
  <c r="E615"/>
  <c r="K614"/>
  <c r="G614"/>
  <c r="I614" s="1"/>
  <c r="E614"/>
  <c r="K613"/>
  <c r="G613"/>
  <c r="L613" s="1"/>
  <c r="E613"/>
  <c r="K612"/>
  <c r="G612"/>
  <c r="L612" s="1"/>
  <c r="J612" s="1"/>
  <c r="E612"/>
  <c r="K611"/>
  <c r="I611"/>
  <c r="G611"/>
  <c r="L611" s="1"/>
  <c r="J611" s="1"/>
  <c r="E611"/>
  <c r="K610"/>
  <c r="G610"/>
  <c r="I610" s="1"/>
  <c r="E610"/>
  <c r="K609"/>
  <c r="G609"/>
  <c r="L609" s="1"/>
  <c r="E609"/>
  <c r="K608"/>
  <c r="G608"/>
  <c r="L608" s="1"/>
  <c r="J608" s="1"/>
  <c r="E608"/>
  <c r="K607"/>
  <c r="I607"/>
  <c r="G607"/>
  <c r="L607" s="1"/>
  <c r="J607" s="1"/>
  <c r="E607"/>
  <c r="K606"/>
  <c r="G606"/>
  <c r="I606" s="1"/>
  <c r="E606"/>
  <c r="K605"/>
  <c r="J605" s="1"/>
  <c r="G605"/>
  <c r="L605" s="1"/>
  <c r="E605"/>
  <c r="K604"/>
  <c r="G604"/>
  <c r="L604" s="1"/>
  <c r="J604" s="1"/>
  <c r="E604"/>
  <c r="K603"/>
  <c r="I603"/>
  <c r="G603"/>
  <c r="L603" s="1"/>
  <c r="J603" s="1"/>
  <c r="E603"/>
  <c r="K602"/>
  <c r="G602"/>
  <c r="I602" s="1"/>
  <c r="E602"/>
  <c r="K601"/>
  <c r="J601" s="1"/>
  <c r="G601"/>
  <c r="L601" s="1"/>
  <c r="E601"/>
  <c r="K600"/>
  <c r="G600"/>
  <c r="L600" s="1"/>
  <c r="J600" s="1"/>
  <c r="E600"/>
  <c r="K599"/>
  <c r="I599"/>
  <c r="G599"/>
  <c r="L599" s="1"/>
  <c r="J599" s="1"/>
  <c r="E599"/>
  <c r="K598"/>
  <c r="G598"/>
  <c r="I598" s="1"/>
  <c r="E598"/>
  <c r="K597"/>
  <c r="G597"/>
  <c r="L597" s="1"/>
  <c r="E597"/>
  <c r="K596"/>
  <c r="G596"/>
  <c r="L596" s="1"/>
  <c r="J596" s="1"/>
  <c r="E596"/>
  <c r="K595"/>
  <c r="I595"/>
  <c r="G595"/>
  <c r="L595" s="1"/>
  <c r="J595" s="1"/>
  <c r="E595"/>
  <c r="K594"/>
  <c r="G594"/>
  <c r="I594" s="1"/>
  <c r="E594"/>
  <c r="K593"/>
  <c r="G593"/>
  <c r="L593" s="1"/>
  <c r="E593"/>
  <c r="K592"/>
  <c r="G592"/>
  <c r="L592" s="1"/>
  <c r="J592" s="1"/>
  <c r="E592"/>
  <c r="K591"/>
  <c r="I591"/>
  <c r="G591"/>
  <c r="L591" s="1"/>
  <c r="J591" s="1"/>
  <c r="E591"/>
  <c r="K590"/>
  <c r="G590"/>
  <c r="I590" s="1"/>
  <c r="E590"/>
  <c r="K589"/>
  <c r="J589" s="1"/>
  <c r="G589"/>
  <c r="L589" s="1"/>
  <c r="E589"/>
  <c r="K588"/>
  <c r="G588"/>
  <c r="L588" s="1"/>
  <c r="J588" s="1"/>
  <c r="E588"/>
  <c r="K587"/>
  <c r="I587"/>
  <c r="G587"/>
  <c r="L587" s="1"/>
  <c r="J587" s="1"/>
  <c r="E587"/>
  <c r="K586"/>
  <c r="G586"/>
  <c r="I586" s="1"/>
  <c r="E586"/>
  <c r="K585"/>
  <c r="J585" s="1"/>
  <c r="G585"/>
  <c r="L585" s="1"/>
  <c r="E585"/>
  <c r="K584"/>
  <c r="G584"/>
  <c r="L584" s="1"/>
  <c r="J584" s="1"/>
  <c r="E584"/>
  <c r="K583"/>
  <c r="I583"/>
  <c r="G583"/>
  <c r="L583" s="1"/>
  <c r="J583" s="1"/>
  <c r="E583"/>
  <c r="K582"/>
  <c r="G582"/>
  <c r="I582" s="1"/>
  <c r="E582"/>
  <c r="K581"/>
  <c r="G581"/>
  <c r="L581" s="1"/>
  <c r="E581"/>
  <c r="K580"/>
  <c r="G580"/>
  <c r="L580" s="1"/>
  <c r="J580" s="1"/>
  <c r="E580"/>
  <c r="K579"/>
  <c r="I579"/>
  <c r="G579"/>
  <c r="L579" s="1"/>
  <c r="J579" s="1"/>
  <c r="E579"/>
  <c r="K578"/>
  <c r="G578"/>
  <c r="I578" s="1"/>
  <c r="E578"/>
  <c r="K577"/>
  <c r="G577"/>
  <c r="L577" s="1"/>
  <c r="E577"/>
  <c r="K576"/>
  <c r="G576"/>
  <c r="L576" s="1"/>
  <c r="J576" s="1"/>
  <c r="E576"/>
  <c r="K575"/>
  <c r="I575"/>
  <c r="G575"/>
  <c r="L575" s="1"/>
  <c r="J575" s="1"/>
  <c r="E575"/>
  <c r="K574"/>
  <c r="G574"/>
  <c r="I574" s="1"/>
  <c r="E574"/>
  <c r="K573"/>
  <c r="J573" s="1"/>
  <c r="G573"/>
  <c r="L573" s="1"/>
  <c r="E573"/>
  <c r="K572"/>
  <c r="G572"/>
  <c r="L572" s="1"/>
  <c r="J572" s="1"/>
  <c r="E572"/>
  <c r="K571"/>
  <c r="I571"/>
  <c r="G571"/>
  <c r="L571" s="1"/>
  <c r="J571" s="1"/>
  <c r="E571"/>
  <c r="K570"/>
  <c r="G570"/>
  <c r="I570" s="1"/>
  <c r="E570"/>
  <c r="K569"/>
  <c r="J569" s="1"/>
  <c r="G569"/>
  <c r="L569" s="1"/>
  <c r="E569"/>
  <c r="K568"/>
  <c r="G568"/>
  <c r="L568" s="1"/>
  <c r="J568" s="1"/>
  <c r="E568"/>
  <c r="K567"/>
  <c r="I567"/>
  <c r="G567"/>
  <c r="L567" s="1"/>
  <c r="J567" s="1"/>
  <c r="E567"/>
  <c r="K566"/>
  <c r="G566"/>
  <c r="I566" s="1"/>
  <c r="E566"/>
  <c r="K565"/>
  <c r="G565"/>
  <c r="L565" s="1"/>
  <c r="E565"/>
  <c r="K564"/>
  <c r="G564"/>
  <c r="L564" s="1"/>
  <c r="J564" s="1"/>
  <c r="E564"/>
  <c r="K563"/>
  <c r="I563"/>
  <c r="G563"/>
  <c r="L563" s="1"/>
  <c r="J563" s="1"/>
  <c r="E563"/>
  <c r="K562"/>
  <c r="G562"/>
  <c r="I562" s="1"/>
  <c r="E562"/>
  <c r="K561"/>
  <c r="G561"/>
  <c r="L561" s="1"/>
  <c r="E561"/>
  <c r="K560"/>
  <c r="G560"/>
  <c r="L560" s="1"/>
  <c r="J560" s="1"/>
  <c r="E560"/>
  <c r="K559"/>
  <c r="I559"/>
  <c r="G559"/>
  <c r="L559" s="1"/>
  <c r="J559" s="1"/>
  <c r="E559"/>
  <c r="K558"/>
  <c r="G558"/>
  <c r="I558" s="1"/>
  <c r="E558"/>
  <c r="K557"/>
  <c r="J557" s="1"/>
  <c r="G557"/>
  <c r="L557" s="1"/>
  <c r="E557"/>
  <c r="K556"/>
  <c r="J556"/>
  <c r="G556"/>
  <c r="L556" s="1"/>
  <c r="E556"/>
  <c r="K555"/>
  <c r="I555"/>
  <c r="G555"/>
  <c r="L555" s="1"/>
  <c r="J555" s="1"/>
  <c r="E555"/>
  <c r="K554"/>
  <c r="G554"/>
  <c r="I554" s="1"/>
  <c r="E554"/>
  <c r="K553"/>
  <c r="J553" s="1"/>
  <c r="G553"/>
  <c r="L553" s="1"/>
  <c r="E553"/>
  <c r="K552"/>
  <c r="J552"/>
  <c r="G552"/>
  <c r="L552" s="1"/>
  <c r="E552"/>
  <c r="K551"/>
  <c r="I551"/>
  <c r="G551"/>
  <c r="L551" s="1"/>
  <c r="J551" s="1"/>
  <c r="E551"/>
  <c r="K550"/>
  <c r="G550"/>
  <c r="I550" s="1"/>
  <c r="E550"/>
  <c r="K549"/>
  <c r="J549" s="1"/>
  <c r="G549"/>
  <c r="L549" s="1"/>
  <c r="E549"/>
  <c r="K548"/>
  <c r="J548"/>
  <c r="G548"/>
  <c r="L548" s="1"/>
  <c r="E548"/>
  <c r="K547"/>
  <c r="I547"/>
  <c r="G547"/>
  <c r="L547" s="1"/>
  <c r="J547" s="1"/>
  <c r="E547"/>
  <c r="K546"/>
  <c r="G546"/>
  <c r="I546" s="1"/>
  <c r="E546"/>
  <c r="K545"/>
  <c r="J545" s="1"/>
  <c r="G545"/>
  <c r="L545" s="1"/>
  <c r="E545"/>
  <c r="K544"/>
  <c r="J544"/>
  <c r="G544"/>
  <c r="L544" s="1"/>
  <c r="E544"/>
  <c r="K543"/>
  <c r="I543"/>
  <c r="G543"/>
  <c r="L543" s="1"/>
  <c r="J543" s="1"/>
  <c r="E543"/>
  <c r="K542"/>
  <c r="G542"/>
  <c r="I542" s="1"/>
  <c r="E542"/>
  <c r="K541"/>
  <c r="J541" s="1"/>
  <c r="G541"/>
  <c r="L541" s="1"/>
  <c r="E541"/>
  <c r="K540"/>
  <c r="J540"/>
  <c r="G540"/>
  <c r="L540" s="1"/>
  <c r="E540"/>
  <c r="K539"/>
  <c r="I539"/>
  <c r="G539"/>
  <c r="L539" s="1"/>
  <c r="J539" s="1"/>
  <c r="E539"/>
  <c r="K538"/>
  <c r="G538"/>
  <c r="I538" s="1"/>
  <c r="E538"/>
  <c r="K537"/>
  <c r="J537" s="1"/>
  <c r="G537"/>
  <c r="L537" s="1"/>
  <c r="E537"/>
  <c r="K536"/>
  <c r="J536"/>
  <c r="G536"/>
  <c r="L536" s="1"/>
  <c r="E536"/>
  <c r="K535"/>
  <c r="I535"/>
  <c r="G535"/>
  <c r="L535" s="1"/>
  <c r="J535" s="1"/>
  <c r="E535"/>
  <c r="K534"/>
  <c r="G534"/>
  <c r="I534" s="1"/>
  <c r="E534"/>
  <c r="K533"/>
  <c r="J533" s="1"/>
  <c r="G533"/>
  <c r="L533" s="1"/>
  <c r="E533"/>
  <c r="K532"/>
  <c r="J532"/>
  <c r="G532"/>
  <c r="L532" s="1"/>
  <c r="E532"/>
  <c r="K531"/>
  <c r="I531"/>
  <c r="G531"/>
  <c r="L531" s="1"/>
  <c r="J531" s="1"/>
  <c r="E531"/>
  <c r="K530"/>
  <c r="G530"/>
  <c r="I530" s="1"/>
  <c r="E530"/>
  <c r="K529"/>
  <c r="J529" s="1"/>
  <c r="G529"/>
  <c r="L529" s="1"/>
  <c r="E529"/>
  <c r="K528"/>
  <c r="J528"/>
  <c r="G528"/>
  <c r="L528" s="1"/>
  <c r="E528"/>
  <c r="K527"/>
  <c r="I527"/>
  <c r="G527"/>
  <c r="L527" s="1"/>
  <c r="J527" s="1"/>
  <c r="E527"/>
  <c r="K526"/>
  <c r="G526"/>
  <c r="I526" s="1"/>
  <c r="E526"/>
  <c r="K525"/>
  <c r="J525" s="1"/>
  <c r="G525"/>
  <c r="L525" s="1"/>
  <c r="E525"/>
  <c r="K524"/>
  <c r="J524"/>
  <c r="G524"/>
  <c r="L524" s="1"/>
  <c r="E524"/>
  <c r="K523"/>
  <c r="I523"/>
  <c r="G523"/>
  <c r="L523" s="1"/>
  <c r="J523" s="1"/>
  <c r="E523"/>
  <c r="K522"/>
  <c r="G522"/>
  <c r="I522" s="1"/>
  <c r="E522"/>
  <c r="K521"/>
  <c r="J521" s="1"/>
  <c r="G521"/>
  <c r="L521" s="1"/>
  <c r="E521"/>
  <c r="K520"/>
  <c r="J520"/>
  <c r="G520"/>
  <c r="L520" s="1"/>
  <c r="E520"/>
  <c r="K519"/>
  <c r="I519"/>
  <c r="G519"/>
  <c r="L519" s="1"/>
  <c r="J519" s="1"/>
  <c r="E519"/>
  <c r="K518"/>
  <c r="G518"/>
  <c r="I518" s="1"/>
  <c r="E518"/>
  <c r="K517"/>
  <c r="J517" s="1"/>
  <c r="G517"/>
  <c r="L517" s="1"/>
  <c r="E517"/>
  <c r="K516"/>
  <c r="J516"/>
  <c r="G516"/>
  <c r="L516" s="1"/>
  <c r="E516"/>
  <c r="K515"/>
  <c r="I515"/>
  <c r="G515"/>
  <c r="L515" s="1"/>
  <c r="J515" s="1"/>
  <c r="E515"/>
  <c r="K514"/>
  <c r="G514"/>
  <c r="I514" s="1"/>
  <c r="E514"/>
  <c r="K513"/>
  <c r="J513" s="1"/>
  <c r="G513"/>
  <c r="L513" s="1"/>
  <c r="E513"/>
  <c r="K512"/>
  <c r="J512"/>
  <c r="G512"/>
  <c r="L512" s="1"/>
  <c r="E512"/>
  <c r="K511"/>
  <c r="I511"/>
  <c r="G511"/>
  <c r="L511" s="1"/>
  <c r="J511" s="1"/>
  <c r="E511"/>
  <c r="K510"/>
  <c r="G510"/>
  <c r="I510" s="1"/>
  <c r="E510"/>
  <c r="K509"/>
  <c r="J509" s="1"/>
  <c r="G509"/>
  <c r="L509" s="1"/>
  <c r="E509"/>
  <c r="K508"/>
  <c r="J508"/>
  <c r="G508"/>
  <c r="L508" s="1"/>
  <c r="E508"/>
  <c r="K507"/>
  <c r="I507"/>
  <c r="G507"/>
  <c r="L507" s="1"/>
  <c r="J507" s="1"/>
  <c r="E507"/>
  <c r="K506"/>
  <c r="G506"/>
  <c r="I506" s="1"/>
  <c r="E506"/>
  <c r="K505"/>
  <c r="J505" s="1"/>
  <c r="G505"/>
  <c r="L505" s="1"/>
  <c r="E505"/>
  <c r="K504"/>
  <c r="J504"/>
  <c r="G504"/>
  <c r="L504" s="1"/>
  <c r="E504"/>
  <c r="K503"/>
  <c r="I503"/>
  <c r="G503"/>
  <c r="L503" s="1"/>
  <c r="J503" s="1"/>
  <c r="E503"/>
  <c r="K502"/>
  <c r="G502"/>
  <c r="I502" s="1"/>
  <c r="E502"/>
  <c r="K501"/>
  <c r="J501" s="1"/>
  <c r="G501"/>
  <c r="L501" s="1"/>
  <c r="E501"/>
  <c r="K500"/>
  <c r="J500"/>
  <c r="G500"/>
  <c r="L500" s="1"/>
  <c r="E500"/>
  <c r="K499"/>
  <c r="I499"/>
  <c r="G499"/>
  <c r="L499" s="1"/>
  <c r="J499" s="1"/>
  <c r="E499"/>
  <c r="K498"/>
  <c r="G498"/>
  <c r="I498" s="1"/>
  <c r="E498"/>
  <c r="K497"/>
  <c r="J497" s="1"/>
  <c r="G497"/>
  <c r="L497" s="1"/>
  <c r="E497"/>
  <c r="K496"/>
  <c r="J496"/>
  <c r="G496"/>
  <c r="L496" s="1"/>
  <c r="E496"/>
  <c r="K495"/>
  <c r="I495"/>
  <c r="G495"/>
  <c r="L495" s="1"/>
  <c r="J495" s="1"/>
  <c r="E495"/>
  <c r="K494"/>
  <c r="G494"/>
  <c r="I494" s="1"/>
  <c r="E494"/>
  <c r="K493"/>
  <c r="J493" s="1"/>
  <c r="G493"/>
  <c r="L493" s="1"/>
  <c r="E493"/>
  <c r="K492"/>
  <c r="J492" s="1"/>
  <c r="G492"/>
  <c r="L492" s="1"/>
  <c r="E492"/>
  <c r="K491"/>
  <c r="I491"/>
  <c r="G491"/>
  <c r="L491" s="1"/>
  <c r="J491" s="1"/>
  <c r="E491"/>
  <c r="L490"/>
  <c r="J490" s="1"/>
  <c r="N490" s="1"/>
  <c r="K490"/>
  <c r="G490"/>
  <c r="I490" s="1"/>
  <c r="E490"/>
  <c r="L489"/>
  <c r="K489"/>
  <c r="G489"/>
  <c r="I489" s="1"/>
  <c r="E489"/>
  <c r="K488"/>
  <c r="J488" s="1"/>
  <c r="G488"/>
  <c r="L488" s="1"/>
  <c r="E488"/>
  <c r="K487"/>
  <c r="I487"/>
  <c r="G487"/>
  <c r="L487" s="1"/>
  <c r="J487" s="1"/>
  <c r="E487"/>
  <c r="L486"/>
  <c r="J486" s="1"/>
  <c r="K486"/>
  <c r="G486"/>
  <c r="I486" s="1"/>
  <c r="E486"/>
  <c r="K485"/>
  <c r="G485"/>
  <c r="I485" s="1"/>
  <c r="E485"/>
  <c r="K484"/>
  <c r="G484"/>
  <c r="I484" s="1"/>
  <c r="E484"/>
  <c r="K483"/>
  <c r="J483" s="1"/>
  <c r="I483"/>
  <c r="G483"/>
  <c r="L483" s="1"/>
  <c r="E483"/>
  <c r="K482"/>
  <c r="I482"/>
  <c r="G482"/>
  <c r="L482" s="1"/>
  <c r="J482" s="1"/>
  <c r="E482"/>
  <c r="K481"/>
  <c r="G481"/>
  <c r="I481" s="1"/>
  <c r="E481"/>
  <c r="K480"/>
  <c r="G480"/>
  <c r="I480" s="1"/>
  <c r="E480"/>
  <c r="K479"/>
  <c r="J479" s="1"/>
  <c r="I479"/>
  <c r="G479"/>
  <c r="L479" s="1"/>
  <c r="E479"/>
  <c r="K478"/>
  <c r="I478"/>
  <c r="G478"/>
  <c r="L478" s="1"/>
  <c r="J478" s="1"/>
  <c r="E478"/>
  <c r="K477"/>
  <c r="G477"/>
  <c r="I477" s="1"/>
  <c r="E477"/>
  <c r="K476"/>
  <c r="G476"/>
  <c r="I476" s="1"/>
  <c r="E476"/>
  <c r="K475"/>
  <c r="J475" s="1"/>
  <c r="I475"/>
  <c r="G475"/>
  <c r="L475" s="1"/>
  <c r="E475"/>
  <c r="K474"/>
  <c r="I474"/>
  <c r="G474"/>
  <c r="L474" s="1"/>
  <c r="J474" s="1"/>
  <c r="E474"/>
  <c r="K473"/>
  <c r="G473"/>
  <c r="I473" s="1"/>
  <c r="E473"/>
  <c r="K472"/>
  <c r="G472"/>
  <c r="I472" s="1"/>
  <c r="E472"/>
  <c r="K471"/>
  <c r="J471" s="1"/>
  <c r="I471"/>
  <c r="G471"/>
  <c r="L471" s="1"/>
  <c r="E471"/>
  <c r="K470"/>
  <c r="I470"/>
  <c r="G470"/>
  <c r="L470" s="1"/>
  <c r="J470" s="1"/>
  <c r="E470"/>
  <c r="K469"/>
  <c r="G469"/>
  <c r="I469" s="1"/>
  <c r="E469"/>
  <c r="K468"/>
  <c r="G468"/>
  <c r="I468" s="1"/>
  <c r="E468"/>
  <c r="K467"/>
  <c r="J467" s="1"/>
  <c r="I467"/>
  <c r="G467"/>
  <c r="L467" s="1"/>
  <c r="E467"/>
  <c r="K466"/>
  <c r="I466"/>
  <c r="G466"/>
  <c r="L466" s="1"/>
  <c r="J466" s="1"/>
  <c r="E466"/>
  <c r="K465"/>
  <c r="G465"/>
  <c r="I465" s="1"/>
  <c r="E465"/>
  <c r="K464"/>
  <c r="G464"/>
  <c r="I464" s="1"/>
  <c r="E464"/>
  <c r="K463"/>
  <c r="J463" s="1"/>
  <c r="I463"/>
  <c r="G463"/>
  <c r="L463" s="1"/>
  <c r="E463"/>
  <c r="K462"/>
  <c r="I462"/>
  <c r="G462"/>
  <c r="L462" s="1"/>
  <c r="J462" s="1"/>
  <c r="E462"/>
  <c r="K461"/>
  <c r="G461"/>
  <c r="I461" s="1"/>
  <c r="E461"/>
  <c r="K460"/>
  <c r="G460"/>
  <c r="I460" s="1"/>
  <c r="E460"/>
  <c r="K459"/>
  <c r="J459" s="1"/>
  <c r="I459"/>
  <c r="G459"/>
  <c r="L459" s="1"/>
  <c r="E459"/>
  <c r="K458"/>
  <c r="I458"/>
  <c r="G458"/>
  <c r="L458" s="1"/>
  <c r="J458" s="1"/>
  <c r="E458"/>
  <c r="K457"/>
  <c r="G457"/>
  <c r="I457" s="1"/>
  <c r="E457"/>
  <c r="K456"/>
  <c r="G456"/>
  <c r="I456" s="1"/>
  <c r="E456"/>
  <c r="K455"/>
  <c r="J455" s="1"/>
  <c r="I455"/>
  <c r="G455"/>
  <c r="L455" s="1"/>
  <c r="E455"/>
  <c r="K454"/>
  <c r="I454"/>
  <c r="G454"/>
  <c r="L454" s="1"/>
  <c r="J454" s="1"/>
  <c r="E454"/>
  <c r="K453"/>
  <c r="G453"/>
  <c r="I453" s="1"/>
  <c r="E453"/>
  <c r="K452"/>
  <c r="G452"/>
  <c r="I452" s="1"/>
  <c r="E452"/>
  <c r="K451"/>
  <c r="J451" s="1"/>
  <c r="I451"/>
  <c r="G451"/>
  <c r="L451" s="1"/>
  <c r="E451"/>
  <c r="K450"/>
  <c r="I450"/>
  <c r="G450"/>
  <c r="L450" s="1"/>
  <c r="J450" s="1"/>
  <c r="E450"/>
  <c r="K449"/>
  <c r="G449"/>
  <c r="I449" s="1"/>
  <c r="E449"/>
  <c r="K448"/>
  <c r="G448"/>
  <c r="I448" s="1"/>
  <c r="E448"/>
  <c r="K447"/>
  <c r="J447" s="1"/>
  <c r="I447"/>
  <c r="G447"/>
  <c r="L447" s="1"/>
  <c r="E447"/>
  <c r="K446"/>
  <c r="I446"/>
  <c r="G446"/>
  <c r="L446" s="1"/>
  <c r="J446" s="1"/>
  <c r="E446"/>
  <c r="K445"/>
  <c r="G445"/>
  <c r="I445" s="1"/>
  <c r="E445"/>
  <c r="K444"/>
  <c r="G444"/>
  <c r="I444" s="1"/>
  <c r="E444"/>
  <c r="K443"/>
  <c r="J443" s="1"/>
  <c r="I443"/>
  <c r="G443"/>
  <c r="L443" s="1"/>
  <c r="E443"/>
  <c r="K442"/>
  <c r="I442"/>
  <c r="G442"/>
  <c r="L442" s="1"/>
  <c r="J442" s="1"/>
  <c r="E442"/>
  <c r="K441"/>
  <c r="G441"/>
  <c r="I441" s="1"/>
  <c r="E441"/>
  <c r="K440"/>
  <c r="G440"/>
  <c r="I440" s="1"/>
  <c r="E440"/>
  <c r="K439"/>
  <c r="J439" s="1"/>
  <c r="I439"/>
  <c r="G439"/>
  <c r="L439" s="1"/>
  <c r="E439"/>
  <c r="K438"/>
  <c r="I438"/>
  <c r="G438"/>
  <c r="L438" s="1"/>
  <c r="J438" s="1"/>
  <c r="E438"/>
  <c r="K437"/>
  <c r="G437"/>
  <c r="I437" s="1"/>
  <c r="E437"/>
  <c r="K436"/>
  <c r="G436"/>
  <c r="I436" s="1"/>
  <c r="E436"/>
  <c r="K435"/>
  <c r="J435" s="1"/>
  <c r="I435"/>
  <c r="G435"/>
  <c r="L435" s="1"/>
  <c r="E435"/>
  <c r="K434"/>
  <c r="I434"/>
  <c r="G434"/>
  <c r="L434" s="1"/>
  <c r="J434" s="1"/>
  <c r="E434"/>
  <c r="K433"/>
  <c r="I433"/>
  <c r="G433"/>
  <c r="L433" s="1"/>
  <c r="E433"/>
  <c r="K432"/>
  <c r="J432" s="1"/>
  <c r="G432"/>
  <c r="L432" s="1"/>
  <c r="E432"/>
  <c r="K431"/>
  <c r="J431" s="1"/>
  <c r="I431"/>
  <c r="G431"/>
  <c r="L431" s="1"/>
  <c r="E431"/>
  <c r="K430"/>
  <c r="I430"/>
  <c r="G430"/>
  <c r="L430" s="1"/>
  <c r="J430" s="1"/>
  <c r="E430"/>
  <c r="K429"/>
  <c r="J429" s="1"/>
  <c r="I429"/>
  <c r="G429"/>
  <c r="L429" s="1"/>
  <c r="E429"/>
  <c r="K428"/>
  <c r="J428" s="1"/>
  <c r="G428"/>
  <c r="L428" s="1"/>
  <c r="E428"/>
  <c r="K427"/>
  <c r="J427" s="1"/>
  <c r="I427"/>
  <c r="G427"/>
  <c r="L427" s="1"/>
  <c r="E427"/>
  <c r="K426"/>
  <c r="I426"/>
  <c r="G426"/>
  <c r="L426" s="1"/>
  <c r="J426" s="1"/>
  <c r="E426"/>
  <c r="K425"/>
  <c r="J425" s="1"/>
  <c r="I425"/>
  <c r="G425"/>
  <c r="L425" s="1"/>
  <c r="E425"/>
  <c r="K424"/>
  <c r="J424" s="1"/>
  <c r="G424"/>
  <c r="L424" s="1"/>
  <c r="E424"/>
  <c r="K423"/>
  <c r="I423"/>
  <c r="G423"/>
  <c r="L423" s="1"/>
  <c r="E423"/>
  <c r="K422"/>
  <c r="I422"/>
  <c r="G422"/>
  <c r="L422" s="1"/>
  <c r="J422" s="1"/>
  <c r="E422"/>
  <c r="K421"/>
  <c r="I421"/>
  <c r="G421"/>
  <c r="L421" s="1"/>
  <c r="E421"/>
  <c r="K420"/>
  <c r="G420"/>
  <c r="L420" s="1"/>
  <c r="E420"/>
  <c r="K419"/>
  <c r="I419"/>
  <c r="G419"/>
  <c r="L419" s="1"/>
  <c r="E419"/>
  <c r="K418"/>
  <c r="I418"/>
  <c r="G418"/>
  <c r="L418" s="1"/>
  <c r="J418" s="1"/>
  <c r="E418"/>
  <c r="K417"/>
  <c r="I417"/>
  <c r="G417"/>
  <c r="L417" s="1"/>
  <c r="E417"/>
  <c r="K416"/>
  <c r="J416" s="1"/>
  <c r="G416"/>
  <c r="L416" s="1"/>
  <c r="E416"/>
  <c r="K415"/>
  <c r="J415" s="1"/>
  <c r="I415"/>
  <c r="G415"/>
  <c r="L415" s="1"/>
  <c r="E415"/>
  <c r="K414"/>
  <c r="I414"/>
  <c r="G414"/>
  <c r="L414" s="1"/>
  <c r="J414" s="1"/>
  <c r="E414"/>
  <c r="K413"/>
  <c r="J413" s="1"/>
  <c r="I413"/>
  <c r="G413"/>
  <c r="L413" s="1"/>
  <c r="E413"/>
  <c r="K412"/>
  <c r="J412" s="1"/>
  <c r="G412"/>
  <c r="L412" s="1"/>
  <c r="E412"/>
  <c r="K411"/>
  <c r="J411" s="1"/>
  <c r="I411"/>
  <c r="G411"/>
  <c r="L411" s="1"/>
  <c r="E411"/>
  <c r="K410"/>
  <c r="I410"/>
  <c r="G410"/>
  <c r="L410" s="1"/>
  <c r="J410" s="1"/>
  <c r="E410"/>
  <c r="K409"/>
  <c r="J409" s="1"/>
  <c r="I409"/>
  <c r="G409"/>
  <c r="L409" s="1"/>
  <c r="E409"/>
  <c r="K408"/>
  <c r="J408" s="1"/>
  <c r="G408"/>
  <c r="L408" s="1"/>
  <c r="E408"/>
  <c r="K407"/>
  <c r="I407"/>
  <c r="G407"/>
  <c r="L407" s="1"/>
  <c r="E407"/>
  <c r="K406"/>
  <c r="I406"/>
  <c r="G406"/>
  <c r="L406" s="1"/>
  <c r="J406" s="1"/>
  <c r="E406"/>
  <c r="K405"/>
  <c r="I405"/>
  <c r="G405"/>
  <c r="L405" s="1"/>
  <c r="E405"/>
  <c r="K404"/>
  <c r="G404"/>
  <c r="L404" s="1"/>
  <c r="E404"/>
  <c r="K403"/>
  <c r="I403"/>
  <c r="G403"/>
  <c r="L403" s="1"/>
  <c r="E403"/>
  <c r="K402"/>
  <c r="I402"/>
  <c r="G402"/>
  <c r="L402" s="1"/>
  <c r="J402" s="1"/>
  <c r="E402"/>
  <c r="K401"/>
  <c r="I401"/>
  <c r="G401"/>
  <c r="L401" s="1"/>
  <c r="E401"/>
  <c r="K400"/>
  <c r="J400" s="1"/>
  <c r="G400"/>
  <c r="L400" s="1"/>
  <c r="E400"/>
  <c r="K399"/>
  <c r="J399" s="1"/>
  <c r="I399"/>
  <c r="G399"/>
  <c r="L399" s="1"/>
  <c r="E399"/>
  <c r="K398"/>
  <c r="I398"/>
  <c r="G398"/>
  <c r="L398" s="1"/>
  <c r="J398" s="1"/>
  <c r="E398"/>
  <c r="K397"/>
  <c r="J397" s="1"/>
  <c r="I397"/>
  <c r="G397"/>
  <c r="L397" s="1"/>
  <c r="E397"/>
  <c r="K396"/>
  <c r="J396" s="1"/>
  <c r="G396"/>
  <c r="L396" s="1"/>
  <c r="E396"/>
  <c r="K395"/>
  <c r="J395" s="1"/>
  <c r="I395"/>
  <c r="G395"/>
  <c r="L395" s="1"/>
  <c r="E395"/>
  <c r="K394"/>
  <c r="I394"/>
  <c r="G394"/>
  <c r="L394" s="1"/>
  <c r="J394" s="1"/>
  <c r="E394"/>
  <c r="K393"/>
  <c r="J393" s="1"/>
  <c r="I393"/>
  <c r="G393"/>
  <c r="L393" s="1"/>
  <c r="E393"/>
  <c r="K392"/>
  <c r="J392" s="1"/>
  <c r="G392"/>
  <c r="L392" s="1"/>
  <c r="E392"/>
  <c r="K391"/>
  <c r="I391"/>
  <c r="G391"/>
  <c r="L391" s="1"/>
  <c r="E391"/>
  <c r="K390"/>
  <c r="I390"/>
  <c r="G390"/>
  <c r="L390" s="1"/>
  <c r="J390" s="1"/>
  <c r="E390"/>
  <c r="K389"/>
  <c r="I389"/>
  <c r="G389"/>
  <c r="L389" s="1"/>
  <c r="E389"/>
  <c r="K388"/>
  <c r="G388"/>
  <c r="L388" s="1"/>
  <c r="E388"/>
  <c r="K387"/>
  <c r="I387"/>
  <c r="G387"/>
  <c r="L387" s="1"/>
  <c r="E387"/>
  <c r="K386"/>
  <c r="I386"/>
  <c r="G386"/>
  <c r="L386" s="1"/>
  <c r="J386" s="1"/>
  <c r="E386"/>
  <c r="K385"/>
  <c r="I385"/>
  <c r="G385"/>
  <c r="L385" s="1"/>
  <c r="E385"/>
  <c r="K384"/>
  <c r="J384" s="1"/>
  <c r="G384"/>
  <c r="L384" s="1"/>
  <c r="E384"/>
  <c r="K383"/>
  <c r="J383" s="1"/>
  <c r="I383"/>
  <c r="G383"/>
  <c r="L383" s="1"/>
  <c r="E383"/>
  <c r="K382"/>
  <c r="I382"/>
  <c r="G382"/>
  <c r="L382" s="1"/>
  <c r="J382" s="1"/>
  <c r="E382"/>
  <c r="K381"/>
  <c r="J381" s="1"/>
  <c r="I381"/>
  <c r="G381"/>
  <c r="L381" s="1"/>
  <c r="E381"/>
  <c r="K380"/>
  <c r="J380" s="1"/>
  <c r="G380"/>
  <c r="L380" s="1"/>
  <c r="E380"/>
  <c r="K379"/>
  <c r="J379" s="1"/>
  <c r="I379"/>
  <c r="G379"/>
  <c r="L379" s="1"/>
  <c r="E379"/>
  <c r="K378"/>
  <c r="I378"/>
  <c r="G378"/>
  <c r="L378" s="1"/>
  <c r="J378" s="1"/>
  <c r="E378"/>
  <c r="K377"/>
  <c r="J377" s="1"/>
  <c r="I377"/>
  <c r="G377"/>
  <c r="L377" s="1"/>
  <c r="E377"/>
  <c r="K376"/>
  <c r="J376" s="1"/>
  <c r="G376"/>
  <c r="L376" s="1"/>
  <c r="E376"/>
  <c r="K375"/>
  <c r="I375"/>
  <c r="G375"/>
  <c r="L375" s="1"/>
  <c r="E375"/>
  <c r="K374"/>
  <c r="I374"/>
  <c r="G374"/>
  <c r="L374" s="1"/>
  <c r="J374" s="1"/>
  <c r="E374"/>
  <c r="K373"/>
  <c r="I373"/>
  <c r="G373"/>
  <c r="L373" s="1"/>
  <c r="E373"/>
  <c r="K372"/>
  <c r="G372"/>
  <c r="L372" s="1"/>
  <c r="E372"/>
  <c r="K371"/>
  <c r="I371"/>
  <c r="G371"/>
  <c r="L371" s="1"/>
  <c r="E371"/>
  <c r="K370"/>
  <c r="I370"/>
  <c r="G370"/>
  <c r="L370" s="1"/>
  <c r="J370" s="1"/>
  <c r="E370"/>
  <c r="K369"/>
  <c r="I369"/>
  <c r="G369"/>
  <c r="L369" s="1"/>
  <c r="E369"/>
  <c r="K368"/>
  <c r="J368" s="1"/>
  <c r="G368"/>
  <c r="L368" s="1"/>
  <c r="E368"/>
  <c r="K367"/>
  <c r="J367" s="1"/>
  <c r="I367"/>
  <c r="G367"/>
  <c r="L367" s="1"/>
  <c r="E367"/>
  <c r="K366"/>
  <c r="I366"/>
  <c r="G366"/>
  <c r="L366" s="1"/>
  <c r="J366" s="1"/>
  <c r="E366"/>
  <c r="K365"/>
  <c r="J365" s="1"/>
  <c r="I365"/>
  <c r="G365"/>
  <c r="L365" s="1"/>
  <c r="E365"/>
  <c r="K364"/>
  <c r="J364" s="1"/>
  <c r="G364"/>
  <c r="L364" s="1"/>
  <c r="E364"/>
  <c r="K363"/>
  <c r="J363" s="1"/>
  <c r="I363"/>
  <c r="G363"/>
  <c r="L363" s="1"/>
  <c r="E363"/>
  <c r="K362"/>
  <c r="I362"/>
  <c r="G362"/>
  <c r="L362" s="1"/>
  <c r="J362" s="1"/>
  <c r="E362"/>
  <c r="K361"/>
  <c r="J361" s="1"/>
  <c r="I361"/>
  <c r="G361"/>
  <c r="L361" s="1"/>
  <c r="E361"/>
  <c r="K360"/>
  <c r="J360" s="1"/>
  <c r="G360"/>
  <c r="L360" s="1"/>
  <c r="E360"/>
  <c r="K359"/>
  <c r="I359"/>
  <c r="G359"/>
  <c r="L359" s="1"/>
  <c r="E359"/>
  <c r="K358"/>
  <c r="I358"/>
  <c r="G358"/>
  <c r="L358" s="1"/>
  <c r="J358" s="1"/>
  <c r="E358"/>
  <c r="K357"/>
  <c r="I357"/>
  <c r="G357"/>
  <c r="L357" s="1"/>
  <c r="E357"/>
  <c r="K356"/>
  <c r="G356"/>
  <c r="L356" s="1"/>
  <c r="E356"/>
  <c r="K355"/>
  <c r="I355"/>
  <c r="G355"/>
  <c r="L355" s="1"/>
  <c r="E355"/>
  <c r="K354"/>
  <c r="I354"/>
  <c r="G354"/>
  <c r="L354" s="1"/>
  <c r="J354" s="1"/>
  <c r="E354"/>
  <c r="K353"/>
  <c r="I353"/>
  <c r="G353"/>
  <c r="L353" s="1"/>
  <c r="E353"/>
  <c r="K352"/>
  <c r="J352" s="1"/>
  <c r="G352"/>
  <c r="L352" s="1"/>
  <c r="E352"/>
  <c r="K351"/>
  <c r="J351" s="1"/>
  <c r="I351"/>
  <c r="G351"/>
  <c r="L351" s="1"/>
  <c r="E351"/>
  <c r="K350"/>
  <c r="I350"/>
  <c r="G350"/>
  <c r="L350" s="1"/>
  <c r="J350" s="1"/>
  <c r="E350"/>
  <c r="K349"/>
  <c r="J349" s="1"/>
  <c r="I349"/>
  <c r="G349"/>
  <c r="L349" s="1"/>
  <c r="E349"/>
  <c r="K348"/>
  <c r="J348" s="1"/>
  <c r="G348"/>
  <c r="L348" s="1"/>
  <c r="E348"/>
  <c r="K347"/>
  <c r="J347" s="1"/>
  <c r="I347"/>
  <c r="G347"/>
  <c r="L347" s="1"/>
  <c r="E347"/>
  <c r="K346"/>
  <c r="I346"/>
  <c r="G346"/>
  <c r="L346" s="1"/>
  <c r="J346" s="1"/>
  <c r="E346"/>
  <c r="K345"/>
  <c r="J345" s="1"/>
  <c r="I345"/>
  <c r="G345"/>
  <c r="L345" s="1"/>
  <c r="E345"/>
  <c r="K344"/>
  <c r="J344" s="1"/>
  <c r="G344"/>
  <c r="L344" s="1"/>
  <c r="E344"/>
  <c r="K343"/>
  <c r="I343"/>
  <c r="G343"/>
  <c r="L343" s="1"/>
  <c r="E343"/>
  <c r="K342"/>
  <c r="I342"/>
  <c r="G342"/>
  <c r="L342" s="1"/>
  <c r="J342" s="1"/>
  <c r="E342"/>
  <c r="K341"/>
  <c r="I341"/>
  <c r="G341"/>
  <c r="L341" s="1"/>
  <c r="E341"/>
  <c r="K340"/>
  <c r="G340"/>
  <c r="L340" s="1"/>
  <c r="E340"/>
  <c r="K339"/>
  <c r="I339"/>
  <c r="G339"/>
  <c r="L339" s="1"/>
  <c r="E339"/>
  <c r="K338"/>
  <c r="I338"/>
  <c r="G338"/>
  <c r="L338" s="1"/>
  <c r="J338" s="1"/>
  <c r="E338"/>
  <c r="K337"/>
  <c r="I337"/>
  <c r="G337"/>
  <c r="L337" s="1"/>
  <c r="E337"/>
  <c r="K336"/>
  <c r="J336" s="1"/>
  <c r="G336"/>
  <c r="L336" s="1"/>
  <c r="E336"/>
  <c r="K335"/>
  <c r="J335" s="1"/>
  <c r="I335"/>
  <c r="G335"/>
  <c r="L335" s="1"/>
  <c r="E335"/>
  <c r="K334"/>
  <c r="I334"/>
  <c r="G334"/>
  <c r="L334" s="1"/>
  <c r="J334" s="1"/>
  <c r="E334"/>
  <c r="K333"/>
  <c r="J333" s="1"/>
  <c r="I333"/>
  <c r="G333"/>
  <c r="L333" s="1"/>
  <c r="E333"/>
  <c r="K332"/>
  <c r="J332" s="1"/>
  <c r="G332"/>
  <c r="L332" s="1"/>
  <c r="E332"/>
  <c r="K331"/>
  <c r="J331" s="1"/>
  <c r="I331"/>
  <c r="G331"/>
  <c r="L331" s="1"/>
  <c r="E331"/>
  <c r="K330"/>
  <c r="I330"/>
  <c r="G330"/>
  <c r="L330" s="1"/>
  <c r="J330" s="1"/>
  <c r="E330"/>
  <c r="K329"/>
  <c r="J329" s="1"/>
  <c r="I329"/>
  <c r="G329"/>
  <c r="L329" s="1"/>
  <c r="E329"/>
  <c r="K328"/>
  <c r="J328" s="1"/>
  <c r="G328"/>
  <c r="L328" s="1"/>
  <c r="E328"/>
  <c r="K327"/>
  <c r="I327"/>
  <c r="G327"/>
  <c r="L327" s="1"/>
  <c r="E327"/>
  <c r="K326"/>
  <c r="I326"/>
  <c r="G326"/>
  <c r="L326" s="1"/>
  <c r="J326" s="1"/>
  <c r="E326"/>
  <c r="K325"/>
  <c r="I325"/>
  <c r="G325"/>
  <c r="L325" s="1"/>
  <c r="E325"/>
  <c r="K324"/>
  <c r="G324"/>
  <c r="L324" s="1"/>
  <c r="E324"/>
  <c r="K323"/>
  <c r="I323"/>
  <c r="G323"/>
  <c r="L323" s="1"/>
  <c r="E323"/>
  <c r="K322"/>
  <c r="I322"/>
  <c r="G322"/>
  <c r="L322" s="1"/>
  <c r="J322" s="1"/>
  <c r="E322"/>
  <c r="K321"/>
  <c r="I321"/>
  <c r="G321"/>
  <c r="L321" s="1"/>
  <c r="E321"/>
  <c r="K320"/>
  <c r="J320" s="1"/>
  <c r="G320"/>
  <c r="L320" s="1"/>
  <c r="E320"/>
  <c r="K319"/>
  <c r="J319" s="1"/>
  <c r="I319"/>
  <c r="G319"/>
  <c r="L319" s="1"/>
  <c r="E319"/>
  <c r="K318"/>
  <c r="I318"/>
  <c r="G318"/>
  <c r="L318" s="1"/>
  <c r="J318" s="1"/>
  <c r="E318"/>
  <c r="K317"/>
  <c r="J317" s="1"/>
  <c r="I317"/>
  <c r="G317"/>
  <c r="L317" s="1"/>
  <c r="E317"/>
  <c r="K316"/>
  <c r="J316" s="1"/>
  <c r="G316"/>
  <c r="L316" s="1"/>
  <c r="E316"/>
  <c r="K315"/>
  <c r="J315" s="1"/>
  <c r="I315"/>
  <c r="G315"/>
  <c r="L315" s="1"/>
  <c r="E315"/>
  <c r="K314"/>
  <c r="I314"/>
  <c r="G314"/>
  <c r="L314" s="1"/>
  <c r="J314" s="1"/>
  <c r="E314"/>
  <c r="K313"/>
  <c r="J313" s="1"/>
  <c r="I313"/>
  <c r="G313"/>
  <c r="L313" s="1"/>
  <c r="E313"/>
  <c r="K312"/>
  <c r="J312" s="1"/>
  <c r="G312"/>
  <c r="L312" s="1"/>
  <c r="E312"/>
  <c r="K311"/>
  <c r="I311"/>
  <c r="G311"/>
  <c r="L311" s="1"/>
  <c r="E311"/>
  <c r="K310"/>
  <c r="I310"/>
  <c r="G310"/>
  <c r="L310" s="1"/>
  <c r="J310" s="1"/>
  <c r="E310"/>
  <c r="K309"/>
  <c r="I309"/>
  <c r="G309"/>
  <c r="L309" s="1"/>
  <c r="E309"/>
  <c r="K308"/>
  <c r="G308"/>
  <c r="L308" s="1"/>
  <c r="E308"/>
  <c r="K307"/>
  <c r="I307"/>
  <c r="G307"/>
  <c r="L307" s="1"/>
  <c r="E307"/>
  <c r="K306"/>
  <c r="I306"/>
  <c r="G306"/>
  <c r="L306" s="1"/>
  <c r="J306" s="1"/>
  <c r="E306"/>
  <c r="K305"/>
  <c r="I305"/>
  <c r="G305"/>
  <c r="L305" s="1"/>
  <c r="E305"/>
  <c r="K304"/>
  <c r="J304" s="1"/>
  <c r="G304"/>
  <c r="L304" s="1"/>
  <c r="E304"/>
  <c r="K303"/>
  <c r="J303" s="1"/>
  <c r="I303"/>
  <c r="G303"/>
  <c r="L303" s="1"/>
  <c r="E303"/>
  <c r="K302"/>
  <c r="I302"/>
  <c r="G302"/>
  <c r="L302" s="1"/>
  <c r="J302" s="1"/>
  <c r="E302"/>
  <c r="K301"/>
  <c r="J301" s="1"/>
  <c r="I301"/>
  <c r="G301"/>
  <c r="L301" s="1"/>
  <c r="E301"/>
  <c r="K300"/>
  <c r="J300" s="1"/>
  <c r="G300"/>
  <c r="L300" s="1"/>
  <c r="E300"/>
  <c r="K299"/>
  <c r="J299" s="1"/>
  <c r="I299"/>
  <c r="G299"/>
  <c r="L299" s="1"/>
  <c r="E299"/>
  <c r="K298"/>
  <c r="I298"/>
  <c r="G298"/>
  <c r="L298" s="1"/>
  <c r="J298" s="1"/>
  <c r="E298"/>
  <c r="K297"/>
  <c r="J297" s="1"/>
  <c r="I297"/>
  <c r="G297"/>
  <c r="L297" s="1"/>
  <c r="E297"/>
  <c r="K296"/>
  <c r="J296" s="1"/>
  <c r="G296"/>
  <c r="L296" s="1"/>
  <c r="E296"/>
  <c r="K295"/>
  <c r="I295"/>
  <c r="G295"/>
  <c r="L295" s="1"/>
  <c r="E295"/>
  <c r="K294"/>
  <c r="I294"/>
  <c r="G294"/>
  <c r="L294" s="1"/>
  <c r="J294" s="1"/>
  <c r="E294"/>
  <c r="K293"/>
  <c r="I293"/>
  <c r="G293"/>
  <c r="L293" s="1"/>
  <c r="E293"/>
  <c r="K292"/>
  <c r="G292"/>
  <c r="L292" s="1"/>
  <c r="E292"/>
  <c r="K291"/>
  <c r="I291"/>
  <c r="G291"/>
  <c r="L291" s="1"/>
  <c r="E291"/>
  <c r="K290"/>
  <c r="I290"/>
  <c r="G290"/>
  <c r="L290" s="1"/>
  <c r="J290" s="1"/>
  <c r="E290"/>
  <c r="K289"/>
  <c r="I289"/>
  <c r="G289"/>
  <c r="L289" s="1"/>
  <c r="E289"/>
  <c r="K288"/>
  <c r="J288" s="1"/>
  <c r="G288"/>
  <c r="L288" s="1"/>
  <c r="E288"/>
  <c r="K287"/>
  <c r="J287" s="1"/>
  <c r="I287"/>
  <c r="G287"/>
  <c r="L287" s="1"/>
  <c r="E287"/>
  <c r="K286"/>
  <c r="I286"/>
  <c r="G286"/>
  <c r="L286" s="1"/>
  <c r="J286" s="1"/>
  <c r="E286"/>
  <c r="K285"/>
  <c r="J285" s="1"/>
  <c r="I285"/>
  <c r="G285"/>
  <c r="L285" s="1"/>
  <c r="E285"/>
  <c r="K284"/>
  <c r="J284" s="1"/>
  <c r="G284"/>
  <c r="L284" s="1"/>
  <c r="E284"/>
  <c r="K283"/>
  <c r="J283" s="1"/>
  <c r="I283"/>
  <c r="G283"/>
  <c r="L283" s="1"/>
  <c r="E283"/>
  <c r="K282"/>
  <c r="I282"/>
  <c r="G282"/>
  <c r="L282" s="1"/>
  <c r="J282" s="1"/>
  <c r="E282"/>
  <c r="K281"/>
  <c r="J281" s="1"/>
  <c r="I281"/>
  <c r="G281"/>
  <c r="L281" s="1"/>
  <c r="E281"/>
  <c r="K280"/>
  <c r="J280" s="1"/>
  <c r="G280"/>
  <c r="L280" s="1"/>
  <c r="E280"/>
  <c r="K279"/>
  <c r="I279"/>
  <c r="G279"/>
  <c r="L279" s="1"/>
  <c r="E279"/>
  <c r="K278"/>
  <c r="I278"/>
  <c r="G278"/>
  <c r="L278" s="1"/>
  <c r="J278" s="1"/>
  <c r="E278"/>
  <c r="K277"/>
  <c r="I277"/>
  <c r="G277"/>
  <c r="L277" s="1"/>
  <c r="E277"/>
  <c r="K276"/>
  <c r="G276"/>
  <c r="L276" s="1"/>
  <c r="E276"/>
  <c r="K275"/>
  <c r="I275"/>
  <c r="G275"/>
  <c r="L275" s="1"/>
  <c r="E275"/>
  <c r="K274"/>
  <c r="I274"/>
  <c r="G274"/>
  <c r="L274" s="1"/>
  <c r="J274" s="1"/>
  <c r="E274"/>
  <c r="K273"/>
  <c r="I273"/>
  <c r="G273"/>
  <c r="L273" s="1"/>
  <c r="E273"/>
  <c r="K272"/>
  <c r="G272"/>
  <c r="L272" s="1"/>
  <c r="E272"/>
  <c r="K271"/>
  <c r="J271" s="1"/>
  <c r="I271"/>
  <c r="G271"/>
  <c r="L271" s="1"/>
  <c r="E271"/>
  <c r="K270"/>
  <c r="I270"/>
  <c r="G270"/>
  <c r="L270" s="1"/>
  <c r="J270" s="1"/>
  <c r="E270"/>
  <c r="K269"/>
  <c r="J269" s="1"/>
  <c r="I269"/>
  <c r="G269"/>
  <c r="L269" s="1"/>
  <c r="E269"/>
  <c r="K268"/>
  <c r="J268" s="1"/>
  <c r="G268"/>
  <c r="L268" s="1"/>
  <c r="E268"/>
  <c r="K267"/>
  <c r="J267" s="1"/>
  <c r="I267"/>
  <c r="G267"/>
  <c r="L267" s="1"/>
  <c r="E267"/>
  <c r="K266"/>
  <c r="I266"/>
  <c r="G266"/>
  <c r="L266" s="1"/>
  <c r="J266" s="1"/>
  <c r="E266"/>
  <c r="K265"/>
  <c r="J265" s="1"/>
  <c r="I265"/>
  <c r="G265"/>
  <c r="L265" s="1"/>
  <c r="E265"/>
  <c r="K264"/>
  <c r="J264" s="1"/>
  <c r="G264"/>
  <c r="L264" s="1"/>
  <c r="E264"/>
  <c r="K263"/>
  <c r="I263"/>
  <c r="G263"/>
  <c r="L263" s="1"/>
  <c r="E263"/>
  <c r="K262"/>
  <c r="I262"/>
  <c r="G262"/>
  <c r="L262" s="1"/>
  <c r="J262" s="1"/>
  <c r="E262"/>
  <c r="K261"/>
  <c r="I261"/>
  <c r="G261"/>
  <c r="L261" s="1"/>
  <c r="E261"/>
  <c r="K260"/>
  <c r="G260"/>
  <c r="L260" s="1"/>
  <c r="E260"/>
  <c r="K259"/>
  <c r="I259"/>
  <c r="G259"/>
  <c r="L259" s="1"/>
  <c r="E259"/>
  <c r="K258"/>
  <c r="I258"/>
  <c r="G258"/>
  <c r="L258" s="1"/>
  <c r="J258" s="1"/>
  <c r="E258"/>
  <c r="K257"/>
  <c r="I257"/>
  <c r="G257"/>
  <c r="L257" s="1"/>
  <c r="E257"/>
  <c r="K256"/>
  <c r="G256"/>
  <c r="L256" s="1"/>
  <c r="E256"/>
  <c r="K255"/>
  <c r="J255" s="1"/>
  <c r="I255"/>
  <c r="G255"/>
  <c r="L255" s="1"/>
  <c r="E255"/>
  <c r="K254"/>
  <c r="I254"/>
  <c r="G254"/>
  <c r="L254" s="1"/>
  <c r="J254" s="1"/>
  <c r="E254"/>
  <c r="K253"/>
  <c r="J253" s="1"/>
  <c r="I253"/>
  <c r="G253"/>
  <c r="L253" s="1"/>
  <c r="E253"/>
  <c r="K252"/>
  <c r="J252" s="1"/>
  <c r="G252"/>
  <c r="L252" s="1"/>
  <c r="E252"/>
  <c r="K251"/>
  <c r="J251" s="1"/>
  <c r="I251"/>
  <c r="G251"/>
  <c r="L251" s="1"/>
  <c r="E251"/>
  <c r="K250"/>
  <c r="I250"/>
  <c r="G250"/>
  <c r="L250" s="1"/>
  <c r="J250" s="1"/>
  <c r="E250"/>
  <c r="K249"/>
  <c r="J249" s="1"/>
  <c r="I249"/>
  <c r="G249"/>
  <c r="L249" s="1"/>
  <c r="E249"/>
  <c r="K248"/>
  <c r="J248" s="1"/>
  <c r="G248"/>
  <c r="L248" s="1"/>
  <c r="E248"/>
  <c r="K247"/>
  <c r="I247"/>
  <c r="G247"/>
  <c r="L247" s="1"/>
  <c r="E247"/>
  <c r="K246"/>
  <c r="I246"/>
  <c r="G246"/>
  <c r="L246" s="1"/>
  <c r="J246" s="1"/>
  <c r="E246"/>
  <c r="K245"/>
  <c r="I245"/>
  <c r="G245"/>
  <c r="L245" s="1"/>
  <c r="E245"/>
  <c r="K244"/>
  <c r="G244"/>
  <c r="L244" s="1"/>
  <c r="E244"/>
  <c r="K243"/>
  <c r="I243"/>
  <c r="G243"/>
  <c r="L243" s="1"/>
  <c r="E243"/>
  <c r="K242"/>
  <c r="I242"/>
  <c r="G242"/>
  <c r="L242" s="1"/>
  <c r="J242" s="1"/>
  <c r="E242"/>
  <c r="K241"/>
  <c r="I241"/>
  <c r="G241"/>
  <c r="L241" s="1"/>
  <c r="E241"/>
  <c r="K240"/>
  <c r="G240"/>
  <c r="L240" s="1"/>
  <c r="E240"/>
  <c r="K239"/>
  <c r="J239" s="1"/>
  <c r="I239"/>
  <c r="G239"/>
  <c r="L239" s="1"/>
  <c r="E239"/>
  <c r="K238"/>
  <c r="I238"/>
  <c r="G238"/>
  <c r="L238" s="1"/>
  <c r="J238" s="1"/>
  <c r="E238"/>
  <c r="K237"/>
  <c r="J237" s="1"/>
  <c r="I237"/>
  <c r="G237"/>
  <c r="L237" s="1"/>
  <c r="E237"/>
  <c r="K236"/>
  <c r="J236" s="1"/>
  <c r="G236"/>
  <c r="L236" s="1"/>
  <c r="E236"/>
  <c r="K235"/>
  <c r="J235" s="1"/>
  <c r="I235"/>
  <c r="G235"/>
  <c r="L235" s="1"/>
  <c r="E235"/>
  <c r="K234"/>
  <c r="I234"/>
  <c r="G234"/>
  <c r="L234" s="1"/>
  <c r="J234" s="1"/>
  <c r="E234"/>
  <c r="K233"/>
  <c r="J233" s="1"/>
  <c r="I233"/>
  <c r="G233"/>
  <c r="L233" s="1"/>
  <c r="E233"/>
  <c r="K232"/>
  <c r="J232" s="1"/>
  <c r="G232"/>
  <c r="L232" s="1"/>
  <c r="E232"/>
  <c r="K231"/>
  <c r="I231"/>
  <c r="G231"/>
  <c r="L231" s="1"/>
  <c r="E231"/>
  <c r="K230"/>
  <c r="I230"/>
  <c r="G230"/>
  <c r="L230" s="1"/>
  <c r="J230" s="1"/>
  <c r="E230"/>
  <c r="K229"/>
  <c r="I229"/>
  <c r="G229"/>
  <c r="L229" s="1"/>
  <c r="E229"/>
  <c r="K228"/>
  <c r="G228"/>
  <c r="L228" s="1"/>
  <c r="E228"/>
  <c r="K227"/>
  <c r="I227"/>
  <c r="G227"/>
  <c r="L227" s="1"/>
  <c r="E227"/>
  <c r="K226"/>
  <c r="I226"/>
  <c r="G226"/>
  <c r="L226" s="1"/>
  <c r="J226" s="1"/>
  <c r="E226"/>
  <c r="K225"/>
  <c r="I225"/>
  <c r="G225"/>
  <c r="L225" s="1"/>
  <c r="E225"/>
  <c r="K224"/>
  <c r="G224"/>
  <c r="L224" s="1"/>
  <c r="E224"/>
  <c r="K223"/>
  <c r="J223" s="1"/>
  <c r="I223"/>
  <c r="G223"/>
  <c r="L223" s="1"/>
  <c r="E223"/>
  <c r="K222"/>
  <c r="I222"/>
  <c r="G222"/>
  <c r="L222" s="1"/>
  <c r="J222" s="1"/>
  <c r="E222"/>
  <c r="K221"/>
  <c r="J221" s="1"/>
  <c r="I221"/>
  <c r="G221"/>
  <c r="L221" s="1"/>
  <c r="E221"/>
  <c r="K220"/>
  <c r="J220" s="1"/>
  <c r="G220"/>
  <c r="L220" s="1"/>
  <c r="E220"/>
  <c r="K219"/>
  <c r="J219" s="1"/>
  <c r="I219"/>
  <c r="G219"/>
  <c r="L219" s="1"/>
  <c r="E219"/>
  <c r="K218"/>
  <c r="I218"/>
  <c r="G218"/>
  <c r="L218" s="1"/>
  <c r="J218" s="1"/>
  <c r="E218"/>
  <c r="K217"/>
  <c r="J217" s="1"/>
  <c r="I217"/>
  <c r="G217"/>
  <c r="L217" s="1"/>
  <c r="E217"/>
  <c r="K216"/>
  <c r="J216" s="1"/>
  <c r="G216"/>
  <c r="L216" s="1"/>
  <c r="E216"/>
  <c r="K215"/>
  <c r="I215"/>
  <c r="G215"/>
  <c r="L215" s="1"/>
  <c r="E215"/>
  <c r="K214"/>
  <c r="I214"/>
  <c r="G214"/>
  <c r="L214" s="1"/>
  <c r="J214" s="1"/>
  <c r="E214"/>
  <c r="K213"/>
  <c r="I213"/>
  <c r="G213"/>
  <c r="L213" s="1"/>
  <c r="E213"/>
  <c r="K212"/>
  <c r="G212"/>
  <c r="L212" s="1"/>
  <c r="E212"/>
  <c r="K211"/>
  <c r="I211"/>
  <c r="G211"/>
  <c r="L211" s="1"/>
  <c r="E211"/>
  <c r="K210"/>
  <c r="I210"/>
  <c r="G210"/>
  <c r="L210" s="1"/>
  <c r="J210" s="1"/>
  <c r="E210"/>
  <c r="K209"/>
  <c r="I209"/>
  <c r="G209"/>
  <c r="L209" s="1"/>
  <c r="E209"/>
  <c r="K208"/>
  <c r="G208"/>
  <c r="L208" s="1"/>
  <c r="E208"/>
  <c r="K207"/>
  <c r="J207" s="1"/>
  <c r="I207"/>
  <c r="G207"/>
  <c r="L207" s="1"/>
  <c r="E207"/>
  <c r="K206"/>
  <c r="I206"/>
  <c r="G206"/>
  <c r="L206" s="1"/>
  <c r="J206" s="1"/>
  <c r="E206"/>
  <c r="K205"/>
  <c r="J205" s="1"/>
  <c r="I205"/>
  <c r="G205"/>
  <c r="L205" s="1"/>
  <c r="E205"/>
  <c r="K204"/>
  <c r="J204" s="1"/>
  <c r="G204"/>
  <c r="L204" s="1"/>
  <c r="E204"/>
  <c r="K203"/>
  <c r="J203" s="1"/>
  <c r="I203"/>
  <c r="G203"/>
  <c r="L203" s="1"/>
  <c r="E203"/>
  <c r="K202"/>
  <c r="I202"/>
  <c r="G202"/>
  <c r="L202" s="1"/>
  <c r="J202" s="1"/>
  <c r="E202"/>
  <c r="K201"/>
  <c r="J201" s="1"/>
  <c r="I201"/>
  <c r="G201"/>
  <c r="L201" s="1"/>
  <c r="E201"/>
  <c r="K200"/>
  <c r="J200" s="1"/>
  <c r="G200"/>
  <c r="L200" s="1"/>
  <c r="E200"/>
  <c r="K199"/>
  <c r="I199"/>
  <c r="G199"/>
  <c r="L199" s="1"/>
  <c r="E199"/>
  <c r="K198"/>
  <c r="I198"/>
  <c r="G198"/>
  <c r="L198" s="1"/>
  <c r="J198" s="1"/>
  <c r="E198"/>
  <c r="K197"/>
  <c r="I197"/>
  <c r="G197"/>
  <c r="L197" s="1"/>
  <c r="E197"/>
  <c r="K196"/>
  <c r="G196"/>
  <c r="L196" s="1"/>
  <c r="E196"/>
  <c r="K195"/>
  <c r="I195"/>
  <c r="G195"/>
  <c r="L195" s="1"/>
  <c r="E195"/>
  <c r="K194"/>
  <c r="I194"/>
  <c r="G194"/>
  <c r="L194" s="1"/>
  <c r="J194" s="1"/>
  <c r="E194"/>
  <c r="K193"/>
  <c r="I193"/>
  <c r="G193"/>
  <c r="L193" s="1"/>
  <c r="E193"/>
  <c r="K192"/>
  <c r="G192"/>
  <c r="L192" s="1"/>
  <c r="E192"/>
  <c r="K191"/>
  <c r="J191" s="1"/>
  <c r="I191"/>
  <c r="G191"/>
  <c r="L191" s="1"/>
  <c r="E191"/>
  <c r="K190"/>
  <c r="I190"/>
  <c r="G190"/>
  <c r="L190" s="1"/>
  <c r="J190" s="1"/>
  <c r="E190"/>
  <c r="K189"/>
  <c r="J189" s="1"/>
  <c r="I189"/>
  <c r="G189"/>
  <c r="L189" s="1"/>
  <c r="E189"/>
  <c r="K188"/>
  <c r="J188" s="1"/>
  <c r="G188"/>
  <c r="L188" s="1"/>
  <c r="E188"/>
  <c r="K187"/>
  <c r="J187" s="1"/>
  <c r="I187"/>
  <c r="G187"/>
  <c r="L187" s="1"/>
  <c r="E187"/>
  <c r="K186"/>
  <c r="I186"/>
  <c r="G186"/>
  <c r="L186" s="1"/>
  <c r="J186" s="1"/>
  <c r="E186"/>
  <c r="K185"/>
  <c r="J185" s="1"/>
  <c r="I185"/>
  <c r="G185"/>
  <c r="L185" s="1"/>
  <c r="E185"/>
  <c r="K184"/>
  <c r="J184" s="1"/>
  <c r="G184"/>
  <c r="L184" s="1"/>
  <c r="E184"/>
  <c r="K183"/>
  <c r="I183"/>
  <c r="G183"/>
  <c r="L183" s="1"/>
  <c r="E183"/>
  <c r="K182"/>
  <c r="I182"/>
  <c r="G182"/>
  <c r="L182" s="1"/>
  <c r="J182" s="1"/>
  <c r="E182"/>
  <c r="K181"/>
  <c r="I181"/>
  <c r="G181"/>
  <c r="L181" s="1"/>
  <c r="E181"/>
  <c r="K180"/>
  <c r="G180"/>
  <c r="L180" s="1"/>
  <c r="E180"/>
  <c r="K179"/>
  <c r="I179"/>
  <c r="G179"/>
  <c r="L179" s="1"/>
  <c r="E179"/>
  <c r="K178"/>
  <c r="I178"/>
  <c r="G178"/>
  <c r="L178" s="1"/>
  <c r="J178" s="1"/>
  <c r="E178"/>
  <c r="K177"/>
  <c r="I177"/>
  <c r="G177"/>
  <c r="L177" s="1"/>
  <c r="E177"/>
  <c r="K176"/>
  <c r="G176"/>
  <c r="L176" s="1"/>
  <c r="E176"/>
  <c r="K175"/>
  <c r="J175" s="1"/>
  <c r="I175"/>
  <c r="G175"/>
  <c r="L175" s="1"/>
  <c r="E175"/>
  <c r="K174"/>
  <c r="I174"/>
  <c r="G174"/>
  <c r="L174" s="1"/>
  <c r="J174" s="1"/>
  <c r="E174"/>
  <c r="K173"/>
  <c r="J173" s="1"/>
  <c r="I173"/>
  <c r="G173"/>
  <c r="L173" s="1"/>
  <c r="E173"/>
  <c r="K172"/>
  <c r="J172" s="1"/>
  <c r="G172"/>
  <c r="L172" s="1"/>
  <c r="E172"/>
  <c r="K171"/>
  <c r="J171" s="1"/>
  <c r="I171"/>
  <c r="G171"/>
  <c r="L171" s="1"/>
  <c r="E171"/>
  <c r="K170"/>
  <c r="I170"/>
  <c r="G170"/>
  <c r="L170" s="1"/>
  <c r="J170" s="1"/>
  <c r="E170"/>
  <c r="K169"/>
  <c r="J169" s="1"/>
  <c r="I169"/>
  <c r="G169"/>
  <c r="L169" s="1"/>
  <c r="E169"/>
  <c r="K168"/>
  <c r="J168" s="1"/>
  <c r="G168"/>
  <c r="L168" s="1"/>
  <c r="E168"/>
  <c r="K167"/>
  <c r="I167"/>
  <c r="G167"/>
  <c r="L167" s="1"/>
  <c r="E167"/>
  <c r="K166"/>
  <c r="I166"/>
  <c r="G166"/>
  <c r="L166" s="1"/>
  <c r="J166" s="1"/>
  <c r="E166"/>
  <c r="K165"/>
  <c r="I165"/>
  <c r="G165"/>
  <c r="L165" s="1"/>
  <c r="E165"/>
  <c r="K164"/>
  <c r="G164"/>
  <c r="L164" s="1"/>
  <c r="E164"/>
  <c r="K163"/>
  <c r="I163"/>
  <c r="G163"/>
  <c r="L163" s="1"/>
  <c r="E163"/>
  <c r="K162"/>
  <c r="I162"/>
  <c r="G162"/>
  <c r="L162" s="1"/>
  <c r="J162" s="1"/>
  <c r="E162"/>
  <c r="K161"/>
  <c r="I161"/>
  <c r="G161"/>
  <c r="L161" s="1"/>
  <c r="E161"/>
  <c r="K160"/>
  <c r="G160"/>
  <c r="L160" s="1"/>
  <c r="E160"/>
  <c r="K159"/>
  <c r="J159" s="1"/>
  <c r="I159"/>
  <c r="G159"/>
  <c r="L159" s="1"/>
  <c r="E159"/>
  <c r="K158"/>
  <c r="I158"/>
  <c r="G158"/>
  <c r="L158" s="1"/>
  <c r="J158" s="1"/>
  <c r="E158"/>
  <c r="K157"/>
  <c r="J157" s="1"/>
  <c r="I157"/>
  <c r="G157"/>
  <c r="L157" s="1"/>
  <c r="E157"/>
  <c r="K156"/>
  <c r="J156" s="1"/>
  <c r="G156"/>
  <c r="L156" s="1"/>
  <c r="E156"/>
  <c r="K155"/>
  <c r="J155" s="1"/>
  <c r="I155"/>
  <c r="G155"/>
  <c r="L155" s="1"/>
  <c r="E155"/>
  <c r="K154"/>
  <c r="I154"/>
  <c r="G154"/>
  <c r="L154" s="1"/>
  <c r="J154" s="1"/>
  <c r="E154"/>
  <c r="K153"/>
  <c r="J153" s="1"/>
  <c r="I153"/>
  <c r="G153"/>
  <c r="L153" s="1"/>
  <c r="E153"/>
  <c r="K152"/>
  <c r="J152" s="1"/>
  <c r="G152"/>
  <c r="L152" s="1"/>
  <c r="E152"/>
  <c r="K151"/>
  <c r="I151"/>
  <c r="G151"/>
  <c r="L151" s="1"/>
  <c r="E151"/>
  <c r="K150"/>
  <c r="I150"/>
  <c r="G150"/>
  <c r="L150" s="1"/>
  <c r="J150" s="1"/>
  <c r="E150"/>
  <c r="K149"/>
  <c r="I149"/>
  <c r="G149"/>
  <c r="L149" s="1"/>
  <c r="E149"/>
  <c r="K148"/>
  <c r="G148"/>
  <c r="L148" s="1"/>
  <c r="E148"/>
  <c r="K147"/>
  <c r="I147"/>
  <c r="G147"/>
  <c r="L147" s="1"/>
  <c r="E147"/>
  <c r="K146"/>
  <c r="I146"/>
  <c r="G146"/>
  <c r="L146" s="1"/>
  <c r="J146" s="1"/>
  <c r="E146"/>
  <c r="K145"/>
  <c r="I145"/>
  <c r="G145"/>
  <c r="L145" s="1"/>
  <c r="E145"/>
  <c r="K144"/>
  <c r="G144"/>
  <c r="L144" s="1"/>
  <c r="E144"/>
  <c r="K143"/>
  <c r="J143" s="1"/>
  <c r="I143"/>
  <c r="G143"/>
  <c r="L143" s="1"/>
  <c r="E143"/>
  <c r="K142"/>
  <c r="I142"/>
  <c r="G142"/>
  <c r="L142" s="1"/>
  <c r="J142" s="1"/>
  <c r="E142"/>
  <c r="K141"/>
  <c r="J141" s="1"/>
  <c r="I141"/>
  <c r="G141"/>
  <c r="L141" s="1"/>
  <c r="E141"/>
  <c r="K140"/>
  <c r="J140" s="1"/>
  <c r="G140"/>
  <c r="L140" s="1"/>
  <c r="E140"/>
  <c r="K139"/>
  <c r="J139" s="1"/>
  <c r="I139"/>
  <c r="G139"/>
  <c r="L139" s="1"/>
  <c r="E139"/>
  <c r="K138"/>
  <c r="I138"/>
  <c r="G138"/>
  <c r="L138" s="1"/>
  <c r="J138" s="1"/>
  <c r="E138"/>
  <c r="K137"/>
  <c r="J137" s="1"/>
  <c r="I137"/>
  <c r="G137"/>
  <c r="L137" s="1"/>
  <c r="E137"/>
  <c r="K136"/>
  <c r="J136" s="1"/>
  <c r="G136"/>
  <c r="L136" s="1"/>
  <c r="E136"/>
  <c r="K135"/>
  <c r="I135"/>
  <c r="G135"/>
  <c r="L135" s="1"/>
  <c r="E135"/>
  <c r="K134"/>
  <c r="I134"/>
  <c r="G134"/>
  <c r="L134" s="1"/>
  <c r="J134" s="1"/>
  <c r="E134"/>
  <c r="K133"/>
  <c r="I133"/>
  <c r="G133"/>
  <c r="L133" s="1"/>
  <c r="E133"/>
  <c r="K132"/>
  <c r="G132"/>
  <c r="L132" s="1"/>
  <c r="E132"/>
  <c r="K131"/>
  <c r="I131"/>
  <c r="G131"/>
  <c r="L131" s="1"/>
  <c r="E131"/>
  <c r="K130"/>
  <c r="I130"/>
  <c r="G130"/>
  <c r="L130" s="1"/>
  <c r="J130" s="1"/>
  <c r="E130"/>
  <c r="K129"/>
  <c r="I129"/>
  <c r="G129"/>
  <c r="L129" s="1"/>
  <c r="E129"/>
  <c r="K128"/>
  <c r="G128"/>
  <c r="L128" s="1"/>
  <c r="E128"/>
  <c r="K127"/>
  <c r="J127" s="1"/>
  <c r="I127"/>
  <c r="G127"/>
  <c r="L127" s="1"/>
  <c r="E127"/>
  <c r="K126"/>
  <c r="I126"/>
  <c r="G126"/>
  <c r="L126" s="1"/>
  <c r="J126" s="1"/>
  <c r="E126"/>
  <c r="K125"/>
  <c r="J125" s="1"/>
  <c r="I125"/>
  <c r="G125"/>
  <c r="L125" s="1"/>
  <c r="E125"/>
  <c r="K124"/>
  <c r="J124" s="1"/>
  <c r="G124"/>
  <c r="L124" s="1"/>
  <c r="E124"/>
  <c r="K123"/>
  <c r="J123" s="1"/>
  <c r="I123"/>
  <c r="G123"/>
  <c r="L123" s="1"/>
  <c r="E123"/>
  <c r="K122"/>
  <c r="I122"/>
  <c r="G122"/>
  <c r="L122" s="1"/>
  <c r="J122" s="1"/>
  <c r="E122"/>
  <c r="K121"/>
  <c r="J121" s="1"/>
  <c r="I121"/>
  <c r="G121"/>
  <c r="L121" s="1"/>
  <c r="E121"/>
  <c r="K120"/>
  <c r="J120" s="1"/>
  <c r="G120"/>
  <c r="L120" s="1"/>
  <c r="E120"/>
  <c r="K119"/>
  <c r="I119"/>
  <c r="G119"/>
  <c r="L119" s="1"/>
  <c r="E119"/>
  <c r="K118"/>
  <c r="I118"/>
  <c r="G118"/>
  <c r="L118" s="1"/>
  <c r="J118" s="1"/>
  <c r="E118"/>
  <c r="K117"/>
  <c r="I117"/>
  <c r="G117"/>
  <c r="L117" s="1"/>
  <c r="E117"/>
  <c r="K116"/>
  <c r="G116"/>
  <c r="L116" s="1"/>
  <c r="E116"/>
  <c r="K115"/>
  <c r="I115"/>
  <c r="G115"/>
  <c r="L115" s="1"/>
  <c r="E115"/>
  <c r="K114"/>
  <c r="I114"/>
  <c r="G114"/>
  <c r="L114" s="1"/>
  <c r="J114" s="1"/>
  <c r="E114"/>
  <c r="K113"/>
  <c r="I113"/>
  <c r="G113"/>
  <c r="L113" s="1"/>
  <c r="E113"/>
  <c r="K112"/>
  <c r="G112"/>
  <c r="L112" s="1"/>
  <c r="E112"/>
  <c r="K111"/>
  <c r="J111" s="1"/>
  <c r="I111"/>
  <c r="G111"/>
  <c r="L111" s="1"/>
  <c r="E111"/>
  <c r="K110"/>
  <c r="I110"/>
  <c r="G110"/>
  <c r="L110" s="1"/>
  <c r="J110" s="1"/>
  <c r="E110"/>
  <c r="K109"/>
  <c r="J109" s="1"/>
  <c r="I109"/>
  <c r="G109"/>
  <c r="L109" s="1"/>
  <c r="E109"/>
  <c r="K108"/>
  <c r="J108" s="1"/>
  <c r="G108"/>
  <c r="L108" s="1"/>
  <c r="E108"/>
  <c r="K107"/>
  <c r="J107" s="1"/>
  <c r="I107"/>
  <c r="G107"/>
  <c r="L107" s="1"/>
  <c r="E107"/>
  <c r="K106"/>
  <c r="I106"/>
  <c r="G106"/>
  <c r="L106" s="1"/>
  <c r="J106" s="1"/>
  <c r="E106"/>
  <c r="K105"/>
  <c r="J105" s="1"/>
  <c r="I105"/>
  <c r="G105"/>
  <c r="L105" s="1"/>
  <c r="E105"/>
  <c r="K104"/>
  <c r="J104" s="1"/>
  <c r="G104"/>
  <c r="L104" s="1"/>
  <c r="E104"/>
  <c r="K103"/>
  <c r="I103"/>
  <c r="G103"/>
  <c r="L103" s="1"/>
  <c r="E103"/>
  <c r="K102"/>
  <c r="I102"/>
  <c r="G102"/>
  <c r="L102" s="1"/>
  <c r="J102" s="1"/>
  <c r="E102"/>
  <c r="K101"/>
  <c r="I101"/>
  <c r="G101"/>
  <c r="L101" s="1"/>
  <c r="E101"/>
  <c r="K100"/>
  <c r="G100"/>
  <c r="L100" s="1"/>
  <c r="E100"/>
  <c r="K99"/>
  <c r="I99"/>
  <c r="G99"/>
  <c r="L99" s="1"/>
  <c r="E99"/>
  <c r="K98"/>
  <c r="I98"/>
  <c r="G98"/>
  <c r="L98" s="1"/>
  <c r="J98" s="1"/>
  <c r="E98"/>
  <c r="K97"/>
  <c r="I97"/>
  <c r="G97"/>
  <c r="L97" s="1"/>
  <c r="E97"/>
  <c r="K96"/>
  <c r="G96"/>
  <c r="L96" s="1"/>
  <c r="E96"/>
  <c r="K95"/>
  <c r="J95" s="1"/>
  <c r="I95"/>
  <c r="G95"/>
  <c r="L95" s="1"/>
  <c r="E95"/>
  <c r="K94"/>
  <c r="I94"/>
  <c r="G94"/>
  <c r="L94" s="1"/>
  <c r="J94" s="1"/>
  <c r="E94"/>
  <c r="K93"/>
  <c r="J93" s="1"/>
  <c r="I93"/>
  <c r="G93"/>
  <c r="L93" s="1"/>
  <c r="E93"/>
  <c r="K92"/>
  <c r="J92" s="1"/>
  <c r="G92"/>
  <c r="L92" s="1"/>
  <c r="E92"/>
  <c r="K91"/>
  <c r="J91" s="1"/>
  <c r="I91"/>
  <c r="G91"/>
  <c r="L91" s="1"/>
  <c r="E91"/>
  <c r="K90"/>
  <c r="I90"/>
  <c r="G90"/>
  <c r="L90" s="1"/>
  <c r="J90" s="1"/>
  <c r="E90"/>
  <c r="K89"/>
  <c r="J89" s="1"/>
  <c r="I89"/>
  <c r="G89"/>
  <c r="L89" s="1"/>
  <c r="E89"/>
  <c r="K88"/>
  <c r="J88" s="1"/>
  <c r="G88"/>
  <c r="L88" s="1"/>
  <c r="E88"/>
  <c r="K87"/>
  <c r="I87"/>
  <c r="G87"/>
  <c r="L87" s="1"/>
  <c r="E87"/>
  <c r="K86"/>
  <c r="I86"/>
  <c r="G86"/>
  <c r="L86" s="1"/>
  <c r="J86" s="1"/>
  <c r="E86"/>
  <c r="K85"/>
  <c r="I85"/>
  <c r="G85"/>
  <c r="L85" s="1"/>
  <c r="E85"/>
  <c r="K84"/>
  <c r="G84"/>
  <c r="L84" s="1"/>
  <c r="E84"/>
  <c r="K83"/>
  <c r="I83"/>
  <c r="G83"/>
  <c r="L83" s="1"/>
  <c r="E83"/>
  <c r="K82"/>
  <c r="I82"/>
  <c r="G82"/>
  <c r="L82" s="1"/>
  <c r="J82" s="1"/>
  <c r="E82"/>
  <c r="K81"/>
  <c r="I81"/>
  <c r="G81"/>
  <c r="L81" s="1"/>
  <c r="E81"/>
  <c r="K80"/>
  <c r="G80"/>
  <c r="L80" s="1"/>
  <c r="E80"/>
  <c r="K79"/>
  <c r="J79" s="1"/>
  <c r="I79"/>
  <c r="G79"/>
  <c r="L79" s="1"/>
  <c r="E79"/>
  <c r="K78"/>
  <c r="I78"/>
  <c r="G78"/>
  <c r="L78" s="1"/>
  <c r="J78" s="1"/>
  <c r="E78"/>
  <c r="K77"/>
  <c r="J77" s="1"/>
  <c r="I77"/>
  <c r="G77"/>
  <c r="L77" s="1"/>
  <c r="E77"/>
  <c r="K76"/>
  <c r="J76" s="1"/>
  <c r="G76"/>
  <c r="L76" s="1"/>
  <c r="E76"/>
  <c r="K75"/>
  <c r="J75" s="1"/>
  <c r="I75"/>
  <c r="G75"/>
  <c r="L75" s="1"/>
  <c r="E75"/>
  <c r="K74"/>
  <c r="I74"/>
  <c r="G74"/>
  <c r="L74" s="1"/>
  <c r="J74" s="1"/>
  <c r="E74"/>
  <c r="K73"/>
  <c r="J73" s="1"/>
  <c r="I73"/>
  <c r="G73"/>
  <c r="L73" s="1"/>
  <c r="E73"/>
  <c r="K72"/>
  <c r="J72" s="1"/>
  <c r="G72"/>
  <c r="L72" s="1"/>
  <c r="E72"/>
  <c r="K71"/>
  <c r="I71"/>
  <c r="G71"/>
  <c r="L71" s="1"/>
  <c r="E71"/>
  <c r="K70"/>
  <c r="I70"/>
  <c r="G70"/>
  <c r="L70" s="1"/>
  <c r="J70" s="1"/>
  <c r="E70"/>
  <c r="K69"/>
  <c r="I69"/>
  <c r="G69"/>
  <c r="L69" s="1"/>
  <c r="E69"/>
  <c r="K68"/>
  <c r="G68"/>
  <c r="L68" s="1"/>
  <c r="E68"/>
  <c r="K67"/>
  <c r="I67"/>
  <c r="G67"/>
  <c r="L67" s="1"/>
  <c r="E67"/>
  <c r="K66"/>
  <c r="I66"/>
  <c r="G66"/>
  <c r="L66" s="1"/>
  <c r="J66" s="1"/>
  <c r="E66"/>
  <c r="K65"/>
  <c r="I65"/>
  <c r="G65"/>
  <c r="L65" s="1"/>
  <c r="E65"/>
  <c r="K64"/>
  <c r="G64"/>
  <c r="L64" s="1"/>
  <c r="E64"/>
  <c r="K63"/>
  <c r="J63" s="1"/>
  <c r="I63"/>
  <c r="G63"/>
  <c r="L63" s="1"/>
  <c r="E63"/>
  <c r="K62"/>
  <c r="I62"/>
  <c r="G62"/>
  <c r="L62" s="1"/>
  <c r="J62" s="1"/>
  <c r="E62"/>
  <c r="K61"/>
  <c r="J61" s="1"/>
  <c r="I61"/>
  <c r="G61"/>
  <c r="L61" s="1"/>
  <c r="E61"/>
  <c r="K60"/>
  <c r="J60" s="1"/>
  <c r="G60"/>
  <c r="L60" s="1"/>
  <c r="E60"/>
  <c r="K59"/>
  <c r="J59" s="1"/>
  <c r="I59"/>
  <c r="G59"/>
  <c r="L59" s="1"/>
  <c r="E59"/>
  <c r="K58"/>
  <c r="I58"/>
  <c r="G58"/>
  <c r="L58" s="1"/>
  <c r="J58" s="1"/>
  <c r="E58"/>
  <c r="K57"/>
  <c r="J57" s="1"/>
  <c r="I57"/>
  <c r="G57"/>
  <c r="L57" s="1"/>
  <c r="E57"/>
  <c r="K56"/>
  <c r="J56" s="1"/>
  <c r="G56"/>
  <c r="L56" s="1"/>
  <c r="E56"/>
  <c r="K55"/>
  <c r="I55"/>
  <c r="G55"/>
  <c r="L55" s="1"/>
  <c r="E55"/>
  <c r="K54"/>
  <c r="I54"/>
  <c r="G54"/>
  <c r="L54" s="1"/>
  <c r="J54" s="1"/>
  <c r="E54"/>
  <c r="K53"/>
  <c r="I53"/>
  <c r="G53"/>
  <c r="L53" s="1"/>
  <c r="E53"/>
  <c r="K52"/>
  <c r="G52"/>
  <c r="L52" s="1"/>
  <c r="E52"/>
  <c r="K51"/>
  <c r="I51"/>
  <c r="G51"/>
  <c r="L51" s="1"/>
  <c r="E51"/>
  <c r="K50"/>
  <c r="I50"/>
  <c r="G50"/>
  <c r="L50" s="1"/>
  <c r="J50" s="1"/>
  <c r="E50"/>
  <c r="K49"/>
  <c r="I49"/>
  <c r="G49"/>
  <c r="L49" s="1"/>
  <c r="E49"/>
  <c r="K48"/>
  <c r="G48"/>
  <c r="L48" s="1"/>
  <c r="E48"/>
  <c r="K47"/>
  <c r="J47" s="1"/>
  <c r="I47"/>
  <c r="G47"/>
  <c r="L47" s="1"/>
  <c r="E47"/>
  <c r="K46"/>
  <c r="I46"/>
  <c r="G46"/>
  <c r="L46" s="1"/>
  <c r="J46" s="1"/>
  <c r="E46"/>
  <c r="K45"/>
  <c r="J45" s="1"/>
  <c r="I45"/>
  <c r="G45"/>
  <c r="L45" s="1"/>
  <c r="E45"/>
  <c r="K44"/>
  <c r="G44"/>
  <c r="I44" s="1"/>
  <c r="E44"/>
  <c r="K43"/>
  <c r="J43" s="1"/>
  <c r="I43"/>
  <c r="G43"/>
  <c r="L43" s="1"/>
  <c r="E43"/>
  <c r="K42"/>
  <c r="I42"/>
  <c r="G42"/>
  <c r="L42" s="1"/>
  <c r="J42" s="1"/>
  <c r="E42"/>
  <c r="K41"/>
  <c r="J41" s="1"/>
  <c r="I41"/>
  <c r="G41"/>
  <c r="L41" s="1"/>
  <c r="E41"/>
  <c r="K40"/>
  <c r="J40" s="1"/>
  <c r="G40"/>
  <c r="L40" s="1"/>
  <c r="E40"/>
  <c r="K39"/>
  <c r="I39"/>
  <c r="G39"/>
  <c r="L39" s="1"/>
  <c r="E39"/>
  <c r="K38"/>
  <c r="I38"/>
  <c r="G38"/>
  <c r="L38" s="1"/>
  <c r="J38" s="1"/>
  <c r="E38"/>
  <c r="K37"/>
  <c r="I37"/>
  <c r="G37"/>
  <c r="L37" s="1"/>
  <c r="E37"/>
  <c r="K36"/>
  <c r="G36"/>
  <c r="I36" s="1"/>
  <c r="E36"/>
  <c r="K35"/>
  <c r="I35"/>
  <c r="G35"/>
  <c r="L35" s="1"/>
  <c r="E35"/>
  <c r="K34"/>
  <c r="I34"/>
  <c r="G34"/>
  <c r="L34" s="1"/>
  <c r="J34" s="1"/>
  <c r="E34"/>
  <c r="K33"/>
  <c r="I33"/>
  <c r="G33"/>
  <c r="L33" s="1"/>
  <c r="E33"/>
  <c r="K32"/>
  <c r="G32"/>
  <c r="I32" s="1"/>
  <c r="E32"/>
  <c r="K31"/>
  <c r="J31" s="1"/>
  <c r="I31"/>
  <c r="G31"/>
  <c r="L31" s="1"/>
  <c r="E31"/>
  <c r="K30"/>
  <c r="I30"/>
  <c r="G30"/>
  <c r="L30" s="1"/>
  <c r="J30" s="1"/>
  <c r="E30"/>
  <c r="K29"/>
  <c r="J29" s="1"/>
  <c r="I29"/>
  <c r="G29"/>
  <c r="L29" s="1"/>
  <c r="E29"/>
  <c r="K28"/>
  <c r="G28"/>
  <c r="I28" s="1"/>
  <c r="E28"/>
  <c r="K27"/>
  <c r="J27" s="1"/>
  <c r="I27"/>
  <c r="G27"/>
  <c r="L27" s="1"/>
  <c r="E27"/>
  <c r="K26"/>
  <c r="I26"/>
  <c r="G26"/>
  <c r="L26" s="1"/>
  <c r="J26" s="1"/>
  <c r="E26"/>
  <c r="K25"/>
  <c r="J25" s="1"/>
  <c r="I25"/>
  <c r="G25"/>
  <c r="L25" s="1"/>
  <c r="E25"/>
  <c r="K24"/>
  <c r="G24"/>
  <c r="I24" s="1"/>
  <c r="E24"/>
  <c r="K23"/>
  <c r="I23"/>
  <c r="G23"/>
  <c r="L23" s="1"/>
  <c r="E23"/>
  <c r="K22"/>
  <c r="I22"/>
  <c r="G22"/>
  <c r="L22" s="1"/>
  <c r="J22" s="1"/>
  <c r="E22"/>
  <c r="K21"/>
  <c r="I21"/>
  <c r="G21"/>
  <c r="L21" s="1"/>
  <c r="E21"/>
  <c r="K20"/>
  <c r="G20"/>
  <c r="I20" s="1"/>
  <c r="E20"/>
  <c r="K19"/>
  <c r="I19"/>
  <c r="G19"/>
  <c r="L19" s="1"/>
  <c r="E19"/>
  <c r="K18"/>
  <c r="I18"/>
  <c r="G18"/>
  <c r="L18" s="1"/>
  <c r="J18" s="1"/>
  <c r="E18"/>
  <c r="K17"/>
  <c r="I17"/>
  <c r="G17"/>
  <c r="L17" s="1"/>
  <c r="E17"/>
  <c r="K16"/>
  <c r="G16"/>
  <c r="I16" s="1"/>
  <c r="E16"/>
  <c r="K15"/>
  <c r="J15" s="1"/>
  <c r="I15"/>
  <c r="G15"/>
  <c r="L15" s="1"/>
  <c r="E15"/>
  <c r="K14"/>
  <c r="I14"/>
  <c r="G14"/>
  <c r="L14" s="1"/>
  <c r="J14" s="1"/>
  <c r="E14"/>
  <c r="K13"/>
  <c r="J13" s="1"/>
  <c r="I13"/>
  <c r="G13"/>
  <c r="L13" s="1"/>
  <c r="E13"/>
  <c r="K12"/>
  <c r="G12"/>
  <c r="I12" s="1"/>
  <c r="E12"/>
  <c r="K11"/>
  <c r="J11" s="1"/>
  <c r="I11"/>
  <c r="G11"/>
  <c r="L11" s="1"/>
  <c r="E11"/>
  <c r="K10"/>
  <c r="I10"/>
  <c r="G10"/>
  <c r="L10" s="1"/>
  <c r="J10" s="1"/>
  <c r="E10"/>
  <c r="K9"/>
  <c r="J9" s="1"/>
  <c r="I9"/>
  <c r="G9"/>
  <c r="L9" s="1"/>
  <c r="E9"/>
  <c r="K8"/>
  <c r="J8" s="1"/>
  <c r="G8"/>
  <c r="L8" s="1"/>
  <c r="E8"/>
  <c r="K7"/>
  <c r="I7"/>
  <c r="G7"/>
  <c r="L7" s="1"/>
  <c r="E7"/>
  <c r="K6"/>
  <c r="I6"/>
  <c r="G6"/>
  <c r="L6" s="1"/>
  <c r="J6" s="1"/>
  <c r="E6"/>
  <c r="K5"/>
  <c r="I5"/>
  <c r="G5"/>
  <c r="L5" s="1"/>
  <c r="E5"/>
  <c r="K4"/>
  <c r="G4"/>
  <c r="I4" s="1"/>
  <c r="E4"/>
  <c r="K3"/>
  <c r="I3"/>
  <c r="G3"/>
  <c r="L3" s="1"/>
  <c r="E3"/>
  <c r="K2"/>
  <c r="I2"/>
  <c r="G2"/>
  <c r="L2" s="1"/>
  <c r="J2" s="1"/>
  <c r="E2"/>
  <c r="C289" i="6"/>
  <c r="C288"/>
  <c r="D287"/>
  <c r="I287" s="1"/>
  <c r="C287"/>
  <c r="C286"/>
  <c r="C285"/>
  <c r="C284"/>
  <c r="C283"/>
  <c r="D282"/>
  <c r="I282" s="1"/>
  <c r="C282"/>
  <c r="D281"/>
  <c r="I281" s="1"/>
  <c r="C281"/>
  <c r="C280"/>
  <c r="C279"/>
  <c r="C278"/>
  <c r="C277"/>
  <c r="D276"/>
  <c r="I276" s="1"/>
  <c r="C276"/>
  <c r="C275"/>
  <c r="C274"/>
  <c r="C273"/>
  <c r="C272"/>
  <c r="D271"/>
  <c r="I271" s="1"/>
  <c r="C271"/>
  <c r="C270"/>
  <c r="C269"/>
  <c r="C268"/>
  <c r="C267"/>
  <c r="D266"/>
  <c r="I266" s="1"/>
  <c r="C266"/>
  <c r="D265"/>
  <c r="I265" s="1"/>
  <c r="C265"/>
  <c r="C264"/>
  <c r="C263"/>
  <c r="C262"/>
  <c r="C261"/>
  <c r="D260"/>
  <c r="I260" s="1"/>
  <c r="C260"/>
  <c r="C259"/>
  <c r="C258"/>
  <c r="C257"/>
  <c r="C256"/>
  <c r="D255"/>
  <c r="I255" s="1"/>
  <c r="C255"/>
  <c r="C254"/>
  <c r="C253"/>
  <c r="C252"/>
  <c r="C251"/>
  <c r="D250"/>
  <c r="I250" s="1"/>
  <c r="C250"/>
  <c r="D249"/>
  <c r="I249" s="1"/>
  <c r="C249"/>
  <c r="C248"/>
  <c r="C247"/>
  <c r="C246"/>
  <c r="C245"/>
  <c r="D244"/>
  <c r="I244" s="1"/>
  <c r="C244"/>
  <c r="C243"/>
  <c r="C242"/>
  <c r="C241"/>
  <c r="C240"/>
  <c r="D239"/>
  <c r="I239" s="1"/>
  <c r="C239"/>
  <c r="C238"/>
  <c r="C237"/>
  <c r="C236"/>
  <c r="C235"/>
  <c r="D234"/>
  <c r="I234" s="1"/>
  <c r="C234"/>
  <c r="D233"/>
  <c r="I233" s="1"/>
  <c r="C233"/>
  <c r="C232"/>
  <c r="C231"/>
  <c r="C230"/>
  <c r="C229"/>
  <c r="D228"/>
  <c r="I228" s="1"/>
  <c r="C228"/>
  <c r="C227"/>
  <c r="C226"/>
  <c r="C225"/>
  <c r="C224"/>
  <c r="D223"/>
  <c r="I223" s="1"/>
  <c r="C223"/>
  <c r="C222"/>
  <c r="C221"/>
  <c r="C220"/>
  <c r="C219"/>
  <c r="D218"/>
  <c r="I218" s="1"/>
  <c r="C218"/>
  <c r="D217"/>
  <c r="I217" s="1"/>
  <c r="C217"/>
  <c r="C216"/>
  <c r="C215"/>
  <c r="C214"/>
  <c r="C213"/>
  <c r="D212"/>
  <c r="I212" s="1"/>
  <c r="C212"/>
  <c r="C211"/>
  <c r="C210"/>
  <c r="C209"/>
  <c r="C208"/>
  <c r="D207"/>
  <c r="I207" s="1"/>
  <c r="C207"/>
  <c r="C206"/>
  <c r="C205"/>
  <c r="C204"/>
  <c r="C203"/>
  <c r="D202"/>
  <c r="I202" s="1"/>
  <c r="C202"/>
  <c r="D201"/>
  <c r="I201" s="1"/>
  <c r="C201"/>
  <c r="C200"/>
  <c r="C199"/>
  <c r="C198"/>
  <c r="C197"/>
  <c r="D196"/>
  <c r="I196" s="1"/>
  <c r="C196"/>
  <c r="C195"/>
  <c r="C194"/>
  <c r="C193"/>
  <c r="C192"/>
  <c r="D191"/>
  <c r="I191" s="1"/>
  <c r="C191"/>
  <c r="C190"/>
  <c r="C189"/>
  <c r="C188"/>
  <c r="C187"/>
  <c r="D186"/>
  <c r="I186" s="1"/>
  <c r="C186"/>
  <c r="D185"/>
  <c r="I185" s="1"/>
  <c r="C185"/>
  <c r="C184"/>
  <c r="C183"/>
  <c r="C182"/>
  <c r="C181"/>
  <c r="D180"/>
  <c r="I180" s="1"/>
  <c r="C180"/>
  <c r="C179"/>
  <c r="C178"/>
  <c r="C177"/>
  <c r="C176"/>
  <c r="D175"/>
  <c r="I175" s="1"/>
  <c r="C175"/>
  <c r="C174"/>
  <c r="C173"/>
  <c r="C172"/>
  <c r="C171"/>
  <c r="D170"/>
  <c r="I170" s="1"/>
  <c r="C170"/>
  <c r="D169"/>
  <c r="I169" s="1"/>
  <c r="C169"/>
  <c r="C168"/>
  <c r="C167"/>
  <c r="C166"/>
  <c r="C165"/>
  <c r="D164"/>
  <c r="I164" s="1"/>
  <c r="C164"/>
  <c r="C163"/>
  <c r="C162"/>
  <c r="C161"/>
  <c r="C160"/>
  <c r="D159"/>
  <c r="I159" s="1"/>
  <c r="C159"/>
  <c r="C158"/>
  <c r="C157"/>
  <c r="C156"/>
  <c r="C155"/>
  <c r="D154"/>
  <c r="I154" s="1"/>
  <c r="C154"/>
  <c r="D153"/>
  <c r="I153" s="1"/>
  <c r="C153"/>
  <c r="C152"/>
  <c r="C151"/>
  <c r="C150"/>
  <c r="C149"/>
  <c r="D148"/>
  <c r="I148" s="1"/>
  <c r="C148"/>
  <c r="C147"/>
  <c r="C146"/>
  <c r="C145"/>
  <c r="C144"/>
  <c r="D143"/>
  <c r="I143" s="1"/>
  <c r="C143"/>
  <c r="C142"/>
  <c r="C141"/>
  <c r="C140"/>
  <c r="C139"/>
  <c r="D138"/>
  <c r="I138" s="1"/>
  <c r="C138"/>
  <c r="D137"/>
  <c r="I137" s="1"/>
  <c r="C137"/>
  <c r="C136"/>
  <c r="C135"/>
  <c r="C134"/>
  <c r="C133"/>
  <c r="D132"/>
  <c r="I132" s="1"/>
  <c r="C132"/>
  <c r="C131"/>
  <c r="C130"/>
  <c r="C129"/>
  <c r="C128"/>
  <c r="D127"/>
  <c r="I127" s="1"/>
  <c r="C127"/>
  <c r="C126"/>
  <c r="C125"/>
  <c r="C124"/>
  <c r="C123"/>
  <c r="D122"/>
  <c r="I122" s="1"/>
  <c r="C122"/>
  <c r="D121"/>
  <c r="I121" s="1"/>
  <c r="C121"/>
  <c r="C120"/>
  <c r="C119"/>
  <c r="C118"/>
  <c r="C117"/>
  <c r="D116"/>
  <c r="I116" s="1"/>
  <c r="C116"/>
  <c r="C115"/>
  <c r="C114"/>
  <c r="C113"/>
  <c r="C112"/>
  <c r="D111"/>
  <c r="I111" s="1"/>
  <c r="C111"/>
  <c r="C110"/>
  <c r="C109"/>
  <c r="C108"/>
  <c r="C107"/>
  <c r="D106"/>
  <c r="I106" s="1"/>
  <c r="C106"/>
  <c r="D105"/>
  <c r="I105" s="1"/>
  <c r="C105"/>
  <c r="C104"/>
  <c r="C103"/>
  <c r="C102"/>
  <c r="C101"/>
  <c r="D100"/>
  <c r="I100" s="1"/>
  <c r="C100"/>
  <c r="C99"/>
  <c r="C98"/>
  <c r="C97"/>
  <c r="C96"/>
  <c r="D95"/>
  <c r="I95" s="1"/>
  <c r="C95"/>
  <c r="C94"/>
  <c r="C93"/>
  <c r="C92"/>
  <c r="C91"/>
  <c r="D90"/>
  <c r="I90" s="1"/>
  <c r="C90"/>
  <c r="D89"/>
  <c r="I89" s="1"/>
  <c r="C89"/>
  <c r="C88"/>
  <c r="C87"/>
  <c r="C86"/>
  <c r="C85"/>
  <c r="D84"/>
  <c r="I84" s="1"/>
  <c r="C84"/>
  <c r="C83"/>
  <c r="C82"/>
  <c r="C81"/>
  <c r="C80"/>
  <c r="D79"/>
  <c r="I79" s="1"/>
  <c r="C79"/>
  <c r="C78"/>
  <c r="C77"/>
  <c r="C76"/>
  <c r="C75"/>
  <c r="D74"/>
  <c r="I74" s="1"/>
  <c r="C74"/>
  <c r="D73"/>
  <c r="I73" s="1"/>
  <c r="C73"/>
  <c r="C72"/>
  <c r="C71"/>
  <c r="C70"/>
  <c r="C69"/>
  <c r="D68"/>
  <c r="I68" s="1"/>
  <c r="C68"/>
  <c r="C67"/>
  <c r="C66"/>
  <c r="C65"/>
  <c r="C64"/>
  <c r="D63"/>
  <c r="I63" s="1"/>
  <c r="C63"/>
  <c r="C62"/>
  <c r="C61"/>
  <c r="C60"/>
  <c r="C59"/>
  <c r="D58"/>
  <c r="I58" s="1"/>
  <c r="C58"/>
  <c r="D57"/>
  <c r="I57" s="1"/>
  <c r="C57"/>
  <c r="C56"/>
  <c r="C55"/>
  <c r="C54"/>
  <c r="C53"/>
  <c r="D52"/>
  <c r="I52" s="1"/>
  <c r="C52"/>
  <c r="C51"/>
  <c r="C50"/>
  <c r="C49"/>
  <c r="C48"/>
  <c r="D47"/>
  <c r="I47" s="1"/>
  <c r="C47"/>
  <c r="C46"/>
  <c r="C45"/>
  <c r="C44"/>
  <c r="C43"/>
  <c r="D42"/>
  <c r="I42" s="1"/>
  <c r="C42"/>
  <c r="D41"/>
  <c r="I41" s="1"/>
  <c r="C41"/>
  <c r="C40"/>
  <c r="C39"/>
  <c r="C38"/>
  <c r="C37"/>
  <c r="D36"/>
  <c r="I36" s="1"/>
  <c r="C36"/>
  <c r="C35"/>
  <c r="C34"/>
  <c r="C33"/>
  <c r="C32"/>
  <c r="D31"/>
  <c r="I31" s="1"/>
  <c r="C31"/>
  <c r="C30"/>
  <c r="C29"/>
  <c r="C28"/>
  <c r="C27"/>
  <c r="D26"/>
  <c r="I26" s="1"/>
  <c r="C26"/>
  <c r="D25"/>
  <c r="I25" s="1"/>
  <c r="C25"/>
  <c r="C24"/>
  <c r="C23"/>
  <c r="C22"/>
  <c r="C21"/>
  <c r="D20"/>
  <c r="I20" s="1"/>
  <c r="C20"/>
  <c r="C19"/>
  <c r="C18"/>
  <c r="C17"/>
  <c r="C16"/>
  <c r="D15"/>
  <c r="I15" s="1"/>
  <c r="C15"/>
  <c r="C14"/>
  <c r="C13"/>
  <c r="C12"/>
  <c r="C11"/>
  <c r="D10"/>
  <c r="I10" s="1"/>
  <c r="C10"/>
  <c r="D9"/>
  <c r="I9" s="1"/>
  <c r="C9"/>
  <c r="C8"/>
  <c r="C7"/>
  <c r="C6"/>
  <c r="C5"/>
  <c r="D4"/>
  <c r="I4" s="1"/>
  <c r="C4"/>
  <c r="C3"/>
  <c r="C2"/>
  <c r="D27" i="4"/>
  <c r="C27"/>
  <c r="C26"/>
  <c r="D25"/>
  <c r="C25"/>
  <c r="D26" s="1"/>
  <c r="C24"/>
  <c r="D23"/>
  <c r="C23"/>
  <c r="C22"/>
  <c r="D21"/>
  <c r="C21"/>
  <c r="D20" s="1"/>
  <c r="C20"/>
  <c r="D19"/>
  <c r="C19"/>
  <c r="C18"/>
  <c r="D17"/>
  <c r="C17"/>
  <c r="D16" s="1"/>
  <c r="C16"/>
  <c r="D15"/>
  <c r="C15"/>
  <c r="C14"/>
  <c r="D13"/>
  <c r="C13"/>
  <c r="D12" s="1"/>
  <c r="C12"/>
  <c r="F73" i="3"/>
  <c r="E73"/>
  <c r="D289" i="6" s="1"/>
  <c r="I289" s="1"/>
  <c r="D73" i="3"/>
  <c r="D288" i="6" s="1"/>
  <c r="I288" s="1"/>
  <c r="C73" i="3"/>
  <c r="B73"/>
  <c r="G73" s="1"/>
  <c r="F72"/>
  <c r="E72"/>
  <c r="D285" i="6" s="1"/>
  <c r="I285" s="1"/>
  <c r="D72" i="3"/>
  <c r="D284" i="6" s="1"/>
  <c r="I284" s="1"/>
  <c r="C72" i="3"/>
  <c r="D283" i="6" s="1"/>
  <c r="I283" s="1"/>
  <c r="B72" i="3"/>
  <c r="F71"/>
  <c r="E71"/>
  <c r="D71"/>
  <c r="D280" i="6" s="1"/>
  <c r="I280" s="1"/>
  <c r="C71" i="3"/>
  <c r="G71" s="1"/>
  <c r="B71"/>
  <c r="D278" i="6" s="1"/>
  <c r="I278" s="1"/>
  <c r="G70" i="3"/>
  <c r="E275" i="6" s="1"/>
  <c r="F70" i="3"/>
  <c r="H70" s="1"/>
  <c r="E70"/>
  <c r="D277" i="6" s="1"/>
  <c r="I277" s="1"/>
  <c r="D70" i="3"/>
  <c r="C70"/>
  <c r="D275" i="6" s="1"/>
  <c r="I275" s="1"/>
  <c r="B70" i="3"/>
  <c r="D274" i="6" s="1"/>
  <c r="I274" s="1"/>
  <c r="F69" i="3"/>
  <c r="E69"/>
  <c r="D273" i="6" s="1"/>
  <c r="I273" s="1"/>
  <c r="D69" i="3"/>
  <c r="D272" i="6" s="1"/>
  <c r="I272" s="1"/>
  <c r="C69" i="3"/>
  <c r="B69"/>
  <c r="G69" s="1"/>
  <c r="F68"/>
  <c r="E68"/>
  <c r="D269" i="6" s="1"/>
  <c r="I269" s="1"/>
  <c r="D68" i="3"/>
  <c r="G68" s="1"/>
  <c r="C68"/>
  <c r="D267" i="6" s="1"/>
  <c r="I267" s="1"/>
  <c r="B68" i="3"/>
  <c r="F67"/>
  <c r="E67"/>
  <c r="D67"/>
  <c r="D264" i="6" s="1"/>
  <c r="I264" s="1"/>
  <c r="C67" i="3"/>
  <c r="G67" s="1"/>
  <c r="B67"/>
  <c r="D262" i="6" s="1"/>
  <c r="I262" s="1"/>
  <c r="F66" i="3"/>
  <c r="E66"/>
  <c r="D261" i="6" s="1"/>
  <c r="I261" s="1"/>
  <c r="D66" i="3"/>
  <c r="C66"/>
  <c r="D259" i="6" s="1"/>
  <c r="I259" s="1"/>
  <c r="B66" i="3"/>
  <c r="D258" i="6" s="1"/>
  <c r="I258" s="1"/>
  <c r="F65" i="3"/>
  <c r="E65"/>
  <c r="D257" i="6" s="1"/>
  <c r="I257" s="1"/>
  <c r="D65" i="3"/>
  <c r="D256" i="6" s="1"/>
  <c r="I256" s="1"/>
  <c r="C65" i="3"/>
  <c r="B65"/>
  <c r="G65" s="1"/>
  <c r="F64"/>
  <c r="E64"/>
  <c r="D253" i="6" s="1"/>
  <c r="I253" s="1"/>
  <c r="D64" i="3"/>
  <c r="D252" i="6" s="1"/>
  <c r="I252" s="1"/>
  <c r="C64" i="3"/>
  <c r="D251" i="6" s="1"/>
  <c r="I251" s="1"/>
  <c r="B64" i="3"/>
  <c r="F63"/>
  <c r="E63"/>
  <c r="D63"/>
  <c r="D248" i="6" s="1"/>
  <c r="I248" s="1"/>
  <c r="C63" i="3"/>
  <c r="G63" s="1"/>
  <c r="B63"/>
  <c r="D246" i="6" s="1"/>
  <c r="I246" s="1"/>
  <c r="G62" i="3"/>
  <c r="E245" i="6" s="1"/>
  <c r="F62" i="3"/>
  <c r="H62" s="1"/>
  <c r="E62"/>
  <c r="D245" i="6" s="1"/>
  <c r="I245" s="1"/>
  <c r="D62" i="3"/>
  <c r="C62"/>
  <c r="D243" i="6" s="1"/>
  <c r="I243" s="1"/>
  <c r="B62" i="3"/>
  <c r="D242" i="6" s="1"/>
  <c r="I242" s="1"/>
  <c r="F61" i="3"/>
  <c r="E61"/>
  <c r="D241" i="6" s="1"/>
  <c r="I241" s="1"/>
  <c r="D61" i="3"/>
  <c r="D240" i="6" s="1"/>
  <c r="I240" s="1"/>
  <c r="C61" i="3"/>
  <c r="B61"/>
  <c r="G61" s="1"/>
  <c r="F60"/>
  <c r="E60"/>
  <c r="D237" i="6" s="1"/>
  <c r="I237" s="1"/>
  <c r="D60" i="3"/>
  <c r="D236" i="6" s="1"/>
  <c r="I236" s="1"/>
  <c r="C60" i="3"/>
  <c r="G60" s="1"/>
  <c r="B60"/>
  <c r="F59"/>
  <c r="E59"/>
  <c r="D59"/>
  <c r="D232" i="6" s="1"/>
  <c r="I232" s="1"/>
  <c r="C59" i="3"/>
  <c r="G59" s="1"/>
  <c r="B59"/>
  <c r="D230" i="6" s="1"/>
  <c r="I230" s="1"/>
  <c r="G58" i="3"/>
  <c r="E229" i="6" s="1"/>
  <c r="F58" i="3"/>
  <c r="H58" s="1"/>
  <c r="E58"/>
  <c r="D229" i="6" s="1"/>
  <c r="I229" s="1"/>
  <c r="D58" i="3"/>
  <c r="C58"/>
  <c r="D227" i="6" s="1"/>
  <c r="I227" s="1"/>
  <c r="B58" i="3"/>
  <c r="D226" i="6" s="1"/>
  <c r="I226" s="1"/>
  <c r="F57" i="3"/>
  <c r="E57"/>
  <c r="D225" i="6" s="1"/>
  <c r="I225" s="1"/>
  <c r="D57" i="3"/>
  <c r="D224" i="6" s="1"/>
  <c r="I224" s="1"/>
  <c r="C57" i="3"/>
  <c r="B57"/>
  <c r="G57" s="1"/>
  <c r="F56"/>
  <c r="E56"/>
  <c r="D221" i="6" s="1"/>
  <c r="I221" s="1"/>
  <c r="D56" i="3"/>
  <c r="D220" i="6" s="1"/>
  <c r="I220" s="1"/>
  <c r="C56" i="3"/>
  <c r="D219" i="6" s="1"/>
  <c r="I219" s="1"/>
  <c r="B56" i="3"/>
  <c r="F55"/>
  <c r="E55"/>
  <c r="D55"/>
  <c r="D216" i="6" s="1"/>
  <c r="I216" s="1"/>
  <c r="C55" i="3"/>
  <c r="G55" s="1"/>
  <c r="B55"/>
  <c r="D214" i="6" s="1"/>
  <c r="I214" s="1"/>
  <c r="G54" i="3"/>
  <c r="E212" i="6" s="1"/>
  <c r="F54" i="3"/>
  <c r="H54" s="1"/>
  <c r="E54"/>
  <c r="D213" i="6" s="1"/>
  <c r="I213" s="1"/>
  <c r="D54" i="3"/>
  <c r="C54"/>
  <c r="D211" i="6" s="1"/>
  <c r="I211" s="1"/>
  <c r="B54" i="3"/>
  <c r="D210" i="6" s="1"/>
  <c r="I210" s="1"/>
  <c r="F53" i="3"/>
  <c r="E53"/>
  <c r="D209" i="6" s="1"/>
  <c r="I209" s="1"/>
  <c r="D53" i="3"/>
  <c r="D208" i="6" s="1"/>
  <c r="I208" s="1"/>
  <c r="C53" i="3"/>
  <c r="B53"/>
  <c r="G53" s="1"/>
  <c r="F52"/>
  <c r="E52"/>
  <c r="D205" i="6" s="1"/>
  <c r="I205" s="1"/>
  <c r="D52" i="3"/>
  <c r="D204" i="6" s="1"/>
  <c r="I204" s="1"/>
  <c r="C52" i="3"/>
  <c r="D203" i="6" s="1"/>
  <c r="I203" s="1"/>
  <c r="B52" i="3"/>
  <c r="F51"/>
  <c r="E51"/>
  <c r="D51"/>
  <c r="D200" i="6" s="1"/>
  <c r="I200" s="1"/>
  <c r="C51" i="3"/>
  <c r="D199" i="6" s="1"/>
  <c r="I199" s="1"/>
  <c r="B51" i="3"/>
  <c r="D198" i="6" s="1"/>
  <c r="I198" s="1"/>
  <c r="G50" i="3"/>
  <c r="E197" i="6" s="1"/>
  <c r="F50" i="3"/>
  <c r="H50" s="1"/>
  <c r="E50"/>
  <c r="D197" i="6" s="1"/>
  <c r="I197" s="1"/>
  <c r="D50" i="3"/>
  <c r="C50"/>
  <c r="D195" i="6" s="1"/>
  <c r="I195" s="1"/>
  <c r="B50" i="3"/>
  <c r="D194" i="6" s="1"/>
  <c r="I194" s="1"/>
  <c r="F49" i="3"/>
  <c r="E49"/>
  <c r="D193" i="6" s="1"/>
  <c r="I193" s="1"/>
  <c r="D49" i="3"/>
  <c r="D192" i="6" s="1"/>
  <c r="I192" s="1"/>
  <c r="C49" i="3"/>
  <c r="B49"/>
  <c r="G49" s="1"/>
  <c r="F48"/>
  <c r="E48"/>
  <c r="D189" i="6" s="1"/>
  <c r="I189" s="1"/>
  <c r="D48" i="3"/>
  <c r="D188" i="6" s="1"/>
  <c r="I188" s="1"/>
  <c r="C48" i="3"/>
  <c r="D187" i="6" s="1"/>
  <c r="I187" s="1"/>
  <c r="B48" i="3"/>
  <c r="F47"/>
  <c r="E47"/>
  <c r="D47"/>
  <c r="D184" i="6" s="1"/>
  <c r="I184" s="1"/>
  <c r="C47" i="3"/>
  <c r="D183" i="6" s="1"/>
  <c r="I183" s="1"/>
  <c r="B47" i="3"/>
  <c r="D182" i="6" s="1"/>
  <c r="I182" s="1"/>
  <c r="G46" i="3"/>
  <c r="E180" i="6" s="1"/>
  <c r="F46" i="3"/>
  <c r="H46" s="1"/>
  <c r="E46"/>
  <c r="D181" i="6" s="1"/>
  <c r="I181" s="1"/>
  <c r="D46" i="3"/>
  <c r="C46"/>
  <c r="D179" i="6" s="1"/>
  <c r="I179" s="1"/>
  <c r="B46" i="3"/>
  <c r="D178" i="6" s="1"/>
  <c r="I178" s="1"/>
  <c r="F45" i="3"/>
  <c r="E45"/>
  <c r="D177" i="6" s="1"/>
  <c r="I177" s="1"/>
  <c r="D45" i="3"/>
  <c r="D176" i="6" s="1"/>
  <c r="I176" s="1"/>
  <c r="C45" i="3"/>
  <c r="B45"/>
  <c r="G45" s="1"/>
  <c r="F44"/>
  <c r="E44"/>
  <c r="D173" i="6" s="1"/>
  <c r="I173" s="1"/>
  <c r="D44" i="3"/>
  <c r="D172" i="6" s="1"/>
  <c r="I172" s="1"/>
  <c r="C44" i="3"/>
  <c r="D171" i="6" s="1"/>
  <c r="I171" s="1"/>
  <c r="B44" i="3"/>
  <c r="F43"/>
  <c r="E43"/>
  <c r="D43"/>
  <c r="D168" i="6" s="1"/>
  <c r="I168" s="1"/>
  <c r="C43" i="3"/>
  <c r="D167" i="6" s="1"/>
  <c r="I167" s="1"/>
  <c r="B43" i="3"/>
  <c r="D166" i="6" s="1"/>
  <c r="I166" s="1"/>
  <c r="G42" i="3"/>
  <c r="E165" i="6" s="1"/>
  <c r="F42" i="3"/>
  <c r="H42" s="1"/>
  <c r="E42"/>
  <c r="D165" i="6" s="1"/>
  <c r="I165" s="1"/>
  <c r="D42" i="3"/>
  <c r="C42"/>
  <c r="D163" i="6" s="1"/>
  <c r="I163" s="1"/>
  <c r="B42" i="3"/>
  <c r="D162" i="6" s="1"/>
  <c r="I162" s="1"/>
  <c r="F41" i="3"/>
  <c r="E41"/>
  <c r="D161" i="6" s="1"/>
  <c r="I161" s="1"/>
  <c r="D41" i="3"/>
  <c r="D160" i="6" s="1"/>
  <c r="I160" s="1"/>
  <c r="C41" i="3"/>
  <c r="B41"/>
  <c r="G41" s="1"/>
  <c r="F40"/>
  <c r="E40"/>
  <c r="D157" i="6" s="1"/>
  <c r="I157" s="1"/>
  <c r="D40" i="3"/>
  <c r="D156" i="6" s="1"/>
  <c r="I156" s="1"/>
  <c r="C40" i="3"/>
  <c r="D155" i="6" s="1"/>
  <c r="I155" s="1"/>
  <c r="B40" i="3"/>
  <c r="F39"/>
  <c r="E39"/>
  <c r="D39"/>
  <c r="D152" i="6" s="1"/>
  <c r="I152" s="1"/>
  <c r="C39" i="3"/>
  <c r="D151" i="6" s="1"/>
  <c r="I151" s="1"/>
  <c r="B39" i="3"/>
  <c r="D150" i="6" s="1"/>
  <c r="I150" s="1"/>
  <c r="G38" i="3"/>
  <c r="E148" i="6" s="1"/>
  <c r="F38" i="3"/>
  <c r="H38" s="1"/>
  <c r="E38"/>
  <c r="D149" i="6" s="1"/>
  <c r="I149" s="1"/>
  <c r="D38" i="3"/>
  <c r="C38"/>
  <c r="D147" i="6" s="1"/>
  <c r="I147" s="1"/>
  <c r="B38" i="3"/>
  <c r="D146" i="6" s="1"/>
  <c r="I146" s="1"/>
  <c r="F37" i="3"/>
  <c r="E37"/>
  <c r="D145" i="6" s="1"/>
  <c r="I145" s="1"/>
  <c r="D37" i="3"/>
  <c r="D144" i="6" s="1"/>
  <c r="I144" s="1"/>
  <c r="C37" i="3"/>
  <c r="B37"/>
  <c r="G37" s="1"/>
  <c r="F36"/>
  <c r="E36"/>
  <c r="D141" i="6" s="1"/>
  <c r="I141" s="1"/>
  <c r="D36" i="3"/>
  <c r="D140" i="6" s="1"/>
  <c r="I140" s="1"/>
  <c r="C36" i="3"/>
  <c r="D139" i="6" s="1"/>
  <c r="I139" s="1"/>
  <c r="B36" i="3"/>
  <c r="F35"/>
  <c r="E35"/>
  <c r="D35"/>
  <c r="D136" i="6" s="1"/>
  <c r="I136" s="1"/>
  <c r="C35" i="3"/>
  <c r="G35" s="1"/>
  <c r="B35"/>
  <c r="D134" i="6" s="1"/>
  <c r="I134" s="1"/>
  <c r="G34" i="3"/>
  <c r="E133" i="6" s="1"/>
  <c r="F34" i="3"/>
  <c r="H34" s="1"/>
  <c r="E34"/>
  <c r="D133" i="6" s="1"/>
  <c r="I133" s="1"/>
  <c r="D34" i="3"/>
  <c r="C34"/>
  <c r="D131" i="6" s="1"/>
  <c r="I131" s="1"/>
  <c r="B34" i="3"/>
  <c r="D130" i="6" s="1"/>
  <c r="I130" s="1"/>
  <c r="F33" i="3"/>
  <c r="E33"/>
  <c r="D129" i="6" s="1"/>
  <c r="I129" s="1"/>
  <c r="D33" i="3"/>
  <c r="D128" i="6" s="1"/>
  <c r="I128" s="1"/>
  <c r="C33" i="3"/>
  <c r="B33"/>
  <c r="G33" s="1"/>
  <c r="F32"/>
  <c r="E32"/>
  <c r="D125" i="6" s="1"/>
  <c r="I125" s="1"/>
  <c r="D32" i="3"/>
  <c r="D124" i="6" s="1"/>
  <c r="I124" s="1"/>
  <c r="C32" i="3"/>
  <c r="D123" i="6" s="1"/>
  <c r="I123" s="1"/>
  <c r="B32" i="3"/>
  <c r="F31"/>
  <c r="E31"/>
  <c r="D31"/>
  <c r="D120" i="6" s="1"/>
  <c r="I120" s="1"/>
  <c r="C31" i="3"/>
  <c r="D119" i="6" s="1"/>
  <c r="I119" s="1"/>
  <c r="B31" i="3"/>
  <c r="D118" i="6" s="1"/>
  <c r="I118" s="1"/>
  <c r="F30" i="3"/>
  <c r="E30"/>
  <c r="D117" i="6" s="1"/>
  <c r="I117" s="1"/>
  <c r="D30" i="3"/>
  <c r="C30"/>
  <c r="D115" i="6" s="1"/>
  <c r="I115" s="1"/>
  <c r="B30" i="3"/>
  <c r="D114" i="6" s="1"/>
  <c r="I114" s="1"/>
  <c r="F29" i="3"/>
  <c r="E29"/>
  <c r="D113" i="6" s="1"/>
  <c r="I113" s="1"/>
  <c r="D29" i="3"/>
  <c r="D112" i="6" s="1"/>
  <c r="I112" s="1"/>
  <c r="C29" i="3"/>
  <c r="B29"/>
  <c r="G29" s="1"/>
  <c r="F28"/>
  <c r="E28"/>
  <c r="D109" i="6" s="1"/>
  <c r="I109" s="1"/>
  <c r="D28" i="3"/>
  <c r="D108" i="6" s="1"/>
  <c r="I108" s="1"/>
  <c r="C28" i="3"/>
  <c r="D107" i="6" s="1"/>
  <c r="I107" s="1"/>
  <c r="B28" i="3"/>
  <c r="F27"/>
  <c r="E27"/>
  <c r="D27"/>
  <c r="D104" i="6" s="1"/>
  <c r="I104" s="1"/>
  <c r="C27" i="3"/>
  <c r="D103" i="6" s="1"/>
  <c r="I103" s="1"/>
  <c r="B27" i="3"/>
  <c r="D102" i="6" s="1"/>
  <c r="I102" s="1"/>
  <c r="F26" i="3"/>
  <c r="E26"/>
  <c r="D101" i="6" s="1"/>
  <c r="I101" s="1"/>
  <c r="D26" i="3"/>
  <c r="C26"/>
  <c r="D99" i="6" s="1"/>
  <c r="I99" s="1"/>
  <c r="B26" i="3"/>
  <c r="D98" i="6" s="1"/>
  <c r="I98" s="1"/>
  <c r="F25" i="3"/>
  <c r="E25"/>
  <c r="D97" i="6" s="1"/>
  <c r="I97" s="1"/>
  <c r="D25" i="3"/>
  <c r="D96" i="6" s="1"/>
  <c r="I96" s="1"/>
  <c r="C25" i="3"/>
  <c r="B25"/>
  <c r="G25" s="1"/>
  <c r="F24"/>
  <c r="E24"/>
  <c r="D93" i="6" s="1"/>
  <c r="I93" s="1"/>
  <c r="D24" i="3"/>
  <c r="D92" i="6" s="1"/>
  <c r="I92" s="1"/>
  <c r="C24" i="3"/>
  <c r="D91" i="6" s="1"/>
  <c r="I91" s="1"/>
  <c r="B24" i="3"/>
  <c r="F23"/>
  <c r="E23"/>
  <c r="D23"/>
  <c r="D88" i="6" s="1"/>
  <c r="I88" s="1"/>
  <c r="C23" i="3"/>
  <c r="G23" s="1"/>
  <c r="B23"/>
  <c r="D86" i="6" s="1"/>
  <c r="I86" s="1"/>
  <c r="F22" i="3"/>
  <c r="E22"/>
  <c r="D85" i="6" s="1"/>
  <c r="I85" s="1"/>
  <c r="D22" i="3"/>
  <c r="C22"/>
  <c r="G22" s="1"/>
  <c r="B22"/>
  <c r="D82" i="6" s="1"/>
  <c r="I82" s="1"/>
  <c r="F21" i="3"/>
  <c r="E21"/>
  <c r="D81" i="6" s="1"/>
  <c r="I81" s="1"/>
  <c r="D21" i="3"/>
  <c r="D80" i="6" s="1"/>
  <c r="I80" s="1"/>
  <c r="C21" i="3"/>
  <c r="B21"/>
  <c r="G21" s="1"/>
  <c r="F20"/>
  <c r="E20"/>
  <c r="D77" i="6" s="1"/>
  <c r="I77" s="1"/>
  <c r="D20" i="3"/>
  <c r="D76" i="6" s="1"/>
  <c r="I76" s="1"/>
  <c r="C20" i="3"/>
  <c r="D75" i="6" s="1"/>
  <c r="I75" s="1"/>
  <c r="B20" i="3"/>
  <c r="F19"/>
  <c r="E19"/>
  <c r="D19"/>
  <c r="D72" i="6" s="1"/>
  <c r="I72" s="1"/>
  <c r="C19" i="3"/>
  <c r="D71" i="6" s="1"/>
  <c r="I71" s="1"/>
  <c r="B19" i="3"/>
  <c r="D70" i="6" s="1"/>
  <c r="I70" s="1"/>
  <c r="F18" i="3"/>
  <c r="E18"/>
  <c r="D69" i="6" s="1"/>
  <c r="I69" s="1"/>
  <c r="D18" i="3"/>
  <c r="C18"/>
  <c r="G18" s="1"/>
  <c r="B18"/>
  <c r="D66" i="6" s="1"/>
  <c r="I66" s="1"/>
  <c r="F17" i="3"/>
  <c r="E17"/>
  <c r="D65" i="6" s="1"/>
  <c r="I65" s="1"/>
  <c r="D17" i="3"/>
  <c r="D64" i="6" s="1"/>
  <c r="I64" s="1"/>
  <c r="C17" i="3"/>
  <c r="B17"/>
  <c r="G17" s="1"/>
  <c r="F16"/>
  <c r="E16"/>
  <c r="D61" i="6" s="1"/>
  <c r="I61" s="1"/>
  <c r="D16" i="3"/>
  <c r="D60" i="6" s="1"/>
  <c r="I60" s="1"/>
  <c r="C16" i="3"/>
  <c r="D59" i="6" s="1"/>
  <c r="I59" s="1"/>
  <c r="B16" i="3"/>
  <c r="F15"/>
  <c r="E15"/>
  <c r="D15"/>
  <c r="D56" i="6" s="1"/>
  <c r="I56" s="1"/>
  <c r="C15" i="3"/>
  <c r="D55" i="6" s="1"/>
  <c r="I55" s="1"/>
  <c r="B15" i="3"/>
  <c r="D54" i="6" s="1"/>
  <c r="I54" s="1"/>
  <c r="F14" i="3"/>
  <c r="E14"/>
  <c r="D53" i="6" s="1"/>
  <c r="I53" s="1"/>
  <c r="D14" i="3"/>
  <c r="C14"/>
  <c r="D51" i="6" s="1"/>
  <c r="I51" s="1"/>
  <c r="B14" i="3"/>
  <c r="D50" i="6" s="1"/>
  <c r="I50" s="1"/>
  <c r="F13" i="3"/>
  <c r="E13"/>
  <c r="D49" i="6" s="1"/>
  <c r="I49" s="1"/>
  <c r="D13" i="3"/>
  <c r="D48" i="6" s="1"/>
  <c r="I48" s="1"/>
  <c r="C13" i="3"/>
  <c r="B13"/>
  <c r="G13" s="1"/>
  <c r="F12"/>
  <c r="E12"/>
  <c r="D45" i="6" s="1"/>
  <c r="I45" s="1"/>
  <c r="D12" i="3"/>
  <c r="D44" i="6" s="1"/>
  <c r="I44" s="1"/>
  <c r="C12" i="3"/>
  <c r="D43" i="6" s="1"/>
  <c r="I43" s="1"/>
  <c r="B12" i="3"/>
  <c r="F11"/>
  <c r="E11"/>
  <c r="D11"/>
  <c r="D40" i="6" s="1"/>
  <c r="I40" s="1"/>
  <c r="C11" i="3"/>
  <c r="D39" i="6" s="1"/>
  <c r="I39" s="1"/>
  <c r="B11" i="3"/>
  <c r="D38" i="6" s="1"/>
  <c r="I38" s="1"/>
  <c r="F10" i="3"/>
  <c r="E10"/>
  <c r="D37" i="6" s="1"/>
  <c r="I37" s="1"/>
  <c r="D10" i="3"/>
  <c r="C10"/>
  <c r="D35" i="6" s="1"/>
  <c r="I35" s="1"/>
  <c r="B10" i="3"/>
  <c r="D34" i="6" s="1"/>
  <c r="I34" s="1"/>
  <c r="F9" i="3"/>
  <c r="E9"/>
  <c r="D33" i="6" s="1"/>
  <c r="I33" s="1"/>
  <c r="D9" i="3"/>
  <c r="D32" i="6" s="1"/>
  <c r="I32" s="1"/>
  <c r="C9" i="3"/>
  <c r="B9"/>
  <c r="G9" s="1"/>
  <c r="F8"/>
  <c r="E8"/>
  <c r="D29" i="6" s="1"/>
  <c r="I29" s="1"/>
  <c r="D8" i="3"/>
  <c r="D28" i="6" s="1"/>
  <c r="I28" s="1"/>
  <c r="C8" i="3"/>
  <c r="D27" i="6" s="1"/>
  <c r="I27" s="1"/>
  <c r="B8" i="3"/>
  <c r="F7"/>
  <c r="E7"/>
  <c r="D7"/>
  <c r="D24" i="6" s="1"/>
  <c r="I24" s="1"/>
  <c r="C7" i="3"/>
  <c r="D23" i="6" s="1"/>
  <c r="I23" s="1"/>
  <c r="B7" i="3"/>
  <c r="D22" i="6" s="1"/>
  <c r="I22" s="1"/>
  <c r="G6" i="3"/>
  <c r="E18" i="6" s="1"/>
  <c r="F6" i="3"/>
  <c r="H6" s="1"/>
  <c r="E6"/>
  <c r="D21" i="6" s="1"/>
  <c r="I21" s="1"/>
  <c r="D6" i="3"/>
  <c r="C6"/>
  <c r="D19" i="6" s="1"/>
  <c r="I19" s="1"/>
  <c r="B6" i="3"/>
  <c r="D18" i="6" s="1"/>
  <c r="I18" s="1"/>
  <c r="F5" i="3"/>
  <c r="E5"/>
  <c r="D17" i="6" s="1"/>
  <c r="I17" s="1"/>
  <c r="D5" i="3"/>
  <c r="D16" i="6" s="1"/>
  <c r="I16" s="1"/>
  <c r="C5" i="3"/>
  <c r="B5"/>
  <c r="G5" s="1"/>
  <c r="F4"/>
  <c r="E4"/>
  <c r="D13" i="6" s="1"/>
  <c r="I13" s="1"/>
  <c r="D4" i="3"/>
  <c r="D12" i="6" s="1"/>
  <c r="I12" s="1"/>
  <c r="C4" i="3"/>
  <c r="D11" i="6" s="1"/>
  <c r="I11" s="1"/>
  <c r="B4" i="3"/>
  <c r="F3"/>
  <c r="E3"/>
  <c r="D3"/>
  <c r="D8" i="6" s="1"/>
  <c r="I8" s="1"/>
  <c r="C3" i="3"/>
  <c r="D7" i="6" s="1"/>
  <c r="I7" s="1"/>
  <c r="B3" i="3"/>
  <c r="D6" i="6" s="1"/>
  <c r="I6" s="1"/>
  <c r="G2" i="3"/>
  <c r="E2" i="6" s="1"/>
  <c r="F2" i="3"/>
  <c r="H2" s="1"/>
  <c r="E2"/>
  <c r="B7" i="4" s="1"/>
  <c r="D2" i="3"/>
  <c r="C2"/>
  <c r="B5" i="4" s="1"/>
  <c r="B2" i="3"/>
  <c r="B4" i="4" s="1"/>
  <c r="BX213" i="2"/>
  <c r="BX214" s="1"/>
  <c r="BW213"/>
  <c r="BW216" s="1"/>
  <c r="BV213"/>
  <c r="BV214" s="1"/>
  <c r="BU213"/>
  <c r="BU216" s="1"/>
  <c r="BT213"/>
  <c r="BT216" s="1"/>
  <c r="BS213"/>
  <c r="BS216" s="1"/>
  <c r="BR213"/>
  <c r="BR216" s="1"/>
  <c r="BQ213"/>
  <c r="BQ216" s="1"/>
  <c r="BP213"/>
  <c r="BP216" s="1"/>
  <c r="BO213"/>
  <c r="BO216" s="1"/>
  <c r="BN213"/>
  <c r="BN216" s="1"/>
  <c r="BM213"/>
  <c r="BM216" s="1"/>
  <c r="BL213"/>
  <c r="BL216" s="1"/>
  <c r="BK213"/>
  <c r="BK216" s="1"/>
  <c r="BJ213"/>
  <c r="BJ214" s="1"/>
  <c r="BI213"/>
  <c r="BI216" s="1"/>
  <c r="BH213"/>
  <c r="BH216" s="1"/>
  <c r="BG213"/>
  <c r="BG216" s="1"/>
  <c r="BF213"/>
  <c r="BF216" s="1"/>
  <c r="BE213"/>
  <c r="BE216" s="1"/>
  <c r="BD213"/>
  <c r="BD216" s="1"/>
  <c r="BC213"/>
  <c r="BC216" s="1"/>
  <c r="BB213"/>
  <c r="BB214" s="1"/>
  <c r="BA213"/>
  <c r="BA216" s="1"/>
  <c r="AZ213"/>
  <c r="AZ216" s="1"/>
  <c r="AY213"/>
  <c r="AY216" s="1"/>
  <c r="AX213"/>
  <c r="AX214" s="1"/>
  <c r="AW213"/>
  <c r="AW216" s="1"/>
  <c r="AV213"/>
  <c r="AV216" s="1"/>
  <c r="AU213"/>
  <c r="AU216" s="1"/>
  <c r="AT213"/>
  <c r="AT216" s="1"/>
  <c r="AS213"/>
  <c r="AS216" s="1"/>
  <c r="AR213"/>
  <c r="AR216" s="1"/>
  <c r="AQ213"/>
  <c r="AQ216" s="1"/>
  <c r="AP213"/>
  <c r="AP216" s="1"/>
  <c r="AO213"/>
  <c r="AO216" s="1"/>
  <c r="AN213"/>
  <c r="AN216" s="1"/>
  <c r="AM213"/>
  <c r="AM216" s="1"/>
  <c r="AL213"/>
  <c r="AL214" s="1"/>
  <c r="AK213"/>
  <c r="AK216" s="1"/>
  <c r="AJ213"/>
  <c r="AJ216" s="1"/>
  <c r="AI213"/>
  <c r="AI216" s="1"/>
  <c r="AH213"/>
  <c r="AH216" s="1"/>
  <c r="AG213"/>
  <c r="AG216" s="1"/>
  <c r="AF213"/>
  <c r="AF216" s="1"/>
  <c r="AE213"/>
  <c r="AE216" s="1"/>
  <c r="AD213"/>
  <c r="AD216" s="1"/>
  <c r="AC213"/>
  <c r="AC216" s="1"/>
  <c r="AB213"/>
  <c r="AB216" s="1"/>
  <c r="AA213"/>
  <c r="AA216" s="1"/>
  <c r="Z213"/>
  <c r="Z216" s="1"/>
  <c r="Y213"/>
  <c r="Y216" s="1"/>
  <c r="X213"/>
  <c r="X216" s="1"/>
  <c r="W213"/>
  <c r="W216" s="1"/>
  <c r="V213"/>
  <c r="V214" s="1"/>
  <c r="U213"/>
  <c r="U216" s="1"/>
  <c r="T213"/>
  <c r="T216" s="1"/>
  <c r="S213"/>
  <c r="S216" s="1"/>
  <c r="R213"/>
  <c r="R216" s="1"/>
  <c r="Q213"/>
  <c r="Q216" s="1"/>
  <c r="P213"/>
  <c r="P216" s="1"/>
  <c r="O213"/>
  <c r="O216" s="1"/>
  <c r="N213"/>
  <c r="N214" s="1"/>
  <c r="M213"/>
  <c r="M216" s="1"/>
  <c r="L213"/>
  <c r="L216" s="1"/>
  <c r="K213"/>
  <c r="K216" s="1"/>
  <c r="J213"/>
  <c r="J216" s="1"/>
  <c r="I213"/>
  <c r="I216" s="1"/>
  <c r="H213"/>
  <c r="H216" s="1"/>
  <c r="G213"/>
  <c r="G216" s="1"/>
  <c r="F213"/>
  <c r="F216" s="1"/>
  <c r="E213"/>
  <c r="E216" s="1"/>
  <c r="E224" i="6" l="1"/>
  <c r="E225"/>
  <c r="E222"/>
  <c r="E223"/>
  <c r="H59" i="3"/>
  <c r="E233" i="6"/>
  <c r="E230"/>
  <c r="E232"/>
  <c r="E231"/>
  <c r="J2"/>
  <c r="E33"/>
  <c r="E30"/>
  <c r="E32"/>
  <c r="E31"/>
  <c r="E49"/>
  <c r="E47"/>
  <c r="E46"/>
  <c r="E48"/>
  <c r="E65"/>
  <c r="E64"/>
  <c r="E63"/>
  <c r="E62"/>
  <c r="E80"/>
  <c r="E81"/>
  <c r="E78"/>
  <c r="E79"/>
  <c r="E97"/>
  <c r="E94"/>
  <c r="E96"/>
  <c r="E95"/>
  <c r="E111"/>
  <c r="E113"/>
  <c r="E110"/>
  <c r="E112"/>
  <c r="E126"/>
  <c r="E129"/>
  <c r="E128"/>
  <c r="E127"/>
  <c r="E135"/>
  <c r="H35" i="3"/>
  <c r="E136" i="6"/>
  <c r="E137"/>
  <c r="E134"/>
  <c r="G165"/>
  <c r="J165"/>
  <c r="E193"/>
  <c r="E191"/>
  <c r="E190"/>
  <c r="E192"/>
  <c r="G229"/>
  <c r="J229"/>
  <c r="E255"/>
  <c r="E257"/>
  <c r="E254"/>
  <c r="E256"/>
  <c r="E273"/>
  <c r="E270"/>
  <c r="E272"/>
  <c r="E271"/>
  <c r="E280"/>
  <c r="E278"/>
  <c r="H71" i="3"/>
  <c r="E281" i="6"/>
  <c r="E279"/>
  <c r="H57" i="3"/>
  <c r="H9"/>
  <c r="H13"/>
  <c r="H17"/>
  <c r="H21"/>
  <c r="H25"/>
  <c r="H29"/>
  <c r="H33"/>
  <c r="H49"/>
  <c r="H65"/>
  <c r="H69"/>
  <c r="J5" i="8"/>
  <c r="J7"/>
  <c r="N9" s="1"/>
  <c r="J21"/>
  <c r="J23"/>
  <c r="J37"/>
  <c r="J39"/>
  <c r="J52"/>
  <c r="J53"/>
  <c r="J55"/>
  <c r="J68"/>
  <c r="J69"/>
  <c r="J71"/>
  <c r="N73" s="1"/>
  <c r="J84"/>
  <c r="J85"/>
  <c r="J87"/>
  <c r="J100"/>
  <c r="J101"/>
  <c r="J103"/>
  <c r="J116"/>
  <c r="J117"/>
  <c r="J119"/>
  <c r="N121" s="1"/>
  <c r="J132"/>
  <c r="J133"/>
  <c r="J135"/>
  <c r="J148"/>
  <c r="J149"/>
  <c r="J151"/>
  <c r="N153" s="1"/>
  <c r="J164"/>
  <c r="J165"/>
  <c r="J167"/>
  <c r="N169" s="1"/>
  <c r="J180"/>
  <c r="J181"/>
  <c r="J183"/>
  <c r="J196"/>
  <c r="J197"/>
  <c r="J199"/>
  <c r="N201" s="1"/>
  <c r="J212"/>
  <c r="J213"/>
  <c r="J215"/>
  <c r="N217" s="1"/>
  <c r="J228"/>
  <c r="J229"/>
  <c r="J231"/>
  <c r="J244"/>
  <c r="J245"/>
  <c r="J247"/>
  <c r="J260"/>
  <c r="J261"/>
  <c r="J263"/>
  <c r="J276"/>
  <c r="J277"/>
  <c r="J279"/>
  <c r="N281" s="1"/>
  <c r="J292"/>
  <c r="J293"/>
  <c r="J295"/>
  <c r="J308"/>
  <c r="J309"/>
  <c r="J311"/>
  <c r="N313" s="1"/>
  <c r="J324"/>
  <c r="J325"/>
  <c r="J327"/>
  <c r="J340"/>
  <c r="J341"/>
  <c r="J343"/>
  <c r="J356"/>
  <c r="J357"/>
  <c r="J359"/>
  <c r="J372"/>
  <c r="J373"/>
  <c r="J375"/>
  <c r="J388"/>
  <c r="J389"/>
  <c r="J391"/>
  <c r="J404"/>
  <c r="J405"/>
  <c r="J407"/>
  <c r="J420"/>
  <c r="J421"/>
  <c r="J423"/>
  <c r="G148" i="6"/>
  <c r="J148"/>
  <c r="E177"/>
  <c r="E174"/>
  <c r="E176"/>
  <c r="E175"/>
  <c r="E263"/>
  <c r="H67" i="3"/>
  <c r="E265" i="6"/>
  <c r="E264"/>
  <c r="E262"/>
  <c r="H45" i="3"/>
  <c r="G212" i="6"/>
  <c r="J212"/>
  <c r="E69"/>
  <c r="E68"/>
  <c r="E67"/>
  <c r="E66"/>
  <c r="E159"/>
  <c r="E161"/>
  <c r="E158"/>
  <c r="E160"/>
  <c r="J275"/>
  <c r="H275" s="1"/>
  <c r="BR4" i="7" s="1"/>
  <c r="G275" i="6"/>
  <c r="N41" i="8"/>
  <c r="N40"/>
  <c r="N39"/>
  <c r="N38"/>
  <c r="N89"/>
  <c r="N88"/>
  <c r="N87"/>
  <c r="N86"/>
  <c r="N105"/>
  <c r="N104"/>
  <c r="N103"/>
  <c r="N102"/>
  <c r="N137"/>
  <c r="N136"/>
  <c r="N135"/>
  <c r="N134"/>
  <c r="N185"/>
  <c r="N184"/>
  <c r="N183"/>
  <c r="N182"/>
  <c r="N233"/>
  <c r="N232"/>
  <c r="N231"/>
  <c r="N230"/>
  <c r="N297"/>
  <c r="N296"/>
  <c r="N295"/>
  <c r="N294"/>
  <c r="N329"/>
  <c r="N328"/>
  <c r="N327"/>
  <c r="N326"/>
  <c r="N361"/>
  <c r="N360"/>
  <c r="N359"/>
  <c r="N358"/>
  <c r="N393"/>
  <c r="N392"/>
  <c r="N391"/>
  <c r="N390"/>
  <c r="N425"/>
  <c r="N424"/>
  <c r="N423"/>
  <c r="N422"/>
  <c r="H5" i="3"/>
  <c r="H41"/>
  <c r="H229" i="6"/>
  <c r="E15"/>
  <c r="E17"/>
  <c r="E16"/>
  <c r="E14"/>
  <c r="E89"/>
  <c r="E86"/>
  <c r="E88"/>
  <c r="E87"/>
  <c r="H23" i="3"/>
  <c r="E236" i="6"/>
  <c r="H60" i="3"/>
  <c r="E234" i="6"/>
  <c r="E237"/>
  <c r="E235"/>
  <c r="E240"/>
  <c r="E239"/>
  <c r="E241"/>
  <c r="E238"/>
  <c r="E249"/>
  <c r="E247"/>
  <c r="E248"/>
  <c r="E246"/>
  <c r="H63" i="3"/>
  <c r="E83" i="6"/>
  <c r="E85"/>
  <c r="E82"/>
  <c r="E84"/>
  <c r="J133"/>
  <c r="H133" s="1"/>
  <c r="G133"/>
  <c r="G197"/>
  <c r="J197"/>
  <c r="H197" s="1"/>
  <c r="N57" i="8"/>
  <c r="N56"/>
  <c r="N55"/>
  <c r="N54"/>
  <c r="N249"/>
  <c r="N248"/>
  <c r="N247"/>
  <c r="N246"/>
  <c r="N265"/>
  <c r="N264"/>
  <c r="N263"/>
  <c r="N262"/>
  <c r="N345"/>
  <c r="N344"/>
  <c r="N343"/>
  <c r="N342"/>
  <c r="N377"/>
  <c r="N376"/>
  <c r="N375"/>
  <c r="N374"/>
  <c r="N409"/>
  <c r="N408"/>
  <c r="N407"/>
  <c r="N406"/>
  <c r="J18" i="6"/>
  <c r="H18" s="1"/>
  <c r="G18"/>
  <c r="E145"/>
  <c r="E144"/>
  <c r="E143"/>
  <c r="E142"/>
  <c r="G180"/>
  <c r="J180"/>
  <c r="E207"/>
  <c r="E208"/>
  <c r="E209"/>
  <c r="E206"/>
  <c r="H55" i="3"/>
  <c r="E217" i="6"/>
  <c r="E214"/>
  <c r="E215"/>
  <c r="E216"/>
  <c r="J245"/>
  <c r="H245" s="1"/>
  <c r="BJ6" i="7" s="1"/>
  <c r="G245" i="6"/>
  <c r="H68" i="3"/>
  <c r="E269" i="6"/>
  <c r="E266"/>
  <c r="E268"/>
  <c r="E267"/>
  <c r="E289"/>
  <c r="E288"/>
  <c r="E287"/>
  <c r="E286"/>
  <c r="N61" i="8"/>
  <c r="N60"/>
  <c r="N59"/>
  <c r="N58"/>
  <c r="N77"/>
  <c r="N76"/>
  <c r="N75"/>
  <c r="N74"/>
  <c r="N93"/>
  <c r="N92"/>
  <c r="N91"/>
  <c r="N90"/>
  <c r="N109"/>
  <c r="N108"/>
  <c r="N107"/>
  <c r="N106"/>
  <c r="N125"/>
  <c r="N124"/>
  <c r="N123"/>
  <c r="N122"/>
  <c r="N141"/>
  <c r="N140"/>
  <c r="N139"/>
  <c r="N138"/>
  <c r="N157"/>
  <c r="N156"/>
  <c r="N155"/>
  <c r="N154"/>
  <c r="N173"/>
  <c r="N172"/>
  <c r="N171"/>
  <c r="N170"/>
  <c r="N189"/>
  <c r="N188"/>
  <c r="N187"/>
  <c r="N186"/>
  <c r="N205"/>
  <c r="N204"/>
  <c r="N203"/>
  <c r="N202"/>
  <c r="N221"/>
  <c r="N220"/>
  <c r="N219"/>
  <c r="N218"/>
  <c r="N237"/>
  <c r="N236"/>
  <c r="N235"/>
  <c r="N234"/>
  <c r="N253"/>
  <c r="N252"/>
  <c r="N251"/>
  <c r="N250"/>
  <c r="N269"/>
  <c r="N268"/>
  <c r="N267"/>
  <c r="N266"/>
  <c r="N285"/>
  <c r="N284"/>
  <c r="N283"/>
  <c r="N282"/>
  <c r="N301"/>
  <c r="N300"/>
  <c r="N299"/>
  <c r="N298"/>
  <c r="N317"/>
  <c r="N316"/>
  <c r="N315"/>
  <c r="N314"/>
  <c r="N333"/>
  <c r="N332"/>
  <c r="N331"/>
  <c r="N330"/>
  <c r="N349"/>
  <c r="N348"/>
  <c r="N347"/>
  <c r="N346"/>
  <c r="N365"/>
  <c r="N364"/>
  <c r="N363"/>
  <c r="N362"/>
  <c r="N381"/>
  <c r="N380"/>
  <c r="N379"/>
  <c r="N378"/>
  <c r="N397"/>
  <c r="N396"/>
  <c r="N395"/>
  <c r="N394"/>
  <c r="N413"/>
  <c r="N412"/>
  <c r="N411"/>
  <c r="N410"/>
  <c r="N429"/>
  <c r="N428"/>
  <c r="N427"/>
  <c r="N426"/>
  <c r="H61" i="3"/>
  <c r="H165" i="6"/>
  <c r="H18" i="3"/>
  <c r="H22"/>
  <c r="H37"/>
  <c r="H53"/>
  <c r="H73"/>
  <c r="H148" i="6"/>
  <c r="H180"/>
  <c r="H212"/>
  <c r="J3" i="8"/>
  <c r="J17"/>
  <c r="J19"/>
  <c r="J33"/>
  <c r="J35"/>
  <c r="N37" s="1"/>
  <c r="J48"/>
  <c r="N47" s="1"/>
  <c r="J49"/>
  <c r="J51"/>
  <c r="N51" s="1"/>
  <c r="J64"/>
  <c r="N63" s="1"/>
  <c r="J65"/>
  <c r="J67"/>
  <c r="N67" s="1"/>
  <c r="J80"/>
  <c r="N79" s="1"/>
  <c r="J81"/>
  <c r="J83"/>
  <c r="N83" s="1"/>
  <c r="J96"/>
  <c r="N95" s="1"/>
  <c r="J97"/>
  <c r="J99"/>
  <c r="N99" s="1"/>
  <c r="J112"/>
  <c r="N111" s="1"/>
  <c r="J113"/>
  <c r="J115"/>
  <c r="N115" s="1"/>
  <c r="J128"/>
  <c r="N127" s="1"/>
  <c r="J129"/>
  <c r="J131"/>
  <c r="N131" s="1"/>
  <c r="J144"/>
  <c r="N143" s="1"/>
  <c r="J145"/>
  <c r="J147"/>
  <c r="N147" s="1"/>
  <c r="J160"/>
  <c r="N159" s="1"/>
  <c r="J161"/>
  <c r="J163"/>
  <c r="N163" s="1"/>
  <c r="J176"/>
  <c r="N175" s="1"/>
  <c r="J177"/>
  <c r="J179"/>
  <c r="N179" s="1"/>
  <c r="J192"/>
  <c r="N191" s="1"/>
  <c r="J193"/>
  <c r="J195"/>
  <c r="N195" s="1"/>
  <c r="J208"/>
  <c r="N207" s="1"/>
  <c r="J209"/>
  <c r="J211"/>
  <c r="N211" s="1"/>
  <c r="J224"/>
  <c r="N223" s="1"/>
  <c r="J225"/>
  <c r="J227"/>
  <c r="N227" s="1"/>
  <c r="J240"/>
  <c r="N239" s="1"/>
  <c r="J241"/>
  <c r="J243"/>
  <c r="N243" s="1"/>
  <c r="J256"/>
  <c r="N255" s="1"/>
  <c r="J257"/>
  <c r="J259"/>
  <c r="N259" s="1"/>
  <c r="J272"/>
  <c r="N271" s="1"/>
  <c r="J273"/>
  <c r="J275"/>
  <c r="N275" s="1"/>
  <c r="J289"/>
  <c r="N287" s="1"/>
  <c r="J291"/>
  <c r="N291" s="1"/>
  <c r="J305"/>
  <c r="N303" s="1"/>
  <c r="J307"/>
  <c r="N307" s="1"/>
  <c r="J321"/>
  <c r="N319" s="1"/>
  <c r="J323"/>
  <c r="N323" s="1"/>
  <c r="J337"/>
  <c r="N335" s="1"/>
  <c r="J339"/>
  <c r="N339" s="1"/>
  <c r="J353"/>
  <c r="N351" s="1"/>
  <c r="J355"/>
  <c r="N355" s="1"/>
  <c r="J369"/>
  <c r="N367" s="1"/>
  <c r="J371"/>
  <c r="N371" s="1"/>
  <c r="J385"/>
  <c r="N383" s="1"/>
  <c r="J387"/>
  <c r="N387" s="1"/>
  <c r="J401"/>
  <c r="N399" s="1"/>
  <c r="J403"/>
  <c r="N403" s="1"/>
  <c r="J417"/>
  <c r="N415" s="1"/>
  <c r="J419"/>
  <c r="N419" s="1"/>
  <c r="J433"/>
  <c r="N431" s="1"/>
  <c r="F214" i="2"/>
  <c r="R214"/>
  <c r="Z214"/>
  <c r="AP214"/>
  <c r="BF214"/>
  <c r="BR214"/>
  <c r="BB216"/>
  <c r="BJ216"/>
  <c r="BV216"/>
  <c r="G14" i="3"/>
  <c r="G26"/>
  <c r="H26" s="1"/>
  <c r="G66"/>
  <c r="L20" i="8"/>
  <c r="J20" s="1"/>
  <c r="L24"/>
  <c r="J24" s="1"/>
  <c r="L36"/>
  <c r="J36" s="1"/>
  <c r="E3" i="6"/>
  <c r="E19"/>
  <c r="E130"/>
  <c r="E131"/>
  <c r="E146"/>
  <c r="E149"/>
  <c r="E163"/>
  <c r="E164"/>
  <c r="E179"/>
  <c r="E195"/>
  <c r="E196"/>
  <c r="E210"/>
  <c r="E213"/>
  <c r="E228"/>
  <c r="E244"/>
  <c r="E276"/>
  <c r="E277"/>
  <c r="L437" i="8"/>
  <c r="L441"/>
  <c r="L445"/>
  <c r="L449"/>
  <c r="L453"/>
  <c r="L457"/>
  <c r="L461"/>
  <c r="L465"/>
  <c r="L469"/>
  <c r="L473"/>
  <c r="L477"/>
  <c r="L481"/>
  <c r="L485"/>
  <c r="N491"/>
  <c r="J797"/>
  <c r="J813"/>
  <c r="J909"/>
  <c r="J925"/>
  <c r="J941"/>
  <c r="J957"/>
  <c r="J214" i="2"/>
  <c r="AD214"/>
  <c r="AT214"/>
  <c r="N216"/>
  <c r="AL216"/>
  <c r="AX216"/>
  <c r="G10" i="3"/>
  <c r="H10" s="1"/>
  <c r="L4" i="8"/>
  <c r="J4" s="1"/>
  <c r="L16"/>
  <c r="J16" s="1"/>
  <c r="L32"/>
  <c r="J32" s="1"/>
  <c r="E4" i="6"/>
  <c r="E5"/>
  <c r="E20"/>
  <c r="E21"/>
  <c r="E132"/>
  <c r="E147"/>
  <c r="E162"/>
  <c r="E181"/>
  <c r="E194"/>
  <c r="E211"/>
  <c r="E226"/>
  <c r="E242"/>
  <c r="E274"/>
  <c r="H214" i="2"/>
  <c r="P214"/>
  <c r="X214"/>
  <c r="AF214"/>
  <c r="AN214"/>
  <c r="AV214"/>
  <c r="BD214"/>
  <c r="BL214"/>
  <c r="BT214"/>
  <c r="BX216"/>
  <c r="G12" i="3"/>
  <c r="G16"/>
  <c r="G20"/>
  <c r="G24"/>
  <c r="G28"/>
  <c r="G36"/>
  <c r="G40"/>
  <c r="G44"/>
  <c r="G48"/>
  <c r="G52"/>
  <c r="G56"/>
  <c r="G64"/>
  <c r="G72"/>
  <c r="D14" i="4"/>
  <c r="B20" i="27" s="1"/>
  <c r="D20" s="1"/>
  <c r="D18" i="4"/>
  <c r="D22"/>
  <c r="D24"/>
  <c r="D2" i="6"/>
  <c r="I2" s="1"/>
  <c r="H2" s="1"/>
  <c r="D5"/>
  <c r="I5" s="1"/>
  <c r="D14"/>
  <c r="I14" s="1"/>
  <c r="D30"/>
  <c r="I30" s="1"/>
  <c r="D62"/>
  <c r="I62" s="1"/>
  <c r="D67"/>
  <c r="I67" s="1"/>
  <c r="D78"/>
  <c r="I78" s="1"/>
  <c r="D87"/>
  <c r="I87" s="1"/>
  <c r="D110"/>
  <c r="I110" s="1"/>
  <c r="D126"/>
  <c r="I126" s="1"/>
  <c r="D135"/>
  <c r="I135" s="1"/>
  <c r="D158"/>
  <c r="I158" s="1"/>
  <c r="D174"/>
  <c r="I174" s="1"/>
  <c r="D190"/>
  <c r="I190" s="1"/>
  <c r="D206"/>
  <c r="I206" s="1"/>
  <c r="D215"/>
  <c r="I215" s="1"/>
  <c r="D231"/>
  <c r="I231" s="1"/>
  <c r="D235"/>
  <c r="I235" s="1"/>
  <c r="D247"/>
  <c r="I247" s="1"/>
  <c r="D263"/>
  <c r="I263" s="1"/>
  <c r="D268"/>
  <c r="I268" s="1"/>
  <c r="D270"/>
  <c r="I270" s="1"/>
  <c r="D279"/>
  <c r="I279" s="1"/>
  <c r="L436" i="8"/>
  <c r="J436" s="1"/>
  <c r="N435" s="1"/>
  <c r="J437"/>
  <c r="L440"/>
  <c r="J440" s="1"/>
  <c r="N440" s="1"/>
  <c r="J441"/>
  <c r="L444"/>
  <c r="J444" s="1"/>
  <c r="N443" s="1"/>
  <c r="J445"/>
  <c r="L448"/>
  <c r="J448" s="1"/>
  <c r="N448" s="1"/>
  <c r="J449"/>
  <c r="L452"/>
  <c r="J452" s="1"/>
  <c r="N451" s="1"/>
  <c r="J453"/>
  <c r="L456"/>
  <c r="J456" s="1"/>
  <c r="N456" s="1"/>
  <c r="J457"/>
  <c r="L460"/>
  <c r="J460" s="1"/>
  <c r="N459" s="1"/>
  <c r="J461"/>
  <c r="L464"/>
  <c r="J464" s="1"/>
  <c r="N464" s="1"/>
  <c r="J465"/>
  <c r="L468"/>
  <c r="J468" s="1"/>
  <c r="N467" s="1"/>
  <c r="J469"/>
  <c r="L472"/>
  <c r="J472" s="1"/>
  <c r="N472" s="1"/>
  <c r="J473"/>
  <c r="L476"/>
  <c r="J476" s="1"/>
  <c r="N475" s="1"/>
  <c r="J477"/>
  <c r="L480"/>
  <c r="J480" s="1"/>
  <c r="N480" s="1"/>
  <c r="J481"/>
  <c r="L484"/>
  <c r="J484" s="1"/>
  <c r="N483" s="1"/>
  <c r="J485"/>
  <c r="J489"/>
  <c r="N487" s="1"/>
  <c r="L494"/>
  <c r="J494" s="1"/>
  <c r="L498"/>
  <c r="J498" s="1"/>
  <c r="L502"/>
  <c r="J502" s="1"/>
  <c r="L506"/>
  <c r="J506" s="1"/>
  <c r="L510"/>
  <c r="J510" s="1"/>
  <c r="L514"/>
  <c r="J514" s="1"/>
  <c r="L518"/>
  <c r="J518" s="1"/>
  <c r="L522"/>
  <c r="J522" s="1"/>
  <c r="L526"/>
  <c r="J526" s="1"/>
  <c r="L530"/>
  <c r="J530" s="1"/>
  <c r="L534"/>
  <c r="J534" s="1"/>
  <c r="L538"/>
  <c r="J538" s="1"/>
  <c r="L542"/>
  <c r="J542" s="1"/>
  <c r="L546"/>
  <c r="J546" s="1"/>
  <c r="L550"/>
  <c r="J550" s="1"/>
  <c r="L554"/>
  <c r="J554" s="1"/>
  <c r="L558"/>
  <c r="J558" s="1"/>
  <c r="F1570" i="12"/>
  <c r="F1566"/>
  <c r="F1554"/>
  <c r="F1442"/>
  <c r="F1426"/>
  <c r="F1422"/>
  <c r="F1514"/>
  <c r="F1494"/>
  <c r="F1486"/>
  <c r="F1482"/>
  <c r="F1350"/>
  <c r="F1194"/>
  <c r="F1154"/>
  <c r="F1138"/>
  <c r="F1134"/>
  <c r="F1118"/>
  <c r="F1338"/>
  <c r="F1266"/>
  <c r="F774"/>
  <c r="F766"/>
  <c r="F722"/>
  <c r="F706"/>
  <c r="F702"/>
  <c r="F694"/>
  <c r="F690"/>
  <c r="F850"/>
  <c r="F846"/>
  <c r="F834"/>
  <c r="F1278"/>
  <c r="F1270"/>
  <c r="F1206"/>
  <c r="F1066"/>
  <c r="F1062"/>
  <c r="F1046"/>
  <c r="F990"/>
  <c r="F982"/>
  <c r="F978"/>
  <c r="F918"/>
  <c r="F630"/>
  <c r="F346"/>
  <c r="F342"/>
  <c r="F270"/>
  <c r="F262"/>
  <c r="F130"/>
  <c r="F126"/>
  <c r="F110"/>
  <c r="F54"/>
  <c r="F198"/>
  <c r="F186"/>
  <c r="G1354" i="13"/>
  <c r="I1354" s="1"/>
  <c r="G1350"/>
  <c r="I1350" s="1"/>
  <c r="G1342"/>
  <c r="I1342" s="1"/>
  <c r="G1334"/>
  <c r="I1334" s="1"/>
  <c r="G1316"/>
  <c r="I1316" s="1"/>
  <c r="G1312"/>
  <c r="I1312" s="1"/>
  <c r="G1308"/>
  <c r="I1308" s="1"/>
  <c r="G1304"/>
  <c r="I1304" s="1"/>
  <c r="G1300"/>
  <c r="I1300" s="1"/>
  <c r="G1296"/>
  <c r="I1296" s="1"/>
  <c r="G1292"/>
  <c r="I1292" s="1"/>
  <c r="G1288"/>
  <c r="I1288" s="1"/>
  <c r="G1284"/>
  <c r="I1284" s="1"/>
  <c r="G1280"/>
  <c r="I1280" s="1"/>
  <c r="H22" i="14" s="1"/>
  <c r="G1268" i="13"/>
  <c r="I1268" s="1"/>
  <c r="G1264"/>
  <c r="I1264" s="1"/>
  <c r="G1260"/>
  <c r="I1260" s="1"/>
  <c r="G1256"/>
  <c r="I1256" s="1"/>
  <c r="G1252"/>
  <c r="I1252" s="1"/>
  <c r="G1240"/>
  <c r="I1240" s="1"/>
  <c r="G1236"/>
  <c r="I1236" s="1"/>
  <c r="G1232"/>
  <c r="I1232" s="1"/>
  <c r="G1228"/>
  <c r="I1228" s="1"/>
  <c r="G1353"/>
  <c r="I1353" s="1"/>
  <c r="G1311"/>
  <c r="I1311" s="1"/>
  <c r="G1307"/>
  <c r="I1307" s="1"/>
  <c r="G1303"/>
  <c r="I1303" s="1"/>
  <c r="G1299"/>
  <c r="I1299" s="1"/>
  <c r="G1295"/>
  <c r="I1295" s="1"/>
  <c r="G1291"/>
  <c r="I1291" s="1"/>
  <c r="G1287"/>
  <c r="I1287" s="1"/>
  <c r="G1283"/>
  <c r="I1283" s="1"/>
  <c r="G1279"/>
  <c r="I1279" s="1"/>
  <c r="G1275"/>
  <c r="I1275" s="1"/>
  <c r="G1263"/>
  <c r="I1263" s="1"/>
  <c r="G1259"/>
  <c r="I1259" s="1"/>
  <c r="G1255"/>
  <c r="I1255" s="1"/>
  <c r="G1243"/>
  <c r="I1243" s="1"/>
  <c r="G1239"/>
  <c r="I1239" s="1"/>
  <c r="G1235"/>
  <c r="I1235" s="1"/>
  <c r="G1231"/>
  <c r="I1231" s="1"/>
  <c r="G1227"/>
  <c r="I1227" s="1"/>
  <c r="G1351"/>
  <c r="I1351" s="1"/>
  <c r="H25" i="14" s="1"/>
  <c r="G1317" i="13"/>
  <c r="I1317" s="1"/>
  <c r="G1309"/>
  <c r="I1309" s="1"/>
  <c r="G1301"/>
  <c r="I1301" s="1"/>
  <c r="G1293"/>
  <c r="I1293" s="1"/>
  <c r="G1285"/>
  <c r="I1285" s="1"/>
  <c r="G1269"/>
  <c r="I1269" s="1"/>
  <c r="G1253"/>
  <c r="I1253" s="1"/>
  <c r="G1237"/>
  <c r="I1237" s="1"/>
  <c r="G1229"/>
  <c r="I1229" s="1"/>
  <c r="G1223"/>
  <c r="I1223" s="1"/>
  <c r="G1219"/>
  <c r="I1219" s="1"/>
  <c r="G1215"/>
  <c r="I1215" s="1"/>
  <c r="G1211"/>
  <c r="I1211" s="1"/>
  <c r="G1195"/>
  <c r="I1195" s="1"/>
  <c r="G1169"/>
  <c r="I1169" s="1"/>
  <c r="G1165"/>
  <c r="I1165" s="1"/>
  <c r="G1161"/>
  <c r="I1161" s="1"/>
  <c r="G1157"/>
  <c r="I1157" s="1"/>
  <c r="G1153"/>
  <c r="I1153" s="1"/>
  <c r="G1149"/>
  <c r="I1149" s="1"/>
  <c r="G1145"/>
  <c r="I1145" s="1"/>
  <c r="G1141"/>
  <c r="I1141" s="1"/>
  <c r="G1129"/>
  <c r="I1129" s="1"/>
  <c r="G1125"/>
  <c r="I1125" s="1"/>
  <c r="G1121"/>
  <c r="I1121" s="1"/>
  <c r="G1113"/>
  <c r="I1113" s="1"/>
  <c r="G1109"/>
  <c r="I1109" s="1"/>
  <c r="G1101"/>
  <c r="I1101" s="1"/>
  <c r="G1097"/>
  <c r="I1097" s="1"/>
  <c r="G1093"/>
  <c r="I1093" s="1"/>
  <c r="G1089"/>
  <c r="I1089" s="1"/>
  <c r="G1085"/>
  <c r="I1085" s="1"/>
  <c r="G1081"/>
  <c r="I1081" s="1"/>
  <c r="G1077"/>
  <c r="I1077" s="1"/>
  <c r="G1073"/>
  <c r="I1073" s="1"/>
  <c r="G1069"/>
  <c r="I1069" s="1"/>
  <c r="G1061"/>
  <c r="I1061" s="1"/>
  <c r="G1053"/>
  <c r="I1053" s="1"/>
  <c r="G1049"/>
  <c r="I1049" s="1"/>
  <c r="G1041"/>
  <c r="I1041" s="1"/>
  <c r="G1033"/>
  <c r="I1033" s="1"/>
  <c r="G1029"/>
  <c r="I1029" s="1"/>
  <c r="G1025"/>
  <c r="I1025" s="1"/>
  <c r="G1021"/>
  <c r="I1021" s="1"/>
  <c r="G1017"/>
  <c r="I1017" s="1"/>
  <c r="G1013"/>
  <c r="I1013" s="1"/>
  <c r="G1009"/>
  <c r="I1009" s="1"/>
  <c r="G1005"/>
  <c r="I1005" s="1"/>
  <c r="G1001"/>
  <c r="I1001" s="1"/>
  <c r="G997"/>
  <c r="I997" s="1"/>
  <c r="G993"/>
  <c r="I993" s="1"/>
  <c r="G981"/>
  <c r="I981" s="1"/>
  <c r="G977"/>
  <c r="I977" s="1"/>
  <c r="G965"/>
  <c r="I965" s="1"/>
  <c r="G961"/>
  <c r="I961" s="1"/>
  <c r="G957"/>
  <c r="I957" s="1"/>
  <c r="G953"/>
  <c r="I953" s="1"/>
  <c r="G949"/>
  <c r="I949" s="1"/>
  <c r="G945"/>
  <c r="I945" s="1"/>
  <c r="G941"/>
  <c r="I941" s="1"/>
  <c r="G937"/>
  <c r="I937" s="1"/>
  <c r="G933"/>
  <c r="I933" s="1"/>
  <c r="G929"/>
  <c r="I929" s="1"/>
  <c r="G925"/>
  <c r="I925" s="1"/>
  <c r="H18" i="14" s="1"/>
  <c r="G921" i="13"/>
  <c r="I921" s="1"/>
  <c r="G913"/>
  <c r="I913" s="1"/>
  <c r="G909"/>
  <c r="I909" s="1"/>
  <c r="G905"/>
  <c r="I905" s="1"/>
  <c r="G897"/>
  <c r="I897" s="1"/>
  <c r="G885"/>
  <c r="I885" s="1"/>
  <c r="G881"/>
  <c r="I881" s="1"/>
  <c r="G877"/>
  <c r="I877" s="1"/>
  <c r="G873"/>
  <c r="I873" s="1"/>
  <c r="G867"/>
  <c r="I867" s="1"/>
  <c r="G863"/>
  <c r="I863" s="1"/>
  <c r="G859"/>
  <c r="I859" s="1"/>
  <c r="G855"/>
  <c r="I855" s="1"/>
  <c r="G851"/>
  <c r="I851" s="1"/>
  <c r="G835"/>
  <c r="I835" s="1"/>
  <c r="G827"/>
  <c r="I827" s="1"/>
  <c r="G819"/>
  <c r="I819" s="1"/>
  <c r="G815"/>
  <c r="I815" s="1"/>
  <c r="G811"/>
  <c r="I811" s="1"/>
  <c r="G807"/>
  <c r="I807" s="1"/>
  <c r="G1356"/>
  <c r="I1356" s="1"/>
  <c r="G1340"/>
  <c r="I1340" s="1"/>
  <c r="G1314"/>
  <c r="I1314" s="1"/>
  <c r="G1306"/>
  <c r="I1306" s="1"/>
  <c r="G1298"/>
  <c r="I1298" s="1"/>
  <c r="G1290"/>
  <c r="I1290" s="1"/>
  <c r="G1282"/>
  <c r="I1282" s="1"/>
  <c r="G1242"/>
  <c r="I1242" s="1"/>
  <c r="G1234"/>
  <c r="I1234" s="1"/>
  <c r="G1226"/>
  <c r="I1226" s="1"/>
  <c r="G1222"/>
  <c r="I1222" s="1"/>
  <c r="G1218"/>
  <c r="I1218" s="1"/>
  <c r="G1214"/>
  <c r="I1214" s="1"/>
  <c r="G1210"/>
  <c r="I1210" s="1"/>
  <c r="G1206"/>
  <c r="I1206" s="1"/>
  <c r="G1198"/>
  <c r="I1198" s="1"/>
  <c r="G1194"/>
  <c r="I1194" s="1"/>
  <c r="G1172"/>
  <c r="I1172" s="1"/>
  <c r="G1168"/>
  <c r="I1168" s="1"/>
  <c r="G1164"/>
  <c r="I1164" s="1"/>
  <c r="G1160"/>
  <c r="I1160" s="1"/>
  <c r="G1156"/>
  <c r="I1156" s="1"/>
  <c r="G1152"/>
  <c r="I1152" s="1"/>
  <c r="G1148"/>
  <c r="I1148" s="1"/>
  <c r="G1144"/>
  <c r="I1144" s="1"/>
  <c r="G1140"/>
  <c r="I1140" s="1"/>
  <c r="G1136"/>
  <c r="I1136" s="1"/>
  <c r="G1112"/>
  <c r="I1112" s="1"/>
  <c r="G1108"/>
  <c r="I1108" s="1"/>
  <c r="G1100"/>
  <c r="I1100" s="1"/>
  <c r="G1096"/>
  <c r="I1096" s="1"/>
  <c r="G1092"/>
  <c r="I1092" s="1"/>
  <c r="G1088"/>
  <c r="I1088" s="1"/>
  <c r="G1084"/>
  <c r="I1084" s="1"/>
  <c r="G1080"/>
  <c r="I1080" s="1"/>
  <c r="G1076"/>
  <c r="I1076" s="1"/>
  <c r="G1072"/>
  <c r="I1072" s="1"/>
  <c r="G1068"/>
  <c r="I1068" s="1"/>
  <c r="G1056"/>
  <c r="I1056" s="1"/>
  <c r="G1048"/>
  <c r="I1048" s="1"/>
  <c r="G1044"/>
  <c r="I1044" s="1"/>
  <c r="G1032"/>
  <c r="I1032" s="1"/>
  <c r="G1028"/>
  <c r="I1028" s="1"/>
  <c r="G1024"/>
  <c r="I1024" s="1"/>
  <c r="G1020"/>
  <c r="I1020" s="1"/>
  <c r="G1016"/>
  <c r="I1016" s="1"/>
  <c r="G1012"/>
  <c r="I1012" s="1"/>
  <c r="G1008"/>
  <c r="I1008" s="1"/>
  <c r="G1004"/>
  <c r="I1004" s="1"/>
  <c r="G1000"/>
  <c r="I1000" s="1"/>
  <c r="G996"/>
  <c r="I996" s="1"/>
  <c r="H19" i="14" s="1"/>
  <c r="G984" i="13"/>
  <c r="I984" s="1"/>
  <c r="G980"/>
  <c r="I980" s="1"/>
  <c r="G976"/>
  <c r="I976" s="1"/>
  <c r="G968"/>
  <c r="I968" s="1"/>
  <c r="G964"/>
  <c r="I964" s="1"/>
  <c r="G956"/>
  <c r="I956" s="1"/>
  <c r="G952"/>
  <c r="I952" s="1"/>
  <c r="G948"/>
  <c r="I948" s="1"/>
  <c r="G944"/>
  <c r="I944" s="1"/>
  <c r="G940"/>
  <c r="I940" s="1"/>
  <c r="G936"/>
  <c r="I936" s="1"/>
  <c r="G932"/>
  <c r="I932" s="1"/>
  <c r="G928"/>
  <c r="I928" s="1"/>
  <c r="G920"/>
  <c r="I920" s="1"/>
  <c r="G916"/>
  <c r="I916" s="1"/>
  <c r="G908"/>
  <c r="I908" s="1"/>
  <c r="G892"/>
  <c r="I892" s="1"/>
  <c r="G888"/>
  <c r="I888" s="1"/>
  <c r="G884"/>
  <c r="I884" s="1"/>
  <c r="G880"/>
  <c r="I880" s="1"/>
  <c r="G876"/>
  <c r="I876" s="1"/>
  <c r="G872"/>
  <c r="I872" s="1"/>
  <c r="G866"/>
  <c r="I866" s="1"/>
  <c r="G862"/>
  <c r="I862" s="1"/>
  <c r="G858"/>
  <c r="I858" s="1"/>
  <c r="G854"/>
  <c r="I854" s="1"/>
  <c r="H23" i="14" s="1"/>
  <c r="G842" i="13"/>
  <c r="I842" s="1"/>
  <c r="G838"/>
  <c r="I838" s="1"/>
  <c r="G834"/>
  <c r="I834" s="1"/>
  <c r="G826"/>
  <c r="I826" s="1"/>
  <c r="G818"/>
  <c r="I818" s="1"/>
  <c r="G814"/>
  <c r="I814" s="1"/>
  <c r="G810"/>
  <c r="I810" s="1"/>
  <c r="G806"/>
  <c r="I806" s="1"/>
  <c r="G1355"/>
  <c r="I1355" s="1"/>
  <c r="G1339"/>
  <c r="I1339" s="1"/>
  <c r="G1331"/>
  <c r="I1331" s="1"/>
  <c r="G1313"/>
  <c r="I1313" s="1"/>
  <c r="G1305"/>
  <c r="I1305" s="1"/>
  <c r="G1297"/>
  <c r="I1297" s="1"/>
  <c r="G1289"/>
  <c r="I1289" s="1"/>
  <c r="G1281"/>
  <c r="I1281" s="1"/>
  <c r="G1265"/>
  <c r="I1265" s="1"/>
  <c r="G1241"/>
  <c r="I1241" s="1"/>
  <c r="G1233"/>
  <c r="I1233" s="1"/>
  <c r="G1225"/>
  <c r="I1225" s="1"/>
  <c r="G1221"/>
  <c r="I1221" s="1"/>
  <c r="G1217"/>
  <c r="I1217" s="1"/>
  <c r="G1213"/>
  <c r="I1213" s="1"/>
  <c r="G1209"/>
  <c r="I1209" s="1"/>
  <c r="H17" i="14" s="1"/>
  <c r="G1197" i="13"/>
  <c r="I1197" s="1"/>
  <c r="G1193"/>
  <c r="I1193" s="1"/>
  <c r="G1189"/>
  <c r="I1189" s="1"/>
  <c r="G1179"/>
  <c r="I1179" s="1"/>
  <c r="G1171"/>
  <c r="I1171" s="1"/>
  <c r="G1167"/>
  <c r="I1167" s="1"/>
  <c r="G1163"/>
  <c r="I1163" s="1"/>
  <c r="G1159"/>
  <c r="I1159" s="1"/>
  <c r="G1155"/>
  <c r="I1155" s="1"/>
  <c r="G1151"/>
  <c r="I1151" s="1"/>
  <c r="G1147"/>
  <c r="I1147" s="1"/>
  <c r="G1143"/>
  <c r="I1143" s="1"/>
  <c r="G1139"/>
  <c r="I1139" s="1"/>
  <c r="G1131"/>
  <c r="I1131" s="1"/>
  <c r="G1127"/>
  <c r="I1127" s="1"/>
  <c r="G1119"/>
  <c r="I1119" s="1"/>
  <c r="G1099"/>
  <c r="I1099" s="1"/>
  <c r="G1095"/>
  <c r="I1095" s="1"/>
  <c r="G1091"/>
  <c r="I1091" s="1"/>
  <c r="G1087"/>
  <c r="I1087" s="1"/>
  <c r="G1083"/>
  <c r="I1083" s="1"/>
  <c r="G1079"/>
  <c r="I1079" s="1"/>
  <c r="G1075"/>
  <c r="I1075" s="1"/>
  <c r="G1071"/>
  <c r="I1071" s="1"/>
  <c r="G1067"/>
  <c r="I1067" s="1"/>
  <c r="H7" i="14" s="1"/>
  <c r="C34" s="1"/>
  <c r="G1055" i="13"/>
  <c r="I1055" s="1"/>
  <c r="G1051"/>
  <c r="I1051" s="1"/>
  <c r="G1047"/>
  <c r="I1047" s="1"/>
  <c r="G1031"/>
  <c r="I1031" s="1"/>
  <c r="G1027"/>
  <c r="I1027" s="1"/>
  <c r="G1023"/>
  <c r="I1023" s="1"/>
  <c r="G1019"/>
  <c r="I1019" s="1"/>
  <c r="G1015"/>
  <c r="I1015" s="1"/>
  <c r="G1011"/>
  <c r="I1011" s="1"/>
  <c r="G1007"/>
  <c r="I1007" s="1"/>
  <c r="G1003"/>
  <c r="I1003" s="1"/>
  <c r="G999"/>
  <c r="I999" s="1"/>
  <c r="G995"/>
  <c r="I995" s="1"/>
  <c r="G991"/>
  <c r="I991" s="1"/>
  <c r="G987"/>
  <c r="I987" s="1"/>
  <c r="G979"/>
  <c r="I979" s="1"/>
  <c r="G963"/>
  <c r="I963" s="1"/>
  <c r="G959"/>
  <c r="I959" s="1"/>
  <c r="G955"/>
  <c r="I955" s="1"/>
  <c r="G951"/>
  <c r="I951" s="1"/>
  <c r="G947"/>
  <c r="I947" s="1"/>
  <c r="G943"/>
  <c r="I943" s="1"/>
  <c r="G939"/>
  <c r="I939" s="1"/>
  <c r="G935"/>
  <c r="I935" s="1"/>
  <c r="G931"/>
  <c r="I931" s="1"/>
  <c r="G927"/>
  <c r="I927" s="1"/>
  <c r="G911"/>
  <c r="I911" s="1"/>
  <c r="G891"/>
  <c r="I891" s="1"/>
  <c r="G887"/>
  <c r="I887" s="1"/>
  <c r="G883"/>
  <c r="I883" s="1"/>
  <c r="G879"/>
  <c r="I879" s="1"/>
  <c r="G875"/>
  <c r="I875" s="1"/>
  <c r="G871"/>
  <c r="I871" s="1"/>
  <c r="G865"/>
  <c r="I865" s="1"/>
  <c r="G861"/>
  <c r="I861" s="1"/>
  <c r="G857"/>
  <c r="I857" s="1"/>
  <c r="G853"/>
  <c r="I853" s="1"/>
  <c r="G849"/>
  <c r="I849" s="1"/>
  <c r="G845"/>
  <c r="I845" s="1"/>
  <c r="G841"/>
  <c r="I841" s="1"/>
  <c r="G837"/>
  <c r="I837" s="1"/>
  <c r="G825"/>
  <c r="I825" s="1"/>
  <c r="G817"/>
  <c r="I817" s="1"/>
  <c r="G813"/>
  <c r="I813" s="1"/>
  <c r="G809"/>
  <c r="I809" s="1"/>
  <c r="G805"/>
  <c r="I805" s="1"/>
  <c r="G1344"/>
  <c r="I1344" s="1"/>
  <c r="G1310"/>
  <c r="I1310" s="1"/>
  <c r="G1278"/>
  <c r="I1278" s="1"/>
  <c r="G1220"/>
  <c r="I1220" s="1"/>
  <c r="G1188"/>
  <c r="I1188" s="1"/>
  <c r="G1170"/>
  <c r="I1170" s="1"/>
  <c r="G1154"/>
  <c r="I1154" s="1"/>
  <c r="G1138"/>
  <c r="I1138" s="1"/>
  <c r="H12" i="14" s="1"/>
  <c r="G1122" i="13"/>
  <c r="I1122" s="1"/>
  <c r="G1090"/>
  <c r="I1090" s="1"/>
  <c r="G1074"/>
  <c r="I1074" s="1"/>
  <c r="G1026"/>
  <c r="I1026" s="1"/>
  <c r="G1010"/>
  <c r="I1010" s="1"/>
  <c r="G994"/>
  <c r="I994" s="1"/>
  <c r="G946"/>
  <c r="I946" s="1"/>
  <c r="G930"/>
  <c r="I930" s="1"/>
  <c r="G914"/>
  <c r="I914" s="1"/>
  <c r="G898"/>
  <c r="I898" s="1"/>
  <c r="G882"/>
  <c r="I882" s="1"/>
  <c r="G864"/>
  <c r="I864" s="1"/>
  <c r="G848"/>
  <c r="I848" s="1"/>
  <c r="G816"/>
  <c r="I816" s="1"/>
  <c r="G801"/>
  <c r="I801" s="1"/>
  <c r="G795"/>
  <c r="I795" s="1"/>
  <c r="G791"/>
  <c r="I791" s="1"/>
  <c r="G787"/>
  <c r="I787" s="1"/>
  <c r="G783"/>
  <c r="I783" s="1"/>
  <c r="H15" i="14" s="1"/>
  <c r="G779" i="13"/>
  <c r="I779" s="1"/>
  <c r="G771"/>
  <c r="I771" s="1"/>
  <c r="G763"/>
  <c r="I763" s="1"/>
  <c r="G759"/>
  <c r="I759" s="1"/>
  <c r="G755"/>
  <c r="I755" s="1"/>
  <c r="G751"/>
  <c r="I751" s="1"/>
  <c r="G747"/>
  <c r="I747" s="1"/>
  <c r="G743"/>
  <c r="I743" s="1"/>
  <c r="G739"/>
  <c r="I739" s="1"/>
  <c r="G735"/>
  <c r="I735" s="1"/>
  <c r="G731"/>
  <c r="I731" s="1"/>
  <c r="G727"/>
  <c r="I727" s="1"/>
  <c r="G723"/>
  <c r="I723" s="1"/>
  <c r="G719"/>
  <c r="I719" s="1"/>
  <c r="G715"/>
  <c r="I715" s="1"/>
  <c r="G711"/>
  <c r="I711" s="1"/>
  <c r="G703"/>
  <c r="I703" s="1"/>
  <c r="G699"/>
  <c r="I699" s="1"/>
  <c r="G695"/>
  <c r="I695" s="1"/>
  <c r="G691"/>
  <c r="I691" s="1"/>
  <c r="G683"/>
  <c r="I683" s="1"/>
  <c r="G675"/>
  <c r="I675" s="1"/>
  <c r="G671"/>
  <c r="I671" s="1"/>
  <c r="G667"/>
  <c r="I667" s="1"/>
  <c r="G663"/>
  <c r="I663" s="1"/>
  <c r="G659"/>
  <c r="I659" s="1"/>
  <c r="G653"/>
  <c r="I653" s="1"/>
  <c r="G649"/>
  <c r="I649" s="1"/>
  <c r="G645"/>
  <c r="I645" s="1"/>
  <c r="G641"/>
  <c r="I641" s="1"/>
  <c r="H20" i="14" s="1"/>
  <c r="G637" i="13"/>
  <c r="I637" s="1"/>
  <c r="G633"/>
  <c r="I633" s="1"/>
  <c r="G629"/>
  <c r="I629" s="1"/>
  <c r="G625"/>
  <c r="I625" s="1"/>
  <c r="G621"/>
  <c r="I621" s="1"/>
  <c r="G617"/>
  <c r="I617" s="1"/>
  <c r="G607"/>
  <c r="I607" s="1"/>
  <c r="G603"/>
  <c r="I603" s="1"/>
  <c r="G599"/>
  <c r="I599" s="1"/>
  <c r="G595"/>
  <c r="I595" s="1"/>
  <c r="G591"/>
  <c r="I591" s="1"/>
  <c r="G587"/>
  <c r="I587" s="1"/>
  <c r="G583"/>
  <c r="I583" s="1"/>
  <c r="G579"/>
  <c r="I579" s="1"/>
  <c r="G575"/>
  <c r="I575" s="1"/>
  <c r="G571"/>
  <c r="I571" s="1"/>
  <c r="G563"/>
  <c r="I563" s="1"/>
  <c r="G559"/>
  <c r="I559" s="1"/>
  <c r="G555"/>
  <c r="I555" s="1"/>
  <c r="G541"/>
  <c r="I541" s="1"/>
  <c r="G533"/>
  <c r="I533" s="1"/>
  <c r="G529"/>
  <c r="I529" s="1"/>
  <c r="G525"/>
  <c r="I525" s="1"/>
  <c r="G521"/>
  <c r="I521" s="1"/>
  <c r="G517"/>
  <c r="I517" s="1"/>
  <c r="G511"/>
  <c r="I511" s="1"/>
  <c r="G507"/>
  <c r="I507" s="1"/>
  <c r="G503"/>
  <c r="I503" s="1"/>
  <c r="G499"/>
  <c r="I499" s="1"/>
  <c r="H13" i="14" s="1"/>
  <c r="G487" i="13"/>
  <c r="I487" s="1"/>
  <c r="G483"/>
  <c r="I483" s="1"/>
  <c r="G479"/>
  <c r="I479" s="1"/>
  <c r="G475"/>
  <c r="I475" s="1"/>
  <c r="G471"/>
  <c r="I471" s="1"/>
  <c r="G463"/>
  <c r="I463" s="1"/>
  <c r="G459"/>
  <c r="I459" s="1"/>
  <c r="G455"/>
  <c r="I455" s="1"/>
  <c r="G451"/>
  <c r="I451" s="1"/>
  <c r="G447"/>
  <c r="I447" s="1"/>
  <c r="G443"/>
  <c r="I443" s="1"/>
  <c r="G439"/>
  <c r="I439" s="1"/>
  <c r="G435"/>
  <c r="I435" s="1"/>
  <c r="G431"/>
  <c r="I431" s="1"/>
  <c r="G427"/>
  <c r="I427" s="1"/>
  <c r="G423"/>
  <c r="I423" s="1"/>
  <c r="G1352"/>
  <c r="I1352" s="1"/>
  <c r="G1318"/>
  <c r="I1318" s="1"/>
  <c r="G1286"/>
  <c r="I1286" s="1"/>
  <c r="G1224"/>
  <c r="I1224" s="1"/>
  <c r="G1192"/>
  <c r="I1192" s="1"/>
  <c r="G1158"/>
  <c r="I1158" s="1"/>
  <c r="G1142"/>
  <c r="I1142" s="1"/>
  <c r="G1126"/>
  <c r="I1126" s="1"/>
  <c r="G1110"/>
  <c r="I1110" s="1"/>
  <c r="G1094"/>
  <c r="I1094" s="1"/>
  <c r="G1078"/>
  <c r="I1078" s="1"/>
  <c r="G1030"/>
  <c r="I1030" s="1"/>
  <c r="G1014"/>
  <c r="I1014" s="1"/>
  <c r="G966"/>
  <c r="I966" s="1"/>
  <c r="G950"/>
  <c r="I950" s="1"/>
  <c r="G934"/>
  <c r="I934" s="1"/>
  <c r="G902"/>
  <c r="I902" s="1"/>
  <c r="G886"/>
  <c r="I886" s="1"/>
  <c r="G870"/>
  <c r="I870" s="1"/>
  <c r="G820"/>
  <c r="I820" s="1"/>
  <c r="G804"/>
  <c r="I804" s="1"/>
  <c r="G800"/>
  <c r="I800" s="1"/>
  <c r="G794"/>
  <c r="I794" s="1"/>
  <c r="G790"/>
  <c r="I790" s="1"/>
  <c r="G786"/>
  <c r="I786" s="1"/>
  <c r="G774"/>
  <c r="I774" s="1"/>
  <c r="G766"/>
  <c r="I766" s="1"/>
  <c r="G762"/>
  <c r="I762" s="1"/>
  <c r="G758"/>
  <c r="I758" s="1"/>
  <c r="G746"/>
  <c r="I746" s="1"/>
  <c r="G742"/>
  <c r="I742" s="1"/>
  <c r="G738"/>
  <c r="I738" s="1"/>
  <c r="G734"/>
  <c r="I734" s="1"/>
  <c r="G730"/>
  <c r="I730" s="1"/>
  <c r="G726"/>
  <c r="I726" s="1"/>
  <c r="G722"/>
  <c r="I722" s="1"/>
  <c r="G718"/>
  <c r="I718" s="1"/>
  <c r="G714"/>
  <c r="I714" s="1"/>
  <c r="G702"/>
  <c r="I702" s="1"/>
  <c r="G694"/>
  <c r="I694" s="1"/>
  <c r="G690"/>
  <c r="I690" s="1"/>
  <c r="G682"/>
  <c r="I682" s="1"/>
  <c r="G674"/>
  <c r="I674" s="1"/>
  <c r="G670"/>
  <c r="I670" s="1"/>
  <c r="G666"/>
  <c r="I666" s="1"/>
  <c r="G662"/>
  <c r="I662" s="1"/>
  <c r="G658"/>
  <c r="I658" s="1"/>
  <c r="G652"/>
  <c r="I652" s="1"/>
  <c r="G648"/>
  <c r="I648" s="1"/>
  <c r="G644"/>
  <c r="I644" s="1"/>
  <c r="G640"/>
  <c r="I640" s="1"/>
  <c r="G636"/>
  <c r="I636" s="1"/>
  <c r="G632"/>
  <c r="I632" s="1"/>
  <c r="G628"/>
  <c r="I628" s="1"/>
  <c r="G624"/>
  <c r="I624" s="1"/>
  <c r="G620"/>
  <c r="I620" s="1"/>
  <c r="G616"/>
  <c r="I616" s="1"/>
  <c r="G610"/>
  <c r="I610" s="1"/>
  <c r="G602"/>
  <c r="I602" s="1"/>
  <c r="G598"/>
  <c r="I598" s="1"/>
  <c r="G594"/>
  <c r="I594" s="1"/>
  <c r="G590"/>
  <c r="I590" s="1"/>
  <c r="G586"/>
  <c r="I586" s="1"/>
  <c r="G582"/>
  <c r="I582" s="1"/>
  <c r="G578"/>
  <c r="I578" s="1"/>
  <c r="G574"/>
  <c r="I574" s="1"/>
  <c r="G570"/>
  <c r="I570" s="1"/>
  <c r="H5" i="14" s="1"/>
  <c r="C33" s="1"/>
  <c r="G558" i="13"/>
  <c r="I558" s="1"/>
  <c r="G554"/>
  <c r="I554" s="1"/>
  <c r="G550"/>
  <c r="I550" s="1"/>
  <c r="G532"/>
  <c r="I532" s="1"/>
  <c r="G528"/>
  <c r="I528" s="1"/>
  <c r="G524"/>
  <c r="I524" s="1"/>
  <c r="G520"/>
  <c r="I520" s="1"/>
  <c r="G516"/>
  <c r="I516" s="1"/>
  <c r="G510"/>
  <c r="I510" s="1"/>
  <c r="G506"/>
  <c r="I506" s="1"/>
  <c r="G502"/>
  <c r="I502" s="1"/>
  <c r="G498"/>
  <c r="I498" s="1"/>
  <c r="G494"/>
  <c r="I494" s="1"/>
  <c r="G490"/>
  <c r="I490" s="1"/>
  <c r="G482"/>
  <c r="I482" s="1"/>
  <c r="G474"/>
  <c r="I474" s="1"/>
  <c r="G470"/>
  <c r="I470" s="1"/>
  <c r="G462"/>
  <c r="I462" s="1"/>
  <c r="G458"/>
  <c r="I458" s="1"/>
  <c r="G454"/>
  <c r="I454" s="1"/>
  <c r="G450"/>
  <c r="I450" s="1"/>
  <c r="G446"/>
  <c r="I446" s="1"/>
  <c r="G442"/>
  <c r="I442" s="1"/>
  <c r="G438"/>
  <c r="I438" s="1"/>
  <c r="G434"/>
  <c r="I434" s="1"/>
  <c r="G430"/>
  <c r="I430" s="1"/>
  <c r="G422"/>
  <c r="I422" s="1"/>
  <c r="G1294"/>
  <c r="I1294" s="1"/>
  <c r="G1230"/>
  <c r="I1230" s="1"/>
  <c r="G1212"/>
  <c r="I1212" s="1"/>
  <c r="G1196"/>
  <c r="I1196" s="1"/>
  <c r="G1178"/>
  <c r="I1178" s="1"/>
  <c r="G1162"/>
  <c r="I1162" s="1"/>
  <c r="G1146"/>
  <c r="I1146" s="1"/>
  <c r="G1130"/>
  <c r="I1130" s="1"/>
  <c r="G1114"/>
  <c r="I1114" s="1"/>
  <c r="G1098"/>
  <c r="I1098" s="1"/>
  <c r="G1082"/>
  <c r="I1082" s="1"/>
  <c r="G1066"/>
  <c r="I1066" s="1"/>
  <c r="G1050"/>
  <c r="I1050" s="1"/>
  <c r="G1034"/>
  <c r="I1034" s="1"/>
  <c r="G1018"/>
  <c r="I1018" s="1"/>
  <c r="G1002"/>
  <c r="I1002" s="1"/>
  <c r="G986"/>
  <c r="I986" s="1"/>
  <c r="G954"/>
  <c r="I954" s="1"/>
  <c r="G938"/>
  <c r="I938" s="1"/>
  <c r="G922"/>
  <c r="I922" s="1"/>
  <c r="G906"/>
  <c r="I906" s="1"/>
  <c r="G890"/>
  <c r="I890" s="1"/>
  <c r="G874"/>
  <c r="I874" s="1"/>
  <c r="G856"/>
  <c r="I856" s="1"/>
  <c r="G824"/>
  <c r="I824" s="1"/>
  <c r="G808"/>
  <c r="I808" s="1"/>
  <c r="G803"/>
  <c r="I803" s="1"/>
  <c r="G799"/>
  <c r="I799" s="1"/>
  <c r="G793"/>
  <c r="I793" s="1"/>
  <c r="G789"/>
  <c r="I789" s="1"/>
  <c r="G785"/>
  <c r="I785" s="1"/>
  <c r="G777"/>
  <c r="I777" s="1"/>
  <c r="G753"/>
  <c r="I753" s="1"/>
  <c r="G745"/>
  <c r="I745" s="1"/>
  <c r="G741"/>
  <c r="I741" s="1"/>
  <c r="G737"/>
  <c r="I737" s="1"/>
  <c r="G733"/>
  <c r="I733" s="1"/>
  <c r="G729"/>
  <c r="I729" s="1"/>
  <c r="G725"/>
  <c r="I725" s="1"/>
  <c r="G721"/>
  <c r="I721" s="1"/>
  <c r="G717"/>
  <c r="I717" s="1"/>
  <c r="G713"/>
  <c r="I713" s="1"/>
  <c r="G709"/>
  <c r="I709" s="1"/>
  <c r="G693"/>
  <c r="I693" s="1"/>
  <c r="G685"/>
  <c r="I685" s="1"/>
  <c r="G681"/>
  <c r="I681" s="1"/>
  <c r="G673"/>
  <c r="I673" s="1"/>
  <c r="G669"/>
  <c r="I669" s="1"/>
  <c r="G665"/>
  <c r="I665" s="1"/>
  <c r="G661"/>
  <c r="I661" s="1"/>
  <c r="G657"/>
  <c r="I657" s="1"/>
  <c r="G651"/>
  <c r="I651" s="1"/>
  <c r="G647"/>
  <c r="I647" s="1"/>
  <c r="G643"/>
  <c r="I643" s="1"/>
  <c r="G639"/>
  <c r="I639" s="1"/>
  <c r="G635"/>
  <c r="I635" s="1"/>
  <c r="G631"/>
  <c r="I631" s="1"/>
  <c r="G627"/>
  <c r="I627" s="1"/>
  <c r="G619"/>
  <c r="I619" s="1"/>
  <c r="G613"/>
  <c r="I613" s="1"/>
  <c r="G609"/>
  <c r="I609" s="1"/>
  <c r="G601"/>
  <c r="I601" s="1"/>
  <c r="G597"/>
  <c r="I597" s="1"/>
  <c r="G593"/>
  <c r="I593" s="1"/>
  <c r="G589"/>
  <c r="I589" s="1"/>
  <c r="G585"/>
  <c r="I585" s="1"/>
  <c r="G581"/>
  <c r="I581" s="1"/>
  <c r="G577"/>
  <c r="I577" s="1"/>
  <c r="G573"/>
  <c r="I573" s="1"/>
  <c r="G557"/>
  <c r="I557" s="1"/>
  <c r="G553"/>
  <c r="I553" s="1"/>
  <c r="G549"/>
  <c r="I549" s="1"/>
  <c r="G539"/>
  <c r="I539" s="1"/>
  <c r="G531"/>
  <c r="I531" s="1"/>
  <c r="G527"/>
  <c r="I527" s="1"/>
  <c r="G523"/>
  <c r="I523" s="1"/>
  <c r="G519"/>
  <c r="I519" s="1"/>
  <c r="G515"/>
  <c r="I515" s="1"/>
  <c r="G509"/>
  <c r="I509" s="1"/>
  <c r="G505"/>
  <c r="I505" s="1"/>
  <c r="G501"/>
  <c r="I501" s="1"/>
  <c r="G493"/>
  <c r="I493" s="1"/>
  <c r="G489"/>
  <c r="I489" s="1"/>
  <c r="G481"/>
  <c r="I481" s="1"/>
  <c r="G473"/>
  <c r="I473" s="1"/>
  <c r="G469"/>
  <c r="I469" s="1"/>
  <c r="G465"/>
  <c r="I465" s="1"/>
  <c r="G461"/>
  <c r="I461" s="1"/>
  <c r="G457"/>
  <c r="I457" s="1"/>
  <c r="G453"/>
  <c r="I453" s="1"/>
  <c r="G449"/>
  <c r="I449" s="1"/>
  <c r="G445"/>
  <c r="I445" s="1"/>
  <c r="G441"/>
  <c r="I441" s="1"/>
  <c r="G437"/>
  <c r="I437" s="1"/>
  <c r="G433"/>
  <c r="I433" s="1"/>
  <c r="G417"/>
  <c r="I417" s="1"/>
  <c r="G409"/>
  <c r="I409" s="1"/>
  <c r="G401"/>
  <c r="I401" s="1"/>
  <c r="G397"/>
  <c r="I397" s="1"/>
  <c r="G393"/>
  <c r="I393" s="1"/>
  <c r="G389"/>
  <c r="I389" s="1"/>
  <c r="G385"/>
  <c r="I385" s="1"/>
  <c r="G381"/>
  <c r="I381" s="1"/>
  <c r="G377"/>
  <c r="I377" s="1"/>
  <c r="G373"/>
  <c r="I373" s="1"/>
  <c r="G367"/>
  <c r="I367" s="1"/>
  <c r="G363"/>
  <c r="I363" s="1"/>
  <c r="G359"/>
  <c r="I359" s="1"/>
  <c r="G355"/>
  <c r="I355" s="1"/>
  <c r="G347"/>
  <c r="I347" s="1"/>
  <c r="G343"/>
  <c r="I343" s="1"/>
  <c r="G339"/>
  <c r="I339" s="1"/>
  <c r="G335"/>
  <c r="I335" s="1"/>
  <c r="G331"/>
  <c r="I331" s="1"/>
  <c r="G327"/>
  <c r="I327" s="1"/>
  <c r="G323"/>
  <c r="I323" s="1"/>
  <c r="G319"/>
  <c r="I319" s="1"/>
  <c r="G315"/>
  <c r="I315" s="1"/>
  <c r="G311"/>
  <c r="I311" s="1"/>
  <c r="G307"/>
  <c r="I307" s="1"/>
  <c r="G303"/>
  <c r="I303" s="1"/>
  <c r="G299"/>
  <c r="I299" s="1"/>
  <c r="G295"/>
  <c r="I295" s="1"/>
  <c r="G291"/>
  <c r="I291" s="1"/>
  <c r="G287"/>
  <c r="I287" s="1"/>
  <c r="G279"/>
  <c r="I279" s="1"/>
  <c r="G267"/>
  <c r="I267" s="1"/>
  <c r="G263"/>
  <c r="I263" s="1"/>
  <c r="G259"/>
  <c r="I259" s="1"/>
  <c r="G251"/>
  <c r="I251" s="1"/>
  <c r="G247"/>
  <c r="I247" s="1"/>
  <c r="G243"/>
  <c r="I243" s="1"/>
  <c r="G239"/>
  <c r="I239" s="1"/>
  <c r="G235"/>
  <c r="I235" s="1"/>
  <c r="G231"/>
  <c r="I231" s="1"/>
  <c r="G227"/>
  <c r="I227" s="1"/>
  <c r="G223"/>
  <c r="I223" s="1"/>
  <c r="G219"/>
  <c r="I219" s="1"/>
  <c r="G215"/>
  <c r="I215" s="1"/>
  <c r="H6" i="14" s="1"/>
  <c r="G211" i="13"/>
  <c r="I211" s="1"/>
  <c r="G207"/>
  <c r="I207" s="1"/>
  <c r="G203"/>
  <c r="I203" s="1"/>
  <c r="G199"/>
  <c r="I199" s="1"/>
  <c r="G195"/>
  <c r="I195" s="1"/>
  <c r="G191"/>
  <c r="I191" s="1"/>
  <c r="G175"/>
  <c r="I175" s="1"/>
  <c r="G171"/>
  <c r="I171" s="1"/>
  <c r="G167"/>
  <c r="I167" s="1"/>
  <c r="G163"/>
  <c r="I163" s="1"/>
  <c r="G157"/>
  <c r="I157" s="1"/>
  <c r="G153"/>
  <c r="I153" s="1"/>
  <c r="G149"/>
  <c r="I149" s="1"/>
  <c r="G145"/>
  <c r="I145" s="1"/>
  <c r="G137"/>
  <c r="I137" s="1"/>
  <c r="G133"/>
  <c r="I133" s="1"/>
  <c r="G125"/>
  <c r="I125" s="1"/>
  <c r="G121"/>
  <c r="I121" s="1"/>
  <c r="G110"/>
  <c r="I110" s="1"/>
  <c r="G106"/>
  <c r="I106" s="1"/>
  <c r="G102"/>
  <c r="I102" s="1"/>
  <c r="G98"/>
  <c r="I98" s="1"/>
  <c r="G94"/>
  <c r="I94" s="1"/>
  <c r="G90"/>
  <c r="I90" s="1"/>
  <c r="G86"/>
  <c r="I86" s="1"/>
  <c r="G82"/>
  <c r="I82" s="1"/>
  <c r="G78"/>
  <c r="I78" s="1"/>
  <c r="G66"/>
  <c r="I66" s="1"/>
  <c r="G62"/>
  <c r="I62" s="1"/>
  <c r="G58"/>
  <c r="I58" s="1"/>
  <c r="G44"/>
  <c r="I44" s="1"/>
  <c r="G36"/>
  <c r="I36" s="1"/>
  <c r="G32"/>
  <c r="I32" s="1"/>
  <c r="G28"/>
  <c r="I28" s="1"/>
  <c r="G24"/>
  <c r="I24" s="1"/>
  <c r="G20"/>
  <c r="I20" s="1"/>
  <c r="G14"/>
  <c r="I14" s="1"/>
  <c r="G10"/>
  <c r="I10" s="1"/>
  <c r="G6"/>
  <c r="I6" s="1"/>
  <c r="G2"/>
  <c r="I2" s="1"/>
  <c r="H16" i="14" s="1"/>
  <c r="G1238" i="13"/>
  <c r="I1238" s="1"/>
  <c r="G1166"/>
  <c r="I1166" s="1"/>
  <c r="G1102"/>
  <c r="I1102" s="1"/>
  <c r="G1038"/>
  <c r="I1038" s="1"/>
  <c r="G910"/>
  <c r="I910" s="1"/>
  <c r="G844"/>
  <c r="I844" s="1"/>
  <c r="G796"/>
  <c r="I796" s="1"/>
  <c r="G780"/>
  <c r="I780" s="1"/>
  <c r="G732"/>
  <c r="I732" s="1"/>
  <c r="G716"/>
  <c r="I716" s="1"/>
  <c r="G700"/>
  <c r="I700" s="1"/>
  <c r="G684"/>
  <c r="I684" s="1"/>
  <c r="G668"/>
  <c r="I668" s="1"/>
  <c r="G650"/>
  <c r="I650" s="1"/>
  <c r="G634"/>
  <c r="I634" s="1"/>
  <c r="G618"/>
  <c r="I618" s="1"/>
  <c r="G600"/>
  <c r="I600" s="1"/>
  <c r="G584"/>
  <c r="I584" s="1"/>
  <c r="G518"/>
  <c r="I518" s="1"/>
  <c r="G500"/>
  <c r="I500" s="1"/>
  <c r="G468"/>
  <c r="I468" s="1"/>
  <c r="G452"/>
  <c r="I452" s="1"/>
  <c r="G436"/>
  <c r="I436" s="1"/>
  <c r="G415"/>
  <c r="I415" s="1"/>
  <c r="G412"/>
  <c r="I412" s="1"/>
  <c r="G402"/>
  <c r="I402" s="1"/>
  <c r="G399"/>
  <c r="I399" s="1"/>
  <c r="G396"/>
  <c r="I396" s="1"/>
  <c r="G386"/>
  <c r="I386" s="1"/>
  <c r="G383"/>
  <c r="I383" s="1"/>
  <c r="G380"/>
  <c r="I380" s="1"/>
  <c r="G368"/>
  <c r="I368" s="1"/>
  <c r="G365"/>
  <c r="I365" s="1"/>
  <c r="G362"/>
  <c r="I362" s="1"/>
  <c r="G352"/>
  <c r="I352" s="1"/>
  <c r="G349"/>
  <c r="I349" s="1"/>
  <c r="G346"/>
  <c r="I346" s="1"/>
  <c r="G336"/>
  <c r="I336" s="1"/>
  <c r="G333"/>
  <c r="I333" s="1"/>
  <c r="G330"/>
  <c r="I330" s="1"/>
  <c r="G320"/>
  <c r="I320" s="1"/>
  <c r="G317"/>
  <c r="I317" s="1"/>
  <c r="G314"/>
  <c r="I314" s="1"/>
  <c r="G304"/>
  <c r="I304" s="1"/>
  <c r="G301"/>
  <c r="I301" s="1"/>
  <c r="G298"/>
  <c r="I298" s="1"/>
  <c r="G288"/>
  <c r="I288" s="1"/>
  <c r="G285"/>
  <c r="I285" s="1"/>
  <c r="G282"/>
  <c r="I282" s="1"/>
  <c r="G269"/>
  <c r="I269" s="1"/>
  <c r="G266"/>
  <c r="I266" s="1"/>
  <c r="G250"/>
  <c r="I250" s="1"/>
  <c r="G240"/>
  <c r="I240" s="1"/>
  <c r="G237"/>
  <c r="I237" s="1"/>
  <c r="G234"/>
  <c r="I234" s="1"/>
  <c r="G224"/>
  <c r="I224" s="1"/>
  <c r="G221"/>
  <c r="I221" s="1"/>
  <c r="G218"/>
  <c r="I218" s="1"/>
  <c r="G208"/>
  <c r="I208" s="1"/>
  <c r="G205"/>
  <c r="I205" s="1"/>
  <c r="G202"/>
  <c r="I202" s="1"/>
  <c r="G192"/>
  <c r="I192" s="1"/>
  <c r="G176"/>
  <c r="I176" s="1"/>
  <c r="G173"/>
  <c r="I173" s="1"/>
  <c r="G170"/>
  <c r="I170" s="1"/>
  <c r="G160"/>
  <c r="I160" s="1"/>
  <c r="G155"/>
  <c r="I155" s="1"/>
  <c r="G152"/>
  <c r="I152" s="1"/>
  <c r="G123"/>
  <c r="I123" s="1"/>
  <c r="G107"/>
  <c r="I107" s="1"/>
  <c r="G104"/>
  <c r="I104" s="1"/>
  <c r="G101"/>
  <c r="I101" s="1"/>
  <c r="G91"/>
  <c r="I91" s="1"/>
  <c r="G88"/>
  <c r="I88" s="1"/>
  <c r="G85"/>
  <c r="I85" s="1"/>
  <c r="G75"/>
  <c r="I75" s="1"/>
  <c r="G56"/>
  <c r="I56" s="1"/>
  <c r="G53"/>
  <c r="I53" s="1"/>
  <c r="G35"/>
  <c r="I35" s="1"/>
  <c r="G25"/>
  <c r="I25" s="1"/>
  <c r="G22"/>
  <c r="I22" s="1"/>
  <c r="G19"/>
  <c r="I19" s="1"/>
  <c r="G7"/>
  <c r="I7" s="1"/>
  <c r="G4"/>
  <c r="I4" s="1"/>
  <c r="G1184"/>
  <c r="I1184" s="1"/>
  <c r="G1118"/>
  <c r="I1118" s="1"/>
  <c r="G1054"/>
  <c r="I1054" s="1"/>
  <c r="G926"/>
  <c r="I926" s="1"/>
  <c r="G860"/>
  <c r="I860" s="1"/>
  <c r="G802"/>
  <c r="I802" s="1"/>
  <c r="G752"/>
  <c r="I752" s="1"/>
  <c r="G736"/>
  <c r="I736" s="1"/>
  <c r="G720"/>
  <c r="I720" s="1"/>
  <c r="G688"/>
  <c r="I688" s="1"/>
  <c r="G672"/>
  <c r="I672" s="1"/>
  <c r="G654"/>
  <c r="I654" s="1"/>
  <c r="G638"/>
  <c r="I638" s="1"/>
  <c r="G622"/>
  <c r="I622" s="1"/>
  <c r="G604"/>
  <c r="I604" s="1"/>
  <c r="G588"/>
  <c r="I588" s="1"/>
  <c r="G572"/>
  <c r="I572" s="1"/>
  <c r="G522"/>
  <c r="I522" s="1"/>
  <c r="G504"/>
  <c r="I504" s="1"/>
  <c r="G456"/>
  <c r="I456" s="1"/>
  <c r="G440"/>
  <c r="I440" s="1"/>
  <c r="G414"/>
  <c r="I414" s="1"/>
  <c r="G411"/>
  <c r="I411" s="1"/>
  <c r="G408"/>
  <c r="I408" s="1"/>
  <c r="G398"/>
  <c r="I398" s="1"/>
  <c r="G395"/>
  <c r="I395" s="1"/>
  <c r="G392"/>
  <c r="I392" s="1"/>
  <c r="G382"/>
  <c r="I382" s="1"/>
  <c r="G379"/>
  <c r="I379" s="1"/>
  <c r="G376"/>
  <c r="I376" s="1"/>
  <c r="G364"/>
  <c r="I364" s="1"/>
  <c r="G361"/>
  <c r="I361" s="1"/>
  <c r="G345"/>
  <c r="I345" s="1"/>
  <c r="G342"/>
  <c r="I342" s="1"/>
  <c r="G332"/>
  <c r="I332" s="1"/>
  <c r="G329"/>
  <c r="I329" s="1"/>
  <c r="G316"/>
  <c r="I316" s="1"/>
  <c r="G313"/>
  <c r="I313" s="1"/>
  <c r="G310"/>
  <c r="I310" s="1"/>
  <c r="G300"/>
  <c r="I300" s="1"/>
  <c r="G297"/>
  <c r="I297" s="1"/>
  <c r="G294"/>
  <c r="I294" s="1"/>
  <c r="G284"/>
  <c r="I284" s="1"/>
  <c r="G281"/>
  <c r="I281" s="1"/>
  <c r="G278"/>
  <c r="I278" s="1"/>
  <c r="G265"/>
  <c r="I265" s="1"/>
  <c r="G262"/>
  <c r="I262" s="1"/>
  <c r="G252"/>
  <c r="I252" s="1"/>
  <c r="G249"/>
  <c r="I249" s="1"/>
  <c r="G246"/>
  <c r="I246" s="1"/>
  <c r="G236"/>
  <c r="I236" s="1"/>
  <c r="G233"/>
  <c r="I233" s="1"/>
  <c r="G230"/>
  <c r="I230" s="1"/>
  <c r="G220"/>
  <c r="I220" s="1"/>
  <c r="G217"/>
  <c r="I217" s="1"/>
  <c r="G214"/>
  <c r="I214" s="1"/>
  <c r="G201"/>
  <c r="I201" s="1"/>
  <c r="G198"/>
  <c r="I198" s="1"/>
  <c r="G172"/>
  <c r="I172" s="1"/>
  <c r="G169"/>
  <c r="I169" s="1"/>
  <c r="G166"/>
  <c r="I166" s="1"/>
  <c r="G154"/>
  <c r="I154" s="1"/>
  <c r="G151"/>
  <c r="I151" s="1"/>
  <c r="G148"/>
  <c r="I148" s="1"/>
  <c r="G138"/>
  <c r="I138" s="1"/>
  <c r="G135"/>
  <c r="I135" s="1"/>
  <c r="G132"/>
  <c r="I132" s="1"/>
  <c r="G122"/>
  <c r="I122" s="1"/>
  <c r="G113"/>
  <c r="I113" s="1"/>
  <c r="G103"/>
  <c r="I103" s="1"/>
  <c r="G100"/>
  <c r="I100" s="1"/>
  <c r="G97"/>
  <c r="I97" s="1"/>
  <c r="G87"/>
  <c r="I87" s="1"/>
  <c r="G84"/>
  <c r="I84" s="1"/>
  <c r="G81"/>
  <c r="I81" s="1"/>
  <c r="G52"/>
  <c r="I52" s="1"/>
  <c r="G34"/>
  <c r="I34" s="1"/>
  <c r="G31"/>
  <c r="I31" s="1"/>
  <c r="G21"/>
  <c r="I21" s="1"/>
  <c r="G18"/>
  <c r="I18" s="1"/>
  <c r="G13"/>
  <c r="I13" s="1"/>
  <c r="G3"/>
  <c r="I3" s="1"/>
  <c r="G1302"/>
  <c r="I1302" s="1"/>
  <c r="G1070"/>
  <c r="I1070" s="1"/>
  <c r="G1006"/>
  <c r="I1006" s="1"/>
  <c r="G942"/>
  <c r="I942" s="1"/>
  <c r="G878"/>
  <c r="I878" s="1"/>
  <c r="G812"/>
  <c r="I812" s="1"/>
  <c r="G788"/>
  <c r="I788" s="1"/>
  <c r="G772"/>
  <c r="I772" s="1"/>
  <c r="G756"/>
  <c r="I756" s="1"/>
  <c r="G740"/>
  <c r="I740" s="1"/>
  <c r="G724"/>
  <c r="I724" s="1"/>
  <c r="G692"/>
  <c r="I692" s="1"/>
  <c r="G660"/>
  <c r="I660" s="1"/>
  <c r="G642"/>
  <c r="I642" s="1"/>
  <c r="G608"/>
  <c r="I608" s="1"/>
  <c r="G592"/>
  <c r="I592" s="1"/>
  <c r="G576"/>
  <c r="I576" s="1"/>
  <c r="G542"/>
  <c r="I542" s="1"/>
  <c r="G526"/>
  <c r="I526" s="1"/>
  <c r="G508"/>
  <c r="I508" s="1"/>
  <c r="G476"/>
  <c r="I476" s="1"/>
  <c r="G460"/>
  <c r="I460" s="1"/>
  <c r="G444"/>
  <c r="I444" s="1"/>
  <c r="G407"/>
  <c r="I407" s="1"/>
  <c r="G394"/>
  <c r="I394" s="1"/>
  <c r="G391"/>
  <c r="I391" s="1"/>
  <c r="G388"/>
  <c r="I388" s="1"/>
  <c r="G378"/>
  <c r="I378" s="1"/>
  <c r="G375"/>
  <c r="I375" s="1"/>
  <c r="G370"/>
  <c r="I370" s="1"/>
  <c r="G360"/>
  <c r="I360" s="1"/>
  <c r="G357"/>
  <c r="I357" s="1"/>
  <c r="H11" i="14" s="1"/>
  <c r="G344" i="13"/>
  <c r="I344" s="1"/>
  <c r="G341"/>
  <c r="I341" s="1"/>
  <c r="G328"/>
  <c r="I328" s="1"/>
  <c r="G312"/>
  <c r="I312" s="1"/>
  <c r="G309"/>
  <c r="I309" s="1"/>
  <c r="G306"/>
  <c r="I306" s="1"/>
  <c r="G296"/>
  <c r="I296" s="1"/>
  <c r="G293"/>
  <c r="I293" s="1"/>
  <c r="G290"/>
  <c r="I290" s="1"/>
  <c r="G280"/>
  <c r="I280" s="1"/>
  <c r="G277"/>
  <c r="I277" s="1"/>
  <c r="G274"/>
  <c r="I274" s="1"/>
  <c r="G264"/>
  <c r="I264" s="1"/>
  <c r="G258"/>
  <c r="I258" s="1"/>
  <c r="G248"/>
  <c r="I248" s="1"/>
  <c r="G245"/>
  <c r="I245" s="1"/>
  <c r="G242"/>
  <c r="I242" s="1"/>
  <c r="G232"/>
  <c r="I232" s="1"/>
  <c r="G229"/>
  <c r="I229" s="1"/>
  <c r="G226"/>
  <c r="I226" s="1"/>
  <c r="G216"/>
  <c r="I216" s="1"/>
  <c r="G210"/>
  <c r="I210" s="1"/>
  <c r="G200"/>
  <c r="I200" s="1"/>
  <c r="G194"/>
  <c r="I194" s="1"/>
  <c r="G184"/>
  <c r="I184" s="1"/>
  <c r="G178"/>
  <c r="I178" s="1"/>
  <c r="G168"/>
  <c r="I168" s="1"/>
  <c r="G165"/>
  <c r="I165" s="1"/>
  <c r="G162"/>
  <c r="I162" s="1"/>
  <c r="G150"/>
  <c r="I150" s="1"/>
  <c r="G147"/>
  <c r="I147" s="1"/>
  <c r="G144"/>
  <c r="I144" s="1"/>
  <c r="H24" i="14" s="1"/>
  <c r="G134" i="13"/>
  <c r="I134" s="1"/>
  <c r="G131"/>
  <c r="I131" s="1"/>
  <c r="G128"/>
  <c r="I128" s="1"/>
  <c r="G112"/>
  <c r="I112" s="1"/>
  <c r="G109"/>
  <c r="I109" s="1"/>
  <c r="G99"/>
  <c r="I99" s="1"/>
  <c r="G96"/>
  <c r="I96" s="1"/>
  <c r="G93"/>
  <c r="I93" s="1"/>
  <c r="G83"/>
  <c r="I83" s="1"/>
  <c r="G80"/>
  <c r="I80" s="1"/>
  <c r="G77"/>
  <c r="I77" s="1"/>
  <c r="G67"/>
  <c r="I67" s="1"/>
  <c r="G61"/>
  <c r="I61" s="1"/>
  <c r="G51"/>
  <c r="I51" s="1"/>
  <c r="G33"/>
  <c r="I33" s="1"/>
  <c r="G30"/>
  <c r="I30" s="1"/>
  <c r="G27"/>
  <c r="I27" s="1"/>
  <c r="G15"/>
  <c r="I15" s="1"/>
  <c r="G12"/>
  <c r="I12" s="1"/>
  <c r="G9"/>
  <c r="I9" s="1"/>
  <c r="G1086"/>
  <c r="I1086" s="1"/>
  <c r="G744"/>
  <c r="I744" s="1"/>
  <c r="G612"/>
  <c r="I612" s="1"/>
  <c r="G548"/>
  <c r="I548" s="1"/>
  <c r="G416"/>
  <c r="I416" s="1"/>
  <c r="G403"/>
  <c r="I403" s="1"/>
  <c r="G390"/>
  <c r="I390" s="1"/>
  <c r="G337"/>
  <c r="I337" s="1"/>
  <c r="G324"/>
  <c r="I324" s="1"/>
  <c r="G286"/>
  <c r="I286" s="1"/>
  <c r="H10" i="14" s="1"/>
  <c r="G273" i="13"/>
  <c r="I273" s="1"/>
  <c r="G222"/>
  <c r="I222" s="1"/>
  <c r="G156"/>
  <c r="I156" s="1"/>
  <c r="G143"/>
  <c r="I143" s="1"/>
  <c r="G130"/>
  <c r="I130" s="1"/>
  <c r="G89"/>
  <c r="I89" s="1"/>
  <c r="G76"/>
  <c r="I76" s="1"/>
  <c r="G23"/>
  <c r="I23" s="1"/>
  <c r="G8"/>
  <c r="I8" s="1"/>
  <c r="G1150"/>
  <c r="I1150" s="1"/>
  <c r="G894"/>
  <c r="I894" s="1"/>
  <c r="G760"/>
  <c r="I760" s="1"/>
  <c r="G696"/>
  <c r="I696" s="1"/>
  <c r="G564"/>
  <c r="I564" s="1"/>
  <c r="G496"/>
  <c r="I496" s="1"/>
  <c r="G432"/>
  <c r="I432" s="1"/>
  <c r="G400"/>
  <c r="I400" s="1"/>
  <c r="G387"/>
  <c r="I387" s="1"/>
  <c r="G374"/>
  <c r="I374" s="1"/>
  <c r="G321"/>
  <c r="I321" s="1"/>
  <c r="G308"/>
  <c r="I308" s="1"/>
  <c r="G270"/>
  <c r="I270" s="1"/>
  <c r="G244"/>
  <c r="I244" s="1"/>
  <c r="G206"/>
  <c r="I206" s="1"/>
  <c r="G193"/>
  <c r="I193" s="1"/>
  <c r="G127"/>
  <c r="I127" s="1"/>
  <c r="G60"/>
  <c r="I60" s="1"/>
  <c r="G45"/>
  <c r="I45" s="1"/>
  <c r="G5"/>
  <c r="I5" s="1"/>
  <c r="G1216"/>
  <c r="I1216" s="1"/>
  <c r="G958"/>
  <c r="I958" s="1"/>
  <c r="G712"/>
  <c r="I712" s="1"/>
  <c r="H8" i="14" s="1"/>
  <c r="G646" i="13"/>
  <c r="I646" s="1"/>
  <c r="G580"/>
  <c r="I580" s="1"/>
  <c r="G512"/>
  <c r="I512" s="1"/>
  <c r="G448"/>
  <c r="I448" s="1"/>
  <c r="G384"/>
  <c r="I384" s="1"/>
  <c r="G369"/>
  <c r="I369" s="1"/>
  <c r="G356"/>
  <c r="I356" s="1"/>
  <c r="G318"/>
  <c r="I318" s="1"/>
  <c r="G305"/>
  <c r="I305" s="1"/>
  <c r="G292"/>
  <c r="I292" s="1"/>
  <c r="G254"/>
  <c r="I254" s="1"/>
  <c r="G241"/>
  <c r="I241" s="1"/>
  <c r="G228"/>
  <c r="I228" s="1"/>
  <c r="G177"/>
  <c r="I177" s="1"/>
  <c r="G164"/>
  <c r="I164" s="1"/>
  <c r="G124"/>
  <c r="I124" s="1"/>
  <c r="G108"/>
  <c r="I108" s="1"/>
  <c r="G95"/>
  <c r="I95" s="1"/>
  <c r="G57"/>
  <c r="I57" s="1"/>
  <c r="G42"/>
  <c r="I42" s="1"/>
  <c r="G29"/>
  <c r="I29" s="1"/>
  <c r="G728"/>
  <c r="I728" s="1"/>
  <c r="G464"/>
  <c r="I464" s="1"/>
  <c r="G340"/>
  <c r="I340" s="1"/>
  <c r="G289"/>
  <c r="I289" s="1"/>
  <c r="G238"/>
  <c r="I238" s="1"/>
  <c r="G79"/>
  <c r="I79" s="1"/>
  <c r="G26"/>
  <c r="I26" s="1"/>
  <c r="G792"/>
  <c r="I792" s="1"/>
  <c r="G530"/>
  <c r="I530" s="1"/>
  <c r="G276"/>
  <c r="I276" s="1"/>
  <c r="G225"/>
  <c r="I225" s="1"/>
  <c r="G174"/>
  <c r="I174" s="1"/>
  <c r="G11"/>
  <c r="I11" s="1"/>
  <c r="G1022"/>
  <c r="I1022" s="1"/>
  <c r="G596"/>
  <c r="I596" s="1"/>
  <c r="G366"/>
  <c r="I366" s="1"/>
  <c r="G212"/>
  <c r="I212" s="1"/>
  <c r="G161"/>
  <c r="I161" s="1"/>
  <c r="G105"/>
  <c r="I105" s="1"/>
  <c r="C569" i="10"/>
  <c r="D568"/>
  <c r="D560"/>
  <c r="D552"/>
  <c r="C545"/>
  <c r="D544"/>
  <c r="E543"/>
  <c r="C537"/>
  <c r="D536"/>
  <c r="E535"/>
  <c r="C529"/>
  <c r="D528"/>
  <c r="E527"/>
  <c r="C521"/>
  <c r="D520"/>
  <c r="E519"/>
  <c r="C513"/>
  <c r="D512"/>
  <c r="E511"/>
  <c r="C505"/>
  <c r="D504"/>
  <c r="E503"/>
  <c r="C497"/>
  <c r="D496"/>
  <c r="E495"/>
  <c r="C489"/>
  <c r="D488"/>
  <c r="E487"/>
  <c r="C481"/>
  <c r="D480"/>
  <c r="E479"/>
  <c r="C473"/>
  <c r="D472"/>
  <c r="E471"/>
  <c r="C465"/>
  <c r="D464"/>
  <c r="E463"/>
  <c r="C457"/>
  <c r="D456"/>
  <c r="E455"/>
  <c r="C449"/>
  <c r="D448"/>
  <c r="E447"/>
  <c r="C441"/>
  <c r="D440"/>
  <c r="E439"/>
  <c r="C433"/>
  <c r="D432"/>
  <c r="E431"/>
  <c r="C425"/>
  <c r="D424"/>
  <c r="E423"/>
  <c r="C417"/>
  <c r="D416"/>
  <c r="E415"/>
  <c r="C409"/>
  <c r="D408"/>
  <c r="E407"/>
  <c r="C401"/>
  <c r="D400"/>
  <c r="E399"/>
  <c r="C393"/>
  <c r="D392"/>
  <c r="E391"/>
  <c r="C385"/>
  <c r="D384"/>
  <c r="E383"/>
  <c r="C377"/>
  <c r="D376"/>
  <c r="E375"/>
  <c r="C369"/>
  <c r="D368"/>
  <c r="E367"/>
  <c r="C361"/>
  <c r="D360"/>
  <c r="E359"/>
  <c r="C353"/>
  <c r="D352"/>
  <c r="E351"/>
  <c r="C345"/>
  <c r="D344"/>
  <c r="E343"/>
  <c r="C337"/>
  <c r="D336"/>
  <c r="E335"/>
  <c r="C329"/>
  <c r="D328"/>
  <c r="E327"/>
  <c r="C321"/>
  <c r="D320"/>
  <c r="E319"/>
  <c r="C313"/>
  <c r="D312"/>
  <c r="E311"/>
  <c r="E569"/>
  <c r="D567"/>
  <c r="D566"/>
  <c r="D561"/>
  <c r="C560"/>
  <c r="C558"/>
  <c r="E536"/>
  <c r="D535"/>
  <c r="D534"/>
  <c r="D529"/>
  <c r="C528"/>
  <c r="C527"/>
  <c r="C526"/>
  <c r="E504"/>
  <c r="D503"/>
  <c r="D502"/>
  <c r="D497"/>
  <c r="C496"/>
  <c r="C495"/>
  <c r="C494"/>
  <c r="E472"/>
  <c r="D471"/>
  <c r="D470"/>
  <c r="D465"/>
  <c r="C464"/>
  <c r="C463"/>
  <c r="C462"/>
  <c r="E440"/>
  <c r="D439"/>
  <c r="D438"/>
  <c r="D433"/>
  <c r="C432"/>
  <c r="C431"/>
  <c r="C430"/>
  <c r="E408"/>
  <c r="D407"/>
  <c r="D406"/>
  <c r="D401"/>
  <c r="C400"/>
  <c r="C399"/>
  <c r="C398"/>
  <c r="E376"/>
  <c r="D375"/>
  <c r="D374"/>
  <c r="D369"/>
  <c r="C368"/>
  <c r="C367"/>
  <c r="C366"/>
  <c r="E344"/>
  <c r="D343"/>
  <c r="D342"/>
  <c r="D337"/>
  <c r="C336"/>
  <c r="C335"/>
  <c r="C334"/>
  <c r="E312"/>
  <c r="D311"/>
  <c r="D310"/>
  <c r="D305"/>
  <c r="E304"/>
  <c r="C302"/>
  <c r="D297"/>
  <c r="E296"/>
  <c r="C294"/>
  <c r="D289"/>
  <c r="E288"/>
  <c r="C286"/>
  <c r="D281"/>
  <c r="E280"/>
  <c r="B279"/>
  <c r="C278"/>
  <c r="D273"/>
  <c r="E272"/>
  <c r="B271"/>
  <c r="C270"/>
  <c r="D265"/>
  <c r="E264"/>
  <c r="B263"/>
  <c r="C262"/>
  <c r="D257"/>
  <c r="E256"/>
  <c r="B255"/>
  <c r="C254"/>
  <c r="D249"/>
  <c r="E248"/>
  <c r="B247"/>
  <c r="C246"/>
  <c r="D241"/>
  <c r="E240"/>
  <c r="B239"/>
  <c r="C238"/>
  <c r="D233"/>
  <c r="E232"/>
  <c r="B231"/>
  <c r="C230"/>
  <c r="D225"/>
  <c r="E224"/>
  <c r="B223"/>
  <c r="C222"/>
  <c r="D217"/>
  <c r="E216"/>
  <c r="B215"/>
  <c r="C214"/>
  <c r="D209"/>
  <c r="E208"/>
  <c r="B207"/>
  <c r="C206"/>
  <c r="D201"/>
  <c r="E200"/>
  <c r="B199"/>
  <c r="C198"/>
  <c r="D193"/>
  <c r="E192"/>
  <c r="B191"/>
  <c r="C190"/>
  <c r="D185"/>
  <c r="E184"/>
  <c r="B183"/>
  <c r="C182"/>
  <c r="D177"/>
  <c r="E176"/>
  <c r="B175"/>
  <c r="C174"/>
  <c r="D169"/>
  <c r="E168"/>
  <c r="B167"/>
  <c r="C166"/>
  <c r="D161"/>
  <c r="E160"/>
  <c r="B159"/>
  <c r="C158"/>
  <c r="D153"/>
  <c r="E152"/>
  <c r="B151"/>
  <c r="C150"/>
  <c r="D145"/>
  <c r="E144"/>
  <c r="B143"/>
  <c r="C142"/>
  <c r="D137"/>
  <c r="E136"/>
  <c r="B135"/>
  <c r="C134"/>
  <c r="D129"/>
  <c r="E128"/>
  <c r="B127"/>
  <c r="C126"/>
  <c r="D121"/>
  <c r="E120"/>
  <c r="B119"/>
  <c r="C118"/>
  <c r="D113"/>
  <c r="E112"/>
  <c r="B111"/>
  <c r="C110"/>
  <c r="D105"/>
  <c r="E104"/>
  <c r="B103"/>
  <c r="C102"/>
  <c r="D97"/>
  <c r="E96"/>
  <c r="B95"/>
  <c r="C94"/>
  <c r="D89"/>
  <c r="E88"/>
  <c r="B87"/>
  <c r="C86"/>
  <c r="D81"/>
  <c r="E80"/>
  <c r="B79"/>
  <c r="C78"/>
  <c r="D73"/>
  <c r="E72"/>
  <c r="B71"/>
  <c r="C70"/>
  <c r="D65"/>
  <c r="E64"/>
  <c r="B63"/>
  <c r="C62"/>
  <c r="D57"/>
  <c r="E56"/>
  <c r="B55"/>
  <c r="C54"/>
  <c r="D49"/>
  <c r="E48"/>
  <c r="B47"/>
  <c r="C46"/>
  <c r="D41"/>
  <c r="E40"/>
  <c r="B39"/>
  <c r="C38"/>
  <c r="D33"/>
  <c r="E32"/>
  <c r="B31"/>
  <c r="C30"/>
  <c r="D25"/>
  <c r="E24"/>
  <c r="B23"/>
  <c r="C22"/>
  <c r="E16"/>
  <c r="B15"/>
  <c r="C14"/>
  <c r="E8"/>
  <c r="B7"/>
  <c r="C6"/>
  <c r="D569" i="9"/>
  <c r="E568"/>
  <c r="B567"/>
  <c r="C566"/>
  <c r="D561"/>
  <c r="E560"/>
  <c r="B559"/>
  <c r="C558"/>
  <c r="D553"/>
  <c r="E552"/>
  <c r="B551"/>
  <c r="C550"/>
  <c r="D545"/>
  <c r="E544"/>
  <c r="B543"/>
  <c r="C542"/>
  <c r="D537"/>
  <c r="E536"/>
  <c r="B535"/>
  <c r="C534"/>
  <c r="D529"/>
  <c r="E528"/>
  <c r="B527"/>
  <c r="C526"/>
  <c r="D521"/>
  <c r="E520"/>
  <c r="B519"/>
  <c r="C518"/>
  <c r="D513"/>
  <c r="E512"/>
  <c r="B511"/>
  <c r="C510"/>
  <c r="D505"/>
  <c r="E504"/>
  <c r="B503"/>
  <c r="C502"/>
  <c r="D497"/>
  <c r="E496"/>
  <c r="B495"/>
  <c r="C494"/>
  <c r="D489"/>
  <c r="E488"/>
  <c r="B487"/>
  <c r="C486"/>
  <c r="D481"/>
  <c r="E480"/>
  <c r="B479"/>
  <c r="C478"/>
  <c r="D473"/>
  <c r="E472"/>
  <c r="B471"/>
  <c r="C470"/>
  <c r="D465"/>
  <c r="E464"/>
  <c r="B463"/>
  <c r="C462"/>
  <c r="D457"/>
  <c r="E456"/>
  <c r="B455"/>
  <c r="C454"/>
  <c r="D449"/>
  <c r="E448"/>
  <c r="B447"/>
  <c r="C446"/>
  <c r="D441"/>
  <c r="E440"/>
  <c r="B439"/>
  <c r="C438"/>
  <c r="D433"/>
  <c r="E432"/>
  <c r="B431"/>
  <c r="C430"/>
  <c r="D425"/>
  <c r="E424"/>
  <c r="B423"/>
  <c r="C422"/>
  <c r="D417"/>
  <c r="E416"/>
  <c r="B415"/>
  <c r="C414"/>
  <c r="D409"/>
  <c r="E408"/>
  <c r="B407"/>
  <c r="C406"/>
  <c r="D401"/>
  <c r="E400"/>
  <c r="B399"/>
  <c r="C398"/>
  <c r="D393"/>
  <c r="E392"/>
  <c r="B391"/>
  <c r="C390"/>
  <c r="D385"/>
  <c r="E384"/>
  <c r="B383"/>
  <c r="C382"/>
  <c r="D377"/>
  <c r="E376"/>
  <c r="B375"/>
  <c r="C374"/>
  <c r="D369"/>
  <c r="E368"/>
  <c r="B367"/>
  <c r="C366"/>
  <c r="D361"/>
  <c r="E360"/>
  <c r="B359"/>
  <c r="C358"/>
  <c r="D353"/>
  <c r="E352"/>
  <c r="B351"/>
  <c r="C350"/>
  <c r="D345"/>
  <c r="E344"/>
  <c r="B343"/>
  <c r="C342"/>
  <c r="D337"/>
  <c r="E336"/>
  <c r="B335"/>
  <c r="C334"/>
  <c r="D329"/>
  <c r="E328"/>
  <c r="B327"/>
  <c r="C326"/>
  <c r="D321"/>
  <c r="E320"/>
  <c r="B319"/>
  <c r="C318"/>
  <c r="D313"/>
  <c r="E312"/>
  <c r="B311"/>
  <c r="C310"/>
  <c r="D305"/>
  <c r="E304"/>
  <c r="B303"/>
  <c r="C302"/>
  <c r="D297"/>
  <c r="E296"/>
  <c r="B295"/>
  <c r="C294"/>
  <c r="D289"/>
  <c r="E288"/>
  <c r="B287"/>
  <c r="C286"/>
  <c r="D281"/>
  <c r="E280"/>
  <c r="B279"/>
  <c r="C278"/>
  <c r="D273"/>
  <c r="E272"/>
  <c r="B271"/>
  <c r="G406" i="13"/>
  <c r="I406" s="1"/>
  <c r="E560" i="10"/>
  <c r="D559"/>
  <c r="D558"/>
  <c r="D553"/>
  <c r="C552"/>
  <c r="C550"/>
  <c r="E528"/>
  <c r="D527"/>
  <c r="D526"/>
  <c r="D521"/>
  <c r="C520"/>
  <c r="C519"/>
  <c r="C518"/>
  <c r="E496"/>
  <c r="D495"/>
  <c r="D494"/>
  <c r="D489"/>
  <c r="C488"/>
  <c r="C487"/>
  <c r="C486"/>
  <c r="E464"/>
  <c r="D463"/>
  <c r="D462"/>
  <c r="D457"/>
  <c r="C456"/>
  <c r="C455"/>
  <c r="C454"/>
  <c r="E432"/>
  <c r="D431"/>
  <c r="D430"/>
  <c r="D425"/>
  <c r="C424"/>
  <c r="C423"/>
  <c r="C422"/>
  <c r="E400"/>
  <c r="D399"/>
  <c r="D398"/>
  <c r="D393"/>
  <c r="C392"/>
  <c r="C391"/>
  <c r="C390"/>
  <c r="E368"/>
  <c r="D367"/>
  <c r="D366"/>
  <c r="D361"/>
  <c r="C360"/>
  <c r="C359"/>
  <c r="C358"/>
  <c r="E336"/>
  <c r="D335"/>
  <c r="D334"/>
  <c r="D329"/>
  <c r="C328"/>
  <c r="C327"/>
  <c r="C326"/>
  <c r="C303"/>
  <c r="D302"/>
  <c r="C295"/>
  <c r="D294"/>
  <c r="C287"/>
  <c r="D286"/>
  <c r="B280"/>
  <c r="C279"/>
  <c r="D278"/>
  <c r="E273"/>
  <c r="B272"/>
  <c r="C271"/>
  <c r="D270"/>
  <c r="E265"/>
  <c r="B264"/>
  <c r="C263"/>
  <c r="D262"/>
  <c r="E257"/>
  <c r="B256"/>
  <c r="C255"/>
  <c r="D254"/>
  <c r="E249"/>
  <c r="B248"/>
  <c r="C247"/>
  <c r="D246"/>
  <c r="E241"/>
  <c r="B240"/>
  <c r="C239"/>
  <c r="D238"/>
  <c r="E233"/>
  <c r="B232"/>
  <c r="C231"/>
  <c r="D230"/>
  <c r="E225"/>
  <c r="B224"/>
  <c r="C223"/>
  <c r="D222"/>
  <c r="E217"/>
  <c r="B216"/>
  <c r="C215"/>
  <c r="D214"/>
  <c r="E209"/>
  <c r="B208"/>
  <c r="C207"/>
  <c r="D206"/>
  <c r="E201"/>
  <c r="B200"/>
  <c r="C199"/>
  <c r="D198"/>
  <c r="E193"/>
  <c r="B192"/>
  <c r="C191"/>
  <c r="D190"/>
  <c r="E185"/>
  <c r="B184"/>
  <c r="C183"/>
  <c r="D182"/>
  <c r="E177"/>
  <c r="B176"/>
  <c r="C175"/>
  <c r="D174"/>
  <c r="E169"/>
  <c r="B168"/>
  <c r="C167"/>
  <c r="D166"/>
  <c r="E161"/>
  <c r="B160"/>
  <c r="C159"/>
  <c r="D158"/>
  <c r="E153"/>
  <c r="B152"/>
  <c r="C151"/>
  <c r="D150"/>
  <c r="E145"/>
  <c r="B144"/>
  <c r="C143"/>
  <c r="D142"/>
  <c r="E137"/>
  <c r="B136"/>
  <c r="C135"/>
  <c r="D134"/>
  <c r="E129"/>
  <c r="B128"/>
  <c r="C127"/>
  <c r="D126"/>
  <c r="E121"/>
  <c r="B120"/>
  <c r="C119"/>
  <c r="D118"/>
  <c r="E113"/>
  <c r="B112"/>
  <c r="C111"/>
  <c r="D110"/>
  <c r="E105"/>
  <c r="B104"/>
  <c r="C103"/>
  <c r="D102"/>
  <c r="E97"/>
  <c r="B96"/>
  <c r="C95"/>
  <c r="D94"/>
  <c r="E89"/>
  <c r="B88"/>
  <c r="C87"/>
  <c r="D86"/>
  <c r="E81"/>
  <c r="B80"/>
  <c r="C79"/>
  <c r="D78"/>
  <c r="E73"/>
  <c r="B72"/>
  <c r="C71"/>
  <c r="D70"/>
  <c r="E65"/>
  <c r="B64"/>
  <c r="C63"/>
  <c r="D62"/>
  <c r="E57"/>
  <c r="B56"/>
  <c r="C55"/>
  <c r="D54"/>
  <c r="E49"/>
  <c r="B48"/>
  <c r="C47"/>
  <c r="D46"/>
  <c r="E41"/>
  <c r="B40"/>
  <c r="C39"/>
  <c r="D38"/>
  <c r="E33"/>
  <c r="B32"/>
  <c r="C31"/>
  <c r="D30"/>
  <c r="E25"/>
  <c r="B24"/>
  <c r="C23"/>
  <c r="E17"/>
  <c r="B16"/>
  <c r="C15"/>
  <c r="E9"/>
  <c r="B8"/>
  <c r="C7"/>
  <c r="E569" i="9"/>
  <c r="B568"/>
  <c r="C567"/>
  <c r="D566"/>
  <c r="E561"/>
  <c r="B560"/>
  <c r="C559"/>
  <c r="D558"/>
  <c r="E553"/>
  <c r="B552"/>
  <c r="C551"/>
  <c r="D550"/>
  <c r="E545"/>
  <c r="B544"/>
  <c r="C543"/>
  <c r="D542"/>
  <c r="E537"/>
  <c r="B536"/>
  <c r="C535"/>
  <c r="D534"/>
  <c r="E529"/>
  <c r="B528"/>
  <c r="C527"/>
  <c r="D526"/>
  <c r="E521"/>
  <c r="B520"/>
  <c r="C519"/>
  <c r="D518"/>
  <c r="E513"/>
  <c r="B512"/>
  <c r="C511"/>
  <c r="D510"/>
  <c r="E505"/>
  <c r="B504"/>
  <c r="C503"/>
  <c r="D502"/>
  <c r="E497"/>
  <c r="B496"/>
  <c r="C495"/>
  <c r="D494"/>
  <c r="E489"/>
  <c r="B488"/>
  <c r="C487"/>
  <c r="D486"/>
  <c r="E481"/>
  <c r="B480"/>
  <c r="C479"/>
  <c r="D478"/>
  <c r="E473"/>
  <c r="B472"/>
  <c r="C471"/>
  <c r="D470"/>
  <c r="E465"/>
  <c r="B464"/>
  <c r="C463"/>
  <c r="D462"/>
  <c r="E457"/>
  <c r="B456"/>
  <c r="C455"/>
  <c r="D454"/>
  <c r="E449"/>
  <c r="B448"/>
  <c r="C447"/>
  <c r="D446"/>
  <c r="E441"/>
  <c r="B440"/>
  <c r="C439"/>
  <c r="D438"/>
  <c r="E433"/>
  <c r="B432"/>
  <c r="C431"/>
  <c r="D430"/>
  <c r="E425"/>
  <c r="B424"/>
  <c r="C423"/>
  <c r="D422"/>
  <c r="E417"/>
  <c r="B416"/>
  <c r="C415"/>
  <c r="D414"/>
  <c r="E409"/>
  <c r="B408"/>
  <c r="C407"/>
  <c r="D406"/>
  <c r="E401"/>
  <c r="B400"/>
  <c r="C399"/>
  <c r="D398"/>
  <c r="E393"/>
  <c r="B392"/>
  <c r="C391"/>
  <c r="D390"/>
  <c r="E385"/>
  <c r="B384"/>
  <c r="C383"/>
  <c r="D382"/>
  <c r="E377"/>
  <c r="B376"/>
  <c r="C375"/>
  <c r="D374"/>
  <c r="E369"/>
  <c r="B368"/>
  <c r="C367"/>
  <c r="D366"/>
  <c r="E361"/>
  <c r="B360"/>
  <c r="C359"/>
  <c r="D358"/>
  <c r="E353"/>
  <c r="B352"/>
  <c r="C351"/>
  <c r="D350"/>
  <c r="E345"/>
  <c r="B344"/>
  <c r="C343"/>
  <c r="D342"/>
  <c r="E337"/>
  <c r="B336"/>
  <c r="C335"/>
  <c r="D334"/>
  <c r="E329"/>
  <c r="B328"/>
  <c r="C327"/>
  <c r="D326"/>
  <c r="E321"/>
  <c r="B320"/>
  <c r="C319"/>
  <c r="D318"/>
  <c r="E313"/>
  <c r="B312"/>
  <c r="C311"/>
  <c r="D310"/>
  <c r="E305"/>
  <c r="B304"/>
  <c r="C303"/>
  <c r="D302"/>
  <c r="E297"/>
  <c r="B296"/>
  <c r="C295"/>
  <c r="D294"/>
  <c r="E289"/>
  <c r="B288"/>
  <c r="C287"/>
  <c r="D286"/>
  <c r="E281"/>
  <c r="B280"/>
  <c r="C279"/>
  <c r="D278"/>
  <c r="E273"/>
  <c r="B272"/>
  <c r="C271"/>
  <c r="D270"/>
  <c r="E265"/>
  <c r="B264"/>
  <c r="C263"/>
  <c r="D262"/>
  <c r="E257"/>
  <c r="B256"/>
  <c r="C255"/>
  <c r="D254"/>
  <c r="E249"/>
  <c r="B248"/>
  <c r="C247"/>
  <c r="D246"/>
  <c r="E241"/>
  <c r="B240"/>
  <c r="C239"/>
  <c r="D238"/>
  <c r="E233"/>
  <c r="B232"/>
  <c r="C231"/>
  <c r="D230"/>
  <c r="E225"/>
  <c r="B224"/>
  <c r="C223"/>
  <c r="D222"/>
  <c r="E217"/>
  <c r="B216"/>
  <c r="C215"/>
  <c r="D214"/>
  <c r="E209"/>
  <c r="B208"/>
  <c r="C207"/>
  <c r="D206"/>
  <c r="E201"/>
  <c r="B200"/>
  <c r="C199"/>
  <c r="D198"/>
  <c r="E193"/>
  <c r="B192"/>
  <c r="C191"/>
  <c r="D190"/>
  <c r="E185"/>
  <c r="B184"/>
  <c r="C183"/>
  <c r="D182"/>
  <c r="E177"/>
  <c r="B176"/>
  <c r="C175"/>
  <c r="D174"/>
  <c r="E169"/>
  <c r="B168"/>
  <c r="C167"/>
  <c r="D166"/>
  <c r="E161"/>
  <c r="B160"/>
  <c r="C159"/>
  <c r="D158"/>
  <c r="E153"/>
  <c r="B152"/>
  <c r="C151"/>
  <c r="D150"/>
  <c r="E145"/>
  <c r="B144"/>
  <c r="C143"/>
  <c r="D142"/>
  <c r="E137"/>
  <c r="B136"/>
  <c r="C135"/>
  <c r="D134"/>
  <c r="E129"/>
  <c r="B128"/>
  <c r="C127"/>
  <c r="D126"/>
  <c r="E121"/>
  <c r="B120"/>
  <c r="C119"/>
  <c r="D118"/>
  <c r="E113"/>
  <c r="B112"/>
  <c r="C111"/>
  <c r="D110"/>
  <c r="E105"/>
  <c r="B104"/>
  <c r="C103"/>
  <c r="D102"/>
  <c r="E97"/>
  <c r="B96"/>
  <c r="C95"/>
  <c r="D94"/>
  <c r="E89"/>
  <c r="B88"/>
  <c r="C87"/>
  <c r="D86"/>
  <c r="E81"/>
  <c r="B80"/>
  <c r="C79"/>
  <c r="D78"/>
  <c r="E73"/>
  <c r="B72"/>
  <c r="C71"/>
  <c r="D70"/>
  <c r="E65"/>
  <c r="B64"/>
  <c r="C63"/>
  <c r="D62"/>
  <c r="E57"/>
  <c r="B56"/>
  <c r="C55"/>
  <c r="D54"/>
  <c r="E49"/>
  <c r="B48"/>
  <c r="C47"/>
  <c r="D46"/>
  <c r="E41"/>
  <c r="B40"/>
  <c r="C39"/>
  <c r="D38"/>
  <c r="E33"/>
  <c r="B32"/>
  <c r="C31"/>
  <c r="D30"/>
  <c r="E25"/>
  <c r="B24"/>
  <c r="C23"/>
  <c r="D22"/>
  <c r="E17"/>
  <c r="B16"/>
  <c r="C15"/>
  <c r="D14"/>
  <c r="E9"/>
  <c r="B8"/>
  <c r="C7"/>
  <c r="D6"/>
  <c r="G664" i="13"/>
  <c r="I664" s="1"/>
  <c r="G353"/>
  <c r="I353" s="1"/>
  <c r="G146"/>
  <c r="I146" s="1"/>
  <c r="B569" i="10"/>
  <c r="E558"/>
  <c r="E552"/>
  <c r="D551"/>
  <c r="D550"/>
  <c r="D545"/>
  <c r="C544"/>
  <c r="C543"/>
  <c r="C542"/>
  <c r="E520"/>
  <c r="D519"/>
  <c r="D518"/>
  <c r="D513"/>
  <c r="C512"/>
  <c r="C511"/>
  <c r="C510"/>
  <c r="E488"/>
  <c r="D487"/>
  <c r="D486"/>
  <c r="D481"/>
  <c r="C480"/>
  <c r="C479"/>
  <c r="C478"/>
  <c r="E456"/>
  <c r="D455"/>
  <c r="D454"/>
  <c r="D449"/>
  <c r="C448"/>
  <c r="C447"/>
  <c r="C446"/>
  <c r="E424"/>
  <c r="D423"/>
  <c r="D422"/>
  <c r="D417"/>
  <c r="C416"/>
  <c r="C415"/>
  <c r="C414"/>
  <c r="E392"/>
  <c r="D391"/>
  <c r="D390"/>
  <c r="D385"/>
  <c r="C384"/>
  <c r="C383"/>
  <c r="C382"/>
  <c r="E360"/>
  <c r="D359"/>
  <c r="D358"/>
  <c r="D353"/>
  <c r="C352"/>
  <c r="C351"/>
  <c r="C350"/>
  <c r="E328"/>
  <c r="D327"/>
  <c r="D326"/>
  <c r="D321"/>
  <c r="C320"/>
  <c r="C319"/>
  <c r="C318"/>
  <c r="C304"/>
  <c r="D303"/>
  <c r="C296"/>
  <c r="D295"/>
  <c r="C288"/>
  <c r="D287"/>
  <c r="B281"/>
  <c r="C280"/>
  <c r="D279"/>
  <c r="E278"/>
  <c r="B273"/>
  <c r="C272"/>
  <c r="D271"/>
  <c r="E270"/>
  <c r="B265"/>
  <c r="C264"/>
  <c r="D263"/>
  <c r="E262"/>
  <c r="B257"/>
  <c r="C256"/>
  <c r="D255"/>
  <c r="E254"/>
  <c r="B249"/>
  <c r="C248"/>
  <c r="D247"/>
  <c r="E246"/>
  <c r="B241"/>
  <c r="C240"/>
  <c r="D239"/>
  <c r="E238"/>
  <c r="B233"/>
  <c r="C232"/>
  <c r="D231"/>
  <c r="E230"/>
  <c r="B225"/>
  <c r="C224"/>
  <c r="D223"/>
  <c r="E222"/>
  <c r="B217"/>
  <c r="C216"/>
  <c r="D215"/>
  <c r="E214"/>
  <c r="B209"/>
  <c r="C208"/>
  <c r="D207"/>
  <c r="E206"/>
  <c r="B201"/>
  <c r="C200"/>
  <c r="D199"/>
  <c r="E198"/>
  <c r="B193"/>
  <c r="C192"/>
  <c r="D191"/>
  <c r="E190"/>
  <c r="B185"/>
  <c r="C184"/>
  <c r="D183"/>
  <c r="E182"/>
  <c r="B177"/>
  <c r="C176"/>
  <c r="D175"/>
  <c r="E174"/>
  <c r="B169"/>
  <c r="C168"/>
  <c r="D167"/>
  <c r="E166"/>
  <c r="B161"/>
  <c r="C160"/>
  <c r="D159"/>
  <c r="E158"/>
  <c r="B153"/>
  <c r="C152"/>
  <c r="D151"/>
  <c r="E150"/>
  <c r="B145"/>
  <c r="C144"/>
  <c r="D143"/>
  <c r="E142"/>
  <c r="B137"/>
  <c r="C136"/>
  <c r="D135"/>
  <c r="E134"/>
  <c r="B129"/>
  <c r="C128"/>
  <c r="D127"/>
  <c r="E126"/>
  <c r="B121"/>
  <c r="C120"/>
  <c r="D119"/>
  <c r="E118"/>
  <c r="B113"/>
  <c r="C112"/>
  <c r="D111"/>
  <c r="E110"/>
  <c r="B105"/>
  <c r="C104"/>
  <c r="D103"/>
  <c r="E102"/>
  <c r="B97"/>
  <c r="C96"/>
  <c r="D95"/>
  <c r="E94"/>
  <c r="B89"/>
  <c r="C88"/>
  <c r="D87"/>
  <c r="E86"/>
  <c r="B81"/>
  <c r="C80"/>
  <c r="D79"/>
  <c r="E78"/>
  <c r="B73"/>
  <c r="C72"/>
  <c r="D71"/>
  <c r="E70"/>
  <c r="B65"/>
  <c r="C64"/>
  <c r="D63"/>
  <c r="E62"/>
  <c r="B57"/>
  <c r="C56"/>
  <c r="D55"/>
  <c r="E54"/>
  <c r="B49"/>
  <c r="C48"/>
  <c r="D47"/>
  <c r="E46"/>
  <c r="B41"/>
  <c r="C40"/>
  <c r="D39"/>
  <c r="E38"/>
  <c r="B33"/>
  <c r="C32"/>
  <c r="D31"/>
  <c r="E30"/>
  <c r="B25"/>
  <c r="C24"/>
  <c r="D23"/>
  <c r="E22"/>
  <c r="B17"/>
  <c r="C16"/>
  <c r="E14"/>
  <c r="B9"/>
  <c r="C8"/>
  <c r="D7"/>
  <c r="E6"/>
  <c r="B569" i="9"/>
  <c r="C568"/>
  <c r="D567"/>
  <c r="E566"/>
  <c r="B561"/>
  <c r="C560"/>
  <c r="D559"/>
  <c r="E558"/>
  <c r="B553"/>
  <c r="C552"/>
  <c r="D551"/>
  <c r="E550"/>
  <c r="B545"/>
  <c r="C544"/>
  <c r="D543"/>
  <c r="E542"/>
  <c r="B537"/>
  <c r="C536"/>
  <c r="D535"/>
  <c r="E534"/>
  <c r="B529"/>
  <c r="C528"/>
  <c r="D527"/>
  <c r="E526"/>
  <c r="B521"/>
  <c r="C520"/>
  <c r="D519"/>
  <c r="E518"/>
  <c r="B513"/>
  <c r="C512"/>
  <c r="D511"/>
  <c r="E510"/>
  <c r="B505"/>
  <c r="C504"/>
  <c r="D503"/>
  <c r="E502"/>
  <c r="B497"/>
  <c r="C496"/>
  <c r="D495"/>
  <c r="E494"/>
  <c r="B489"/>
  <c r="C488"/>
  <c r="D487"/>
  <c r="E486"/>
  <c r="B481"/>
  <c r="C480"/>
  <c r="D479"/>
  <c r="E478"/>
  <c r="B473"/>
  <c r="C472"/>
  <c r="D471"/>
  <c r="E470"/>
  <c r="B465"/>
  <c r="C464"/>
  <c r="D463"/>
  <c r="E462"/>
  <c r="B457"/>
  <c r="C456"/>
  <c r="D455"/>
  <c r="E454"/>
  <c r="B449"/>
  <c r="C448"/>
  <c r="D447"/>
  <c r="E446"/>
  <c r="B441"/>
  <c r="C440"/>
  <c r="D439"/>
  <c r="E438"/>
  <c r="B433"/>
  <c r="C432"/>
  <c r="D431"/>
  <c r="E430"/>
  <c r="B425"/>
  <c r="C424"/>
  <c r="D423"/>
  <c r="E422"/>
  <c r="B417"/>
  <c r="C416"/>
  <c r="D415"/>
  <c r="E414"/>
  <c r="B409"/>
  <c r="C408"/>
  <c r="D407"/>
  <c r="E406"/>
  <c r="B401"/>
  <c r="C400"/>
  <c r="D399"/>
  <c r="E398"/>
  <c r="B393"/>
  <c r="C392"/>
  <c r="D391"/>
  <c r="E390"/>
  <c r="B385"/>
  <c r="C384"/>
  <c r="D383"/>
  <c r="E382"/>
  <c r="B377"/>
  <c r="C376"/>
  <c r="D375"/>
  <c r="E374"/>
  <c r="B369"/>
  <c r="C368"/>
  <c r="D367"/>
  <c r="E366"/>
  <c r="B361"/>
  <c r="C360"/>
  <c r="D359"/>
  <c r="E358"/>
  <c r="B353"/>
  <c r="C352"/>
  <c r="D351"/>
  <c r="E350"/>
  <c r="B345"/>
  <c r="C344"/>
  <c r="D343"/>
  <c r="E342"/>
  <c r="B337"/>
  <c r="C336"/>
  <c r="D335"/>
  <c r="E334"/>
  <c r="B329"/>
  <c r="C328"/>
  <c r="D327"/>
  <c r="E326"/>
  <c r="B321"/>
  <c r="C320"/>
  <c r="D319"/>
  <c r="E318"/>
  <c r="B313"/>
  <c r="C312"/>
  <c r="D311"/>
  <c r="E310"/>
  <c r="B305"/>
  <c r="C304"/>
  <c r="D303"/>
  <c r="E302"/>
  <c r="B297"/>
  <c r="C296"/>
  <c r="D295"/>
  <c r="E294"/>
  <c r="B289"/>
  <c r="C288"/>
  <c r="D287"/>
  <c r="E286"/>
  <c r="B281"/>
  <c r="C280"/>
  <c r="D279"/>
  <c r="E278"/>
  <c r="B273"/>
  <c r="C272"/>
  <c r="D271"/>
  <c r="E270"/>
  <c r="B265"/>
  <c r="C264"/>
  <c r="D263"/>
  <c r="E262"/>
  <c r="B257"/>
  <c r="C256"/>
  <c r="D255"/>
  <c r="E254"/>
  <c r="B249"/>
  <c r="C248"/>
  <c r="D247"/>
  <c r="E246"/>
  <c r="B241"/>
  <c r="C240"/>
  <c r="D239"/>
  <c r="E238"/>
  <c r="B233"/>
  <c r="C232"/>
  <c r="D231"/>
  <c r="E230"/>
  <c r="B225"/>
  <c r="C224"/>
  <c r="D223"/>
  <c r="E222"/>
  <c r="B217"/>
  <c r="C216"/>
  <c r="D215"/>
  <c r="E214"/>
  <c r="B209"/>
  <c r="C208"/>
  <c r="D207"/>
  <c r="E206"/>
  <c r="B201"/>
  <c r="C200"/>
  <c r="D199"/>
  <c r="E198"/>
  <c r="B193"/>
  <c r="C192"/>
  <c r="D191"/>
  <c r="E190"/>
  <c r="B185"/>
  <c r="C184"/>
  <c r="D183"/>
  <c r="E182"/>
  <c r="B177"/>
  <c r="C176"/>
  <c r="D175"/>
  <c r="E174"/>
  <c r="B169"/>
  <c r="C168"/>
  <c r="D167"/>
  <c r="E166"/>
  <c r="B161"/>
  <c r="C160"/>
  <c r="D159"/>
  <c r="E158"/>
  <c r="B153"/>
  <c r="C152"/>
  <c r="D151"/>
  <c r="E150"/>
  <c r="B145"/>
  <c r="C144"/>
  <c r="D143"/>
  <c r="E142"/>
  <c r="B137"/>
  <c r="C136"/>
  <c r="D135"/>
  <c r="E134"/>
  <c r="B129"/>
  <c r="C128"/>
  <c r="D127"/>
  <c r="E126"/>
  <c r="B121"/>
  <c r="C120"/>
  <c r="D119"/>
  <c r="E118"/>
  <c r="B113"/>
  <c r="C112"/>
  <c r="D111"/>
  <c r="E110"/>
  <c r="B105"/>
  <c r="C104"/>
  <c r="D103"/>
  <c r="E102"/>
  <c r="B97"/>
  <c r="C96"/>
  <c r="D95"/>
  <c r="E94"/>
  <c r="B89"/>
  <c r="C88"/>
  <c r="D87"/>
  <c r="E86"/>
  <c r="B81"/>
  <c r="C80"/>
  <c r="D79"/>
  <c r="E78"/>
  <c r="B73"/>
  <c r="C72"/>
  <c r="D71"/>
  <c r="E70"/>
  <c r="B65"/>
  <c r="C64"/>
  <c r="D63"/>
  <c r="E62"/>
  <c r="B57"/>
  <c r="C56"/>
  <c r="D55"/>
  <c r="E54"/>
  <c r="B49"/>
  <c r="C48"/>
  <c r="D47"/>
  <c r="E46"/>
  <c r="B41"/>
  <c r="C40"/>
  <c r="D39"/>
  <c r="E38"/>
  <c r="B33"/>
  <c r="C32"/>
  <c r="D31"/>
  <c r="E30"/>
  <c r="B25"/>
  <c r="C24"/>
  <c r="D23"/>
  <c r="E22"/>
  <c r="B17"/>
  <c r="C16"/>
  <c r="D15"/>
  <c r="E14"/>
  <c r="B9"/>
  <c r="C8"/>
  <c r="D7"/>
  <c r="E6"/>
  <c r="C567" i="10"/>
  <c r="E550"/>
  <c r="D542"/>
  <c r="C534"/>
  <c r="D505"/>
  <c r="E480"/>
  <c r="C472"/>
  <c r="D447"/>
  <c r="C439"/>
  <c r="D414"/>
  <c r="C406"/>
  <c r="D377"/>
  <c r="E352"/>
  <c r="C344"/>
  <c r="D319"/>
  <c r="C311"/>
  <c r="E303"/>
  <c r="D296"/>
  <c r="C289"/>
  <c r="E271"/>
  <c r="D264"/>
  <c r="C257"/>
  <c r="B254"/>
  <c r="F254" s="1"/>
  <c r="E239"/>
  <c r="D232"/>
  <c r="C225"/>
  <c r="B222"/>
  <c r="F222" s="1"/>
  <c r="E207"/>
  <c r="D200"/>
  <c r="C193"/>
  <c r="B190"/>
  <c r="F190" s="1"/>
  <c r="E175"/>
  <c r="D168"/>
  <c r="C161"/>
  <c r="B158"/>
  <c r="F158" s="1"/>
  <c r="E143"/>
  <c r="D136"/>
  <c r="C129"/>
  <c r="B126"/>
  <c r="F126" s="1"/>
  <c r="E111"/>
  <c r="D104"/>
  <c r="C97"/>
  <c r="B94"/>
  <c r="F94" s="1"/>
  <c r="E79"/>
  <c r="D72"/>
  <c r="C65"/>
  <c r="B62"/>
  <c r="F62" s="1"/>
  <c r="E47"/>
  <c r="D40"/>
  <c r="C33"/>
  <c r="B30"/>
  <c r="F30" s="1"/>
  <c r="E15"/>
  <c r="C569" i="9"/>
  <c r="B566"/>
  <c r="F566" s="1"/>
  <c r="E551"/>
  <c r="D544"/>
  <c r="C537"/>
  <c r="B534"/>
  <c r="F534" s="1"/>
  <c r="E519"/>
  <c r="D512"/>
  <c r="C505"/>
  <c r="B502"/>
  <c r="F502" s="1"/>
  <c r="E487"/>
  <c r="D480"/>
  <c r="C473"/>
  <c r="B470"/>
  <c r="F470" s="1"/>
  <c r="E455"/>
  <c r="D448"/>
  <c r="C441"/>
  <c r="B438"/>
  <c r="F438" s="1"/>
  <c r="E423"/>
  <c r="D416"/>
  <c r="C409"/>
  <c r="B406"/>
  <c r="F406" s="1"/>
  <c r="E391"/>
  <c r="D384"/>
  <c r="C377"/>
  <c r="B374"/>
  <c r="F374" s="1"/>
  <c r="E359"/>
  <c r="D352"/>
  <c r="C345"/>
  <c r="B342"/>
  <c r="F342" s="1"/>
  <c r="E327"/>
  <c r="D320"/>
  <c r="C313"/>
  <c r="B310"/>
  <c r="F310" s="1"/>
  <c r="E295"/>
  <c r="D288"/>
  <c r="C281"/>
  <c r="B278"/>
  <c r="F278" s="1"/>
  <c r="C265"/>
  <c r="E263"/>
  <c r="B262"/>
  <c r="D256"/>
  <c r="C249"/>
  <c r="E247"/>
  <c r="B246"/>
  <c r="D240"/>
  <c r="C233"/>
  <c r="E231"/>
  <c r="B230"/>
  <c r="D224"/>
  <c r="C217"/>
  <c r="E215"/>
  <c r="B214"/>
  <c r="D208"/>
  <c r="C201"/>
  <c r="E199"/>
  <c r="B198"/>
  <c r="D192"/>
  <c r="C185"/>
  <c r="E183"/>
  <c r="B182"/>
  <c r="D176"/>
  <c r="C169"/>
  <c r="E167"/>
  <c r="B166"/>
  <c r="D160"/>
  <c r="C153"/>
  <c r="E151"/>
  <c r="B150"/>
  <c r="D144"/>
  <c r="C137"/>
  <c r="E135"/>
  <c r="B134"/>
  <c r="D128"/>
  <c r="C121"/>
  <c r="E119"/>
  <c r="B118"/>
  <c r="D112"/>
  <c r="C105"/>
  <c r="E103"/>
  <c r="B102"/>
  <c r="D96"/>
  <c r="C89"/>
  <c r="E87"/>
  <c r="B86"/>
  <c r="D80"/>
  <c r="C73"/>
  <c r="E71"/>
  <c r="B70"/>
  <c r="D64"/>
  <c r="C57"/>
  <c r="E55"/>
  <c r="B54"/>
  <c r="D48"/>
  <c r="C41"/>
  <c r="E39"/>
  <c r="B38"/>
  <c r="D32"/>
  <c r="C25"/>
  <c r="E23"/>
  <c r="B22"/>
  <c r="D16"/>
  <c r="C9"/>
  <c r="E7"/>
  <c r="B6"/>
  <c r="C568" i="10"/>
  <c r="D543"/>
  <c r="C535"/>
  <c r="D510"/>
  <c r="C502"/>
  <c r="D473"/>
  <c r="E448"/>
  <c r="C440"/>
  <c r="D415"/>
  <c r="C407"/>
  <c r="D382"/>
  <c r="C374"/>
  <c r="D345"/>
  <c r="E320"/>
  <c r="C312"/>
  <c r="D304"/>
  <c r="C297"/>
  <c r="E279"/>
  <c r="D272"/>
  <c r="C265"/>
  <c r="B262"/>
  <c r="F262" s="1"/>
  <c r="E247"/>
  <c r="D240"/>
  <c r="C233"/>
  <c r="B230"/>
  <c r="F230" s="1"/>
  <c r="E215"/>
  <c r="D208"/>
  <c r="C201"/>
  <c r="B198"/>
  <c r="F198" s="1"/>
  <c r="E183"/>
  <c r="D176"/>
  <c r="C169"/>
  <c r="B166"/>
  <c r="F166" s="1"/>
  <c r="E151"/>
  <c r="D144"/>
  <c r="C137"/>
  <c r="B134"/>
  <c r="F134" s="1"/>
  <c r="E119"/>
  <c r="D112"/>
  <c r="C105"/>
  <c r="B102"/>
  <c r="F102" s="1"/>
  <c r="E87"/>
  <c r="D80"/>
  <c r="C73"/>
  <c r="B70"/>
  <c r="F70" s="1"/>
  <c r="E55"/>
  <c r="D48"/>
  <c r="C41"/>
  <c r="B38"/>
  <c r="F38" s="1"/>
  <c r="E23"/>
  <c r="C9"/>
  <c r="B6"/>
  <c r="E559" i="9"/>
  <c r="D552"/>
  <c r="C545"/>
  <c r="B542"/>
  <c r="F542" s="1"/>
  <c r="E527"/>
  <c r="D520"/>
  <c r="C513"/>
  <c r="B510"/>
  <c r="F510" s="1"/>
  <c r="E495"/>
  <c r="D488"/>
  <c r="C481"/>
  <c r="B478"/>
  <c r="F478" s="1"/>
  <c r="E463"/>
  <c r="D456"/>
  <c r="C449"/>
  <c r="B446"/>
  <c r="F446" s="1"/>
  <c r="E431"/>
  <c r="D424"/>
  <c r="C417"/>
  <c r="B414"/>
  <c r="F414" s="1"/>
  <c r="E399"/>
  <c r="D392"/>
  <c r="C385"/>
  <c r="B382"/>
  <c r="F382" s="1"/>
  <c r="E367"/>
  <c r="D360"/>
  <c r="C353"/>
  <c r="B350"/>
  <c r="F350" s="1"/>
  <c r="E335"/>
  <c r="D328"/>
  <c r="C321"/>
  <c r="B318"/>
  <c r="F318" s="1"/>
  <c r="E303"/>
  <c r="D296"/>
  <c r="C289"/>
  <c r="B286"/>
  <c r="F286" s="1"/>
  <c r="E271"/>
  <c r="D265"/>
  <c r="C262"/>
  <c r="E256"/>
  <c r="B255"/>
  <c r="D249"/>
  <c r="C246"/>
  <c r="E240"/>
  <c r="B239"/>
  <c r="D233"/>
  <c r="C230"/>
  <c r="E224"/>
  <c r="B223"/>
  <c r="D217"/>
  <c r="C214"/>
  <c r="E208"/>
  <c r="B207"/>
  <c r="D201"/>
  <c r="C198"/>
  <c r="E192"/>
  <c r="B191"/>
  <c r="D185"/>
  <c r="C182"/>
  <c r="E176"/>
  <c r="B175"/>
  <c r="D169"/>
  <c r="C166"/>
  <c r="E160"/>
  <c r="B159"/>
  <c r="D153"/>
  <c r="C150"/>
  <c r="E144"/>
  <c r="B143"/>
  <c r="D137"/>
  <c r="C134"/>
  <c r="E128"/>
  <c r="B127"/>
  <c r="D121"/>
  <c r="C118"/>
  <c r="E112"/>
  <c r="B111"/>
  <c r="D105"/>
  <c r="C102"/>
  <c r="E96"/>
  <c r="B95"/>
  <c r="D89"/>
  <c r="C86"/>
  <c r="E80"/>
  <c r="B79"/>
  <c r="D73"/>
  <c r="C70"/>
  <c r="E64"/>
  <c r="B63"/>
  <c r="D57"/>
  <c r="C54"/>
  <c r="E48"/>
  <c r="B47"/>
  <c r="D41"/>
  <c r="C38"/>
  <c r="E32"/>
  <c r="B31"/>
  <c r="D25"/>
  <c r="C22"/>
  <c r="E16"/>
  <c r="B15"/>
  <c r="D9"/>
  <c r="C6"/>
  <c r="G92" i="13"/>
  <c r="I92" s="1"/>
  <c r="C566" i="10"/>
  <c r="D537"/>
  <c r="E512"/>
  <c r="C504"/>
  <c r="D479"/>
  <c r="C471"/>
  <c r="D446"/>
  <c r="C438"/>
  <c r="D409"/>
  <c r="E384"/>
  <c r="C376"/>
  <c r="D351"/>
  <c r="C343"/>
  <c r="D318"/>
  <c r="C310"/>
  <c r="E295"/>
  <c r="D288"/>
  <c r="C281"/>
  <c r="B278"/>
  <c r="F278" s="1"/>
  <c r="E263"/>
  <c r="D256"/>
  <c r="C249"/>
  <c r="B246"/>
  <c r="F246" s="1"/>
  <c r="E231"/>
  <c r="D224"/>
  <c r="C217"/>
  <c r="B214"/>
  <c r="F214" s="1"/>
  <c r="E199"/>
  <c r="D192"/>
  <c r="C185"/>
  <c r="B182"/>
  <c r="F182" s="1"/>
  <c r="E167"/>
  <c r="D160"/>
  <c r="C153"/>
  <c r="B150"/>
  <c r="F150" s="1"/>
  <c r="E135"/>
  <c r="D128"/>
  <c r="C121"/>
  <c r="B118"/>
  <c r="F118" s="1"/>
  <c r="E103"/>
  <c r="D96"/>
  <c r="C89"/>
  <c r="B86"/>
  <c r="F86" s="1"/>
  <c r="E71"/>
  <c r="D64"/>
  <c r="C57"/>
  <c r="B54"/>
  <c r="F54" s="1"/>
  <c r="E39"/>
  <c r="D32"/>
  <c r="C25"/>
  <c r="B22"/>
  <c r="E7"/>
  <c r="D568" i="9"/>
  <c r="C561"/>
  <c r="B558"/>
  <c r="F558" s="1"/>
  <c r="E543"/>
  <c r="D536"/>
  <c r="C529"/>
  <c r="B526"/>
  <c r="F526" s="1"/>
  <c r="E511"/>
  <c r="D504"/>
  <c r="C497"/>
  <c r="B494"/>
  <c r="F494" s="1"/>
  <c r="E479"/>
  <c r="D472"/>
  <c r="C465"/>
  <c r="B462"/>
  <c r="F462" s="1"/>
  <c r="E447"/>
  <c r="D440"/>
  <c r="C433"/>
  <c r="B430"/>
  <c r="F430" s="1"/>
  <c r="E415"/>
  <c r="D408"/>
  <c r="C401"/>
  <c r="B398"/>
  <c r="F398" s="1"/>
  <c r="E383"/>
  <c r="D376"/>
  <c r="C369"/>
  <c r="B366"/>
  <c r="F366" s="1"/>
  <c r="E351"/>
  <c r="D344"/>
  <c r="C337"/>
  <c r="B334"/>
  <c r="F334" s="1"/>
  <c r="E319"/>
  <c r="D312"/>
  <c r="C305"/>
  <c r="B302"/>
  <c r="F302" s="1"/>
  <c r="E287"/>
  <c r="D280"/>
  <c r="C273"/>
  <c r="C270"/>
  <c r="E264"/>
  <c r="B263"/>
  <c r="F263" s="1"/>
  <c r="D257"/>
  <c r="C254"/>
  <c r="E248"/>
  <c r="B247"/>
  <c r="F247" s="1"/>
  <c r="D241"/>
  <c r="C238"/>
  <c r="E232"/>
  <c r="B231"/>
  <c r="F231" s="1"/>
  <c r="D225"/>
  <c r="C222"/>
  <c r="E216"/>
  <c r="B215"/>
  <c r="F215" s="1"/>
  <c r="D209"/>
  <c r="C206"/>
  <c r="E200"/>
  <c r="B199"/>
  <c r="F199" s="1"/>
  <c r="D193"/>
  <c r="C190"/>
  <c r="E184"/>
  <c r="B183"/>
  <c r="F183" s="1"/>
  <c r="D177"/>
  <c r="C174"/>
  <c r="E168"/>
  <c r="B167"/>
  <c r="F167" s="1"/>
  <c r="D161"/>
  <c r="C158"/>
  <c r="E152"/>
  <c r="B151"/>
  <c r="F151" s="1"/>
  <c r="D145"/>
  <c r="C142"/>
  <c r="E136"/>
  <c r="B135"/>
  <c r="F135" s="1"/>
  <c r="D129"/>
  <c r="C126"/>
  <c r="E120"/>
  <c r="B119"/>
  <c r="F119" s="1"/>
  <c r="D113"/>
  <c r="C110"/>
  <c r="E104"/>
  <c r="B103"/>
  <c r="F103" s="1"/>
  <c r="D97"/>
  <c r="C94"/>
  <c r="E88"/>
  <c r="B87"/>
  <c r="F87" s="1"/>
  <c r="D81"/>
  <c r="C78"/>
  <c r="E72"/>
  <c r="B71"/>
  <c r="F71" s="1"/>
  <c r="D65"/>
  <c r="C62"/>
  <c r="E56"/>
  <c r="B55"/>
  <c r="F55" s="1"/>
  <c r="D49"/>
  <c r="C46"/>
  <c r="E40"/>
  <c r="B39"/>
  <c r="F39" s="1"/>
  <c r="D569" i="10"/>
  <c r="C536"/>
  <c r="C503"/>
  <c r="C470"/>
  <c r="C273"/>
  <c r="D248"/>
  <c r="E223"/>
  <c r="B174"/>
  <c r="F174" s="1"/>
  <c r="C145"/>
  <c r="D120"/>
  <c r="E95"/>
  <c r="B46"/>
  <c r="F46" s="1"/>
  <c r="C17"/>
  <c r="D560" i="9"/>
  <c r="E535"/>
  <c r="B486"/>
  <c r="F486" s="1"/>
  <c r="C457"/>
  <c r="D432"/>
  <c r="E407"/>
  <c r="B358"/>
  <c r="F358" s="1"/>
  <c r="C329"/>
  <c r="D304"/>
  <c r="E279"/>
  <c r="D248"/>
  <c r="B238"/>
  <c r="E223"/>
  <c r="C209"/>
  <c r="D184"/>
  <c r="B174"/>
  <c r="E159"/>
  <c r="C145"/>
  <c r="D120"/>
  <c r="B110"/>
  <c r="E95"/>
  <c r="C81"/>
  <c r="D56"/>
  <c r="B46"/>
  <c r="C33"/>
  <c r="B30"/>
  <c r="F30" s="1"/>
  <c r="E15"/>
  <c r="D8"/>
  <c r="G302" i="13"/>
  <c r="I302" s="1"/>
  <c r="E544" i="10"/>
  <c r="D511"/>
  <c r="D478"/>
  <c r="D441"/>
  <c r="C408"/>
  <c r="C375"/>
  <c r="C342"/>
  <c r="C305"/>
  <c r="D280"/>
  <c r="E255"/>
  <c r="B206"/>
  <c r="F206" s="1"/>
  <c r="C177"/>
  <c r="D152"/>
  <c r="E127"/>
  <c r="B78"/>
  <c r="F78" s="1"/>
  <c r="C49"/>
  <c r="E567" i="9"/>
  <c r="B518"/>
  <c r="F518" s="1"/>
  <c r="C489"/>
  <c r="D464"/>
  <c r="E439"/>
  <c r="B390"/>
  <c r="F390" s="1"/>
  <c r="C361"/>
  <c r="D336"/>
  <c r="E311"/>
  <c r="D264"/>
  <c r="B254"/>
  <c r="F254" s="1"/>
  <c r="E239"/>
  <c r="C225"/>
  <c r="D200"/>
  <c r="B190"/>
  <c r="F190" s="1"/>
  <c r="E175"/>
  <c r="C161"/>
  <c r="D136"/>
  <c r="B126"/>
  <c r="F126" s="1"/>
  <c r="E111"/>
  <c r="C97"/>
  <c r="D72"/>
  <c r="B62"/>
  <c r="F62" s="1"/>
  <c r="E47"/>
  <c r="D33"/>
  <c r="C30"/>
  <c r="B23"/>
  <c r="F23" s="1"/>
  <c r="E8"/>
  <c r="E416" i="10"/>
  <c r="D383"/>
  <c r="D350"/>
  <c r="D313"/>
  <c r="E287"/>
  <c r="B238"/>
  <c r="F238" s="1"/>
  <c r="C209"/>
  <c r="D184"/>
  <c r="E159"/>
  <c r="B110"/>
  <c r="F110" s="1"/>
  <c r="C81"/>
  <c r="D56"/>
  <c r="E31"/>
  <c r="B550" i="9"/>
  <c r="F550" s="1"/>
  <c r="C521"/>
  <c r="D496"/>
  <c r="E471"/>
  <c r="B422"/>
  <c r="F422" s="1"/>
  <c r="C393"/>
  <c r="D368"/>
  <c r="E343"/>
  <c r="B294"/>
  <c r="F294" s="1"/>
  <c r="B270"/>
  <c r="F270" s="1"/>
  <c r="E255"/>
  <c r="C241"/>
  <c r="D216"/>
  <c r="B206"/>
  <c r="E191"/>
  <c r="C177"/>
  <c r="D152"/>
  <c r="B142"/>
  <c r="E127"/>
  <c r="C113"/>
  <c r="D88"/>
  <c r="B78"/>
  <c r="E63"/>
  <c r="C49"/>
  <c r="E31"/>
  <c r="D24"/>
  <c r="C17"/>
  <c r="B14"/>
  <c r="E358" i="10"/>
  <c r="B270"/>
  <c r="F270" s="1"/>
  <c r="C241"/>
  <c r="D216"/>
  <c r="E191"/>
  <c r="B142"/>
  <c r="F142" s="1"/>
  <c r="C113"/>
  <c r="D88"/>
  <c r="E63"/>
  <c r="B14"/>
  <c r="C553" i="9"/>
  <c r="D528"/>
  <c r="E503"/>
  <c r="B454"/>
  <c r="F454" s="1"/>
  <c r="C425"/>
  <c r="D400"/>
  <c r="E375"/>
  <c r="B326"/>
  <c r="F326" s="1"/>
  <c r="C297"/>
  <c r="D272"/>
  <c r="C257"/>
  <c r="D232"/>
  <c r="B222"/>
  <c r="F222" s="1"/>
  <c r="E207"/>
  <c r="C193"/>
  <c r="D168"/>
  <c r="B158"/>
  <c r="F158" s="1"/>
  <c r="E143"/>
  <c r="C129"/>
  <c r="D104"/>
  <c r="B94"/>
  <c r="F94" s="1"/>
  <c r="E79"/>
  <c r="C65"/>
  <c r="D40"/>
  <c r="E24"/>
  <c r="D17"/>
  <c r="C14"/>
  <c r="B7"/>
  <c r="F7" s="1"/>
  <c r="AH214" i="2"/>
  <c r="BN214"/>
  <c r="V216"/>
  <c r="G30" i="3"/>
  <c r="L12" i="8"/>
  <c r="J12" s="1"/>
  <c r="L28"/>
  <c r="J28" s="1"/>
  <c r="L44"/>
  <c r="J44" s="1"/>
  <c r="E214" i="2"/>
  <c r="I214"/>
  <c r="M214"/>
  <c r="Q214"/>
  <c r="U214"/>
  <c r="Y214"/>
  <c r="AC214"/>
  <c r="AG214"/>
  <c r="AK214"/>
  <c r="AO214"/>
  <c r="AS214"/>
  <c r="AW214"/>
  <c r="BA214"/>
  <c r="BE214"/>
  <c r="BI214"/>
  <c r="BM214"/>
  <c r="BQ214"/>
  <c r="BU214"/>
  <c r="G3" i="3"/>
  <c r="B10" i="27" s="1"/>
  <c r="D10" s="1"/>
  <c r="G7" i="3"/>
  <c r="G11"/>
  <c r="G15"/>
  <c r="G19"/>
  <c r="G27"/>
  <c r="G31"/>
  <c r="G39"/>
  <c r="G43"/>
  <c r="G47"/>
  <c r="G51"/>
  <c r="B6" i="4"/>
  <c r="B8" s="1"/>
  <c r="E178" i="6"/>
  <c r="E227"/>
  <c r="E243"/>
  <c r="L214" i="2"/>
  <c r="T214"/>
  <c r="AB214"/>
  <c r="AJ214"/>
  <c r="AR214"/>
  <c r="AZ214"/>
  <c r="BH214"/>
  <c r="BP214"/>
  <c r="G4" i="3"/>
  <c r="G8"/>
  <c r="G32"/>
  <c r="D3" i="6"/>
  <c r="I3" s="1"/>
  <c r="D46"/>
  <c r="I46" s="1"/>
  <c r="D83"/>
  <c r="I83" s="1"/>
  <c r="D94"/>
  <c r="I94" s="1"/>
  <c r="D142"/>
  <c r="I142" s="1"/>
  <c r="D222"/>
  <c r="I222" s="1"/>
  <c r="D238"/>
  <c r="I238" s="1"/>
  <c r="D254"/>
  <c r="I254" s="1"/>
  <c r="D286"/>
  <c r="I286" s="1"/>
  <c r="G214" i="2"/>
  <c r="K214"/>
  <c r="O214"/>
  <c r="S214"/>
  <c r="W214"/>
  <c r="AA214"/>
  <c r="AE214"/>
  <c r="AI214"/>
  <c r="AM214"/>
  <c r="AQ214"/>
  <c r="AU214"/>
  <c r="AY214"/>
  <c r="BC214"/>
  <c r="BG214"/>
  <c r="BK214"/>
  <c r="BO214"/>
  <c r="BS214"/>
  <c r="BW214"/>
  <c r="B21" i="27"/>
  <c r="D21" s="1"/>
  <c r="B3" i="7"/>
  <c r="AL5"/>
  <c r="AT5"/>
  <c r="BB5"/>
  <c r="C9" i="23" s="1"/>
  <c r="AP6" i="7"/>
  <c r="BF6"/>
  <c r="F11"/>
  <c r="BR12"/>
  <c r="AL13"/>
  <c r="AT13"/>
  <c r="BB13"/>
  <c r="AH14"/>
  <c r="AP14"/>
  <c r="AX14"/>
  <c r="BF14"/>
  <c r="BJ14"/>
  <c r="I8" i="8"/>
  <c r="I40"/>
  <c r="I48"/>
  <c r="I52"/>
  <c r="I56"/>
  <c r="I60"/>
  <c r="I64"/>
  <c r="I68"/>
  <c r="I72"/>
  <c r="I76"/>
  <c r="I80"/>
  <c r="I84"/>
  <c r="I88"/>
  <c r="I92"/>
  <c r="I96"/>
  <c r="I100"/>
  <c r="I104"/>
  <c r="I108"/>
  <c r="I112"/>
  <c r="I116"/>
  <c r="I120"/>
  <c r="I124"/>
  <c r="I128"/>
  <c r="I132"/>
  <c r="I136"/>
  <c r="I140"/>
  <c r="I144"/>
  <c r="I148"/>
  <c r="I152"/>
  <c r="I156"/>
  <c r="I160"/>
  <c r="I164"/>
  <c r="I168"/>
  <c r="I172"/>
  <c r="I176"/>
  <c r="I180"/>
  <c r="I184"/>
  <c r="I188"/>
  <c r="I192"/>
  <c r="I196"/>
  <c r="I200"/>
  <c r="I204"/>
  <c r="I208"/>
  <c r="I212"/>
  <c r="I216"/>
  <c r="I220"/>
  <c r="I224"/>
  <c r="I228"/>
  <c r="I232"/>
  <c r="I236"/>
  <c r="I240"/>
  <c r="I244"/>
  <c r="I248"/>
  <c r="I252"/>
  <c r="I256"/>
  <c r="I260"/>
  <c r="I264"/>
  <c r="I268"/>
  <c r="I272"/>
  <c r="I276"/>
  <c r="I280"/>
  <c r="I284"/>
  <c r="I288"/>
  <c r="I292"/>
  <c r="I296"/>
  <c r="I300"/>
  <c r="I304"/>
  <c r="I308"/>
  <c r="I312"/>
  <c r="I316"/>
  <c r="I320"/>
  <c r="I324"/>
  <c r="I328"/>
  <c r="I332"/>
  <c r="I336"/>
  <c r="I340"/>
  <c r="I344"/>
  <c r="I348"/>
  <c r="I352"/>
  <c r="I356"/>
  <c r="I360"/>
  <c r="I364"/>
  <c r="I368"/>
  <c r="I372"/>
  <c r="I376"/>
  <c r="I380"/>
  <c r="I384"/>
  <c r="I388"/>
  <c r="I392"/>
  <c r="I396"/>
  <c r="I400"/>
  <c r="I404"/>
  <c r="I408"/>
  <c r="I412"/>
  <c r="I416"/>
  <c r="I420"/>
  <c r="I424"/>
  <c r="I428"/>
  <c r="I432"/>
  <c r="J565"/>
  <c r="G605" i="13" s="1"/>
  <c r="I605" s="1"/>
  <c r="J581" i="8"/>
  <c r="G1174" i="13" s="1"/>
  <c r="I1174" s="1"/>
  <c r="J597" i="8"/>
  <c r="G536" i="13" s="1"/>
  <c r="I536" s="1"/>
  <c r="J613" i="8"/>
  <c r="E310" i="10" s="1"/>
  <c r="J629" i="8"/>
  <c r="E318" i="10" s="1"/>
  <c r="J645" i="8"/>
  <c r="G1036" i="13" s="1"/>
  <c r="I1036" s="1"/>
  <c r="J661" i="8"/>
  <c r="E334" i="10" s="1"/>
  <c r="J677" i="8"/>
  <c r="E342" i="10" s="1"/>
  <c r="J693" i="8"/>
  <c r="G187" i="13" s="1"/>
  <c r="I187" s="1"/>
  <c r="J709" i="8"/>
  <c r="J725"/>
  <c r="E366" i="10" s="1"/>
  <c r="J741" i="8"/>
  <c r="E374" i="10" s="1"/>
  <c r="J757" i="8"/>
  <c r="G901" i="13" s="1"/>
  <c r="I901" s="1"/>
  <c r="J773" i="8"/>
  <c r="E390" i="10" s="1"/>
  <c r="J789" i="8"/>
  <c r="G974" i="13" s="1"/>
  <c r="I974" s="1"/>
  <c r="J805" i="8"/>
  <c r="E406" i="10" s="1"/>
  <c r="J821" i="8"/>
  <c r="E414" i="10" s="1"/>
  <c r="J837" i="8"/>
  <c r="E422" i="10" s="1"/>
  <c r="J853" i="8"/>
  <c r="G1333" i="13" s="1"/>
  <c r="I1333" s="1"/>
  <c r="J869" i="8"/>
  <c r="E438" i="10" s="1"/>
  <c r="J885" i="8"/>
  <c r="E446" i="10" s="1"/>
  <c r="J901" i="8"/>
  <c r="G768" i="13" s="1"/>
  <c r="I768" s="1"/>
  <c r="J917" i="8"/>
  <c r="E462" i="10" s="1"/>
  <c r="J933" i="8"/>
  <c r="E470" i="10" s="1"/>
  <c r="J949" i="8"/>
  <c r="E478" i="10" s="1"/>
  <c r="J965" i="8"/>
  <c r="E486" i="10" s="1"/>
  <c r="J981" i="8"/>
  <c r="E494" i="10" s="1"/>
  <c r="J997" i="8"/>
  <c r="E502" i="10" s="1"/>
  <c r="J1013" i="8"/>
  <c r="E510" i="10" s="1"/>
  <c r="J1029" i="8"/>
  <c r="G847" i="13" s="1"/>
  <c r="I847" s="1"/>
  <c r="J1045" i="8"/>
  <c r="G919" i="13" s="1"/>
  <c r="I919" s="1"/>
  <c r="J1061" i="8"/>
  <c r="E534" i="10" s="1"/>
  <c r="J1077" i="8"/>
  <c r="G1063" i="13" s="1"/>
  <c r="I1063" s="1"/>
  <c r="J1095" i="8"/>
  <c r="C551" i="10" s="1"/>
  <c r="J1103" i="8"/>
  <c r="G425" i="13" s="1"/>
  <c r="I425" s="1"/>
  <c r="J1111" i="8"/>
  <c r="C559" i="10" s="1"/>
  <c r="J1119" i="8"/>
  <c r="C561" i="10" s="1"/>
  <c r="N489" i="8"/>
  <c r="N488"/>
  <c r="N493"/>
  <c r="N492"/>
  <c r="J561"/>
  <c r="E281" i="10" s="1"/>
  <c r="J577" i="8"/>
  <c r="E289" i="10" s="1"/>
  <c r="J593" i="8"/>
  <c r="G606" i="13" s="1"/>
  <c r="I606" s="1"/>
  <c r="J609" i="8"/>
  <c r="G181" i="13" s="1"/>
  <c r="I181" s="1"/>
  <c r="J625" i="8"/>
  <c r="G821" i="13" s="1"/>
  <c r="I821" s="1"/>
  <c r="J641" i="8"/>
  <c r="G467" i="13" s="1"/>
  <c r="I467" s="1"/>
  <c r="J657" i="8"/>
  <c r="E329" i="10" s="1"/>
  <c r="J673" i="8"/>
  <c r="E337" i="10" s="1"/>
  <c r="J689" i="8"/>
  <c r="E345" i="10" s="1"/>
  <c r="J705" i="8"/>
  <c r="E353" i="10" s="1"/>
  <c r="J721" i="8"/>
  <c r="E361" i="10" s="1"/>
  <c r="J737" i="8"/>
  <c r="G1254" i="13" s="1"/>
  <c r="I1254" s="1"/>
  <c r="J753" i="8"/>
  <c r="G48" i="13" s="1"/>
  <c r="I48" s="1"/>
  <c r="J769" i="8"/>
  <c r="E385" i="10" s="1"/>
  <c r="J785" i="8"/>
  <c r="G831" i="13" s="1"/>
  <c r="I831" s="1"/>
  <c r="J801" i="8"/>
  <c r="G1258" i="13" s="1"/>
  <c r="I1258" s="1"/>
  <c r="J817" i="8"/>
  <c r="E409" i="10" s="1"/>
  <c r="J833" i="8"/>
  <c r="E417" i="10" s="1"/>
  <c r="J849" i="8"/>
  <c r="E425" i="10" s="1"/>
  <c r="J865" i="8"/>
  <c r="G978" i="13" s="1"/>
  <c r="I978" s="1"/>
  <c r="J881" i="8"/>
  <c r="E441" i="10" s="1"/>
  <c r="J897" i="8"/>
  <c r="E449" i="10" s="1"/>
  <c r="J913" i="8"/>
  <c r="E457" i="10" s="1"/>
  <c r="J929" i="8"/>
  <c r="G59" i="13" s="1"/>
  <c r="I59" s="1"/>
  <c r="J945" i="8"/>
  <c r="G1267" i="13" s="1"/>
  <c r="I1267" s="1"/>
  <c r="J961" i="8"/>
  <c r="E481" i="10" s="1"/>
  <c r="J977" i="8"/>
  <c r="E489" i="10" s="1"/>
  <c r="J993" i="8"/>
  <c r="G1057" i="13" s="1"/>
  <c r="I1057" s="1"/>
  <c r="J1009" i="8"/>
  <c r="G419" i="13" s="1"/>
  <c r="I419" s="1"/>
  <c r="J1025" i="8"/>
  <c r="G704" i="13" s="1"/>
  <c r="I704" s="1"/>
  <c r="J1041" i="8"/>
  <c r="G1060" i="13" s="1"/>
  <c r="I1060" s="1"/>
  <c r="J1057" i="8"/>
  <c r="G1203" i="13" s="1"/>
  <c r="I1203" s="1"/>
  <c r="J1073" i="8"/>
  <c r="E537" i="10" s="1"/>
  <c r="J1089" i="8"/>
  <c r="G1134" i="13" s="1"/>
  <c r="I1134" s="1"/>
  <c r="J1097" i="8"/>
  <c r="E551" i="10" s="1"/>
  <c r="J1105" i="8"/>
  <c r="G1348" i="13" s="1"/>
  <c r="I1348" s="1"/>
  <c r="J1113" i="8"/>
  <c r="G852" i="13" s="1"/>
  <c r="I852" s="1"/>
  <c r="J1121" i="8"/>
  <c r="G1349" i="13" s="1"/>
  <c r="I1349" s="1"/>
  <c r="J1129" i="8"/>
  <c r="E567" i="10" s="1"/>
  <c r="N1134" i="8"/>
  <c r="N1137"/>
  <c r="N1135"/>
  <c r="L562"/>
  <c r="J562" s="1"/>
  <c r="L566"/>
  <c r="J566" s="1"/>
  <c r="L570"/>
  <c r="J570" s="1"/>
  <c r="B288" i="10" s="1"/>
  <c r="F288" s="1"/>
  <c r="L574" i="8"/>
  <c r="J574" s="1"/>
  <c r="B289" i="10" s="1"/>
  <c r="F289" s="1"/>
  <c r="L578" i="8"/>
  <c r="J578" s="1"/>
  <c r="L582"/>
  <c r="J582" s="1"/>
  <c r="L586"/>
  <c r="J586" s="1"/>
  <c r="G1103" i="13" s="1"/>
  <c r="I1103" s="1"/>
  <c r="L590" i="8"/>
  <c r="J590" s="1"/>
  <c r="B297" i="10" s="1"/>
  <c r="L594" i="8"/>
  <c r="J594" s="1"/>
  <c r="L598"/>
  <c r="J598" s="1"/>
  <c r="G962" i="13" s="1"/>
  <c r="I962" s="1"/>
  <c r="L602" i="8"/>
  <c r="J602" s="1"/>
  <c r="B304" i="10" s="1"/>
  <c r="F304" s="1"/>
  <c r="L606" i="8"/>
  <c r="J606" s="1"/>
  <c r="B305" i="10" s="1"/>
  <c r="L610" i="8"/>
  <c r="J610" s="1"/>
  <c r="L614"/>
  <c r="J614" s="1"/>
  <c r="G111" i="13" s="1"/>
  <c r="I111" s="1"/>
  <c r="L618" i="8"/>
  <c r="J618" s="1"/>
  <c r="G253" i="13" s="1"/>
  <c r="I253" s="1"/>
  <c r="L622" i="8"/>
  <c r="J622" s="1"/>
  <c r="L626"/>
  <c r="J626" s="1"/>
  <c r="L630"/>
  <c r="J630" s="1"/>
  <c r="L634"/>
  <c r="J634" s="1"/>
  <c r="B320" i="10" s="1"/>
  <c r="F320" s="1"/>
  <c r="L638" i="8"/>
  <c r="J638" s="1"/>
  <c r="G1035" i="13" s="1"/>
  <c r="I1035" s="1"/>
  <c r="L642" i="8"/>
  <c r="J642" s="1"/>
  <c r="L646"/>
  <c r="J646" s="1"/>
  <c r="L650"/>
  <c r="J650" s="1"/>
  <c r="B328" i="10" s="1"/>
  <c r="F328" s="1"/>
  <c r="L654" i="8"/>
  <c r="J654" s="1"/>
  <c r="G1320" i="13" s="1"/>
  <c r="I1320" s="1"/>
  <c r="L658" i="8"/>
  <c r="J658" s="1"/>
  <c r="L662"/>
  <c r="J662" s="1"/>
  <c r="G185" i="13" s="1"/>
  <c r="I185" s="1"/>
  <c r="L666" i="8"/>
  <c r="J666" s="1"/>
  <c r="G611" i="13" s="1"/>
  <c r="I611" s="1"/>
  <c r="L670" i="8"/>
  <c r="J670" s="1"/>
  <c r="G1463" i="13" s="1"/>
  <c r="I1463" s="1"/>
  <c r="L674" i="8"/>
  <c r="J674" s="1"/>
  <c r="L678"/>
  <c r="J678" s="1"/>
  <c r="L682"/>
  <c r="J682" s="1"/>
  <c r="B344" i="10" s="1"/>
  <c r="F344" s="1"/>
  <c r="L686" i="8"/>
  <c r="J686" s="1"/>
  <c r="G1180" i="13" s="1"/>
  <c r="I1180" s="1"/>
  <c r="L690" i="8"/>
  <c r="J690" s="1"/>
  <c r="L694"/>
  <c r="J694" s="1"/>
  <c r="L698"/>
  <c r="J698" s="1"/>
  <c r="G1039" i="13" s="1"/>
  <c r="I1039" s="1"/>
  <c r="L702" i="8"/>
  <c r="J702" s="1"/>
  <c r="B353" i="10" s="1"/>
  <c r="F353" s="1"/>
  <c r="L706" i="8"/>
  <c r="J706" s="1"/>
  <c r="L710"/>
  <c r="J710" s="1"/>
  <c r="L714"/>
  <c r="J714" s="1"/>
  <c r="G969" i="13" s="1"/>
  <c r="I969" s="1"/>
  <c r="L718" i="8"/>
  <c r="J718" s="1"/>
  <c r="L722"/>
  <c r="J722" s="1"/>
  <c r="L726"/>
  <c r="J726" s="1"/>
  <c r="B367" i="10" s="1"/>
  <c r="F367" s="1"/>
  <c r="L730" i="8"/>
  <c r="J730" s="1"/>
  <c r="B368" i="10" s="1"/>
  <c r="F368" s="1"/>
  <c r="L734" i="8"/>
  <c r="J734" s="1"/>
  <c r="B369" i="10" s="1"/>
  <c r="L738" i="8"/>
  <c r="J738" s="1"/>
  <c r="L742"/>
  <c r="J742" s="1"/>
  <c r="L746"/>
  <c r="J746" s="1"/>
  <c r="B376" i="10" s="1"/>
  <c r="F376" s="1"/>
  <c r="L750" i="8"/>
  <c r="J750" s="1"/>
  <c r="G1326" i="13" s="1"/>
  <c r="I1326" s="1"/>
  <c r="L754" i="8"/>
  <c r="J754" s="1"/>
  <c r="L758"/>
  <c r="J758" s="1"/>
  <c r="L762"/>
  <c r="J762" s="1"/>
  <c r="G1185" i="13" s="1"/>
  <c r="I1185" s="1"/>
  <c r="L766" i="8"/>
  <c r="J766" s="1"/>
  <c r="G404" i="13" s="1"/>
  <c r="I404" s="1"/>
  <c r="L770" i="8"/>
  <c r="J770" s="1"/>
  <c r="L774"/>
  <c r="J774" s="1"/>
  <c r="L778"/>
  <c r="J778" s="1"/>
  <c r="B392" i="10" s="1"/>
  <c r="F392" s="1"/>
  <c r="L782" i="8"/>
  <c r="J782" s="1"/>
  <c r="G547" i="13" s="1"/>
  <c r="I547" s="1"/>
  <c r="L786" i="8"/>
  <c r="J786" s="1"/>
  <c r="L790"/>
  <c r="J790" s="1"/>
  <c r="L794"/>
  <c r="J794" s="1"/>
  <c r="L798"/>
  <c r="J798" s="1"/>
  <c r="B401" i="10" s="1"/>
  <c r="L802" i="8"/>
  <c r="J802" s="1"/>
  <c r="L806"/>
  <c r="J806" s="1"/>
  <c r="L810"/>
  <c r="J810" s="1"/>
  <c r="B408" i="10" s="1"/>
  <c r="F408" s="1"/>
  <c r="L814" i="8"/>
  <c r="J814" s="1"/>
  <c r="L818"/>
  <c r="J818" s="1"/>
  <c r="L822"/>
  <c r="J822" s="1"/>
  <c r="L826"/>
  <c r="J826" s="1"/>
  <c r="B416" i="10" s="1"/>
  <c r="F416" s="1"/>
  <c r="L830" i="8"/>
  <c r="J830" s="1"/>
  <c r="B417" i="10" s="1"/>
  <c r="F417" s="1"/>
  <c r="L834" i="8"/>
  <c r="J834" s="1"/>
  <c r="L838"/>
  <c r="J838" s="1"/>
  <c r="L842"/>
  <c r="J842" s="1"/>
  <c r="G1261" i="13" s="1"/>
  <c r="I1261" s="1"/>
  <c r="L846" i="8"/>
  <c r="J846" s="1"/>
  <c r="L850"/>
  <c r="J850" s="1"/>
  <c r="L854"/>
  <c r="J854" s="1"/>
  <c r="L858"/>
  <c r="J858" s="1"/>
  <c r="L862"/>
  <c r="J862" s="1"/>
  <c r="B433" i="10" s="1"/>
  <c r="L866" i="8"/>
  <c r="J866" s="1"/>
  <c r="L870"/>
  <c r="J870" s="1"/>
  <c r="L874"/>
  <c r="J874" s="1"/>
  <c r="B440" i="10" s="1"/>
  <c r="F440" s="1"/>
  <c r="L878" i="8"/>
  <c r="J878" s="1"/>
  <c r="L882"/>
  <c r="J882" s="1"/>
  <c r="L886"/>
  <c r="J886" s="1"/>
  <c r="G1335" i="13" s="1"/>
  <c r="I1335" s="1"/>
  <c r="L890" i="8"/>
  <c r="J890" s="1"/>
  <c r="B448" i="10" s="1"/>
  <c r="F448" s="1"/>
  <c r="L894" i="8"/>
  <c r="J894" s="1"/>
  <c r="B449" i="10" s="1"/>
  <c r="F449" s="1"/>
  <c r="L898" i="8"/>
  <c r="J898" s="1"/>
  <c r="L902"/>
  <c r="J902" s="1"/>
  <c r="L906"/>
  <c r="J906" s="1"/>
  <c r="G271" i="13" s="1"/>
  <c r="I271" s="1"/>
  <c r="L910" i="8"/>
  <c r="J910" s="1"/>
  <c r="G839" i="13" s="1"/>
  <c r="I839" s="1"/>
  <c r="L914" i="8"/>
  <c r="J914" s="1"/>
  <c r="L918"/>
  <c r="J918" s="1"/>
  <c r="B463" i="10" s="1"/>
  <c r="F463" s="1"/>
  <c r="L922" i="8"/>
  <c r="J922" s="1"/>
  <c r="B464" i="10" s="1"/>
  <c r="F464" s="1"/>
  <c r="L926" i="8"/>
  <c r="J926" s="1"/>
  <c r="G1337" i="13" s="1"/>
  <c r="I1337" s="1"/>
  <c r="L930" i="8"/>
  <c r="J930" s="1"/>
  <c r="L934"/>
  <c r="J934" s="1"/>
  <c r="L938"/>
  <c r="J938" s="1"/>
  <c r="B472" i="10" s="1"/>
  <c r="F472" s="1"/>
  <c r="L942" i="8"/>
  <c r="J942" s="1"/>
  <c r="L946"/>
  <c r="J946" s="1"/>
  <c r="L950"/>
  <c r="J950" s="1"/>
  <c r="L954"/>
  <c r="J954" s="1"/>
  <c r="B480" i="10" s="1"/>
  <c r="F480" s="1"/>
  <c r="L958" i="8"/>
  <c r="J958" s="1"/>
  <c r="B481" i="10" s="1"/>
  <c r="F481" s="1"/>
  <c r="L962" i="8"/>
  <c r="J962" s="1"/>
  <c r="L966"/>
  <c r="J966" s="1"/>
  <c r="G843" i="13" s="1"/>
  <c r="I843" s="1"/>
  <c r="L970" i="8"/>
  <c r="J970" s="1"/>
  <c r="B488" i="10" s="1"/>
  <c r="F488" s="1"/>
  <c r="L974" i="8"/>
  <c r="J974" s="1"/>
  <c r="L978"/>
  <c r="J978" s="1"/>
  <c r="L982"/>
  <c r="J982" s="1"/>
  <c r="L986"/>
  <c r="J986" s="1"/>
  <c r="B496" i="10" s="1"/>
  <c r="F496" s="1"/>
  <c r="L990" i="8"/>
  <c r="J990" s="1"/>
  <c r="B497" i="10" s="1"/>
  <c r="L994" i="8"/>
  <c r="J994" s="1"/>
  <c r="L998"/>
  <c r="J998" s="1"/>
  <c r="L1002"/>
  <c r="J1002" s="1"/>
  <c r="B504" i="10" s="1"/>
  <c r="F504" s="1"/>
  <c r="L1006" i="8"/>
  <c r="J1006" s="1"/>
  <c r="L1010"/>
  <c r="J1010" s="1"/>
  <c r="L1014"/>
  <c r="J1014" s="1"/>
  <c r="L1018"/>
  <c r="J1018" s="1"/>
  <c r="G491" i="13" s="1"/>
  <c r="I491" s="1"/>
  <c r="L1022" i="8"/>
  <c r="J1022" s="1"/>
  <c r="G65" i="13" s="1"/>
  <c r="I65" s="1"/>
  <c r="L1026" i="8"/>
  <c r="J1026" s="1"/>
  <c r="L1030"/>
  <c r="J1030" s="1"/>
  <c r="L1034"/>
  <c r="J1034" s="1"/>
  <c r="G350" i="13" s="1"/>
  <c r="I350" s="1"/>
  <c r="L1038" i="8"/>
  <c r="J1038" s="1"/>
  <c r="G989" i="13" s="1"/>
  <c r="I989" s="1"/>
  <c r="L1042" i="8"/>
  <c r="J1042" s="1"/>
  <c r="L1046"/>
  <c r="J1046" s="1"/>
  <c r="L1050"/>
  <c r="J1050" s="1"/>
  <c r="B528" i="10" s="1"/>
  <c r="F528" s="1"/>
  <c r="L1054" i="8"/>
  <c r="J1054" s="1"/>
  <c r="B529" i="10" s="1"/>
  <c r="L1058" i="8"/>
  <c r="J1058" s="1"/>
  <c r="L1062"/>
  <c r="J1062" s="1"/>
  <c r="L1066"/>
  <c r="J1066" s="1"/>
  <c r="G778" i="13" s="1"/>
  <c r="I778" s="1"/>
  <c r="L1070" i="8"/>
  <c r="J1070" s="1"/>
  <c r="G1204" i="13" s="1"/>
  <c r="I1204" s="1"/>
  <c r="L1074" i="8"/>
  <c r="J1074" s="1"/>
  <c r="L1078"/>
  <c r="J1078" s="1"/>
  <c r="G495" i="13" s="1"/>
  <c r="I495" s="1"/>
  <c r="L1082" i="8"/>
  <c r="J1082" s="1"/>
  <c r="G1276" i="13" s="1"/>
  <c r="I1276" s="1"/>
  <c r="L1086" i="8"/>
  <c r="J1086" s="1"/>
  <c r="G708" i="13" s="1"/>
  <c r="I708" s="1"/>
  <c r="L1090" i="8"/>
  <c r="J1090" s="1"/>
  <c r="L1094"/>
  <c r="J1094" s="1"/>
  <c r="L1098"/>
  <c r="J1098" s="1"/>
  <c r="B552" i="10" s="1"/>
  <c r="F552" s="1"/>
  <c r="L1102" i="8"/>
  <c r="J1102" s="1"/>
  <c r="G1135" i="13" s="1"/>
  <c r="I1135" s="1"/>
  <c r="L1106" i="8"/>
  <c r="J1106" s="1"/>
  <c r="L1110"/>
  <c r="J1110" s="1"/>
  <c r="L1114"/>
  <c r="J1114" s="1"/>
  <c r="G213" i="13" s="1"/>
  <c r="I213" s="1"/>
  <c r="L1118" i="8"/>
  <c r="J1118" s="1"/>
  <c r="G1207" i="13" s="1"/>
  <c r="I1207" s="1"/>
  <c r="L1122" i="8"/>
  <c r="J1122" s="1"/>
  <c r="I488"/>
  <c r="I492"/>
  <c r="I496"/>
  <c r="I500"/>
  <c r="I504"/>
  <c r="I508"/>
  <c r="I512"/>
  <c r="I516"/>
  <c r="I520"/>
  <c r="I524"/>
  <c r="I528"/>
  <c r="I532"/>
  <c r="I536"/>
  <c r="I540"/>
  <c r="I544"/>
  <c r="I548"/>
  <c r="I552"/>
  <c r="I556"/>
  <c r="I560"/>
  <c r="I564"/>
  <c r="I568"/>
  <c r="I572"/>
  <c r="I576"/>
  <c r="I580"/>
  <c r="I584"/>
  <c r="I588"/>
  <c r="I592"/>
  <c r="I596"/>
  <c r="I600"/>
  <c r="I604"/>
  <c r="I608"/>
  <c r="I612"/>
  <c r="I616"/>
  <c r="I620"/>
  <c r="I624"/>
  <c r="I628"/>
  <c r="I632"/>
  <c r="I636"/>
  <c r="I640"/>
  <c r="I644"/>
  <c r="I648"/>
  <c r="I652"/>
  <c r="I656"/>
  <c r="I660"/>
  <c r="I664"/>
  <c r="I668"/>
  <c r="I672"/>
  <c r="I676"/>
  <c r="I680"/>
  <c r="I684"/>
  <c r="I688"/>
  <c r="I692"/>
  <c r="I696"/>
  <c r="I700"/>
  <c r="I704"/>
  <c r="I708"/>
  <c r="I712"/>
  <c r="I716"/>
  <c r="I720"/>
  <c r="I724"/>
  <c r="I728"/>
  <c r="I732"/>
  <c r="I736"/>
  <c r="I740"/>
  <c r="I744"/>
  <c r="I748"/>
  <c r="I752"/>
  <c r="I756"/>
  <c r="I760"/>
  <c r="I764"/>
  <c r="I768"/>
  <c r="I772"/>
  <c r="I776"/>
  <c r="I780"/>
  <c r="I784"/>
  <c r="I788"/>
  <c r="I792"/>
  <c r="I796"/>
  <c r="I800"/>
  <c r="I804"/>
  <c r="I808"/>
  <c r="I812"/>
  <c r="I816"/>
  <c r="I820"/>
  <c r="I824"/>
  <c r="I828"/>
  <c r="I832"/>
  <c r="I836"/>
  <c r="I840"/>
  <c r="I844"/>
  <c r="I848"/>
  <c r="I852"/>
  <c r="I856"/>
  <c r="I860"/>
  <c r="I864"/>
  <c r="I868"/>
  <c r="I872"/>
  <c r="I876"/>
  <c r="I880"/>
  <c r="I884"/>
  <c r="I888"/>
  <c r="I892"/>
  <c r="I896"/>
  <c r="I900"/>
  <c r="I904"/>
  <c r="I908"/>
  <c r="I912"/>
  <c r="I916"/>
  <c r="I920"/>
  <c r="I924"/>
  <c r="I928"/>
  <c r="I932"/>
  <c r="I936"/>
  <c r="I940"/>
  <c r="I944"/>
  <c r="I948"/>
  <c r="I952"/>
  <c r="I956"/>
  <c r="I960"/>
  <c r="I964"/>
  <c r="I968"/>
  <c r="I972"/>
  <c r="I976"/>
  <c r="I980"/>
  <c r="I984"/>
  <c r="I988"/>
  <c r="I992"/>
  <c r="I996"/>
  <c r="I1000"/>
  <c r="I1004"/>
  <c r="I1008"/>
  <c r="I1012"/>
  <c r="I1016"/>
  <c r="I1020"/>
  <c r="I1024"/>
  <c r="I1028"/>
  <c r="I1032"/>
  <c r="I1036"/>
  <c r="I1040"/>
  <c r="I1044"/>
  <c r="I1048"/>
  <c r="I1052"/>
  <c r="I1056"/>
  <c r="I1060"/>
  <c r="I1064"/>
  <c r="I1068"/>
  <c r="I1072"/>
  <c r="I1076"/>
  <c r="I1080"/>
  <c r="I1084"/>
  <c r="I1088"/>
  <c r="I1092"/>
  <c r="I1096"/>
  <c r="I1100"/>
  <c r="I1104"/>
  <c r="I1108"/>
  <c r="I1112"/>
  <c r="I1116"/>
  <c r="I1120"/>
  <c r="L1125"/>
  <c r="J1125" s="1"/>
  <c r="J1126"/>
  <c r="L1129"/>
  <c r="J1130"/>
  <c r="B568" i="10" s="1"/>
  <c r="I1131" i="8"/>
  <c r="J1133"/>
  <c r="E568" i="10" s="1"/>
  <c r="I493" i="8"/>
  <c r="I497"/>
  <c r="I501"/>
  <c r="I505"/>
  <c r="I509"/>
  <c r="I513"/>
  <c r="I517"/>
  <c r="I521"/>
  <c r="I525"/>
  <c r="I529"/>
  <c r="I533"/>
  <c r="I537"/>
  <c r="I541"/>
  <c r="I545"/>
  <c r="I549"/>
  <c r="I553"/>
  <c r="I557"/>
  <c r="I561"/>
  <c r="I565"/>
  <c r="I569"/>
  <c r="I573"/>
  <c r="I577"/>
  <c r="I581"/>
  <c r="I585"/>
  <c r="I589"/>
  <c r="I593"/>
  <c r="I597"/>
  <c r="I601"/>
  <c r="I605"/>
  <c r="I609"/>
  <c r="I613"/>
  <c r="I617"/>
  <c r="I621"/>
  <c r="I625"/>
  <c r="I629"/>
  <c r="I633"/>
  <c r="I637"/>
  <c r="I641"/>
  <c r="I645"/>
  <c r="I649"/>
  <c r="I653"/>
  <c r="I657"/>
  <c r="I661"/>
  <c r="I665"/>
  <c r="I669"/>
  <c r="I673"/>
  <c r="I677"/>
  <c r="I681"/>
  <c r="I685"/>
  <c r="I689"/>
  <c r="I693"/>
  <c r="I697"/>
  <c r="I701"/>
  <c r="I705"/>
  <c r="I709"/>
  <c r="I713"/>
  <c r="I717"/>
  <c r="I721"/>
  <c r="I725"/>
  <c r="I729"/>
  <c r="I733"/>
  <c r="I737"/>
  <c r="I741"/>
  <c r="I745"/>
  <c r="I749"/>
  <c r="I753"/>
  <c r="I757"/>
  <c r="I761"/>
  <c r="I765"/>
  <c r="I769"/>
  <c r="I773"/>
  <c r="I777"/>
  <c r="I781"/>
  <c r="I785"/>
  <c r="I789"/>
  <c r="I793"/>
  <c r="I797"/>
  <c r="I801"/>
  <c r="I805"/>
  <c r="I809"/>
  <c r="I813"/>
  <c r="I817"/>
  <c r="I821"/>
  <c r="I825"/>
  <c r="I829"/>
  <c r="I833"/>
  <c r="I837"/>
  <c r="I841"/>
  <c r="I845"/>
  <c r="I849"/>
  <c r="I853"/>
  <c r="I857"/>
  <c r="I861"/>
  <c r="I865"/>
  <c r="I869"/>
  <c r="I873"/>
  <c r="I877"/>
  <c r="I881"/>
  <c r="I885"/>
  <c r="I889"/>
  <c r="I893"/>
  <c r="I897"/>
  <c r="I901"/>
  <c r="I905"/>
  <c r="I909"/>
  <c r="I913"/>
  <c r="I917"/>
  <c r="I921"/>
  <c r="I925"/>
  <c r="I929"/>
  <c r="I933"/>
  <c r="I937"/>
  <c r="I941"/>
  <c r="I945"/>
  <c r="I949"/>
  <c r="I953"/>
  <c r="I957"/>
  <c r="I961"/>
  <c r="I965"/>
  <c r="I969"/>
  <c r="I973"/>
  <c r="I977"/>
  <c r="I981"/>
  <c r="I985"/>
  <c r="I989"/>
  <c r="I993"/>
  <c r="I997"/>
  <c r="I1001"/>
  <c r="I1005"/>
  <c r="I1009"/>
  <c r="I1013"/>
  <c r="I1017"/>
  <c r="I1021"/>
  <c r="I1025"/>
  <c r="I1029"/>
  <c r="I1033"/>
  <c r="I1037"/>
  <c r="I1041"/>
  <c r="I1045"/>
  <c r="I1049"/>
  <c r="I1053"/>
  <c r="I1057"/>
  <c r="I1061"/>
  <c r="I1065"/>
  <c r="I1069"/>
  <c r="I1073"/>
  <c r="I1077"/>
  <c r="I1081"/>
  <c r="I1085"/>
  <c r="I1089"/>
  <c r="N1136"/>
  <c r="I1137"/>
  <c r="F402" i="12"/>
  <c r="F474"/>
  <c r="F490"/>
  <c r="F558"/>
  <c r="F622"/>
  <c r="F398"/>
  <c r="F414"/>
  <c r="F470"/>
  <c r="F478"/>
  <c r="F486"/>
  <c r="G1455" i="13"/>
  <c r="I1455" s="1"/>
  <c r="G1512"/>
  <c r="I1512" s="1"/>
  <c r="G1380"/>
  <c r="I1380" s="1"/>
  <c r="G1423"/>
  <c r="I1423" s="1"/>
  <c r="G1364"/>
  <c r="I1364" s="1"/>
  <c r="G1391"/>
  <c r="I1391" s="1"/>
  <c r="G1476"/>
  <c r="I1476" s="1"/>
  <c r="G1444"/>
  <c r="I1444" s="1"/>
  <c r="G1487"/>
  <c r="I1487" s="1"/>
  <c r="G1367"/>
  <c r="I1367" s="1"/>
  <c r="G1383"/>
  <c r="I1383" s="1"/>
  <c r="G1404"/>
  <c r="I1404" s="1"/>
  <c r="G1415"/>
  <c r="I1415" s="1"/>
  <c r="G1436"/>
  <c r="I1436" s="1"/>
  <c r="G1447"/>
  <c r="I1447" s="1"/>
  <c r="G1479"/>
  <c r="I1479" s="1"/>
  <c r="G1496"/>
  <c r="I1496" s="1"/>
  <c r="G1560"/>
  <c r="I1560" s="1"/>
  <c r="G1372"/>
  <c r="I1372" s="1"/>
  <c r="G1396"/>
  <c r="I1396" s="1"/>
  <c r="G1407"/>
  <c r="I1407" s="1"/>
  <c r="G1428"/>
  <c r="I1428" s="1"/>
  <c r="G1439"/>
  <c r="I1439" s="1"/>
  <c r="G1460"/>
  <c r="I1460" s="1"/>
  <c r="G1471"/>
  <c r="I1471" s="1"/>
  <c r="G1544"/>
  <c r="I1544" s="1"/>
  <c r="G1359"/>
  <c r="I1359" s="1"/>
  <c r="G1375"/>
  <c r="I1375" s="1"/>
  <c r="G1388"/>
  <c r="I1388" s="1"/>
  <c r="G1399"/>
  <c r="I1399" s="1"/>
  <c r="G1420"/>
  <c r="I1420" s="1"/>
  <c r="G1431"/>
  <c r="I1431" s="1"/>
  <c r="G1452"/>
  <c r="I1452" s="1"/>
  <c r="G1484"/>
  <c r="I1484" s="1"/>
  <c r="G1528"/>
  <c r="I1528" s="1"/>
  <c r="G1492"/>
  <c r="I1492" s="1"/>
  <c r="G1508"/>
  <c r="I1508" s="1"/>
  <c r="G1524"/>
  <c r="I1524" s="1"/>
  <c r="G1540"/>
  <c r="I1540" s="1"/>
  <c r="G1556"/>
  <c r="I1556" s="1"/>
  <c r="G1360"/>
  <c r="I1360" s="1"/>
  <c r="G1363"/>
  <c r="I1363" s="1"/>
  <c r="G1368"/>
  <c r="I1368" s="1"/>
  <c r="G1371"/>
  <c r="I1371" s="1"/>
  <c r="G1376"/>
  <c r="I1376" s="1"/>
  <c r="G1379"/>
  <c r="I1379" s="1"/>
  <c r="G1384"/>
  <c r="I1384" s="1"/>
  <c r="G1387"/>
  <c r="I1387" s="1"/>
  <c r="G1392"/>
  <c r="I1392" s="1"/>
  <c r="G1400"/>
  <c r="I1400" s="1"/>
  <c r="G1403"/>
  <c r="I1403" s="1"/>
  <c r="G1408"/>
  <c r="I1408" s="1"/>
  <c r="G1411"/>
  <c r="I1411" s="1"/>
  <c r="G1416"/>
  <c r="I1416" s="1"/>
  <c r="G1419"/>
  <c r="I1419" s="1"/>
  <c r="G1424"/>
  <c r="I1424" s="1"/>
  <c r="G1427"/>
  <c r="I1427" s="1"/>
  <c r="G1432"/>
  <c r="I1432" s="1"/>
  <c r="G1435"/>
  <c r="I1435" s="1"/>
  <c r="G1440"/>
  <c r="I1440" s="1"/>
  <c r="G1443"/>
  <c r="I1443" s="1"/>
  <c r="G1448"/>
  <c r="I1448" s="1"/>
  <c r="G1451"/>
  <c r="I1451" s="1"/>
  <c r="G1456"/>
  <c r="I1456" s="1"/>
  <c r="G1459"/>
  <c r="I1459" s="1"/>
  <c r="G1464"/>
  <c r="I1464" s="1"/>
  <c r="G1467"/>
  <c r="I1467" s="1"/>
  <c r="G1472"/>
  <c r="I1472" s="1"/>
  <c r="G1475"/>
  <c r="I1475" s="1"/>
  <c r="G1480"/>
  <c r="I1480" s="1"/>
  <c r="G1483"/>
  <c r="I1483" s="1"/>
  <c r="G1488"/>
  <c r="I1488" s="1"/>
  <c r="G1504"/>
  <c r="I1504" s="1"/>
  <c r="G1520"/>
  <c r="I1520" s="1"/>
  <c r="G1536"/>
  <c r="I1536" s="1"/>
  <c r="G1552"/>
  <c r="I1552" s="1"/>
  <c r="G1500"/>
  <c r="I1500" s="1"/>
  <c r="G1516"/>
  <c r="I1516" s="1"/>
  <c r="G1532"/>
  <c r="I1532" s="1"/>
  <c r="G1548"/>
  <c r="I1548" s="1"/>
  <c r="G1357"/>
  <c r="I1357" s="1"/>
  <c r="G1361"/>
  <c r="I1361" s="1"/>
  <c r="G1365"/>
  <c r="I1365" s="1"/>
  <c r="G1369"/>
  <c r="I1369" s="1"/>
  <c r="G1373"/>
  <c r="I1373" s="1"/>
  <c r="G1377"/>
  <c r="I1377" s="1"/>
  <c r="G1381"/>
  <c r="I1381" s="1"/>
  <c r="G1385"/>
  <c r="I1385" s="1"/>
  <c r="G1389"/>
  <c r="I1389" s="1"/>
  <c r="G1393"/>
  <c r="I1393" s="1"/>
  <c r="G1397"/>
  <c r="I1397" s="1"/>
  <c r="G1401"/>
  <c r="I1401" s="1"/>
  <c r="G1405"/>
  <c r="I1405" s="1"/>
  <c r="G1409"/>
  <c r="I1409" s="1"/>
  <c r="G1413"/>
  <c r="I1413" s="1"/>
  <c r="G1417"/>
  <c r="I1417" s="1"/>
  <c r="G1421"/>
  <c r="I1421" s="1"/>
  <c r="G1425"/>
  <c r="I1425" s="1"/>
  <c r="G1429"/>
  <c r="I1429" s="1"/>
  <c r="G1433"/>
  <c r="I1433" s="1"/>
  <c r="G1437"/>
  <c r="I1437" s="1"/>
  <c r="G1441"/>
  <c r="I1441" s="1"/>
  <c r="G1445"/>
  <c r="I1445" s="1"/>
  <c r="G1449"/>
  <c r="I1449" s="1"/>
  <c r="G1453"/>
  <c r="I1453" s="1"/>
  <c r="G1457"/>
  <c r="I1457" s="1"/>
  <c r="G1461"/>
  <c r="I1461" s="1"/>
  <c r="G1465"/>
  <c r="I1465" s="1"/>
  <c r="G1469"/>
  <c r="I1469" s="1"/>
  <c r="G1473"/>
  <c r="I1473" s="1"/>
  <c r="G1477"/>
  <c r="I1477" s="1"/>
  <c r="G1481"/>
  <c r="I1481" s="1"/>
  <c r="G1485"/>
  <c r="I1485" s="1"/>
  <c r="G1489"/>
  <c r="I1489" s="1"/>
  <c r="G1493"/>
  <c r="I1493" s="1"/>
  <c r="H21" i="14" s="1"/>
  <c r="G1497" i="13"/>
  <c r="I1497" s="1"/>
  <c r="G1501"/>
  <c r="I1501" s="1"/>
  <c r="G1505"/>
  <c r="I1505" s="1"/>
  <c r="G1509"/>
  <c r="I1509" s="1"/>
  <c r="G1513"/>
  <c r="I1513" s="1"/>
  <c r="G1517"/>
  <c r="I1517" s="1"/>
  <c r="G1521"/>
  <c r="I1521" s="1"/>
  <c r="G1525"/>
  <c r="I1525" s="1"/>
  <c r="G1529"/>
  <c r="I1529" s="1"/>
  <c r="G1533"/>
  <c r="I1533" s="1"/>
  <c r="G1537"/>
  <c r="I1537" s="1"/>
  <c r="G1541"/>
  <c r="I1541" s="1"/>
  <c r="G1545"/>
  <c r="I1545" s="1"/>
  <c r="G1549"/>
  <c r="I1549" s="1"/>
  <c r="G1553"/>
  <c r="I1553" s="1"/>
  <c r="G1557"/>
  <c r="I1557" s="1"/>
  <c r="G1561"/>
  <c r="I1561" s="1"/>
  <c r="G1358"/>
  <c r="I1358" s="1"/>
  <c r="G1362"/>
  <c r="I1362" s="1"/>
  <c r="G1366"/>
  <c r="I1366" s="1"/>
  <c r="G1370"/>
  <c r="I1370" s="1"/>
  <c r="G1374"/>
  <c r="I1374" s="1"/>
  <c r="G1378"/>
  <c r="I1378" s="1"/>
  <c r="G1382"/>
  <c r="I1382" s="1"/>
  <c r="G1386"/>
  <c r="I1386" s="1"/>
  <c r="G1390"/>
  <c r="I1390" s="1"/>
  <c r="G1394"/>
  <c r="I1394" s="1"/>
  <c r="G1398"/>
  <c r="I1398" s="1"/>
  <c r="G1402"/>
  <c r="I1402" s="1"/>
  <c r="G1406"/>
  <c r="I1406" s="1"/>
  <c r="G1410"/>
  <c r="I1410" s="1"/>
  <c r="G1414"/>
  <c r="I1414" s="1"/>
  <c r="G1418"/>
  <c r="I1418" s="1"/>
  <c r="G1426"/>
  <c r="I1426" s="1"/>
  <c r="G1430"/>
  <c r="I1430" s="1"/>
  <c r="G1434"/>
  <c r="I1434" s="1"/>
  <c r="G1438"/>
  <c r="I1438" s="1"/>
  <c r="G1442"/>
  <c r="I1442" s="1"/>
  <c r="G1446"/>
  <c r="I1446" s="1"/>
  <c r="G1450"/>
  <c r="I1450" s="1"/>
  <c r="G1454"/>
  <c r="I1454" s="1"/>
  <c r="G1458"/>
  <c r="I1458" s="1"/>
  <c r="G1462"/>
  <c r="I1462" s="1"/>
  <c r="G1466"/>
  <c r="I1466" s="1"/>
  <c r="G1470"/>
  <c r="I1470" s="1"/>
  <c r="G1474"/>
  <c r="I1474" s="1"/>
  <c r="G1478"/>
  <c r="I1478" s="1"/>
  <c r="G1482"/>
  <c r="I1482" s="1"/>
  <c r="G1486"/>
  <c r="I1486" s="1"/>
  <c r="G1490"/>
  <c r="I1490" s="1"/>
  <c r="G1494"/>
  <c r="I1494" s="1"/>
  <c r="G1498"/>
  <c r="I1498" s="1"/>
  <c r="G1502"/>
  <c r="I1502" s="1"/>
  <c r="G1506"/>
  <c r="I1506" s="1"/>
  <c r="G1510"/>
  <c r="I1510" s="1"/>
  <c r="G1514"/>
  <c r="I1514" s="1"/>
  <c r="G1518"/>
  <c r="I1518" s="1"/>
  <c r="G1522"/>
  <c r="I1522" s="1"/>
  <c r="G1526"/>
  <c r="I1526" s="1"/>
  <c r="G1530"/>
  <c r="I1530" s="1"/>
  <c r="G1534"/>
  <c r="I1534" s="1"/>
  <c r="G1538"/>
  <c r="I1538" s="1"/>
  <c r="G1542"/>
  <c r="I1542" s="1"/>
  <c r="G1546"/>
  <c r="I1546" s="1"/>
  <c r="G1550"/>
  <c r="I1550" s="1"/>
  <c r="G1554"/>
  <c r="I1554" s="1"/>
  <c r="G1558"/>
  <c r="I1558" s="1"/>
  <c r="G1562"/>
  <c r="I1562" s="1"/>
  <c r="G1491"/>
  <c r="I1491" s="1"/>
  <c r="G1495"/>
  <c r="I1495" s="1"/>
  <c r="G1499"/>
  <c r="I1499" s="1"/>
  <c r="G1503"/>
  <c r="I1503" s="1"/>
  <c r="G1507"/>
  <c r="I1507" s="1"/>
  <c r="G1511"/>
  <c r="I1511" s="1"/>
  <c r="G1515"/>
  <c r="I1515" s="1"/>
  <c r="G1519"/>
  <c r="I1519" s="1"/>
  <c r="G1523"/>
  <c r="I1523" s="1"/>
  <c r="G1527"/>
  <c r="I1527" s="1"/>
  <c r="G1531"/>
  <c r="I1531" s="1"/>
  <c r="G1535"/>
  <c r="I1535" s="1"/>
  <c r="G1539"/>
  <c r="I1539" s="1"/>
  <c r="G1543"/>
  <c r="I1543" s="1"/>
  <c r="G1547"/>
  <c r="I1547" s="1"/>
  <c r="G1551"/>
  <c r="I1551" s="1"/>
  <c r="G1555"/>
  <c r="I1555" s="1"/>
  <c r="G1559"/>
  <c r="I1559" s="1"/>
  <c r="G1563"/>
  <c r="I1563" s="1"/>
  <c r="J7" i="19"/>
  <c r="N44" i="8" l="1"/>
  <c r="N42"/>
  <c r="N43"/>
  <c r="N45"/>
  <c r="D24" i="10"/>
  <c r="G782" i="13"/>
  <c r="I782" s="1"/>
  <c r="E566" i="10"/>
  <c r="G1208" i="13"/>
  <c r="I1208" s="1"/>
  <c r="G72"/>
  <c r="I72" s="1"/>
  <c r="G569"/>
  <c r="I569" s="1"/>
  <c r="N28" i="8"/>
  <c r="D16" i="10"/>
  <c r="N26" i="8"/>
  <c r="G429" i="13"/>
  <c r="I429" s="1"/>
  <c r="N27" i="8"/>
  <c r="G74" i="13"/>
  <c r="I74" s="1"/>
  <c r="N29" i="8"/>
  <c r="D22" i="10"/>
  <c r="G998" i="13"/>
  <c r="I998" s="1"/>
  <c r="N14" i="8"/>
  <c r="G428" i="13"/>
  <c r="I428" s="1"/>
  <c r="H26" i="14" s="1"/>
  <c r="D9" i="10"/>
  <c r="N15" i="8"/>
  <c r="N16"/>
  <c r="N17"/>
  <c r="D14" i="10"/>
  <c r="G784" i="13"/>
  <c r="I784" s="1"/>
  <c r="F770" i="12"/>
  <c r="F842"/>
  <c r="AX6" i="7"/>
  <c r="F1346" i="12"/>
  <c r="F122"/>
  <c r="F1274"/>
  <c r="F914"/>
  <c r="F50"/>
  <c r="F554"/>
  <c r="D6" i="10"/>
  <c r="G1422" i="13"/>
  <c r="I1422" s="1"/>
  <c r="H9" i="14" s="1"/>
  <c r="C5" i="4"/>
  <c r="C4"/>
  <c r="C7"/>
  <c r="N12" i="8"/>
  <c r="N10"/>
  <c r="N11"/>
  <c r="G73" i="13"/>
  <c r="I73" s="1"/>
  <c r="H14" i="14" s="1"/>
  <c r="N13" i="8"/>
  <c r="D8" i="10"/>
  <c r="N33" i="8"/>
  <c r="D17" i="10"/>
  <c r="N31" i="8"/>
  <c r="N32"/>
  <c r="N30"/>
  <c r="G358" i="13"/>
  <c r="I358" s="1"/>
  <c r="N25" i="8"/>
  <c r="N22"/>
  <c r="N23"/>
  <c r="N24"/>
  <c r="D15" i="10"/>
  <c r="F1158" i="12"/>
  <c r="F1086"/>
  <c r="F654"/>
  <c r="F3" i="7"/>
  <c r="F1186" i="12"/>
  <c r="F1258"/>
  <c r="F754"/>
  <c r="F826"/>
  <c r="F970"/>
  <c r="F322"/>
  <c r="AH6" i="7"/>
  <c r="C7" i="23" s="1"/>
  <c r="F538" i="12"/>
  <c r="F1330"/>
  <c r="F466"/>
  <c r="F1546"/>
  <c r="F1114"/>
  <c r="F898"/>
  <c r="F106"/>
  <c r="F34"/>
  <c r="F1402"/>
  <c r="F250"/>
  <c r="N3" i="8"/>
  <c r="F568" i="10"/>
  <c r="N18" i="8"/>
  <c r="N1125"/>
  <c r="N1122"/>
  <c r="N1124"/>
  <c r="N1123"/>
  <c r="N1106"/>
  <c r="N1109"/>
  <c r="N1108"/>
  <c r="N1107"/>
  <c r="N1090"/>
  <c r="N1093"/>
  <c r="N1092"/>
  <c r="N1091"/>
  <c r="N1074"/>
  <c r="N1077"/>
  <c r="N1076"/>
  <c r="N1075"/>
  <c r="N1058"/>
  <c r="N1061"/>
  <c r="N1060"/>
  <c r="N1059"/>
  <c r="N1042"/>
  <c r="N1045"/>
  <c r="N1044"/>
  <c r="N1043"/>
  <c r="N1026"/>
  <c r="N1029"/>
  <c r="N1028"/>
  <c r="N1027"/>
  <c r="N1010"/>
  <c r="N1013"/>
  <c r="N1012"/>
  <c r="N1011"/>
  <c r="N994"/>
  <c r="N997"/>
  <c r="N996"/>
  <c r="N995"/>
  <c r="N978"/>
  <c r="N981"/>
  <c r="N980"/>
  <c r="N979"/>
  <c r="N962"/>
  <c r="N965"/>
  <c r="N964"/>
  <c r="N963"/>
  <c r="N946"/>
  <c r="N949"/>
  <c r="N948"/>
  <c r="N947"/>
  <c r="N930"/>
  <c r="N933"/>
  <c r="N932"/>
  <c r="N931"/>
  <c r="N914"/>
  <c r="N917"/>
  <c r="N916"/>
  <c r="N915"/>
  <c r="N898"/>
  <c r="N901"/>
  <c r="N900"/>
  <c r="N899"/>
  <c r="N882"/>
  <c r="N885"/>
  <c r="N884"/>
  <c r="N883"/>
  <c r="N866"/>
  <c r="N869"/>
  <c r="N868"/>
  <c r="N867"/>
  <c r="N850"/>
  <c r="N853"/>
  <c r="N852"/>
  <c r="N851"/>
  <c r="N834"/>
  <c r="N837"/>
  <c r="N836"/>
  <c r="N835"/>
  <c r="N818"/>
  <c r="N821"/>
  <c r="N820"/>
  <c r="N819"/>
  <c r="N802"/>
  <c r="N805"/>
  <c r="N804"/>
  <c r="N803"/>
  <c r="N786"/>
  <c r="N789"/>
  <c r="N788"/>
  <c r="N787"/>
  <c r="N770"/>
  <c r="N773"/>
  <c r="N772"/>
  <c r="N771"/>
  <c r="N754"/>
  <c r="N757"/>
  <c r="N756"/>
  <c r="N755"/>
  <c r="N738"/>
  <c r="N741"/>
  <c r="N740"/>
  <c r="N739"/>
  <c r="N722"/>
  <c r="N725"/>
  <c r="N724"/>
  <c r="N723"/>
  <c r="N706"/>
  <c r="N709"/>
  <c r="N708"/>
  <c r="N707"/>
  <c r="N690"/>
  <c r="N693"/>
  <c r="N692"/>
  <c r="N691"/>
  <c r="N674"/>
  <c r="N677"/>
  <c r="N676"/>
  <c r="N675"/>
  <c r="N658"/>
  <c r="N661"/>
  <c r="N660"/>
  <c r="N659"/>
  <c r="N642"/>
  <c r="N645"/>
  <c r="N644"/>
  <c r="N643"/>
  <c r="N626"/>
  <c r="N629"/>
  <c r="N628"/>
  <c r="N627"/>
  <c r="N610"/>
  <c r="N613"/>
  <c r="N612"/>
  <c r="N611"/>
  <c r="N594"/>
  <c r="N597"/>
  <c r="N596"/>
  <c r="N595"/>
  <c r="N578"/>
  <c r="N581"/>
  <c r="N580"/>
  <c r="N579"/>
  <c r="N562"/>
  <c r="N565"/>
  <c r="N564"/>
  <c r="N563"/>
  <c r="H32" i="3"/>
  <c r="E125" i="6"/>
  <c r="E122"/>
  <c r="E124"/>
  <c r="E123"/>
  <c r="G227"/>
  <c r="BF12" i="7" s="1"/>
  <c r="J227" i="6"/>
  <c r="H227" s="1"/>
  <c r="E184"/>
  <c r="E182"/>
  <c r="E185"/>
  <c r="H47" i="3"/>
  <c r="E183" i="6"/>
  <c r="E104"/>
  <c r="H27" i="3"/>
  <c r="E103" i="6"/>
  <c r="E105"/>
  <c r="E102"/>
  <c r="H7" i="3"/>
  <c r="E25" i="6"/>
  <c r="E24"/>
  <c r="E23"/>
  <c r="E22"/>
  <c r="N546" i="8"/>
  <c r="N549"/>
  <c r="N548"/>
  <c r="N547"/>
  <c r="N530"/>
  <c r="N533"/>
  <c r="N532"/>
  <c r="N531"/>
  <c r="N514"/>
  <c r="N517"/>
  <c r="N516"/>
  <c r="N515"/>
  <c r="N498"/>
  <c r="N501"/>
  <c r="N500"/>
  <c r="N499"/>
  <c r="E284" i="6"/>
  <c r="H72" i="3"/>
  <c r="E285" i="6"/>
  <c r="E282"/>
  <c r="E283"/>
  <c r="E186"/>
  <c r="H48" i="3"/>
  <c r="E189" i="6"/>
  <c r="E188"/>
  <c r="E187"/>
  <c r="E109"/>
  <c r="H28" i="3"/>
  <c r="E107" i="6"/>
  <c r="E106"/>
  <c r="E108"/>
  <c r="E42"/>
  <c r="H12" i="3"/>
  <c r="E43" i="6"/>
  <c r="E45"/>
  <c r="E44"/>
  <c r="J242"/>
  <c r="H242" s="1"/>
  <c r="G242"/>
  <c r="BJ11" i="7" s="1"/>
  <c r="G181" i="6"/>
  <c r="AT14" i="7" s="1"/>
  <c r="J181" i="6"/>
  <c r="H181" s="1"/>
  <c r="J21"/>
  <c r="H21" s="1"/>
  <c r="G21"/>
  <c r="F14" i="7" s="1"/>
  <c r="G277" i="6"/>
  <c r="BR14" i="7" s="1"/>
  <c r="J277" i="6"/>
  <c r="H277" s="1"/>
  <c r="J213"/>
  <c r="H213" s="1"/>
  <c r="BB6" i="7" s="1"/>
  <c r="G213" i="6"/>
  <c r="BB14" i="7" s="1"/>
  <c r="G179" i="6"/>
  <c r="AT12" i="7" s="1"/>
  <c r="J179" i="6"/>
  <c r="H179" s="1"/>
  <c r="J146"/>
  <c r="H146" s="1"/>
  <c r="G146"/>
  <c r="AL11" i="7" s="1"/>
  <c r="J3" i="6"/>
  <c r="G3"/>
  <c r="B12" i="7" s="1"/>
  <c r="E258" i="6"/>
  <c r="E261"/>
  <c r="E260"/>
  <c r="E259"/>
  <c r="G288"/>
  <c r="BU13" i="7" s="1"/>
  <c r="J288" i="6"/>
  <c r="H288" s="1"/>
  <c r="J266"/>
  <c r="H266" s="1"/>
  <c r="G266"/>
  <c r="BP11" i="7" s="1"/>
  <c r="J217" i="6"/>
  <c r="H217" s="1"/>
  <c r="G217"/>
  <c r="BC14" i="7" s="1"/>
  <c r="J208" i="6"/>
  <c r="H208" s="1"/>
  <c r="G208"/>
  <c r="BA13" i="7" s="1"/>
  <c r="G142" i="6"/>
  <c r="AK11" i="7" s="1"/>
  <c r="J142" i="6"/>
  <c r="J85"/>
  <c r="H85" s="1"/>
  <c r="G85"/>
  <c r="V14" i="7" s="1"/>
  <c r="G248" i="6"/>
  <c r="BK13" i="7" s="1"/>
  <c r="J248" i="6"/>
  <c r="H248" s="1"/>
  <c r="J241"/>
  <c r="H241" s="1"/>
  <c r="G241"/>
  <c r="BI14" i="7" s="1"/>
  <c r="J237" i="6"/>
  <c r="H237" s="1"/>
  <c r="G237"/>
  <c r="BH14" i="7" s="1"/>
  <c r="G89" i="6"/>
  <c r="W14" i="7" s="1"/>
  <c r="J89" i="6"/>
  <c r="H89" s="1"/>
  <c r="G15"/>
  <c r="E12" i="7" s="1"/>
  <c r="J15" i="6"/>
  <c r="H15" s="1"/>
  <c r="G159"/>
  <c r="AO12" i="7" s="1"/>
  <c r="J159" i="6"/>
  <c r="H159" s="1"/>
  <c r="J69"/>
  <c r="H69" s="1"/>
  <c r="G69"/>
  <c r="R14" i="7" s="1"/>
  <c r="J174" i="6"/>
  <c r="G174"/>
  <c r="AS11" i="7" s="1"/>
  <c r="G279" i="6"/>
  <c r="BS12" i="7" s="1"/>
  <c r="J279" i="6"/>
  <c r="G280"/>
  <c r="BS13" i="7" s="1"/>
  <c r="J280" i="6"/>
  <c r="H280" s="1"/>
  <c r="G273"/>
  <c r="BQ14" i="7" s="1"/>
  <c r="J273" i="6"/>
  <c r="H273" s="1"/>
  <c r="G255"/>
  <c r="BM12" i="7" s="1"/>
  <c r="J255" i="6"/>
  <c r="H255" s="1"/>
  <c r="G190"/>
  <c r="AW11" i="7" s="1"/>
  <c r="J190" i="6"/>
  <c r="J129"/>
  <c r="H129" s="1"/>
  <c r="G129"/>
  <c r="AG14" i="7" s="1"/>
  <c r="J113" i="6"/>
  <c r="H113" s="1"/>
  <c r="G113"/>
  <c r="AC14" i="7" s="1"/>
  <c r="J94" i="6"/>
  <c r="G94"/>
  <c r="Y11" i="7" s="1"/>
  <c r="J81" i="6"/>
  <c r="H81" s="1"/>
  <c r="G81"/>
  <c r="U14" i="7" s="1"/>
  <c r="G64" i="6"/>
  <c r="Q13" i="7" s="1"/>
  <c r="J64" i="6"/>
  <c r="H64" s="1"/>
  <c r="Q5" i="7" s="1"/>
  <c r="G47" i="6"/>
  <c r="M12" i="7" s="1"/>
  <c r="J47" i="6"/>
  <c r="H47" s="1"/>
  <c r="J30"/>
  <c r="G30"/>
  <c r="I11" i="7" s="1"/>
  <c r="J230" i="6"/>
  <c r="H230" s="1"/>
  <c r="G230"/>
  <c r="BG11" i="7" s="1"/>
  <c r="J222" i="6"/>
  <c r="G222"/>
  <c r="BE11" i="7" s="1"/>
  <c r="H94" i="6"/>
  <c r="E321" i="10"/>
  <c r="B561"/>
  <c r="B335"/>
  <c r="F335" s="1"/>
  <c r="E545"/>
  <c r="B337"/>
  <c r="F337" s="1"/>
  <c r="B465"/>
  <c r="B336"/>
  <c r="F336" s="1"/>
  <c r="B312"/>
  <c r="F312" s="1"/>
  <c r="B536"/>
  <c r="F536" s="1"/>
  <c r="E297"/>
  <c r="F297" s="1"/>
  <c r="E305"/>
  <c r="F305" s="1"/>
  <c r="B321"/>
  <c r="E369"/>
  <c r="F369" s="1"/>
  <c r="B385"/>
  <c r="F385" s="1"/>
  <c r="E401"/>
  <c r="F401" s="1"/>
  <c r="E433"/>
  <c r="F433" s="1"/>
  <c r="E465"/>
  <c r="E497"/>
  <c r="F497" s="1"/>
  <c r="B513"/>
  <c r="E529"/>
  <c r="F529" s="1"/>
  <c r="B545"/>
  <c r="F545" s="1"/>
  <c r="E561"/>
  <c r="B360"/>
  <c r="F360" s="1"/>
  <c r="B424"/>
  <c r="F424" s="1"/>
  <c r="B456"/>
  <c r="F456" s="1"/>
  <c r="B520"/>
  <c r="F520" s="1"/>
  <c r="E559"/>
  <c r="G209" i="13"/>
  <c r="I209" s="1"/>
  <c r="G828"/>
  <c r="I828" s="1"/>
  <c r="G43"/>
  <c r="I43" s="1"/>
  <c r="G64"/>
  <c r="I64" s="1"/>
  <c r="G197"/>
  <c r="I197" s="1"/>
  <c r="G261"/>
  <c r="I261" s="1"/>
  <c r="G325"/>
  <c r="I325" s="1"/>
  <c r="G410"/>
  <c r="I410" s="1"/>
  <c r="G676"/>
  <c r="I676" s="1"/>
  <c r="G71"/>
  <c r="I71" s="1"/>
  <c r="G116"/>
  <c r="I116" s="1"/>
  <c r="G204"/>
  <c r="I204" s="1"/>
  <c r="G268"/>
  <c r="I268" s="1"/>
  <c r="G424"/>
  <c r="I424" s="1"/>
  <c r="G488"/>
  <c r="I488" s="1"/>
  <c r="G556"/>
  <c r="I556" s="1"/>
  <c r="G142"/>
  <c r="I142" s="1"/>
  <c r="G189"/>
  <c r="I189" s="1"/>
  <c r="G272"/>
  <c r="I272" s="1"/>
  <c r="G568"/>
  <c r="I568" s="1"/>
  <c r="G764"/>
  <c r="I764" s="1"/>
  <c r="G129"/>
  <c r="I129" s="1"/>
  <c r="G179"/>
  <c r="I179" s="1"/>
  <c r="G275"/>
  <c r="I275" s="1"/>
  <c r="G405"/>
  <c r="I405" s="1"/>
  <c r="G421"/>
  <c r="I421" s="1"/>
  <c r="G485"/>
  <c r="I485" s="1"/>
  <c r="G535"/>
  <c r="I535" s="1"/>
  <c r="G701"/>
  <c r="I701" s="1"/>
  <c r="G749"/>
  <c r="I749" s="1"/>
  <c r="G765"/>
  <c r="I765" s="1"/>
  <c r="G781"/>
  <c r="I781" s="1"/>
  <c r="G840"/>
  <c r="I840" s="1"/>
  <c r="G970"/>
  <c r="I970" s="1"/>
  <c r="G418"/>
  <c r="I418" s="1"/>
  <c r="G466"/>
  <c r="I466" s="1"/>
  <c r="G566"/>
  <c r="I566" s="1"/>
  <c r="G698"/>
  <c r="I698" s="1"/>
  <c r="G836"/>
  <c r="I836" s="1"/>
  <c r="G679"/>
  <c r="I679" s="1"/>
  <c r="G775"/>
  <c r="I775" s="1"/>
  <c r="G832"/>
  <c r="I832" s="1"/>
  <c r="G833"/>
  <c r="I833" s="1"/>
  <c r="G899"/>
  <c r="I899" s="1"/>
  <c r="G915"/>
  <c r="I915" s="1"/>
  <c r="G1043"/>
  <c r="I1043" s="1"/>
  <c r="G1059"/>
  <c r="I1059" s="1"/>
  <c r="G1107"/>
  <c r="I1107" s="1"/>
  <c r="G1123"/>
  <c r="I1123" s="1"/>
  <c r="G1205"/>
  <c r="I1205" s="1"/>
  <c r="G1249"/>
  <c r="I1249" s="1"/>
  <c r="G1347"/>
  <c r="I1347" s="1"/>
  <c r="G830"/>
  <c r="I830" s="1"/>
  <c r="G846"/>
  <c r="I846" s="1"/>
  <c r="G896"/>
  <c r="I896" s="1"/>
  <c r="G912"/>
  <c r="I912" s="1"/>
  <c r="G960"/>
  <c r="I960" s="1"/>
  <c r="G992"/>
  <c r="I992" s="1"/>
  <c r="G1040"/>
  <c r="I1040" s="1"/>
  <c r="G1104"/>
  <c r="I1104" s="1"/>
  <c r="G1120"/>
  <c r="I1120" s="1"/>
  <c r="G1186"/>
  <c r="I1186" s="1"/>
  <c r="G1202"/>
  <c r="I1202" s="1"/>
  <c r="G1274"/>
  <c r="I1274" s="1"/>
  <c r="G893"/>
  <c r="I893" s="1"/>
  <c r="G973"/>
  <c r="I973" s="1"/>
  <c r="G1037"/>
  <c r="I1037" s="1"/>
  <c r="G1117"/>
  <c r="I1117" s="1"/>
  <c r="G1133"/>
  <c r="I1133" s="1"/>
  <c r="G1181"/>
  <c r="I1181" s="1"/>
  <c r="G1199"/>
  <c r="I1199" s="1"/>
  <c r="G1247"/>
  <c r="I1247" s="1"/>
  <c r="G1329"/>
  <c r="I1329" s="1"/>
  <c r="G1345"/>
  <c r="I1345" s="1"/>
  <c r="G1248"/>
  <c r="I1248" s="1"/>
  <c r="G1330"/>
  <c r="I1330" s="1"/>
  <c r="G1346"/>
  <c r="I1346" s="1"/>
  <c r="H30" i="6"/>
  <c r="N481" i="8"/>
  <c r="N473"/>
  <c r="N465"/>
  <c r="N457"/>
  <c r="N449"/>
  <c r="N441"/>
  <c r="N482"/>
  <c r="N474"/>
  <c r="N466"/>
  <c r="N458"/>
  <c r="N450"/>
  <c r="N442"/>
  <c r="N434"/>
  <c r="N418"/>
  <c r="N402"/>
  <c r="N386"/>
  <c r="N370"/>
  <c r="N354"/>
  <c r="N338"/>
  <c r="N322"/>
  <c r="N306"/>
  <c r="N290"/>
  <c r="N274"/>
  <c r="N258"/>
  <c r="N242"/>
  <c r="N226"/>
  <c r="N210"/>
  <c r="N194"/>
  <c r="N178"/>
  <c r="N162"/>
  <c r="N146"/>
  <c r="N130"/>
  <c r="N114"/>
  <c r="N98"/>
  <c r="N82"/>
  <c r="N66"/>
  <c r="N50"/>
  <c r="N34"/>
  <c r="N21"/>
  <c r="N5"/>
  <c r="B9" i="27"/>
  <c r="D9" s="1"/>
  <c r="N430" i="8"/>
  <c r="N414"/>
  <c r="N398"/>
  <c r="N382"/>
  <c r="N366"/>
  <c r="N350"/>
  <c r="N334"/>
  <c r="N318"/>
  <c r="N302"/>
  <c r="N286"/>
  <c r="N270"/>
  <c r="N254"/>
  <c r="N238"/>
  <c r="N222"/>
  <c r="N206"/>
  <c r="N190"/>
  <c r="N174"/>
  <c r="N158"/>
  <c r="N142"/>
  <c r="N126"/>
  <c r="N110"/>
  <c r="N94"/>
  <c r="N78"/>
  <c r="N62"/>
  <c r="N46"/>
  <c r="B9" i="4"/>
  <c r="N312" i="8"/>
  <c r="N280"/>
  <c r="N216"/>
  <c r="N200"/>
  <c r="N168"/>
  <c r="N152"/>
  <c r="N120"/>
  <c r="N72"/>
  <c r="N8"/>
  <c r="N1129"/>
  <c r="N1126"/>
  <c r="N1128"/>
  <c r="N1127"/>
  <c r="N1110"/>
  <c r="N1113"/>
  <c r="N1112"/>
  <c r="N1111"/>
  <c r="N1094"/>
  <c r="N1097"/>
  <c r="N1096"/>
  <c r="N1095"/>
  <c r="N1078"/>
  <c r="N1081"/>
  <c r="N1080"/>
  <c r="N1079"/>
  <c r="N1062"/>
  <c r="N1065"/>
  <c r="N1064"/>
  <c r="N1063"/>
  <c r="N1046"/>
  <c r="N1049"/>
  <c r="N1048"/>
  <c r="N1047"/>
  <c r="N1030"/>
  <c r="N1033"/>
  <c r="N1032"/>
  <c r="N1031"/>
  <c r="N1014"/>
  <c r="N1017"/>
  <c r="N1016"/>
  <c r="N1015"/>
  <c r="N998"/>
  <c r="N1001"/>
  <c r="N1000"/>
  <c r="N999"/>
  <c r="N982"/>
  <c r="N985"/>
  <c r="N984"/>
  <c r="N983"/>
  <c r="N966"/>
  <c r="N969"/>
  <c r="N968"/>
  <c r="N967"/>
  <c r="N950"/>
  <c r="N953"/>
  <c r="N952"/>
  <c r="N951"/>
  <c r="N934"/>
  <c r="N937"/>
  <c r="N936"/>
  <c r="N935"/>
  <c r="N918"/>
  <c r="N921"/>
  <c r="N920"/>
  <c r="N919"/>
  <c r="N902"/>
  <c r="N905"/>
  <c r="N904"/>
  <c r="N903"/>
  <c r="N886"/>
  <c r="N889"/>
  <c r="N888"/>
  <c r="N887"/>
  <c r="N870"/>
  <c r="N873"/>
  <c r="N872"/>
  <c r="N871"/>
  <c r="N854"/>
  <c r="N857"/>
  <c r="N856"/>
  <c r="N855"/>
  <c r="N838"/>
  <c r="N841"/>
  <c r="N840"/>
  <c r="N839"/>
  <c r="N822"/>
  <c r="N825"/>
  <c r="N824"/>
  <c r="N823"/>
  <c r="N806"/>
  <c r="N809"/>
  <c r="N808"/>
  <c r="N807"/>
  <c r="N790"/>
  <c r="N793"/>
  <c r="N792"/>
  <c r="N791"/>
  <c r="N774"/>
  <c r="N777"/>
  <c r="N776"/>
  <c r="N775"/>
  <c r="N758"/>
  <c r="N761"/>
  <c r="N760"/>
  <c r="N759"/>
  <c r="N742"/>
  <c r="N745"/>
  <c r="N744"/>
  <c r="N743"/>
  <c r="N726"/>
  <c r="N729"/>
  <c r="N728"/>
  <c r="N727"/>
  <c r="N710"/>
  <c r="N713"/>
  <c r="N712"/>
  <c r="N711"/>
  <c r="N694"/>
  <c r="N697"/>
  <c r="N696"/>
  <c r="N695"/>
  <c r="N678"/>
  <c r="N681"/>
  <c r="N680"/>
  <c r="N679"/>
  <c r="N662"/>
  <c r="N665"/>
  <c r="N664"/>
  <c r="N663"/>
  <c r="N646"/>
  <c r="N649"/>
  <c r="N648"/>
  <c r="N647"/>
  <c r="N630"/>
  <c r="N633"/>
  <c r="N632"/>
  <c r="N631"/>
  <c r="N614"/>
  <c r="N617"/>
  <c r="N616"/>
  <c r="N615"/>
  <c r="N598"/>
  <c r="N601"/>
  <c r="N600"/>
  <c r="N599"/>
  <c r="N582"/>
  <c r="N585"/>
  <c r="N584"/>
  <c r="N583"/>
  <c r="N566"/>
  <c r="N569"/>
  <c r="N568"/>
  <c r="N567"/>
  <c r="G243" i="6"/>
  <c r="BJ12" i="7" s="1"/>
  <c r="J243" i="6"/>
  <c r="H243" s="1"/>
  <c r="E200"/>
  <c r="E201"/>
  <c r="E198"/>
  <c r="E199"/>
  <c r="H51" i="3"/>
  <c r="E119" i="6"/>
  <c r="H31" i="3"/>
  <c r="E121" i="6"/>
  <c r="E118"/>
  <c r="E120"/>
  <c r="E40"/>
  <c r="E39"/>
  <c r="E41"/>
  <c r="E38"/>
  <c r="H11" i="3"/>
  <c r="E116" i="6"/>
  <c r="E117"/>
  <c r="E114"/>
  <c r="E115"/>
  <c r="N550" i="8"/>
  <c r="N553"/>
  <c r="N552"/>
  <c r="N551"/>
  <c r="N534"/>
  <c r="N537"/>
  <c r="N536"/>
  <c r="N535"/>
  <c r="N518"/>
  <c r="N521"/>
  <c r="N520"/>
  <c r="N519"/>
  <c r="N502"/>
  <c r="N505"/>
  <c r="N504"/>
  <c r="N503"/>
  <c r="E205" i="6"/>
  <c r="H52" i="3"/>
  <c r="E204" i="6"/>
  <c r="E203"/>
  <c r="E202"/>
  <c r="E140"/>
  <c r="E138"/>
  <c r="H36" i="3"/>
  <c r="E139" i="6"/>
  <c r="E141"/>
  <c r="E61"/>
  <c r="E60"/>
  <c r="H16" i="3"/>
  <c r="E59" i="6"/>
  <c r="E58"/>
  <c r="J274"/>
  <c r="H274" s="1"/>
  <c r="G274"/>
  <c r="BR11" i="7" s="1"/>
  <c r="J194" i="6"/>
  <c r="H194" s="1"/>
  <c r="G194"/>
  <c r="AX11" i="7" s="1"/>
  <c r="G132" i="6"/>
  <c r="AH13" i="7" s="1"/>
  <c r="J132" i="6"/>
  <c r="H132" s="1"/>
  <c r="AH5" i="7" s="1"/>
  <c r="G4" i="6"/>
  <c r="B13" i="7" s="1"/>
  <c r="J4" i="6"/>
  <c r="H4" s="1"/>
  <c r="E36"/>
  <c r="E35"/>
  <c r="E34"/>
  <c r="E37"/>
  <c r="G228"/>
  <c r="BF13" i="7" s="1"/>
  <c r="J228" i="6"/>
  <c r="H228" s="1"/>
  <c r="G195"/>
  <c r="AX12" i="7" s="1"/>
  <c r="J195" i="6"/>
  <c r="H195" s="1"/>
  <c r="J149"/>
  <c r="H149" s="1"/>
  <c r="G149"/>
  <c r="AL14" i="7" s="1"/>
  <c r="J19" i="6"/>
  <c r="H19" s="1"/>
  <c r="L21" s="1"/>
  <c r="G19"/>
  <c r="F12" i="7" s="1"/>
  <c r="J287" i="6"/>
  <c r="H287" s="1"/>
  <c r="G287"/>
  <c r="BU12" i="7" s="1"/>
  <c r="J268" i="6"/>
  <c r="G268"/>
  <c r="BP13" i="7" s="1"/>
  <c r="G214" i="6"/>
  <c r="BC11" i="7" s="1"/>
  <c r="J214" i="6"/>
  <c r="H214" s="1"/>
  <c r="J209"/>
  <c r="H209" s="1"/>
  <c r="G209"/>
  <c r="BA14" i="7" s="1"/>
  <c r="J145" i="6"/>
  <c r="H145" s="1"/>
  <c r="AK6" i="7" s="1"/>
  <c r="G145" i="6"/>
  <c r="AK14" i="7" s="1"/>
  <c r="G82" i="6"/>
  <c r="V11" i="7" s="1"/>
  <c r="J82" i="6"/>
  <c r="H82" s="1"/>
  <c r="J246"/>
  <c r="H246" s="1"/>
  <c r="G246"/>
  <c r="BK11" i="7" s="1"/>
  <c r="J238" i="6"/>
  <c r="G238"/>
  <c r="BI11" i="7" s="1"/>
  <c r="G235" i="6"/>
  <c r="BH12" i="7" s="1"/>
  <c r="J235" i="6"/>
  <c r="G236"/>
  <c r="BH13" i="7" s="1"/>
  <c r="J236" i="6"/>
  <c r="H236" s="1"/>
  <c r="J86"/>
  <c r="H86" s="1"/>
  <c r="G86"/>
  <c r="W11" i="7" s="1"/>
  <c r="J17" i="6"/>
  <c r="H17" s="1"/>
  <c r="G17"/>
  <c r="E14" i="7" s="1"/>
  <c r="J161" i="6"/>
  <c r="H161" s="1"/>
  <c r="G161"/>
  <c r="AO14" i="7" s="1"/>
  <c r="J68" i="6"/>
  <c r="H68" s="1"/>
  <c r="G68"/>
  <c r="R13" i="7" s="1"/>
  <c r="G265" i="6"/>
  <c r="BO14" i="7" s="1"/>
  <c r="J265" i="6"/>
  <c r="H265" s="1"/>
  <c r="J176"/>
  <c r="H176" s="1"/>
  <c r="G176"/>
  <c r="AS13" i="7" s="1"/>
  <c r="J278" i="6"/>
  <c r="H278" s="1"/>
  <c r="G278"/>
  <c r="BS11" i="7" s="1"/>
  <c r="J270" i="6"/>
  <c r="G270"/>
  <c r="BQ11" i="7" s="1"/>
  <c r="J257" i="6"/>
  <c r="H257" s="1"/>
  <c r="G257"/>
  <c r="BM14" i="7" s="1"/>
  <c r="G192" i="6"/>
  <c r="AW13" i="7" s="1"/>
  <c r="J192" i="6"/>
  <c r="H192" s="1"/>
  <c r="J136"/>
  <c r="H136" s="1"/>
  <c r="AI5" i="7" s="1"/>
  <c r="G136" i="6"/>
  <c r="AI13" i="7" s="1"/>
  <c r="G128" i="6"/>
  <c r="AG13" i="7" s="1"/>
  <c r="J128" i="6"/>
  <c r="H128" s="1"/>
  <c r="G110"/>
  <c r="AC11" i="7" s="1"/>
  <c r="J110" i="6"/>
  <c r="G96"/>
  <c r="Y13" i="7" s="1"/>
  <c r="J96" i="6"/>
  <c r="H96" s="1"/>
  <c r="J78"/>
  <c r="G78"/>
  <c r="U11" i="7" s="1"/>
  <c r="G63" i="6"/>
  <c r="Q12" i="7" s="1"/>
  <c r="J63" i="6"/>
  <c r="H63" s="1"/>
  <c r="J46"/>
  <c r="G46"/>
  <c r="M11" i="7" s="1"/>
  <c r="G32" i="6"/>
  <c r="I13" i="7" s="1"/>
  <c r="J32" i="6"/>
  <c r="H32" s="1"/>
  <c r="I5" i="7" s="1"/>
  <c r="J232" i="6"/>
  <c r="H232" s="1"/>
  <c r="G232"/>
  <c r="BG13" i="7" s="1"/>
  <c r="G223" i="6"/>
  <c r="BE12" i="7" s="1"/>
  <c r="J223" i="6"/>
  <c r="H223" s="1"/>
  <c r="G1412" i="13"/>
  <c r="I1412" s="1"/>
  <c r="H142" i="6"/>
  <c r="H3"/>
  <c r="L3" s="1"/>
  <c r="B11" i="27"/>
  <c r="D11" s="1"/>
  <c r="F14" i="10"/>
  <c r="F78" i="9"/>
  <c r="F142"/>
  <c r="F206"/>
  <c r="B302" i="10"/>
  <c r="E326"/>
  <c r="E454"/>
  <c r="G1336" i="13"/>
  <c r="I1336" s="1"/>
  <c r="F6" i="10"/>
  <c r="B294"/>
  <c r="F294" s="1"/>
  <c r="F6" i="9"/>
  <c r="F22"/>
  <c r="F38"/>
  <c r="F54"/>
  <c r="F70"/>
  <c r="F86"/>
  <c r="F102"/>
  <c r="F118"/>
  <c r="F134"/>
  <c r="F150"/>
  <c r="F166"/>
  <c r="F182"/>
  <c r="F198"/>
  <c r="F214"/>
  <c r="F230"/>
  <c r="F246"/>
  <c r="F262"/>
  <c r="E286" i="10"/>
  <c r="E294"/>
  <c r="E302"/>
  <c r="B311"/>
  <c r="F311" s="1"/>
  <c r="B343"/>
  <c r="F343" s="1"/>
  <c r="B375"/>
  <c r="F375" s="1"/>
  <c r="B407"/>
  <c r="F407" s="1"/>
  <c r="B439"/>
  <c r="F439" s="1"/>
  <c r="B471"/>
  <c r="F471" s="1"/>
  <c r="B503"/>
  <c r="F503" s="1"/>
  <c r="B535"/>
  <c r="F535" s="1"/>
  <c r="B567"/>
  <c r="F567" s="1"/>
  <c r="F8" i="9"/>
  <c r="F16"/>
  <c r="F24"/>
  <c r="F32"/>
  <c r="F40"/>
  <c r="F48"/>
  <c r="F56"/>
  <c r="F64"/>
  <c r="F72"/>
  <c r="F80"/>
  <c r="F88"/>
  <c r="F96"/>
  <c r="F104"/>
  <c r="F112"/>
  <c r="F120"/>
  <c r="F128"/>
  <c r="F136"/>
  <c r="F144"/>
  <c r="F152"/>
  <c r="F160"/>
  <c r="F168"/>
  <c r="F176"/>
  <c r="F184"/>
  <c r="F192"/>
  <c r="F200"/>
  <c r="F208"/>
  <c r="F216"/>
  <c r="F224"/>
  <c r="F232"/>
  <c r="F240"/>
  <c r="F248"/>
  <c r="F256"/>
  <c r="F264"/>
  <c r="F272"/>
  <c r="F280"/>
  <c r="F288"/>
  <c r="F296"/>
  <c r="F304"/>
  <c r="F312"/>
  <c r="F320"/>
  <c r="F328"/>
  <c r="F336"/>
  <c r="F344"/>
  <c r="F352"/>
  <c r="F360"/>
  <c r="F368"/>
  <c r="F376"/>
  <c r="F384"/>
  <c r="F392"/>
  <c r="F400"/>
  <c r="F408"/>
  <c r="F416"/>
  <c r="F424"/>
  <c r="F432"/>
  <c r="F440"/>
  <c r="F448"/>
  <c r="F456"/>
  <c r="F464"/>
  <c r="F472"/>
  <c r="F480"/>
  <c r="F488"/>
  <c r="F496"/>
  <c r="F504"/>
  <c r="F512"/>
  <c r="F520"/>
  <c r="F528"/>
  <c r="F536"/>
  <c r="F544"/>
  <c r="F552"/>
  <c r="F560"/>
  <c r="F568"/>
  <c r="F8" i="10"/>
  <c r="F16"/>
  <c r="F24"/>
  <c r="F32"/>
  <c r="F40"/>
  <c r="F48"/>
  <c r="F56"/>
  <c r="F64"/>
  <c r="F72"/>
  <c r="F80"/>
  <c r="F88"/>
  <c r="F96"/>
  <c r="F104"/>
  <c r="F112"/>
  <c r="F120"/>
  <c r="F128"/>
  <c r="F136"/>
  <c r="F144"/>
  <c r="F152"/>
  <c r="F160"/>
  <c r="F168"/>
  <c r="F176"/>
  <c r="F184"/>
  <c r="F192"/>
  <c r="F200"/>
  <c r="F208"/>
  <c r="F216"/>
  <c r="F224"/>
  <c r="F232"/>
  <c r="F240"/>
  <c r="F248"/>
  <c r="F256"/>
  <c r="F264"/>
  <c r="F272"/>
  <c r="F280"/>
  <c r="B296"/>
  <c r="F296" s="1"/>
  <c r="B352"/>
  <c r="F352" s="1"/>
  <c r="B384"/>
  <c r="F384" s="1"/>
  <c r="B512"/>
  <c r="F512" s="1"/>
  <c r="B544"/>
  <c r="F544" s="1"/>
  <c r="F271" i="9"/>
  <c r="F279"/>
  <c r="F287"/>
  <c r="F295"/>
  <c r="F303"/>
  <c r="F311"/>
  <c r="F319"/>
  <c r="F327"/>
  <c r="F335"/>
  <c r="F343"/>
  <c r="F351"/>
  <c r="F359"/>
  <c r="F367"/>
  <c r="F375"/>
  <c r="F383"/>
  <c r="F391"/>
  <c r="F399"/>
  <c r="F407"/>
  <c r="F415"/>
  <c r="F423"/>
  <c r="F431"/>
  <c r="F439"/>
  <c r="F447"/>
  <c r="F455"/>
  <c r="F463"/>
  <c r="F471"/>
  <c r="F479"/>
  <c r="F487"/>
  <c r="F495"/>
  <c r="F503"/>
  <c r="F511"/>
  <c r="F519"/>
  <c r="F527"/>
  <c r="F535"/>
  <c r="F543"/>
  <c r="F551"/>
  <c r="F559"/>
  <c r="F567"/>
  <c r="F7" i="10"/>
  <c r="F15"/>
  <c r="F23"/>
  <c r="F31"/>
  <c r="F39"/>
  <c r="F47"/>
  <c r="F55"/>
  <c r="F63"/>
  <c r="F71"/>
  <c r="F79"/>
  <c r="F87"/>
  <c r="F95"/>
  <c r="F103"/>
  <c r="F111"/>
  <c r="F119"/>
  <c r="F127"/>
  <c r="F135"/>
  <c r="F143"/>
  <c r="F151"/>
  <c r="F159"/>
  <c r="F167"/>
  <c r="F175"/>
  <c r="F183"/>
  <c r="F191"/>
  <c r="F199"/>
  <c r="F207"/>
  <c r="F215"/>
  <c r="F223"/>
  <c r="F231"/>
  <c r="F239"/>
  <c r="F247"/>
  <c r="F255"/>
  <c r="F263"/>
  <c r="F271"/>
  <c r="F279"/>
  <c r="B287"/>
  <c r="F287" s="1"/>
  <c r="B295"/>
  <c r="F295" s="1"/>
  <c r="B303"/>
  <c r="F303" s="1"/>
  <c r="B327"/>
  <c r="F327" s="1"/>
  <c r="B359"/>
  <c r="F359" s="1"/>
  <c r="B391"/>
  <c r="F391" s="1"/>
  <c r="B423"/>
  <c r="F423" s="1"/>
  <c r="B455"/>
  <c r="F455" s="1"/>
  <c r="B487"/>
  <c r="F487" s="1"/>
  <c r="B519"/>
  <c r="F519" s="1"/>
  <c r="B551"/>
  <c r="F551" s="1"/>
  <c r="B310"/>
  <c r="F310" s="1"/>
  <c r="B318"/>
  <c r="F318" s="1"/>
  <c r="B326"/>
  <c r="B334"/>
  <c r="F334" s="1"/>
  <c r="B342"/>
  <c r="F342" s="1"/>
  <c r="B350"/>
  <c r="B358"/>
  <c r="F358" s="1"/>
  <c r="B366"/>
  <c r="F366" s="1"/>
  <c r="B374"/>
  <c r="F374" s="1"/>
  <c r="B382"/>
  <c r="B390"/>
  <c r="F390" s="1"/>
  <c r="B398"/>
  <c r="B406"/>
  <c r="F406" s="1"/>
  <c r="B414"/>
  <c r="F414" s="1"/>
  <c r="B422"/>
  <c r="F422" s="1"/>
  <c r="B430"/>
  <c r="B438"/>
  <c r="F438" s="1"/>
  <c r="B446"/>
  <c r="F446" s="1"/>
  <c r="B454"/>
  <c r="F454" s="1"/>
  <c r="B462"/>
  <c r="F462" s="1"/>
  <c r="B470"/>
  <c r="F470" s="1"/>
  <c r="B478"/>
  <c r="F478" s="1"/>
  <c r="B486"/>
  <c r="F486" s="1"/>
  <c r="B494"/>
  <c r="F494" s="1"/>
  <c r="B502"/>
  <c r="F502" s="1"/>
  <c r="B510"/>
  <c r="F510" s="1"/>
  <c r="B518"/>
  <c r="B526"/>
  <c r="B534"/>
  <c r="F534" s="1"/>
  <c r="B542"/>
  <c r="B550"/>
  <c r="F550" s="1"/>
  <c r="B558"/>
  <c r="F558" s="1"/>
  <c r="B566"/>
  <c r="F566" s="1"/>
  <c r="G180" i="13"/>
  <c r="I180" s="1"/>
  <c r="G257"/>
  <c r="I257" s="1"/>
  <c r="G334"/>
  <c r="I334" s="1"/>
  <c r="G196"/>
  <c r="I196" s="1"/>
  <c r="G480"/>
  <c r="I480" s="1"/>
  <c r="G322"/>
  <c r="I322" s="1"/>
  <c r="G49"/>
  <c r="I49" s="1"/>
  <c r="G68"/>
  <c r="I68" s="1"/>
  <c r="G182"/>
  <c r="I182" s="1"/>
  <c r="G348"/>
  <c r="I348" s="1"/>
  <c r="G472"/>
  <c r="I472" s="1"/>
  <c r="G538"/>
  <c r="I538" s="1"/>
  <c r="G120"/>
  <c r="I120" s="1"/>
  <c r="G139"/>
  <c r="I139" s="1"/>
  <c r="G186"/>
  <c r="I186" s="1"/>
  <c r="G420"/>
  <c r="I420" s="1"/>
  <c r="G484"/>
  <c r="I484" s="1"/>
  <c r="G552"/>
  <c r="I552" s="1"/>
  <c r="G748"/>
  <c r="I748" s="1"/>
  <c r="G40"/>
  <c r="I40" s="1"/>
  <c r="G141"/>
  <c r="I141" s="1"/>
  <c r="G255"/>
  <c r="I255" s="1"/>
  <c r="G351"/>
  <c r="I351" s="1"/>
  <c r="G497"/>
  <c r="I497" s="1"/>
  <c r="G565"/>
  <c r="I565" s="1"/>
  <c r="G697"/>
  <c r="I697" s="1"/>
  <c r="G761"/>
  <c r="I761" s="1"/>
  <c r="G1328"/>
  <c r="I1328" s="1"/>
  <c r="G478"/>
  <c r="I478" s="1"/>
  <c r="G546"/>
  <c r="I546" s="1"/>
  <c r="G562"/>
  <c r="I562" s="1"/>
  <c r="G678"/>
  <c r="I678" s="1"/>
  <c r="G710"/>
  <c r="I710" s="1"/>
  <c r="G707"/>
  <c r="I707" s="1"/>
  <c r="G829"/>
  <c r="I829" s="1"/>
  <c r="G895"/>
  <c r="I895" s="1"/>
  <c r="G975"/>
  <c r="I975" s="1"/>
  <c r="G1201"/>
  <c r="I1201" s="1"/>
  <c r="G1273"/>
  <c r="I1273" s="1"/>
  <c r="G924"/>
  <c r="I924" s="1"/>
  <c r="G972"/>
  <c r="I972" s="1"/>
  <c r="G988"/>
  <c r="I988" s="1"/>
  <c r="G1052"/>
  <c r="I1052" s="1"/>
  <c r="G1116"/>
  <c r="I1116" s="1"/>
  <c r="G1132"/>
  <c r="I1132" s="1"/>
  <c r="G1266"/>
  <c r="I1266" s="1"/>
  <c r="G1332"/>
  <c r="I1332" s="1"/>
  <c r="G823"/>
  <c r="I823" s="1"/>
  <c r="G889"/>
  <c r="I889" s="1"/>
  <c r="G985"/>
  <c r="I985" s="1"/>
  <c r="G1065"/>
  <c r="I1065" s="1"/>
  <c r="G1177"/>
  <c r="I1177" s="1"/>
  <c r="G1327"/>
  <c r="I1327" s="1"/>
  <c r="G1323"/>
  <c r="I1323" s="1"/>
  <c r="G1341"/>
  <c r="I1341" s="1"/>
  <c r="G1244"/>
  <c r="I1244" s="1"/>
  <c r="H268" i="6"/>
  <c r="H174"/>
  <c r="H110"/>
  <c r="H66" i="3"/>
  <c r="N479" i="8"/>
  <c r="N471"/>
  <c r="N463"/>
  <c r="N455"/>
  <c r="N447"/>
  <c r="N439"/>
  <c r="N486"/>
  <c r="N485"/>
  <c r="N476"/>
  <c r="N468"/>
  <c r="N460"/>
  <c r="N452"/>
  <c r="N444"/>
  <c r="N436"/>
  <c r="N421"/>
  <c r="N405"/>
  <c r="N389"/>
  <c r="N373"/>
  <c r="N357"/>
  <c r="N341"/>
  <c r="N325"/>
  <c r="N309"/>
  <c r="N293"/>
  <c r="N277"/>
  <c r="N261"/>
  <c r="N245"/>
  <c r="N229"/>
  <c r="N213"/>
  <c r="N197"/>
  <c r="N181"/>
  <c r="N165"/>
  <c r="N149"/>
  <c r="N133"/>
  <c r="N117"/>
  <c r="N101"/>
  <c r="N85"/>
  <c r="N69"/>
  <c r="N53"/>
  <c r="N36"/>
  <c r="N20"/>
  <c r="N4"/>
  <c r="N433"/>
  <c r="N417"/>
  <c r="N401"/>
  <c r="N385"/>
  <c r="N369"/>
  <c r="N353"/>
  <c r="N337"/>
  <c r="N321"/>
  <c r="N305"/>
  <c r="N289"/>
  <c r="N273"/>
  <c r="N257"/>
  <c r="N241"/>
  <c r="N225"/>
  <c r="N209"/>
  <c r="N193"/>
  <c r="N177"/>
  <c r="N161"/>
  <c r="N145"/>
  <c r="N129"/>
  <c r="N113"/>
  <c r="N97"/>
  <c r="N81"/>
  <c r="N65"/>
  <c r="N49"/>
  <c r="N311"/>
  <c r="N279"/>
  <c r="N215"/>
  <c r="N199"/>
  <c r="N167"/>
  <c r="N151"/>
  <c r="N119"/>
  <c r="N71"/>
  <c r="N7"/>
  <c r="N1114"/>
  <c r="N1117"/>
  <c r="N1116"/>
  <c r="N1115"/>
  <c r="N1098"/>
  <c r="N1101"/>
  <c r="N1100"/>
  <c r="N1099"/>
  <c r="N1082"/>
  <c r="N1085"/>
  <c r="N1084"/>
  <c r="N1083"/>
  <c r="N1066"/>
  <c r="N1069"/>
  <c r="N1068"/>
  <c r="N1067"/>
  <c r="N1050"/>
  <c r="N1053"/>
  <c r="N1052"/>
  <c r="N1051"/>
  <c r="N1034"/>
  <c r="N1037"/>
  <c r="N1036"/>
  <c r="N1035"/>
  <c r="N1018"/>
  <c r="N1021"/>
  <c r="N1020"/>
  <c r="N1019"/>
  <c r="N1002"/>
  <c r="N1005"/>
  <c r="N1004"/>
  <c r="N1003"/>
  <c r="N986"/>
  <c r="N989"/>
  <c r="N988"/>
  <c r="N987"/>
  <c r="N970"/>
  <c r="N973"/>
  <c r="N972"/>
  <c r="N971"/>
  <c r="N954"/>
  <c r="N957"/>
  <c r="N956"/>
  <c r="N955"/>
  <c r="N938"/>
  <c r="N941"/>
  <c r="N940"/>
  <c r="N939"/>
  <c r="N922"/>
  <c r="N925"/>
  <c r="N924"/>
  <c r="N923"/>
  <c r="N906"/>
  <c r="N909"/>
  <c r="N908"/>
  <c r="N907"/>
  <c r="N890"/>
  <c r="N893"/>
  <c r="N892"/>
  <c r="N891"/>
  <c r="N874"/>
  <c r="N877"/>
  <c r="N876"/>
  <c r="N875"/>
  <c r="N858"/>
  <c r="N861"/>
  <c r="N860"/>
  <c r="N859"/>
  <c r="N842"/>
  <c r="N845"/>
  <c r="N844"/>
  <c r="N843"/>
  <c r="N826"/>
  <c r="N829"/>
  <c r="N828"/>
  <c r="N827"/>
  <c r="N810"/>
  <c r="N813"/>
  <c r="N812"/>
  <c r="N811"/>
  <c r="N794"/>
  <c r="N797"/>
  <c r="N796"/>
  <c r="N795"/>
  <c r="N778"/>
  <c r="N781"/>
  <c r="N780"/>
  <c r="N779"/>
  <c r="N762"/>
  <c r="N765"/>
  <c r="N764"/>
  <c r="N763"/>
  <c r="N746"/>
  <c r="N749"/>
  <c r="N748"/>
  <c r="N747"/>
  <c r="N730"/>
  <c r="N733"/>
  <c r="N732"/>
  <c r="N731"/>
  <c r="N714"/>
  <c r="N717"/>
  <c r="N716"/>
  <c r="N715"/>
  <c r="N698"/>
  <c r="N701"/>
  <c r="N700"/>
  <c r="N699"/>
  <c r="N682"/>
  <c r="N685"/>
  <c r="N684"/>
  <c r="N683"/>
  <c r="N666"/>
  <c r="N669"/>
  <c r="N668"/>
  <c r="N667"/>
  <c r="N650"/>
  <c r="N653"/>
  <c r="N652"/>
  <c r="N651"/>
  <c r="N634"/>
  <c r="N637"/>
  <c r="N636"/>
  <c r="N635"/>
  <c r="N618"/>
  <c r="N621"/>
  <c r="N620"/>
  <c r="N619"/>
  <c r="N602"/>
  <c r="N605"/>
  <c r="N604"/>
  <c r="N603"/>
  <c r="N586"/>
  <c r="N589"/>
  <c r="N588"/>
  <c r="N587"/>
  <c r="N570"/>
  <c r="N573"/>
  <c r="N572"/>
  <c r="N571"/>
  <c r="E10" i="6"/>
  <c r="H4" i="3"/>
  <c r="E13" i="6"/>
  <c r="E12"/>
  <c r="E11"/>
  <c r="E152"/>
  <c r="H39" i="3"/>
  <c r="E151" i="6"/>
  <c r="E153"/>
  <c r="E150"/>
  <c r="E54"/>
  <c r="H15" i="3"/>
  <c r="E57" i="6"/>
  <c r="E56"/>
  <c r="E55"/>
  <c r="B36" i="27"/>
  <c r="D36" s="1"/>
  <c r="E8" i="19"/>
  <c r="N554" i="8"/>
  <c r="N557"/>
  <c r="N556"/>
  <c r="N555"/>
  <c r="N538"/>
  <c r="N541"/>
  <c r="N540"/>
  <c r="N539"/>
  <c r="N522"/>
  <c r="N525"/>
  <c r="N524"/>
  <c r="N523"/>
  <c r="N506"/>
  <c r="N509"/>
  <c r="N508"/>
  <c r="N507"/>
  <c r="H56" i="3"/>
  <c r="E221" i="6"/>
  <c r="E218"/>
  <c r="E220"/>
  <c r="E219"/>
  <c r="E156"/>
  <c r="E154"/>
  <c r="H40" i="3"/>
  <c r="E157" i="6"/>
  <c r="E155"/>
  <c r="H20" i="3"/>
  <c r="E77" i="6"/>
  <c r="E74"/>
  <c r="E76"/>
  <c r="E75"/>
  <c r="G211"/>
  <c r="BB12" i="7" s="1"/>
  <c r="J211" i="6"/>
  <c r="H211" s="1"/>
  <c r="BB4" i="7" s="1"/>
  <c r="G147" i="6"/>
  <c r="AL12" i="7" s="1"/>
  <c r="J147" i="6"/>
  <c r="H147" s="1"/>
  <c r="J5"/>
  <c r="G5"/>
  <c r="B14" i="7" s="1"/>
  <c r="G244" i="6"/>
  <c r="BJ13" i="7" s="1"/>
  <c r="J244" i="6"/>
  <c r="H244" s="1"/>
  <c r="BJ5" i="7" s="1"/>
  <c r="G196" i="6"/>
  <c r="AX13" i="7" s="1"/>
  <c r="J196" i="6"/>
  <c r="H196" s="1"/>
  <c r="G163"/>
  <c r="AP12" i="7" s="1"/>
  <c r="J163" i="6"/>
  <c r="H163" s="1"/>
  <c r="J130"/>
  <c r="H130" s="1"/>
  <c r="G130"/>
  <c r="AH11" i="7" s="1"/>
  <c r="E53" i="6"/>
  <c r="E50"/>
  <c r="E52"/>
  <c r="E51"/>
  <c r="J286"/>
  <c r="H286" s="1"/>
  <c r="G286"/>
  <c r="BU11" i="7" s="1"/>
  <c r="G267" i="6"/>
  <c r="BP12" i="7" s="1"/>
  <c r="J267" i="6"/>
  <c r="H267" s="1"/>
  <c r="J215"/>
  <c r="H215" s="1"/>
  <c r="BC4" i="7" s="1"/>
  <c r="G215" i="6"/>
  <c r="BC12" i="7" s="1"/>
  <c r="J206" i="6"/>
  <c r="G206"/>
  <c r="BA11" i="7" s="1"/>
  <c r="G144" i="6"/>
  <c r="AK13" i="7" s="1"/>
  <c r="J144" i="6"/>
  <c r="H144" s="1"/>
  <c r="AK5" i="7" s="1"/>
  <c r="J84" i="6"/>
  <c r="H84" s="1"/>
  <c r="G84"/>
  <c r="V13" i="7" s="1"/>
  <c r="J249" i="6"/>
  <c r="H249" s="1"/>
  <c r="G249"/>
  <c r="BK14" i="7" s="1"/>
  <c r="G240" i="6"/>
  <c r="BI13" i="7" s="1"/>
  <c r="J240" i="6"/>
  <c r="H240" s="1"/>
  <c r="G88"/>
  <c r="W13" i="7" s="1"/>
  <c r="J88" i="6"/>
  <c r="H88" s="1"/>
  <c r="G16"/>
  <c r="E13" i="7" s="1"/>
  <c r="J16" i="6"/>
  <c r="H16" s="1"/>
  <c r="G158"/>
  <c r="AO11" i="7" s="1"/>
  <c r="J158" i="6"/>
  <c r="H158" s="1"/>
  <c r="J67"/>
  <c r="G67"/>
  <c r="R12" i="7" s="1"/>
  <c r="G264" i="6"/>
  <c r="BO13" i="7" s="1"/>
  <c r="J264" i="6"/>
  <c r="H264" s="1"/>
  <c r="G175"/>
  <c r="AS12" i="7" s="1"/>
  <c r="J175" i="6"/>
  <c r="H175" s="1"/>
  <c r="G272"/>
  <c r="BQ13" i="7" s="1"/>
  <c r="J272" i="6"/>
  <c r="H272" s="1"/>
  <c r="G254"/>
  <c r="BM11" i="7" s="1"/>
  <c r="J254" i="6"/>
  <c r="H254" s="1"/>
  <c r="J193"/>
  <c r="H193" s="1"/>
  <c r="G193"/>
  <c r="AW14" i="7" s="1"/>
  <c r="J137" i="6"/>
  <c r="H137" s="1"/>
  <c r="G137"/>
  <c r="AI14" i="7" s="1"/>
  <c r="J127" i="6"/>
  <c r="H127" s="1"/>
  <c r="G127"/>
  <c r="AG12" i="7" s="1"/>
  <c r="J112" i="6"/>
  <c r="H112" s="1"/>
  <c r="G112"/>
  <c r="AC13" i="7" s="1"/>
  <c r="G95" i="6"/>
  <c r="Y12" i="7" s="1"/>
  <c r="J95" i="6"/>
  <c r="H95" s="1"/>
  <c r="G79"/>
  <c r="U12" i="7" s="1"/>
  <c r="J79" i="6"/>
  <c r="H79" s="1"/>
  <c r="J62"/>
  <c r="H62" s="1"/>
  <c r="G62"/>
  <c r="Q11" i="7" s="1"/>
  <c r="G48" i="6"/>
  <c r="M13" i="7" s="1"/>
  <c r="J48" i="6"/>
  <c r="H48" s="1"/>
  <c r="G31"/>
  <c r="I12" i="7" s="1"/>
  <c r="J31" i="6"/>
  <c r="H31" s="1"/>
  <c r="I4" i="7" s="1"/>
  <c r="G231" i="6"/>
  <c r="BG12" i="7" s="1"/>
  <c r="J231" i="6"/>
  <c r="H231" s="1"/>
  <c r="G224"/>
  <c r="BE13" i="7" s="1"/>
  <c r="J224" i="6"/>
  <c r="H224" s="1"/>
  <c r="BE5" i="7" s="1"/>
  <c r="G1395" i="13"/>
  <c r="I1395" s="1"/>
  <c r="G1468"/>
  <c r="I1468" s="1"/>
  <c r="H222" i="6"/>
  <c r="H46"/>
  <c r="C6" i="4"/>
  <c r="B495" i="10"/>
  <c r="F495" s="1"/>
  <c r="F46" i="9"/>
  <c r="F110"/>
  <c r="F174"/>
  <c r="F238"/>
  <c r="F15"/>
  <c r="F31"/>
  <c r="F47"/>
  <c r="F63"/>
  <c r="F79"/>
  <c r="F95"/>
  <c r="F111"/>
  <c r="F127"/>
  <c r="F143"/>
  <c r="F159"/>
  <c r="F175"/>
  <c r="F191"/>
  <c r="F207"/>
  <c r="F223"/>
  <c r="F239"/>
  <c r="F255"/>
  <c r="B399" i="10"/>
  <c r="F399" s="1"/>
  <c r="B527"/>
  <c r="F527" s="1"/>
  <c r="B286"/>
  <c r="F286" s="1"/>
  <c r="F9" i="9"/>
  <c r="F17"/>
  <c r="F25"/>
  <c r="F33"/>
  <c r="F41"/>
  <c r="F49"/>
  <c r="F57"/>
  <c r="F65"/>
  <c r="F73"/>
  <c r="F81"/>
  <c r="F89"/>
  <c r="F97"/>
  <c r="F105"/>
  <c r="F113"/>
  <c r="F121"/>
  <c r="F129"/>
  <c r="F137"/>
  <c r="F145"/>
  <c r="F153"/>
  <c r="F161"/>
  <c r="F169"/>
  <c r="F177"/>
  <c r="F185"/>
  <c r="F193"/>
  <c r="F201"/>
  <c r="F209"/>
  <c r="F217"/>
  <c r="F225"/>
  <c r="F233"/>
  <c r="F241"/>
  <c r="F249"/>
  <c r="F257"/>
  <c r="F265"/>
  <c r="F273"/>
  <c r="F281"/>
  <c r="F289"/>
  <c r="F297"/>
  <c r="F305"/>
  <c r="F313"/>
  <c r="F321"/>
  <c r="F329"/>
  <c r="F337"/>
  <c r="F345"/>
  <c r="F353"/>
  <c r="F361"/>
  <c r="F369"/>
  <c r="F377"/>
  <c r="F385"/>
  <c r="F393"/>
  <c r="F401"/>
  <c r="F409"/>
  <c r="F417"/>
  <c r="F425"/>
  <c r="F433"/>
  <c r="F441"/>
  <c r="F449"/>
  <c r="F457"/>
  <c r="F465"/>
  <c r="F473"/>
  <c r="F481"/>
  <c r="F489"/>
  <c r="F497"/>
  <c r="F505"/>
  <c r="F513"/>
  <c r="F521"/>
  <c r="F529"/>
  <c r="F537"/>
  <c r="F545"/>
  <c r="F553"/>
  <c r="F561"/>
  <c r="F569"/>
  <c r="F9" i="10"/>
  <c r="F17"/>
  <c r="F25"/>
  <c r="F33"/>
  <c r="F41"/>
  <c r="F49"/>
  <c r="F57"/>
  <c r="F65"/>
  <c r="F73"/>
  <c r="F81"/>
  <c r="F89"/>
  <c r="F97"/>
  <c r="F105"/>
  <c r="F113"/>
  <c r="F121"/>
  <c r="F129"/>
  <c r="F137"/>
  <c r="F145"/>
  <c r="F153"/>
  <c r="F161"/>
  <c r="F169"/>
  <c r="F177"/>
  <c r="F185"/>
  <c r="F193"/>
  <c r="F201"/>
  <c r="F209"/>
  <c r="F217"/>
  <c r="F225"/>
  <c r="F233"/>
  <c r="F241"/>
  <c r="F249"/>
  <c r="F257"/>
  <c r="F265"/>
  <c r="F273"/>
  <c r="F281"/>
  <c r="E398"/>
  <c r="E430"/>
  <c r="E526"/>
  <c r="B319"/>
  <c r="F319" s="1"/>
  <c r="B351"/>
  <c r="F351" s="1"/>
  <c r="B383"/>
  <c r="F383" s="1"/>
  <c r="B415"/>
  <c r="F415" s="1"/>
  <c r="B447"/>
  <c r="F447" s="1"/>
  <c r="B479"/>
  <c r="F479" s="1"/>
  <c r="B511"/>
  <c r="F511" s="1"/>
  <c r="B543"/>
  <c r="F543" s="1"/>
  <c r="E350"/>
  <c r="E382"/>
  <c r="E542"/>
  <c r="G39" i="13"/>
  <c r="I39" s="1"/>
  <c r="C553" i="10"/>
  <c r="G190" i="13"/>
  <c r="I190" s="1"/>
  <c r="G140"/>
  <c r="I140" s="1"/>
  <c r="G630"/>
  <c r="I630" s="1"/>
  <c r="G260"/>
  <c r="I260" s="1"/>
  <c r="G680"/>
  <c r="I680" s="1"/>
  <c r="G115"/>
  <c r="I115" s="1"/>
  <c r="G338"/>
  <c r="I338" s="1"/>
  <c r="G1200"/>
  <c r="I1200" s="1"/>
  <c r="G37"/>
  <c r="I37" s="1"/>
  <c r="G326"/>
  <c r="I326" s="1"/>
  <c r="G990"/>
  <c r="I990" s="1"/>
  <c r="G1270"/>
  <c r="I1270" s="1"/>
  <c r="G41"/>
  <c r="I41" s="1"/>
  <c r="G69"/>
  <c r="I69" s="1"/>
  <c r="G136"/>
  <c r="I136" s="1"/>
  <c r="G534"/>
  <c r="I534" s="1"/>
  <c r="G54"/>
  <c r="I54" s="1"/>
  <c r="G70"/>
  <c r="I70" s="1"/>
  <c r="G283"/>
  <c r="I283" s="1"/>
  <c r="G413"/>
  <c r="I413" s="1"/>
  <c r="G477"/>
  <c r="I477" s="1"/>
  <c r="G545"/>
  <c r="I545" s="1"/>
  <c r="G561"/>
  <c r="I561" s="1"/>
  <c r="G677"/>
  <c r="I677" s="1"/>
  <c r="G757"/>
  <c r="I757" s="1"/>
  <c r="G773"/>
  <c r="I773" s="1"/>
  <c r="G426"/>
  <c r="I426" s="1"/>
  <c r="G540"/>
  <c r="I540" s="1"/>
  <c r="G706"/>
  <c r="I706" s="1"/>
  <c r="G754"/>
  <c r="I754" s="1"/>
  <c r="G770"/>
  <c r="I770" s="1"/>
  <c r="G1062"/>
  <c r="I1062" s="1"/>
  <c r="G537"/>
  <c r="I537" s="1"/>
  <c r="G687"/>
  <c r="I687" s="1"/>
  <c r="G767"/>
  <c r="I767" s="1"/>
  <c r="G1058"/>
  <c r="I1058" s="1"/>
  <c r="G907"/>
  <c r="I907" s="1"/>
  <c r="G923"/>
  <c r="I923" s="1"/>
  <c r="G971"/>
  <c r="I971" s="1"/>
  <c r="G1115"/>
  <c r="I1115" s="1"/>
  <c r="G822"/>
  <c r="I822" s="1"/>
  <c r="G904"/>
  <c r="I904" s="1"/>
  <c r="G1064"/>
  <c r="I1064" s="1"/>
  <c r="G1128"/>
  <c r="I1128" s="1"/>
  <c r="G1176"/>
  <c r="I1176" s="1"/>
  <c r="G1322"/>
  <c r="I1322" s="1"/>
  <c r="G917"/>
  <c r="I917" s="1"/>
  <c r="G1045"/>
  <c r="I1045" s="1"/>
  <c r="G1173"/>
  <c r="I1173" s="1"/>
  <c r="G1191"/>
  <c r="I1191" s="1"/>
  <c r="G1271"/>
  <c r="I1271" s="1"/>
  <c r="G1319"/>
  <c r="I1319" s="1"/>
  <c r="G1272"/>
  <c r="I1272" s="1"/>
  <c r="G1338"/>
  <c r="I1338" s="1"/>
  <c r="H270" i="6"/>
  <c r="H235"/>
  <c r="H190"/>
  <c r="H67"/>
  <c r="H5"/>
  <c r="N478" i="8"/>
  <c r="N470"/>
  <c r="N462"/>
  <c r="N454"/>
  <c r="N446"/>
  <c r="N438"/>
  <c r="N484"/>
  <c r="N477"/>
  <c r="N469"/>
  <c r="N461"/>
  <c r="N453"/>
  <c r="N445"/>
  <c r="N437"/>
  <c r="N420"/>
  <c r="N404"/>
  <c r="N388"/>
  <c r="N372"/>
  <c r="N356"/>
  <c r="N340"/>
  <c r="N324"/>
  <c r="N308"/>
  <c r="N292"/>
  <c r="N276"/>
  <c r="N260"/>
  <c r="N244"/>
  <c r="N228"/>
  <c r="N212"/>
  <c r="N196"/>
  <c r="N180"/>
  <c r="N164"/>
  <c r="N148"/>
  <c r="N132"/>
  <c r="N116"/>
  <c r="N100"/>
  <c r="N84"/>
  <c r="N68"/>
  <c r="N52"/>
  <c r="N35"/>
  <c r="N19"/>
  <c r="N2"/>
  <c r="N432"/>
  <c r="N416"/>
  <c r="N400"/>
  <c r="N384"/>
  <c r="N368"/>
  <c r="N352"/>
  <c r="N336"/>
  <c r="N320"/>
  <c r="N304"/>
  <c r="N288"/>
  <c r="N272"/>
  <c r="N256"/>
  <c r="N240"/>
  <c r="N224"/>
  <c r="N208"/>
  <c r="N192"/>
  <c r="N176"/>
  <c r="N160"/>
  <c r="N144"/>
  <c r="N128"/>
  <c r="N112"/>
  <c r="N96"/>
  <c r="N80"/>
  <c r="N64"/>
  <c r="N48"/>
  <c r="G2" i="6"/>
  <c r="B11" i="7" s="1"/>
  <c r="B15" s="1"/>
  <c r="N310" i="8"/>
  <c r="N278"/>
  <c r="N214"/>
  <c r="N198"/>
  <c r="N166"/>
  <c r="N150"/>
  <c r="N118"/>
  <c r="N70"/>
  <c r="N6"/>
  <c r="N1133"/>
  <c r="N1130"/>
  <c r="N1131"/>
  <c r="N1132"/>
  <c r="N1118"/>
  <c r="N1121"/>
  <c r="N1120"/>
  <c r="N1119"/>
  <c r="N1102"/>
  <c r="N1105"/>
  <c r="N1104"/>
  <c r="N1103"/>
  <c r="N1086"/>
  <c r="N1089"/>
  <c r="N1088"/>
  <c r="N1087"/>
  <c r="N1070"/>
  <c r="N1073"/>
  <c r="N1072"/>
  <c r="N1071"/>
  <c r="N1054"/>
  <c r="N1057"/>
  <c r="N1056"/>
  <c r="N1055"/>
  <c r="N1038"/>
  <c r="N1041"/>
  <c r="N1040"/>
  <c r="N1039"/>
  <c r="N1022"/>
  <c r="N1025"/>
  <c r="N1024"/>
  <c r="N1023"/>
  <c r="N1006"/>
  <c r="N1009"/>
  <c r="N1008"/>
  <c r="N1007"/>
  <c r="N990"/>
  <c r="N993"/>
  <c r="N992"/>
  <c r="N991"/>
  <c r="N974"/>
  <c r="N977"/>
  <c r="N976"/>
  <c r="N975"/>
  <c r="N958"/>
  <c r="N961"/>
  <c r="N960"/>
  <c r="N959"/>
  <c r="N942"/>
  <c r="N945"/>
  <c r="N944"/>
  <c r="N943"/>
  <c r="N926"/>
  <c r="N929"/>
  <c r="N928"/>
  <c r="N927"/>
  <c r="N910"/>
  <c r="N913"/>
  <c r="N912"/>
  <c r="N911"/>
  <c r="N894"/>
  <c r="N897"/>
  <c r="N896"/>
  <c r="N895"/>
  <c r="N878"/>
  <c r="N881"/>
  <c r="N880"/>
  <c r="N879"/>
  <c r="N862"/>
  <c r="N865"/>
  <c r="N864"/>
  <c r="N863"/>
  <c r="N846"/>
  <c r="N849"/>
  <c r="N848"/>
  <c r="N847"/>
  <c r="N830"/>
  <c r="N833"/>
  <c r="N832"/>
  <c r="N831"/>
  <c r="N814"/>
  <c r="N817"/>
  <c r="N816"/>
  <c r="N815"/>
  <c r="N798"/>
  <c r="N801"/>
  <c r="N800"/>
  <c r="N799"/>
  <c r="N782"/>
  <c r="N785"/>
  <c r="N784"/>
  <c r="N783"/>
  <c r="N766"/>
  <c r="N769"/>
  <c r="N768"/>
  <c r="N767"/>
  <c r="N750"/>
  <c r="N753"/>
  <c r="N752"/>
  <c r="N751"/>
  <c r="N734"/>
  <c r="N737"/>
  <c r="N736"/>
  <c r="N735"/>
  <c r="N718"/>
  <c r="N721"/>
  <c r="N720"/>
  <c r="N719"/>
  <c r="N702"/>
  <c r="N705"/>
  <c r="N704"/>
  <c r="N703"/>
  <c r="N686"/>
  <c r="N689"/>
  <c r="N688"/>
  <c r="N687"/>
  <c r="N670"/>
  <c r="N673"/>
  <c r="N672"/>
  <c r="N671"/>
  <c r="N654"/>
  <c r="N657"/>
  <c r="N656"/>
  <c r="N655"/>
  <c r="N638"/>
  <c r="N641"/>
  <c r="N640"/>
  <c r="N639"/>
  <c r="N622"/>
  <c r="N625"/>
  <c r="N624"/>
  <c r="N623"/>
  <c r="N606"/>
  <c r="N609"/>
  <c r="N608"/>
  <c r="N607"/>
  <c r="N590"/>
  <c r="N593"/>
  <c r="N592"/>
  <c r="N591"/>
  <c r="N574"/>
  <c r="N577"/>
  <c r="N576"/>
  <c r="N575"/>
  <c r="H8" i="3"/>
  <c r="E29" i="6"/>
  <c r="E28"/>
  <c r="E27"/>
  <c r="E26"/>
  <c r="J178"/>
  <c r="H178" s="1"/>
  <c r="G178"/>
  <c r="AT11" i="7" s="1"/>
  <c r="AT15" s="1"/>
  <c r="E166" i="6"/>
  <c r="H43" i="3"/>
  <c r="E169" i="6"/>
  <c r="E168"/>
  <c r="E167"/>
  <c r="E73"/>
  <c r="E71"/>
  <c r="H19" i="3"/>
  <c r="E72" i="6"/>
  <c r="E70"/>
  <c r="E7"/>
  <c r="E9"/>
  <c r="E8"/>
  <c r="E6"/>
  <c r="H3" i="3"/>
  <c r="E7" i="19"/>
  <c r="B33" i="27"/>
  <c r="D33" s="1"/>
  <c r="N558" i="8"/>
  <c r="N561"/>
  <c r="N560"/>
  <c r="N559"/>
  <c r="N542"/>
  <c r="N545"/>
  <c r="N544"/>
  <c r="N543"/>
  <c r="N526"/>
  <c r="N529"/>
  <c r="N528"/>
  <c r="N527"/>
  <c r="N510"/>
  <c r="N513"/>
  <c r="N512"/>
  <c r="N511"/>
  <c r="N494"/>
  <c r="N497"/>
  <c r="N496"/>
  <c r="N495"/>
  <c r="E252" i="6"/>
  <c r="H64" i="3"/>
  <c r="E251" i="6"/>
  <c r="E253"/>
  <c r="E250"/>
  <c r="E171"/>
  <c r="H44" i="3"/>
  <c r="E173" i="6"/>
  <c r="E172"/>
  <c r="E170"/>
  <c r="E92"/>
  <c r="E90"/>
  <c r="H24" i="3"/>
  <c r="E93" i="6"/>
  <c r="E91"/>
  <c r="J226"/>
  <c r="H226" s="1"/>
  <c r="G226"/>
  <c r="BF11" i="7" s="1"/>
  <c r="BF15" s="1"/>
  <c r="J162" i="6"/>
  <c r="H162" s="1"/>
  <c r="G162"/>
  <c r="AP11" i="7" s="1"/>
  <c r="G20" i="6"/>
  <c r="F13" i="7" s="1"/>
  <c r="F15" s="1"/>
  <c r="J20" i="6"/>
  <c r="H20" s="1"/>
  <c r="G276"/>
  <c r="BR13" i="7" s="1"/>
  <c r="J276" i="6"/>
  <c r="H276" s="1"/>
  <c r="J210"/>
  <c r="H210" s="1"/>
  <c r="G210"/>
  <c r="BB11" i="7" s="1"/>
  <c r="BB15" s="1"/>
  <c r="G164" i="6"/>
  <c r="AP13" i="7" s="1"/>
  <c r="J164" i="6"/>
  <c r="H164" s="1"/>
  <c r="G131"/>
  <c r="AH12" i="7" s="1"/>
  <c r="J131" i="6"/>
  <c r="H131" s="1"/>
  <c r="E100"/>
  <c r="E99"/>
  <c r="E101"/>
  <c r="E98"/>
  <c r="G289"/>
  <c r="BU14" i="7" s="1"/>
  <c r="J289" i="6"/>
  <c r="H289" s="1"/>
  <c r="G269"/>
  <c r="BP14" i="7" s="1"/>
  <c r="J269" i="6"/>
  <c r="H269" s="1"/>
  <c r="G216"/>
  <c r="BC13" i="7" s="1"/>
  <c r="J216" i="6"/>
  <c r="H216" s="1"/>
  <c r="BC5" i="7" s="1"/>
  <c r="G207" i="6"/>
  <c r="BA12" i="7" s="1"/>
  <c r="J207" i="6"/>
  <c r="H207" s="1"/>
  <c r="J143"/>
  <c r="H143" s="1"/>
  <c r="AK4" i="7" s="1"/>
  <c r="G143" i="6"/>
  <c r="AK12" i="7" s="1"/>
  <c r="G83" i="6"/>
  <c r="V12" i="7" s="1"/>
  <c r="J83" i="6"/>
  <c r="H83" s="1"/>
  <c r="G247"/>
  <c r="BK12" i="7" s="1"/>
  <c r="J247" i="6"/>
  <c r="G239"/>
  <c r="BI12" i="7" s="1"/>
  <c r="J239" i="6"/>
  <c r="H239" s="1"/>
  <c r="J234"/>
  <c r="H234" s="1"/>
  <c r="G234"/>
  <c r="BH11" i="7" s="1"/>
  <c r="BH15" s="1"/>
  <c r="G87" i="6"/>
  <c r="W12" i="7" s="1"/>
  <c r="J87" i="6"/>
  <c r="H87" s="1"/>
  <c r="W4" i="7" s="1"/>
  <c r="J14" i="6"/>
  <c r="G14"/>
  <c r="E11" i="7" s="1"/>
  <c r="E15" s="1"/>
  <c r="J160" i="6"/>
  <c r="H160" s="1"/>
  <c r="G160"/>
  <c r="AO13" i="7" s="1"/>
  <c r="J66" i="6"/>
  <c r="H66" s="1"/>
  <c r="G66"/>
  <c r="R11" i="7" s="1"/>
  <c r="R15" s="1"/>
  <c r="J262" i="6"/>
  <c r="H262" s="1"/>
  <c r="G262"/>
  <c r="BO11" i="7" s="1"/>
  <c r="G263" i="6"/>
  <c r="BO12" i="7" s="1"/>
  <c r="J263" i="6"/>
  <c r="H263" s="1"/>
  <c r="J177"/>
  <c r="H177" s="1"/>
  <c r="G177"/>
  <c r="AS14" i="7" s="1"/>
  <c r="G281" i="6"/>
  <c r="BS14" i="7" s="1"/>
  <c r="J281" i="6"/>
  <c r="H281" s="1"/>
  <c r="G271"/>
  <c r="BQ12" i="7" s="1"/>
  <c r="J271" i="6"/>
  <c r="H271" s="1"/>
  <c r="G256"/>
  <c r="BM13" i="7" s="1"/>
  <c r="J256" i="6"/>
  <c r="H256" s="1"/>
  <c r="G191"/>
  <c r="AW12" i="7" s="1"/>
  <c r="J191" i="6"/>
  <c r="H191" s="1"/>
  <c r="J134"/>
  <c r="H134" s="1"/>
  <c r="G134"/>
  <c r="AI11" i="7" s="1"/>
  <c r="G135" i="6"/>
  <c r="AI12" i="7" s="1"/>
  <c r="J135" i="6"/>
  <c r="J126"/>
  <c r="H126" s="1"/>
  <c r="G126"/>
  <c r="AG11" i="7" s="1"/>
  <c r="AG15" s="1"/>
  <c r="G111" i="6"/>
  <c r="AC12" i="7" s="1"/>
  <c r="J111" i="6"/>
  <c r="H111" s="1"/>
  <c r="J97"/>
  <c r="H97" s="1"/>
  <c r="G97"/>
  <c r="Y14" i="7" s="1"/>
  <c r="G80" i="6"/>
  <c r="U13" i="7" s="1"/>
  <c r="J80" i="6"/>
  <c r="H80" s="1"/>
  <c r="J65"/>
  <c r="H65" s="1"/>
  <c r="G65"/>
  <c r="Q14" i="7" s="1"/>
  <c r="G49" i="6"/>
  <c r="M14" i="7" s="1"/>
  <c r="J49" i="6"/>
  <c r="H49" s="1"/>
  <c r="J33"/>
  <c r="H33" s="1"/>
  <c r="G33"/>
  <c r="I14" i="7" s="1"/>
  <c r="J233" i="6"/>
  <c r="H233" s="1"/>
  <c r="G233"/>
  <c r="BG14" i="7" s="1"/>
  <c r="J225" i="6"/>
  <c r="H225" s="1"/>
  <c r="BE6" i="7" s="1"/>
  <c r="G225" i="6"/>
  <c r="BE14" i="7" s="1"/>
  <c r="H238" i="6"/>
  <c r="F14" i="9"/>
  <c r="B400" i="10"/>
  <c r="F400" s="1"/>
  <c r="F22"/>
  <c r="B432"/>
  <c r="F432" s="1"/>
  <c r="E518"/>
  <c r="B560"/>
  <c r="F560" s="1"/>
  <c r="B431"/>
  <c r="F431" s="1"/>
  <c r="E513"/>
  <c r="B559"/>
  <c r="F559" s="1"/>
  <c r="B313"/>
  <c r="B345"/>
  <c r="F345" s="1"/>
  <c r="B377"/>
  <c r="E393"/>
  <c r="B409"/>
  <c r="F409" s="1"/>
  <c r="B441"/>
  <c r="F441" s="1"/>
  <c r="B473"/>
  <c r="B505"/>
  <c r="E521"/>
  <c r="B537"/>
  <c r="F537" s="1"/>
  <c r="E553"/>
  <c r="F569"/>
  <c r="E313"/>
  <c r="B329"/>
  <c r="F329" s="1"/>
  <c r="B361"/>
  <c r="F361" s="1"/>
  <c r="E377"/>
  <c r="B393"/>
  <c r="B425"/>
  <c r="F425" s="1"/>
  <c r="B457"/>
  <c r="F457" s="1"/>
  <c r="E473"/>
  <c r="B489"/>
  <c r="F489" s="1"/>
  <c r="E505"/>
  <c r="B521"/>
  <c r="B553"/>
  <c r="F553" s="1"/>
  <c r="G776" i="13"/>
  <c r="I776" s="1"/>
  <c r="G63"/>
  <c r="I63" s="1"/>
  <c r="G354"/>
  <c r="I354" s="1"/>
  <c r="G492"/>
  <c r="I492" s="1"/>
  <c r="G560"/>
  <c r="I560" s="1"/>
  <c r="G626"/>
  <c r="I626" s="1"/>
  <c r="G55"/>
  <c r="I55" s="1"/>
  <c r="G188"/>
  <c r="I188" s="1"/>
  <c r="G38"/>
  <c r="I38" s="1"/>
  <c r="G126"/>
  <c r="I126" s="1"/>
  <c r="G256"/>
  <c r="I256" s="1"/>
  <c r="G50"/>
  <c r="I50" s="1"/>
  <c r="G114"/>
  <c r="I114" s="1"/>
  <c r="G183"/>
  <c r="I183" s="1"/>
  <c r="G623"/>
  <c r="I623" s="1"/>
  <c r="G689"/>
  <c r="I689" s="1"/>
  <c r="G705"/>
  <c r="I705" s="1"/>
  <c r="G769"/>
  <c r="I769" s="1"/>
  <c r="G1262"/>
  <c r="I1262" s="1"/>
  <c r="G486"/>
  <c r="I486" s="1"/>
  <c r="G686"/>
  <c r="I686" s="1"/>
  <c r="G750"/>
  <c r="I750" s="1"/>
  <c r="G918"/>
  <c r="I918" s="1"/>
  <c r="G982"/>
  <c r="I982" s="1"/>
  <c r="G1046"/>
  <c r="I1046" s="1"/>
  <c r="G551"/>
  <c r="I551" s="1"/>
  <c r="G567"/>
  <c r="I567" s="1"/>
  <c r="G1042"/>
  <c r="I1042" s="1"/>
  <c r="G1106"/>
  <c r="I1106" s="1"/>
  <c r="G1246"/>
  <c r="I1246" s="1"/>
  <c r="G903"/>
  <c r="I903" s="1"/>
  <c r="G967"/>
  <c r="I967" s="1"/>
  <c r="G983"/>
  <c r="I983" s="1"/>
  <c r="G1111"/>
  <c r="I1111" s="1"/>
  <c r="G1175"/>
  <c r="I1175" s="1"/>
  <c r="G1257"/>
  <c r="I1257" s="1"/>
  <c r="G1321"/>
  <c r="I1321" s="1"/>
  <c r="G850"/>
  <c r="I850" s="1"/>
  <c r="G900"/>
  <c r="I900" s="1"/>
  <c r="G1124"/>
  <c r="I1124" s="1"/>
  <c r="G1190"/>
  <c r="I1190" s="1"/>
  <c r="G1250"/>
  <c r="I1250" s="1"/>
  <c r="G1105"/>
  <c r="I1105" s="1"/>
  <c r="G1137"/>
  <c r="I1137" s="1"/>
  <c r="G1187"/>
  <c r="I1187" s="1"/>
  <c r="G1245"/>
  <c r="I1245" s="1"/>
  <c r="G1277"/>
  <c r="I1277" s="1"/>
  <c r="G1343"/>
  <c r="I1343" s="1"/>
  <c r="G1251"/>
  <c r="I1251" s="1"/>
  <c r="G1315"/>
  <c r="I1315" s="1"/>
  <c r="H279" i="6"/>
  <c r="H247"/>
  <c r="H206"/>
  <c r="H135"/>
  <c r="H78"/>
  <c r="H14"/>
  <c r="H30" i="3"/>
  <c r="H14"/>
  <c r="F1390" i="12" l="1"/>
  <c r="F670"/>
  <c r="F1318"/>
  <c r="H1318" s="1"/>
  <c r="F166"/>
  <c r="V4" i="7"/>
  <c r="BG4"/>
  <c r="F923" i="12"/>
  <c r="H923" s="1"/>
  <c r="F1571"/>
  <c r="F347"/>
  <c r="L254" i="6"/>
  <c r="L255"/>
  <c r="L257"/>
  <c r="BM3" i="7"/>
  <c r="L256" i="6"/>
  <c r="F1289" i="12"/>
  <c r="H1289" s="1"/>
  <c r="L127" i="6"/>
  <c r="AG3" i="7"/>
  <c r="L126" i="6"/>
  <c r="L129"/>
  <c r="L128"/>
  <c r="F681" i="12"/>
  <c r="F177"/>
  <c r="F1545"/>
  <c r="H1545" s="1"/>
  <c r="F1041"/>
  <c r="F609"/>
  <c r="F465"/>
  <c r="F1185"/>
  <c r="H1185" s="1"/>
  <c r="L62" i="6"/>
  <c r="L63"/>
  <c r="Q3" i="7"/>
  <c r="L64" i="6"/>
  <c r="L65"/>
  <c r="F1097" i="12"/>
  <c r="F233"/>
  <c r="F305"/>
  <c r="H305" s="1"/>
  <c r="F1529"/>
  <c r="F953"/>
  <c r="F89"/>
  <c r="F1025"/>
  <c r="F593"/>
  <c r="BU3" i="7"/>
  <c r="L287" i="6"/>
  <c r="L288"/>
  <c r="L286"/>
  <c r="L289"/>
  <c r="F937" i="12"/>
  <c r="F505"/>
  <c r="F1009"/>
  <c r="F1441"/>
  <c r="F1153"/>
  <c r="BO4" i="7"/>
  <c r="F1147" i="12"/>
  <c r="F571"/>
  <c r="F67"/>
  <c r="AO3" i="7"/>
  <c r="L159" i="6"/>
  <c r="L158"/>
  <c r="L161"/>
  <c r="L160"/>
  <c r="F1193" i="12"/>
  <c r="F761"/>
  <c r="F1121"/>
  <c r="F1265"/>
  <c r="F257"/>
  <c r="F113"/>
  <c r="F1409"/>
  <c r="L239" i="6"/>
  <c r="BI3" i="7"/>
  <c r="L238" i="6"/>
  <c r="L241"/>
  <c r="L240"/>
  <c r="F997" i="12"/>
  <c r="F1429"/>
  <c r="F1573"/>
  <c r="I6" i="7"/>
  <c r="C4" i="23" s="1"/>
  <c r="F1161" i="12"/>
  <c r="F729"/>
  <c r="F873"/>
  <c r="F225"/>
  <c r="H225" s="1"/>
  <c r="F441"/>
  <c r="F1233"/>
  <c r="F1521"/>
  <c r="F1377"/>
  <c r="H1377" s="1"/>
  <c r="F945"/>
  <c r="F81"/>
  <c r="F369"/>
  <c r="F1449"/>
  <c r="H1449" s="1"/>
  <c r="F801"/>
  <c r="F1017"/>
  <c r="F585"/>
  <c r="F297"/>
  <c r="H297" s="1"/>
  <c r="F513"/>
  <c r="F1305"/>
  <c r="F1089"/>
  <c r="F9"/>
  <c r="H9" s="1"/>
  <c r="F153"/>
  <c r="F657"/>
  <c r="Q6" i="7"/>
  <c r="F1313" i="12"/>
  <c r="F1169"/>
  <c r="F1457"/>
  <c r="F737"/>
  <c r="F1241"/>
  <c r="H1241" s="1"/>
  <c r="Y6" i="7"/>
  <c r="F1537" i="12"/>
  <c r="F745"/>
  <c r="F169"/>
  <c r="H169" s="1"/>
  <c r="F1249"/>
  <c r="F1465"/>
  <c r="F817"/>
  <c r="F889"/>
  <c r="L135" i="6"/>
  <c r="AI3" i="7"/>
  <c r="L134" i="6"/>
  <c r="L137"/>
  <c r="L136"/>
  <c r="L67"/>
  <c r="L66"/>
  <c r="L69"/>
  <c r="L68"/>
  <c r="F1530" i="12"/>
  <c r="F738"/>
  <c r="F810"/>
  <c r="H810" s="1"/>
  <c r="F1098"/>
  <c r="F954"/>
  <c r="F162"/>
  <c r="F1026"/>
  <c r="F882"/>
  <c r="R3" i="7"/>
  <c r="F666" i="12"/>
  <c r="F1458"/>
  <c r="H1458" s="1"/>
  <c r="L234" i="6"/>
  <c r="L235"/>
  <c r="L236"/>
  <c r="BH3" i="7"/>
  <c r="BH7" s="1"/>
  <c r="L237" i="6"/>
  <c r="F996" i="12"/>
  <c r="F780"/>
  <c r="F1140"/>
  <c r="F1356"/>
  <c r="J100" i="6"/>
  <c r="H100" s="1"/>
  <c r="G100"/>
  <c r="Z13" i="7" s="1"/>
  <c r="L162" i="6"/>
  <c r="L163"/>
  <c r="L164"/>
  <c r="L165"/>
  <c r="F1122" i="12"/>
  <c r="H1122" s="1"/>
  <c r="F1050"/>
  <c r="F906"/>
  <c r="AP3" i="7"/>
  <c r="F330" i="12"/>
  <c r="H330" s="1"/>
  <c r="F546"/>
  <c r="F1410"/>
  <c r="F42"/>
  <c r="J93" i="6"/>
  <c r="H93" s="1"/>
  <c r="G93"/>
  <c r="X14" i="7" s="1"/>
  <c r="J170" i="6"/>
  <c r="H170" s="1"/>
  <c r="G170"/>
  <c r="AR11" i="7" s="1"/>
  <c r="G171" i="6"/>
  <c r="AR12" i="7" s="1"/>
  <c r="J171" i="6"/>
  <c r="H171" s="1"/>
  <c r="G7"/>
  <c r="C12" i="7" s="1"/>
  <c r="J7" i="6"/>
  <c r="H7" s="1"/>
  <c r="G71"/>
  <c r="S12" i="7" s="1"/>
  <c r="J71" i="6"/>
  <c r="H71" s="1"/>
  <c r="S4" i="7" s="1"/>
  <c r="J169" i="6"/>
  <c r="H169" s="1"/>
  <c r="G169"/>
  <c r="AQ14" i="7" s="1"/>
  <c r="L178" i="6"/>
  <c r="L179"/>
  <c r="L180"/>
  <c r="L181"/>
  <c r="F1342" i="12"/>
  <c r="H1342" s="1"/>
  <c r="F1054"/>
  <c r="AT3" i="7"/>
  <c r="G29" i="6"/>
  <c r="H14" i="7" s="1"/>
  <c r="J29" i="6"/>
  <c r="H29" s="1"/>
  <c r="L191"/>
  <c r="L190"/>
  <c r="AW3" i="7"/>
  <c r="L193" i="6"/>
  <c r="L192"/>
  <c r="F1345" i="12"/>
  <c r="F913"/>
  <c r="F1561"/>
  <c r="H1561" s="1"/>
  <c r="F1057"/>
  <c r="M3" i="7"/>
  <c r="L46" i="6"/>
  <c r="L47"/>
  <c r="L48"/>
  <c r="L49"/>
  <c r="F229" i="12"/>
  <c r="F301"/>
  <c r="H301" s="1"/>
  <c r="Y4" i="7"/>
  <c r="F241" i="12"/>
  <c r="F313"/>
  <c r="F673"/>
  <c r="H673" s="1"/>
  <c r="BQ5" i="7"/>
  <c r="F1293" i="12"/>
  <c r="F357"/>
  <c r="F285"/>
  <c r="H285" s="1"/>
  <c r="F1005"/>
  <c r="F213"/>
  <c r="F1581"/>
  <c r="BO5" i="7"/>
  <c r="F1435" i="12"/>
  <c r="F139"/>
  <c r="F1363"/>
  <c r="F211"/>
  <c r="F283"/>
  <c r="W5" i="7"/>
  <c r="F95" i="12"/>
  <c r="F1103"/>
  <c r="H1103" s="1"/>
  <c r="F455"/>
  <c r="F1175"/>
  <c r="F887"/>
  <c r="F671"/>
  <c r="H671" s="1"/>
  <c r="F599"/>
  <c r="J50" i="6"/>
  <c r="H50" s="1"/>
  <c r="G50"/>
  <c r="N11" i="7" s="1"/>
  <c r="F258" i="12"/>
  <c r="H258" s="1"/>
  <c r="F762"/>
  <c r="AP4" i="7"/>
  <c r="F758" i="12"/>
  <c r="F830"/>
  <c r="F326"/>
  <c r="F1550"/>
  <c r="F254"/>
  <c r="AL4" i="7"/>
  <c r="G75" i="6"/>
  <c r="T12" i="7" s="1"/>
  <c r="J75" i="6"/>
  <c r="H75" s="1"/>
  <c r="T4" i="7" s="1"/>
  <c r="J154" i="6"/>
  <c r="H154" s="1"/>
  <c r="G154"/>
  <c r="AN11" i="7" s="1"/>
  <c r="AN15" s="1"/>
  <c r="J218" i="6"/>
  <c r="H218" s="1"/>
  <c r="G218"/>
  <c r="BD11" i="7" s="1"/>
  <c r="G151" i="6"/>
  <c r="AM12" i="7" s="1"/>
  <c r="J151" i="6"/>
  <c r="H151" s="1"/>
  <c r="G12"/>
  <c r="D13" i="7" s="1"/>
  <c r="J12" i="6"/>
  <c r="H12" s="1"/>
  <c r="BP5" i="7"/>
  <c r="F500" i="12"/>
  <c r="F788"/>
  <c r="BE4" i="7"/>
  <c r="C12" i="23" s="1"/>
  <c r="F1569" i="12"/>
  <c r="F777"/>
  <c r="H777" s="1"/>
  <c r="F1065"/>
  <c r="F201"/>
  <c r="F129"/>
  <c r="F345"/>
  <c r="H345" s="1"/>
  <c r="F489"/>
  <c r="F1281"/>
  <c r="F1137"/>
  <c r="F273"/>
  <c r="H273" s="1"/>
  <c r="F1425"/>
  <c r="F1497"/>
  <c r="F705"/>
  <c r="F849"/>
  <c r="H849" s="1"/>
  <c r="F921"/>
  <c r="F57"/>
  <c r="F417"/>
  <c r="F633"/>
  <c r="H633" s="1"/>
  <c r="F1209"/>
  <c r="F1353"/>
  <c r="F993"/>
  <c r="F561"/>
  <c r="H561" s="1"/>
  <c r="Q4" i="7"/>
  <c r="F449" i="12"/>
  <c r="F1385"/>
  <c r="Y5" i="7"/>
  <c r="F601" i="12"/>
  <c r="F1177"/>
  <c r="AG5" i="7"/>
  <c r="F969" i="12"/>
  <c r="H969" s="1"/>
  <c r="F105"/>
  <c r="F1329"/>
  <c r="F1401"/>
  <c r="AW5" i="7"/>
  <c r="F1129" i="12"/>
  <c r="F1201"/>
  <c r="F1417"/>
  <c r="F1273"/>
  <c r="H1273" s="1"/>
  <c r="BH5" i="7"/>
  <c r="F636" i="12"/>
  <c r="F1068"/>
  <c r="F132"/>
  <c r="H132" s="1"/>
  <c r="L83" i="6"/>
  <c r="L82"/>
  <c r="L85"/>
  <c r="L84"/>
  <c r="F1246" i="12"/>
  <c r="F1174"/>
  <c r="F742"/>
  <c r="F814"/>
  <c r="H814" s="1"/>
  <c r="V3" i="7"/>
  <c r="F1462" i="12"/>
  <c r="F1030"/>
  <c r="AX4" i="7"/>
  <c r="F1490" i="12"/>
  <c r="F1130"/>
  <c r="F338"/>
  <c r="F266"/>
  <c r="F482"/>
  <c r="J37" i="6"/>
  <c r="H37" s="1"/>
  <c r="G37"/>
  <c r="J14" i="7" s="1"/>
  <c r="F506" i="12"/>
  <c r="H506" s="1"/>
  <c r="F1298"/>
  <c r="F794"/>
  <c r="F74"/>
  <c r="B5" i="7"/>
  <c r="F2" i="12"/>
  <c r="F578"/>
  <c r="J58" i="6"/>
  <c r="H58" s="1"/>
  <c r="G58"/>
  <c r="P11" i="7" s="1"/>
  <c r="P15" s="1"/>
  <c r="J61" i="6"/>
  <c r="H61" s="1"/>
  <c r="G61"/>
  <c r="P14" i="7" s="1"/>
  <c r="J138" i="6"/>
  <c r="H138" s="1"/>
  <c r="G138"/>
  <c r="AJ11" i="7" s="1"/>
  <c r="AJ15" s="1"/>
  <c r="G204" i="6"/>
  <c r="AZ13" i="7" s="1"/>
  <c r="J204" i="6"/>
  <c r="H204" s="1"/>
  <c r="G115"/>
  <c r="AD12" i="7" s="1"/>
  <c r="J115" i="6"/>
  <c r="H115" s="1"/>
  <c r="G40"/>
  <c r="K13" i="7" s="1"/>
  <c r="J40" i="6"/>
  <c r="H40" s="1"/>
  <c r="J198"/>
  <c r="H198" s="1"/>
  <c r="G198"/>
  <c r="AY11" i="7" s="1"/>
  <c r="AY15" s="1"/>
  <c r="M4"/>
  <c r="F1021" i="12"/>
  <c r="F589"/>
  <c r="F373"/>
  <c r="BQ6" i="7"/>
  <c r="F1149" i="12"/>
  <c r="F429"/>
  <c r="F717"/>
  <c r="H717" s="1"/>
  <c r="F861"/>
  <c r="F1509"/>
  <c r="F69"/>
  <c r="F573"/>
  <c r="H573" s="1"/>
  <c r="F141"/>
  <c r="E4" i="7"/>
  <c r="F1373" i="12"/>
  <c r="F581"/>
  <c r="H581" s="1"/>
  <c r="F725"/>
  <c r="BK5" i="7"/>
  <c r="F1287" i="12"/>
  <c r="F1143"/>
  <c r="H1143" s="1"/>
  <c r="BU5" i="7"/>
  <c r="F217" i="12"/>
  <c r="F1297"/>
  <c r="F721"/>
  <c r="H721" s="1"/>
  <c r="F1081"/>
  <c r="F361"/>
  <c r="F433"/>
  <c r="F1369"/>
  <c r="H1369" s="1"/>
  <c r="F289"/>
  <c r="J261" i="6"/>
  <c r="H261" s="1"/>
  <c r="G261"/>
  <c r="BN14" i="7" s="1"/>
  <c r="J43" i="6"/>
  <c r="H43" s="1"/>
  <c r="G43"/>
  <c r="L12" i="7" s="1"/>
  <c r="J106" i="6"/>
  <c r="H106" s="1"/>
  <c r="G106"/>
  <c r="AB11" i="7" s="1"/>
  <c r="G187" i="6"/>
  <c r="AV12" i="7" s="1"/>
  <c r="J187" i="6"/>
  <c r="H187" s="1"/>
  <c r="J186"/>
  <c r="H186" s="1"/>
  <c r="G186"/>
  <c r="AV11" i="7" s="1"/>
  <c r="G24" i="6"/>
  <c r="G13" i="7" s="1"/>
  <c r="J24" i="6"/>
  <c r="H24" s="1"/>
  <c r="J105"/>
  <c r="H105" s="1"/>
  <c r="G105"/>
  <c r="AA14" i="7" s="1"/>
  <c r="G183" i="6"/>
  <c r="AU12" i="7" s="1"/>
  <c r="J183" i="6"/>
  <c r="H183" s="1"/>
  <c r="G184"/>
  <c r="AU13" i="7" s="1"/>
  <c r="J184" i="6"/>
  <c r="H184" s="1"/>
  <c r="G124"/>
  <c r="AF13" i="7" s="1"/>
  <c r="J124" i="6"/>
  <c r="H124" s="1"/>
  <c r="B19" i="27"/>
  <c r="D19" s="1"/>
  <c r="G1583" i="12"/>
  <c r="G1579"/>
  <c r="G1567"/>
  <c r="G1559"/>
  <c r="G1529"/>
  <c r="G1485"/>
  <c r="G1561"/>
  <c r="G1545"/>
  <c r="G1542"/>
  <c r="G1524"/>
  <c r="G1504"/>
  <c r="G1488"/>
  <c r="G1484"/>
  <c r="G1536"/>
  <c r="G1527"/>
  <c r="G1523"/>
  <c r="G1519"/>
  <c r="G1515"/>
  <c r="G1499"/>
  <c r="G1478"/>
  <c r="G1477"/>
  <c r="G1470"/>
  <c r="G1469"/>
  <c r="G1464"/>
  <c r="G1463"/>
  <c r="G1462"/>
  <c r="G1461"/>
  <c r="G1458"/>
  <c r="G1450"/>
  <c r="G1445"/>
  <c r="G1442"/>
  <c r="H1442" s="1"/>
  <c r="G1441"/>
  <c r="G1437"/>
  <c r="G1432"/>
  <c r="G1429"/>
  <c r="G1427"/>
  <c r="G1418"/>
  <c r="G1416"/>
  <c r="G1413"/>
  <c r="G1410"/>
  <c r="G1409"/>
  <c r="G1405"/>
  <c r="G1400"/>
  <c r="G1397"/>
  <c r="G1393"/>
  <c r="G1383"/>
  <c r="G1382"/>
  <c r="G1379"/>
  <c r="G1375"/>
  <c r="G1372"/>
  <c r="G1365"/>
  <c r="G1364"/>
  <c r="G1362"/>
  <c r="G1356"/>
  <c r="G1354"/>
  <c r="G1351"/>
  <c r="G1349"/>
  <c r="G1348"/>
  <c r="G1345"/>
  <c r="G1342"/>
  <c r="G1341"/>
  <c r="G1340"/>
  <c r="G1339"/>
  <c r="G1334"/>
  <c r="G1333"/>
  <c r="G1328"/>
  <c r="G1327"/>
  <c r="G1321"/>
  <c r="G1320"/>
  <c r="G1319"/>
  <c r="G1317"/>
  <c r="G1311"/>
  <c r="G1307"/>
  <c r="G1301"/>
  <c r="G1300"/>
  <c r="G1299"/>
  <c r="G1295"/>
  <c r="G1294"/>
  <c r="G1291"/>
  <c r="G1290"/>
  <c r="G1289"/>
  <c r="G1288"/>
  <c r="G1279"/>
  <c r="G1269"/>
  <c r="G1268"/>
  <c r="G1265"/>
  <c r="G1264"/>
  <c r="G1263"/>
  <c r="G1262"/>
  <c r="G1261"/>
  <c r="G1256"/>
  <c r="G1254"/>
  <c r="G1253"/>
  <c r="G1246"/>
  <c r="G1245"/>
  <c r="G1236"/>
  <c r="G1235"/>
  <c r="G1234"/>
  <c r="G1231"/>
  <c r="G1224"/>
  <c r="G1222"/>
  <c r="G1221"/>
  <c r="G1207"/>
  <c r="G1204"/>
  <c r="G1203"/>
  <c r="G1202"/>
  <c r="G1197"/>
  <c r="G1193"/>
  <c r="G1192"/>
  <c r="G1190"/>
  <c r="G1189"/>
  <c r="G1185"/>
  <c r="G1182"/>
  <c r="G1180"/>
  <c r="G1174"/>
  <c r="G1173"/>
  <c r="G1167"/>
  <c r="G1164"/>
  <c r="G1163"/>
  <c r="G1162"/>
  <c r="G1160"/>
  <c r="G1159"/>
  <c r="G1158"/>
  <c r="G1156"/>
  <c r="G1154"/>
  <c r="H1154" s="1"/>
  <c r="G1153"/>
  <c r="G1151"/>
  <c r="G1148"/>
  <c r="G1144"/>
  <c r="G1140"/>
  <c r="G1139"/>
  <c r="G1131"/>
  <c r="G1127"/>
  <c r="G1123"/>
  <c r="G1122"/>
  <c r="G1121"/>
  <c r="G1119"/>
  <c r="G1117"/>
  <c r="G1112"/>
  <c r="G1573"/>
  <c r="G1565"/>
  <c r="G1549"/>
  <c r="G1533"/>
  <c r="G1526"/>
  <c r="G1105"/>
  <c r="G1097"/>
  <c r="G1085"/>
  <c r="G1077"/>
  <c r="G1061"/>
  <c r="G1057"/>
  <c r="G1045"/>
  <c r="G1041"/>
  <c r="G1033"/>
  <c r="G1025"/>
  <c r="G1009"/>
  <c r="G997"/>
  <c r="G981"/>
  <c r="G973"/>
  <c r="G961"/>
  <c r="G953"/>
  <c r="G937"/>
  <c r="G917"/>
  <c r="G913"/>
  <c r="G909"/>
  <c r="G901"/>
  <c r="G824"/>
  <c r="G816"/>
  <c r="G807"/>
  <c r="G795"/>
  <c r="G775"/>
  <c r="G759"/>
  <c r="G743"/>
  <c r="G715"/>
  <c r="G711"/>
  <c r="G707"/>
  <c r="G699"/>
  <c r="G654"/>
  <c r="G613"/>
  <c r="G609"/>
  <c r="G593"/>
  <c r="G548"/>
  <c r="G519"/>
  <c r="G515"/>
  <c r="G495"/>
  <c r="G487"/>
  <c r="G479"/>
  <c r="G463"/>
  <c r="G427"/>
  <c r="G419"/>
  <c r="G411"/>
  <c r="G387"/>
  <c r="G374"/>
  <c r="G330"/>
  <c r="G298"/>
  <c r="G1530"/>
  <c r="G1514"/>
  <c r="H1514" s="1"/>
  <c r="G1104"/>
  <c r="G1080"/>
  <c r="G1060"/>
  <c r="G1052"/>
  <c r="G1016"/>
  <c r="G1012"/>
  <c r="G996"/>
  <c r="G984"/>
  <c r="G976"/>
  <c r="G964"/>
  <c r="G952"/>
  <c r="G936"/>
  <c r="G916"/>
  <c r="G912"/>
  <c r="G908"/>
  <c r="G871"/>
  <c r="G855"/>
  <c r="G851"/>
  <c r="G835"/>
  <c r="G786"/>
  <c r="G778"/>
  <c r="G746"/>
  <c r="G742"/>
  <c r="G738"/>
  <c r="G730"/>
  <c r="G722"/>
  <c r="H722" s="1"/>
  <c r="G718"/>
  <c r="G686"/>
  <c r="G678"/>
  <c r="G666"/>
  <c r="G620"/>
  <c r="G584"/>
  <c r="G576"/>
  <c r="G543"/>
  <c r="G535"/>
  <c r="G518"/>
  <c r="G502"/>
  <c r="G498"/>
  <c r="G462"/>
  <c r="G410"/>
  <c r="G365"/>
  <c r="G325"/>
  <c r="G305"/>
  <c r="G301"/>
  <c r="G293"/>
  <c r="G1095"/>
  <c r="G1067"/>
  <c r="G1055"/>
  <c r="G1039"/>
  <c r="G1035"/>
  <c r="G1031"/>
  <c r="G1019"/>
  <c r="G1003"/>
  <c r="G999"/>
  <c r="G987"/>
  <c r="G983"/>
  <c r="G951"/>
  <c r="G943"/>
  <c r="G931"/>
  <c r="G874"/>
  <c r="G862"/>
  <c r="G858"/>
  <c r="G818"/>
  <c r="G814"/>
  <c r="G810"/>
  <c r="G789"/>
  <c r="G765"/>
  <c r="G761"/>
  <c r="G757"/>
  <c r="G749"/>
  <c r="G685"/>
  <c r="G681"/>
  <c r="G664"/>
  <c r="G652"/>
  <c r="G607"/>
  <c r="G591"/>
  <c r="G559"/>
  <c r="G555"/>
  <c r="G546"/>
  <c r="G542"/>
  <c r="G509"/>
  <c r="G505"/>
  <c r="G469"/>
  <c r="G465"/>
  <c r="G457"/>
  <c r="G397"/>
  <c r="G385"/>
  <c r="G381"/>
  <c r="G376"/>
  <c r="G292"/>
  <c r="G260"/>
  <c r="G1086"/>
  <c r="G1054"/>
  <c r="G1030"/>
  <c r="G1006"/>
  <c r="G974"/>
  <c r="G966"/>
  <c r="G950"/>
  <c r="G902"/>
  <c r="G869"/>
  <c r="G829"/>
  <c r="G813"/>
  <c r="G804"/>
  <c r="G780"/>
  <c r="G772"/>
  <c r="G732"/>
  <c r="G651"/>
  <c r="G635"/>
  <c r="G586"/>
  <c r="G570"/>
  <c r="G529"/>
  <c r="G520"/>
  <c r="G464"/>
  <c r="G440"/>
  <c r="G432"/>
  <c r="G343"/>
  <c r="G327"/>
  <c r="G303"/>
  <c r="G295"/>
  <c r="G279"/>
  <c r="G257"/>
  <c r="G253"/>
  <c r="G233"/>
  <c r="G231"/>
  <c r="G229"/>
  <c r="G226"/>
  <c r="G223"/>
  <c r="G221"/>
  <c r="G220"/>
  <c r="G216"/>
  <c r="G212"/>
  <c r="G207"/>
  <c r="G199"/>
  <c r="G191"/>
  <c r="G189"/>
  <c r="G188"/>
  <c r="G181"/>
  <c r="G177"/>
  <c r="G176"/>
  <c r="G175"/>
  <c r="G174"/>
  <c r="G168"/>
  <c r="G165"/>
  <c r="G162"/>
  <c r="G160"/>
  <c r="G159"/>
  <c r="G158"/>
  <c r="G156"/>
  <c r="G155"/>
  <c r="G154"/>
  <c r="G138"/>
  <c r="G117"/>
  <c r="G116"/>
  <c r="G113"/>
  <c r="G109"/>
  <c r="G97"/>
  <c r="G96"/>
  <c r="G89"/>
  <c r="G84"/>
  <c r="G77"/>
  <c r="G72"/>
  <c r="G66"/>
  <c r="G55"/>
  <c r="G51"/>
  <c r="G44"/>
  <c r="G42"/>
  <c r="G39"/>
  <c r="G38"/>
  <c r="G37"/>
  <c r="G32"/>
  <c r="G31"/>
  <c r="G25"/>
  <c r="G21"/>
  <c r="G16"/>
  <c r="G15"/>
  <c r="G14"/>
  <c r="G12"/>
  <c r="G11"/>
  <c r="G7"/>
  <c r="G5"/>
  <c r="G259"/>
  <c r="G1098"/>
  <c r="G1090"/>
  <c r="G1058"/>
  <c r="G1050"/>
  <c r="G1026"/>
  <c r="G986"/>
  <c r="G954"/>
  <c r="G930"/>
  <c r="G906"/>
  <c r="G882"/>
  <c r="G808"/>
  <c r="G800"/>
  <c r="G792"/>
  <c r="G768"/>
  <c r="G760"/>
  <c r="G728"/>
  <c r="G696"/>
  <c r="G655"/>
  <c r="G639"/>
  <c r="G541"/>
  <c r="G525"/>
  <c r="G516"/>
  <c r="G460"/>
  <c r="G355"/>
  <c r="G339"/>
  <c r="G331"/>
  <c r="G275"/>
  <c r="B12" i="27"/>
  <c r="D12" s="1"/>
  <c r="Q15" i="7"/>
  <c r="BU15"/>
  <c r="F542" i="10"/>
  <c r="F382"/>
  <c r="F350"/>
  <c r="BQ15" i="7"/>
  <c r="BI15"/>
  <c r="AX15"/>
  <c r="L4" i="6"/>
  <c r="BG15" i="7"/>
  <c r="AL15"/>
  <c r="BJ15"/>
  <c r="H106" i="12"/>
  <c r="H1086"/>
  <c r="L18" i="6"/>
  <c r="H770" i="12"/>
  <c r="L14" i="6"/>
  <c r="L15"/>
  <c r="E3" i="7"/>
  <c r="L17" i="6"/>
  <c r="L16"/>
  <c r="F1085" i="12"/>
  <c r="F293"/>
  <c r="H293" s="1"/>
  <c r="F5"/>
  <c r="H5" s="1"/>
  <c r="F1445"/>
  <c r="F1301"/>
  <c r="F221"/>
  <c r="H221" s="1"/>
  <c r="F509"/>
  <c r="H509" s="1"/>
  <c r="F869"/>
  <c r="H869" s="1"/>
  <c r="F77"/>
  <c r="H77" s="1"/>
  <c r="F365"/>
  <c r="H365" s="1"/>
  <c r="BK4" i="7"/>
  <c r="F1503" i="12"/>
  <c r="F351"/>
  <c r="L207" i="6"/>
  <c r="L206"/>
  <c r="L209"/>
  <c r="BA3" i="7"/>
  <c r="L208" i="6"/>
  <c r="F1565" i="12"/>
  <c r="H1565" s="1"/>
  <c r="F1061"/>
  <c r="H1061" s="1"/>
  <c r="F1349"/>
  <c r="H1349" s="1"/>
  <c r="F917"/>
  <c r="BM5" i="7"/>
  <c r="F857" i="12"/>
  <c r="F209"/>
  <c r="F1361"/>
  <c r="F137"/>
  <c r="F641"/>
  <c r="F1433"/>
  <c r="F785"/>
  <c r="F497"/>
  <c r="F1505"/>
  <c r="BS6" i="7"/>
  <c r="F1439" i="12"/>
  <c r="F1223"/>
  <c r="F719"/>
  <c r="F71"/>
  <c r="F359"/>
  <c r="F575"/>
  <c r="F1079"/>
  <c r="F1367"/>
  <c r="F287"/>
  <c r="BU6" i="7"/>
  <c r="F1513" i="12"/>
  <c r="F793"/>
  <c r="F73"/>
  <c r="F577"/>
  <c r="F1585"/>
  <c r="F865"/>
  <c r="F145"/>
  <c r="F1225"/>
  <c r="H1225" s="1"/>
  <c r="G99" i="6"/>
  <c r="Z12" i="7" s="1"/>
  <c r="J99" i="6"/>
  <c r="H99" s="1"/>
  <c r="AP5" i="7"/>
  <c r="F114" i="12"/>
  <c r="H114" s="1"/>
  <c r="F618"/>
  <c r="H618" s="1"/>
  <c r="F646"/>
  <c r="F214"/>
  <c r="F790"/>
  <c r="H790" s="1"/>
  <c r="BR5" i="7"/>
  <c r="F1582" i="12"/>
  <c r="F1438"/>
  <c r="G91" i="6"/>
  <c r="X12" i="7" s="1"/>
  <c r="J91" i="6"/>
  <c r="H91" s="1"/>
  <c r="G92"/>
  <c r="X13" i="7" s="1"/>
  <c r="J92" i="6"/>
  <c r="H92" s="1"/>
  <c r="G251"/>
  <c r="BL12" i="7" s="1"/>
  <c r="J251" i="6"/>
  <c r="H251" s="1"/>
  <c r="J9"/>
  <c r="H9" s="1"/>
  <c r="G9"/>
  <c r="C14" i="7" s="1"/>
  <c r="G168" i="6"/>
  <c r="AQ13" i="7" s="1"/>
  <c r="J168" i="6"/>
  <c r="H168" s="1"/>
  <c r="J28"/>
  <c r="H28" s="1"/>
  <c r="G28"/>
  <c r="H13" i="7" s="1"/>
  <c r="G1563" i="12"/>
  <c r="G1543"/>
  <c r="G1531"/>
  <c r="G1540"/>
  <c r="G1532"/>
  <c r="G1505"/>
  <c r="G1481"/>
  <c r="G1582"/>
  <c r="G1566"/>
  <c r="H1566" s="1"/>
  <c r="G1480"/>
  <c r="G1552"/>
  <c r="G1511"/>
  <c r="G1479"/>
  <c r="G1460"/>
  <c r="G1459"/>
  <c r="G1455"/>
  <c r="G1452"/>
  <c r="G1451"/>
  <c r="G1447"/>
  <c r="G1446"/>
  <c r="G1443"/>
  <c r="G1440"/>
  <c r="G1438"/>
  <c r="G1435"/>
  <c r="G1433"/>
  <c r="G1422"/>
  <c r="H1422" s="1"/>
  <c r="G1417"/>
  <c r="G1401"/>
  <c r="G1396"/>
  <c r="G1388"/>
  <c r="G1387"/>
  <c r="G1381"/>
  <c r="G1369"/>
  <c r="G1363"/>
  <c r="G1361"/>
  <c r="G1350"/>
  <c r="H1350" s="1"/>
  <c r="G1329"/>
  <c r="G1326"/>
  <c r="G1316"/>
  <c r="G1315"/>
  <c r="G1314"/>
  <c r="G1298"/>
  <c r="G1297"/>
  <c r="G1296"/>
  <c r="G1293"/>
  <c r="G1287"/>
  <c r="G1282"/>
  <c r="G1278"/>
  <c r="H1278" s="1"/>
  <c r="G1273"/>
  <c r="G1270"/>
  <c r="H1270" s="1"/>
  <c r="G1244"/>
  <c r="G1243"/>
  <c r="G1238"/>
  <c r="G1237"/>
  <c r="G1210"/>
  <c r="G1206"/>
  <c r="H1206" s="1"/>
  <c r="G1205"/>
  <c r="G1201"/>
  <c r="G1200"/>
  <c r="G1195"/>
  <c r="G1177"/>
  <c r="G1176"/>
  <c r="G1175"/>
  <c r="G1172"/>
  <c r="G1171"/>
  <c r="G1152"/>
  <c r="G1146"/>
  <c r="G1143"/>
  <c r="G1141"/>
  <c r="G1134"/>
  <c r="H1134" s="1"/>
  <c r="G1129"/>
  <c r="G1118"/>
  <c r="H1118" s="1"/>
  <c r="G1581"/>
  <c r="G1557"/>
  <c r="G1541"/>
  <c r="G1494"/>
  <c r="H1494" s="1"/>
  <c r="G1486"/>
  <c r="H1486" s="1"/>
  <c r="G1101"/>
  <c r="G1081"/>
  <c r="G1053"/>
  <c r="G1013"/>
  <c r="G1005"/>
  <c r="G977"/>
  <c r="G969"/>
  <c r="G949"/>
  <c r="G893"/>
  <c r="G876"/>
  <c r="G856"/>
  <c r="G820"/>
  <c r="G812"/>
  <c r="G799"/>
  <c r="G791"/>
  <c r="G767"/>
  <c r="G739"/>
  <c r="G691"/>
  <c r="G679"/>
  <c r="G675"/>
  <c r="G671"/>
  <c r="G667"/>
  <c r="G658"/>
  <c r="G646"/>
  <c r="G634"/>
  <c r="G630"/>
  <c r="H630" s="1"/>
  <c r="G626"/>
  <c r="G621"/>
  <c r="G601"/>
  <c r="G565"/>
  <c r="G557"/>
  <c r="G536"/>
  <c r="G524"/>
  <c r="G511"/>
  <c r="G471"/>
  <c r="G459"/>
  <c r="G455"/>
  <c r="G451"/>
  <c r="G447"/>
  <c r="G435"/>
  <c r="G407"/>
  <c r="G403"/>
  <c r="G399"/>
  <c r="G379"/>
  <c r="G366"/>
  <c r="G354"/>
  <c r="G342"/>
  <c r="H342" s="1"/>
  <c r="G282"/>
  <c r="G274"/>
  <c r="G270"/>
  <c r="H270" s="1"/>
  <c r="G1562"/>
  <c r="G1498"/>
  <c r="G1100"/>
  <c r="G1088"/>
  <c r="G1068"/>
  <c r="G1056"/>
  <c r="G1048"/>
  <c r="G1032"/>
  <c r="G1028"/>
  <c r="G1000"/>
  <c r="G956"/>
  <c r="G904"/>
  <c r="G888"/>
  <c r="G884"/>
  <c r="G879"/>
  <c r="G831"/>
  <c r="G823"/>
  <c r="G811"/>
  <c r="G806"/>
  <c r="G802"/>
  <c r="G794"/>
  <c r="G790"/>
  <c r="G774"/>
  <c r="H774" s="1"/>
  <c r="G766"/>
  <c r="H766" s="1"/>
  <c r="G702"/>
  <c r="H702" s="1"/>
  <c r="G698"/>
  <c r="G694"/>
  <c r="H694" s="1"/>
  <c r="G661"/>
  <c r="G641"/>
  <c r="G608"/>
  <c r="G604"/>
  <c r="G600"/>
  <c r="G596"/>
  <c r="G592"/>
  <c r="G556"/>
  <c r="G523"/>
  <c r="G510"/>
  <c r="G506"/>
  <c r="G486"/>
  <c r="H486" s="1"/>
  <c r="G478"/>
  <c r="H478" s="1"/>
  <c r="G470"/>
  <c r="H470" s="1"/>
  <c r="G458"/>
  <c r="G454"/>
  <c r="G414"/>
  <c r="H414" s="1"/>
  <c r="G398"/>
  <c r="H398" s="1"/>
  <c r="G390"/>
  <c r="G378"/>
  <c r="G361"/>
  <c r="G357"/>
  <c r="G349"/>
  <c r="G341"/>
  <c r="G333"/>
  <c r="G329"/>
  <c r="G289"/>
  <c r="G285"/>
  <c r="G1107"/>
  <c r="G1103"/>
  <c r="G1099"/>
  <c r="G1091"/>
  <c r="G1059"/>
  <c r="G1027"/>
  <c r="G1023"/>
  <c r="G1007"/>
  <c r="G995"/>
  <c r="G979"/>
  <c r="G955"/>
  <c r="G935"/>
  <c r="G915"/>
  <c r="G903"/>
  <c r="G887"/>
  <c r="G883"/>
  <c r="G878"/>
  <c r="G870"/>
  <c r="G846"/>
  <c r="H846" s="1"/>
  <c r="G822"/>
  <c r="G785"/>
  <c r="G773"/>
  <c r="G733"/>
  <c r="G721"/>
  <c r="G709"/>
  <c r="G701"/>
  <c r="G660"/>
  <c r="G648"/>
  <c r="G636"/>
  <c r="G628"/>
  <c r="G619"/>
  <c r="G599"/>
  <c r="G595"/>
  <c r="G587"/>
  <c r="G583"/>
  <c r="G517"/>
  <c r="G497"/>
  <c r="G461"/>
  <c r="G433"/>
  <c r="G413"/>
  <c r="G401"/>
  <c r="G368"/>
  <c r="G364"/>
  <c r="G360"/>
  <c r="G340"/>
  <c r="G336"/>
  <c r="G332"/>
  <c r="G328"/>
  <c r="G308"/>
  <c r="G304"/>
  <c r="G300"/>
  <c r="G288"/>
  <c r="G268"/>
  <c r="G1062"/>
  <c r="H1062" s="1"/>
  <c r="G1046"/>
  <c r="H1046" s="1"/>
  <c r="G990"/>
  <c r="H990" s="1"/>
  <c r="G982"/>
  <c r="H982" s="1"/>
  <c r="G958"/>
  <c r="G918"/>
  <c r="H918" s="1"/>
  <c r="G796"/>
  <c r="G788"/>
  <c r="G748"/>
  <c r="G740"/>
  <c r="G692"/>
  <c r="G668"/>
  <c r="G659"/>
  <c r="G618"/>
  <c r="G602"/>
  <c r="G578"/>
  <c r="G512"/>
  <c r="G496"/>
  <c r="G480"/>
  <c r="G456"/>
  <c r="G448"/>
  <c r="G408"/>
  <c r="G400"/>
  <c r="G384"/>
  <c r="G375"/>
  <c r="G367"/>
  <c r="G236"/>
  <c r="G235"/>
  <c r="G232"/>
  <c r="G228"/>
  <c r="G227"/>
  <c r="G217"/>
  <c r="G215"/>
  <c r="G214"/>
  <c r="G213"/>
  <c r="G211"/>
  <c r="G209"/>
  <c r="G208"/>
  <c r="G198"/>
  <c r="H198" s="1"/>
  <c r="G194"/>
  <c r="G164"/>
  <c r="G163"/>
  <c r="G139"/>
  <c r="G137"/>
  <c r="G136"/>
  <c r="G132"/>
  <c r="G126"/>
  <c r="H126" s="1"/>
  <c r="G125"/>
  <c r="G115"/>
  <c r="G114"/>
  <c r="G110"/>
  <c r="H110" s="1"/>
  <c r="G105"/>
  <c r="G104"/>
  <c r="G95"/>
  <c r="G94"/>
  <c r="G93"/>
  <c r="G92"/>
  <c r="G91"/>
  <c r="G88"/>
  <c r="G87"/>
  <c r="G83"/>
  <c r="G79"/>
  <c r="G78"/>
  <c r="G76"/>
  <c r="G75"/>
  <c r="G74"/>
  <c r="G61"/>
  <c r="G54"/>
  <c r="H54" s="1"/>
  <c r="G53"/>
  <c r="G52"/>
  <c r="G45"/>
  <c r="G29"/>
  <c r="G20"/>
  <c r="G19"/>
  <c r="G13"/>
  <c r="G8"/>
  <c r="G6"/>
  <c r="G2"/>
  <c r="G267"/>
  <c r="G256"/>
  <c r="G1018"/>
  <c r="G994"/>
  <c r="G962"/>
  <c r="G890"/>
  <c r="G857"/>
  <c r="G736"/>
  <c r="G712"/>
  <c r="G680"/>
  <c r="G663"/>
  <c r="G647"/>
  <c r="G622"/>
  <c r="H622" s="1"/>
  <c r="G582"/>
  <c r="G558"/>
  <c r="H558" s="1"/>
  <c r="G549"/>
  <c r="G533"/>
  <c r="G500"/>
  <c r="G452"/>
  <c r="G436"/>
  <c r="G412"/>
  <c r="G404"/>
  <c r="G380"/>
  <c r="G371"/>
  <c r="G307"/>
  <c r="G299"/>
  <c r="G283"/>
  <c r="G255"/>
  <c r="G1506"/>
  <c r="G262"/>
  <c r="H262" s="1"/>
  <c r="AC5" i="7"/>
  <c r="F893" i="12"/>
  <c r="F29"/>
  <c r="F461"/>
  <c r="H461" s="1"/>
  <c r="F533"/>
  <c r="H533" s="1"/>
  <c r="F1541"/>
  <c r="AI6" i="7"/>
  <c r="F1403" i="12"/>
  <c r="H1403" s="1"/>
  <c r="F1331"/>
  <c r="F971"/>
  <c r="F539"/>
  <c r="F1115"/>
  <c r="H1115" s="1"/>
  <c r="F179"/>
  <c r="F1187"/>
  <c r="F827"/>
  <c r="F683"/>
  <c r="H683" s="1"/>
  <c r="F611"/>
  <c r="F755"/>
  <c r="F35"/>
  <c r="F107"/>
  <c r="F94"/>
  <c r="H94" s="1"/>
  <c r="F454"/>
  <c r="H454" s="1"/>
  <c r="F958"/>
  <c r="H958" s="1"/>
  <c r="V5" i="7"/>
  <c r="J52" i="6"/>
  <c r="H52" s="1"/>
  <c r="G52"/>
  <c r="N13" i="7" s="1"/>
  <c r="L130" i="6"/>
  <c r="L131"/>
  <c r="L132"/>
  <c r="L133"/>
  <c r="AH3" i="7"/>
  <c r="J77" i="6"/>
  <c r="H77" s="1"/>
  <c r="T6" i="7" s="1"/>
  <c r="G77" i="6"/>
  <c r="T14" i="7" s="1"/>
  <c r="G220" i="6"/>
  <c r="BD13" i="7" s="1"/>
  <c r="J220" i="6"/>
  <c r="H220" s="1"/>
  <c r="BD5" i="7" s="1"/>
  <c r="J57" i="6"/>
  <c r="H57" s="1"/>
  <c r="G57"/>
  <c r="O14" i="7" s="1"/>
  <c r="J153" i="6"/>
  <c r="H153" s="1"/>
  <c r="G153"/>
  <c r="AM14" i="7" s="1"/>
  <c r="J11" i="6"/>
  <c r="H11" s="1"/>
  <c r="G11"/>
  <c r="D12" i="7" s="1"/>
  <c r="J10" i="6"/>
  <c r="H10" s="1"/>
  <c r="G10"/>
  <c r="D11" i="7" s="1"/>
  <c r="BG5"/>
  <c r="F995" i="12"/>
  <c r="BM6" i="7"/>
  <c r="F713" i="12"/>
  <c r="F1001"/>
  <c r="H1001" s="1"/>
  <c r="F569"/>
  <c r="F425"/>
  <c r="F1577"/>
  <c r="F1217"/>
  <c r="F1073"/>
  <c r="F65"/>
  <c r="F353"/>
  <c r="L279" i="6"/>
  <c r="BS3" i="7"/>
  <c r="L280" i="6"/>
  <c r="L278"/>
  <c r="L281"/>
  <c r="F1151" i="12"/>
  <c r="H1151" s="1"/>
  <c r="F1583"/>
  <c r="H1583" s="1"/>
  <c r="F1295"/>
  <c r="H1295" s="1"/>
  <c r="AO6" i="7"/>
  <c r="F905" i="12"/>
  <c r="F185"/>
  <c r="F473"/>
  <c r="F689"/>
  <c r="H689" s="1"/>
  <c r="F833"/>
  <c r="F1049"/>
  <c r="F617"/>
  <c r="F41"/>
  <c r="H41" s="1"/>
  <c r="F1337"/>
  <c r="F545"/>
  <c r="L86" i="6"/>
  <c r="L87"/>
  <c r="W3" i="7"/>
  <c r="L88" i="6"/>
  <c r="L89"/>
  <c r="F1463" i="12"/>
  <c r="H1463" s="1"/>
  <c r="F743"/>
  <c r="H743" s="1"/>
  <c r="F1319"/>
  <c r="F1031"/>
  <c r="H1031" s="1"/>
  <c r="L246" i="6"/>
  <c r="L247"/>
  <c r="BK3" i="7"/>
  <c r="L249" i="6"/>
  <c r="L248"/>
  <c r="F711" i="12"/>
  <c r="F279"/>
  <c r="H279" s="1"/>
  <c r="F855"/>
  <c r="H855" s="1"/>
  <c r="F999"/>
  <c r="H999" s="1"/>
  <c r="F495"/>
  <c r="H495" s="1"/>
  <c r="F207"/>
  <c r="H207" s="1"/>
  <c r="F639"/>
  <c r="H639" s="1"/>
  <c r="BU4" i="7"/>
  <c r="F649" i="12"/>
  <c r="F182"/>
  <c r="F614"/>
  <c r="F1406"/>
  <c r="H1406" s="1"/>
  <c r="AL6" i="7"/>
  <c r="J36" i="6"/>
  <c r="H36" s="1"/>
  <c r="G36"/>
  <c r="J13" i="7" s="1"/>
  <c r="L276" i="6"/>
  <c r="L274"/>
  <c r="L275"/>
  <c r="L277"/>
  <c r="F862" i="12"/>
  <c r="H862" s="1"/>
  <c r="F1222"/>
  <c r="H1222" s="1"/>
  <c r="F1006"/>
  <c r="H1006" s="1"/>
  <c r="BR3" i="7"/>
  <c r="F1294" i="12"/>
  <c r="H1294" s="1"/>
  <c r="F502"/>
  <c r="H502" s="1"/>
  <c r="F718"/>
  <c r="H718" s="1"/>
  <c r="G60" i="6"/>
  <c r="P13" i="7" s="1"/>
  <c r="J60" i="6"/>
  <c r="H60" s="1"/>
  <c r="G203"/>
  <c r="AZ12" i="7" s="1"/>
  <c r="J203" i="6"/>
  <c r="H203" s="1"/>
  <c r="G116"/>
  <c r="AD13" i="7" s="1"/>
  <c r="J116" i="6"/>
  <c r="H116" s="1"/>
  <c r="G39"/>
  <c r="K12" i="7" s="1"/>
  <c r="J39" i="6"/>
  <c r="H39" s="1"/>
  <c r="K4" i="7" s="1"/>
  <c r="J121" i="6"/>
  <c r="H121" s="1"/>
  <c r="G121"/>
  <c r="AE14" i="7" s="1"/>
  <c r="G199" i="6"/>
  <c r="AY12" i="7" s="1"/>
  <c r="J199" i="6"/>
  <c r="H199" s="1"/>
  <c r="F1358" i="12"/>
  <c r="F1214"/>
  <c r="H1214" s="1"/>
  <c r="F278"/>
  <c r="F62"/>
  <c r="F422"/>
  <c r="F1574"/>
  <c r="H1574" s="1"/>
  <c r="F1502"/>
  <c r="F1142"/>
  <c r="F710"/>
  <c r="F1286"/>
  <c r="H1286" s="1"/>
  <c r="F1070"/>
  <c r="F926"/>
  <c r="F350"/>
  <c r="BJ4" i="7"/>
  <c r="C15" i="23" s="1"/>
  <c r="F566" i="12"/>
  <c r="F1430"/>
  <c r="F782"/>
  <c r="F854"/>
  <c r="H854" s="1"/>
  <c r="F998"/>
  <c r="F638"/>
  <c r="F134"/>
  <c r="F206"/>
  <c r="H206" s="1"/>
  <c r="F494"/>
  <c r="AG6" i="7"/>
  <c r="F1113" i="12"/>
  <c r="F249"/>
  <c r="H249" s="1"/>
  <c r="F537"/>
  <c r="F393"/>
  <c r="F1473"/>
  <c r="F753"/>
  <c r="F33"/>
  <c r="F1257"/>
  <c r="F897"/>
  <c r="F321"/>
  <c r="H321" s="1"/>
  <c r="BI6" i="7"/>
  <c r="F1213" i="12"/>
  <c r="F1357"/>
  <c r="F925"/>
  <c r="H925" s="1"/>
  <c r="F493"/>
  <c r="F637"/>
  <c r="F781"/>
  <c r="F421"/>
  <c r="H421" s="1"/>
  <c r="F1285"/>
  <c r="F1069"/>
  <c r="F205"/>
  <c r="F133"/>
  <c r="H133" s="1"/>
  <c r="F310"/>
  <c r="F526"/>
  <c r="F1102"/>
  <c r="F598"/>
  <c r="F382"/>
  <c r="F1534"/>
  <c r="F886"/>
  <c r="F238"/>
  <c r="H238" s="1"/>
  <c r="F22"/>
  <c r="V6" i="7"/>
  <c r="BA5"/>
  <c r="F53" i="12"/>
  <c r="H53" s="1"/>
  <c r="F701"/>
  <c r="H701" s="1"/>
  <c r="F557"/>
  <c r="H557" s="1"/>
  <c r="F125"/>
  <c r="F1205"/>
  <c r="H1205" s="1"/>
  <c r="F413"/>
  <c r="H413" s="1"/>
  <c r="F341"/>
  <c r="H341" s="1"/>
  <c r="F773"/>
  <c r="H773" s="1"/>
  <c r="L267" i="6"/>
  <c r="L266"/>
  <c r="BP3" i="7"/>
  <c r="L268" i="6"/>
  <c r="L269"/>
  <c r="F1148" i="12"/>
  <c r="H1148" s="1"/>
  <c r="F1364"/>
  <c r="H1364" s="1"/>
  <c r="F212"/>
  <c r="H212" s="1"/>
  <c r="G260" i="6"/>
  <c r="BN13" i="7" s="1"/>
  <c r="J260" i="6"/>
  <c r="H260" s="1"/>
  <c r="J45"/>
  <c r="H45" s="1"/>
  <c r="G45"/>
  <c r="L14" i="7" s="1"/>
  <c r="G108" i="6"/>
  <c r="AB13" i="7" s="1"/>
  <c r="J108" i="6"/>
  <c r="H108" s="1"/>
  <c r="G109"/>
  <c r="AB14" i="7" s="1"/>
  <c r="J109" i="6"/>
  <c r="H109" s="1"/>
  <c r="J285"/>
  <c r="H285" s="1"/>
  <c r="G285"/>
  <c r="BT14" i="7" s="1"/>
  <c r="G23" i="6"/>
  <c r="G12" i="7" s="1"/>
  <c r="J23" i="6"/>
  <c r="H23" s="1"/>
  <c r="J102"/>
  <c r="H102" s="1"/>
  <c r="G102"/>
  <c r="AA11" i="7" s="1"/>
  <c r="G104" i="6"/>
  <c r="AA13" i="7" s="1"/>
  <c r="J104" i="6"/>
  <c r="H104" s="1"/>
  <c r="J182"/>
  <c r="H182" s="1"/>
  <c r="G182"/>
  <c r="AU11" i="7" s="1"/>
  <c r="G123" i="6"/>
  <c r="AF12" i="7" s="1"/>
  <c r="J123" i="6"/>
  <c r="H123" s="1"/>
  <c r="G1575" i="12"/>
  <c r="G1555"/>
  <c r="G1551"/>
  <c r="G1539"/>
  <c r="G1535"/>
  <c r="G1580"/>
  <c r="G1572"/>
  <c r="G1556"/>
  <c r="G1548"/>
  <c r="G1525"/>
  <c r="G1521"/>
  <c r="G1517"/>
  <c r="G1513"/>
  <c r="G1509"/>
  <c r="G1493"/>
  <c r="G1489"/>
  <c r="G1585"/>
  <c r="G1577"/>
  <c r="G1558"/>
  <c r="G1537"/>
  <c r="G1534"/>
  <c r="G1528"/>
  <c r="G1520"/>
  <c r="G1516"/>
  <c r="G1512"/>
  <c r="G1508"/>
  <c r="G1500"/>
  <c r="G1492"/>
  <c r="G1584"/>
  <c r="G1576"/>
  <c r="G1568"/>
  <c r="G1560"/>
  <c r="G1544"/>
  <c r="G1507"/>
  <c r="G1495"/>
  <c r="G1491"/>
  <c r="G1483"/>
  <c r="G1476"/>
  <c r="G1473"/>
  <c r="G1471"/>
  <c r="G1468"/>
  <c r="G1467"/>
  <c r="G1466"/>
  <c r="G1465"/>
  <c r="G1457"/>
  <c r="G1454"/>
  <c r="G1453"/>
  <c r="G1449"/>
  <c r="G1448"/>
  <c r="G1439"/>
  <c r="G1436"/>
  <c r="G1434"/>
  <c r="G1431"/>
  <c r="G1428"/>
  <c r="G1426"/>
  <c r="H1426" s="1"/>
  <c r="G1424"/>
  <c r="G1423"/>
  <c r="G1420"/>
  <c r="G1419"/>
  <c r="G1415"/>
  <c r="G1414"/>
  <c r="G1412"/>
  <c r="G1411"/>
  <c r="G1408"/>
  <c r="G1407"/>
  <c r="G1406"/>
  <c r="G1404"/>
  <c r="G1403"/>
  <c r="G1402"/>
  <c r="G1399"/>
  <c r="G1398"/>
  <c r="G1395"/>
  <c r="G1394"/>
  <c r="G1392"/>
  <c r="G1391"/>
  <c r="G1384"/>
  <c r="G1380"/>
  <c r="G1378"/>
  <c r="G1377"/>
  <c r="G1374"/>
  <c r="G1368"/>
  <c r="G1367"/>
  <c r="G1366"/>
  <c r="G1360"/>
  <c r="G1359"/>
  <c r="G1357"/>
  <c r="G1355"/>
  <c r="G1352"/>
  <c r="G1347"/>
  <c r="G1346"/>
  <c r="G1344"/>
  <c r="G1338"/>
  <c r="H1338" s="1"/>
  <c r="G1337"/>
  <c r="G1332"/>
  <c r="G1331"/>
  <c r="G1330"/>
  <c r="G1325"/>
  <c r="G1324"/>
  <c r="G1323"/>
  <c r="G1322"/>
  <c r="G1313"/>
  <c r="G1312"/>
  <c r="G1310"/>
  <c r="G1309"/>
  <c r="G1308"/>
  <c r="G1306"/>
  <c r="G1305"/>
  <c r="G1304"/>
  <c r="G1303"/>
  <c r="G1302"/>
  <c r="G1292"/>
  <c r="G1285"/>
  <c r="G1284"/>
  <c r="G1283"/>
  <c r="G1280"/>
  <c r="G1276"/>
  <c r="G1275"/>
  <c r="G1274"/>
  <c r="G1272"/>
  <c r="G1271"/>
  <c r="G1267"/>
  <c r="G1266"/>
  <c r="H1266" s="1"/>
  <c r="G1260"/>
  <c r="G1258"/>
  <c r="H1258" s="1"/>
  <c r="G1257"/>
  <c r="G1255"/>
  <c r="G1252"/>
  <c r="G1251"/>
  <c r="G1249"/>
  <c r="G1248"/>
  <c r="G1247"/>
  <c r="G1241"/>
  <c r="G1240"/>
  <c r="G1239"/>
  <c r="G1233"/>
  <c r="G1232"/>
  <c r="G1230"/>
  <c r="G1229"/>
  <c r="G1228"/>
  <c r="G1225"/>
  <c r="G1223"/>
  <c r="G1220"/>
  <c r="G1219"/>
  <c r="G1218"/>
  <c r="G1217"/>
  <c r="G1216"/>
  <c r="G1215"/>
  <c r="G1213"/>
  <c r="G1211"/>
  <c r="G1208"/>
  <c r="G1198"/>
  <c r="G1196"/>
  <c r="G1194"/>
  <c r="H1194" s="1"/>
  <c r="G1191"/>
  <c r="G1188"/>
  <c r="G1187"/>
  <c r="G1186"/>
  <c r="H1186" s="1"/>
  <c r="G1184"/>
  <c r="G1183"/>
  <c r="G1181"/>
  <c r="G1179"/>
  <c r="G1178"/>
  <c r="G1169"/>
  <c r="G1166"/>
  <c r="G1165"/>
  <c r="G1161"/>
  <c r="G1157"/>
  <c r="G1155"/>
  <c r="G1150"/>
  <c r="G1149"/>
  <c r="G1138"/>
  <c r="H1138" s="1"/>
  <c r="G1136"/>
  <c r="G1135"/>
  <c r="G1133"/>
  <c r="G1132"/>
  <c r="G1125"/>
  <c r="G1120"/>
  <c r="G1116"/>
  <c r="G1115"/>
  <c r="G1114"/>
  <c r="G1113"/>
  <c r="G1510"/>
  <c r="G1109"/>
  <c r="G1093"/>
  <c r="G1089"/>
  <c r="G1073"/>
  <c r="G1069"/>
  <c r="G1049"/>
  <c r="G1037"/>
  <c r="G1017"/>
  <c r="G1001"/>
  <c r="G989"/>
  <c r="G985"/>
  <c r="G965"/>
  <c r="G957"/>
  <c r="G945"/>
  <c r="G941"/>
  <c r="G925"/>
  <c r="G905"/>
  <c r="G897"/>
  <c r="G889"/>
  <c r="G885"/>
  <c r="G880"/>
  <c r="G872"/>
  <c r="G868"/>
  <c r="G864"/>
  <c r="G852"/>
  <c r="G848"/>
  <c r="G844"/>
  <c r="G840"/>
  <c r="G832"/>
  <c r="G828"/>
  <c r="G803"/>
  <c r="G787"/>
  <c r="G783"/>
  <c r="G779"/>
  <c r="G763"/>
  <c r="G755"/>
  <c r="G751"/>
  <c r="G747"/>
  <c r="G735"/>
  <c r="G731"/>
  <c r="G727"/>
  <c r="G723"/>
  <c r="G719"/>
  <c r="G703"/>
  <c r="G687"/>
  <c r="G683"/>
  <c r="G650"/>
  <c r="G617"/>
  <c r="G597"/>
  <c r="G585"/>
  <c r="G577"/>
  <c r="G573"/>
  <c r="G569"/>
  <c r="G553"/>
  <c r="G544"/>
  <c r="G532"/>
  <c r="G507"/>
  <c r="G499"/>
  <c r="G491"/>
  <c r="G483"/>
  <c r="G443"/>
  <c r="G423"/>
  <c r="G415"/>
  <c r="G383"/>
  <c r="G370"/>
  <c r="G358"/>
  <c r="G346"/>
  <c r="H346" s="1"/>
  <c r="G322"/>
  <c r="H322" s="1"/>
  <c r="G310"/>
  <c r="G306"/>
  <c r="G302"/>
  <c r="G290"/>
  <c r="G286"/>
  <c r="G1546"/>
  <c r="G1482"/>
  <c r="H1482" s="1"/>
  <c r="G1108"/>
  <c r="G1096"/>
  <c r="G1092"/>
  <c r="G1084"/>
  <c r="G1072"/>
  <c r="G1044"/>
  <c r="G1040"/>
  <c r="G1036"/>
  <c r="G1024"/>
  <c r="G1020"/>
  <c r="G1008"/>
  <c r="G1004"/>
  <c r="G992"/>
  <c r="G988"/>
  <c r="G980"/>
  <c r="G972"/>
  <c r="G968"/>
  <c r="G948"/>
  <c r="G944"/>
  <c r="G932"/>
  <c r="G928"/>
  <c r="G924"/>
  <c r="G920"/>
  <c r="G900"/>
  <c r="G896"/>
  <c r="G892"/>
  <c r="G875"/>
  <c r="G867"/>
  <c r="G859"/>
  <c r="G847"/>
  <c r="G843"/>
  <c r="G839"/>
  <c r="G827"/>
  <c r="G819"/>
  <c r="G815"/>
  <c r="G798"/>
  <c r="G770"/>
  <c r="G754"/>
  <c r="G750"/>
  <c r="G734"/>
  <c r="G726"/>
  <c r="G714"/>
  <c r="G706"/>
  <c r="H706" s="1"/>
  <c r="G690"/>
  <c r="H690" s="1"/>
  <c r="G674"/>
  <c r="G657"/>
  <c r="G653"/>
  <c r="G637"/>
  <c r="G629"/>
  <c r="G572"/>
  <c r="G568"/>
  <c r="G564"/>
  <c r="G560"/>
  <c r="G552"/>
  <c r="G539"/>
  <c r="G531"/>
  <c r="G527"/>
  <c r="G490"/>
  <c r="H490" s="1"/>
  <c r="G474"/>
  <c r="H474" s="1"/>
  <c r="G466"/>
  <c r="H466" s="1"/>
  <c r="G442"/>
  <c r="G434"/>
  <c r="G430"/>
  <c r="G426"/>
  <c r="G402"/>
  <c r="H402" s="1"/>
  <c r="G386"/>
  <c r="G382"/>
  <c r="G369"/>
  <c r="G353"/>
  <c r="G337"/>
  <c r="G321"/>
  <c r="G317"/>
  <c r="G297"/>
  <c r="G269"/>
  <c r="G265"/>
  <c r="G261"/>
  <c r="G1111"/>
  <c r="G1087"/>
  <c r="G1083"/>
  <c r="G1079"/>
  <c r="G1075"/>
  <c r="G1071"/>
  <c r="G1063"/>
  <c r="G1051"/>
  <c r="G1047"/>
  <c r="G1011"/>
  <c r="G991"/>
  <c r="G971"/>
  <c r="G967"/>
  <c r="G959"/>
  <c r="G947"/>
  <c r="G939"/>
  <c r="G927"/>
  <c r="G919"/>
  <c r="G911"/>
  <c r="G895"/>
  <c r="G891"/>
  <c r="G866"/>
  <c r="G850"/>
  <c r="H850" s="1"/>
  <c r="G842"/>
  <c r="G834"/>
  <c r="H834" s="1"/>
  <c r="G826"/>
  <c r="G805"/>
  <c r="G801"/>
  <c r="G797"/>
  <c r="G793"/>
  <c r="G781"/>
  <c r="G753"/>
  <c r="G745"/>
  <c r="G741"/>
  <c r="G737"/>
  <c r="G729"/>
  <c r="G717"/>
  <c r="G713"/>
  <c r="G697"/>
  <c r="G693"/>
  <c r="G689"/>
  <c r="G677"/>
  <c r="G669"/>
  <c r="G632"/>
  <c r="G624"/>
  <c r="G615"/>
  <c r="G611"/>
  <c r="G575"/>
  <c r="G567"/>
  <c r="G563"/>
  <c r="G550"/>
  <c r="G538"/>
  <c r="H538" s="1"/>
  <c r="G534"/>
  <c r="G530"/>
  <c r="G526"/>
  <c r="G522"/>
  <c r="G513"/>
  <c r="G493"/>
  <c r="G485"/>
  <c r="G481"/>
  <c r="G473"/>
  <c r="G445"/>
  <c r="G441"/>
  <c r="G437"/>
  <c r="G429"/>
  <c r="G425"/>
  <c r="G421"/>
  <c r="G409"/>
  <c r="G393"/>
  <c r="G356"/>
  <c r="G352"/>
  <c r="G348"/>
  <c r="G324"/>
  <c r="G320"/>
  <c r="G316"/>
  <c r="G312"/>
  <c r="G296"/>
  <c r="G284"/>
  <c r="G276"/>
  <c r="G272"/>
  <c r="G264"/>
  <c r="G1570"/>
  <c r="H1570" s="1"/>
  <c r="G1538"/>
  <c r="G1110"/>
  <c r="G1102"/>
  <c r="G1094"/>
  <c r="G1078"/>
  <c r="G1038"/>
  <c r="G1022"/>
  <c r="G1014"/>
  <c r="G942"/>
  <c r="G934"/>
  <c r="G894"/>
  <c r="G886"/>
  <c r="G877"/>
  <c r="G861"/>
  <c r="G845"/>
  <c r="G837"/>
  <c r="G821"/>
  <c r="G756"/>
  <c r="G724"/>
  <c r="G716"/>
  <c r="G708"/>
  <c r="G684"/>
  <c r="G643"/>
  <c r="G594"/>
  <c r="G554"/>
  <c r="H554" s="1"/>
  <c r="G545"/>
  <c r="G537"/>
  <c r="G504"/>
  <c r="G472"/>
  <c r="G424"/>
  <c r="G416"/>
  <c r="G392"/>
  <c r="G359"/>
  <c r="G335"/>
  <c r="G319"/>
  <c r="G311"/>
  <c r="G287"/>
  <c r="G271"/>
  <c r="G252"/>
  <c r="G250"/>
  <c r="G249"/>
  <c r="G248"/>
  <c r="G247"/>
  <c r="G245"/>
  <c r="G244"/>
  <c r="G243"/>
  <c r="G240"/>
  <c r="G239"/>
  <c r="G238"/>
  <c r="G234"/>
  <c r="G230"/>
  <c r="G225"/>
  <c r="G224"/>
  <c r="G218"/>
  <c r="G210"/>
  <c r="G205"/>
  <c r="G203"/>
  <c r="G200"/>
  <c r="G197"/>
  <c r="G193"/>
  <c r="G192"/>
  <c r="G190"/>
  <c r="G186"/>
  <c r="H186" s="1"/>
  <c r="G185"/>
  <c r="G184"/>
  <c r="G183"/>
  <c r="G182"/>
  <c r="G180"/>
  <c r="G179"/>
  <c r="G172"/>
  <c r="G170"/>
  <c r="G169"/>
  <c r="G167"/>
  <c r="G157"/>
  <c r="G153"/>
  <c r="G152"/>
  <c r="G151"/>
  <c r="G149"/>
  <c r="G148"/>
  <c r="G147"/>
  <c r="G145"/>
  <c r="G144"/>
  <c r="G142"/>
  <c r="G141"/>
  <c r="G140"/>
  <c r="G135"/>
  <c r="G133"/>
  <c r="G131"/>
  <c r="G130"/>
  <c r="H130" s="1"/>
  <c r="G128"/>
  <c r="G127"/>
  <c r="G124"/>
  <c r="G122"/>
  <c r="H122" s="1"/>
  <c r="G121"/>
  <c r="G118"/>
  <c r="G111"/>
  <c r="G108"/>
  <c r="G107"/>
  <c r="G106"/>
  <c r="G103"/>
  <c r="G102"/>
  <c r="G101"/>
  <c r="G100"/>
  <c r="G99"/>
  <c r="G98"/>
  <c r="G85"/>
  <c r="G82"/>
  <c r="G81"/>
  <c r="G80"/>
  <c r="G73"/>
  <c r="G71"/>
  <c r="G70"/>
  <c r="G69"/>
  <c r="G68"/>
  <c r="G65"/>
  <c r="G64"/>
  <c r="G63"/>
  <c r="G60"/>
  <c r="G59"/>
  <c r="G56"/>
  <c r="G50"/>
  <c r="G49"/>
  <c r="G48"/>
  <c r="G46"/>
  <c r="G41"/>
  <c r="G40"/>
  <c r="G36"/>
  <c r="G35"/>
  <c r="G34"/>
  <c r="H34" s="1"/>
  <c r="G33"/>
  <c r="G30"/>
  <c r="G28"/>
  <c r="G26"/>
  <c r="G23"/>
  <c r="G22"/>
  <c r="G9"/>
  <c r="G4"/>
  <c r="G3"/>
  <c r="G1522"/>
  <c r="G263"/>
  <c r="G1554"/>
  <c r="H1554" s="1"/>
  <c r="G1106"/>
  <c r="G1082"/>
  <c r="G1074"/>
  <c r="G1066"/>
  <c r="H1066" s="1"/>
  <c r="G1034"/>
  <c r="G1002"/>
  <c r="G978"/>
  <c r="H978" s="1"/>
  <c r="G970"/>
  <c r="G938"/>
  <c r="G914"/>
  <c r="G898"/>
  <c r="G873"/>
  <c r="G865"/>
  <c r="G841"/>
  <c r="G833"/>
  <c r="G817"/>
  <c r="G784"/>
  <c r="G776"/>
  <c r="G752"/>
  <c r="G744"/>
  <c r="G720"/>
  <c r="G688"/>
  <c r="G631"/>
  <c r="G614"/>
  <c r="G598"/>
  <c r="G590"/>
  <c r="G574"/>
  <c r="G492"/>
  <c r="G484"/>
  <c r="G476"/>
  <c r="G468"/>
  <c r="G444"/>
  <c r="G396"/>
  <c r="G363"/>
  <c r="G315"/>
  <c r="F521" i="10"/>
  <c r="F473"/>
  <c r="F377"/>
  <c r="AI15" i="7"/>
  <c r="AP15"/>
  <c r="BM15"/>
  <c r="F518" i="10"/>
  <c r="F326"/>
  <c r="F302"/>
  <c r="AC15" i="7"/>
  <c r="BC15"/>
  <c r="L5" i="6"/>
  <c r="F465" i="10"/>
  <c r="F561"/>
  <c r="H1546" i="12"/>
  <c r="H754"/>
  <c r="H654"/>
  <c r="L20" i="6"/>
  <c r="H1274" i="12"/>
  <c r="H842"/>
  <c r="AI4" i="7"/>
  <c r="F1475" i="12"/>
  <c r="F1547"/>
  <c r="F395"/>
  <c r="H395" s="1"/>
  <c r="F251"/>
  <c r="F323"/>
  <c r="F1259"/>
  <c r="F1043"/>
  <c r="H1043" s="1"/>
  <c r="F899"/>
  <c r="F467"/>
  <c r="BG6" i="7"/>
  <c r="F1283" i="12"/>
  <c r="H1283" s="1"/>
  <c r="F1355"/>
  <c r="H1355" s="1"/>
  <c r="F491"/>
  <c r="F203"/>
  <c r="H203" s="1"/>
  <c r="F59"/>
  <c r="H59" s="1"/>
  <c r="F1211"/>
  <c r="F779"/>
  <c r="H779" s="1"/>
  <c r="F563"/>
  <c r="H563" s="1"/>
  <c r="F131"/>
  <c r="H131" s="1"/>
  <c r="AS6" i="7"/>
  <c r="F1125" i="12"/>
  <c r="H1125" s="1"/>
  <c r="F261"/>
  <c r="F693"/>
  <c r="H693" s="1"/>
  <c r="F837"/>
  <c r="H837" s="1"/>
  <c r="L262" i="6"/>
  <c r="L263"/>
  <c r="BO3" i="7"/>
  <c r="BO7" s="1"/>
  <c r="L264" i="6"/>
  <c r="L265"/>
  <c r="F1003" i="12"/>
  <c r="H1003" s="1"/>
  <c r="F1579"/>
  <c r="H1579" s="1"/>
  <c r="F427"/>
  <c r="H427" s="1"/>
  <c r="F355"/>
  <c r="H355" s="1"/>
  <c r="F1291"/>
  <c r="H1291" s="1"/>
  <c r="F931"/>
  <c r="H931" s="1"/>
  <c r="F715"/>
  <c r="H715" s="1"/>
  <c r="AO5" i="7"/>
  <c r="F1481" i="12"/>
  <c r="F977"/>
  <c r="H977" s="1"/>
  <c r="F329"/>
  <c r="H329" s="1"/>
  <c r="F401"/>
  <c r="J101" i="6"/>
  <c r="H101" s="1"/>
  <c r="G101"/>
  <c r="Z14" i="7" s="1"/>
  <c r="L210" i="6"/>
  <c r="L211"/>
  <c r="L212"/>
  <c r="L213"/>
  <c r="BB3" i="7"/>
  <c r="BB7" s="1"/>
  <c r="L226" i="6"/>
  <c r="L227"/>
  <c r="L228"/>
  <c r="L229"/>
  <c r="BF3" i="7"/>
  <c r="F778" i="12"/>
  <c r="H778" s="1"/>
  <c r="F1354"/>
  <c r="H1354" s="1"/>
  <c r="J90" i="6"/>
  <c r="H90" s="1"/>
  <c r="G90"/>
  <c r="X11" i="7" s="1"/>
  <c r="G173" i="6"/>
  <c r="AR14" i="7" s="1"/>
  <c r="J173" i="6"/>
  <c r="H173" s="1"/>
  <c r="J253"/>
  <c r="H253" s="1"/>
  <c r="G253"/>
  <c r="BL14" i="7" s="1"/>
  <c r="G8" i="6"/>
  <c r="C13" i="7" s="1"/>
  <c r="J8" i="6"/>
  <c r="H8" s="1"/>
  <c r="G72"/>
  <c r="S13" i="7" s="1"/>
  <c r="J72" i="6"/>
  <c r="H72" s="1"/>
  <c r="J167"/>
  <c r="H167" s="1"/>
  <c r="G167"/>
  <c r="AQ12" i="7" s="1"/>
  <c r="J166" i="6"/>
  <c r="H166" s="1"/>
  <c r="G166"/>
  <c r="AQ11" i="7" s="1"/>
  <c r="G27" i="6"/>
  <c r="H12" i="7" s="1"/>
  <c r="J27" i="6"/>
  <c r="H27" s="1"/>
  <c r="F1170" i="12"/>
  <c r="F18"/>
  <c r="R4" i="7"/>
  <c r="F1242" i="12"/>
  <c r="H1242" s="1"/>
  <c r="F90"/>
  <c r="F1386"/>
  <c r="F450"/>
  <c r="L270" i="6"/>
  <c r="L271"/>
  <c r="BQ3" i="7"/>
  <c r="L272" i="6"/>
  <c r="L273"/>
  <c r="F1437" i="12"/>
  <c r="H1437" s="1"/>
  <c r="F1221"/>
  <c r="F1365"/>
  <c r="H1365" s="1"/>
  <c r="F789"/>
  <c r="H789" s="1"/>
  <c r="F1077"/>
  <c r="H1077" s="1"/>
  <c r="M5" i="7"/>
  <c r="F733" i="12"/>
  <c r="H733" s="1"/>
  <c r="F517"/>
  <c r="H517" s="1"/>
  <c r="F661"/>
  <c r="F1237"/>
  <c r="H1237" s="1"/>
  <c r="F1381"/>
  <c r="H1381" s="1"/>
  <c r="F13"/>
  <c r="H13" s="1"/>
  <c r="F949"/>
  <c r="H949" s="1"/>
  <c r="U4" i="7"/>
  <c r="F1389" i="12"/>
  <c r="F1029"/>
  <c r="H1029" s="1"/>
  <c r="F453"/>
  <c r="F237"/>
  <c r="F309"/>
  <c r="AS4" i="7"/>
  <c r="F477" i="12"/>
  <c r="F405"/>
  <c r="E5" i="7"/>
  <c r="F1013" i="12"/>
  <c r="H1013" s="1"/>
  <c r="BI5" i="7"/>
  <c r="F61" i="12"/>
  <c r="H61" s="1"/>
  <c r="F349"/>
  <c r="H349" s="1"/>
  <c r="F565"/>
  <c r="H565" s="1"/>
  <c r="F709"/>
  <c r="F1141"/>
  <c r="H1141" s="1"/>
  <c r="BP4" i="7"/>
  <c r="F1076" i="12"/>
  <c r="H1076" s="1"/>
  <c r="F860"/>
  <c r="F644"/>
  <c r="F428"/>
  <c r="G51" i="6"/>
  <c r="N12" i="7" s="1"/>
  <c r="J51" i="6"/>
  <c r="H51" s="1"/>
  <c r="F194" i="12"/>
  <c r="F1562"/>
  <c r="H1562" s="1"/>
  <c r="F698"/>
  <c r="H698" s="1"/>
  <c r="AX5" i="7"/>
  <c r="F626" i="12"/>
  <c r="H626" s="1"/>
  <c r="J74" i="6"/>
  <c r="H74" s="1"/>
  <c r="G74"/>
  <c r="T11" i="7" s="1"/>
  <c r="J157" i="6"/>
  <c r="H157" s="1"/>
  <c r="G157"/>
  <c r="AN14" i="7" s="1"/>
  <c r="G219" i="6"/>
  <c r="BD12" i="7" s="1"/>
  <c r="J219" i="6"/>
  <c r="H219" s="1"/>
  <c r="G56"/>
  <c r="O13" i="7" s="1"/>
  <c r="J56" i="6"/>
  <c r="H56" s="1"/>
  <c r="J150"/>
  <c r="H150" s="1"/>
  <c r="G150"/>
  <c r="AM11" i="7" s="1"/>
  <c r="AM15" s="1"/>
  <c r="G152" i="6"/>
  <c r="AM13" i="7" s="1"/>
  <c r="J152" i="6"/>
  <c r="H152" s="1"/>
  <c r="AS3" i="7"/>
  <c r="L175" i="6"/>
  <c r="L174"/>
  <c r="L177"/>
  <c r="L176"/>
  <c r="F1341" i="12"/>
  <c r="H1341" s="1"/>
  <c r="F1485"/>
  <c r="F117"/>
  <c r="H117" s="1"/>
  <c r="F765"/>
  <c r="H765" s="1"/>
  <c r="F1413"/>
  <c r="H1413" s="1"/>
  <c r="F1269"/>
  <c r="H1269" s="1"/>
  <c r="F1197"/>
  <c r="H1197" s="1"/>
  <c r="F909"/>
  <c r="H909" s="1"/>
  <c r="F189"/>
  <c r="H189" s="1"/>
  <c r="F981"/>
  <c r="H981" s="1"/>
  <c r="L143" i="6"/>
  <c r="L142"/>
  <c r="AK3" i="7"/>
  <c r="AK7" s="1"/>
  <c r="L145" i="6"/>
  <c r="L144"/>
  <c r="F1261" i="12"/>
  <c r="F613"/>
  <c r="H613" s="1"/>
  <c r="F37"/>
  <c r="H37" s="1"/>
  <c r="F397"/>
  <c r="F325"/>
  <c r="F685"/>
  <c r="H685" s="1"/>
  <c r="F1189"/>
  <c r="H1189" s="1"/>
  <c r="F829"/>
  <c r="H829" s="1"/>
  <c r="F901"/>
  <c r="H901" s="1"/>
  <c r="F1477"/>
  <c r="H1477" s="1"/>
  <c r="F1405"/>
  <c r="F1333"/>
  <c r="H1333" s="1"/>
  <c r="F1117"/>
  <c r="F973"/>
  <c r="H973" s="1"/>
  <c r="F253"/>
  <c r="F181"/>
  <c r="H181" s="1"/>
  <c r="F1549"/>
  <c r="F757"/>
  <c r="H757" s="1"/>
  <c r="F1045"/>
  <c r="H1045" s="1"/>
  <c r="F109"/>
  <c r="H109" s="1"/>
  <c r="F469"/>
  <c r="H469" s="1"/>
  <c r="F541"/>
  <c r="H541" s="1"/>
  <c r="BO6" i="7"/>
  <c r="F1219" i="12"/>
  <c r="H1219" s="1"/>
  <c r="F859"/>
  <c r="H859" s="1"/>
  <c r="F1075"/>
  <c r="H1075" s="1"/>
  <c r="F499"/>
  <c r="H499" s="1"/>
  <c r="F1507"/>
  <c r="H1507" s="1"/>
  <c r="F787"/>
  <c r="H787" s="1"/>
  <c r="F643"/>
  <c r="H643" s="1"/>
  <c r="L215" i="6"/>
  <c r="L214"/>
  <c r="BC3" i="7"/>
  <c r="L217" i="6"/>
  <c r="L216"/>
  <c r="F775" i="12"/>
  <c r="F343"/>
  <c r="H343" s="1"/>
  <c r="F559"/>
  <c r="H559" s="1"/>
  <c r="F1207"/>
  <c r="H1207" s="1"/>
  <c r="F1351"/>
  <c r="H1351" s="1"/>
  <c r="F487"/>
  <c r="H487" s="1"/>
  <c r="F1279"/>
  <c r="H1279" s="1"/>
  <c r="F1567"/>
  <c r="H1567" s="1"/>
  <c r="F199"/>
  <c r="H199" s="1"/>
  <c r="F55"/>
  <c r="H55" s="1"/>
  <c r="F1498"/>
  <c r="H1498" s="1"/>
  <c r="F634"/>
  <c r="H634" s="1"/>
  <c r="BF5" i="7"/>
  <c r="C13" i="23" s="1"/>
  <c r="F1210" i="12"/>
  <c r="F994"/>
  <c r="H994" s="1"/>
  <c r="F274"/>
  <c r="H274" s="1"/>
  <c r="F1282"/>
  <c r="G35" i="6"/>
  <c r="J12" i="7" s="1"/>
  <c r="J35" i="6"/>
  <c r="H35" s="1"/>
  <c r="G139"/>
  <c r="AJ12" i="7" s="1"/>
  <c r="J139" i="6"/>
  <c r="H139" s="1"/>
  <c r="J202"/>
  <c r="H202" s="1"/>
  <c r="G202"/>
  <c r="AZ11" i="7" s="1"/>
  <c r="AZ15" s="1"/>
  <c r="J205" i="6"/>
  <c r="H205" s="1"/>
  <c r="G205"/>
  <c r="AZ14" i="7" s="1"/>
  <c r="J117" i="6"/>
  <c r="H117" s="1"/>
  <c r="G117"/>
  <c r="AD14" i="7" s="1"/>
  <c r="J41" i="6"/>
  <c r="H41" s="1"/>
  <c r="G41"/>
  <c r="K14" i="7" s="1"/>
  <c r="G118" i="6"/>
  <c r="AE11" i="7" s="1"/>
  <c r="J118" i="6"/>
  <c r="H118" s="1"/>
  <c r="G200"/>
  <c r="AY13" i="7" s="1"/>
  <c r="J200" i="6"/>
  <c r="H200" s="1"/>
  <c r="BM4" i="7"/>
  <c r="F281" i="12"/>
  <c r="F1145"/>
  <c r="F929"/>
  <c r="BS5" i="7"/>
  <c r="F1511" i="12"/>
  <c r="H1511" s="1"/>
  <c r="F1007"/>
  <c r="H1007" s="1"/>
  <c r="F647"/>
  <c r="H647" s="1"/>
  <c r="F791"/>
  <c r="H791" s="1"/>
  <c r="F935"/>
  <c r="H935" s="1"/>
  <c r="F215"/>
  <c r="H215" s="1"/>
  <c r="AO4" i="7"/>
  <c r="F1553" i="12"/>
  <c r="W6" i="7"/>
  <c r="F311" i="12"/>
  <c r="H311" s="1"/>
  <c r="F959"/>
  <c r="H959" s="1"/>
  <c r="F383"/>
  <c r="H383" s="1"/>
  <c r="F23"/>
  <c r="H23" s="1"/>
  <c r="F1391"/>
  <c r="H1391" s="1"/>
  <c r="F1535"/>
  <c r="F1247"/>
  <c r="H1247" s="1"/>
  <c r="F815"/>
  <c r="H815" s="1"/>
  <c r="F239"/>
  <c r="H239" s="1"/>
  <c r="F167"/>
  <c r="H167" s="1"/>
  <c r="F527"/>
  <c r="H527" s="1"/>
  <c r="J259" i="6"/>
  <c r="H259" s="1"/>
  <c r="G259"/>
  <c r="BN12" i="7" s="1"/>
  <c r="F1126" i="12"/>
  <c r="F910"/>
  <c r="AT4" i="7"/>
  <c r="F406" i="12"/>
  <c r="F838"/>
  <c r="F334"/>
  <c r="F70"/>
  <c r="H70" s="1"/>
  <c r="F286"/>
  <c r="H286" s="1"/>
  <c r="F1366"/>
  <c r="H1366" s="1"/>
  <c r="F358"/>
  <c r="H358" s="1"/>
  <c r="F1510"/>
  <c r="H1510" s="1"/>
  <c r="F1150"/>
  <c r="F1078"/>
  <c r="H1078" s="1"/>
  <c r="F934"/>
  <c r="F142"/>
  <c r="H142" s="1"/>
  <c r="BR6" i="7"/>
  <c r="F574" i="12"/>
  <c r="H574" s="1"/>
  <c r="F430"/>
  <c r="H430" s="1"/>
  <c r="F118"/>
  <c r="H118" s="1"/>
  <c r="F1558"/>
  <c r="H1558" s="1"/>
  <c r="F190"/>
  <c r="AT6" i="7"/>
  <c r="F550" i="12"/>
  <c r="H550" s="1"/>
  <c r="F46"/>
  <c r="H46" s="1"/>
  <c r="F1414"/>
  <c r="F1198"/>
  <c r="H1198" s="1"/>
  <c r="G44" i="6"/>
  <c r="L13" i="7" s="1"/>
  <c r="J44" i="6"/>
  <c r="H44" s="1"/>
  <c r="G42"/>
  <c r="L11" i="7" s="1"/>
  <c r="J42" i="6"/>
  <c r="H42" s="1"/>
  <c r="J189"/>
  <c r="H189" s="1"/>
  <c r="G189"/>
  <c r="AV14" i="7" s="1"/>
  <c r="J282" i="6"/>
  <c r="H282" s="1"/>
  <c r="G282"/>
  <c r="BT11" i="7" s="1"/>
  <c r="J22" i="6"/>
  <c r="H22" s="1"/>
  <c r="G22"/>
  <c r="G11" i="7" s="1"/>
  <c r="J185" i="6"/>
  <c r="H185" s="1"/>
  <c r="G185"/>
  <c r="AU14" i="7" s="1"/>
  <c r="G125" i="6"/>
  <c r="AF14" i="7" s="1"/>
  <c r="J125" i="6"/>
  <c r="H125" s="1"/>
  <c r="F505" i="10"/>
  <c r="BA15" i="7"/>
  <c r="AH15"/>
  <c r="F526" i="10"/>
  <c r="F430"/>
  <c r="F398"/>
  <c r="M15" i="7"/>
  <c r="U15"/>
  <c r="BS15"/>
  <c r="W15"/>
  <c r="BK15"/>
  <c r="BR15"/>
  <c r="F513" i="10"/>
  <c r="BE15" i="7"/>
  <c r="I15"/>
  <c r="Y15"/>
  <c r="AS15"/>
  <c r="BP15"/>
  <c r="H1402" i="12"/>
  <c r="H1114"/>
  <c r="H826"/>
  <c r="F7" i="7"/>
  <c r="H914" i="12"/>
  <c r="L78" i="6"/>
  <c r="U3" i="7"/>
  <c r="L79" i="6"/>
  <c r="L80"/>
  <c r="L81"/>
  <c r="F1245" i="12"/>
  <c r="H1245" s="1"/>
  <c r="F21"/>
  <c r="H21" s="1"/>
  <c r="F1533"/>
  <c r="H1533" s="1"/>
  <c r="F813"/>
  <c r="F1461"/>
  <c r="H1461" s="1"/>
  <c r="F1317"/>
  <c r="H1317" s="1"/>
  <c r="F165"/>
  <c r="H165" s="1"/>
  <c r="F381"/>
  <c r="H381" s="1"/>
  <c r="F1173"/>
  <c r="H1173" s="1"/>
  <c r="F525"/>
  <c r="H525" s="1"/>
  <c r="BS4" i="7"/>
  <c r="F503" i="12"/>
  <c r="F863"/>
  <c r="F431"/>
  <c r="H431" s="1"/>
  <c r="F143"/>
  <c r="M6" i="7"/>
  <c r="F1309" i="12"/>
  <c r="H1309" s="1"/>
  <c r="F1525"/>
  <c r="H1525" s="1"/>
  <c r="F85"/>
  <c r="F877"/>
  <c r="H877" s="1"/>
  <c r="F1093"/>
  <c r="H1093" s="1"/>
  <c r="F157"/>
  <c r="H157" s="1"/>
  <c r="F1453"/>
  <c r="H1453" s="1"/>
  <c r="F1165"/>
  <c r="F445"/>
  <c r="H445" s="1"/>
  <c r="F805"/>
  <c r="H805" s="1"/>
  <c r="U5" i="7"/>
  <c r="F93" i="12"/>
  <c r="F1101"/>
  <c r="H1101" s="1"/>
  <c r="AC4" i="7"/>
  <c r="F389" i="12"/>
  <c r="F173"/>
  <c r="F605"/>
  <c r="AW4" i="7"/>
  <c r="C8" i="23" s="1"/>
  <c r="F769" i="12"/>
  <c r="F625"/>
  <c r="BQ4" i="7"/>
  <c r="F933" i="12"/>
  <c r="H933" s="1"/>
  <c r="F501"/>
  <c r="F645"/>
  <c r="BI4" i="7"/>
  <c r="F1501" i="12"/>
  <c r="F277"/>
  <c r="F853"/>
  <c r="BA4" i="7"/>
  <c r="F1277" i="12"/>
  <c r="F1421"/>
  <c r="BP6" i="7"/>
  <c r="F1292" i="12"/>
  <c r="H1292" s="1"/>
  <c r="F1580"/>
  <c r="H1580" s="1"/>
  <c r="F932"/>
  <c r="F572"/>
  <c r="H572" s="1"/>
  <c r="F1436"/>
  <c r="H1436" s="1"/>
  <c r="F716"/>
  <c r="H716" s="1"/>
  <c r="F356"/>
  <c r="H356" s="1"/>
  <c r="F1508"/>
  <c r="H1508" s="1"/>
  <c r="F1220"/>
  <c r="H1220" s="1"/>
  <c r="F1004"/>
  <c r="H1004" s="1"/>
  <c r="F140"/>
  <c r="H140" s="1"/>
  <c r="F284"/>
  <c r="H284" s="1"/>
  <c r="F68"/>
  <c r="J98" i="6"/>
  <c r="H98" s="1"/>
  <c r="G98"/>
  <c r="Z11" i="7" s="1"/>
  <c r="AH4"/>
  <c r="F682" i="12"/>
  <c r="F1042"/>
  <c r="H1042" s="1"/>
  <c r="F178"/>
  <c r="F394"/>
  <c r="F1474"/>
  <c r="F610"/>
  <c r="F78"/>
  <c r="H78" s="1"/>
  <c r="F6"/>
  <c r="H6" s="1"/>
  <c r="F5" i="7"/>
  <c r="F582" i="12"/>
  <c r="H582" s="1"/>
  <c r="F510"/>
  <c r="H510" s="1"/>
  <c r="F1446"/>
  <c r="H1446" s="1"/>
  <c r="F870"/>
  <c r="H870" s="1"/>
  <c r="F366"/>
  <c r="H366" s="1"/>
  <c r="G172" i="6"/>
  <c r="AR13" i="7" s="1"/>
  <c r="J172" i="6"/>
  <c r="H172" s="1"/>
  <c r="J250"/>
  <c r="H250" s="1"/>
  <c r="G250"/>
  <c r="BL11" i="7" s="1"/>
  <c r="BL15" s="1"/>
  <c r="G252" i="6"/>
  <c r="BL13" i="7" s="1"/>
  <c r="J252" i="6"/>
  <c r="H252" s="1"/>
  <c r="J6"/>
  <c r="H6" s="1"/>
  <c r="G6"/>
  <c r="C11" i="7" s="1"/>
  <c r="C15" s="1"/>
  <c r="J70" i="6"/>
  <c r="H70" s="1"/>
  <c r="G70"/>
  <c r="S11" i="7" s="1"/>
  <c r="G73" i="6"/>
  <c r="S14" i="7" s="1"/>
  <c r="J73" i="6"/>
  <c r="H73" s="1"/>
  <c r="S6" i="7" s="1"/>
  <c r="J26" i="6"/>
  <c r="H26" s="1"/>
  <c r="G26"/>
  <c r="H11" i="7" s="1"/>
  <c r="H15" s="1"/>
  <c r="B18" i="27"/>
  <c r="D18" s="1"/>
  <c r="B17"/>
  <c r="D17" s="1"/>
  <c r="F1082" i="12"/>
  <c r="H1082" s="1"/>
  <c r="F938"/>
  <c r="F290"/>
  <c r="H290" s="1"/>
  <c r="B6" i="7"/>
  <c r="F434" i="12"/>
  <c r="H434" s="1"/>
  <c r="F866"/>
  <c r="H866" s="1"/>
  <c r="F650"/>
  <c r="F218"/>
  <c r="H218" s="1"/>
  <c r="BH4" i="7"/>
  <c r="F1212" i="12"/>
  <c r="F204"/>
  <c r="F420"/>
  <c r="H420" s="1"/>
  <c r="L223" i="6"/>
  <c r="BE3" i="7"/>
  <c r="BE7" s="1"/>
  <c r="L222" i="6"/>
  <c r="L225"/>
  <c r="L224"/>
  <c r="AG4" i="7"/>
  <c r="F825" i="12"/>
  <c r="AW6" i="7"/>
  <c r="F697" i="12"/>
  <c r="H697" s="1"/>
  <c r="F841"/>
  <c r="H841" s="1"/>
  <c r="F193"/>
  <c r="H193" s="1"/>
  <c r="F265"/>
  <c r="H265" s="1"/>
  <c r="F409"/>
  <c r="F1489"/>
  <c r="H1489" s="1"/>
  <c r="F49"/>
  <c r="F337"/>
  <c r="H337" s="1"/>
  <c r="F985"/>
  <c r="F553"/>
  <c r="H553" s="1"/>
  <c r="F481"/>
  <c r="F121"/>
  <c r="H121" s="1"/>
  <c r="BK6" i="7"/>
  <c r="F1431" i="12"/>
  <c r="F63"/>
  <c r="H63" s="1"/>
  <c r="F1575"/>
  <c r="H1575" s="1"/>
  <c r="F1071"/>
  <c r="H1071" s="1"/>
  <c r="F927"/>
  <c r="H927" s="1"/>
  <c r="F783"/>
  <c r="H783" s="1"/>
  <c r="F1359"/>
  <c r="H1359" s="1"/>
  <c r="F423"/>
  <c r="H423" s="1"/>
  <c r="F135"/>
  <c r="F1215"/>
  <c r="H1215" s="1"/>
  <c r="F567"/>
  <c r="H567" s="1"/>
  <c r="J53" i="6"/>
  <c r="H53" s="1"/>
  <c r="G53"/>
  <c r="N14" i="7" s="1"/>
  <c r="J76" i="6"/>
  <c r="H76" s="1"/>
  <c r="G76"/>
  <c r="T13" i="7" s="1"/>
  <c r="G155" i="6"/>
  <c r="AN12" i="7" s="1"/>
  <c r="J155" i="6"/>
  <c r="H155" s="1"/>
  <c r="G156"/>
  <c r="AN13" i="7" s="1"/>
  <c r="J156" i="6"/>
  <c r="H156" s="1"/>
  <c r="G221"/>
  <c r="BD14" i="7" s="1"/>
  <c r="J221" i="6"/>
  <c r="H221" s="1"/>
  <c r="G55"/>
  <c r="O12" i="7" s="1"/>
  <c r="J55" i="6"/>
  <c r="H55" s="1"/>
  <c r="O4" i="7" s="1"/>
  <c r="J54" i="6"/>
  <c r="H54" s="1"/>
  <c r="G54"/>
  <c r="O11" i="7" s="1"/>
  <c r="J13" i="6"/>
  <c r="H13" s="1"/>
  <c r="G13"/>
  <c r="D14" i="7" s="1"/>
  <c r="L111" i="6"/>
  <c r="L110"/>
  <c r="L113"/>
  <c r="AC3" i="7"/>
  <c r="AC7" s="1"/>
  <c r="L112" i="6"/>
  <c r="F749" i="12"/>
  <c r="F1469"/>
  <c r="H1469" s="1"/>
  <c r="F1253"/>
  <c r="H1253" s="1"/>
  <c r="F1397"/>
  <c r="H1397" s="1"/>
  <c r="F1226"/>
  <c r="B4" i="7"/>
  <c r="F362" i="12"/>
  <c r="F146"/>
  <c r="F1010"/>
  <c r="F1370"/>
  <c r="AS5" i="7"/>
  <c r="F1557" i="12"/>
  <c r="H1557" s="1"/>
  <c r="F1053"/>
  <c r="H1053" s="1"/>
  <c r="F45"/>
  <c r="H45" s="1"/>
  <c r="F621"/>
  <c r="H621" s="1"/>
  <c r="F549"/>
  <c r="H549" s="1"/>
  <c r="F333"/>
  <c r="F378"/>
  <c r="H378" s="1"/>
  <c r="R5" i="7"/>
  <c r="F1314" i="12"/>
  <c r="H1314" s="1"/>
  <c r="E6" i="7"/>
  <c r="F1229" i="12"/>
  <c r="H1229" s="1"/>
  <c r="F149"/>
  <c r="H149" s="1"/>
  <c r="F797"/>
  <c r="H797" s="1"/>
  <c r="F1157"/>
  <c r="H1157" s="1"/>
  <c r="F1517"/>
  <c r="H1517" s="1"/>
  <c r="F941"/>
  <c r="H941" s="1"/>
  <c r="F653"/>
  <c r="H653" s="1"/>
  <c r="F437"/>
  <c r="BA6" i="7"/>
  <c r="F989" i="12"/>
  <c r="H989" s="1"/>
  <c r="F845"/>
  <c r="H845" s="1"/>
  <c r="F269"/>
  <c r="H269" s="1"/>
  <c r="F485"/>
  <c r="H485" s="1"/>
  <c r="F629"/>
  <c r="H629" s="1"/>
  <c r="F1133"/>
  <c r="H1133" s="1"/>
  <c r="F197"/>
  <c r="H197" s="1"/>
  <c r="F1493"/>
  <c r="H1493" s="1"/>
  <c r="F1518"/>
  <c r="H1518" s="1"/>
  <c r="F222"/>
  <c r="F294"/>
  <c r="F438"/>
  <c r="F150"/>
  <c r="H150" s="1"/>
  <c r="F4" i="7"/>
  <c r="J34" i="6"/>
  <c r="H34" s="1"/>
  <c r="G34"/>
  <c r="J11" i="7" s="1"/>
  <c r="J15" s="1"/>
  <c r="L194" i="6"/>
  <c r="L195"/>
  <c r="L196"/>
  <c r="L197"/>
  <c r="F986" i="12"/>
  <c r="H986" s="1"/>
  <c r="F410"/>
  <c r="H410" s="1"/>
  <c r="F1202"/>
  <c r="F1058"/>
  <c r="H1058" s="1"/>
  <c r="AX3" i="7"/>
  <c r="AX7" s="1"/>
  <c r="F1418" i="12"/>
  <c r="H1418" s="1"/>
  <c r="G59" i="6"/>
  <c r="P12" i="7" s="1"/>
  <c r="J59" i="6"/>
  <c r="H59" s="1"/>
  <c r="J141"/>
  <c r="H141" s="1"/>
  <c r="G141"/>
  <c r="AJ14" i="7" s="1"/>
  <c r="G140" i="6"/>
  <c r="AJ13" i="7" s="1"/>
  <c r="J140" i="6"/>
  <c r="H140" s="1"/>
  <c r="AJ5" i="7" s="1"/>
  <c r="J114" i="6"/>
  <c r="H114" s="1"/>
  <c r="G114"/>
  <c r="AD11" i="7" s="1"/>
  <c r="J38" i="6"/>
  <c r="H38" s="1"/>
  <c r="G38"/>
  <c r="K11" i="7" s="1"/>
  <c r="K15" s="1"/>
  <c r="J120" i="6"/>
  <c r="H120" s="1"/>
  <c r="G120"/>
  <c r="AE13" i="7" s="1"/>
  <c r="G119" i="6"/>
  <c r="AE12" i="7" s="1"/>
  <c r="J119" i="6"/>
  <c r="H119" s="1"/>
  <c r="J201"/>
  <c r="H201" s="1"/>
  <c r="G201"/>
  <c r="AY14" i="7" s="1"/>
  <c r="I3"/>
  <c r="L30" i="6"/>
  <c r="L31"/>
  <c r="L33"/>
  <c r="L32"/>
  <c r="L94"/>
  <c r="L95"/>
  <c r="L96"/>
  <c r="Y3" i="7"/>
  <c r="L97" i="6"/>
  <c r="F1033" i="12"/>
  <c r="H1033" s="1"/>
  <c r="F457"/>
  <c r="H457" s="1"/>
  <c r="F1393"/>
  <c r="H1393" s="1"/>
  <c r="F1105"/>
  <c r="H1105" s="1"/>
  <c r="F529"/>
  <c r="H529" s="1"/>
  <c r="F25"/>
  <c r="H25" s="1"/>
  <c r="F385"/>
  <c r="H385" s="1"/>
  <c r="F1321"/>
  <c r="H1321" s="1"/>
  <c r="F961"/>
  <c r="H961" s="1"/>
  <c r="F97"/>
  <c r="H97" s="1"/>
  <c r="L231" i="6"/>
  <c r="BG3" i="7"/>
  <c r="L230" i="6"/>
  <c r="L233"/>
  <c r="L232"/>
  <c r="F1427" i="12"/>
  <c r="H1427" s="1"/>
  <c r="F851"/>
  <c r="H851" s="1"/>
  <c r="F1067"/>
  <c r="H1067" s="1"/>
  <c r="F419"/>
  <c r="H419" s="1"/>
  <c r="F635"/>
  <c r="H635" s="1"/>
  <c r="F1499"/>
  <c r="H1499" s="1"/>
  <c r="F707"/>
  <c r="H707" s="1"/>
  <c r="F275"/>
  <c r="H275" s="1"/>
  <c r="F1139"/>
  <c r="H1139" s="1"/>
  <c r="U6" i="7"/>
  <c r="F957" i="12"/>
  <c r="H957" s="1"/>
  <c r="F669"/>
  <c r="H669" s="1"/>
  <c r="F597"/>
  <c r="H597" s="1"/>
  <c r="F741"/>
  <c r="H741" s="1"/>
  <c r="F885"/>
  <c r="H885" s="1"/>
  <c r="AC6" i="7"/>
  <c r="F1325" i="12"/>
  <c r="F1181"/>
  <c r="H1181" s="1"/>
  <c r="F965"/>
  <c r="H965" s="1"/>
  <c r="F317"/>
  <c r="F1037"/>
  <c r="F245"/>
  <c r="H245" s="1"/>
  <c r="F101"/>
  <c r="F677"/>
  <c r="H677" s="1"/>
  <c r="F821"/>
  <c r="H821" s="1"/>
  <c r="F1109"/>
  <c r="H1109" s="1"/>
  <c r="R6" i="7"/>
  <c r="F522" i="12"/>
  <c r="F234"/>
  <c r="F594"/>
  <c r="H594" s="1"/>
  <c r="F306"/>
  <c r="H306" s="1"/>
  <c r="BH6" i="7"/>
  <c r="F1500" i="12"/>
  <c r="H1500" s="1"/>
  <c r="F1428"/>
  <c r="H1428" s="1"/>
  <c r="F564"/>
  <c r="F1284"/>
  <c r="F924"/>
  <c r="H924" s="1"/>
  <c r="F348"/>
  <c r="H348" s="1"/>
  <c r="F1572"/>
  <c r="H1572" s="1"/>
  <c r="F708"/>
  <c r="H708" s="1"/>
  <c r="F852"/>
  <c r="H852" s="1"/>
  <c r="F60"/>
  <c r="H60" s="1"/>
  <c r="F276"/>
  <c r="H276" s="1"/>
  <c r="F492"/>
  <c r="H492" s="1"/>
  <c r="BC6" i="7"/>
  <c r="C10" i="23" s="1"/>
  <c r="F1495" i="12"/>
  <c r="H1495" s="1"/>
  <c r="F1423"/>
  <c r="F1135"/>
  <c r="F991"/>
  <c r="H991" s="1"/>
  <c r="F415"/>
  <c r="H415" s="1"/>
  <c r="F127"/>
  <c r="H127" s="1"/>
  <c r="F271"/>
  <c r="F631"/>
  <c r="H631" s="1"/>
  <c r="F847"/>
  <c r="H847" s="1"/>
  <c r="F1063"/>
  <c r="H1063" s="1"/>
  <c r="F919"/>
  <c r="H919" s="1"/>
  <c r="F703"/>
  <c r="H703" s="1"/>
  <c r="J258" i="6"/>
  <c r="H258" s="1"/>
  <c r="G258"/>
  <c r="BN11" i="7" s="1"/>
  <c r="L146" i="6"/>
  <c r="L147"/>
  <c r="L148"/>
  <c r="L149"/>
  <c r="F1190" i="12"/>
  <c r="F974"/>
  <c r="H974" s="1"/>
  <c r="F38"/>
  <c r="H38" s="1"/>
  <c r="AL3" i="7"/>
  <c r="F1262" i="12"/>
  <c r="H1262" s="1"/>
  <c r="F542"/>
  <c r="H542" s="1"/>
  <c r="F1478"/>
  <c r="H1478" s="1"/>
  <c r="F686"/>
  <c r="H686" s="1"/>
  <c r="F1334"/>
  <c r="H1334" s="1"/>
  <c r="F902"/>
  <c r="H902" s="1"/>
  <c r="F1374"/>
  <c r="H1374" s="1"/>
  <c r="F726"/>
  <c r="H726" s="1"/>
  <c r="F942"/>
  <c r="H942" s="1"/>
  <c r="F1230"/>
  <c r="F798"/>
  <c r="H798" s="1"/>
  <c r="F1302"/>
  <c r="H1302" s="1"/>
  <c r="F1014"/>
  <c r="H1014" s="1"/>
  <c r="F6" i="7"/>
  <c r="L242" i="6"/>
  <c r="L243"/>
  <c r="L244"/>
  <c r="L245"/>
  <c r="BJ3" i="7"/>
  <c r="BJ7" s="1"/>
  <c r="J107" i="6"/>
  <c r="H107" s="1"/>
  <c r="G107"/>
  <c r="AB12" i="7" s="1"/>
  <c r="G188" i="6"/>
  <c r="AV13" i="7" s="1"/>
  <c r="J188" i="6"/>
  <c r="H188" s="1"/>
  <c r="G283"/>
  <c r="BT12" i="7" s="1"/>
  <c r="J283" i="6"/>
  <c r="H283" s="1"/>
  <c r="BT4" i="7" s="1"/>
  <c r="G284" i="6"/>
  <c r="BT13" i="7" s="1"/>
  <c r="J284" i="6"/>
  <c r="H284" s="1"/>
  <c r="J25"/>
  <c r="H25" s="1"/>
  <c r="G25"/>
  <c r="G14" i="7" s="1"/>
  <c r="G103" i="6"/>
  <c r="AA12" i="7" s="1"/>
  <c r="J103" i="6"/>
  <c r="H103" s="1"/>
  <c r="F922" i="12"/>
  <c r="F202"/>
  <c r="F562"/>
  <c r="F58"/>
  <c r="H58" s="1"/>
  <c r="BF4" i="7"/>
  <c r="F418" i="12"/>
  <c r="J122" i="6"/>
  <c r="H122" s="1"/>
  <c r="G122"/>
  <c r="AF11" i="7" s="1"/>
  <c r="AF15" s="1"/>
  <c r="G1571" i="12"/>
  <c r="G1547"/>
  <c r="G1564"/>
  <c r="G1501"/>
  <c r="G1497"/>
  <c r="G1574"/>
  <c r="G1569"/>
  <c r="G1553"/>
  <c r="G1550"/>
  <c r="G1496"/>
  <c r="G1503"/>
  <c r="G1487"/>
  <c r="G1475"/>
  <c r="G1474"/>
  <c r="G1472"/>
  <c r="G1456"/>
  <c r="G1444"/>
  <c r="G1430"/>
  <c r="G1425"/>
  <c r="G1421"/>
  <c r="G1390"/>
  <c r="G1389"/>
  <c r="G1386"/>
  <c r="G1385"/>
  <c r="G1376"/>
  <c r="G1373"/>
  <c r="G1371"/>
  <c r="G1370"/>
  <c r="G1358"/>
  <c r="G1353"/>
  <c r="G1336"/>
  <c r="G1335"/>
  <c r="G1318"/>
  <c r="G1286"/>
  <c r="G1281"/>
  <c r="G1277"/>
  <c r="G1259"/>
  <c r="G1250"/>
  <c r="G1242"/>
  <c r="G1227"/>
  <c r="G1226"/>
  <c r="G1214"/>
  <c r="G1212"/>
  <c r="G1209"/>
  <c r="G1170"/>
  <c r="G1168"/>
  <c r="G1147"/>
  <c r="G1145"/>
  <c r="G1142"/>
  <c r="G1137"/>
  <c r="G1130"/>
  <c r="G1128"/>
  <c r="G1126"/>
  <c r="G1124"/>
  <c r="G1518"/>
  <c r="G1502"/>
  <c r="G1065"/>
  <c r="G1029"/>
  <c r="G1021"/>
  <c r="G993"/>
  <c r="G933"/>
  <c r="G929"/>
  <c r="G921"/>
  <c r="G860"/>
  <c r="G836"/>
  <c r="G771"/>
  <c r="G695"/>
  <c r="G662"/>
  <c r="G642"/>
  <c r="G638"/>
  <c r="G605"/>
  <c r="G589"/>
  <c r="G581"/>
  <c r="G561"/>
  <c r="G540"/>
  <c r="G528"/>
  <c r="G503"/>
  <c r="G475"/>
  <c r="G467"/>
  <c r="G439"/>
  <c r="G431"/>
  <c r="G395"/>
  <c r="G391"/>
  <c r="G362"/>
  <c r="G350"/>
  <c r="G338"/>
  <c r="G334"/>
  <c r="G326"/>
  <c r="G318"/>
  <c r="G314"/>
  <c r="G294"/>
  <c r="G278"/>
  <c r="G1578"/>
  <c r="G1076"/>
  <c r="G1064"/>
  <c r="G960"/>
  <c r="G940"/>
  <c r="G863"/>
  <c r="G782"/>
  <c r="G762"/>
  <c r="G758"/>
  <c r="G710"/>
  <c r="G682"/>
  <c r="G670"/>
  <c r="G649"/>
  <c r="G645"/>
  <c r="G633"/>
  <c r="G625"/>
  <c r="G616"/>
  <c r="G612"/>
  <c r="G588"/>
  <c r="G580"/>
  <c r="G547"/>
  <c r="G514"/>
  <c r="G494"/>
  <c r="G482"/>
  <c r="G450"/>
  <c r="G446"/>
  <c r="G438"/>
  <c r="G422"/>
  <c r="G418"/>
  <c r="G406"/>
  <c r="G394"/>
  <c r="G373"/>
  <c r="G345"/>
  <c r="G313"/>
  <c r="G309"/>
  <c r="G281"/>
  <c r="G277"/>
  <c r="G273"/>
  <c r="G1043"/>
  <c r="G1015"/>
  <c r="G975"/>
  <c r="G963"/>
  <c r="G923"/>
  <c r="G907"/>
  <c r="G899"/>
  <c r="G854"/>
  <c r="G838"/>
  <c r="G830"/>
  <c r="G777"/>
  <c r="G769"/>
  <c r="G725"/>
  <c r="G705"/>
  <c r="G673"/>
  <c r="G656"/>
  <c r="G644"/>
  <c r="G640"/>
  <c r="G603"/>
  <c r="G579"/>
  <c r="G571"/>
  <c r="G501"/>
  <c r="G489"/>
  <c r="G477"/>
  <c r="G453"/>
  <c r="G449"/>
  <c r="G417"/>
  <c r="G405"/>
  <c r="G389"/>
  <c r="G372"/>
  <c r="G344"/>
  <c r="G280"/>
  <c r="G1070"/>
  <c r="G998"/>
  <c r="G926"/>
  <c r="G910"/>
  <c r="G853"/>
  <c r="G764"/>
  <c r="G700"/>
  <c r="G676"/>
  <c r="G627"/>
  <c r="G610"/>
  <c r="G562"/>
  <c r="G488"/>
  <c r="G351"/>
  <c r="G251"/>
  <c r="G246"/>
  <c r="G242"/>
  <c r="G241"/>
  <c r="G237"/>
  <c r="G222"/>
  <c r="G219"/>
  <c r="G206"/>
  <c r="G204"/>
  <c r="G202"/>
  <c r="G201"/>
  <c r="G196"/>
  <c r="G195"/>
  <c r="G187"/>
  <c r="G178"/>
  <c r="G173"/>
  <c r="G171"/>
  <c r="G166"/>
  <c r="G150"/>
  <c r="G146"/>
  <c r="G143"/>
  <c r="G134"/>
  <c r="G129"/>
  <c r="G123"/>
  <c r="G112"/>
  <c r="G90"/>
  <c r="G86"/>
  <c r="G67"/>
  <c r="G62"/>
  <c r="G58"/>
  <c r="G57"/>
  <c r="G43"/>
  <c r="G27"/>
  <c r="G24"/>
  <c r="G18"/>
  <c r="G10"/>
  <c r="G1490"/>
  <c r="G1042"/>
  <c r="G1010"/>
  <c r="G946"/>
  <c r="G922"/>
  <c r="G849"/>
  <c r="G825"/>
  <c r="G704"/>
  <c r="G672"/>
  <c r="G606"/>
  <c r="G566"/>
  <c r="G508"/>
  <c r="G428"/>
  <c r="G420"/>
  <c r="G388"/>
  <c r="G347"/>
  <c r="G323"/>
  <c r="G291"/>
  <c r="G258"/>
  <c r="G254"/>
  <c r="G266"/>
  <c r="F393" i="10"/>
  <c r="F313"/>
  <c r="BO15" i="7"/>
  <c r="AO15"/>
  <c r="V15"/>
  <c r="L2" i="6"/>
  <c r="F321" i="10"/>
  <c r="AW15" i="7"/>
  <c r="AK15"/>
  <c r="H250" i="12"/>
  <c r="H898"/>
  <c r="H1330"/>
  <c r="H970"/>
  <c r="H1158"/>
  <c r="L19" i="6"/>
  <c r="H50" i="12"/>
  <c r="H1346"/>
  <c r="BN4" i="7" l="1"/>
  <c r="F642" i="12"/>
  <c r="H642" s="1"/>
  <c r="F1578"/>
  <c r="H1578" s="1"/>
  <c r="L119" i="6"/>
  <c r="AE3" i="7"/>
  <c r="L118" i="6"/>
  <c r="L121"/>
  <c r="L120"/>
  <c r="F1039" i="12"/>
  <c r="H1039" s="1"/>
  <c r="F31"/>
  <c r="H31" s="1"/>
  <c r="F607"/>
  <c r="H607" s="1"/>
  <c r="F535"/>
  <c r="H535" s="1"/>
  <c r="F1327"/>
  <c r="H1327" s="1"/>
  <c r="F463"/>
  <c r="H463" s="1"/>
  <c r="F175"/>
  <c r="H175" s="1"/>
  <c r="F946"/>
  <c r="H946" s="1"/>
  <c r="J4" i="7"/>
  <c r="F10" i="12"/>
  <c r="H10" s="1"/>
  <c r="F514"/>
  <c r="H514" s="1"/>
  <c r="BD4" i="7"/>
  <c r="F344" i="12"/>
  <c r="H344" s="1"/>
  <c r="F1064"/>
  <c r="H1064" s="1"/>
  <c r="F704"/>
  <c r="H704" s="1"/>
  <c r="F488"/>
  <c r="H488" s="1"/>
  <c r="F1496"/>
  <c r="H1496" s="1"/>
  <c r="D4" i="7"/>
  <c r="F1444" i="12"/>
  <c r="H1444" s="1"/>
  <c r="F940"/>
  <c r="H940" s="1"/>
  <c r="F580"/>
  <c r="H580" s="1"/>
  <c r="F508"/>
  <c r="H508" s="1"/>
  <c r="O6" i="7"/>
  <c r="F1239" i="12"/>
  <c r="H1239" s="1"/>
  <c r="F735"/>
  <c r="H735" s="1"/>
  <c r="L38" i="6"/>
  <c r="K3" i="7"/>
  <c r="L39" i="6"/>
  <c r="L40"/>
  <c r="L41"/>
  <c r="F1163" i="12"/>
  <c r="H1163" s="1"/>
  <c r="F1235"/>
  <c r="H1235" s="1"/>
  <c r="F1019"/>
  <c r="H1019" s="1"/>
  <c r="F515"/>
  <c r="H515" s="1"/>
  <c r="F1307"/>
  <c r="H1307" s="1"/>
  <c r="F155"/>
  <c r="H155" s="1"/>
  <c r="F1523"/>
  <c r="H1523" s="1"/>
  <c r="F1379"/>
  <c r="H1379" s="1"/>
  <c r="F11"/>
  <c r="H11" s="1"/>
  <c r="L35" i="6"/>
  <c r="L34"/>
  <c r="L36"/>
  <c r="L37"/>
  <c r="F874" i="12"/>
  <c r="H874" s="1"/>
  <c r="F226"/>
  <c r="H226" s="1"/>
  <c r="J3" i="7"/>
  <c r="F1234" i="12"/>
  <c r="H1234" s="1"/>
  <c r="F298"/>
  <c r="H298" s="1"/>
  <c r="F154"/>
  <c r="H154" s="1"/>
  <c r="F1162"/>
  <c r="H1162" s="1"/>
  <c r="F730"/>
  <c r="H730" s="1"/>
  <c r="F1090"/>
  <c r="H1090" s="1"/>
  <c r="F586"/>
  <c r="H586" s="1"/>
  <c r="F1450"/>
  <c r="H1450" s="1"/>
  <c r="BD6" i="7"/>
  <c r="C11" i="23" s="1"/>
  <c r="F776" i="12"/>
  <c r="H776" s="1"/>
  <c r="F128"/>
  <c r="H128" s="1"/>
  <c r="F1424"/>
  <c r="H1424" s="1"/>
  <c r="F1136"/>
  <c r="H1136" s="1"/>
  <c r="F1280"/>
  <c r="H1280" s="1"/>
  <c r="F1352"/>
  <c r="H1352" s="1"/>
  <c r="F920"/>
  <c r="H920" s="1"/>
  <c r="F848"/>
  <c r="H848" s="1"/>
  <c r="F56"/>
  <c r="H56" s="1"/>
  <c r="F1568"/>
  <c r="H1568" s="1"/>
  <c r="F200"/>
  <c r="H200" s="1"/>
  <c r="F272"/>
  <c r="H272" s="1"/>
  <c r="F1208"/>
  <c r="H1208" s="1"/>
  <c r="F992"/>
  <c r="H992" s="1"/>
  <c r="F416"/>
  <c r="H416" s="1"/>
  <c r="F632"/>
  <c r="H632" s="1"/>
  <c r="F560"/>
  <c r="H560" s="1"/>
  <c r="AN4" i="7"/>
  <c r="F616" i="12"/>
  <c r="H616" s="1"/>
  <c r="F112"/>
  <c r="H112" s="1"/>
  <c r="F1336"/>
  <c r="H1336" s="1"/>
  <c r="BL5" i="7"/>
  <c r="F712" i="12"/>
  <c r="H712" s="1"/>
  <c r="F136"/>
  <c r="H136" s="1"/>
  <c r="F1000"/>
  <c r="H1000" s="1"/>
  <c r="F496"/>
  <c r="H496" s="1"/>
  <c r="F856"/>
  <c r="H856" s="1"/>
  <c r="F208"/>
  <c r="H208" s="1"/>
  <c r="AR5" i="7"/>
  <c r="F332" i="12"/>
  <c r="H332" s="1"/>
  <c r="F404"/>
  <c r="H404" s="1"/>
  <c r="F692"/>
  <c r="H692" s="1"/>
  <c r="AU6" i="7"/>
  <c r="F1415" i="12"/>
  <c r="H1415" s="1"/>
  <c r="F263"/>
  <c r="H263" s="1"/>
  <c r="F1271"/>
  <c r="H1271" s="1"/>
  <c r="F839"/>
  <c r="H839" s="1"/>
  <c r="F911"/>
  <c r="H911" s="1"/>
  <c r="F335"/>
  <c r="H335" s="1"/>
  <c r="L282" i="6"/>
  <c r="BT3" i="7"/>
  <c r="L284" i="6"/>
  <c r="L283"/>
  <c r="L285"/>
  <c r="F792" i="12"/>
  <c r="H792" s="1"/>
  <c r="F216"/>
  <c r="H216" s="1"/>
  <c r="F1080"/>
  <c r="H1080" s="1"/>
  <c r="F936"/>
  <c r="H936" s="1"/>
  <c r="F72"/>
  <c r="H72" s="1"/>
  <c r="F432"/>
  <c r="H432" s="1"/>
  <c r="F576"/>
  <c r="H576" s="1"/>
  <c r="F1224"/>
  <c r="H1224" s="1"/>
  <c r="AY5" i="7"/>
  <c r="F1563" i="12"/>
  <c r="H1563" s="1"/>
  <c r="F1059"/>
  <c r="H1059" s="1"/>
  <c r="F915"/>
  <c r="H915" s="1"/>
  <c r="F267"/>
  <c r="H267" s="1"/>
  <c r="AJ4" i="7"/>
  <c r="F540" i="12"/>
  <c r="H540" s="1"/>
  <c r="F612"/>
  <c r="H612" s="1"/>
  <c r="AM5" i="7"/>
  <c r="F1479" i="12"/>
  <c r="H1479" s="1"/>
  <c r="F471"/>
  <c r="H471" s="1"/>
  <c r="F255"/>
  <c r="H255" s="1"/>
  <c r="F831"/>
  <c r="H831" s="1"/>
  <c r="F903"/>
  <c r="H903" s="1"/>
  <c r="F399"/>
  <c r="H399" s="1"/>
  <c r="O5" i="7"/>
  <c r="F1455" i="12"/>
  <c r="H1455" s="1"/>
  <c r="F375"/>
  <c r="H375" s="1"/>
  <c r="F1023"/>
  <c r="H1023" s="1"/>
  <c r="F447"/>
  <c r="H447" s="1"/>
  <c r="F663"/>
  <c r="H663" s="1"/>
  <c r="F879"/>
  <c r="H879" s="1"/>
  <c r="F87"/>
  <c r="H87" s="1"/>
  <c r="S5" i="7"/>
  <c r="F1459" i="12"/>
  <c r="H1459" s="1"/>
  <c r="F1315"/>
  <c r="H1315" s="1"/>
  <c r="F1387"/>
  <c r="H1387" s="1"/>
  <c r="F1099"/>
  <c r="H1099" s="1"/>
  <c r="F955"/>
  <c r="H955" s="1"/>
  <c r="F451"/>
  <c r="H451" s="1"/>
  <c r="F667"/>
  <c r="H667" s="1"/>
  <c r="F1531"/>
  <c r="H1531" s="1"/>
  <c r="F739"/>
  <c r="H739" s="1"/>
  <c r="F235"/>
  <c r="H235" s="1"/>
  <c r="F163"/>
  <c r="H163" s="1"/>
  <c r="F91"/>
  <c r="H91" s="1"/>
  <c r="F307"/>
  <c r="H307" s="1"/>
  <c r="F1171"/>
  <c r="H1171" s="1"/>
  <c r="F1243"/>
  <c r="H1243" s="1"/>
  <c r="F811"/>
  <c r="H811" s="1"/>
  <c r="F1027"/>
  <c r="H1027" s="1"/>
  <c r="F883"/>
  <c r="H883" s="1"/>
  <c r="F523"/>
  <c r="H523" s="1"/>
  <c r="F595"/>
  <c r="H595" s="1"/>
  <c r="F379"/>
  <c r="H379" s="1"/>
  <c r="F19"/>
  <c r="H19" s="1"/>
  <c r="L6" i="7"/>
  <c r="F1308" i="12"/>
  <c r="H1308" s="1"/>
  <c r="F1380"/>
  <c r="H1380" s="1"/>
  <c r="F1092"/>
  <c r="H1092" s="1"/>
  <c r="F948"/>
  <c r="H948" s="1"/>
  <c r="F1020"/>
  <c r="H1020" s="1"/>
  <c r="F444"/>
  <c r="H444" s="1"/>
  <c r="AY4" i="7"/>
  <c r="F771" i="12"/>
  <c r="H771" s="1"/>
  <c r="F195"/>
  <c r="H195" s="1"/>
  <c r="F627"/>
  <c r="H627" s="1"/>
  <c r="F123"/>
  <c r="H123" s="1"/>
  <c r="AZ4" i="7"/>
  <c r="F700" i="12"/>
  <c r="H700" s="1"/>
  <c r="F1564"/>
  <c r="H1564" s="1"/>
  <c r="F196"/>
  <c r="H196" s="1"/>
  <c r="F802"/>
  <c r="H802" s="1"/>
  <c r="F1018"/>
  <c r="H1018" s="1"/>
  <c r="J5" i="7"/>
  <c r="F658" i="12"/>
  <c r="H658" s="1"/>
  <c r="L11" i="6"/>
  <c r="D3" i="7"/>
  <c r="L10" i="6"/>
  <c r="L12"/>
  <c r="L13"/>
  <c r="F1012" i="12"/>
  <c r="H1012" s="1"/>
  <c r="F652"/>
  <c r="H652" s="1"/>
  <c r="F292"/>
  <c r="H292" s="1"/>
  <c r="F1156"/>
  <c r="H1156" s="1"/>
  <c r="F1300"/>
  <c r="H1300" s="1"/>
  <c r="F1372"/>
  <c r="H1372" s="1"/>
  <c r="F220"/>
  <c r="H220" s="1"/>
  <c r="AM6" i="7"/>
  <c r="F1407" i="12"/>
  <c r="H1407" s="1"/>
  <c r="F1551"/>
  <c r="H1551" s="1"/>
  <c r="F687"/>
  <c r="H687" s="1"/>
  <c r="F615"/>
  <c r="H615" s="1"/>
  <c r="F111"/>
  <c r="H111" s="1"/>
  <c r="F1191"/>
  <c r="H1191" s="1"/>
  <c r="F1047"/>
  <c r="H1047" s="1"/>
  <c r="F183"/>
  <c r="H183" s="1"/>
  <c r="H5" i="7"/>
  <c r="F8" i="12"/>
  <c r="H8" s="1"/>
  <c r="F368"/>
  <c r="H368" s="1"/>
  <c r="F1088"/>
  <c r="H1088" s="1"/>
  <c r="F512"/>
  <c r="H512" s="1"/>
  <c r="C6" i="7"/>
  <c r="F867" i="12"/>
  <c r="H867" s="1"/>
  <c r="E23" i="14" s="1"/>
  <c r="F1083" i="12"/>
  <c r="H1083" s="1"/>
  <c r="F939"/>
  <c r="H939" s="1"/>
  <c r="F147"/>
  <c r="H147" s="1"/>
  <c r="F1155"/>
  <c r="H1155" s="1"/>
  <c r="F1011"/>
  <c r="H1011" s="1"/>
  <c r="F3"/>
  <c r="H3" s="1"/>
  <c r="F507"/>
  <c r="H507" s="1"/>
  <c r="G13" i="14" s="1"/>
  <c r="I13" s="1"/>
  <c r="F723" i="12"/>
  <c r="H723" s="1"/>
  <c r="F363"/>
  <c r="H363" s="1"/>
  <c r="F242"/>
  <c r="H242" s="1"/>
  <c r="Z4" i="7"/>
  <c r="F1250" i="12"/>
  <c r="H1250" s="1"/>
  <c r="F314"/>
  <c r="H314" s="1"/>
  <c r="AA6" i="7"/>
  <c r="F1467" i="12"/>
  <c r="H1467" s="1"/>
  <c r="F1179"/>
  <c r="H1179" s="1"/>
  <c r="F1251"/>
  <c r="H1251" s="1"/>
  <c r="F819"/>
  <c r="H819" s="1"/>
  <c r="F891"/>
  <c r="H891" s="1"/>
  <c r="F1395"/>
  <c r="H1395" s="1"/>
  <c r="F243"/>
  <c r="H243" s="1"/>
  <c r="F531"/>
  <c r="H531" s="1"/>
  <c r="F1323"/>
  <c r="H1323" s="1"/>
  <c r="F747"/>
  <c r="H747" s="1"/>
  <c r="F99"/>
  <c r="H99" s="1"/>
  <c r="F1539"/>
  <c r="H1539" s="1"/>
  <c r="F315"/>
  <c r="H315" s="1"/>
  <c r="L186" i="6"/>
  <c r="AV3" i="7"/>
  <c r="L187" i="6"/>
  <c r="L188"/>
  <c r="L189"/>
  <c r="F696" i="12"/>
  <c r="H696" s="1"/>
  <c r="F1488"/>
  <c r="H1488" s="1"/>
  <c r="F1416"/>
  <c r="H1416" s="1"/>
  <c r="F984"/>
  <c r="H984" s="1"/>
  <c r="F768"/>
  <c r="H768" s="1"/>
  <c r="F912"/>
  <c r="H912" s="1"/>
  <c r="L107" i="6"/>
  <c r="AB3" i="7"/>
  <c r="L106" i="6"/>
  <c r="L108"/>
  <c r="L109"/>
  <c r="F1180" i="12"/>
  <c r="H1180" s="1"/>
  <c r="F964"/>
  <c r="H964" s="1"/>
  <c r="F460"/>
  <c r="H460" s="1"/>
  <c r="F1002"/>
  <c r="H1002" s="1"/>
  <c r="BN6" i="7"/>
  <c r="F714" i="12"/>
  <c r="H714" s="1"/>
  <c r="F1074"/>
  <c r="H1074" s="1"/>
  <c r="F210"/>
  <c r="H210" s="1"/>
  <c r="F426"/>
  <c r="H426" s="1"/>
  <c r="F1434"/>
  <c r="H1434" s="1"/>
  <c r="F1218"/>
  <c r="H1218" s="1"/>
  <c r="K5" i="7"/>
  <c r="F1451" i="12"/>
  <c r="H1451" s="1"/>
  <c r="F83"/>
  <c r="H83" s="1"/>
  <c r="F587"/>
  <c r="H587" s="1"/>
  <c r="F227"/>
  <c r="H227" s="1"/>
  <c r="F659"/>
  <c r="H659" s="1"/>
  <c r="F371"/>
  <c r="H371" s="1"/>
  <c r="F1091"/>
  <c r="H1091" s="1"/>
  <c r="F299"/>
  <c r="H299" s="1"/>
  <c r="AZ5" i="7"/>
  <c r="F268" i="12"/>
  <c r="H268" s="1"/>
  <c r="F556"/>
  <c r="H556" s="1"/>
  <c r="F628"/>
  <c r="H628" s="1"/>
  <c r="F52"/>
  <c r="H52" s="1"/>
  <c r="F340"/>
  <c r="H340" s="1"/>
  <c r="F412"/>
  <c r="H412" s="1"/>
  <c r="F442"/>
  <c r="H442" s="1"/>
  <c r="F1378"/>
  <c r="H1378" s="1"/>
  <c r="F1522"/>
  <c r="H1522" s="1"/>
  <c r="F1306"/>
  <c r="H1306" s="1"/>
  <c r="F370"/>
  <c r="H370" s="1"/>
  <c r="F82"/>
  <c r="H82" s="1"/>
  <c r="J6" i="7"/>
  <c r="D5"/>
  <c r="F364" i="12"/>
  <c r="H364" s="1"/>
  <c r="F796"/>
  <c r="H796" s="1"/>
  <c r="F436"/>
  <c r="H436" s="1"/>
  <c r="G26" i="14" s="1"/>
  <c r="I26" s="1"/>
  <c r="F76" i="12"/>
  <c r="H76" s="1"/>
  <c r="L51" i="6"/>
  <c r="L50"/>
  <c r="L53"/>
  <c r="L52"/>
  <c r="F374" i="12"/>
  <c r="H374" s="1"/>
  <c r="F518"/>
  <c r="H518" s="1"/>
  <c r="F14"/>
  <c r="H14" s="1"/>
  <c r="F1382"/>
  <c r="H1382" s="1"/>
  <c r="F1526"/>
  <c r="H1526" s="1"/>
  <c r="F950"/>
  <c r="H950" s="1"/>
  <c r="F158"/>
  <c r="H158" s="1"/>
  <c r="N3" i="7"/>
  <c r="AQ6"/>
  <c r="F1411" i="12"/>
  <c r="H1411" s="1"/>
  <c r="F1267"/>
  <c r="H1267" s="1"/>
  <c r="F1051"/>
  <c r="H1051" s="1"/>
  <c r="F763"/>
  <c r="H763" s="1"/>
  <c r="F1483"/>
  <c r="H1483" s="1"/>
  <c r="F1555"/>
  <c r="H1555" s="1"/>
  <c r="L170" i="6"/>
  <c r="L171"/>
  <c r="AR3" i="7"/>
  <c r="L172" i="6"/>
  <c r="L173"/>
  <c r="F1484" i="12"/>
  <c r="H1484" s="1"/>
  <c r="F1340"/>
  <c r="H1340" s="1"/>
  <c r="F548"/>
  <c r="H548" s="1"/>
  <c r="F260"/>
  <c r="H260" s="1"/>
  <c r="F1268"/>
  <c r="H1268" s="1"/>
  <c r="F1052"/>
  <c r="H1052" s="1"/>
  <c r="F908"/>
  <c r="H908" s="1"/>
  <c r="F188"/>
  <c r="H188" s="1"/>
  <c r="F620"/>
  <c r="H620" s="1"/>
  <c r="F116"/>
  <c r="H116" s="1"/>
  <c r="F44"/>
  <c r="H44" s="1"/>
  <c r="F890"/>
  <c r="H890" s="1"/>
  <c r="Z5" i="7"/>
  <c r="F602" i="12"/>
  <c r="H602" s="1"/>
  <c r="F962"/>
  <c r="H962" s="1"/>
  <c r="F458"/>
  <c r="H458" s="1"/>
  <c r="H610"/>
  <c r="H598"/>
  <c r="H1217"/>
  <c r="H107"/>
  <c r="H577"/>
  <c r="H1223"/>
  <c r="H373"/>
  <c r="H266"/>
  <c r="H211"/>
  <c r="H1265"/>
  <c r="AO7" i="7"/>
  <c r="H505" i="12"/>
  <c r="AL7" i="7"/>
  <c r="BN15"/>
  <c r="H564" i="12"/>
  <c r="H418"/>
  <c r="H202"/>
  <c r="H1190"/>
  <c r="H271"/>
  <c r="H1135"/>
  <c r="H1284"/>
  <c r="H522"/>
  <c r="H317"/>
  <c r="Y7" i="7"/>
  <c r="I7"/>
  <c r="H1202" i="12"/>
  <c r="H294"/>
  <c r="H437"/>
  <c r="H333"/>
  <c r="H1010"/>
  <c r="H1226"/>
  <c r="H749"/>
  <c r="O15" i="7"/>
  <c r="H135" i="12"/>
  <c r="H1431"/>
  <c r="H1212"/>
  <c r="H938"/>
  <c r="S15" i="7"/>
  <c r="H394" i="12"/>
  <c r="H853"/>
  <c r="H645"/>
  <c r="H625"/>
  <c r="H173"/>
  <c r="H93"/>
  <c r="H1165"/>
  <c r="H503"/>
  <c r="H813"/>
  <c r="L15" i="7"/>
  <c r="H1414" i="12"/>
  <c r="H190"/>
  <c r="H838"/>
  <c r="H1126"/>
  <c r="H1535"/>
  <c r="H929"/>
  <c r="H1282"/>
  <c r="H775"/>
  <c r="H397"/>
  <c r="H194"/>
  <c r="H644"/>
  <c r="H405"/>
  <c r="H237"/>
  <c r="H1221"/>
  <c r="BQ7" i="7"/>
  <c r="H1386" i="12"/>
  <c r="H18"/>
  <c r="AQ15" i="7"/>
  <c r="X15"/>
  <c r="BF7"/>
  <c r="H401" i="12"/>
  <c r="H491"/>
  <c r="H467"/>
  <c r="H323"/>
  <c r="H1475"/>
  <c r="BP7" i="7"/>
  <c r="H1534" i="12"/>
  <c r="H526"/>
  <c r="H1069"/>
  <c r="H637"/>
  <c r="H1213"/>
  <c r="H1257"/>
  <c r="H393"/>
  <c r="H638"/>
  <c r="H1430"/>
  <c r="H926"/>
  <c r="H1142"/>
  <c r="H62"/>
  <c r="H182"/>
  <c r="BK7" i="7"/>
  <c r="H1319" i="12"/>
  <c r="H545"/>
  <c r="H1049"/>
  <c r="H185"/>
  <c r="H65"/>
  <c r="H425"/>
  <c r="H755"/>
  <c r="H1187"/>
  <c r="H971"/>
  <c r="H1541"/>
  <c r="H893"/>
  <c r="H1582"/>
  <c r="H646"/>
  <c r="H865"/>
  <c r="H793"/>
  <c r="H1367"/>
  <c r="H71"/>
  <c r="H1433"/>
  <c r="H209"/>
  <c r="BA7" i="7"/>
  <c r="H351" i="12"/>
  <c r="H1301"/>
  <c r="H1085"/>
  <c r="H361"/>
  <c r="H217"/>
  <c r="H1509"/>
  <c r="H1149"/>
  <c r="H1021"/>
  <c r="H578"/>
  <c r="H794"/>
  <c r="H1130"/>
  <c r="H1462"/>
  <c r="H1174"/>
  <c r="H636"/>
  <c r="H1201"/>
  <c r="H1329"/>
  <c r="H1177"/>
  <c r="H449"/>
  <c r="H1353"/>
  <c r="H57"/>
  <c r="H1497"/>
  <c r="H1281"/>
  <c r="H201"/>
  <c r="BD15" i="7"/>
  <c r="H1550" i="12"/>
  <c r="H1175"/>
  <c r="H139"/>
  <c r="H213"/>
  <c r="H1293"/>
  <c r="H241"/>
  <c r="M7" i="7"/>
  <c r="H1345" i="12"/>
  <c r="AT7" i="7"/>
  <c r="H1410" i="12"/>
  <c r="H906"/>
  <c r="H996"/>
  <c r="R7" i="7"/>
  <c r="H954" i="12"/>
  <c r="H1530"/>
  <c r="AI7" i="7"/>
  <c r="H1465" i="12"/>
  <c r="H1537"/>
  <c r="H1457"/>
  <c r="H657"/>
  <c r="H1305"/>
  <c r="H1017"/>
  <c r="H81"/>
  <c r="H1233"/>
  <c r="H729"/>
  <c r="H1429"/>
  <c r="H113"/>
  <c r="H761"/>
  <c r="H571"/>
  <c r="H1441"/>
  <c r="BU7" i="7"/>
  <c r="H953" i="12"/>
  <c r="H1097"/>
  <c r="H609"/>
  <c r="H681"/>
  <c r="AG7" i="7"/>
  <c r="BM7"/>
  <c r="H347" i="12"/>
  <c r="H1390"/>
  <c r="AA4" i="7"/>
  <c r="F603" i="12"/>
  <c r="H603" s="1"/>
  <c r="F171"/>
  <c r="H171" s="1"/>
  <c r="F963"/>
  <c r="H963" s="1"/>
  <c r="F27"/>
  <c r="H27" s="1"/>
  <c r="BT5" i="7"/>
  <c r="F360" i="12"/>
  <c r="H360" s="1"/>
  <c r="F1440"/>
  <c r="H1440" s="1"/>
  <c r="F1152"/>
  <c r="H1152" s="1"/>
  <c r="F1296"/>
  <c r="H1296" s="1"/>
  <c r="F648"/>
  <c r="H648" s="1"/>
  <c r="F288"/>
  <c r="H288" s="1"/>
  <c r="AV5" i="7"/>
  <c r="F408" i="12"/>
  <c r="H408" s="1"/>
  <c r="F1200"/>
  <c r="H1200" s="1"/>
  <c r="F336"/>
  <c r="H336" s="1"/>
  <c r="F1056"/>
  <c r="H1056" s="1"/>
  <c r="F480"/>
  <c r="H480" s="1"/>
  <c r="L259" i="6"/>
  <c r="L258"/>
  <c r="L260"/>
  <c r="L261"/>
  <c r="F1290" i="12"/>
  <c r="H1290" s="1"/>
  <c r="F786"/>
  <c r="H786" s="1"/>
  <c r="F858"/>
  <c r="H858" s="1"/>
  <c r="F570"/>
  <c r="H570" s="1"/>
  <c r="F1362"/>
  <c r="H1362" s="1"/>
  <c r="F138"/>
  <c r="H138" s="1"/>
  <c r="F498"/>
  <c r="H498" s="1"/>
  <c r="F930"/>
  <c r="H930" s="1"/>
  <c r="F66"/>
  <c r="H66" s="1"/>
  <c r="BN3" i="7"/>
  <c r="AE5"/>
  <c r="F679" i="12"/>
  <c r="H679" s="1"/>
  <c r="F823"/>
  <c r="H823" s="1"/>
  <c r="F1543"/>
  <c r="H1543" s="1"/>
  <c r="L114" i="6"/>
  <c r="L115"/>
  <c r="L116"/>
  <c r="L117"/>
  <c r="F1542" i="12"/>
  <c r="H1542" s="1"/>
  <c r="F1254"/>
  <c r="H1254" s="1"/>
  <c r="F1470"/>
  <c r="H1470" s="1"/>
  <c r="F1182"/>
  <c r="H1182" s="1"/>
  <c r="F966"/>
  <c r="H966" s="1"/>
  <c r="F174"/>
  <c r="H174" s="1"/>
  <c r="AD3" i="7"/>
  <c r="F678" i="12"/>
  <c r="H678" s="1"/>
  <c r="F462"/>
  <c r="H462" s="1"/>
  <c r="AJ6" i="7"/>
  <c r="F1116" i="12"/>
  <c r="H1116" s="1"/>
  <c r="F1260"/>
  <c r="H1260" s="1"/>
  <c r="F1548"/>
  <c r="H1548" s="1"/>
  <c r="F1044"/>
  <c r="H1044" s="1"/>
  <c r="F900"/>
  <c r="H900" s="1"/>
  <c r="F828"/>
  <c r="H828" s="1"/>
  <c r="F1476"/>
  <c r="H1476" s="1"/>
  <c r="F1404"/>
  <c r="H1404" s="1"/>
  <c r="F684"/>
  <c r="H684" s="1"/>
  <c r="F180"/>
  <c r="H180" s="1"/>
  <c r="F324"/>
  <c r="H324" s="1"/>
  <c r="F468"/>
  <c r="H468" s="1"/>
  <c r="F1188"/>
  <c r="H1188" s="1"/>
  <c r="F1332"/>
  <c r="H1332" s="1"/>
  <c r="F972"/>
  <c r="H972" s="1"/>
  <c r="F252"/>
  <c r="H252" s="1"/>
  <c r="F36"/>
  <c r="H36" s="1"/>
  <c r="F756"/>
  <c r="H756" s="1"/>
  <c r="F108"/>
  <c r="H108" s="1"/>
  <c r="F396"/>
  <c r="H396" s="1"/>
  <c r="AN5" i="7"/>
  <c r="F328" i="12"/>
  <c r="H328" s="1"/>
  <c r="F1048"/>
  <c r="H1048" s="1"/>
  <c r="F904"/>
  <c r="H904" s="1"/>
  <c r="F256"/>
  <c r="H256" s="1"/>
  <c r="F400"/>
  <c r="H400" s="1"/>
  <c r="F1552"/>
  <c r="H1552" s="1"/>
  <c r="F1480"/>
  <c r="H1480" s="1"/>
  <c r="C5" i="7"/>
  <c r="F1443" i="12"/>
  <c r="H1443" s="1"/>
  <c r="F435"/>
  <c r="H435" s="1"/>
  <c r="F75"/>
  <c r="H75" s="1"/>
  <c r="AR6" i="7"/>
  <c r="F1196" i="12"/>
  <c r="H1196" s="1"/>
  <c r="F980"/>
  <c r="H980" s="1"/>
  <c r="F1412"/>
  <c r="H1412" s="1"/>
  <c r="F1556"/>
  <c r="H1556" s="1"/>
  <c r="F476"/>
  <c r="H476" s="1"/>
  <c r="F390"/>
  <c r="H390" s="1"/>
  <c r="F1326"/>
  <c r="H1326" s="1"/>
  <c r="F822"/>
  <c r="H822" s="1"/>
  <c r="AD5" i="7"/>
  <c r="P5"/>
  <c r="F88" i="12"/>
  <c r="H88" s="1"/>
  <c r="F736"/>
  <c r="H736" s="1"/>
  <c r="F232"/>
  <c r="H232" s="1"/>
  <c r="F304"/>
  <c r="H304" s="1"/>
  <c r="F448"/>
  <c r="H448" s="1"/>
  <c r="F592"/>
  <c r="H592" s="1"/>
  <c r="L4" i="7"/>
  <c r="F588" i="12"/>
  <c r="H588" s="1"/>
  <c r="F372"/>
  <c r="H372" s="1"/>
  <c r="F246"/>
  <c r="H246" s="1"/>
  <c r="F318"/>
  <c r="H318" s="1"/>
  <c r="AD4" i="7"/>
  <c r="F606" i="12"/>
  <c r="H606" s="1"/>
  <c r="AM4" i="7"/>
  <c r="F1335" i="12"/>
  <c r="H1335" s="1"/>
  <c r="F975"/>
  <c r="H975" s="1"/>
  <c r="H6" i="7"/>
  <c r="F872" i="12"/>
  <c r="H872" s="1"/>
  <c r="F152"/>
  <c r="H152" s="1"/>
  <c r="F296"/>
  <c r="H296" s="1"/>
  <c r="F1520"/>
  <c r="H1520" s="1"/>
  <c r="F1448"/>
  <c r="H1448" s="1"/>
  <c r="F1232"/>
  <c r="H1232" s="1"/>
  <c r="F80"/>
  <c r="H80" s="1"/>
  <c r="F224"/>
  <c r="H224" s="1"/>
  <c r="F1304"/>
  <c r="H1304" s="1"/>
  <c r="F944"/>
  <c r="H944" s="1"/>
  <c r="G6" i="7"/>
  <c r="F151" i="12"/>
  <c r="H151" s="1"/>
  <c r="F1303"/>
  <c r="H1303" s="1"/>
  <c r="F1087"/>
  <c r="H1087" s="1"/>
  <c r="F727"/>
  <c r="H727" s="1"/>
  <c r="L122" i="6"/>
  <c r="L123"/>
  <c r="AF3" i="7"/>
  <c r="L124" i="6"/>
  <c r="L125"/>
  <c r="F1328" i="12"/>
  <c r="H1328" s="1"/>
  <c r="F1400"/>
  <c r="H1400" s="1"/>
  <c r="F464"/>
  <c r="H464" s="1"/>
  <c r="F824"/>
  <c r="H824" s="1"/>
  <c r="F1112"/>
  <c r="H1112" s="1"/>
  <c r="F1256"/>
  <c r="H1256" s="1"/>
  <c r="F32"/>
  <c r="H32" s="1"/>
  <c r="F176"/>
  <c r="H176" s="1"/>
  <c r="C14" i="23"/>
  <c r="BG7" i="7"/>
  <c r="AE4"/>
  <c r="F391" i="12"/>
  <c r="H391" s="1"/>
  <c r="P4" i="7"/>
  <c r="F1456" i="12"/>
  <c r="H1456" s="1"/>
  <c r="F1168"/>
  <c r="H1168" s="1"/>
  <c r="D6" i="7"/>
  <c r="F1516" i="12"/>
  <c r="H1516" s="1"/>
  <c r="F1228"/>
  <c r="H1228" s="1"/>
  <c r="F4"/>
  <c r="H4" s="1"/>
  <c r="F868"/>
  <c r="H868" s="1"/>
  <c r="F1084"/>
  <c r="H1084" s="1"/>
  <c r="F148"/>
  <c r="H148" s="1"/>
  <c r="F724"/>
  <c r="H724" s="1"/>
  <c r="G8" i="14" s="1"/>
  <c r="I8" s="1"/>
  <c r="T5" i="7"/>
  <c r="F1244" i="12"/>
  <c r="H1244" s="1"/>
  <c r="F1028"/>
  <c r="H1028" s="1"/>
  <c r="F884"/>
  <c r="H884" s="1"/>
  <c r="F236"/>
  <c r="H236" s="1"/>
  <c r="F20"/>
  <c r="H20" s="1"/>
  <c r="F668"/>
  <c r="H668" s="1"/>
  <c r="F1460"/>
  <c r="H1460" s="1"/>
  <c r="F524"/>
  <c r="H524" s="1"/>
  <c r="F596"/>
  <c r="H596" s="1"/>
  <c r="F452"/>
  <c r="H452" s="1"/>
  <c r="F1172"/>
  <c r="H1172" s="1"/>
  <c r="F1316"/>
  <c r="H1316" s="1"/>
  <c r="F1532"/>
  <c r="H1532" s="1"/>
  <c r="F1388"/>
  <c r="H1388" s="1"/>
  <c r="F1100"/>
  <c r="H1100" s="1"/>
  <c r="F956"/>
  <c r="H956" s="1"/>
  <c r="F812"/>
  <c r="H812" s="1"/>
  <c r="F740"/>
  <c r="H740" s="1"/>
  <c r="F92"/>
  <c r="H92" s="1"/>
  <c r="F164"/>
  <c r="H164" s="1"/>
  <c r="F308"/>
  <c r="H308" s="1"/>
  <c r="F380"/>
  <c r="H380" s="1"/>
  <c r="L6" i="6"/>
  <c r="L7"/>
  <c r="C3" i="7"/>
  <c r="C7" s="1"/>
  <c r="L9" i="6"/>
  <c r="L8"/>
  <c r="F1299" i="12"/>
  <c r="H1299" s="1"/>
  <c r="F795"/>
  <c r="H795" s="1"/>
  <c r="F1515"/>
  <c r="H1515" s="1"/>
  <c r="G21" i="14" s="1"/>
  <c r="I21" s="1"/>
  <c r="F651" i="12"/>
  <c r="H651" s="1"/>
  <c r="L251" i="6"/>
  <c r="L250"/>
  <c r="L252"/>
  <c r="BL3" i="7"/>
  <c r="L253" i="6"/>
  <c r="F1504" i="12"/>
  <c r="H1504" s="1"/>
  <c r="F1432"/>
  <c r="H1432" s="1"/>
  <c r="F1144"/>
  <c r="H1144" s="1"/>
  <c r="F1288"/>
  <c r="H1288" s="1"/>
  <c r="L43" i="6"/>
  <c r="L42"/>
  <c r="L45"/>
  <c r="L3" i="7"/>
  <c r="L44" i="6"/>
  <c r="F1164" i="12"/>
  <c r="H1164" s="1"/>
  <c r="F12"/>
  <c r="H12" s="1"/>
  <c r="F732"/>
  <c r="H732" s="1"/>
  <c r="F516"/>
  <c r="H516" s="1"/>
  <c r="F1524"/>
  <c r="H1524" s="1"/>
  <c r="F1236"/>
  <c r="H1236" s="1"/>
  <c r="F156"/>
  <c r="H156" s="1"/>
  <c r="F804"/>
  <c r="H804" s="1"/>
  <c r="F84"/>
  <c r="H84" s="1"/>
  <c r="F102"/>
  <c r="H102" s="1"/>
  <c r="F30"/>
  <c r="H30" s="1"/>
  <c r="F1038"/>
  <c r="H1038" s="1"/>
  <c r="F894"/>
  <c r="H894" s="1"/>
  <c r="AD6" i="7"/>
  <c r="F1398" i="12"/>
  <c r="H1398" s="1"/>
  <c r="F750"/>
  <c r="H750" s="1"/>
  <c r="F1110"/>
  <c r="H1110" s="1"/>
  <c r="F534"/>
  <c r="H534" s="1"/>
  <c r="L202" i="6"/>
  <c r="AZ3" i="7"/>
  <c r="AZ7" s="1"/>
  <c r="L203" i="6"/>
  <c r="L204"/>
  <c r="L205"/>
  <c r="F1348" i="12"/>
  <c r="H1348" s="1"/>
  <c r="F1060"/>
  <c r="H1060" s="1"/>
  <c r="F916"/>
  <c r="H916" s="1"/>
  <c r="F1204"/>
  <c r="H1204" s="1"/>
  <c r="F772"/>
  <c r="H772" s="1"/>
  <c r="L151" i="6"/>
  <c r="L150"/>
  <c r="AM3" i="7"/>
  <c r="L153" i="6"/>
  <c r="L152"/>
  <c r="F39" i="12"/>
  <c r="H39" s="1"/>
  <c r="F543"/>
  <c r="H543" s="1"/>
  <c r="F759"/>
  <c r="H759" s="1"/>
  <c r="F327"/>
  <c r="H327" s="1"/>
  <c r="F1263"/>
  <c r="H1263" s="1"/>
  <c r="F1119"/>
  <c r="H1119" s="1"/>
  <c r="L75" i="6"/>
  <c r="L74"/>
  <c r="T3" i="7"/>
  <c r="T7" s="1"/>
  <c r="L77" i="6"/>
  <c r="L76"/>
  <c r="AQ4" i="7"/>
  <c r="F907" i="12"/>
  <c r="H907" s="1"/>
  <c r="F187"/>
  <c r="H187" s="1"/>
  <c r="F475"/>
  <c r="H475" s="1"/>
  <c r="F43"/>
  <c r="H43" s="1"/>
  <c r="F547"/>
  <c r="H547" s="1"/>
  <c r="F1538"/>
  <c r="H1538" s="1"/>
  <c r="F1322"/>
  <c r="H1322" s="1"/>
  <c r="F1034"/>
  <c r="H1034" s="1"/>
  <c r="F1394"/>
  <c r="H1394" s="1"/>
  <c r="F26"/>
  <c r="H26" s="1"/>
  <c r="F170"/>
  <c r="H170" s="1"/>
  <c r="F674"/>
  <c r="H674" s="1"/>
  <c r="F1178"/>
  <c r="H1178" s="1"/>
  <c r="F1106"/>
  <c r="H1106" s="1"/>
  <c r="F98"/>
  <c r="H98" s="1"/>
  <c r="Z6" i="7"/>
  <c r="F530" i="12"/>
  <c r="H530" s="1"/>
  <c r="F1466"/>
  <c r="H1466" s="1"/>
  <c r="F386"/>
  <c r="H386" s="1"/>
  <c r="AF4" i="7"/>
  <c r="F1472" i="12"/>
  <c r="H1472" s="1"/>
  <c r="AA5" i="7"/>
  <c r="F459" i="12"/>
  <c r="H459" s="1"/>
  <c r="F675"/>
  <c r="H675" s="1"/>
  <c r="F1107"/>
  <c r="H1107" s="1"/>
  <c r="G4" i="7"/>
  <c r="F439" i="12"/>
  <c r="H439" s="1"/>
  <c r="F1015"/>
  <c r="H1015" s="1"/>
  <c r="AB6" i="7"/>
  <c r="F1324" i="12"/>
  <c r="H1324" s="1"/>
  <c r="F1108"/>
  <c r="H1108" s="1"/>
  <c r="F172"/>
  <c r="H172" s="1"/>
  <c r="F1468"/>
  <c r="H1468" s="1"/>
  <c r="F244"/>
  <c r="H244" s="1"/>
  <c r="F28"/>
  <c r="H28" s="1"/>
  <c r="F1252"/>
  <c r="H1252" s="1"/>
  <c r="F1036"/>
  <c r="H1036" s="1"/>
  <c r="F892"/>
  <c r="H892" s="1"/>
  <c r="F532"/>
  <c r="H532" s="1"/>
  <c r="F316"/>
  <c r="H316" s="1"/>
  <c r="F100"/>
  <c r="H100" s="1"/>
  <c r="AE6" i="7"/>
  <c r="F1471" i="12"/>
  <c r="H1471" s="1"/>
  <c r="F1183"/>
  <c r="H1183" s="1"/>
  <c r="F1255"/>
  <c r="H1255" s="1"/>
  <c r="F895"/>
  <c r="H895" s="1"/>
  <c r="F751"/>
  <c r="H751" s="1"/>
  <c r="F103"/>
  <c r="H103" s="1"/>
  <c r="F1111"/>
  <c r="H1111" s="1"/>
  <c r="F967"/>
  <c r="H967" s="1"/>
  <c r="F1399"/>
  <c r="H1399" s="1"/>
  <c r="F247"/>
  <c r="H247" s="1"/>
  <c r="F319"/>
  <c r="H319" s="1"/>
  <c r="X5" i="7"/>
  <c r="F1032" i="12"/>
  <c r="H1032" s="1"/>
  <c r="F888"/>
  <c r="H888" s="1"/>
  <c r="F456"/>
  <c r="H456" s="1"/>
  <c r="F600"/>
  <c r="H600" s="1"/>
  <c r="F1176"/>
  <c r="H1176" s="1"/>
  <c r="F384"/>
  <c r="H384" s="1"/>
  <c r="AU5" i="7"/>
  <c r="F407" i="12"/>
  <c r="H407" s="1"/>
  <c r="F767"/>
  <c r="H767" s="1"/>
  <c r="L199" i="6"/>
  <c r="AY3" i="7"/>
  <c r="AY7" s="1"/>
  <c r="L198" i="6"/>
  <c r="L201"/>
  <c r="L200"/>
  <c r="F1203" i="12"/>
  <c r="H1203" s="1"/>
  <c r="F987"/>
  <c r="H987" s="1"/>
  <c r="F699"/>
  <c r="H699" s="1"/>
  <c r="F51"/>
  <c r="H51" s="1"/>
  <c r="F555"/>
  <c r="H555" s="1"/>
  <c r="F1131"/>
  <c r="H1131" s="1"/>
  <c r="F339"/>
  <c r="H339" s="1"/>
  <c r="F411"/>
  <c r="H411" s="1"/>
  <c r="L138" i="6"/>
  <c r="L139"/>
  <c r="L140"/>
  <c r="AJ3" i="7"/>
  <c r="AJ7" s="1"/>
  <c r="L141" i="6"/>
  <c r="L59"/>
  <c r="L58"/>
  <c r="L61"/>
  <c r="P3" i="7"/>
  <c r="P7" s="1"/>
  <c r="L60" i="6"/>
  <c r="F808" i="12"/>
  <c r="H808" s="1"/>
  <c r="F160"/>
  <c r="H160" s="1"/>
  <c r="F376"/>
  <c r="H376" s="1"/>
  <c r="F952"/>
  <c r="H952" s="1"/>
  <c r="F16"/>
  <c r="H16" s="1"/>
  <c r="F520"/>
  <c r="H520" s="1"/>
  <c r="F664"/>
  <c r="H664" s="1"/>
  <c r="L154" i="6"/>
  <c r="L155"/>
  <c r="L156"/>
  <c r="AN3" i="7"/>
  <c r="AN7" s="1"/>
  <c r="L157" i="6"/>
  <c r="F760" i="12"/>
  <c r="H760" s="1"/>
  <c r="F1264"/>
  <c r="H1264" s="1"/>
  <c r="F1192"/>
  <c r="H1192" s="1"/>
  <c r="F976"/>
  <c r="H976" s="1"/>
  <c r="C4" i="7"/>
  <c r="F219" i="12"/>
  <c r="H219" s="1"/>
  <c r="F291"/>
  <c r="H291" s="1"/>
  <c r="G10" i="14" s="1"/>
  <c r="I10" s="1"/>
  <c r="F1227" i="12"/>
  <c r="H1227" s="1"/>
  <c r="F1371"/>
  <c r="H1371" s="1"/>
  <c r="F579"/>
  <c r="H579" s="1"/>
  <c r="H362"/>
  <c r="H1277"/>
  <c r="H281"/>
  <c r="H497"/>
  <c r="H500"/>
  <c r="H830"/>
  <c r="H1140"/>
  <c r="H922"/>
  <c r="H562"/>
  <c r="H1230"/>
  <c r="H234"/>
  <c r="H1037"/>
  <c r="H1325"/>
  <c r="H438"/>
  <c r="H1370"/>
  <c r="B7" i="7"/>
  <c r="H481" i="12"/>
  <c r="H49"/>
  <c r="H825"/>
  <c r="H204"/>
  <c r="H650"/>
  <c r="H1474"/>
  <c r="H682"/>
  <c r="H68"/>
  <c r="H605"/>
  <c r="H863"/>
  <c r="U7" i="7"/>
  <c r="BT15"/>
  <c r="H934" i="12"/>
  <c r="H334"/>
  <c r="H910"/>
  <c r="H1553"/>
  <c r="AE15" i="7"/>
  <c r="H1210" i="12"/>
  <c r="BC7" i="7"/>
  <c r="H1549" i="12"/>
  <c r="H1117"/>
  <c r="H325"/>
  <c r="H1261"/>
  <c r="AS7" i="7"/>
  <c r="H428" i="12"/>
  <c r="H309"/>
  <c r="H1389"/>
  <c r="H450"/>
  <c r="H1481"/>
  <c r="H261"/>
  <c r="H1259"/>
  <c r="H1547"/>
  <c r="B8" i="27"/>
  <c r="D8" s="1"/>
  <c r="H125" i="12"/>
  <c r="H886"/>
  <c r="H1102"/>
  <c r="H205"/>
  <c r="H781"/>
  <c r="H1357"/>
  <c r="H897"/>
  <c r="H1473"/>
  <c r="H1113"/>
  <c r="H134"/>
  <c r="H782"/>
  <c r="H350"/>
  <c r="H710"/>
  <c r="H422"/>
  <c r="H1358"/>
  <c r="BR7" i="7"/>
  <c r="H614" i="12"/>
  <c r="H617"/>
  <c r="H473"/>
  <c r="H353"/>
  <c r="H1577"/>
  <c r="H713"/>
  <c r="D15" i="7"/>
  <c r="B15" i="27" s="1"/>
  <c r="D15" s="1"/>
  <c r="AH7" i="7"/>
  <c r="H35" i="12"/>
  <c r="H827"/>
  <c r="H539"/>
  <c r="H29"/>
  <c r="H1438"/>
  <c r="H214"/>
  <c r="H145"/>
  <c r="H73"/>
  <c r="H287"/>
  <c r="H359"/>
  <c r="H1439"/>
  <c r="H785"/>
  <c r="H1361"/>
  <c r="H917"/>
  <c r="E7" i="7"/>
  <c r="AV15"/>
  <c r="AB15"/>
  <c r="H433" i="12"/>
  <c r="H1297"/>
  <c r="H1287"/>
  <c r="H1373"/>
  <c r="H69"/>
  <c r="H429"/>
  <c r="H589"/>
  <c r="H74"/>
  <c r="H338"/>
  <c r="H1030"/>
  <c r="H742"/>
  <c r="H1068"/>
  <c r="H1417"/>
  <c r="H1401"/>
  <c r="H1385"/>
  <c r="H993"/>
  <c r="H417"/>
  <c r="H705"/>
  <c r="H1137"/>
  <c r="H129"/>
  <c r="H1569"/>
  <c r="H254"/>
  <c r="H758"/>
  <c r="N15" i="7"/>
  <c r="H887" i="12"/>
  <c r="H95"/>
  <c r="H1363"/>
  <c r="H1581"/>
  <c r="H357"/>
  <c r="H313"/>
  <c r="H229"/>
  <c r="H913"/>
  <c r="AW7" i="7"/>
  <c r="AR15"/>
  <c r="H42" i="12"/>
  <c r="AP7" i="7"/>
  <c r="H780" i="12"/>
  <c r="H666"/>
  <c r="H162"/>
  <c r="H738"/>
  <c r="H817"/>
  <c r="H745"/>
  <c r="H737"/>
  <c r="H1089"/>
  <c r="H585"/>
  <c r="H369"/>
  <c r="H1521"/>
  <c r="E21" i="14" s="1"/>
  <c r="H873" i="12"/>
  <c r="H1573"/>
  <c r="H1409"/>
  <c r="H1121"/>
  <c r="H67"/>
  <c r="H1153"/>
  <c r="H937"/>
  <c r="H89"/>
  <c r="H233"/>
  <c r="Q7" i="7"/>
  <c r="H465" i="12"/>
  <c r="H177"/>
  <c r="H670"/>
  <c r="AY6" i="7"/>
  <c r="F1419" i="12"/>
  <c r="H1419" s="1"/>
  <c r="F483"/>
  <c r="H483" s="1"/>
  <c r="F1275"/>
  <c r="H1275" s="1"/>
  <c r="F843"/>
  <c r="H843" s="1"/>
  <c r="F1491"/>
  <c r="H1491" s="1"/>
  <c r="F1347"/>
  <c r="H1347" s="1"/>
  <c r="L99" i="6"/>
  <c r="L98"/>
  <c r="L101"/>
  <c r="L100"/>
  <c r="Z3" i="7"/>
  <c r="F746" i="12"/>
  <c r="H746" s="1"/>
  <c r="F818"/>
  <c r="H818" s="1"/>
  <c r="L22" i="6"/>
  <c r="G3" i="7"/>
  <c r="L23" i="6"/>
  <c r="L25"/>
  <c r="L24"/>
  <c r="F1375" i="12"/>
  <c r="H1375" s="1"/>
  <c r="F7"/>
  <c r="H7" s="1"/>
  <c r="F871"/>
  <c r="H871" s="1"/>
  <c r="F943"/>
  <c r="H943" s="1"/>
  <c r="F1519"/>
  <c r="H1519" s="1"/>
  <c r="F295"/>
  <c r="H295" s="1"/>
  <c r="F1159"/>
  <c r="H1159" s="1"/>
  <c r="E12" i="14" s="1"/>
  <c r="F1231" i="12"/>
  <c r="H1231" s="1"/>
  <c r="F223"/>
  <c r="H223" s="1"/>
  <c r="F655"/>
  <c r="H655" s="1"/>
  <c r="AV6" i="7"/>
  <c r="F1560" i="12"/>
  <c r="H1560" s="1"/>
  <c r="F840"/>
  <c r="H840" s="1"/>
  <c r="F624"/>
  <c r="H624" s="1"/>
  <c r="F552"/>
  <c r="H552" s="1"/>
  <c r="F48"/>
  <c r="H48" s="1"/>
  <c r="F192"/>
  <c r="H192" s="1"/>
  <c r="F1272"/>
  <c r="H1272" s="1"/>
  <c r="F1344"/>
  <c r="H1344" s="1"/>
  <c r="F264"/>
  <c r="H264" s="1"/>
  <c r="H4" i="7"/>
  <c r="F656" i="12"/>
  <c r="H656" s="1"/>
  <c r="F1376"/>
  <c r="H1376" s="1"/>
  <c r="L183" i="6"/>
  <c r="AU3" i="7"/>
  <c r="L182" i="6"/>
  <c r="L185"/>
  <c r="L184"/>
  <c r="F1559" i="12"/>
  <c r="H1559" s="1"/>
  <c r="F1055"/>
  <c r="H1055" s="1"/>
  <c r="F479"/>
  <c r="H479" s="1"/>
  <c r="F983"/>
  <c r="H983" s="1"/>
  <c r="F1127"/>
  <c r="H1127" s="1"/>
  <c r="F191"/>
  <c r="H191" s="1"/>
  <c r="L102" i="6"/>
  <c r="L103"/>
  <c r="AA3" i="7"/>
  <c r="AA7" s="1"/>
  <c r="L104" i="6"/>
  <c r="L105"/>
  <c r="F1035" i="12"/>
  <c r="H1035" s="1"/>
  <c r="F387"/>
  <c r="H387" s="1"/>
  <c r="BT6" i="7"/>
  <c r="F144" i="12"/>
  <c r="H144" s="1"/>
  <c r="F504"/>
  <c r="H504" s="1"/>
  <c r="F1368"/>
  <c r="H1368" s="1"/>
  <c r="F1584"/>
  <c r="H1584" s="1"/>
  <c r="F720"/>
  <c r="H720" s="1"/>
  <c r="F1512"/>
  <c r="H1512" s="1"/>
  <c r="F1008"/>
  <c r="H1008" s="1"/>
  <c r="F864"/>
  <c r="H864" s="1"/>
  <c r="X6" i="7"/>
  <c r="F744" i="12"/>
  <c r="H744" s="1"/>
  <c r="F312"/>
  <c r="H312" s="1"/>
  <c r="F1248"/>
  <c r="H1248" s="1"/>
  <c r="F1392"/>
  <c r="H1392" s="1"/>
  <c r="F240"/>
  <c r="H240" s="1"/>
  <c r="AB4" i="7"/>
  <c r="F388" i="12"/>
  <c r="H388" s="1"/>
  <c r="F676"/>
  <c r="H676" s="1"/>
  <c r="L54" i="6"/>
  <c r="L55"/>
  <c r="O3" i="7"/>
  <c r="L56" i="6"/>
  <c r="L57"/>
  <c r="F1527" i="12"/>
  <c r="H1527" s="1"/>
  <c r="F807"/>
  <c r="H807" s="1"/>
  <c r="F591"/>
  <c r="H591" s="1"/>
  <c r="F1167"/>
  <c r="H1167" s="1"/>
  <c r="F1383"/>
  <c r="H1383" s="1"/>
  <c r="F15"/>
  <c r="H15" s="1"/>
  <c r="F159"/>
  <c r="H159" s="1"/>
  <c r="F303"/>
  <c r="H303" s="1"/>
  <c r="F519"/>
  <c r="H519" s="1"/>
  <c r="F1311"/>
  <c r="H1311" s="1"/>
  <c r="F1095"/>
  <c r="H1095" s="1"/>
  <c r="F951"/>
  <c r="H951" s="1"/>
  <c r="F231"/>
  <c r="H231" s="1"/>
  <c r="F1310"/>
  <c r="H1310" s="1"/>
  <c r="F1022"/>
  <c r="H1022" s="1"/>
  <c r="N6" i="7"/>
  <c r="F230" i="12"/>
  <c r="H230" s="1"/>
  <c r="F1454"/>
  <c r="H1454" s="1"/>
  <c r="F1166"/>
  <c r="H1166" s="1"/>
  <c r="F734"/>
  <c r="H734" s="1"/>
  <c r="F1094"/>
  <c r="H1094" s="1"/>
  <c r="E7" i="14" s="1"/>
  <c r="F302" i="12"/>
  <c r="H302" s="1"/>
  <c r="F590"/>
  <c r="H590" s="1"/>
  <c r="L27" i="6"/>
  <c r="L26"/>
  <c r="H3" i="7"/>
  <c r="H7" s="1"/>
  <c r="L28" i="6"/>
  <c r="L29"/>
  <c r="F728" i="12"/>
  <c r="H728" s="1"/>
  <c r="F440"/>
  <c r="H440" s="1"/>
  <c r="F584"/>
  <c r="H584" s="1"/>
  <c r="F1016"/>
  <c r="H1016" s="1"/>
  <c r="F800"/>
  <c r="H800" s="1"/>
  <c r="F1160"/>
  <c r="H1160" s="1"/>
  <c r="L70" i="6"/>
  <c r="S3" i="7"/>
  <c r="S7" s="1"/>
  <c r="L71" i="6"/>
  <c r="L72"/>
  <c r="L73"/>
  <c r="AF6" i="7"/>
  <c r="F1544" i="12"/>
  <c r="H1544" s="1"/>
  <c r="F248"/>
  <c r="H248" s="1"/>
  <c r="F1184"/>
  <c r="H1184" s="1"/>
  <c r="F968"/>
  <c r="H968" s="1"/>
  <c r="F752"/>
  <c r="H752" s="1"/>
  <c r="F392"/>
  <c r="H392" s="1"/>
  <c r="F320"/>
  <c r="H320" s="1"/>
  <c r="F1040"/>
  <c r="H1040" s="1"/>
  <c r="F896"/>
  <c r="H896" s="1"/>
  <c r="L5" i="7"/>
  <c r="F300" i="12"/>
  <c r="H300" s="1"/>
  <c r="F1452"/>
  <c r="H1452" s="1"/>
  <c r="F876"/>
  <c r="H876" s="1"/>
  <c r="F660"/>
  <c r="H660" s="1"/>
  <c r="F228"/>
  <c r="H228" s="1"/>
  <c r="K6" i="7"/>
  <c r="F731" i="12"/>
  <c r="H731" s="1"/>
  <c r="F803"/>
  <c r="H803" s="1"/>
  <c r="F875"/>
  <c r="H875" s="1"/>
  <c r="F947"/>
  <c r="H947" s="1"/>
  <c r="F443"/>
  <c r="H443" s="1"/>
  <c r="AZ6" i="7"/>
  <c r="F1132" i="12"/>
  <c r="H1132" s="1"/>
  <c r="F1276"/>
  <c r="H1276" s="1"/>
  <c r="F1420"/>
  <c r="H1420" s="1"/>
  <c r="F484"/>
  <c r="H484" s="1"/>
  <c r="F1492"/>
  <c r="H1492" s="1"/>
  <c r="F988"/>
  <c r="H988" s="1"/>
  <c r="F844"/>
  <c r="H844" s="1"/>
  <c r="F124"/>
  <c r="H124" s="1"/>
  <c r="AN6" i="7"/>
  <c r="F40" i="12"/>
  <c r="H40" s="1"/>
  <c r="F184"/>
  <c r="H184" s="1"/>
  <c r="F472"/>
  <c r="H472" s="1"/>
  <c r="F1408"/>
  <c r="H1408" s="1"/>
  <c r="F1120"/>
  <c r="H1120" s="1"/>
  <c r="F544"/>
  <c r="H544" s="1"/>
  <c r="F688"/>
  <c r="H688" s="1"/>
  <c r="F832"/>
  <c r="H832" s="1"/>
  <c r="F86"/>
  <c r="H86" s="1"/>
  <c r="N4" i="7"/>
  <c r="F446" i="12"/>
  <c r="H446" s="1"/>
  <c r="F662"/>
  <c r="H662" s="1"/>
  <c r="L167" i="6"/>
  <c r="L166"/>
  <c r="AQ3" i="7"/>
  <c r="L169" i="6"/>
  <c r="L168"/>
  <c r="F835" i="12"/>
  <c r="H835" s="1"/>
  <c r="F1123"/>
  <c r="H1123" s="1"/>
  <c r="F259"/>
  <c r="H259" s="1"/>
  <c r="F1339"/>
  <c r="H1339" s="1"/>
  <c r="F331"/>
  <c r="H331" s="1"/>
  <c r="BL6" i="7"/>
  <c r="F1576" i="12"/>
  <c r="H1576" s="1"/>
  <c r="F1216"/>
  <c r="H1216" s="1"/>
  <c r="F64"/>
  <c r="H64" s="1"/>
  <c r="F784"/>
  <c r="H784" s="1"/>
  <c r="F424"/>
  <c r="H424" s="1"/>
  <c r="F352"/>
  <c r="H352" s="1"/>
  <c r="F568"/>
  <c r="H568" s="1"/>
  <c r="F1360"/>
  <c r="H1360" s="1"/>
  <c r="F1072"/>
  <c r="H1072" s="1"/>
  <c r="F928"/>
  <c r="H928" s="1"/>
  <c r="L91" i="6"/>
  <c r="X3" i="7"/>
  <c r="L90" i="6"/>
  <c r="L93"/>
  <c r="L92"/>
  <c r="F1464" i="12"/>
  <c r="H1464" s="1"/>
  <c r="F816"/>
  <c r="H816" s="1"/>
  <c r="F96"/>
  <c r="H96" s="1"/>
  <c r="F1536"/>
  <c r="H1536" s="1"/>
  <c r="F168"/>
  <c r="H168" s="1"/>
  <c r="F1320"/>
  <c r="H1320" s="1"/>
  <c r="F1104"/>
  <c r="H1104" s="1"/>
  <c r="AB5" i="7"/>
  <c r="F1396" i="12"/>
  <c r="H1396" s="1"/>
  <c r="F604"/>
  <c r="H604" s="1"/>
  <c r="F748"/>
  <c r="H748" s="1"/>
  <c r="F1540"/>
  <c r="H1540" s="1"/>
  <c r="F820"/>
  <c r="H820" s="1"/>
  <c r="F354"/>
  <c r="H354" s="1"/>
  <c r="F1506"/>
  <c r="H1506" s="1"/>
  <c r="F1146"/>
  <c r="H1146" s="1"/>
  <c r="BN5" i="7"/>
  <c r="F282" i="12"/>
  <c r="H282" s="1"/>
  <c r="F806"/>
  <c r="H806" s="1"/>
  <c r="F878"/>
  <c r="H878" s="1"/>
  <c r="F1238"/>
  <c r="H1238" s="1"/>
  <c r="N5" i="7"/>
  <c r="AQ5"/>
  <c r="F1195" i="12"/>
  <c r="H1195" s="1"/>
  <c r="F115"/>
  <c r="H115" s="1"/>
  <c r="F619"/>
  <c r="H619" s="1"/>
  <c r="F979"/>
  <c r="H979" s="1"/>
  <c r="F403"/>
  <c r="H403" s="1"/>
  <c r="F691"/>
  <c r="H691" s="1"/>
  <c r="BL4" i="7"/>
  <c r="F280" i="12"/>
  <c r="H280" s="1"/>
  <c r="F640"/>
  <c r="H640" s="1"/>
  <c r="X4" i="7"/>
  <c r="F24" i="12"/>
  <c r="H24" s="1"/>
  <c r="F960"/>
  <c r="H960" s="1"/>
  <c r="F528"/>
  <c r="H528" s="1"/>
  <c r="F672"/>
  <c r="H672" s="1"/>
  <c r="E9" i="14"/>
  <c r="AF5" i="7"/>
  <c r="F680" i="12"/>
  <c r="H680" s="1"/>
  <c r="F536"/>
  <c r="H536" s="1"/>
  <c r="F104"/>
  <c r="H104" s="1"/>
  <c r="F608"/>
  <c r="H608" s="1"/>
  <c r="AU4" i="7"/>
  <c r="F1487" i="12"/>
  <c r="H1487" s="1"/>
  <c r="F695"/>
  <c r="H695" s="1"/>
  <c r="G5" i="7"/>
  <c r="F1447" i="12"/>
  <c r="H1447" s="1"/>
  <c r="F511"/>
  <c r="H511" s="1"/>
  <c r="F367"/>
  <c r="H367" s="1"/>
  <c r="F583"/>
  <c r="H583" s="1"/>
  <c r="F79"/>
  <c r="H79" s="1"/>
  <c r="F799"/>
  <c r="H799" s="1"/>
  <c r="AV4" i="7"/>
  <c r="F1128" i="12"/>
  <c r="H1128" s="1"/>
  <c r="P6" i="7"/>
  <c r="F1312" i="12"/>
  <c r="H1312" s="1"/>
  <c r="F1384"/>
  <c r="H1384" s="1"/>
  <c r="F1096"/>
  <c r="H1096" s="1"/>
  <c r="F880"/>
  <c r="H880" s="1"/>
  <c r="F1528"/>
  <c r="H1528" s="1"/>
  <c r="F1240"/>
  <c r="H1240" s="1"/>
  <c r="F1024"/>
  <c r="H1024" s="1"/>
  <c r="C6" i="23"/>
  <c r="V7" i="7"/>
  <c r="L218" i="6"/>
  <c r="L219"/>
  <c r="BD3" i="7"/>
  <c r="BD7" s="1"/>
  <c r="L220" i="6"/>
  <c r="L221"/>
  <c r="AR4" i="7"/>
  <c r="F764" i="12"/>
  <c r="H764" s="1"/>
  <c r="F836"/>
  <c r="H836" s="1"/>
  <c r="F1124"/>
  <c r="H1124" s="1"/>
  <c r="H1501"/>
  <c r="T15" i="7"/>
  <c r="H753" i="12"/>
  <c r="H575"/>
  <c r="H137"/>
  <c r="H1026"/>
  <c r="H889"/>
  <c r="H1313"/>
  <c r="H1025"/>
  <c r="H1423"/>
  <c r="H101"/>
  <c r="AD15" i="7"/>
  <c r="H222" i="12"/>
  <c r="E6" i="14" s="1"/>
  <c r="H146" i="12"/>
  <c r="H985"/>
  <c r="H409"/>
  <c r="H178"/>
  <c r="Z15" i="7"/>
  <c r="H932" i="12"/>
  <c r="H1421"/>
  <c r="H277"/>
  <c r="H501"/>
  <c r="H769"/>
  <c r="H389"/>
  <c r="H85"/>
  <c r="H143"/>
  <c r="G15" i="7"/>
  <c r="H1150" i="12"/>
  <c r="H406"/>
  <c r="H1145"/>
  <c r="H253"/>
  <c r="H1405"/>
  <c r="H1485"/>
  <c r="H860"/>
  <c r="H709"/>
  <c r="H477"/>
  <c r="H453"/>
  <c r="H661"/>
  <c r="H90"/>
  <c r="H1170"/>
  <c r="H1211"/>
  <c r="H899"/>
  <c r="H251"/>
  <c r="AU15" i="7"/>
  <c r="AA15"/>
  <c r="H22" i="12"/>
  <c r="H382"/>
  <c r="H310"/>
  <c r="H1285"/>
  <c r="H493"/>
  <c r="H33"/>
  <c r="H537"/>
  <c r="H494"/>
  <c r="H998"/>
  <c r="H566"/>
  <c r="H1070"/>
  <c r="H1502"/>
  <c r="H278"/>
  <c r="H649"/>
  <c r="H711"/>
  <c r="W7" i="7"/>
  <c r="H1337" i="12"/>
  <c r="H833"/>
  <c r="H905"/>
  <c r="BS7" i="7"/>
  <c r="H1073" i="12"/>
  <c r="H569"/>
  <c r="H995"/>
  <c r="H611"/>
  <c r="H179"/>
  <c r="H1331"/>
  <c r="H1585"/>
  <c r="H1513"/>
  <c r="H1079"/>
  <c r="H719"/>
  <c r="H1505"/>
  <c r="H641"/>
  <c r="H857"/>
  <c r="H1503"/>
  <c r="H1445"/>
  <c r="G9" i="14" s="1"/>
  <c r="I9" s="1"/>
  <c r="H289" i="12"/>
  <c r="H1081"/>
  <c r="H725"/>
  <c r="H141"/>
  <c r="H861"/>
  <c r="H2"/>
  <c r="H1298"/>
  <c r="H482"/>
  <c r="H1490"/>
  <c r="H1246"/>
  <c r="H1129"/>
  <c r="H105"/>
  <c r="H601"/>
  <c r="H1209"/>
  <c r="H921"/>
  <c r="H1425"/>
  <c r="H489"/>
  <c r="H1065"/>
  <c r="H788"/>
  <c r="H326"/>
  <c r="H762"/>
  <c r="H599"/>
  <c r="H455"/>
  <c r="H283"/>
  <c r="H1435"/>
  <c r="H1005"/>
  <c r="H1057"/>
  <c r="H1054"/>
  <c r="H546"/>
  <c r="H1050"/>
  <c r="H1356"/>
  <c r="H882"/>
  <c r="G23" i="14" s="1"/>
  <c r="I23" s="1"/>
  <c r="H1098" i="12"/>
  <c r="H1249"/>
  <c r="H1169"/>
  <c r="H153"/>
  <c r="H513"/>
  <c r="H801"/>
  <c r="H945"/>
  <c r="H441"/>
  <c r="E26" i="14" s="1"/>
  <c r="H1161" i="12"/>
  <c r="H997"/>
  <c r="BI7" i="7"/>
  <c r="H257" i="12"/>
  <c r="H1193"/>
  <c r="H1147"/>
  <c r="H1009"/>
  <c r="H593"/>
  <c r="H1529"/>
  <c r="H1041"/>
  <c r="H1571"/>
  <c r="H166"/>
  <c r="G20" i="14" l="1"/>
  <c r="I20" s="1"/>
  <c r="E20"/>
  <c r="E15"/>
  <c r="G15"/>
  <c r="I15" s="1"/>
  <c r="G16"/>
  <c r="I16" s="1"/>
  <c r="B27" i="27"/>
  <c r="D27" s="1"/>
  <c r="E16" i="14"/>
  <c r="G24"/>
  <c r="I24" s="1"/>
  <c r="E24"/>
  <c r="C5" i="23"/>
  <c r="O7" i="7"/>
  <c r="G25" i="14"/>
  <c r="I25" s="1"/>
  <c r="E25"/>
  <c r="X7" i="7"/>
  <c r="AQ7"/>
  <c r="G7" i="14"/>
  <c r="E13"/>
  <c r="G6"/>
  <c r="I6" s="1"/>
  <c r="G12"/>
  <c r="I12" s="1"/>
  <c r="BL7" i="7"/>
  <c r="E8" i="14"/>
  <c r="B16" i="27"/>
  <c r="D16" s="1"/>
  <c r="E19" i="14"/>
  <c r="G19"/>
  <c r="I19" s="1"/>
  <c r="E22"/>
  <c r="G22"/>
  <c r="I22" s="1"/>
  <c r="G5"/>
  <c r="E5"/>
  <c r="E18"/>
  <c r="G18"/>
  <c r="I18" s="1"/>
  <c r="AD7" i="7"/>
  <c r="AV7"/>
  <c r="BT7"/>
  <c r="AU7"/>
  <c r="G7"/>
  <c r="Z7"/>
  <c r="AM7"/>
  <c r="L7"/>
  <c r="AF7"/>
  <c r="AR7"/>
  <c r="AB7"/>
  <c r="B14" i="27" s="1"/>
  <c r="D14" s="1"/>
  <c r="D7" i="7"/>
  <c r="B13" i="27" s="1"/>
  <c r="D13" s="1"/>
  <c r="AE7" i="7"/>
  <c r="G11" i="14"/>
  <c r="I11" s="1"/>
  <c r="E11"/>
  <c r="E14"/>
  <c r="G14"/>
  <c r="I14" s="1"/>
  <c r="G17"/>
  <c r="I17" s="1"/>
  <c r="E17"/>
  <c r="E10"/>
  <c r="J7" i="7"/>
  <c r="BN7"/>
  <c r="N7"/>
  <c r="K7"/>
  <c r="C31" i="14" l="1"/>
  <c r="I5"/>
  <c r="C32"/>
  <c r="I7"/>
  <c r="C30" s="1"/>
  <c r="F8" i="19" l="1"/>
  <c r="B37" i="27"/>
  <c r="D37" s="1"/>
  <c r="B32"/>
  <c r="D32" s="1"/>
  <c r="D7" i="19"/>
  <c r="C41" i="14"/>
  <c r="B40" i="27" s="1"/>
  <c r="D40" s="1"/>
  <c r="C28" i="14"/>
  <c r="C29"/>
  <c r="B35" i="27"/>
  <c r="D35" s="1"/>
  <c r="D8" i="19"/>
  <c r="B34" i="27" l="1"/>
  <c r="D34" s="1"/>
  <c r="F7" i="19"/>
  <c r="B44" i="27"/>
</calcChain>
</file>

<file path=xl/sharedStrings.xml><?xml version="1.0" encoding="utf-8"?>
<sst xmlns="http://schemas.openxmlformats.org/spreadsheetml/2006/main" count="37860" uniqueCount="1256">
  <si>
    <t>tRNA MODEL v5 — VALIDATION OF 9 PREDICTED CANDIDATES AGAINST A REALISTIC NEGATIVE CONTROL</t>
  </si>
  <si>
    <t>FILE FORMAT</t>
  </si>
  <si>
    <t>Compatibility</t>
  </si>
  <si>
    <t>Saved as .xlsx (Office Open XML), the native format of Excel 2007 and every later version. Only functions available in Excel 2007 are used (SUM, AVERAGE, MIN, MAX, ROUND, IF, AND, LN, INDEX, MATCH, CORREL, STDEVP, SUMIF, SUMIFS, COUNTIF, COUNTIFS, AVERAGEIFS). No post-2007 function, no array formula and no table feature is used, so every cell recalculates in Excel 2007.</t>
  </si>
  <si>
    <t>CHECKS ON THIS BATCH</t>
  </si>
  <si>
    <t>1. Reference 200 unchanged</t>
  </si>
  <si>
    <t>tRNA_Database_T_Psi_C_200_1.xlsx is byte-identical to the file used in the previous round (same MD5). The reference model, and therefore the emission and transition matrices, are unchanged.</t>
  </si>
  <si>
    <t>2. T-Psi-C OTHER 100 unchanged</t>
  </si>
  <si>
    <t>Byte-identical to the previous round. 101 rows, 96 unique records, 5 exact duplicate rows removed (4 Lys, 1 Tyr). Zero overlap with the reference 200.</t>
  </si>
  <si>
    <t>3. MBSW 62 unchanged</t>
  </si>
  <si>
    <t>Byte-identical to the previous round. 62 mature archaeal tRNAs from tRNAscan-SE.</t>
  </si>
  <si>
    <t>4. The 13 random-genome file is a true legacy .xls</t>
  </si>
  <si>
    <t>tRNA_randomgenome_13_positions_1-72.xls is a BIFF Composite Document, not a renamed .xlsx. It was converted to .xlsx before reading. It holds the same 13 sequences as the previous round: same names, same anticodons, same lengths, same gap counts.</t>
  </si>
  <si>
    <t>5. The 9 pasted candidates were verified</t>
  </si>
  <si>
    <t>The 9 predicted candidates supplied in the message body were transcribed and compared cell by cell against the candidate file used previously: 0 differing cells across all 9 x 72. The T to U change and the anticodon spelling (UUA / CUA / UCA rather than tta / cta / tca) are notation only.</t>
  </si>
  <si>
    <t>6. Every figure reproduced</t>
  </si>
  <si>
    <t>Because all inputs are unchanged, the whole analysis was re-derived from this new file set as an independent check. Every statistic reproduced exactly, to the last decimal place.</t>
  </si>
  <si>
    <t>7. Roles of the sets</t>
  </si>
  <si>
    <t>The 13 random-genome sequences are the NEGATIVE control, not candidates. The 9 predicted candidates are what is being tested. Your message refers in one place to 'our 13 candidate tRNA'; that has been read as the random-genome decoy set, consistent with how it was described when first supplied.</t>
  </si>
  <si>
    <t>WHY THE DECOY SET MATTERS</t>
  </si>
  <si>
    <t>The gap it closes</t>
  </si>
  <si>
    <t>Up to v4 the only negative control was a positional permutation of a real tRNA. That is an easy negative: a scrambled tRNA has no reason to fold at all. The realistic false positive for a split-tRNA search is genomic sequence that already folds like a tRNA, which is exactly what your predictor returns when run on randomized genome.</t>
  </si>
  <si>
    <t>How well matched it is</t>
  </si>
  <si>
    <t>The 13 decoys carry the same anticodons as the real candidates (UUA and CUA), the same declared type (Sup), and overlapping lengths (71-95 against 70-93). They are therefore a properly matched hard negative.</t>
  </si>
  <si>
    <t>Predictor false-positive yield</t>
  </si>
  <si>
    <t>13 candidates from 50 randomized genomes = 0.26 per genome.</t>
  </si>
  <si>
    <t>HEADLINE RESULT</t>
  </si>
  <si>
    <t>Against real tRNAs</t>
  </si>
  <si>
    <t>Separation stays perfect: AUC = 1.000. Every one of the 158 real tRNAs outscores every decoy and every permutation.</t>
  </si>
  <si>
    <t>Against the decoys</t>
  </si>
  <si>
    <t>The combined score separates the 9 predicted from the 13 decoys only weakly: predicted -0.2719 against decoy -0.3398, Mann-Whitney p = 0.333, AUC = 0.624. Seven of the nine fall inside the decoy range.</t>
  </si>
  <si>
    <t>The GC confound</t>
  </si>
  <si>
    <t>GC content separates predicted from decoy far better than the model does (AUC 0.859, p = 0.005). After the linear GC effect is removed the difference disappears completely (p = 0.973, AUC = 0.496). On this evidence the positional model adds nothing beyond base composition when the task is telling a real candidate from a randomized-genome decoy.</t>
  </si>
  <si>
    <t>Identity features run the wrong way</t>
  </si>
  <si>
    <t>The decoys score HIGHER than the predicted candidates on invariant match (0.667 against 0.602) and on the T-loop (0.631 against 0.556). These features cannot be used to argue for the candidates.</t>
  </si>
  <si>
    <t>Stem pairing is uninformative here</t>
  </si>
  <si>
    <t>Predicted 0.915 against decoy 0.919. The predictor selects for foldability, so both sets fold. Stem pairing was used as a supporting criterion in v4; against this null it has no discriminating power and that v4 criterion is withdrawn.</t>
  </si>
  <si>
    <t>REVISED THRESHOLD</t>
  </si>
  <si>
    <t>Against the decoy null</t>
  </si>
  <si>
    <t>Decoy maximum -0.1879; weakest of the 158 real tRNAs +0.0288; recommended cut = midpoint -0.0795.</t>
  </si>
  <si>
    <t>Against the permutation null</t>
  </si>
  <si>
    <t>Cut was -0.0896 in v4. The decoy-calibrated cut is slightly stricter.</t>
  </si>
  <si>
    <t>Candidates clearing it</t>
  </si>
  <si>
    <t>1 of 9.</t>
  </si>
  <si>
    <t>Candidates above the decoy maximum</t>
  </si>
  <si>
    <t>2 of 9.</t>
  </si>
  <si>
    <t>STATISTICAL POWER — READ THIS BEFORE QUOTING ANY p VALUE</t>
  </si>
  <si>
    <t>The floor</t>
  </si>
  <si>
    <t>With 13 decoys the smallest empirical p any candidate can receive is 1/(13+1) = 0.0714. No candidate can reach p &lt; 0.05 against this null, however good it is. The two best candidates both sit at this floor.</t>
  </si>
  <si>
    <t>What it would take</t>
  </si>
  <si>
    <t>About 99 decoys are needed before p &lt; 0.01 is even reachable. At the observed yield of 0.26 decoys per randomized genome that means roughly 380 randomized genomes.</t>
  </si>
  <si>
    <t>The better experiment</t>
  </si>
  <si>
    <t>Generate the decoys GC-matched to the candidates, or draw them from GC-matched genomic windows. Because GC is doing all the discriminating work, a GC-matched decoy set is the test that would actually settle the question.</t>
  </si>
  <si>
    <t>WHAT THIS DOES AND DOES NOT SHOW</t>
  </si>
  <si>
    <t>Shown</t>
  </si>
  <si>
    <t>All 9 candidates are clearly distinguishable from real mature tRNAs, and clearly better than scrambled sequence. One candidate, trna64, also sits above every decoy and clears the decoy-calibrated threshold.</t>
  </si>
  <si>
    <t>Not shown</t>
  </si>
  <si>
    <t>That the 9 candidates as a group are distinguishable from what the predictor finds in randomized genome. On the present evidence they are not, once GC is accounted for.</t>
  </si>
  <si>
    <t>COMPUTED INPUTS</t>
  </si>
  <si>
    <t>Note</t>
  </si>
  <si>
    <t>Reference leave-one-out scores, the 96 T-Psi-C OTHER scores, the 62 MBSW scores, the 960 permutation scores and all ROC and Mann-Whitney statistics are computed in Python and entered as values, shown in blue. The 22 candidates and decoys are scored by live spreadsheet formula from the emission and transition tables so the chain can be audited end to end.</t>
  </si>
  <si>
    <t>T-PSI-C REFERENCE DATABASE (200 records, positions 1-72) WITH NUCLEOTIDE FREQUENCY BENEATH, HORIZONTAL</t>
  </si>
  <si>
    <t>Organism</t>
  </si>
  <si>
    <t>Trna No</t>
  </si>
  <si>
    <t>tRNA</t>
  </si>
  <si>
    <t>Anti codon</t>
  </si>
  <si>
    <t>Aeropyrum pernix(A)</t>
  </si>
  <si>
    <t>tdbR00000589</t>
  </si>
  <si>
    <t>ARG</t>
  </si>
  <si>
    <t>UCU</t>
  </si>
  <si>
    <t>G</t>
  </si>
  <si>
    <t>C</t>
  </si>
  <si>
    <t>U</t>
  </si>
  <si>
    <t>A</t>
  </si>
  <si>
    <t>tdbR00000588</t>
  </si>
  <si>
    <t>ASC</t>
  </si>
  <si>
    <t>GUC</t>
  </si>
  <si>
    <t>-</t>
  </si>
  <si>
    <t>tdbR00000583</t>
  </si>
  <si>
    <t>CYS</t>
  </si>
  <si>
    <t>GCA</t>
  </si>
  <si>
    <t>tdbR00000581</t>
  </si>
  <si>
    <t>LYS</t>
  </si>
  <si>
    <t>CUU</t>
  </si>
  <si>
    <t>tdbR00000580</t>
  </si>
  <si>
    <t>UUU</t>
  </si>
  <si>
    <t>tdbR00000586</t>
  </si>
  <si>
    <t>MET</t>
  </si>
  <si>
    <t>CAU</t>
  </si>
  <si>
    <t>tdbR00000587</t>
  </si>
  <si>
    <t>tdbR00000579</t>
  </si>
  <si>
    <t>PRO</t>
  </si>
  <si>
    <t>CGG</t>
  </si>
  <si>
    <t>tdbR00000584</t>
  </si>
  <si>
    <t>GGG</t>
  </si>
  <si>
    <t>tdbR00000585</t>
  </si>
  <si>
    <t>THR</t>
  </si>
  <si>
    <t>CGU</t>
  </si>
  <si>
    <t>tdbR00000582</t>
  </si>
  <si>
    <t>TYR</t>
  </si>
  <si>
    <t>GUA</t>
  </si>
  <si>
    <t>Escherichia coli(B)</t>
  </si>
  <si>
    <t>tdbR00000008</t>
  </si>
  <si>
    <t>Ala</t>
  </si>
  <si>
    <t>GGC</t>
  </si>
  <si>
    <t>tdbR00000359</t>
  </si>
  <si>
    <t>Arg</t>
  </si>
  <si>
    <t>CCG</t>
  </si>
  <si>
    <t>tdbR00000332</t>
  </si>
  <si>
    <t>Gln</t>
  </si>
  <si>
    <t>CUG</t>
  </si>
  <si>
    <t>tdbR00000117</t>
  </si>
  <si>
    <t>Gly</t>
  </si>
  <si>
    <t>CCC</t>
  </si>
  <si>
    <t>tdbR00000118</t>
  </si>
  <si>
    <t>GCC</t>
  </si>
  <si>
    <t>tdbR00000159</t>
  </si>
  <si>
    <t>Ile</t>
  </si>
  <si>
    <t>GAU</t>
  </si>
  <si>
    <t>tdbR00000623</t>
  </si>
  <si>
    <t>Pro</t>
  </si>
  <si>
    <t>tdbR00000390</t>
  </si>
  <si>
    <t>Ser</t>
  </si>
  <si>
    <t>CGA</t>
  </si>
  <si>
    <t>tdbR00000437</t>
  </si>
  <si>
    <t>Thr</t>
  </si>
  <si>
    <t>GGU</t>
  </si>
  <si>
    <t>tdbR00000438</t>
  </si>
  <si>
    <t>tdbR00000454</t>
  </si>
  <si>
    <t>Val</t>
  </si>
  <si>
    <t>GAC</t>
  </si>
  <si>
    <t>Haloferax volcanii(A)</t>
  </si>
  <si>
    <t>tdbR00000002</t>
  </si>
  <si>
    <t>CGC</t>
  </si>
  <si>
    <t>tdbR00000003</t>
  </si>
  <si>
    <t>tdbR00000004</t>
  </si>
  <si>
    <t>UGC</t>
  </si>
  <si>
    <t>tdbR00000349</t>
  </si>
  <si>
    <t>tdbR00000106</t>
  </si>
  <si>
    <t>tdbR00000151</t>
  </si>
  <si>
    <t>tdbR00000063</t>
  </si>
  <si>
    <t>Phe</t>
  </si>
  <si>
    <t>GAA</t>
  </si>
  <si>
    <t>tdbR00000313</t>
  </si>
  <si>
    <t>UGG</t>
  </si>
  <si>
    <t>tdbR00000431</t>
  </si>
  <si>
    <t>tdbR00000432</t>
  </si>
  <si>
    <t>tdbR00000449</t>
  </si>
  <si>
    <t>CAC</t>
  </si>
  <si>
    <t>tdbR00000450</t>
  </si>
  <si>
    <t>Saccharomyces cerevisiae (Y)</t>
  </si>
  <si>
    <t>tdbR00001162</t>
  </si>
  <si>
    <t>Asn</t>
  </si>
  <si>
    <t>GUU</t>
  </si>
  <si>
    <t>tdbR00001163</t>
  </si>
  <si>
    <t>tdbR00000035</t>
  </si>
  <si>
    <t>Asp</t>
  </si>
  <si>
    <t>tdbR00001167</t>
  </si>
  <si>
    <t>Glu</t>
  </si>
  <si>
    <t>UUC</t>
  </si>
  <si>
    <t>tdbR00001170</t>
  </si>
  <si>
    <t>His</t>
  </si>
  <si>
    <t>GUG</t>
  </si>
  <si>
    <t>tdbR00001171</t>
  </si>
  <si>
    <t>AAU</t>
  </si>
  <si>
    <t>tdbR00001172</t>
  </si>
  <si>
    <t>UAU</t>
  </si>
  <si>
    <t>tdbR00001176</t>
  </si>
  <si>
    <t>Lys</t>
  </si>
  <si>
    <t>tdbR00001178</t>
  </si>
  <si>
    <t>Met </t>
  </si>
  <si>
    <t>tdbR00001179</t>
  </si>
  <si>
    <t>tdbR00001185</t>
  </si>
  <si>
    <t>AGU</t>
  </si>
  <si>
    <t>tdbR00001187</t>
  </si>
  <si>
    <t>Tyr</t>
  </si>
  <si>
    <t>tdbR00001188</t>
  </si>
  <si>
    <t>UAC</t>
  </si>
  <si>
    <t>tdbR00001189</t>
  </si>
  <si>
    <t>Val </t>
  </si>
  <si>
    <t>tdbR00001190</t>
  </si>
  <si>
    <t>AAC</t>
  </si>
  <si>
    <t>Vibrio cholerae C6706(B)</t>
  </si>
  <si>
    <t>tdbR00001017</t>
  </si>
  <si>
    <t>tdbR00001022</t>
  </si>
  <si>
    <t>tdbR00001023</t>
  </si>
  <si>
    <t>tdbR00001024</t>
  </si>
  <si>
    <t>tdbR00001027</t>
  </si>
  <si>
    <t>tdbR00001030</t>
  </si>
  <si>
    <t>tdbR00001031</t>
  </si>
  <si>
    <t>tdbR00001032</t>
  </si>
  <si>
    <t>Cys</t>
  </si>
  <si>
    <t>tdbR00001033</t>
  </si>
  <si>
    <t>tdbR00001036</t>
  </si>
  <si>
    <t>UCC</t>
  </si>
  <si>
    <t>tdbR00001038</t>
  </si>
  <si>
    <t>tdbR00001045</t>
  </si>
  <si>
    <t>Leu</t>
  </si>
  <si>
    <t>GAG</t>
  </si>
  <si>
    <t>tdbR00001050</t>
  </si>
  <si>
    <t>Met</t>
  </si>
  <si>
    <t>tdbR00001052</t>
  </si>
  <si>
    <t>tdbR00001053</t>
  </si>
  <si>
    <t>tdbR00001054</t>
  </si>
  <si>
    <t>tdbR00001058</t>
  </si>
  <si>
    <t>UGA</t>
  </si>
  <si>
    <t>tdbR00001059</t>
  </si>
  <si>
    <t>tdbR00001060</t>
  </si>
  <si>
    <t>UGU</t>
  </si>
  <si>
    <t>tdbR00001061</t>
  </si>
  <si>
    <t>tdbR00001062</t>
  </si>
  <si>
    <t>Trp</t>
  </si>
  <si>
    <t>CCA</t>
  </si>
  <si>
    <t>tdbR00001063</t>
  </si>
  <si>
    <t>tdbR00001064</t>
  </si>
  <si>
    <t>tdbR00001065</t>
  </si>
  <si>
    <t>Streptomyces griseus (B)</t>
  </si>
  <si>
    <t>tdbR00000923</t>
  </si>
  <si>
    <t>tdbR00000924</t>
  </si>
  <si>
    <t>tdbR00000925</t>
  </si>
  <si>
    <t>tdbR00000928</t>
  </si>
  <si>
    <t>CCU</t>
  </si>
  <si>
    <t>tdbR00000929</t>
  </si>
  <si>
    <t>tdbR00000930</t>
  </si>
  <si>
    <t>tdbR00000931</t>
  </si>
  <si>
    <t>tdbR00000932</t>
  </si>
  <si>
    <t>tdbR00000933</t>
  </si>
  <si>
    <t>tdbR00000934</t>
  </si>
  <si>
    <t>tdbR00000935</t>
  </si>
  <si>
    <t>tdbR00000936</t>
  </si>
  <si>
    <t>UUG</t>
  </si>
  <si>
    <t>tdbR00000938</t>
  </si>
  <si>
    <t>tdbR00000939</t>
  </si>
  <si>
    <t>tdbR00000940</t>
  </si>
  <si>
    <t>tdbR00000941</t>
  </si>
  <si>
    <t>tdbR00000946</t>
  </si>
  <si>
    <t>tdbR00000948</t>
  </si>
  <si>
    <t>tdbR00000949</t>
  </si>
  <si>
    <t>tdbR00000950</t>
  </si>
  <si>
    <t>tdbR00000951</t>
  </si>
  <si>
    <t>tdbR00000953</t>
  </si>
  <si>
    <t>tdbR00000954</t>
  </si>
  <si>
    <t>tdbR00000955</t>
  </si>
  <si>
    <t>tdbR00000964</t>
  </si>
  <si>
    <t>tdbR00000966</t>
  </si>
  <si>
    <t>tdbR00000967</t>
  </si>
  <si>
    <t>tdbR00000968</t>
  </si>
  <si>
    <t>tdbR00000969</t>
  </si>
  <si>
    <t>tdbR00000970</t>
  </si>
  <si>
    <t>tdbR00000971</t>
  </si>
  <si>
    <t>tdbR00000972</t>
  </si>
  <si>
    <t>tdbR00000974</t>
  </si>
  <si>
    <t>tdbR00000975</t>
  </si>
  <si>
    <t>tdbR00000976</t>
  </si>
  <si>
    <t>tdbR00000977</t>
  </si>
  <si>
    <t>Bacillus subtilis(B)</t>
  </si>
  <si>
    <t>tdbR00000007</t>
  </si>
  <si>
    <t>tdbR00000065</t>
  </si>
  <si>
    <t>tdbR00000116</t>
  </si>
  <si>
    <t>tdbR00000156</t>
  </si>
  <si>
    <t>tdbR00000179</t>
  </si>
  <si>
    <t>tdbR00000219</t>
  </si>
  <si>
    <t>CAG</t>
  </si>
  <si>
    <t>tdbR00000274</t>
  </si>
  <si>
    <t>tdbR00000316</t>
  </si>
  <si>
    <t>tdbR00000354</t>
  </si>
  <si>
    <t>ACG</t>
  </si>
  <si>
    <t>tdbR00000387</t>
  </si>
  <si>
    <t>tdbR00000436</t>
  </si>
  <si>
    <t>tdbR00000453</t>
  </si>
  <si>
    <t>tdbR00000483</t>
  </si>
  <si>
    <t>tdbR00000507</t>
  </si>
  <si>
    <t>Bos taurus (E)</t>
  </si>
  <si>
    <t>tdbR00000102</t>
  </si>
  <si>
    <t>tdbR00000247</t>
  </si>
  <si>
    <t>UAG</t>
  </si>
  <si>
    <t>tdbR00000266</t>
  </si>
  <si>
    <t>AAG</t>
  </si>
  <si>
    <t>tdbR00000342</t>
  </si>
  <si>
    <t>tdbR00000367</t>
  </si>
  <si>
    <t>UCG</t>
  </si>
  <si>
    <t>tdbR00000374</t>
  </si>
  <si>
    <t>tdbR00000375</t>
  </si>
  <si>
    <t>tdbR00000376</t>
  </si>
  <si>
    <t>tdbR00000445</t>
  </si>
  <si>
    <t>tdbR00000497</t>
  </si>
  <si>
    <t>tdbR00000565</t>
  </si>
  <si>
    <t>Mycoplasma mycoides(B) &amp; Mycoplasma mycoides (B)</t>
  </si>
  <si>
    <t>tdbR00000005</t>
  </si>
  <si>
    <t>tdbR00000024</t>
  </si>
  <si>
    <t>tdbR00000044</t>
  </si>
  <si>
    <t>tdbR00000064</t>
  </si>
  <si>
    <t>tdbR00000111</t>
  </si>
  <si>
    <t>tdbR00000139</t>
  </si>
  <si>
    <t>tdbR00000153</t>
  </si>
  <si>
    <t>tdbR00000504</t>
  </si>
  <si>
    <t>tdbR00000177</t>
  </si>
  <si>
    <t>tdbR00000178</t>
  </si>
  <si>
    <t>tdbR00000216</t>
  </si>
  <si>
    <t>CAA</t>
  </si>
  <si>
    <t>tdbR00000217</t>
  </si>
  <si>
    <t>UAA</t>
  </si>
  <si>
    <t>tdbR00000218</t>
  </si>
  <si>
    <t>tdbR00000273</t>
  </si>
  <si>
    <t>tdbR00000314</t>
  </si>
  <si>
    <t>tdbR00000331</t>
  </si>
  <si>
    <t>tdbR00000353</t>
  </si>
  <si>
    <t>tdbR00000385</t>
  </si>
  <si>
    <t>tdbR00000433</t>
  </si>
  <si>
    <t>tdbR00000434</t>
  </si>
  <si>
    <t>tdbR00000451</t>
  </si>
  <si>
    <t>tdbR00000452</t>
  </si>
  <si>
    <t>tdbR00000479</t>
  </si>
  <si>
    <t>tdbR00000480</t>
  </si>
  <si>
    <t>UCA</t>
  </si>
  <si>
    <t>tdbR00000505</t>
  </si>
  <si>
    <t>tdbR00000006</t>
  </si>
  <si>
    <t>tdbR00000112</t>
  </si>
  <si>
    <t>tdbR00000154</t>
  </si>
  <si>
    <t>tdbR00000155</t>
  </si>
  <si>
    <t>tdbR00000315</t>
  </si>
  <si>
    <t>Archaeoglobus fulgidus</t>
  </si>
  <si>
    <t>tdbPDB000006</t>
  </si>
  <si>
    <t>Methanocaldococcus jannaschii</t>
  </si>
  <si>
    <t>tdbPDB000026</t>
  </si>
  <si>
    <t>tdbPDB000031</t>
  </si>
  <si>
    <t>tdbPDB000033</t>
  </si>
  <si>
    <t>tdbPDB000045</t>
  </si>
  <si>
    <t>CUA</t>
  </si>
  <si>
    <t>tdbPDB000046</t>
  </si>
  <si>
    <t>Haloferax volcanii</t>
  </si>
  <si>
    <t>tdbR00000018</t>
  </si>
  <si>
    <t>Methanobacterium thermaggregans</t>
  </si>
  <si>
    <t>tdbR00000110</t>
  </si>
  <si>
    <t>Halococcus morrhuae</t>
  </si>
  <si>
    <t>tdbR00000501</t>
  </si>
  <si>
    <t>Sulfolobus acidocaldarius</t>
  </si>
  <si>
    <t>tdbR00000502</t>
  </si>
  <si>
    <t>Methanosarcina barkeri</t>
  </si>
  <si>
    <t>tdbR00000601</t>
  </si>
  <si>
    <t>Pyr</t>
  </si>
  <si>
    <t>Nanoarchaeum equitans</t>
  </si>
  <si>
    <t>tdbR00000613</t>
  </si>
  <si>
    <t>CUC</t>
  </si>
  <si>
    <t>tdbR00000614</t>
  </si>
  <si>
    <t>tdbR00000615</t>
  </si>
  <si>
    <t>tdbR00000616</t>
  </si>
  <si>
    <t>tdbR00000617</t>
  </si>
  <si>
    <t>Haloarcula marismortui</t>
  </si>
  <si>
    <t>tdbR00000886</t>
  </si>
  <si>
    <t>Sulfurisphaera tokodaii</t>
  </si>
  <si>
    <t>tdbR00001095</t>
  </si>
  <si>
    <t>tdbR00001096</t>
  </si>
  <si>
    <t>Thermococcus kodakarensis</t>
  </si>
  <si>
    <t>tdbR00001192</t>
  </si>
  <si>
    <t>Homo sapiens</t>
  </si>
  <si>
    <t>tdbR00000624</t>
  </si>
  <si>
    <t>tdbR00000625</t>
  </si>
  <si>
    <t>tdbR00000643</t>
  </si>
  <si>
    <t>tdbR00000662</t>
  </si>
  <si>
    <t>tdbR00000666</t>
  </si>
  <si>
    <t>tdbR00000670</t>
  </si>
  <si>
    <t>tdbR00000685</t>
  </si>
  <si>
    <t>tdbR00000687</t>
  </si>
  <si>
    <t>tdbR00000690</t>
  </si>
  <si>
    <t>tdbR00000694</t>
  </si>
  <si>
    <t>tdbR00000705</t>
  </si>
  <si>
    <t>tdbR00000727</t>
  </si>
  <si>
    <t>tdbR00000785</t>
  </si>
  <si>
    <t>ACU</t>
  </si>
  <si>
    <t>tdbR00000801</t>
  </si>
  <si>
    <t>tdbR00000868</t>
  </si>
  <si>
    <t>NUCLEOTIDE FREQUENCY — HORIZONTAL</t>
  </si>
  <si>
    <t>Counted over the 200 records above. Missing cells excluded from the valid total.</t>
  </si>
  <si>
    <t>Position</t>
  </si>
  <si>
    <t>Missing</t>
  </si>
  <si>
    <t>Valid total</t>
  </si>
  <si>
    <t>Check = 200</t>
  </si>
  <si>
    <t>Most frequent</t>
  </si>
  <si>
    <t>Its share</t>
  </si>
  <si>
    <t>Check total = 200</t>
  </si>
  <si>
    <t>BACKGROUND FREQUENCIES (reference set, pooled over all 72 positions)</t>
  </si>
  <si>
    <t>Base</t>
  </si>
  <si>
    <t>Total count</t>
  </si>
  <si>
    <t>Background p</t>
  </si>
  <si>
    <t>Total</t>
  </si>
  <si>
    <t>GC content</t>
  </si>
  <si>
    <t>From</t>
  </si>
  <si>
    <t>To</t>
  </si>
  <si>
    <t>Dinucleotide count</t>
  </si>
  <si>
    <t>Background p(Y|X)</t>
  </si>
  <si>
    <t>EVERY FORMULA USED, STEP BY STEP</t>
  </si>
  <si>
    <t>All functions listed are available in Excel 2007.</t>
  </si>
  <si>
    <t>Step</t>
  </si>
  <si>
    <t>Quantity</t>
  </si>
  <si>
    <t>Algebra</t>
  </si>
  <si>
    <t>Spreadsheet implementation (without the leading = sign)</t>
  </si>
  <si>
    <t>Where</t>
  </si>
  <si>
    <t>Frequency</t>
  </si>
  <si>
    <t>n(b,i) = records with base b at position i</t>
  </si>
  <si>
    <t>counted from the database block</t>
  </si>
  <si>
    <t>Database + Frequency</t>
  </si>
  <si>
    <t>N(i) = n(A,i)+n(C,i)+n(G,i)+n(U,i)</t>
  </si>
  <si>
    <t>SUM over the four base rows</t>
  </si>
  <si>
    <t>Frequency 1-72 col G</t>
  </si>
  <si>
    <t>Emission raw</t>
  </si>
  <si>
    <t>e_raw(b,i) = n(b,i) / N(i)</t>
  </si>
  <si>
    <t>D/E</t>
  </si>
  <si>
    <t>Emission Stepwise col G</t>
  </si>
  <si>
    <t>Emission smoothed</t>
  </si>
  <si>
    <t>e(b,i) = ( n(b,i) + a ) / ( N(i) + 4a )</t>
  </si>
  <si>
    <t>I/J</t>
  </si>
  <si>
    <t>Emission Stepwise col H</t>
  </si>
  <si>
    <t>Emission check</t>
  </si>
  <si>
    <t>sum over b of e(b,i) = 1</t>
  </si>
  <si>
    <t>ROUND(SUMIF(position,i,smoothed),9)</t>
  </si>
  <si>
    <t>Emission Stepwise col L</t>
  </si>
  <si>
    <t>Background base</t>
  </si>
  <si>
    <t>q(b) = sum over i n(b,i) / grand total</t>
  </si>
  <si>
    <t>SUM(col)/total</t>
  </si>
  <si>
    <t>Background C4:C7</t>
  </si>
  <si>
    <t>Transition count</t>
  </si>
  <si>
    <t>c(X-&gt;Y,i) = records with X at i and Y at i+1</t>
  </si>
  <si>
    <t>Transition Stepwise col F</t>
  </si>
  <si>
    <t>FROM total</t>
  </si>
  <si>
    <t>Cx(X,i) = sum over Y of c(X-&gt;Y,i)</t>
  </si>
  <si>
    <t>SUMIFS(count, step, i, from, X)</t>
  </si>
  <si>
    <t>Transition Stepwise col G</t>
  </si>
  <si>
    <t>Transition raw</t>
  </si>
  <si>
    <t>t_raw(Y|X,i) = c(X-&gt;Y,i) / Cx(X,i)</t>
  </si>
  <si>
    <t>F/G</t>
  </si>
  <si>
    <t>Transition Stepwise col I</t>
  </si>
  <si>
    <t>Transition smoothed</t>
  </si>
  <si>
    <t>t(Y|X,i) = ( c(X-&gt;Y,i) + a ) / ( Cx(X,i) + 4a )</t>
  </si>
  <si>
    <t>K/L</t>
  </si>
  <si>
    <t>Transition Stepwise col J</t>
  </si>
  <si>
    <t>Transition check</t>
  </si>
  <si>
    <t>sum over Y of t(Y|X,i) = 1</t>
  </si>
  <si>
    <t>ROUND(SUMIFS(smoothed, step, i, from, X),9)</t>
  </si>
  <si>
    <t>Transition Stepwise col N</t>
  </si>
  <si>
    <t>Background dinucleotide</t>
  </si>
  <si>
    <t>qd(Y|X) = ( sum over i c(X-&gt;Y,i) + a ) / ( sum over i,Y c(X-&gt;Y,i) + 4a )</t>
  </si>
  <si>
    <t>(C+1)/(SUMIF+4)</t>
  </si>
  <si>
    <t>Background D12:D27</t>
  </si>
  <si>
    <t>Per-position log-odds</t>
  </si>
  <si>
    <t>Le(b,i) = ln( e(b,i) / q(b) )</t>
  </si>
  <si>
    <t>LN(F/G)</t>
  </si>
  <si>
    <t>Cand+Decoy Per-Position col H</t>
  </si>
  <si>
    <t>Per-step log-odds</t>
  </si>
  <si>
    <t>Lt(X,Y,i) = ln( t(Y|X,i) / qd(Y|X) )</t>
  </si>
  <si>
    <t>LN(G/H)</t>
  </si>
  <si>
    <t>Cand+Decoy Per-Transition col I</t>
  </si>
  <si>
    <t>Emission score</t>
  </si>
  <si>
    <t>E = mean of Le over scored positions</t>
  </si>
  <si>
    <t>AVERAGEIFS(logodds, id, this)</t>
  </si>
  <si>
    <t>Cand+Decoy Scores</t>
  </si>
  <si>
    <t>Transition score</t>
  </si>
  <si>
    <t>Tr = mean of Lt over scored transitions</t>
  </si>
  <si>
    <t>AVERAGEIFS(logodds, id, this, scored, "yes")</t>
  </si>
  <si>
    <t>Combined score</t>
  </si>
  <si>
    <t>S = ( E + Tr ) / 2</t>
  </si>
  <si>
    <t>AVERAGE(E,Tr)</t>
  </si>
  <si>
    <t>z against real tRNAs</t>
  </si>
  <si>
    <t>z = ( S - mean(S_real) ) / sd(S_real)</t>
  </si>
  <si>
    <t>(S-mean)/STDEVP</t>
  </si>
  <si>
    <t>Summary Table</t>
  </si>
  <si>
    <t>Empirical p vs a null</t>
  </si>
  <si>
    <t>p = ( #{null &gt;= S} + 1 ) / ( #null + 1 )</t>
  </si>
  <si>
    <t>computed in Python</t>
  </si>
  <si>
    <t>Threshold band</t>
  </si>
  <si>
    <t>band = ( max(S_null) , min(S_real) )</t>
  </si>
  <si>
    <t>MAX(null) and MIN(real)</t>
  </si>
  <si>
    <t>Threshold Analysis</t>
  </si>
  <si>
    <t>Recommended cut</t>
  </si>
  <si>
    <t>S* = ( max(S_null) + min(S_real) ) / 2</t>
  </si>
  <si>
    <t>AVERAGE of the two</t>
  </si>
  <si>
    <t>Stem pairing</t>
  </si>
  <si>
    <t>P = paired / scored over the 21 canonical pairs</t>
  </si>
  <si>
    <t>counted; definition validated at 99.1% against dot-bracket in v4</t>
  </si>
  <si>
    <t>Feature Discrimination</t>
  </si>
  <si>
    <t>Invariant match</t>
  </si>
  <si>
    <t>I = matches / scored over 12 conserved positions</t>
  </si>
  <si>
    <t>counted</t>
  </si>
  <si>
    <t>Invariant Comparison</t>
  </si>
  <si>
    <t>T-loop match</t>
  </si>
  <si>
    <t>Tl = matches over positions 54,55,56,57,58</t>
  </si>
  <si>
    <t>Anticodon check</t>
  </si>
  <si>
    <t>declared anticodon equals the bases at positions 34,35,36</t>
  </si>
  <si>
    <t>string compare</t>
  </si>
  <si>
    <t>GC-adjusted residual</t>
  </si>
  <si>
    <t>r = S - ( mean(S) + b*( GC - mean(GC) ) )</t>
  </si>
  <si>
    <t>GC Confound</t>
  </si>
  <si>
    <t>a = alpha = 1 (Laplace smoothing).</t>
  </si>
  <si>
    <t>Key</t>
  </si>
  <si>
    <t>Count n</t>
  </si>
  <si>
    <t>Valid N</t>
  </si>
  <si>
    <t>Alpha</t>
  </si>
  <si>
    <t>Raw e_raw</t>
  </si>
  <si>
    <t>Smoothed e</t>
  </si>
  <si>
    <t>n+a</t>
  </si>
  <si>
    <t>N+4a</t>
  </si>
  <si>
    <t>Formula</t>
  </si>
  <si>
    <t>Check sum</t>
  </si>
  <si>
    <t>e = (n + a) / (N + 4a)</t>
  </si>
  <si>
    <t>EMISSION PROBABILITY MATRIX (smoothed) — rows = base, columns = position</t>
  </si>
  <si>
    <t>Base / position</t>
  </si>
  <si>
    <t>Column sum check</t>
  </si>
  <si>
    <t>RAW (UNSMOOTHED) EMISSION MATRIX</t>
  </si>
  <si>
    <t>Step i</t>
  </si>
  <si>
    <t>From X</t>
  </si>
  <si>
    <t>To Y</t>
  </si>
  <si>
    <t>Count c</t>
  </si>
  <si>
    <t>FROM total Cx</t>
  </si>
  <si>
    <t>Raw t_raw</t>
  </si>
  <si>
    <t>Smoothed t</t>
  </si>
  <si>
    <t>c+a</t>
  </si>
  <si>
    <t>Cx+4a</t>
  </si>
  <si>
    <t>Row sum check</t>
  </si>
  <si>
    <t>1-&gt;2</t>
  </si>
  <si>
    <t>t = (c + a) / (Cx + 4a)</t>
  </si>
  <si>
    <t>2-&gt;3</t>
  </si>
  <si>
    <t>3-&gt;4</t>
  </si>
  <si>
    <t>4-&gt;5</t>
  </si>
  <si>
    <t>5-&gt;6</t>
  </si>
  <si>
    <t>6-&gt;7</t>
  </si>
  <si>
    <t>7-&gt;8</t>
  </si>
  <si>
    <t>8-&gt;9</t>
  </si>
  <si>
    <t>9-&gt;10</t>
  </si>
  <si>
    <t>10-&gt;11</t>
  </si>
  <si>
    <t>11-&gt;12</t>
  </si>
  <si>
    <t>12-&gt;13</t>
  </si>
  <si>
    <t>13-&gt;14</t>
  </si>
  <si>
    <t>14-&gt;15</t>
  </si>
  <si>
    <t>15-&gt;16</t>
  </si>
  <si>
    <t>16-&gt;17</t>
  </si>
  <si>
    <t>17-&gt;18</t>
  </si>
  <si>
    <t>18-&gt;19</t>
  </si>
  <si>
    <t>19-&gt;20</t>
  </si>
  <si>
    <t>20-&gt;21</t>
  </si>
  <si>
    <t>21-&gt;22</t>
  </si>
  <si>
    <t>22-&gt;23</t>
  </si>
  <si>
    <t>23-&gt;24</t>
  </si>
  <si>
    <t>24-&gt;25</t>
  </si>
  <si>
    <t>25-&gt;26</t>
  </si>
  <si>
    <t>26-&gt;27</t>
  </si>
  <si>
    <t>27-&gt;28</t>
  </si>
  <si>
    <t>28-&gt;29</t>
  </si>
  <si>
    <t>29-&gt;30</t>
  </si>
  <si>
    <t>30-&gt;31</t>
  </si>
  <si>
    <t>31-&gt;32</t>
  </si>
  <si>
    <t>32-&gt;33</t>
  </si>
  <si>
    <t>33-&gt;34</t>
  </si>
  <si>
    <t>34-&gt;35</t>
  </si>
  <si>
    <t>35-&gt;36</t>
  </si>
  <si>
    <t>36-&gt;37</t>
  </si>
  <si>
    <t>37-&gt;38</t>
  </si>
  <si>
    <t>38-&gt;39</t>
  </si>
  <si>
    <t>39-&gt;40</t>
  </si>
  <si>
    <t>40-&gt;41</t>
  </si>
  <si>
    <t>41-&gt;42</t>
  </si>
  <si>
    <t>42-&gt;43</t>
  </si>
  <si>
    <t>43-&gt;44</t>
  </si>
  <si>
    <t>44-&gt;45</t>
  </si>
  <si>
    <t>45-&gt;46</t>
  </si>
  <si>
    <t>46-&gt;47</t>
  </si>
  <si>
    <t>47-&gt;48</t>
  </si>
  <si>
    <t>48-&gt;49</t>
  </si>
  <si>
    <t>49-&gt;50</t>
  </si>
  <si>
    <t>50-&gt;51</t>
  </si>
  <si>
    <t>51-&gt;52</t>
  </si>
  <si>
    <t>52-&gt;53</t>
  </si>
  <si>
    <t>53-&gt;54</t>
  </si>
  <si>
    <t>54-&gt;55</t>
  </si>
  <si>
    <t>55-&gt;56</t>
  </si>
  <si>
    <t>56-&gt;57</t>
  </si>
  <si>
    <t>57-&gt;58</t>
  </si>
  <si>
    <t>58-&gt;59</t>
  </si>
  <si>
    <t>59-&gt;60</t>
  </si>
  <si>
    <t>60-&gt;61</t>
  </si>
  <si>
    <t>61-&gt;62</t>
  </si>
  <si>
    <t>62-&gt;63</t>
  </si>
  <si>
    <t>63-&gt;64</t>
  </si>
  <si>
    <t>64-&gt;65</t>
  </si>
  <si>
    <t>65-&gt;66</t>
  </si>
  <si>
    <t>66-&gt;67</t>
  </si>
  <si>
    <t>67-&gt;68</t>
  </si>
  <si>
    <t>68-&gt;69</t>
  </si>
  <si>
    <t>69-&gt;70</t>
  </si>
  <si>
    <t>70-&gt;71</t>
  </si>
  <si>
    <t>71-&gt;72</t>
  </si>
  <si>
    <t>71 POSITION-SPECIFIC TRANSITION COUNT MATRICES</t>
  </si>
  <si>
    <t>Rows = FROM base X; columns = TO base Y</t>
  </si>
  <si>
    <t>Transition 1 -&gt; 2</t>
  </si>
  <si>
    <t>FROM \ TO</t>
  </si>
  <si>
    <t>Row total</t>
  </si>
  <si>
    <t>Transition 2 -&gt; 3</t>
  </si>
  <si>
    <t>Transition 3 -&gt; 4</t>
  </si>
  <si>
    <t>Transition 4 -&gt; 5</t>
  </si>
  <si>
    <t>Transition 5 -&gt; 6</t>
  </si>
  <si>
    <t>Transition 6 -&gt; 7</t>
  </si>
  <si>
    <t>Transition 7 -&gt; 8</t>
  </si>
  <si>
    <t>Transition 8 -&gt; 9</t>
  </si>
  <si>
    <t>Transition 9 -&gt; 10</t>
  </si>
  <si>
    <t>Transition 10 -&gt; 11</t>
  </si>
  <si>
    <t>Transition 11 -&gt; 12</t>
  </si>
  <si>
    <t>Transition 12 -&gt; 13</t>
  </si>
  <si>
    <t>Transition 13 -&gt; 14</t>
  </si>
  <si>
    <t>Transition 14 -&gt; 15</t>
  </si>
  <si>
    <t>Transition 15 -&gt; 16</t>
  </si>
  <si>
    <t>Transition 16 -&gt; 17</t>
  </si>
  <si>
    <t>Transition 17 -&gt; 18</t>
  </si>
  <si>
    <t>Transition 18 -&gt; 19</t>
  </si>
  <si>
    <t>Transition 19 -&gt; 20</t>
  </si>
  <si>
    <t>Transition 20 -&gt; 21</t>
  </si>
  <si>
    <t>Transition 21 -&gt; 22</t>
  </si>
  <si>
    <t>Transition 22 -&gt; 23</t>
  </si>
  <si>
    <t>Transition 23 -&gt; 24</t>
  </si>
  <si>
    <t>Transition 24 -&gt; 25</t>
  </si>
  <si>
    <t>Transition 25 -&gt; 26</t>
  </si>
  <si>
    <t>Transition 26 -&gt; 27</t>
  </si>
  <si>
    <t>Transition 27 -&gt; 28</t>
  </si>
  <si>
    <t>Transition 28 -&gt; 29</t>
  </si>
  <si>
    <t>Transition 29 -&gt; 30</t>
  </si>
  <si>
    <t>Transition 30 -&gt; 31</t>
  </si>
  <si>
    <t>Transition 31 -&gt; 32</t>
  </si>
  <si>
    <t>Transition 32 -&gt; 33</t>
  </si>
  <si>
    <t>Transition 33 -&gt; 34</t>
  </si>
  <si>
    <t>Transition 34 -&gt; 35</t>
  </si>
  <si>
    <t>Transition 35 -&gt; 36</t>
  </si>
  <si>
    <t>Transition 36 -&gt; 37</t>
  </si>
  <si>
    <t>Transition 37 -&gt; 38</t>
  </si>
  <si>
    <t>Transition 38 -&gt; 39</t>
  </si>
  <si>
    <t>Transition 39 -&gt; 40</t>
  </si>
  <si>
    <t>Transition 40 -&gt; 41</t>
  </si>
  <si>
    <t>Transition 41 -&gt; 42</t>
  </si>
  <si>
    <t>Transition 42 -&gt; 43</t>
  </si>
  <si>
    <t>Transition 43 -&gt; 44</t>
  </si>
  <si>
    <t>Transition 44 -&gt; 45</t>
  </si>
  <si>
    <t>Transition 45 -&gt; 46</t>
  </si>
  <si>
    <t>Transition 46 -&gt; 47</t>
  </si>
  <si>
    <t>Transition 47 -&gt; 48</t>
  </si>
  <si>
    <t>Transition 48 -&gt; 49</t>
  </si>
  <si>
    <t>Transition 49 -&gt; 50</t>
  </si>
  <si>
    <t>Transition 50 -&gt; 51</t>
  </si>
  <si>
    <t>Transition 51 -&gt; 52</t>
  </si>
  <si>
    <t>Transition 52 -&gt; 53</t>
  </si>
  <si>
    <t>Transition 53 -&gt; 54</t>
  </si>
  <si>
    <t>Transition 54 -&gt; 55</t>
  </si>
  <si>
    <t>Transition 55 -&gt; 56</t>
  </si>
  <si>
    <t>Transition 56 -&gt; 57</t>
  </si>
  <si>
    <t>Transition 57 -&gt; 58</t>
  </si>
  <si>
    <t>Transition 58 -&gt; 59</t>
  </si>
  <si>
    <t>Transition 59 -&gt; 60</t>
  </si>
  <si>
    <t>Transition 60 -&gt; 61</t>
  </si>
  <si>
    <t>Transition 61 -&gt; 62</t>
  </si>
  <si>
    <t>Transition 62 -&gt; 63</t>
  </si>
  <si>
    <t>Transition 63 -&gt; 64</t>
  </si>
  <si>
    <t>Transition 64 -&gt; 65</t>
  </si>
  <si>
    <t>Transition 65 -&gt; 66</t>
  </si>
  <si>
    <t>Transition 66 -&gt; 67</t>
  </si>
  <si>
    <t>Transition 67 -&gt; 68</t>
  </si>
  <si>
    <t>Transition 68 -&gt; 69</t>
  </si>
  <si>
    <t>Transition 69 -&gt; 70</t>
  </si>
  <si>
    <t>Transition 70 -&gt; 71</t>
  </si>
  <si>
    <t>Transition 71 -&gt; 72</t>
  </si>
  <si>
    <t>71 POSITION-SPECIFIC TRANSITION PROBABILITY MATRICES (smoothed)</t>
  </si>
  <si>
    <t>Row sum</t>
  </si>
  <si>
    <t>9 PREDICTED CANDIDATES AND 13 RANDOMIZED-GENOME DECOYS — normalised to RNA. Missing shown as "-" and excluded.</t>
  </si>
  <si>
    <t>Decoy rows are shaded. Decoys were recovered by the same predictor from 50 randomized genome sequences and carry the same anticodons and types.</t>
  </si>
  <si>
    <t>ID</t>
  </si>
  <si>
    <t>Class</t>
  </si>
  <si>
    <t>Type</t>
  </si>
  <si>
    <t>Reported length</t>
  </si>
  <si>
    <t>Scored positions</t>
  </si>
  <si>
    <t>Gaps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</si>
  <si>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</si>
  <si>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</si>
  <si>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</si>
  <si>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</si>
  <si>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</si>
  <si>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</si>
  <si>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</si>
  <si>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</si>
  <si>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</si>
  <si>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</si>
  <si>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</si>
  <si>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</si>
  <si>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</si>
  <si>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</si>
  <si>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</si>
  <si>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</si>
  <si>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</si>
  <si>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</si>
  <si>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</si>
  <si>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</si>
  <si>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</si>
  <si>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</si>
  <si>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</si>
  <si>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</si>
  <si>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</si>
  <si>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</si>
  <si>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</si>
  <si>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</si>
  <si>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</si>
  <si>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</si>
  <si>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</si>
  <si>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</si>
  <si>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</si>
  <si>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</si>
  <si>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</si>
  <si>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</si>
  <si>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</si>
  <si>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</si>
  <si>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</si>
  <si>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</si>
  <si>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</si>
  <si>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</si>
  <si>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</si>
  <si>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</si>
  <si>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</si>
  <si>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</si>
  <si>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</si>
  <si>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</si>
  <si>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</si>
  <si>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</si>
  <si>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</si>
  <si>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</si>
  <si>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</si>
  <si>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</si>
  <si>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</si>
  <si>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</si>
  <si>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</si>
  <si>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</si>
  <si>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</si>
  <si>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</si>
  <si>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</si>
  <si>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</si>
  <si>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</si>
  <si>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</si>
  <si>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</si>
  <si>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</si>
  <si>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</si>
  <si>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</si>
  <si>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</si>
  <si>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</si>
  <si>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</si>
  <si>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</si>
  <si>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trna9</t>
  </si>
  <si>
    <t>PREDICTED</t>
  </si>
  <si>
    <t>Sup</t>
  </si>
  <si>
    <t>UUA</t>
  </si>
  <si>
    <t>trna20</t>
  </si>
  <si>
    <t>trna590</t>
  </si>
  <si>
    <t>trna958</t>
  </si>
  <si>
    <t>trna1091</t>
  </si>
  <si>
    <t>trna1395</t>
  </si>
  <si>
    <t>trna1470</t>
  </si>
  <si>
    <t>trna1</t>
  </si>
  <si>
    <t>Sec</t>
  </si>
  <si>
    <t>trna64</t>
  </si>
  <si>
    <t>R_5_18</t>
  </si>
  <si>
    <t>DECOY</t>
  </si>
  <si>
    <t>R_5_71</t>
  </si>
  <si>
    <t>R_7_43</t>
  </si>
  <si>
    <t>R_10_33</t>
  </si>
  <si>
    <t>R_18_105</t>
  </si>
  <si>
    <t>R_20_255</t>
  </si>
  <si>
    <t>R_26_624</t>
  </si>
  <si>
    <t>R_27_667</t>
  </si>
  <si>
    <t>R_28_773</t>
  </si>
  <si>
    <t>R_43_1746</t>
  </si>
  <si>
    <t>R_43_1753</t>
  </si>
  <si>
    <t>R_44_1837</t>
  </si>
  <si>
    <t>R_49_2131</t>
  </si>
  <si>
    <t>Domain</t>
  </si>
  <si>
    <t>Smoothed emission</t>
  </si>
  <si>
    <t>Background q</t>
  </si>
  <si>
    <t>ln(e/q)</t>
  </si>
  <si>
    <t>acceptor_stem_5p</t>
  </si>
  <si>
    <t>other</t>
  </si>
  <si>
    <t>D_arm</t>
  </si>
  <si>
    <t>anticodon_arm</t>
  </si>
  <si>
    <t>variable</t>
  </si>
  <si>
    <t>T_arm</t>
  </si>
  <si>
    <t>acceptor_stem_3p</t>
  </si>
  <si>
    <t>Scored?</t>
  </si>
  <si>
    <t>Background qd</t>
  </si>
  <si>
    <t>ln(t/qd)</t>
  </si>
  <si>
    <t>yes</t>
  </si>
  <si>
    <t>dropped (gap)</t>
  </si>
  <si>
    <t>SCORES FOR THE 9 PREDICTED CANDIDATES AND THE 13 DECOYS — computed by live formula</t>
  </si>
  <si>
    <t>Sorted by combined score, best first, both classes interleaved so the overlap is visible.</t>
  </si>
  <si>
    <t>Scored transitions</t>
  </si>
  <si>
    <t>Emission log-odds/pos</t>
  </si>
  <si>
    <t>Transition log-odds/step</t>
  </si>
  <si>
    <t>Anticodon at 34-36</t>
  </si>
  <si>
    <t>Anticodon OK?</t>
  </si>
  <si>
    <t>10/12</t>
  </si>
  <si>
    <t>5/5</t>
  </si>
  <si>
    <t>9/12</t>
  </si>
  <si>
    <t>4/5</t>
  </si>
  <si>
    <t>8/12</t>
  </si>
  <si>
    <t>2/5</t>
  </si>
  <si>
    <t>6/12</t>
  </si>
  <si>
    <t>1/5</t>
  </si>
  <si>
    <t>7/12</t>
  </si>
  <si>
    <t>3/5</t>
  </si>
  <si>
    <t>NO</t>
  </si>
  <si>
    <t>5/12</t>
  </si>
  <si>
    <t>n</t>
  </si>
  <si>
    <t>PREDICTED mean combined</t>
  </si>
  <si>
    <t>DECOY mean combined</t>
  </si>
  <si>
    <t>PREDICTED mean emission</t>
  </si>
  <si>
    <t>DECOY mean emission</t>
  </si>
  <si>
    <t>PREDICTED mean transition</t>
  </si>
  <si>
    <t>DECOY mean transition</t>
  </si>
  <si>
    <t>DECOY max combined</t>
  </si>
  <si>
    <t>entered as a value: a conditional MAX needs an array formula, which Excel 2007 handles differently</t>
  </si>
  <si>
    <t>PREDICTED max combined</t>
  </si>
  <si>
    <t>PREDICTED mean GC</t>
  </si>
  <si>
    <t>DECOY mean GC</t>
  </si>
  <si>
    <t>PREDICTED mean stem pairing</t>
  </si>
  <si>
    <t>DECOY mean stem pairing</t>
  </si>
  <si>
    <t>Corr(combined, GC) over all 22</t>
  </si>
  <si>
    <t>SET 2 — T-PSI-C OTHER (n=96): real tRNAs held out of the reference 200</t>
  </si>
  <si>
    <t>Positive control. Zero overlap with the reference. Scores computed in Python (blue).</t>
  </si>
  <si>
    <t>tRNA No</t>
  </si>
  <si>
    <t>Amino acid</t>
  </si>
  <si>
    <t>Anticodon</t>
  </si>
  <si>
    <t>tdbR00000271</t>
  </si>
  <si>
    <t>tdbR00000311</t>
  </si>
  <si>
    <t>tdbR00000500</t>
  </si>
  <si>
    <t>Ini</t>
  </si>
  <si>
    <t>tdbR00000001</t>
  </si>
  <si>
    <t>tdbR00000499</t>
  </si>
  <si>
    <t>tdbR00000380</t>
  </si>
  <si>
    <t>tdbR00000430</t>
  </si>
  <si>
    <t>tdbR00000446</t>
  </si>
  <si>
    <t>tdbR00000447</t>
  </si>
  <si>
    <t>tdbR00000448</t>
  </si>
  <si>
    <t>tdbR00000060</t>
  </si>
  <si>
    <t>tdbR00000147</t>
  </si>
  <si>
    <t>tdbR00000533</t>
  </si>
  <si>
    <t>tdbR00000202</t>
  </si>
  <si>
    <t>tdbR00000201</t>
  </si>
  <si>
    <t>tdbR00000095</t>
  </si>
  <si>
    <t>tdbR00000564</t>
  </si>
  <si>
    <t>tdbR00000473</t>
  </si>
  <si>
    <t>tdbR00000472</t>
  </si>
  <si>
    <t>tdbR00000474</t>
  </si>
  <si>
    <t>tdbR00000014</t>
  </si>
  <si>
    <t>AGC</t>
  </si>
  <si>
    <t>tdbR00000015</t>
  </si>
  <si>
    <t>tdbR00000173</t>
  </si>
  <si>
    <t>tdbR00000093</t>
  </si>
  <si>
    <t>tdbR00000094</t>
  </si>
  <si>
    <t>tdbR00000576</t>
  </si>
  <si>
    <t>tdbR00000573</t>
  </si>
  <si>
    <t>tdbR00000578</t>
  </si>
  <si>
    <t>tdbR00000577</t>
  </si>
  <si>
    <t>tdbR00000572</t>
  </si>
  <si>
    <t>tdbR00000575</t>
  </si>
  <si>
    <t>tdbR00000574</t>
  </si>
  <si>
    <t>tdbR00000204</t>
  </si>
  <si>
    <t>tdbR00000203</t>
  </si>
  <si>
    <t>tdbR00000205</t>
  </si>
  <si>
    <t>tdbR00000206</t>
  </si>
  <si>
    <t>tdbR00000563</t>
  </si>
  <si>
    <t>tdbR00000061</t>
  </si>
  <si>
    <t>tdbR00000174</t>
  </si>
  <si>
    <t>tdbR00000208</t>
  </si>
  <si>
    <t>tdbR00000100</t>
  </si>
  <si>
    <t>tdbR00000377</t>
  </si>
  <si>
    <t>tdbR00000378</t>
  </si>
  <si>
    <t>tdbR00000343</t>
  </si>
  <si>
    <t>tdbR00000344</t>
  </si>
  <si>
    <t>tdbR00000101</t>
  </si>
  <si>
    <t>tdbR00000537</t>
  </si>
  <si>
    <t>tdbR00000039</t>
  </si>
  <si>
    <t>tdbR00000532</t>
  </si>
  <si>
    <t>tdbR00000200</t>
  </si>
  <si>
    <t>tdbR00000198</t>
  </si>
  <si>
    <t>tdbR00000199</t>
  </si>
  <si>
    <t>tdbR00000287</t>
  </si>
  <si>
    <t>tdbR00000092</t>
  </si>
  <si>
    <t>tdbR00000471</t>
  </si>
  <si>
    <t>tdbR00000037</t>
  </si>
  <si>
    <t>tdbR00000469</t>
  </si>
  <si>
    <t>tdbR00000038</t>
  </si>
  <si>
    <t>tdbR00000341</t>
  </si>
  <si>
    <t>tdbR00000059</t>
  </si>
  <si>
    <t>tdbR00000197</t>
  </si>
  <si>
    <t>tdbR00000195</t>
  </si>
  <si>
    <t>tdbR00000196</t>
  </si>
  <si>
    <t>tdbR00000462</t>
  </si>
  <si>
    <t>tdbR00000120</t>
  </si>
  <si>
    <t>tdbR00000121</t>
  </si>
  <si>
    <t>tdbR00000141</t>
  </si>
  <si>
    <t>tdbR00000317</t>
  </si>
  <si>
    <t>tdbR00000318</t>
  </si>
  <si>
    <t>tdbR00000319</t>
  </si>
  <si>
    <t>tdbR00000337</t>
  </si>
  <si>
    <t>tdbR00000338</t>
  </si>
  <si>
    <t>tdbR00000339</t>
  </si>
  <si>
    <t>tdbR00000523</t>
  </si>
  <si>
    <t>tdbR00000503</t>
  </si>
  <si>
    <t>tdbR00000272</t>
  </si>
  <si>
    <t>tdbR00000025</t>
  </si>
  <si>
    <t>tdbR00000157</t>
  </si>
  <si>
    <t>tdbR00000508</t>
  </si>
  <si>
    <t>tdbR00000509</t>
  </si>
  <si>
    <t>tdbR00000275</t>
  </si>
  <si>
    <t>tdbR00000066</t>
  </si>
  <si>
    <t>tdbR00000016</t>
  </si>
  <si>
    <t>tdbR00000017</t>
  </si>
  <si>
    <t>tdbR00000345</t>
  </si>
  <si>
    <t>tdbR00000346</t>
  </si>
  <si>
    <t>tdbR00000062</t>
  </si>
  <si>
    <t>tdbR00000149</t>
  </si>
  <si>
    <t>tdbR00000289</t>
  </si>
  <si>
    <t>tdbR00000540</t>
  </si>
  <si>
    <t>tdbR00000103</t>
  </si>
  <si>
    <t>tdbR00000566</t>
  </si>
  <si>
    <t>tdbR00000567</t>
  </si>
  <si>
    <t>tdbR00001067</t>
  </si>
  <si>
    <t>tdbR00001091</t>
  </si>
  <si>
    <t>tdbR00001092</t>
  </si>
  <si>
    <t>Mean emission</t>
  </si>
  <si>
    <t>SD emission</t>
  </si>
  <si>
    <t>Mean transition</t>
  </si>
  <si>
    <t>SD transition</t>
  </si>
  <si>
    <t>Mean combined</t>
  </si>
  <si>
    <t>SD combined</t>
  </si>
  <si>
    <t>MIN combined</t>
  </si>
  <si>
    <t>MAX combined</t>
  </si>
  <si>
    <t>Mean stem pairing</t>
  </si>
  <si>
    <t>Mean invariant match</t>
  </si>
  <si>
    <t>Corr(emission, transition)</t>
  </si>
  <si>
    <t>SET 3 — MBSW ARCHAEAL MATURE tRNAs (n=62), tRNAscan-SE</t>
  </si>
  <si>
    <t>Second positive control, from the same archaeal species the candidates were predicted from.</t>
  </si>
  <si>
    <t>Urna No</t>
  </si>
  <si>
    <t>(no anticodon given)</t>
  </si>
  <si>
    <t>ALA</t>
  </si>
  <si>
    <t>ASN</t>
  </si>
  <si>
    <t>ASP</t>
  </si>
  <si>
    <t>GLU</t>
  </si>
  <si>
    <t>GLN</t>
  </si>
  <si>
    <t>GLY</t>
  </si>
  <si>
    <t>HIS</t>
  </si>
  <si>
    <t>ILE</t>
  </si>
  <si>
    <t>LEU</t>
  </si>
  <si>
    <t>MEU</t>
  </si>
  <si>
    <t>PHE</t>
  </si>
  <si>
    <t>SER</t>
  </si>
  <si>
    <t>UHR</t>
  </si>
  <si>
    <t>URP</t>
  </si>
  <si>
    <t>UYR</t>
  </si>
  <si>
    <t>VAL</t>
  </si>
  <si>
    <t>SET 1 — T-PSI-C REFERENCE (n=200), leave-one-out</t>
  </si>
  <si>
    <t>The model is built from these records; each is scored with its own counts removed.</t>
  </si>
  <si>
    <t>#</t>
  </si>
  <si>
    <t>tRNA id</t>
  </si>
  <si>
    <t>NULL A — COMPOSITION-MATCHED PERMUTATIONS OF SET 2 (n=960)</t>
  </si>
  <si>
    <t>Each set-2 tRNA's own bases randomly permuted across its own occupied positions, 10 replicates, seed 2026. The easy negative.</t>
  </si>
  <si>
    <t>Source tRNA</t>
  </si>
  <si>
    <t>Replicate</t>
  </si>
  <si>
    <t>MAX emission</t>
  </si>
  <si>
    <t>MAX transition</t>
  </si>
  <si>
    <t>Mean T-loop match</t>
  </si>
  <si>
    <t>COMPARISON OF ALL SIX SETS AGAINST THE SAME REFERENCE MODEL</t>
  </si>
  <si>
    <t>Set</t>
  </si>
  <si>
    <t>What it is</t>
  </si>
  <si>
    <t>Emission</t>
  </si>
  <si>
    <t>Transition</t>
  </si>
  <si>
    <t>Combined</t>
  </si>
  <si>
    <t>Min</t>
  </si>
  <si>
    <t>Max</t>
  </si>
  <si>
    <t>GC</t>
  </si>
  <si>
    <t>1. Reference 200</t>
  </si>
  <si>
    <t>T-Psi-C records the model is built from (leave-one-out)</t>
  </si>
  <si>
    <t>2. T-Psi-C OTHER 96</t>
  </si>
  <si>
    <t>Real tRNAs held out of the reference; positive control</t>
  </si>
  <si>
    <t>3. MBSW archaeal mature 62</t>
  </si>
  <si>
    <t>Mature archaeal tRNAs from the source species; positive control</t>
  </si>
  <si>
    <t>4. PREDICTED candidates</t>
  </si>
  <si>
    <t>Your 9 predicted split suppressor / selenocysteine tRNAs</t>
  </si>
  <si>
    <t>5. DECOY (randomized genome)</t>
  </si>
  <si>
    <t>Same predictor run on 50 randomized genomes; the HARD negative</t>
  </si>
  <si>
    <t>6. PERMUTATION null</t>
  </si>
  <si>
    <t>Scrambled set-2 tRNAs; the EASY negative</t>
  </si>
  <si>
    <t>matched to set 2</t>
  </si>
  <si>
    <t>READING</t>
  </si>
  <si>
    <t>All three real sets agree</t>
  </si>
  <si>
    <t>Reference +0.507, OTHER +0.494, MBSW archaeal +0.423. The model generalises across taxa and across independent prediction methods.</t>
  </si>
  <si>
    <t>Predicted and decoy nearly coincide</t>
  </si>
  <si>
    <t>Predicted -0.272 against decoy -0.340. The two distributions overlap heavily: 7 of the 9 predicted candidates fall inside the decoy range. This is the central negative finding.</t>
  </si>
  <si>
    <t>The easy null is far lower</t>
  </si>
  <si>
    <t>The permutation null sits at -0.603. Judged against that null the candidates looked clearly better than chance; judged against the decoys they do not.</t>
  </si>
  <si>
    <t>Identity features favour the decoys</t>
  </si>
  <si>
    <t>Decoy invariant match 0.667 against predicted 0.602, decoy T-loop 0.631 against predicted 0.556. These features cannot support the candidates.</t>
  </si>
  <si>
    <t>Stem pairing is saturated</t>
  </si>
  <si>
    <t>Predicted 0.915, decoy 0.919, real 0.96-0.98, null 0.400. The predictor selects for folding, so both candidate sets fold and pairing cannot discriminate between them.</t>
  </si>
  <si>
    <t>THE DECISIVE TEST — DO THE 9 PREDICTED SEPARATE FROM THE 13 RANDOMIZED-GENOME DECOYS?</t>
  </si>
  <si>
    <t>Mann-Whitney U, two-sided, normal approximation with tie correction. AUC is the probability that a randomly chosen predicted candidate outranks a randomly chosen decoy; 0.5 means no discrimination.</t>
  </si>
  <si>
    <t>Measure</t>
  </si>
  <si>
    <t>Predicted mean</t>
  </si>
  <si>
    <t>Decoy mean</t>
  </si>
  <si>
    <t>z</t>
  </si>
  <si>
    <t>p</t>
  </si>
  <si>
    <t>AUC</t>
  </si>
  <si>
    <t>Verdict</t>
  </si>
  <si>
    <t>Emission log-odds / position</t>
  </si>
  <si>
    <t>no discrimination</t>
  </si>
  <si>
    <t>Transition log-odds / step</t>
  </si>
  <si>
    <t>weak / not significant</t>
  </si>
  <si>
    <t>Stem pairing fraction</t>
  </si>
  <si>
    <t>runs the WRONG way (decoys score higher)</t>
  </si>
  <si>
    <t>Invariant match fraction</t>
  </si>
  <si>
    <t>T-loop match fraction</t>
  </si>
  <si>
    <t>Acceptor stem paired fraction</t>
  </si>
  <si>
    <t>GC content (72 slots)</t>
  </si>
  <si>
    <t>separates (p&lt;0.05)</t>
  </si>
  <si>
    <t>GC content in stems</t>
  </si>
  <si>
    <t>GC-ADJUSTED TEST — is the gap anything more than base composition?</t>
  </si>
  <si>
    <t>Correlation combined score with GC, across all 22</t>
  </si>
  <si>
    <t>Correlation GC with class label (predicted=1, decoy=0)</t>
  </si>
  <si>
    <t>Correlation combined score with class label</t>
  </si>
  <si>
    <t>Regression slope of combined score on GC</t>
  </si>
  <si>
    <t>Mean GC-adjusted residual, PREDICTED</t>
  </si>
  <si>
    <t>Mean GC-adjusted residual, DECOY</t>
  </si>
  <si>
    <t>Mann-Whitney U on residuals</t>
  </si>
  <si>
    <t>z on residuals</t>
  </si>
  <si>
    <t>p on residuals</t>
  </si>
  <si>
    <t>AUC on residuals</t>
  </si>
  <si>
    <t>CONCLUSION</t>
  </si>
  <si>
    <t>GC content alone separates predicted from decoy with AUC 0.859 (p = 0.005), better than the combined score does (AUC 0.624, p = 0.333). Once the linear GC effect is removed from the combined score the difference between the two classes vanishes entirely: residual means -0.0035 against +0.0024, p = 0.973, AUC = 0.496. The positional emission and transition model therefore adds nothing beyond base composition for the task of telling a predicted candidate from a randomized-genome decoy. Note that the decoy GC range is 0.211 to 0.451 while real tRNAs average 0.598, so GC is itself a biologically meaningful signal (stable stems need GC) and not merely a nuisance. The honest statement is that GC, not the positional model, is doing the discriminating work.</t>
  </si>
  <si>
    <t>POWER LIMIT</t>
  </si>
  <si>
    <t>With 13 decoys the smallest empirical p obtainable is 1/(13+1) = 0.0714. No candidate can reach p &lt; 0.05 against this null however strong it is, and the two best candidates both sit exactly at that floor. Reaching p &lt; 0.01 needs at least 99 decoys; at the observed yield of 0.26 decoys per randomized genome that is roughly 380 randomized genomes. The more informative experiment is a GC-matched decoy set, because GC is where the separation currently comes from.</t>
  </si>
  <si>
    <t>THRESHOLD — RECALIBRATED AGAINST BOTH NULLS</t>
  </si>
  <si>
    <t>Positives = 158 real tRNAs (set 2 + set 3). Two negative classes are used: the easy permutation null (n=960) and the realistic randomized-genome decoys (n=13).</t>
  </si>
  <si>
    <t>Score</t>
  </si>
  <si>
    <t>Negative class</t>
  </si>
  <si>
    <t>n neg</t>
  </si>
  <si>
    <t>Highest negative</t>
  </si>
  <si>
    <t>Lowest positive</t>
  </si>
  <si>
    <t>Band width</t>
  </si>
  <si>
    <t>RECOMMENDED cut</t>
  </si>
  <si>
    <t>Predicted above</t>
  </si>
  <si>
    <t>Predicted below</t>
  </si>
  <si>
    <t>Permutation null (easy)</t>
  </si>
  <si>
    <t>Randomized-genome decoys (hard)</t>
  </si>
  <si>
    <t>HEADLINE — combined score against the realistic decoy null</t>
  </si>
  <si>
    <t>Decoy maximum</t>
  </si>
  <si>
    <t>no decoy scored above this</t>
  </si>
  <si>
    <t>Weakest of the 158 real tRNAs</t>
  </si>
  <si>
    <t>lower edge of the real range</t>
  </si>
  <si>
    <t>RECOMMENDED CUT (midpoint)</t>
  </si>
  <si>
    <t>ABOVE = tRNA-like beyond what the predictor finds in randomized genome; BELOW = not distinguishable from a decoy</t>
  </si>
  <si>
    <t>Candidates above the cut</t>
  </si>
  <si>
    <t>of 9</t>
  </si>
  <si>
    <t>Candidates inside the decoy range</t>
  </si>
  <si>
    <t>v4 cut against the easy null</t>
  </si>
  <si>
    <t>superseded: the decoy-calibrated cut is stricter and more realistic</t>
  </si>
  <si>
    <t>FEATURE-BY-FEATURE DISCRIMINATION POWER</t>
  </si>
  <si>
    <t>Two AUCs per feature: real-vs-decoy shows whether the feature identifies a real tRNA at all; predicted-vs-decoy shows whether it supports YOUR candidates specifically. A feature can be excellent at the first and useless at the second.</t>
  </si>
  <si>
    <t>Feature</t>
  </si>
  <si>
    <t>Real 158</t>
  </si>
  <si>
    <t>Predicted 9</t>
  </si>
  <si>
    <t>Decoy 13</t>
  </si>
  <si>
    <t>Permutation null</t>
  </si>
  <si>
    <t>AUC real vs decoy</t>
  </si>
  <si>
    <t>AUC predicted vs decoy</t>
  </si>
  <si>
    <t>p predicted vs decoy</t>
  </si>
  <si>
    <t>Usable to support the candidates?</t>
  </si>
  <si>
    <t>no — not significant</t>
  </si>
  <si>
    <t>Emission log-odds</t>
  </si>
  <si>
    <t>Transition log-odds</t>
  </si>
  <si>
    <t>NO — favours the decoys</t>
  </si>
  <si>
    <t>n/a</t>
  </si>
  <si>
    <t>YES</t>
  </si>
  <si>
    <t>Levitt pair G15:C48</t>
  </si>
  <si>
    <t>Purine at position 37</t>
  </si>
  <si>
    <t>ANTICODON PRESENCE CHECK (positions 34-36 against the declared anticodon)</t>
  </si>
  <si>
    <t>Anticodon present at 34-36</t>
  </si>
  <si>
    <t>Fraction</t>
  </si>
  <si>
    <t>T-Psi-C OTHER 96 (real)</t>
  </si>
  <si>
    <t>validates the check on real data</t>
  </si>
  <si>
    <t>PREDICTED 9</t>
  </si>
  <si>
    <t>all present</t>
  </si>
  <si>
    <t>DECOY 13</t>
  </si>
  <si>
    <t>nearly all present</t>
  </si>
  <si>
    <t>The anticodon check passes on 96/96 real tRNAs, so it is a correct test. It passes on 9/9 predicted and 12/13 decoys, so it cannot discriminate between them: the predictor places the anticodon by construction.</t>
  </si>
  <si>
    <t>CONSERVED / SEMI-INVARIANT POSITIONS ACROSS ALL SETS</t>
  </si>
  <si>
    <t>Expected</t>
  </si>
  <si>
    <t>Reference share</t>
  </si>
  <si>
    <t>Set2 OTHER</t>
  </si>
  <si>
    <t>Set3 MBSW</t>
  </si>
  <si>
    <t>Null expectation</t>
  </si>
  <si>
    <t>Decoy beats predicted?</t>
  </si>
  <si>
    <t>96/96</t>
  </si>
  <si>
    <t>62/62</t>
  </si>
  <si>
    <t>9/9</t>
  </si>
  <si>
    <t>13/13</t>
  </si>
  <si>
    <t>equal</t>
  </si>
  <si>
    <t>6/9</t>
  </si>
  <si>
    <t>7/13</t>
  </si>
  <si>
    <t>predicted higher</t>
  </si>
  <si>
    <t>95/96</t>
  </si>
  <si>
    <t>55/62</t>
  </si>
  <si>
    <t>0/9</t>
  </si>
  <si>
    <t>6/13</t>
  </si>
  <si>
    <t>DECOY higher</t>
  </si>
  <si>
    <t>89/96</t>
  </si>
  <si>
    <t>61/62</t>
  </si>
  <si>
    <t>10/13</t>
  </si>
  <si>
    <t>82/96</t>
  </si>
  <si>
    <t>57/62</t>
  </si>
  <si>
    <t>1/9</t>
  </si>
  <si>
    <t>1/13</t>
  </si>
  <si>
    <t>94/95</t>
  </si>
  <si>
    <t>60/62</t>
  </si>
  <si>
    <t>87/96</t>
  </si>
  <si>
    <t>4/9</t>
  </si>
  <si>
    <t>8/13</t>
  </si>
  <si>
    <t>7/9</t>
  </si>
  <si>
    <t>94/96</t>
  </si>
  <si>
    <t>67/96</t>
  </si>
  <si>
    <t>44/62</t>
  </si>
  <si>
    <t>2/9</t>
  </si>
  <si>
    <t>4/13</t>
  </si>
  <si>
    <t>3/9</t>
  </si>
  <si>
    <t>Totals</t>
  </si>
  <si>
    <t>1083/1150 = 94.2%</t>
  </si>
  <si>
    <t>708/744 = 95.2%</t>
  </si>
  <si>
    <t>65/108 = 60.2%</t>
  </si>
  <si>
    <t>104/156 = 66.7%</t>
  </si>
  <si>
    <t>The decoys match the conserved positions as often as or more often than the predicted candidates at most positions. The identity set therefore provides no support for the candidates over randomized-genome hits.</t>
  </si>
  <si>
    <t>PER-POSITION LOG-ODDS: REAL vs PREDICTED vs DECOY</t>
  </si>
  <si>
    <t>Sorted by the real-minus-predicted deficit. The decoy column shows whether the candidates are also short of the decoys at that position.</t>
  </si>
  <si>
    <t>Consensus</t>
  </si>
  <si>
    <t>Consensus share</t>
  </si>
  <si>
    <t>Real log-odds</t>
  </si>
  <si>
    <t>Predicted log-odds</t>
  </si>
  <si>
    <t>Decoy log-odds</t>
  </si>
  <si>
    <t>Real - Predicted</t>
  </si>
  <si>
    <t>Predicted - Decoy</t>
  </si>
  <si>
    <t>SUMMARY TABLE — STATUS OF THE 9 PREDICTED CANDIDATES AGAINST THE REALISTIC NEGATIVE CONTROL</t>
  </si>
  <si>
    <t>Decoy-calibrated cut = -0.0795. Decoy maximum = -0.1879. Weakest real tRNA = +0.0288. Smallest attainable p against 13 decoys = 0.0714, so no candidate can reach p&lt;0.05 against this null.</t>
  </si>
  <si>
    <t>Candidate</t>
  </si>
  <si>
    <t>Length</t>
  </si>
  <si>
    <t>COMBINED SCORE</t>
  </si>
  <si>
    <t>z vs real tRNAs</t>
  </si>
  <si>
    <t>p vs permutation null</t>
  </si>
  <si>
    <t>p vs decoy null</t>
  </si>
  <si>
    <t>Above decoy maximum?</t>
  </si>
  <si>
    <t>Clears decoy-calibrated cut?</t>
  </si>
  <si>
    <t>Levitt G15:C48</t>
  </si>
  <si>
    <t>GC above decoy range?</t>
  </si>
  <si>
    <t>GC% as supplied</t>
  </si>
  <si>
    <t>MFE kcal/mol</t>
  </si>
  <si>
    <t>Ensemble dG</t>
  </si>
  <si>
    <t>STATUS</t>
  </si>
  <si>
    <t>19/21</t>
  </si>
  <si>
    <t>SUPPORTED</t>
  </si>
  <si>
    <t>no</t>
  </si>
  <si>
    <t>BORDERLINE</t>
  </si>
  <si>
    <t>NOT SUPPORTED</t>
  </si>
  <si>
    <t>20/21</t>
  </si>
  <si>
    <t>BENCHMARKS</t>
  </si>
  <si>
    <t>Benchmark</t>
  </si>
  <si>
    <t>Real tRNAs, 158 (sets 2+3) mean</t>
  </si>
  <si>
    <t>Weakest real tRNA</t>
  </si>
  <si>
    <t>DECOY-CALIBRATED CUT</t>
  </si>
  <si>
    <t>Decoy 13 mean</t>
  </si>
  <si>
    <t>Permutation null 960 mean</t>
  </si>
  <si>
    <t>matched</t>
  </si>
  <si>
    <t>STATUS KEY</t>
  </si>
  <si>
    <t>Above every decoy AND above the decoy-calibrated cut. The only status that survives the hard negative control.</t>
  </si>
  <si>
    <t>Above every decoy but below the cut. Better than anything the predictor found in randomized genome, yet still outside the real-tRNA range.</t>
  </si>
  <si>
    <t>Inside the decoy range. Indistinguishable from what the same predictor returns from randomized genome, so sequence evidence cannot support it.</t>
  </si>
  <si>
    <t>OUTCOME</t>
  </si>
  <si>
    <t>trna1091, trna1395, trna1, trna20, trna9, trna590, trna1470</t>
  </si>
  <si>
    <t>CAVEAT ON trna64</t>
  </si>
  <si>
    <t>trna64 is the one candidate that clears every test, but its GC content (0.648) lies above the entire decoy GC range (0.211 to 0.451). Because GC is the feature that separates predicted from decoy, and because the positional model adds nothing once GC is controlled for, part of trna64's advantage may be compositional rather than structural. A GC-matched decoy set is needed to settle this. Its supporting evidence is nonetheless the strongest in the set: 10/12 invariants, 5/5 T-loop, 19/21 stem pairs, and a combined score inside the real-tRNA range.</t>
  </si>
  <si>
    <t>CORRELATION AMONG THE VALUE SETS, ACROSS EVERY DATA SET</t>
  </si>
  <si>
    <t>The value sets are: emission log-odds, transition log-odds, and the structural measures (stem pairing, invariant match).</t>
  </si>
  <si>
    <t>Data set</t>
  </si>
  <si>
    <t>emission ~ transition</t>
  </si>
  <si>
    <t>emission ~ stem pairing</t>
  </si>
  <si>
    <t>emission ~ invariants</t>
  </si>
  <si>
    <t>stem pairing ~ invariants</t>
  </si>
  <si>
    <t>Reading</t>
  </si>
  <si>
    <t>Emission and transition are near-redundant: they read the same positional model. Report one as primary; treating both as independent evidence double-counts.</t>
  </si>
  <si>
    <t>Pairing correlation collapses to near zero: in real tRNAs pairing is uniformly high and carries almost no discriminating variance.</t>
  </si>
  <si>
    <t>3. MBSW archaeal 62</t>
  </si>
  <si>
    <t>Same pattern in an independently predicted mature-tRNA set.</t>
  </si>
  <si>
    <t>4. PREDICTED 9</t>
  </si>
  <si>
    <t>Within the candidates the score tracks the invariant match strongly and pairing negatively: what score they have comes from surviving identity nucleotides, not from foldability.</t>
  </si>
  <si>
    <t>5. DECOY 13</t>
  </si>
  <si>
    <t>The decoys show the same internal structure as the candidates, which is why no single feature separates the two groups.</t>
  </si>
  <si>
    <t>6. PERMUTATION null 960</t>
  </si>
  <si>
    <t>emission~transition falls to about +0.51 once positional order is destroyed, showing the high correlation in real tRNAs comes from shared positional signal rather than from the scoring arithmetic.</t>
  </si>
  <si>
    <t>CANDIDATE-ONLY CORRELATIONS WITH THE SUPPLIED ANNOTATIONS</t>
  </si>
  <si>
    <t>Comparison</t>
  </si>
  <si>
    <t>Pearson r</t>
  </si>
  <si>
    <t>combined score ~ supplied GC%</t>
  </si>
  <si>
    <t>Much of the spread among the candidates is base composition.</t>
  </si>
  <si>
    <t>combined score ~ supplied MFE</t>
  </si>
  <si>
    <t>Negative: more stable folds score higher.</t>
  </si>
  <si>
    <t>supplied GC% ~ supplied MFE</t>
  </si>
  <si>
    <t>Strong. The free energy is largely tracking GC, so MFE is not independent evidence of foldability and should not be quoted as a separate line of support.</t>
  </si>
  <si>
    <t>RECALCULATION AND DATA INTEGRITY</t>
  </si>
  <si>
    <t>Checks marked "formula vs independent" compare a live spreadsheet result against the same quantity computed independently in Python. These are the checks that catch a mis-pointed reference.</t>
  </si>
  <si>
    <t>Check</t>
  </si>
  <si>
    <t>Computed</t>
  </si>
  <si>
    <t>Pass?</t>
  </si>
  <si>
    <t>Reference records</t>
  </si>
  <si>
    <t>Positions in model</t>
  </si>
  <si>
    <t>Transitions in model</t>
  </si>
  <si>
    <t>Emission probability rows</t>
  </si>
  <si>
    <t>Transition probability rows</t>
  </si>
  <si>
    <t>Positions with zero valid bases</t>
  </si>
  <si>
    <t>Horizontal frequency check = 200 everywhere</t>
  </si>
  <si>
    <t>Vertical frequency check = 200 everywhere</t>
  </si>
  <si>
    <t>Min smoothed emission column sum</t>
  </si>
  <si>
    <t>Max smoothed emission column sum</t>
  </si>
  <si>
    <t>Min raw emission column sum</t>
  </si>
  <si>
    <t>Max raw emission column sum</t>
  </si>
  <si>
    <t>Min transition row sum</t>
  </si>
  <si>
    <t>Max transition row sum</t>
  </si>
  <si>
    <t>Background base p sums to 1</t>
  </si>
  <si>
    <t>Background dinucleotide rows sum to 4</t>
  </si>
  <si>
    <t>Background dinucleotide total = transition count total</t>
  </si>
  <si>
    <t>Set 2 sequences</t>
  </si>
  <si>
    <t>Set 3 sequences</t>
  </si>
  <si>
    <t>Candidates + decoys scored</t>
  </si>
  <si>
    <t>Of which PREDICTED</t>
  </si>
  <si>
    <t>Of which DECOY</t>
  </si>
  <si>
    <t>Cand+decoy emission cells scored</t>
  </si>
  <si>
    <t>Cand+decoy transitions scored</t>
  </si>
  <si>
    <t>Cand+decoy transitions dropped at gaps</t>
  </si>
  <si>
    <t>Permutation null size</t>
  </si>
  <si>
    <t>Total real tRNAs used as positives</t>
  </si>
  <si>
    <t>formula vs independent: PREDICTED mean emission</t>
  </si>
  <si>
    <t>formula vs independent: PREDICTED mean transition</t>
  </si>
  <si>
    <t>formula vs independent: PREDICTED mean combined</t>
  </si>
  <si>
    <t>formula vs independent: DECOY mean emission</t>
  </si>
  <si>
    <t>formula vs independent: DECOY mean transition</t>
  </si>
  <si>
    <t>formula vs independent: DECOY mean combined</t>
  </si>
  <si>
    <t>formula vs independent: PREDICTED mean GC</t>
  </si>
  <si>
    <t>formula vs independent: DECOY mean GC</t>
  </si>
  <si>
    <t>formula vs independent: corr(combined,GC) over 22</t>
  </si>
  <si>
    <t>Decoy max below weakest real tRNA</t>
  </si>
  <si>
    <t>Summary table rows</t>
  </si>
  <si>
    <t>Final status</t>
  </si>
  <si>
    <t>Excel 2007 compatibility: every function used here (SUM, AVERAGE, MIN, MAX, ROUND, ABS, IF, ISNUMBER, LN, INDEX, MATCH, CORREL, STDEVP, SUMIF, SUMIFS, COUNTA, COUNTIF, COUNTIFS, AVERAGEIFS) exists in Excel 2007. No array formula, no structured table and no post-2007 function is present.</t>
  </si>
</sst>
</file>

<file path=xl/styles.xml><?xml version="1.0" encoding="utf-8"?>
<styleSheet xmlns="http://schemas.openxmlformats.org/spreadsheetml/2006/main">
  <numFmts count="3">
    <numFmt numFmtId="164" formatCode="0.000000"/>
    <numFmt numFmtId="165" formatCode="0.0000"/>
    <numFmt numFmtId="166" formatCode="0.000"/>
  </numFmts>
  <fonts count="6">
    <font>
      <sz val="11"/>
      <color theme="1"/>
      <name val="Calibri"/>
      <family val="2"/>
      <charset val="1"/>
    </font>
    <font>
      <b/>
      <sz val="12"/>
      <name val="Arial"/>
      <charset val="1"/>
    </font>
    <font>
      <sz val="10"/>
      <name val="Arial"/>
      <charset val="1"/>
    </font>
    <font>
      <b/>
      <sz val="10"/>
      <name val="Arial"/>
      <charset val="1"/>
    </font>
    <font>
      <sz val="10"/>
      <color rgb="FF0000FF"/>
      <name val="Arial"/>
      <charset val="1"/>
    </font>
    <font>
      <b/>
      <sz val="10"/>
      <color rgb="FFFFFFFF"/>
      <name val="Arial"/>
      <charset val="1"/>
    </font>
  </fonts>
  <fills count="10">
    <fill>
      <patternFill patternType="none"/>
    </fill>
    <fill>
      <patternFill patternType="gray125"/>
    </fill>
    <fill>
      <patternFill patternType="solid">
        <fgColor rgb="FFFFF2CC"/>
        <bgColor rgb="FFFCE5CD"/>
      </patternFill>
    </fill>
    <fill>
      <patternFill patternType="solid">
        <fgColor rgb="FFF4CCCC"/>
        <bgColor rgb="FFFCE5CD"/>
      </patternFill>
    </fill>
    <fill>
      <patternFill patternType="solid">
        <fgColor rgb="FFD9EAD3"/>
        <bgColor rgb="FFDDE6F0"/>
      </patternFill>
    </fill>
    <fill>
      <patternFill patternType="solid">
        <fgColor rgb="FFDDE6F0"/>
        <bgColor rgb="FFD9EAD3"/>
      </patternFill>
    </fill>
    <fill>
      <patternFill patternType="solid">
        <fgColor rgb="FFEFEFEF"/>
        <bgColor rgb="FFDDE6F0"/>
      </patternFill>
    </fill>
    <fill>
      <patternFill patternType="solid">
        <fgColor rgb="FFFCE5CD"/>
        <bgColor rgb="FFFFF2CC"/>
      </patternFill>
    </fill>
    <fill>
      <patternFill patternType="solid">
        <fgColor rgb="FF38761D"/>
        <bgColor rgb="FF339966"/>
      </patternFill>
    </fill>
    <fill>
      <patternFill patternType="solid">
        <fgColor rgb="FF990000"/>
        <bgColor rgb="FF8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2" fillId="0" borderId="0" xfId="0" applyFont="1" applyBorder="1" applyAlignment="1">
      <alignment vertical="top" wrapText="1"/>
    </xf>
    <xf numFmtId="0" fontId="1" fillId="0" borderId="0" xfId="0" applyFont="1"/>
    <xf numFmtId="0" fontId="2" fillId="0" borderId="0" xfId="0" applyFont="1" applyAlignment="1">
      <alignment vertical="top" wrapText="1"/>
    </xf>
    <xf numFmtId="0" fontId="2" fillId="0" borderId="0" xfId="0" applyFont="1"/>
    <xf numFmtId="0" fontId="3" fillId="0" borderId="0" xfId="0" applyFont="1"/>
    <xf numFmtId="0" fontId="2"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3" fillId="5" borderId="1" xfId="0" applyFont="1" applyFill="1" applyBorder="1" applyAlignment="1">
      <alignment horizontal="center" wrapText="1"/>
    </xf>
    <xf numFmtId="0" fontId="2" fillId="2" borderId="0" xfId="0" applyFont="1" applyFill="1"/>
    <xf numFmtId="0" fontId="3" fillId="5" borderId="0" xfId="0" applyFont="1" applyFill="1"/>
    <xf numFmtId="0" fontId="4" fillId="0" borderId="0" xfId="0" applyFont="1"/>
    <xf numFmtId="9" fontId="2" fillId="0" borderId="0" xfId="0" applyNumberFormat="1" applyFont="1"/>
    <xf numFmtId="164" fontId="2" fillId="0" borderId="0" xfId="0" applyNumberFormat="1" applyFont="1"/>
    <xf numFmtId="165" fontId="3" fillId="0" borderId="0" xfId="0" applyNumberFormat="1" applyFont="1"/>
    <xf numFmtId="0" fontId="2" fillId="6" borderId="0" xfId="0" applyFont="1" applyFill="1"/>
    <xf numFmtId="165" fontId="2" fillId="0" borderId="0" xfId="0" applyNumberFormat="1" applyFont="1"/>
    <xf numFmtId="166" fontId="4" fillId="0" borderId="0" xfId="0" applyNumberFormat="1" applyFont="1"/>
    <xf numFmtId="166" fontId="4" fillId="6" borderId="0" xfId="0" applyNumberFormat="1" applyFont="1" applyFill="1"/>
    <xf numFmtId="165" fontId="2" fillId="6" borderId="0" xfId="0" applyNumberFormat="1" applyFont="1" applyFill="1"/>
    <xf numFmtId="165" fontId="4" fillId="0" borderId="0" xfId="0" applyNumberFormat="1" applyFont="1"/>
    <xf numFmtId="0" fontId="3" fillId="7" borderId="0" xfId="0" applyFont="1" applyFill="1"/>
    <xf numFmtId="0" fontId="2" fillId="7" borderId="0" xfId="0" applyFont="1" applyFill="1" applyAlignment="1">
      <alignment vertical="top" wrapText="1"/>
    </xf>
    <xf numFmtId="0" fontId="2" fillId="7" borderId="0" xfId="0" applyFont="1" applyFill="1"/>
    <xf numFmtId="165" fontId="2" fillId="7" borderId="0" xfId="0" applyNumberFormat="1" applyFont="1" applyFill="1"/>
    <xf numFmtId="165" fontId="4" fillId="7" borderId="0" xfId="0" applyNumberFormat="1" applyFont="1" applyFill="1"/>
    <xf numFmtId="0" fontId="3" fillId="3" borderId="0" xfId="0" applyFont="1" applyFill="1"/>
    <xf numFmtId="0" fontId="2" fillId="3" borderId="0" xfId="0" applyFont="1" applyFill="1"/>
    <xf numFmtId="165" fontId="2" fillId="3" borderId="0" xfId="0" applyNumberFormat="1" applyFont="1" applyFill="1"/>
    <xf numFmtId="165" fontId="4" fillId="3" borderId="0" xfId="0" applyNumberFormat="1" applyFont="1" applyFill="1"/>
    <xf numFmtId="0" fontId="2" fillId="4" borderId="0" xfId="0" applyFont="1" applyFill="1"/>
    <xf numFmtId="166" fontId="4" fillId="3" borderId="0" xfId="0" applyNumberFormat="1" applyFont="1" applyFill="1"/>
    <xf numFmtId="0" fontId="3" fillId="4" borderId="0" xfId="0" applyFont="1" applyFill="1"/>
    <xf numFmtId="165" fontId="4" fillId="4" borderId="0" xfId="0" applyNumberFormat="1" applyFont="1" applyFill="1"/>
    <xf numFmtId="9" fontId="4" fillId="0" borderId="0" xfId="0" applyNumberFormat="1" applyFont="1"/>
    <xf numFmtId="0" fontId="2" fillId="0" borderId="0" xfId="0" applyFont="1" applyAlignment="1">
      <alignment horizontal="center"/>
    </xf>
    <xf numFmtId="9" fontId="4" fillId="2" borderId="0" xfId="0" applyNumberFormat="1" applyFont="1" applyFill="1"/>
    <xf numFmtId="166" fontId="4" fillId="2" borderId="0" xfId="0" applyNumberFormat="1" applyFont="1" applyFill="1"/>
    <xf numFmtId="166" fontId="2" fillId="0" borderId="0" xfId="0" applyNumberFormat="1" applyFont="1"/>
    <xf numFmtId="2" fontId="2" fillId="0" borderId="0" xfId="0" applyNumberFormat="1" applyFont="1"/>
    <xf numFmtId="0" fontId="2" fillId="4" borderId="0" xfId="0" applyFont="1" applyFill="1" applyAlignment="1">
      <alignment horizontal="center"/>
    </xf>
    <xf numFmtId="2" fontId="5" fillId="8" borderId="0" xfId="0" applyNumberFormat="1" applyFont="1" applyFill="1" applyAlignment="1">
      <alignment horizontal="center"/>
    </xf>
    <xf numFmtId="0" fontId="2" fillId="3" borderId="0" xfId="0" applyFont="1" applyFill="1" applyAlignment="1">
      <alignment horizontal="center"/>
    </xf>
    <xf numFmtId="2" fontId="3" fillId="7" borderId="0" xfId="0" applyNumberFormat="1" applyFont="1" applyFill="1" applyAlignment="1">
      <alignment horizontal="center"/>
    </xf>
    <xf numFmtId="2" fontId="5" fillId="9" borderId="0" xfId="0" applyNumberFormat="1" applyFont="1" applyFill="1" applyAlignment="1">
      <alignment horizontal="center"/>
    </xf>
    <xf numFmtId="0" fontId="5" fillId="8" borderId="0" xfId="0" applyFont="1" applyFill="1" applyAlignment="1">
      <alignment horizontal="center"/>
    </xf>
    <xf numFmtId="0" fontId="3" fillId="7" borderId="0" xfId="0" applyFont="1" applyFill="1" applyAlignment="1">
      <alignment horizontal="center"/>
    </xf>
    <xf numFmtId="0" fontId="5" fillId="9" borderId="0" xfId="0" applyFont="1" applyFill="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990000"/>
      <rgbColor rgb="FF38761D"/>
      <rgbColor rgb="FF000080"/>
      <rgbColor rgb="FF808000"/>
      <rgbColor rgb="FF800080"/>
      <rgbColor rgb="FF008080"/>
      <rgbColor rgb="FFBFBFBF"/>
      <rgbColor rgb="FF808080"/>
      <rgbColor rgb="FF9999FF"/>
      <rgbColor rgb="FF993366"/>
      <rgbColor rgb="FFFFF2CC"/>
      <rgbColor rgb="FFDDE6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FEFE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3"/>
  <sheetViews>
    <sheetView topLeftCell="A34" workbookViewId="0"/>
  </sheetViews>
  <sheetFormatPr defaultColWidth="8.7109375" defaultRowHeight="15"/>
  <cols>
    <col min="1" max="1" width="34" customWidth="1"/>
    <col min="2" max="2" width="120" customWidth="1"/>
  </cols>
  <sheetData>
    <row r="1" spans="1:2" ht="15.75">
      <c r="A1" s="2" t="s">
        <v>0</v>
      </c>
      <c r="B1" s="3"/>
    </row>
    <row r="2" spans="1:2">
      <c r="A2" s="4"/>
      <c r="B2" s="3"/>
    </row>
    <row r="3" spans="1:2">
      <c r="A3" s="5" t="s">
        <v>1</v>
      </c>
      <c r="B3" s="3"/>
    </row>
    <row r="4" spans="1:2" ht="38.25">
      <c r="A4" s="4" t="s">
        <v>2</v>
      </c>
      <c r="B4" s="3" t="s">
        <v>3</v>
      </c>
    </row>
    <row r="5" spans="1:2">
      <c r="A5" s="4"/>
      <c r="B5" s="3"/>
    </row>
    <row r="6" spans="1:2">
      <c r="A6" s="5" t="s">
        <v>4</v>
      </c>
      <c r="B6" s="3"/>
    </row>
    <row r="7" spans="1:2" ht="25.5">
      <c r="A7" s="4" t="s">
        <v>5</v>
      </c>
      <c r="B7" s="6" t="s">
        <v>6</v>
      </c>
    </row>
    <row r="8" spans="1:2" ht="25.5">
      <c r="A8" s="4" t="s">
        <v>7</v>
      </c>
      <c r="B8" s="6" t="s">
        <v>8</v>
      </c>
    </row>
    <row r="9" spans="1:2">
      <c r="A9" s="4" t="s">
        <v>9</v>
      </c>
      <c r="B9" s="6" t="s">
        <v>10</v>
      </c>
    </row>
    <row r="10" spans="1:2" ht="25.5">
      <c r="A10" s="4" t="s">
        <v>11</v>
      </c>
      <c r="B10" s="6" t="s">
        <v>12</v>
      </c>
    </row>
    <row r="11" spans="1:2" ht="38.25">
      <c r="A11" s="4" t="s">
        <v>13</v>
      </c>
      <c r="B11" s="3" t="s">
        <v>14</v>
      </c>
    </row>
    <row r="12" spans="1:2" ht="25.5">
      <c r="A12" s="4" t="s">
        <v>15</v>
      </c>
      <c r="B12" s="3" t="s">
        <v>16</v>
      </c>
    </row>
    <row r="13" spans="1:2" ht="38.25">
      <c r="A13" s="4" t="s">
        <v>17</v>
      </c>
      <c r="B13" s="3" t="s">
        <v>18</v>
      </c>
    </row>
    <row r="14" spans="1:2">
      <c r="A14" s="4"/>
      <c r="B14" s="3"/>
    </row>
    <row r="15" spans="1:2">
      <c r="A15" s="5" t="s">
        <v>19</v>
      </c>
      <c r="B15" s="3"/>
    </row>
    <row r="16" spans="1:2" ht="38.25">
      <c r="A16" s="4" t="s">
        <v>20</v>
      </c>
      <c r="B16" s="3" t="s">
        <v>21</v>
      </c>
    </row>
    <row r="17" spans="1:2" ht="25.5">
      <c r="A17" s="4" t="s">
        <v>22</v>
      </c>
      <c r="B17" s="3" t="s">
        <v>23</v>
      </c>
    </row>
    <row r="18" spans="1:2">
      <c r="A18" s="4" t="s">
        <v>24</v>
      </c>
      <c r="B18" s="3" t="s">
        <v>25</v>
      </c>
    </row>
    <row r="19" spans="1:2">
      <c r="A19" s="4"/>
      <c r="B19" s="7"/>
    </row>
    <row r="20" spans="1:2">
      <c r="A20" s="5" t="s">
        <v>26</v>
      </c>
      <c r="B20" s="7"/>
    </row>
    <row r="21" spans="1:2">
      <c r="A21" s="4" t="s">
        <v>27</v>
      </c>
      <c r="B21" s="7" t="s">
        <v>28</v>
      </c>
    </row>
    <row r="22" spans="1:2" ht="25.5">
      <c r="A22" s="4" t="s">
        <v>29</v>
      </c>
      <c r="B22" s="7" t="s">
        <v>30</v>
      </c>
    </row>
    <row r="23" spans="1:2" ht="38.25">
      <c r="A23" s="4" t="s">
        <v>31</v>
      </c>
      <c r="B23" s="7" t="s">
        <v>32</v>
      </c>
    </row>
    <row r="24" spans="1:2" ht="25.5">
      <c r="A24" s="4" t="s">
        <v>33</v>
      </c>
      <c r="B24" s="3" t="s">
        <v>34</v>
      </c>
    </row>
    <row r="25" spans="1:2" ht="25.5">
      <c r="A25" s="4" t="s">
        <v>35</v>
      </c>
      <c r="B25" s="3" t="s">
        <v>36</v>
      </c>
    </row>
    <row r="26" spans="1:2">
      <c r="A26" s="4"/>
      <c r="B26" s="8"/>
    </row>
    <row r="27" spans="1:2">
      <c r="A27" s="5" t="s">
        <v>37</v>
      </c>
      <c r="B27" s="8"/>
    </row>
    <row r="28" spans="1:2">
      <c r="A28" s="4" t="s">
        <v>38</v>
      </c>
      <c r="B28" s="8" t="s">
        <v>39</v>
      </c>
    </row>
    <row r="29" spans="1:2">
      <c r="A29" s="4" t="s">
        <v>40</v>
      </c>
      <c r="B29" s="8" t="s">
        <v>41</v>
      </c>
    </row>
    <row r="30" spans="1:2">
      <c r="A30" s="4" t="s">
        <v>42</v>
      </c>
      <c r="B30" s="3" t="s">
        <v>43</v>
      </c>
    </row>
    <row r="31" spans="1:2">
      <c r="A31" s="4" t="s">
        <v>44</v>
      </c>
      <c r="B31" s="3" t="s">
        <v>45</v>
      </c>
    </row>
    <row r="32" spans="1:2">
      <c r="A32" s="4"/>
      <c r="B32" s="6"/>
    </row>
    <row r="33" spans="1:2">
      <c r="A33" s="5" t="s">
        <v>46</v>
      </c>
      <c r="B33" s="6"/>
    </row>
    <row r="34" spans="1:2" ht="25.5">
      <c r="A34" s="4" t="s">
        <v>47</v>
      </c>
      <c r="B34" s="6" t="s">
        <v>48</v>
      </c>
    </row>
    <row r="35" spans="1:2" ht="25.5">
      <c r="A35" s="4" t="s">
        <v>49</v>
      </c>
      <c r="B35" s="3" t="s">
        <v>50</v>
      </c>
    </row>
    <row r="36" spans="1:2" ht="25.5">
      <c r="A36" s="4" t="s">
        <v>51</v>
      </c>
      <c r="B36" s="3" t="s">
        <v>52</v>
      </c>
    </row>
    <row r="37" spans="1:2">
      <c r="A37" s="4"/>
      <c r="B37" s="3"/>
    </row>
    <row r="38" spans="1:2">
      <c r="A38" s="5" t="s">
        <v>53</v>
      </c>
      <c r="B38" s="3"/>
    </row>
    <row r="39" spans="1:2" ht="25.5">
      <c r="A39" s="4" t="s">
        <v>54</v>
      </c>
      <c r="B39" s="3" t="s">
        <v>55</v>
      </c>
    </row>
    <row r="40" spans="1:2" ht="25.5">
      <c r="A40" s="4" t="s">
        <v>56</v>
      </c>
      <c r="B40" s="3" t="s">
        <v>57</v>
      </c>
    </row>
    <row r="41" spans="1:2">
      <c r="A41" s="4"/>
      <c r="B41" s="3"/>
    </row>
    <row r="42" spans="1:2">
      <c r="A42" s="5" t="s">
        <v>58</v>
      </c>
      <c r="B42" s="3"/>
    </row>
    <row r="43" spans="1:2" ht="38.25">
      <c r="A43" s="4" t="s">
        <v>59</v>
      </c>
      <c r="B43" s="3" t="s">
        <v>60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BX216"/>
  <sheetViews>
    <sheetView workbookViewId="0"/>
  </sheetViews>
  <sheetFormatPr defaultColWidth="8.7109375" defaultRowHeight="15"/>
  <cols>
    <col min="1" max="1" width="30" customWidth="1"/>
    <col min="2" max="2" width="16" customWidth="1"/>
    <col min="3" max="3" width="10" customWidth="1"/>
    <col min="4" max="4" width="12" customWidth="1"/>
  </cols>
  <sheetData>
    <row r="1" spans="1:76" ht="15.75">
      <c r="A1" s="2" t="s">
        <v>61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row>
    <row r="2" spans="1:76">
      <c r="A2" s="9" t="s">
        <v>62</v>
      </c>
      <c r="B2" s="9" t="s">
        <v>63</v>
      </c>
      <c r="C2" s="9" t="s">
        <v>64</v>
      </c>
      <c r="D2" s="9" t="s">
        <v>65</v>
      </c>
      <c r="E2" s="9">
        <v>1</v>
      </c>
      <c r="F2" s="9">
        <v>2</v>
      </c>
      <c r="G2" s="9">
        <v>3</v>
      </c>
      <c r="H2" s="9">
        <v>4</v>
      </c>
      <c r="I2" s="9">
        <v>5</v>
      </c>
      <c r="J2" s="9">
        <v>6</v>
      </c>
      <c r="K2" s="9">
        <v>7</v>
      </c>
      <c r="L2" s="9">
        <v>8</v>
      </c>
      <c r="M2" s="9">
        <v>9</v>
      </c>
      <c r="N2" s="9">
        <v>10</v>
      </c>
      <c r="O2" s="9">
        <v>11</v>
      </c>
      <c r="P2" s="9">
        <v>12</v>
      </c>
      <c r="Q2" s="9">
        <v>13</v>
      </c>
      <c r="R2" s="9">
        <v>14</v>
      </c>
      <c r="S2" s="9">
        <v>15</v>
      </c>
      <c r="T2" s="9">
        <v>16</v>
      </c>
      <c r="U2" s="9">
        <v>17</v>
      </c>
      <c r="V2" s="9">
        <v>18</v>
      </c>
      <c r="W2" s="9">
        <v>19</v>
      </c>
      <c r="X2" s="9">
        <v>20</v>
      </c>
      <c r="Y2" s="9">
        <v>21</v>
      </c>
      <c r="Z2" s="9">
        <v>22</v>
      </c>
      <c r="AA2" s="9">
        <v>23</v>
      </c>
      <c r="AB2" s="9">
        <v>24</v>
      </c>
      <c r="AC2" s="9">
        <v>25</v>
      </c>
      <c r="AD2" s="9">
        <v>26</v>
      </c>
      <c r="AE2" s="9">
        <v>27</v>
      </c>
      <c r="AF2" s="9">
        <v>28</v>
      </c>
      <c r="AG2" s="9">
        <v>29</v>
      </c>
      <c r="AH2" s="9">
        <v>30</v>
      </c>
      <c r="AI2" s="9">
        <v>31</v>
      </c>
      <c r="AJ2" s="9">
        <v>32</v>
      </c>
      <c r="AK2" s="9">
        <v>33</v>
      </c>
      <c r="AL2" s="9">
        <v>34</v>
      </c>
      <c r="AM2" s="9">
        <v>35</v>
      </c>
      <c r="AN2" s="9">
        <v>36</v>
      </c>
      <c r="AO2" s="9">
        <v>37</v>
      </c>
      <c r="AP2" s="9">
        <v>38</v>
      </c>
      <c r="AQ2" s="9">
        <v>39</v>
      </c>
      <c r="AR2" s="9">
        <v>40</v>
      </c>
      <c r="AS2" s="9">
        <v>41</v>
      </c>
      <c r="AT2" s="9">
        <v>42</v>
      </c>
      <c r="AU2" s="9">
        <v>43</v>
      </c>
      <c r="AV2" s="9">
        <v>44</v>
      </c>
      <c r="AW2" s="9">
        <v>45</v>
      </c>
      <c r="AX2" s="9">
        <v>46</v>
      </c>
      <c r="AY2" s="9">
        <v>47</v>
      </c>
      <c r="AZ2" s="9">
        <v>48</v>
      </c>
      <c r="BA2" s="9">
        <v>49</v>
      </c>
      <c r="BB2" s="9">
        <v>50</v>
      </c>
      <c r="BC2" s="9">
        <v>51</v>
      </c>
      <c r="BD2" s="9">
        <v>52</v>
      </c>
      <c r="BE2" s="9">
        <v>53</v>
      </c>
      <c r="BF2" s="9">
        <v>54</v>
      </c>
      <c r="BG2" s="9">
        <v>55</v>
      </c>
      <c r="BH2" s="9">
        <v>56</v>
      </c>
      <c r="BI2" s="9">
        <v>57</v>
      </c>
      <c r="BJ2" s="9">
        <v>58</v>
      </c>
      <c r="BK2" s="9">
        <v>59</v>
      </c>
      <c r="BL2" s="9">
        <v>60</v>
      </c>
      <c r="BM2" s="9">
        <v>61</v>
      </c>
      <c r="BN2" s="9">
        <v>62</v>
      </c>
      <c r="BO2" s="9">
        <v>63</v>
      </c>
      <c r="BP2" s="9">
        <v>64</v>
      </c>
      <c r="BQ2" s="9">
        <v>65</v>
      </c>
      <c r="BR2" s="9">
        <v>66</v>
      </c>
      <c r="BS2" s="9">
        <v>67</v>
      </c>
      <c r="BT2" s="9">
        <v>68</v>
      </c>
      <c r="BU2" s="9">
        <v>69</v>
      </c>
      <c r="BV2" s="9">
        <v>70</v>
      </c>
      <c r="BW2" s="9">
        <v>71</v>
      </c>
      <c r="BX2" s="9">
        <v>72</v>
      </c>
    </row>
    <row r="3" spans="1:76">
      <c r="A3" s="4" t="s">
        <v>66</v>
      </c>
      <c r="B3" s="4" t="s">
        <v>67</v>
      </c>
      <c r="C3" s="4" t="s">
        <v>68</v>
      </c>
      <c r="D3" s="4" t="s">
        <v>69</v>
      </c>
      <c r="E3" s="4" t="s">
        <v>70</v>
      </c>
      <c r="F3" s="4" t="s">
        <v>70</v>
      </c>
      <c r="G3" s="4" t="s">
        <v>70</v>
      </c>
      <c r="H3" s="4" t="s">
        <v>71</v>
      </c>
      <c r="I3" s="4" t="s">
        <v>71</v>
      </c>
      <c r="J3" s="4" t="s">
        <v>71</v>
      </c>
      <c r="K3" s="4" t="s">
        <v>70</v>
      </c>
      <c r="L3" s="4" t="s">
        <v>72</v>
      </c>
      <c r="M3" s="4" t="s">
        <v>73</v>
      </c>
      <c r="N3" s="4" t="s">
        <v>70</v>
      </c>
      <c r="O3" s="4" t="s">
        <v>71</v>
      </c>
      <c r="P3" s="4" t="s">
        <v>72</v>
      </c>
      <c r="Q3" s="4" t="s">
        <v>71</v>
      </c>
      <c r="R3" s="4" t="s">
        <v>73</v>
      </c>
      <c r="S3" s="4" t="s">
        <v>70</v>
      </c>
      <c r="T3" s="4" t="s">
        <v>71</v>
      </c>
      <c r="U3" s="4" t="s">
        <v>71</v>
      </c>
      <c r="V3" s="4" t="s">
        <v>70</v>
      </c>
      <c r="W3" s="4" t="s">
        <v>70</v>
      </c>
      <c r="X3" s="4" t="s">
        <v>73</v>
      </c>
      <c r="Y3" s="4" t="s">
        <v>73</v>
      </c>
      <c r="Z3" s="4" t="s">
        <v>70</v>
      </c>
      <c r="AA3" s="4" t="s">
        <v>73</v>
      </c>
      <c r="AB3" s="4" t="s">
        <v>70</v>
      </c>
      <c r="AC3" s="4" t="s">
        <v>71</v>
      </c>
      <c r="AD3" s="4" t="s">
        <v>70</v>
      </c>
      <c r="AE3" s="4" t="s">
        <v>71</v>
      </c>
      <c r="AF3" s="4" t="s">
        <v>71</v>
      </c>
      <c r="AG3" s="4" t="s">
        <v>70</v>
      </c>
      <c r="AH3" s="4" t="s">
        <v>70</v>
      </c>
      <c r="AI3" s="4" t="s">
        <v>71</v>
      </c>
      <c r="AJ3" s="4" t="s">
        <v>71</v>
      </c>
      <c r="AK3" s="4" t="s">
        <v>72</v>
      </c>
      <c r="AL3" s="4" t="s">
        <v>72</v>
      </c>
      <c r="AM3" s="4" t="s">
        <v>71</v>
      </c>
      <c r="AN3" s="4" t="s">
        <v>72</v>
      </c>
      <c r="AO3" s="4" t="s">
        <v>73</v>
      </c>
      <c r="AP3" s="4" t="s">
        <v>73</v>
      </c>
      <c r="AQ3" s="4" t="s">
        <v>70</v>
      </c>
      <c r="AR3" s="4" t="s">
        <v>71</v>
      </c>
      <c r="AS3" s="4" t="s">
        <v>71</v>
      </c>
      <c r="AT3" s="4" t="s">
        <v>70</v>
      </c>
      <c r="AU3" s="4" t="s">
        <v>70</v>
      </c>
      <c r="AV3" s="4" t="s">
        <v>72</v>
      </c>
      <c r="AW3" s="4" t="s">
        <v>70</v>
      </c>
      <c r="AX3" s="4" t="s">
        <v>71</v>
      </c>
      <c r="AY3" s="4" t="s">
        <v>72</v>
      </c>
      <c r="AZ3" s="4" t="s">
        <v>70</v>
      </c>
      <c r="BA3" s="4" t="s">
        <v>71</v>
      </c>
      <c r="BB3" s="4" t="s">
        <v>71</v>
      </c>
      <c r="BC3" s="4" t="s">
        <v>70</v>
      </c>
      <c r="BD3" s="4" t="s">
        <v>70</v>
      </c>
      <c r="BE3" s="4" t="s">
        <v>70</v>
      </c>
      <c r="BF3" s="4" t="s">
        <v>72</v>
      </c>
      <c r="BG3" s="4" t="s">
        <v>72</v>
      </c>
      <c r="BH3" s="4" t="s">
        <v>71</v>
      </c>
      <c r="BI3" s="4" t="s">
        <v>73</v>
      </c>
      <c r="BJ3" s="4" t="s">
        <v>73</v>
      </c>
      <c r="BK3" s="4" t="s">
        <v>73</v>
      </c>
      <c r="BL3" s="4" t="s">
        <v>72</v>
      </c>
      <c r="BM3" s="4" t="s">
        <v>71</v>
      </c>
      <c r="BN3" s="4" t="s">
        <v>71</v>
      </c>
      <c r="BO3" s="4" t="s">
        <v>71</v>
      </c>
      <c r="BP3" s="4" t="s">
        <v>70</v>
      </c>
      <c r="BQ3" s="4" t="s">
        <v>70</v>
      </c>
      <c r="BR3" s="4" t="s">
        <v>71</v>
      </c>
      <c r="BS3" s="4" t="s">
        <v>70</v>
      </c>
      <c r="BT3" s="4" t="s">
        <v>70</v>
      </c>
      <c r="BU3" s="4" t="s">
        <v>70</v>
      </c>
      <c r="BV3" s="4" t="s">
        <v>71</v>
      </c>
      <c r="BW3" s="4" t="s">
        <v>71</v>
      </c>
      <c r="BX3" s="4" t="s">
        <v>71</v>
      </c>
    </row>
    <row r="4" spans="1:76">
      <c r="A4" s="4" t="s">
        <v>66</v>
      </c>
      <c r="B4" s="4" t="s">
        <v>74</v>
      </c>
      <c r="C4" s="4" t="s">
        <v>75</v>
      </c>
      <c r="D4" s="4" t="s">
        <v>76</v>
      </c>
      <c r="E4" s="4" t="s">
        <v>70</v>
      </c>
      <c r="F4" s="4" t="s">
        <v>71</v>
      </c>
      <c r="G4" s="4" t="s">
        <v>71</v>
      </c>
      <c r="H4" s="4" t="s">
        <v>70</v>
      </c>
      <c r="I4" s="4" t="s">
        <v>71</v>
      </c>
      <c r="J4" s="4" t="s">
        <v>70</v>
      </c>
      <c r="K4" s="4" t="s">
        <v>70</v>
      </c>
      <c r="L4" s="4" t="s">
        <v>72</v>
      </c>
      <c r="M4" s="4" t="s">
        <v>73</v>
      </c>
      <c r="N4" s="4" t="s">
        <v>70</v>
      </c>
      <c r="O4" s="4" t="s">
        <v>72</v>
      </c>
      <c r="P4" s="4" t="s">
        <v>73</v>
      </c>
      <c r="Q4" s="4" t="s">
        <v>72</v>
      </c>
      <c r="R4" s="4" t="s">
        <v>73</v>
      </c>
      <c r="S4" s="4" t="s">
        <v>70</v>
      </c>
      <c r="T4" s="4" t="s">
        <v>71</v>
      </c>
      <c r="U4" s="4" t="s">
        <v>71</v>
      </c>
      <c r="V4" s="4" t="s">
        <v>70</v>
      </c>
      <c r="W4" s="4" t="s">
        <v>70</v>
      </c>
      <c r="X4" s="4" t="s">
        <v>73</v>
      </c>
      <c r="Y4" s="4" t="s">
        <v>73</v>
      </c>
      <c r="Z4" s="4" t="s">
        <v>70</v>
      </c>
      <c r="AA4" s="4" t="s">
        <v>72</v>
      </c>
      <c r="AB4" s="4" t="s">
        <v>73</v>
      </c>
      <c r="AC4" s="4" t="s">
        <v>72</v>
      </c>
      <c r="AD4" s="4" t="s">
        <v>70</v>
      </c>
      <c r="AE4" s="4" t="s">
        <v>71</v>
      </c>
      <c r="AF4" s="4" t="s">
        <v>70</v>
      </c>
      <c r="AG4" s="4" t="s">
        <v>70</v>
      </c>
      <c r="AH4" s="4" t="s">
        <v>70</v>
      </c>
      <c r="AI4" s="4" t="s">
        <v>71</v>
      </c>
      <c r="AJ4" s="4" t="s">
        <v>71</v>
      </c>
      <c r="AK4" s="4" t="s">
        <v>72</v>
      </c>
      <c r="AL4" s="4" t="s">
        <v>70</v>
      </c>
      <c r="AM4" s="4" t="s">
        <v>72</v>
      </c>
      <c r="AN4" s="4" t="s">
        <v>71</v>
      </c>
      <c r="AO4" s="4" t="s">
        <v>73</v>
      </c>
      <c r="AP4" s="4" t="s">
        <v>73</v>
      </c>
      <c r="AQ4" s="4" t="s">
        <v>70</v>
      </c>
      <c r="AR4" s="4" t="s">
        <v>71</v>
      </c>
      <c r="AS4" s="4" t="s">
        <v>71</v>
      </c>
      <c r="AT4" s="4" t="s">
        <v>71</v>
      </c>
      <c r="AU4" s="4" t="s">
        <v>70</v>
      </c>
      <c r="AV4" s="4" t="s">
        <v>72</v>
      </c>
      <c r="AW4" s="4" t="s">
        <v>70</v>
      </c>
      <c r="AX4" s="10" t="s">
        <v>77</v>
      </c>
      <c r="AY4" s="4" t="s">
        <v>73</v>
      </c>
      <c r="AZ4" s="4" t="s">
        <v>71</v>
      </c>
      <c r="BA4" s="4" t="s">
        <v>71</v>
      </c>
      <c r="BB4" s="4" t="s">
        <v>71</v>
      </c>
      <c r="BC4" s="4" t="s">
        <v>70</v>
      </c>
      <c r="BD4" s="4" t="s">
        <v>70</v>
      </c>
      <c r="BE4" s="4" t="s">
        <v>70</v>
      </c>
      <c r="BF4" s="4" t="s">
        <v>72</v>
      </c>
      <c r="BG4" s="4" t="s">
        <v>72</v>
      </c>
      <c r="BH4" s="4" t="s">
        <v>71</v>
      </c>
      <c r="BI4" s="4" t="s">
        <v>73</v>
      </c>
      <c r="BJ4" s="4" t="s">
        <v>73</v>
      </c>
      <c r="BK4" s="4" t="s">
        <v>73</v>
      </c>
      <c r="BL4" s="4" t="s">
        <v>72</v>
      </c>
      <c r="BM4" s="4" t="s">
        <v>71</v>
      </c>
      <c r="BN4" s="4" t="s">
        <v>71</v>
      </c>
      <c r="BO4" s="4" t="s">
        <v>71</v>
      </c>
      <c r="BP4" s="4" t="s">
        <v>70</v>
      </c>
      <c r="BQ4" s="4" t="s">
        <v>70</v>
      </c>
      <c r="BR4" s="4" t="s">
        <v>71</v>
      </c>
      <c r="BS4" s="4" t="s">
        <v>71</v>
      </c>
      <c r="BT4" s="4" t="s">
        <v>70</v>
      </c>
      <c r="BU4" s="4" t="s">
        <v>71</v>
      </c>
      <c r="BV4" s="4" t="s">
        <v>70</v>
      </c>
      <c r="BW4" s="4" t="s">
        <v>70</v>
      </c>
      <c r="BX4" s="4" t="s">
        <v>71</v>
      </c>
    </row>
    <row r="5" spans="1:76">
      <c r="A5" s="4" t="s">
        <v>66</v>
      </c>
      <c r="B5" s="4" t="s">
        <v>78</v>
      </c>
      <c r="C5" s="4" t="s">
        <v>79</v>
      </c>
      <c r="D5" s="4" t="s">
        <v>80</v>
      </c>
      <c r="E5" s="4" t="s">
        <v>70</v>
      </c>
      <c r="F5" s="4" t="s">
        <v>71</v>
      </c>
      <c r="G5" s="4" t="s">
        <v>71</v>
      </c>
      <c r="H5" s="4" t="s">
        <v>70</v>
      </c>
      <c r="I5" s="4" t="s">
        <v>70</v>
      </c>
      <c r="J5" s="4" t="s">
        <v>70</v>
      </c>
      <c r="K5" s="4" t="s">
        <v>70</v>
      </c>
      <c r="L5" s="4" t="s">
        <v>72</v>
      </c>
      <c r="M5" s="4" t="s">
        <v>70</v>
      </c>
      <c r="N5" s="4" t="s">
        <v>70</v>
      </c>
      <c r="O5" s="4" t="s">
        <v>71</v>
      </c>
      <c r="P5" s="4" t="s">
        <v>71</v>
      </c>
      <c r="Q5" s="4" t="s">
        <v>70</v>
      </c>
      <c r="R5" s="4" t="s">
        <v>73</v>
      </c>
      <c r="S5" s="4" t="s">
        <v>70</v>
      </c>
      <c r="T5" s="10" t="s">
        <v>77</v>
      </c>
      <c r="U5" s="4" t="s">
        <v>71</v>
      </c>
      <c r="V5" s="4" t="s">
        <v>70</v>
      </c>
      <c r="W5" s="4" t="s">
        <v>70</v>
      </c>
      <c r="X5" s="4" t="s">
        <v>72</v>
      </c>
      <c r="Y5" s="4" t="s">
        <v>73</v>
      </c>
      <c r="Z5" s="4" t="s">
        <v>73</v>
      </c>
      <c r="AA5" s="4" t="s">
        <v>70</v>
      </c>
      <c r="AB5" s="4" t="s">
        <v>70</v>
      </c>
      <c r="AC5" s="4" t="s">
        <v>71</v>
      </c>
      <c r="AD5" s="4" t="s">
        <v>70</v>
      </c>
      <c r="AE5" s="4" t="s">
        <v>70</v>
      </c>
      <c r="AF5" s="4" t="s">
        <v>71</v>
      </c>
      <c r="AG5" s="4" t="s">
        <v>70</v>
      </c>
      <c r="AH5" s="4" t="s">
        <v>70</v>
      </c>
      <c r="AI5" s="4" t="s">
        <v>70</v>
      </c>
      <c r="AJ5" s="4" t="s">
        <v>71</v>
      </c>
      <c r="AK5" s="4" t="s">
        <v>72</v>
      </c>
      <c r="AL5" s="4" t="s">
        <v>70</v>
      </c>
      <c r="AM5" s="4" t="s">
        <v>71</v>
      </c>
      <c r="AN5" s="4" t="s">
        <v>73</v>
      </c>
      <c r="AO5" s="4" t="s">
        <v>70</v>
      </c>
      <c r="AP5" s="4" t="s">
        <v>73</v>
      </c>
      <c r="AQ5" s="4" t="s">
        <v>71</v>
      </c>
      <c r="AR5" s="4" t="s">
        <v>71</v>
      </c>
      <c r="AS5" s="4" t="s">
        <v>71</v>
      </c>
      <c r="AT5" s="4" t="s">
        <v>70</v>
      </c>
      <c r="AU5" s="4" t="s">
        <v>72</v>
      </c>
      <c r="AV5" s="4" t="s">
        <v>72</v>
      </c>
      <c r="AW5" s="4" t="s">
        <v>73</v>
      </c>
      <c r="AX5" s="4" t="s">
        <v>70</v>
      </c>
      <c r="AY5" s="4" t="s">
        <v>72</v>
      </c>
      <c r="AZ5" s="4" t="s">
        <v>71</v>
      </c>
      <c r="BA5" s="4" t="s">
        <v>71</v>
      </c>
      <c r="BB5" s="4" t="s">
        <v>71</v>
      </c>
      <c r="BC5" s="4" t="s">
        <v>70</v>
      </c>
      <c r="BD5" s="4" t="s">
        <v>70</v>
      </c>
      <c r="BE5" s="4" t="s">
        <v>70</v>
      </c>
      <c r="BF5" s="4" t="s">
        <v>72</v>
      </c>
      <c r="BG5" s="4" t="s">
        <v>72</v>
      </c>
      <c r="BH5" s="4" t="s">
        <v>71</v>
      </c>
      <c r="BI5" s="4" t="s">
        <v>70</v>
      </c>
      <c r="BJ5" s="4" t="s">
        <v>73</v>
      </c>
      <c r="BK5" s="4" t="s">
        <v>73</v>
      </c>
      <c r="BL5" s="4" t="s">
        <v>72</v>
      </c>
      <c r="BM5" s="4" t="s">
        <v>71</v>
      </c>
      <c r="BN5" s="4" t="s">
        <v>71</v>
      </c>
      <c r="BO5" s="4" t="s">
        <v>71</v>
      </c>
      <c r="BP5" s="4" t="s">
        <v>70</v>
      </c>
      <c r="BQ5" s="4" t="s">
        <v>70</v>
      </c>
      <c r="BR5" s="4" t="s">
        <v>71</v>
      </c>
      <c r="BS5" s="4" t="s">
        <v>71</v>
      </c>
      <c r="BT5" s="4" t="s">
        <v>71</v>
      </c>
      <c r="BU5" s="4" t="s">
        <v>71</v>
      </c>
      <c r="BV5" s="4" t="s">
        <v>70</v>
      </c>
      <c r="BW5" s="4" t="s">
        <v>70</v>
      </c>
      <c r="BX5" s="4" t="s">
        <v>71</v>
      </c>
    </row>
    <row r="6" spans="1:76">
      <c r="A6" s="4" t="s">
        <v>66</v>
      </c>
      <c r="B6" s="4" t="s">
        <v>81</v>
      </c>
      <c r="C6" s="4" t="s">
        <v>82</v>
      </c>
      <c r="D6" s="4" t="s">
        <v>83</v>
      </c>
      <c r="E6" s="4" t="s">
        <v>70</v>
      </c>
      <c r="F6" s="4" t="s">
        <v>70</v>
      </c>
      <c r="G6" s="4" t="s">
        <v>70</v>
      </c>
      <c r="H6" s="4" t="s">
        <v>71</v>
      </c>
      <c r="I6" s="4" t="s">
        <v>71</v>
      </c>
      <c r="J6" s="4" t="s">
        <v>71</v>
      </c>
      <c r="K6" s="4" t="s">
        <v>70</v>
      </c>
      <c r="L6" s="4" t="s">
        <v>72</v>
      </c>
      <c r="M6" s="4" t="s">
        <v>73</v>
      </c>
      <c r="N6" s="4" t="s">
        <v>70</v>
      </c>
      <c r="O6" s="4" t="s">
        <v>71</v>
      </c>
      <c r="P6" s="4" t="s">
        <v>72</v>
      </c>
      <c r="Q6" s="4" t="s">
        <v>71</v>
      </c>
      <c r="R6" s="4" t="s">
        <v>73</v>
      </c>
      <c r="S6" s="4" t="s">
        <v>70</v>
      </c>
      <c r="T6" s="4" t="s">
        <v>71</v>
      </c>
      <c r="U6" s="4" t="s">
        <v>71</v>
      </c>
      <c r="V6" s="4" t="s">
        <v>70</v>
      </c>
      <c r="W6" s="4" t="s">
        <v>70</v>
      </c>
      <c r="X6" s="4" t="s">
        <v>72</v>
      </c>
      <c r="Y6" s="4" t="s">
        <v>73</v>
      </c>
      <c r="Z6" s="4" t="s">
        <v>70</v>
      </c>
      <c r="AA6" s="4" t="s">
        <v>73</v>
      </c>
      <c r="AB6" s="4" t="s">
        <v>70</v>
      </c>
      <c r="AC6" s="4" t="s">
        <v>71</v>
      </c>
      <c r="AD6" s="4" t="s">
        <v>70</v>
      </c>
      <c r="AE6" s="4" t="s">
        <v>70</v>
      </c>
      <c r="AF6" s="4" t="s">
        <v>71</v>
      </c>
      <c r="AG6" s="4" t="s">
        <v>70</v>
      </c>
      <c r="AH6" s="4" t="s">
        <v>70</v>
      </c>
      <c r="AI6" s="4" t="s">
        <v>70</v>
      </c>
      <c r="AJ6" s="4" t="s">
        <v>71</v>
      </c>
      <c r="AK6" s="4" t="s">
        <v>72</v>
      </c>
      <c r="AL6" s="4" t="s">
        <v>71</v>
      </c>
      <c r="AM6" s="4" t="s">
        <v>72</v>
      </c>
      <c r="AN6" s="4" t="s">
        <v>72</v>
      </c>
      <c r="AO6" s="4" t="s">
        <v>73</v>
      </c>
      <c r="AP6" s="4" t="s">
        <v>73</v>
      </c>
      <c r="AQ6" s="4" t="s">
        <v>71</v>
      </c>
      <c r="AR6" s="4" t="s">
        <v>71</v>
      </c>
      <c r="AS6" s="4" t="s">
        <v>71</v>
      </c>
      <c r="AT6" s="4" t="s">
        <v>70</v>
      </c>
      <c r="AU6" s="4" t="s">
        <v>71</v>
      </c>
      <c r="AV6" s="4" t="s">
        <v>70</v>
      </c>
      <c r="AW6" s="4" t="s">
        <v>73</v>
      </c>
      <c r="AX6" s="4" t="s">
        <v>70</v>
      </c>
      <c r="AY6" s="4" t="s">
        <v>72</v>
      </c>
      <c r="AZ6" s="4" t="s">
        <v>71</v>
      </c>
      <c r="BA6" s="4" t="s">
        <v>71</v>
      </c>
      <c r="BB6" s="4" t="s">
        <v>71</v>
      </c>
      <c r="BC6" s="4" t="s">
        <v>70</v>
      </c>
      <c r="BD6" s="4" t="s">
        <v>70</v>
      </c>
      <c r="BE6" s="4" t="s">
        <v>70</v>
      </c>
      <c r="BF6" s="4" t="s">
        <v>72</v>
      </c>
      <c r="BG6" s="4" t="s">
        <v>72</v>
      </c>
      <c r="BH6" s="4" t="s">
        <v>71</v>
      </c>
      <c r="BI6" s="4" t="s">
        <v>73</v>
      </c>
      <c r="BJ6" s="4" t="s">
        <v>73</v>
      </c>
      <c r="BK6" s="4" t="s">
        <v>73</v>
      </c>
      <c r="BL6" s="4" t="s">
        <v>72</v>
      </c>
      <c r="BM6" s="4" t="s">
        <v>71</v>
      </c>
      <c r="BN6" s="4" t="s">
        <v>71</v>
      </c>
      <c r="BO6" s="4" t="s">
        <v>71</v>
      </c>
      <c r="BP6" s="4" t="s">
        <v>70</v>
      </c>
      <c r="BQ6" s="4" t="s">
        <v>70</v>
      </c>
      <c r="BR6" s="4" t="s">
        <v>71</v>
      </c>
      <c r="BS6" s="4" t="s">
        <v>70</v>
      </c>
      <c r="BT6" s="4" t="s">
        <v>70</v>
      </c>
      <c r="BU6" s="4" t="s">
        <v>70</v>
      </c>
      <c r="BV6" s="4" t="s">
        <v>71</v>
      </c>
      <c r="BW6" s="4" t="s">
        <v>71</v>
      </c>
      <c r="BX6" s="4" t="s">
        <v>71</v>
      </c>
    </row>
    <row r="7" spans="1:76">
      <c r="A7" s="4" t="s">
        <v>66</v>
      </c>
      <c r="B7" s="4" t="s">
        <v>84</v>
      </c>
      <c r="C7" s="4" t="s">
        <v>82</v>
      </c>
      <c r="D7" s="4" t="s">
        <v>85</v>
      </c>
      <c r="E7" s="4" t="s">
        <v>70</v>
      </c>
      <c r="F7" s="4" t="s">
        <v>70</v>
      </c>
      <c r="G7" s="4" t="s">
        <v>70</v>
      </c>
      <c r="H7" s="4" t="s">
        <v>71</v>
      </c>
      <c r="I7" s="4" t="s">
        <v>71</v>
      </c>
      <c r="J7" s="4" t="s">
        <v>71</v>
      </c>
      <c r="K7" s="4" t="s">
        <v>70</v>
      </c>
      <c r="L7" s="4" t="s">
        <v>72</v>
      </c>
      <c r="M7" s="4" t="s">
        <v>73</v>
      </c>
      <c r="N7" s="4" t="s">
        <v>70</v>
      </c>
      <c r="O7" s="4" t="s">
        <v>71</v>
      </c>
      <c r="P7" s="4" t="s">
        <v>72</v>
      </c>
      <c r="Q7" s="4" t="s">
        <v>71</v>
      </c>
      <c r="R7" s="4" t="s">
        <v>73</v>
      </c>
      <c r="S7" s="4" t="s">
        <v>70</v>
      </c>
      <c r="T7" s="4" t="s">
        <v>71</v>
      </c>
      <c r="U7" s="4" t="s">
        <v>71</v>
      </c>
      <c r="V7" s="4" t="s">
        <v>70</v>
      </c>
      <c r="W7" s="4" t="s">
        <v>70</v>
      </c>
      <c r="X7" s="4" t="s">
        <v>71</v>
      </c>
      <c r="Y7" s="4" t="s">
        <v>73</v>
      </c>
      <c r="Z7" s="4" t="s">
        <v>70</v>
      </c>
      <c r="AA7" s="4" t="s">
        <v>73</v>
      </c>
      <c r="AB7" s="4" t="s">
        <v>70</v>
      </c>
      <c r="AC7" s="4" t="s">
        <v>71</v>
      </c>
      <c r="AD7" s="4" t="s">
        <v>70</v>
      </c>
      <c r="AE7" s="4" t="s">
        <v>70</v>
      </c>
      <c r="AF7" s="4" t="s">
        <v>71</v>
      </c>
      <c r="AG7" s="4" t="s">
        <v>70</v>
      </c>
      <c r="AH7" s="4" t="s">
        <v>70</v>
      </c>
      <c r="AI7" s="4" t="s">
        <v>70</v>
      </c>
      <c r="AJ7" s="4" t="s">
        <v>71</v>
      </c>
      <c r="AK7" s="4" t="s">
        <v>72</v>
      </c>
      <c r="AL7" s="4" t="s">
        <v>72</v>
      </c>
      <c r="AM7" s="4" t="s">
        <v>72</v>
      </c>
      <c r="AN7" s="4" t="s">
        <v>72</v>
      </c>
      <c r="AO7" s="4" t="s">
        <v>73</v>
      </c>
      <c r="AP7" s="4" t="s">
        <v>71</v>
      </c>
      <c r="AQ7" s="4" t="s">
        <v>71</v>
      </c>
      <c r="AR7" s="4" t="s">
        <v>71</v>
      </c>
      <c r="AS7" s="4" t="s">
        <v>71</v>
      </c>
      <c r="AT7" s="4" t="s">
        <v>70</v>
      </c>
      <c r="AU7" s="4" t="s">
        <v>71</v>
      </c>
      <c r="AV7" s="4" t="s">
        <v>70</v>
      </c>
      <c r="AW7" s="4" t="s">
        <v>70</v>
      </c>
      <c r="AX7" s="4" t="s">
        <v>73</v>
      </c>
      <c r="AY7" s="4" t="s">
        <v>72</v>
      </c>
      <c r="AZ7" s="4" t="s">
        <v>71</v>
      </c>
      <c r="BA7" s="4" t="s">
        <v>71</v>
      </c>
      <c r="BB7" s="4" t="s">
        <v>71</v>
      </c>
      <c r="BC7" s="4" t="s">
        <v>70</v>
      </c>
      <c r="BD7" s="4" t="s">
        <v>70</v>
      </c>
      <c r="BE7" s="4" t="s">
        <v>70</v>
      </c>
      <c r="BF7" s="4" t="s">
        <v>72</v>
      </c>
      <c r="BG7" s="4" t="s">
        <v>72</v>
      </c>
      <c r="BH7" s="4" t="s">
        <v>71</v>
      </c>
      <c r="BI7" s="4" t="s">
        <v>73</v>
      </c>
      <c r="BJ7" s="4" t="s">
        <v>73</v>
      </c>
      <c r="BK7" s="4" t="s">
        <v>73</v>
      </c>
      <c r="BL7" s="4" t="s">
        <v>72</v>
      </c>
      <c r="BM7" s="4" t="s">
        <v>71</v>
      </c>
      <c r="BN7" s="4" t="s">
        <v>71</v>
      </c>
      <c r="BO7" s="4" t="s">
        <v>71</v>
      </c>
      <c r="BP7" s="4" t="s">
        <v>70</v>
      </c>
      <c r="BQ7" s="4" t="s">
        <v>70</v>
      </c>
      <c r="BR7" s="4" t="s">
        <v>71</v>
      </c>
      <c r="BS7" s="4" t="s">
        <v>70</v>
      </c>
      <c r="BT7" s="4" t="s">
        <v>70</v>
      </c>
      <c r="BU7" s="4" t="s">
        <v>70</v>
      </c>
      <c r="BV7" s="4" t="s">
        <v>71</v>
      </c>
      <c r="BW7" s="4" t="s">
        <v>71</v>
      </c>
      <c r="BX7" s="4" t="s">
        <v>71</v>
      </c>
    </row>
    <row r="8" spans="1:76">
      <c r="A8" s="4" t="s">
        <v>66</v>
      </c>
      <c r="B8" s="4" t="s">
        <v>86</v>
      </c>
      <c r="C8" s="4" t="s">
        <v>87</v>
      </c>
      <c r="D8" s="4" t="s">
        <v>88</v>
      </c>
      <c r="E8" s="4" t="s">
        <v>70</v>
      </c>
      <c r="F8" s="4" t="s">
        <v>70</v>
      </c>
      <c r="G8" s="4" t="s">
        <v>70</v>
      </c>
      <c r="H8" s="4" t="s">
        <v>71</v>
      </c>
      <c r="I8" s="4" t="s">
        <v>71</v>
      </c>
      <c r="J8" s="4" t="s">
        <v>71</v>
      </c>
      <c r="K8" s="4" t="s">
        <v>70</v>
      </c>
      <c r="L8" s="4" t="s">
        <v>72</v>
      </c>
      <c r="M8" s="4" t="s">
        <v>73</v>
      </c>
      <c r="N8" s="4" t="s">
        <v>70</v>
      </c>
      <c r="O8" s="4" t="s">
        <v>71</v>
      </c>
      <c r="P8" s="4" t="s">
        <v>72</v>
      </c>
      <c r="Q8" s="4" t="s">
        <v>71</v>
      </c>
      <c r="R8" s="4" t="s">
        <v>73</v>
      </c>
      <c r="S8" s="4" t="s">
        <v>70</v>
      </c>
      <c r="T8" s="4" t="s">
        <v>71</v>
      </c>
      <c r="U8" s="4" t="s">
        <v>71</v>
      </c>
      <c r="V8" s="4" t="s">
        <v>70</v>
      </c>
      <c r="W8" s="4" t="s">
        <v>70</v>
      </c>
      <c r="X8" s="4" t="s">
        <v>72</v>
      </c>
      <c r="Y8" s="4" t="s">
        <v>73</v>
      </c>
      <c r="Z8" s="4" t="s">
        <v>70</v>
      </c>
      <c r="AA8" s="4" t="s">
        <v>73</v>
      </c>
      <c r="AB8" s="4" t="s">
        <v>70</v>
      </c>
      <c r="AC8" s="4" t="s">
        <v>71</v>
      </c>
      <c r="AD8" s="4" t="s">
        <v>70</v>
      </c>
      <c r="AE8" s="4" t="s">
        <v>71</v>
      </c>
      <c r="AF8" s="4" t="s">
        <v>71</v>
      </c>
      <c r="AG8" s="4" t="s">
        <v>71</v>
      </c>
      <c r="AH8" s="4" t="s">
        <v>70</v>
      </c>
      <c r="AI8" s="4" t="s">
        <v>70</v>
      </c>
      <c r="AJ8" s="4" t="s">
        <v>71</v>
      </c>
      <c r="AK8" s="4" t="s">
        <v>72</v>
      </c>
      <c r="AL8" s="4" t="s">
        <v>71</v>
      </c>
      <c r="AM8" s="4" t="s">
        <v>73</v>
      </c>
      <c r="AN8" s="4" t="s">
        <v>72</v>
      </c>
      <c r="AO8" s="4" t="s">
        <v>73</v>
      </c>
      <c r="AP8" s="4" t="s">
        <v>73</v>
      </c>
      <c r="AQ8" s="4" t="s">
        <v>71</v>
      </c>
      <c r="AR8" s="4" t="s">
        <v>71</v>
      </c>
      <c r="AS8" s="4" t="s">
        <v>70</v>
      </c>
      <c r="AT8" s="4" t="s">
        <v>70</v>
      </c>
      <c r="AU8" s="4" t="s">
        <v>70</v>
      </c>
      <c r="AV8" s="4" t="s">
        <v>72</v>
      </c>
      <c r="AW8" s="4" t="s">
        <v>70</v>
      </c>
      <c r="AX8" s="4" t="s">
        <v>70</v>
      </c>
      <c r="AY8" s="4" t="s">
        <v>72</v>
      </c>
      <c r="AZ8" s="4" t="s">
        <v>71</v>
      </c>
      <c r="BA8" s="4" t="s">
        <v>70</v>
      </c>
      <c r="BB8" s="4" t="s">
        <v>70</v>
      </c>
      <c r="BC8" s="4" t="s">
        <v>70</v>
      </c>
      <c r="BD8" s="4" t="s">
        <v>70</v>
      </c>
      <c r="BE8" s="4" t="s">
        <v>70</v>
      </c>
      <c r="BF8" s="4" t="s">
        <v>72</v>
      </c>
      <c r="BG8" s="4" t="s">
        <v>72</v>
      </c>
      <c r="BH8" s="4" t="s">
        <v>71</v>
      </c>
      <c r="BI8" s="4" t="s">
        <v>73</v>
      </c>
      <c r="BJ8" s="4" t="s">
        <v>73</v>
      </c>
      <c r="BK8" s="4" t="s">
        <v>73</v>
      </c>
      <c r="BL8" s="4" t="s">
        <v>72</v>
      </c>
      <c r="BM8" s="4" t="s">
        <v>71</v>
      </c>
      <c r="BN8" s="4" t="s">
        <v>71</v>
      </c>
      <c r="BO8" s="4" t="s">
        <v>71</v>
      </c>
      <c r="BP8" s="4" t="s">
        <v>71</v>
      </c>
      <c r="BQ8" s="4" t="s">
        <v>71</v>
      </c>
      <c r="BR8" s="4" t="s">
        <v>71</v>
      </c>
      <c r="BS8" s="4" t="s">
        <v>70</v>
      </c>
      <c r="BT8" s="4" t="s">
        <v>70</v>
      </c>
      <c r="BU8" s="4" t="s">
        <v>70</v>
      </c>
      <c r="BV8" s="4" t="s">
        <v>71</v>
      </c>
      <c r="BW8" s="4" t="s">
        <v>71</v>
      </c>
      <c r="BX8" s="4" t="s">
        <v>71</v>
      </c>
    </row>
    <row r="9" spans="1:76">
      <c r="A9" s="4" t="s">
        <v>66</v>
      </c>
      <c r="B9" s="4" t="s">
        <v>89</v>
      </c>
      <c r="C9" s="4" t="s">
        <v>87</v>
      </c>
      <c r="D9" s="4" t="s">
        <v>88</v>
      </c>
      <c r="E9" s="4" t="s">
        <v>70</v>
      </c>
      <c r="F9" s="4" t="s">
        <v>71</v>
      </c>
      <c r="G9" s="4" t="s">
        <v>71</v>
      </c>
      <c r="H9" s="4" t="s">
        <v>70</v>
      </c>
      <c r="I9" s="4" t="s">
        <v>71</v>
      </c>
      <c r="J9" s="4" t="s">
        <v>71</v>
      </c>
      <c r="K9" s="4" t="s">
        <v>70</v>
      </c>
      <c r="L9" s="4" t="s">
        <v>72</v>
      </c>
      <c r="M9" s="4" t="s">
        <v>73</v>
      </c>
      <c r="N9" s="4" t="s">
        <v>70</v>
      </c>
      <c r="O9" s="4" t="s">
        <v>71</v>
      </c>
      <c r="P9" s="4" t="s">
        <v>72</v>
      </c>
      <c r="Q9" s="4" t="s">
        <v>71</v>
      </c>
      <c r="R9" s="4" t="s">
        <v>73</v>
      </c>
      <c r="S9" s="4" t="s">
        <v>70</v>
      </c>
      <c r="T9" s="4" t="s">
        <v>71</v>
      </c>
      <c r="U9" s="4" t="s">
        <v>71</v>
      </c>
      <c r="V9" s="4" t="s">
        <v>70</v>
      </c>
      <c r="W9" s="4" t="s">
        <v>70</v>
      </c>
      <c r="X9" s="4" t="s">
        <v>71</v>
      </c>
      <c r="Y9" s="4" t="s">
        <v>73</v>
      </c>
      <c r="Z9" s="4" t="s">
        <v>70</v>
      </c>
      <c r="AA9" s="4" t="s">
        <v>73</v>
      </c>
      <c r="AB9" s="4" t="s">
        <v>70</v>
      </c>
      <c r="AC9" s="4" t="s">
        <v>71</v>
      </c>
      <c r="AD9" s="4" t="s">
        <v>70</v>
      </c>
      <c r="AE9" s="4" t="s">
        <v>71</v>
      </c>
      <c r="AF9" s="4" t="s">
        <v>71</v>
      </c>
      <c r="AG9" s="4" t="s">
        <v>70</v>
      </c>
      <c r="AH9" s="4" t="s">
        <v>70</v>
      </c>
      <c r="AI9" s="4" t="s">
        <v>73</v>
      </c>
      <c r="AJ9" s="4" t="s">
        <v>71</v>
      </c>
      <c r="AK9" s="4" t="s">
        <v>72</v>
      </c>
      <c r="AL9" s="4" t="s">
        <v>71</v>
      </c>
      <c r="AM9" s="4" t="s">
        <v>73</v>
      </c>
      <c r="AN9" s="4" t="s">
        <v>72</v>
      </c>
      <c r="AO9" s="4" t="s">
        <v>73</v>
      </c>
      <c r="AP9" s="4" t="s">
        <v>73</v>
      </c>
      <c r="AQ9" s="4" t="s">
        <v>72</v>
      </c>
      <c r="AR9" s="4" t="s">
        <v>71</v>
      </c>
      <c r="AS9" s="4" t="s">
        <v>71</v>
      </c>
      <c r="AT9" s="4" t="s">
        <v>70</v>
      </c>
      <c r="AU9" s="4" t="s">
        <v>70</v>
      </c>
      <c r="AV9" s="4" t="s">
        <v>73</v>
      </c>
      <c r="AW9" s="4" t="s">
        <v>70</v>
      </c>
      <c r="AX9" s="4" t="s">
        <v>70</v>
      </c>
      <c r="AY9" s="4" t="s">
        <v>72</v>
      </c>
      <c r="AZ9" s="4" t="s">
        <v>71</v>
      </c>
      <c r="BA9" s="4" t="s">
        <v>71</v>
      </c>
      <c r="BB9" s="4" t="s">
        <v>71</v>
      </c>
      <c r="BC9" s="4" t="s">
        <v>70</v>
      </c>
      <c r="BD9" s="4" t="s">
        <v>70</v>
      </c>
      <c r="BE9" s="4" t="s">
        <v>70</v>
      </c>
      <c r="BF9" s="4" t="s">
        <v>72</v>
      </c>
      <c r="BG9" s="4" t="s">
        <v>72</v>
      </c>
      <c r="BH9" s="4" t="s">
        <v>71</v>
      </c>
      <c r="BI9" s="4" t="s">
        <v>70</v>
      </c>
      <c r="BJ9" s="4" t="s">
        <v>73</v>
      </c>
      <c r="BK9" s="4" t="s">
        <v>73</v>
      </c>
      <c r="BL9" s="4" t="s">
        <v>72</v>
      </c>
      <c r="BM9" s="4" t="s">
        <v>71</v>
      </c>
      <c r="BN9" s="4" t="s">
        <v>71</v>
      </c>
      <c r="BO9" s="4" t="s">
        <v>71</v>
      </c>
      <c r="BP9" s="4" t="s">
        <v>70</v>
      </c>
      <c r="BQ9" s="4" t="s">
        <v>70</v>
      </c>
      <c r="BR9" s="4" t="s">
        <v>71</v>
      </c>
      <c r="BS9" s="4" t="s">
        <v>70</v>
      </c>
      <c r="BT9" s="4" t="s">
        <v>70</v>
      </c>
      <c r="BU9" s="4" t="s">
        <v>71</v>
      </c>
      <c r="BV9" s="4" t="s">
        <v>70</v>
      </c>
      <c r="BW9" s="4" t="s">
        <v>70</v>
      </c>
      <c r="BX9" s="4" t="s">
        <v>71</v>
      </c>
    </row>
    <row r="10" spans="1:76">
      <c r="A10" s="4" t="s">
        <v>66</v>
      </c>
      <c r="B10" s="4" t="s">
        <v>90</v>
      </c>
      <c r="C10" s="4" t="s">
        <v>91</v>
      </c>
      <c r="D10" s="4" t="s">
        <v>92</v>
      </c>
      <c r="E10" s="4" t="s">
        <v>70</v>
      </c>
      <c r="F10" s="4" t="s">
        <v>70</v>
      </c>
      <c r="G10" s="4" t="s">
        <v>70</v>
      </c>
      <c r="H10" s="4" t="s">
        <v>71</v>
      </c>
      <c r="I10" s="4" t="s">
        <v>71</v>
      </c>
      <c r="J10" s="4" t="s">
        <v>71</v>
      </c>
      <c r="K10" s="4" t="s">
        <v>70</v>
      </c>
      <c r="L10" s="4" t="s">
        <v>70</v>
      </c>
      <c r="M10" s="4" t="s">
        <v>71</v>
      </c>
      <c r="N10" s="4" t="s">
        <v>70</v>
      </c>
      <c r="O10" s="4" t="s">
        <v>72</v>
      </c>
      <c r="P10" s="4" t="s">
        <v>71</v>
      </c>
      <c r="Q10" s="4" t="s">
        <v>72</v>
      </c>
      <c r="R10" s="4" t="s">
        <v>73</v>
      </c>
      <c r="S10" s="4" t="s">
        <v>70</v>
      </c>
      <c r="T10" s="4" t="s">
        <v>71</v>
      </c>
      <c r="U10" s="4" t="s">
        <v>71</v>
      </c>
      <c r="V10" s="4" t="s">
        <v>70</v>
      </c>
      <c r="W10" s="4" t="s">
        <v>70</v>
      </c>
      <c r="X10" s="4" t="s">
        <v>71</v>
      </c>
      <c r="Y10" s="4" t="s">
        <v>73</v>
      </c>
      <c r="Z10" s="4" t="s">
        <v>73</v>
      </c>
      <c r="AA10" s="4" t="s">
        <v>70</v>
      </c>
      <c r="AB10" s="4" t="s">
        <v>73</v>
      </c>
      <c r="AC10" s="4" t="s">
        <v>72</v>
      </c>
      <c r="AD10" s="4" t="s">
        <v>70</v>
      </c>
      <c r="AE10" s="4" t="s">
        <v>71</v>
      </c>
      <c r="AF10" s="4" t="s">
        <v>70</v>
      </c>
      <c r="AG10" s="4" t="s">
        <v>70</v>
      </c>
      <c r="AH10" s="4" t="s">
        <v>70</v>
      </c>
      <c r="AI10" s="4" t="s">
        <v>70</v>
      </c>
      <c r="AJ10" s="4" t="s">
        <v>72</v>
      </c>
      <c r="AK10" s="4" t="s">
        <v>73</v>
      </c>
      <c r="AL10" s="4" t="s">
        <v>71</v>
      </c>
      <c r="AM10" s="4" t="s">
        <v>70</v>
      </c>
      <c r="AN10" s="4" t="s">
        <v>70</v>
      </c>
      <c r="AO10" s="4" t="s">
        <v>70</v>
      </c>
      <c r="AP10" s="4" t="s">
        <v>73</v>
      </c>
      <c r="AQ10" s="4" t="s">
        <v>71</v>
      </c>
      <c r="AR10" s="4" t="s">
        <v>71</v>
      </c>
      <c r="AS10" s="4" t="s">
        <v>71</v>
      </c>
      <c r="AT10" s="4" t="s">
        <v>71</v>
      </c>
      <c r="AU10" s="4" t="s">
        <v>70</v>
      </c>
      <c r="AV10" s="4" t="s">
        <v>72</v>
      </c>
      <c r="AW10" s="4" t="s">
        <v>70</v>
      </c>
      <c r="AX10" s="4" t="s">
        <v>70</v>
      </c>
      <c r="AY10" s="4" t="s">
        <v>72</v>
      </c>
      <c r="AZ10" s="4" t="s">
        <v>71</v>
      </c>
      <c r="BA10" s="4" t="s">
        <v>71</v>
      </c>
      <c r="BB10" s="4" t="s">
        <v>70</v>
      </c>
      <c r="BC10" s="4" t="s">
        <v>70</v>
      </c>
      <c r="BD10" s="4" t="s">
        <v>70</v>
      </c>
      <c r="BE10" s="4" t="s">
        <v>70</v>
      </c>
      <c r="BF10" s="4" t="s">
        <v>72</v>
      </c>
      <c r="BG10" s="4" t="s">
        <v>72</v>
      </c>
      <c r="BH10" s="4" t="s">
        <v>71</v>
      </c>
      <c r="BI10" s="4" t="s">
        <v>73</v>
      </c>
      <c r="BJ10" s="4" t="s">
        <v>73</v>
      </c>
      <c r="BK10" s="4" t="s">
        <v>73</v>
      </c>
      <c r="BL10" s="4" t="s">
        <v>72</v>
      </c>
      <c r="BM10" s="4" t="s">
        <v>71</v>
      </c>
      <c r="BN10" s="4" t="s">
        <v>71</v>
      </c>
      <c r="BO10" s="4" t="s">
        <v>71</v>
      </c>
      <c r="BP10" s="4" t="s">
        <v>71</v>
      </c>
      <c r="BQ10" s="4" t="s">
        <v>70</v>
      </c>
      <c r="BR10" s="4" t="s">
        <v>71</v>
      </c>
      <c r="BS10" s="4" t="s">
        <v>70</v>
      </c>
      <c r="BT10" s="4" t="s">
        <v>70</v>
      </c>
      <c r="BU10" s="4" t="s">
        <v>70</v>
      </c>
      <c r="BV10" s="4" t="s">
        <v>71</v>
      </c>
      <c r="BW10" s="4" t="s">
        <v>71</v>
      </c>
      <c r="BX10" s="4" t="s">
        <v>71</v>
      </c>
    </row>
    <row r="11" spans="1:76">
      <c r="A11" s="4" t="s">
        <v>66</v>
      </c>
      <c r="B11" s="4" t="s">
        <v>93</v>
      </c>
      <c r="C11" s="4" t="s">
        <v>91</v>
      </c>
      <c r="D11" s="4" t="s">
        <v>94</v>
      </c>
      <c r="E11" s="4" t="s">
        <v>70</v>
      </c>
      <c r="F11" s="4" t="s">
        <v>70</v>
      </c>
      <c r="G11" s="4" t="s">
        <v>70</v>
      </c>
      <c r="H11" s="4" t="s">
        <v>70</v>
      </c>
      <c r="I11" s="4" t="s">
        <v>71</v>
      </c>
      <c r="J11" s="4" t="s">
        <v>71</v>
      </c>
      <c r="K11" s="4" t="s">
        <v>70</v>
      </c>
      <c r="L11" s="4" t="s">
        <v>72</v>
      </c>
      <c r="M11" s="4" t="s">
        <v>71</v>
      </c>
      <c r="N11" s="4" t="s">
        <v>70</v>
      </c>
      <c r="O11" s="4" t="s">
        <v>72</v>
      </c>
      <c r="P11" s="4" t="s">
        <v>71</v>
      </c>
      <c r="Q11" s="4" t="s">
        <v>72</v>
      </c>
      <c r="R11" s="4" t="s">
        <v>73</v>
      </c>
      <c r="S11" s="4" t="s">
        <v>70</v>
      </c>
      <c r="T11" s="4" t="s">
        <v>71</v>
      </c>
      <c r="U11" s="4" t="s">
        <v>71</v>
      </c>
      <c r="V11" s="4" t="s">
        <v>70</v>
      </c>
      <c r="W11" s="4" t="s">
        <v>70</v>
      </c>
      <c r="X11" s="4" t="s">
        <v>71</v>
      </c>
      <c r="Y11" s="4" t="s">
        <v>73</v>
      </c>
      <c r="Z11" s="4" t="s">
        <v>70</v>
      </c>
      <c r="AA11" s="4" t="s">
        <v>70</v>
      </c>
      <c r="AB11" s="4" t="s">
        <v>73</v>
      </c>
      <c r="AC11" s="4" t="s">
        <v>72</v>
      </c>
      <c r="AD11" s="4" t="s">
        <v>70</v>
      </c>
      <c r="AE11" s="4" t="s">
        <v>71</v>
      </c>
      <c r="AF11" s="4" t="s">
        <v>71</v>
      </c>
      <c r="AG11" s="4" t="s">
        <v>73</v>
      </c>
      <c r="AH11" s="4" t="s">
        <v>70</v>
      </c>
      <c r="AI11" s="4" t="s">
        <v>71</v>
      </c>
      <c r="AJ11" s="4" t="s">
        <v>71</v>
      </c>
      <c r="AK11" s="4" t="s">
        <v>72</v>
      </c>
      <c r="AL11" s="4" t="s">
        <v>70</v>
      </c>
      <c r="AM11" s="4" t="s">
        <v>70</v>
      </c>
      <c r="AN11" s="4" t="s">
        <v>70</v>
      </c>
      <c r="AO11" s="4" t="s">
        <v>70</v>
      </c>
      <c r="AP11" s="4" t="s">
        <v>71</v>
      </c>
      <c r="AQ11" s="4" t="s">
        <v>70</v>
      </c>
      <c r="AR11" s="4" t="s">
        <v>71</v>
      </c>
      <c r="AS11" s="4" t="s">
        <v>72</v>
      </c>
      <c r="AT11" s="4" t="s">
        <v>70</v>
      </c>
      <c r="AU11" s="4" t="s">
        <v>70</v>
      </c>
      <c r="AV11" s="4" t="s">
        <v>72</v>
      </c>
      <c r="AW11" s="4" t="s">
        <v>70</v>
      </c>
      <c r="AX11" s="4" t="s">
        <v>70</v>
      </c>
      <c r="AY11" s="4" t="s">
        <v>72</v>
      </c>
      <c r="AZ11" s="4" t="s">
        <v>71</v>
      </c>
      <c r="BA11" s="4" t="s">
        <v>71</v>
      </c>
      <c r="BB11" s="4" t="s">
        <v>71</v>
      </c>
      <c r="BC11" s="4" t="s">
        <v>70</v>
      </c>
      <c r="BD11" s="4" t="s">
        <v>70</v>
      </c>
      <c r="BE11" s="4" t="s">
        <v>70</v>
      </c>
      <c r="BF11" s="4" t="s">
        <v>72</v>
      </c>
      <c r="BG11" s="4" t="s">
        <v>72</v>
      </c>
      <c r="BH11" s="4" t="s">
        <v>71</v>
      </c>
      <c r="BI11" s="4" t="s">
        <v>73</v>
      </c>
      <c r="BJ11" s="4" t="s">
        <v>73</v>
      </c>
      <c r="BK11" s="4" t="s">
        <v>73</v>
      </c>
      <c r="BL11" s="4" t="s">
        <v>72</v>
      </c>
      <c r="BM11" s="4" t="s">
        <v>71</v>
      </c>
      <c r="BN11" s="4" t="s">
        <v>71</v>
      </c>
      <c r="BO11" s="4" t="s">
        <v>71</v>
      </c>
      <c r="BP11" s="4" t="s">
        <v>70</v>
      </c>
      <c r="BQ11" s="4" t="s">
        <v>70</v>
      </c>
      <c r="BR11" s="4" t="s">
        <v>71</v>
      </c>
      <c r="BS11" s="4" t="s">
        <v>70</v>
      </c>
      <c r="BT11" s="4" t="s">
        <v>70</v>
      </c>
      <c r="BU11" s="4" t="s">
        <v>71</v>
      </c>
      <c r="BV11" s="4" t="s">
        <v>71</v>
      </c>
      <c r="BW11" s="4" t="s">
        <v>71</v>
      </c>
      <c r="BX11" s="4" t="s">
        <v>71</v>
      </c>
    </row>
    <row r="12" spans="1:76">
      <c r="A12" s="4" t="s">
        <v>66</v>
      </c>
      <c r="B12" s="4" t="s">
        <v>95</v>
      </c>
      <c r="C12" s="4" t="s">
        <v>96</v>
      </c>
      <c r="D12" s="4" t="s">
        <v>97</v>
      </c>
      <c r="E12" s="4" t="s">
        <v>70</v>
      </c>
      <c r="F12" s="4" t="s">
        <v>71</v>
      </c>
      <c r="G12" s="4" t="s">
        <v>71</v>
      </c>
      <c r="H12" s="4" t="s">
        <v>70</v>
      </c>
      <c r="I12" s="4" t="s">
        <v>71</v>
      </c>
      <c r="J12" s="4" t="s">
        <v>71</v>
      </c>
      <c r="K12" s="4" t="s">
        <v>70</v>
      </c>
      <c r="L12" s="4" t="s">
        <v>72</v>
      </c>
      <c r="M12" s="4" t="s">
        <v>73</v>
      </c>
      <c r="N12" s="4" t="s">
        <v>70</v>
      </c>
      <c r="O12" s="4" t="s">
        <v>71</v>
      </c>
      <c r="P12" s="4" t="s">
        <v>72</v>
      </c>
      <c r="Q12" s="4" t="s">
        <v>71</v>
      </c>
      <c r="R12" s="4" t="s">
        <v>73</v>
      </c>
      <c r="S12" s="4" t="s">
        <v>70</v>
      </c>
      <c r="T12" s="10" t="s">
        <v>77</v>
      </c>
      <c r="U12" s="4" t="s">
        <v>71</v>
      </c>
      <c r="V12" s="4" t="s">
        <v>70</v>
      </c>
      <c r="W12" s="4" t="s">
        <v>70</v>
      </c>
      <c r="X12" s="4" t="s">
        <v>72</v>
      </c>
      <c r="Y12" s="4" t="s">
        <v>73</v>
      </c>
      <c r="Z12" s="4" t="s">
        <v>70</v>
      </c>
      <c r="AA12" s="4" t="s">
        <v>73</v>
      </c>
      <c r="AB12" s="4" t="s">
        <v>70</v>
      </c>
      <c r="AC12" s="4" t="s">
        <v>71</v>
      </c>
      <c r="AD12" s="4" t="s">
        <v>70</v>
      </c>
      <c r="AE12" s="4" t="s">
        <v>71</v>
      </c>
      <c r="AF12" s="4" t="s">
        <v>71</v>
      </c>
      <c r="AG12" s="4" t="s">
        <v>70</v>
      </c>
      <c r="AH12" s="4" t="s">
        <v>70</v>
      </c>
      <c r="AI12" s="4" t="s">
        <v>71</v>
      </c>
      <c r="AJ12" s="4" t="s">
        <v>71</v>
      </c>
      <c r="AK12" s="4" t="s">
        <v>72</v>
      </c>
      <c r="AL12" s="4" t="s">
        <v>71</v>
      </c>
      <c r="AM12" s="4" t="s">
        <v>70</v>
      </c>
      <c r="AN12" s="4" t="s">
        <v>72</v>
      </c>
      <c r="AO12" s="4" t="s">
        <v>73</v>
      </c>
      <c r="AP12" s="4" t="s">
        <v>73</v>
      </c>
      <c r="AQ12" s="4" t="s">
        <v>70</v>
      </c>
      <c r="AR12" s="4" t="s">
        <v>71</v>
      </c>
      <c r="AS12" s="4" t="s">
        <v>71</v>
      </c>
      <c r="AT12" s="4" t="s">
        <v>70</v>
      </c>
      <c r="AU12" s="4" t="s">
        <v>70</v>
      </c>
      <c r="AV12" s="4" t="s">
        <v>72</v>
      </c>
      <c r="AW12" s="4" t="s">
        <v>70</v>
      </c>
      <c r="AX12" s="4" t="s">
        <v>70</v>
      </c>
      <c r="AY12" s="4" t="s">
        <v>72</v>
      </c>
      <c r="AZ12" s="4" t="s">
        <v>71</v>
      </c>
      <c r="BA12" s="4" t="s">
        <v>70</v>
      </c>
      <c r="BB12" s="4" t="s">
        <v>71</v>
      </c>
      <c r="BC12" s="4" t="s">
        <v>70</v>
      </c>
      <c r="BD12" s="4" t="s">
        <v>70</v>
      </c>
      <c r="BE12" s="4" t="s">
        <v>70</v>
      </c>
      <c r="BF12" s="4" t="s">
        <v>72</v>
      </c>
      <c r="BG12" s="4" t="s">
        <v>72</v>
      </c>
      <c r="BH12" s="4" t="s">
        <v>71</v>
      </c>
      <c r="BI12" s="4" t="s">
        <v>70</v>
      </c>
      <c r="BJ12" s="4" t="s">
        <v>73</v>
      </c>
      <c r="BK12" s="4" t="s">
        <v>73</v>
      </c>
      <c r="BL12" s="4" t="s">
        <v>72</v>
      </c>
      <c r="BM12" s="4" t="s">
        <v>71</v>
      </c>
      <c r="BN12" s="4" t="s">
        <v>71</v>
      </c>
      <c r="BO12" s="4" t="s">
        <v>71</v>
      </c>
      <c r="BP12" s="4" t="s">
        <v>70</v>
      </c>
      <c r="BQ12" s="4" t="s">
        <v>71</v>
      </c>
      <c r="BR12" s="4" t="s">
        <v>71</v>
      </c>
      <c r="BS12" s="4" t="s">
        <v>70</v>
      </c>
      <c r="BT12" s="4" t="s">
        <v>70</v>
      </c>
      <c r="BU12" s="4" t="s">
        <v>71</v>
      </c>
      <c r="BV12" s="4" t="s">
        <v>70</v>
      </c>
      <c r="BW12" s="4" t="s">
        <v>70</v>
      </c>
      <c r="BX12" s="4" t="s">
        <v>71</v>
      </c>
    </row>
    <row r="13" spans="1:76">
      <c r="A13" s="4" t="s">
        <v>66</v>
      </c>
      <c r="B13" s="4" t="s">
        <v>98</v>
      </c>
      <c r="C13" s="4" t="s">
        <v>99</v>
      </c>
      <c r="D13" s="4" t="s">
        <v>100</v>
      </c>
      <c r="E13" s="4" t="s">
        <v>71</v>
      </c>
      <c r="F13" s="4" t="s">
        <v>71</v>
      </c>
      <c r="G13" s="4" t="s">
        <v>71</v>
      </c>
      <c r="H13" s="4" t="s">
        <v>70</v>
      </c>
      <c r="I13" s="4" t="s">
        <v>71</v>
      </c>
      <c r="J13" s="4" t="s">
        <v>71</v>
      </c>
      <c r="K13" s="4" t="s">
        <v>70</v>
      </c>
      <c r="L13" s="4" t="s">
        <v>72</v>
      </c>
      <c r="M13" s="4" t="s">
        <v>73</v>
      </c>
      <c r="N13" s="4" t="s">
        <v>70</v>
      </c>
      <c r="O13" s="4" t="s">
        <v>71</v>
      </c>
      <c r="P13" s="4" t="s">
        <v>72</v>
      </c>
      <c r="Q13" s="4" t="s">
        <v>71</v>
      </c>
      <c r="R13" s="4" t="s">
        <v>73</v>
      </c>
      <c r="S13" s="4" t="s">
        <v>70</v>
      </c>
      <c r="T13" s="10" t="s">
        <v>77</v>
      </c>
      <c r="U13" s="4" t="s">
        <v>71</v>
      </c>
      <c r="V13" s="4" t="s">
        <v>70</v>
      </c>
      <c r="W13" s="4" t="s">
        <v>70</v>
      </c>
      <c r="X13" s="4" t="s">
        <v>71</v>
      </c>
      <c r="Y13" s="4" t="s">
        <v>73</v>
      </c>
      <c r="Z13" s="4" t="s">
        <v>70</v>
      </c>
      <c r="AA13" s="4" t="s">
        <v>73</v>
      </c>
      <c r="AB13" s="4" t="s">
        <v>70</v>
      </c>
      <c r="AC13" s="4" t="s">
        <v>71</v>
      </c>
      <c r="AD13" s="4" t="s">
        <v>70</v>
      </c>
      <c r="AE13" s="4" t="s">
        <v>71</v>
      </c>
      <c r="AF13" s="4" t="s">
        <v>71</v>
      </c>
      <c r="AG13" s="4" t="s">
        <v>71</v>
      </c>
      <c r="AH13" s="4" t="s">
        <v>70</v>
      </c>
      <c r="AI13" s="4" t="s">
        <v>70</v>
      </c>
      <c r="AJ13" s="4" t="s">
        <v>71</v>
      </c>
      <c r="AK13" s="4" t="s">
        <v>72</v>
      </c>
      <c r="AL13" s="4" t="s">
        <v>70</v>
      </c>
      <c r="AM13" s="4" t="s">
        <v>72</v>
      </c>
      <c r="AN13" s="4" t="s">
        <v>73</v>
      </c>
      <c r="AO13" s="4" t="s">
        <v>71</v>
      </c>
      <c r="AP13" s="4" t="s">
        <v>73</v>
      </c>
      <c r="AQ13" s="4" t="s">
        <v>71</v>
      </c>
      <c r="AR13" s="4" t="s">
        <v>71</v>
      </c>
      <c r="AS13" s="4" t="s">
        <v>70</v>
      </c>
      <c r="AT13" s="4" t="s">
        <v>70</v>
      </c>
      <c r="AU13" s="4" t="s">
        <v>70</v>
      </c>
      <c r="AV13" s="4" t="s">
        <v>72</v>
      </c>
      <c r="AW13" s="4" t="s">
        <v>70</v>
      </c>
      <c r="AX13" s="4" t="s">
        <v>70</v>
      </c>
      <c r="AY13" s="4" t="s">
        <v>72</v>
      </c>
      <c r="AZ13" s="4" t="s">
        <v>71</v>
      </c>
      <c r="BA13" s="4" t="s">
        <v>71</v>
      </c>
      <c r="BB13" s="4" t="s">
        <v>70</v>
      </c>
      <c r="BC13" s="4" t="s">
        <v>70</v>
      </c>
      <c r="BD13" s="4" t="s">
        <v>70</v>
      </c>
      <c r="BE13" s="4" t="s">
        <v>70</v>
      </c>
      <c r="BF13" s="4" t="s">
        <v>72</v>
      </c>
      <c r="BG13" s="4" t="s">
        <v>72</v>
      </c>
      <c r="BH13" s="4" t="s">
        <v>71</v>
      </c>
      <c r="BI13" s="4" t="s">
        <v>70</v>
      </c>
      <c r="BJ13" s="4" t="s">
        <v>73</v>
      </c>
      <c r="BK13" s="4" t="s">
        <v>73</v>
      </c>
      <c r="BL13" s="4" t="s">
        <v>72</v>
      </c>
      <c r="BM13" s="4" t="s">
        <v>71</v>
      </c>
      <c r="BN13" s="4" t="s">
        <v>71</v>
      </c>
      <c r="BO13" s="4" t="s">
        <v>71</v>
      </c>
      <c r="BP13" s="4" t="s">
        <v>71</v>
      </c>
      <c r="BQ13" s="4" t="s">
        <v>70</v>
      </c>
      <c r="BR13" s="4" t="s">
        <v>71</v>
      </c>
      <c r="BS13" s="4" t="s">
        <v>70</v>
      </c>
      <c r="BT13" s="4" t="s">
        <v>70</v>
      </c>
      <c r="BU13" s="4" t="s">
        <v>71</v>
      </c>
      <c r="BV13" s="4" t="s">
        <v>70</v>
      </c>
      <c r="BW13" s="4" t="s">
        <v>70</v>
      </c>
      <c r="BX13" s="4" t="s">
        <v>70</v>
      </c>
    </row>
    <row r="14" spans="1:76">
      <c r="A14" s="4" t="s">
        <v>101</v>
      </c>
      <c r="B14" s="4" t="s">
        <v>102</v>
      </c>
      <c r="C14" s="4" t="s">
        <v>103</v>
      </c>
      <c r="D14" s="4" t="s">
        <v>104</v>
      </c>
      <c r="E14" s="4" t="s">
        <v>70</v>
      </c>
      <c r="F14" s="4" t="s">
        <v>70</v>
      </c>
      <c r="G14" s="4" t="s">
        <v>70</v>
      </c>
      <c r="H14" s="4" t="s">
        <v>70</v>
      </c>
      <c r="I14" s="4" t="s">
        <v>71</v>
      </c>
      <c r="J14" s="4" t="s">
        <v>72</v>
      </c>
      <c r="K14" s="4" t="s">
        <v>73</v>
      </c>
      <c r="L14" s="4" t="s">
        <v>72</v>
      </c>
      <c r="M14" s="4" t="s">
        <v>73</v>
      </c>
      <c r="N14" s="4" t="s">
        <v>70</v>
      </c>
      <c r="O14" s="4" t="s">
        <v>71</v>
      </c>
      <c r="P14" s="4" t="s">
        <v>72</v>
      </c>
      <c r="Q14" s="4" t="s">
        <v>71</v>
      </c>
      <c r="R14" s="4" t="s">
        <v>73</v>
      </c>
      <c r="S14" s="4" t="s">
        <v>70</v>
      </c>
      <c r="T14" s="4" t="s">
        <v>71</v>
      </c>
      <c r="U14" s="4" t="s">
        <v>72</v>
      </c>
      <c r="V14" s="4" t="s">
        <v>70</v>
      </c>
      <c r="W14" s="4" t="s">
        <v>70</v>
      </c>
      <c r="X14" s="4" t="s">
        <v>70</v>
      </c>
      <c r="Y14" s="4" t="s">
        <v>73</v>
      </c>
      <c r="Z14" s="4" t="s">
        <v>70</v>
      </c>
      <c r="AA14" s="4" t="s">
        <v>73</v>
      </c>
      <c r="AB14" s="4" t="s">
        <v>70</v>
      </c>
      <c r="AC14" s="4" t="s">
        <v>71</v>
      </c>
      <c r="AD14" s="4" t="s">
        <v>70</v>
      </c>
      <c r="AE14" s="4" t="s">
        <v>71</v>
      </c>
      <c r="AF14" s="4" t="s">
        <v>72</v>
      </c>
      <c r="AG14" s="4" t="s">
        <v>72</v>
      </c>
      <c r="AH14" s="4" t="s">
        <v>70</v>
      </c>
      <c r="AI14" s="4" t="s">
        <v>71</v>
      </c>
      <c r="AJ14" s="4" t="s">
        <v>73</v>
      </c>
      <c r="AK14" s="4" t="s">
        <v>72</v>
      </c>
      <c r="AL14" s="4" t="s">
        <v>70</v>
      </c>
      <c r="AM14" s="4" t="s">
        <v>70</v>
      </c>
      <c r="AN14" s="4" t="s">
        <v>71</v>
      </c>
      <c r="AO14" s="4" t="s">
        <v>73</v>
      </c>
      <c r="AP14" s="4" t="s">
        <v>72</v>
      </c>
      <c r="AQ14" s="4" t="s">
        <v>70</v>
      </c>
      <c r="AR14" s="4" t="s">
        <v>71</v>
      </c>
      <c r="AS14" s="4" t="s">
        <v>73</v>
      </c>
      <c r="AT14" s="4" t="s">
        <v>73</v>
      </c>
      <c r="AU14" s="4" t="s">
        <v>70</v>
      </c>
      <c r="AV14" s="4" t="s">
        <v>73</v>
      </c>
      <c r="AW14" s="4" t="s">
        <v>70</v>
      </c>
      <c r="AX14" s="4" t="s">
        <v>70</v>
      </c>
      <c r="AY14" s="4" t="s">
        <v>72</v>
      </c>
      <c r="AZ14" s="4" t="s">
        <v>71</v>
      </c>
      <c r="BA14" s="4" t="s">
        <v>73</v>
      </c>
      <c r="BB14" s="4" t="s">
        <v>70</v>
      </c>
      <c r="BC14" s="4" t="s">
        <v>71</v>
      </c>
      <c r="BD14" s="4" t="s">
        <v>70</v>
      </c>
      <c r="BE14" s="4" t="s">
        <v>70</v>
      </c>
      <c r="BF14" s="4" t="s">
        <v>72</v>
      </c>
      <c r="BG14" s="4" t="s">
        <v>72</v>
      </c>
      <c r="BH14" s="4" t="s">
        <v>71</v>
      </c>
      <c r="BI14" s="4" t="s">
        <v>70</v>
      </c>
      <c r="BJ14" s="4" t="s">
        <v>73</v>
      </c>
      <c r="BK14" s="4" t="s">
        <v>72</v>
      </c>
      <c r="BL14" s="4" t="s">
        <v>71</v>
      </c>
      <c r="BM14" s="4" t="s">
        <v>71</v>
      </c>
      <c r="BN14" s="4" t="s">
        <v>71</v>
      </c>
      <c r="BO14" s="4" t="s">
        <v>70</v>
      </c>
      <c r="BP14" s="4" t="s">
        <v>71</v>
      </c>
      <c r="BQ14" s="4" t="s">
        <v>72</v>
      </c>
      <c r="BR14" s="4" t="s">
        <v>72</v>
      </c>
      <c r="BS14" s="4" t="s">
        <v>73</v>
      </c>
      <c r="BT14" s="4" t="s">
        <v>70</v>
      </c>
      <c r="BU14" s="4" t="s">
        <v>71</v>
      </c>
      <c r="BV14" s="4" t="s">
        <v>72</v>
      </c>
      <c r="BW14" s="4" t="s">
        <v>71</v>
      </c>
      <c r="BX14" s="4" t="s">
        <v>71</v>
      </c>
    </row>
    <row r="15" spans="1:76">
      <c r="A15" s="4" t="s">
        <v>101</v>
      </c>
      <c r="B15" s="4" t="s">
        <v>105</v>
      </c>
      <c r="C15" s="4" t="s">
        <v>106</v>
      </c>
      <c r="D15" s="4" t="s">
        <v>107</v>
      </c>
      <c r="E15" s="4" t="s">
        <v>70</v>
      </c>
      <c r="F15" s="4" t="s">
        <v>71</v>
      </c>
      <c r="G15" s="4" t="s">
        <v>70</v>
      </c>
      <c r="H15" s="4" t="s">
        <v>71</v>
      </c>
      <c r="I15" s="4" t="s">
        <v>71</v>
      </c>
      <c r="J15" s="4" t="s">
        <v>71</v>
      </c>
      <c r="K15" s="4" t="s">
        <v>70</v>
      </c>
      <c r="L15" s="4" t="s">
        <v>72</v>
      </c>
      <c r="M15" s="4" t="s">
        <v>73</v>
      </c>
      <c r="N15" s="4" t="s">
        <v>70</v>
      </c>
      <c r="O15" s="4" t="s">
        <v>71</v>
      </c>
      <c r="P15" s="4" t="s">
        <v>72</v>
      </c>
      <c r="Q15" s="4" t="s">
        <v>71</v>
      </c>
      <c r="R15" s="4" t="s">
        <v>73</v>
      </c>
      <c r="S15" s="4" t="s">
        <v>70</v>
      </c>
      <c r="T15" s="4" t="s">
        <v>71</v>
      </c>
      <c r="U15" s="4" t="s">
        <v>72</v>
      </c>
      <c r="V15" s="4" t="s">
        <v>70</v>
      </c>
      <c r="W15" s="4" t="s">
        <v>70</v>
      </c>
      <c r="X15" s="4" t="s">
        <v>73</v>
      </c>
      <c r="Y15" s="4" t="s">
        <v>73</v>
      </c>
      <c r="Z15" s="4" t="s">
        <v>70</v>
      </c>
      <c r="AA15" s="4" t="s">
        <v>73</v>
      </c>
      <c r="AB15" s="4" t="s">
        <v>70</v>
      </c>
      <c r="AC15" s="4" t="s">
        <v>71</v>
      </c>
      <c r="AD15" s="4" t="s">
        <v>70</v>
      </c>
      <c r="AE15" s="4" t="s">
        <v>71</v>
      </c>
      <c r="AF15" s="4" t="s">
        <v>72</v>
      </c>
      <c r="AG15" s="4" t="s">
        <v>70</v>
      </c>
      <c r="AH15" s="4" t="s">
        <v>71</v>
      </c>
      <c r="AI15" s="4" t="s">
        <v>71</v>
      </c>
      <c r="AJ15" s="4" t="s">
        <v>71</v>
      </c>
      <c r="AK15" s="4" t="s">
        <v>72</v>
      </c>
      <c r="AL15" s="4" t="s">
        <v>71</v>
      </c>
      <c r="AM15" s="4" t="s">
        <v>71</v>
      </c>
      <c r="AN15" s="4" t="s">
        <v>70</v>
      </c>
      <c r="AO15" s="4" t="s">
        <v>70</v>
      </c>
      <c r="AP15" s="4" t="s">
        <v>73</v>
      </c>
      <c r="AQ15" s="4" t="s">
        <v>70</v>
      </c>
      <c r="AR15" s="4" t="s">
        <v>70</v>
      </c>
      <c r="AS15" s="4" t="s">
        <v>71</v>
      </c>
      <c r="AT15" s="4" t="s">
        <v>73</v>
      </c>
      <c r="AU15" s="4" t="s">
        <v>70</v>
      </c>
      <c r="AV15" s="4" t="s">
        <v>73</v>
      </c>
      <c r="AW15" s="4" t="s">
        <v>70</v>
      </c>
      <c r="AX15" s="4" t="s">
        <v>70</v>
      </c>
      <c r="AY15" s="4" t="s">
        <v>72</v>
      </c>
      <c r="AZ15" s="4" t="s">
        <v>71</v>
      </c>
      <c r="BA15" s="4" t="s">
        <v>72</v>
      </c>
      <c r="BB15" s="4" t="s">
        <v>71</v>
      </c>
      <c r="BC15" s="4" t="s">
        <v>73</v>
      </c>
      <c r="BD15" s="4" t="s">
        <v>70</v>
      </c>
      <c r="BE15" s="4" t="s">
        <v>70</v>
      </c>
      <c r="BF15" s="4" t="s">
        <v>72</v>
      </c>
      <c r="BG15" s="4" t="s">
        <v>72</v>
      </c>
      <c r="BH15" s="4" t="s">
        <v>71</v>
      </c>
      <c r="BI15" s="4" t="s">
        <v>70</v>
      </c>
      <c r="BJ15" s="4" t="s">
        <v>73</v>
      </c>
      <c r="BK15" s="4" t="s">
        <v>73</v>
      </c>
      <c r="BL15" s="4" t="s">
        <v>72</v>
      </c>
      <c r="BM15" s="4" t="s">
        <v>71</v>
      </c>
      <c r="BN15" s="4" t="s">
        <v>71</v>
      </c>
      <c r="BO15" s="4" t="s">
        <v>72</v>
      </c>
      <c r="BP15" s="4" t="s">
        <v>70</v>
      </c>
      <c r="BQ15" s="4" t="s">
        <v>72</v>
      </c>
      <c r="BR15" s="4" t="s">
        <v>71</v>
      </c>
      <c r="BS15" s="4" t="s">
        <v>70</v>
      </c>
      <c r="BT15" s="4" t="s">
        <v>70</v>
      </c>
      <c r="BU15" s="4" t="s">
        <v>70</v>
      </c>
      <c r="BV15" s="4" t="s">
        <v>71</v>
      </c>
      <c r="BW15" s="4" t="s">
        <v>70</v>
      </c>
      <c r="BX15" s="4" t="s">
        <v>71</v>
      </c>
    </row>
    <row r="16" spans="1:76">
      <c r="A16" s="4" t="s">
        <v>101</v>
      </c>
      <c r="B16" s="4" t="s">
        <v>108</v>
      </c>
      <c r="C16" s="4" t="s">
        <v>109</v>
      </c>
      <c r="D16" s="4" t="s">
        <v>110</v>
      </c>
      <c r="E16" s="4" t="s">
        <v>72</v>
      </c>
      <c r="F16" s="4" t="s">
        <v>70</v>
      </c>
      <c r="G16" s="4" t="s">
        <v>70</v>
      </c>
      <c r="H16" s="4" t="s">
        <v>70</v>
      </c>
      <c r="I16" s="4" t="s">
        <v>70</v>
      </c>
      <c r="J16" s="4" t="s">
        <v>72</v>
      </c>
      <c r="K16" s="4" t="s">
        <v>73</v>
      </c>
      <c r="L16" s="4" t="s">
        <v>72</v>
      </c>
      <c r="M16" s="4" t="s">
        <v>71</v>
      </c>
      <c r="N16" s="4" t="s">
        <v>70</v>
      </c>
      <c r="O16" s="4" t="s">
        <v>71</v>
      </c>
      <c r="P16" s="4" t="s">
        <v>71</v>
      </c>
      <c r="Q16" s="4" t="s">
        <v>73</v>
      </c>
      <c r="R16" s="4" t="s">
        <v>73</v>
      </c>
      <c r="S16" s="4" t="s">
        <v>70</v>
      </c>
      <c r="T16" s="10" t="s">
        <v>77</v>
      </c>
      <c r="U16" s="4" t="s">
        <v>71</v>
      </c>
      <c r="V16" s="4" t="s">
        <v>70</v>
      </c>
      <c r="W16" s="4" t="s">
        <v>70</v>
      </c>
      <c r="X16" s="4" t="s">
        <v>72</v>
      </c>
      <c r="Y16" s="4" t="s">
        <v>73</v>
      </c>
      <c r="Z16" s="4" t="s">
        <v>73</v>
      </c>
      <c r="AA16" s="4" t="s">
        <v>70</v>
      </c>
      <c r="AB16" s="4" t="s">
        <v>70</v>
      </c>
      <c r="AC16" s="4" t="s">
        <v>71</v>
      </c>
      <c r="AD16" s="4" t="s">
        <v>73</v>
      </c>
      <c r="AE16" s="4" t="s">
        <v>71</v>
      </c>
      <c r="AF16" s="4" t="s">
        <v>71</v>
      </c>
      <c r="AG16" s="4" t="s">
        <v>70</v>
      </c>
      <c r="AH16" s="4" t="s">
        <v>70</v>
      </c>
      <c r="AI16" s="4" t="s">
        <v>73</v>
      </c>
      <c r="AJ16" s="4" t="s">
        <v>72</v>
      </c>
      <c r="AK16" s="4" t="s">
        <v>72</v>
      </c>
      <c r="AL16" s="4" t="s">
        <v>71</v>
      </c>
      <c r="AM16" s="4" t="s">
        <v>72</v>
      </c>
      <c r="AN16" s="4" t="s">
        <v>70</v>
      </c>
      <c r="AO16" s="4" t="s">
        <v>73</v>
      </c>
      <c r="AP16" s="4" t="s">
        <v>72</v>
      </c>
      <c r="AQ16" s="4" t="s">
        <v>72</v>
      </c>
      <c r="AR16" s="4" t="s">
        <v>71</v>
      </c>
      <c r="AS16" s="4" t="s">
        <v>71</v>
      </c>
      <c r="AT16" s="4" t="s">
        <v>70</v>
      </c>
      <c r="AU16" s="4" t="s">
        <v>70</v>
      </c>
      <c r="AV16" s="4" t="s">
        <v>71</v>
      </c>
      <c r="AW16" s="4" t="s">
        <v>73</v>
      </c>
      <c r="AX16" s="4" t="s">
        <v>72</v>
      </c>
      <c r="AY16" s="4" t="s">
        <v>72</v>
      </c>
      <c r="AZ16" s="4" t="s">
        <v>71</v>
      </c>
      <c r="BA16" s="4" t="s">
        <v>71</v>
      </c>
      <c r="BB16" s="4" t="s">
        <v>70</v>
      </c>
      <c r="BC16" s="4" t="s">
        <v>73</v>
      </c>
      <c r="BD16" s="4" t="s">
        <v>70</v>
      </c>
      <c r="BE16" s="4" t="s">
        <v>70</v>
      </c>
      <c r="BF16" s="4" t="s">
        <v>72</v>
      </c>
      <c r="BG16" s="4" t="s">
        <v>72</v>
      </c>
      <c r="BH16" s="4" t="s">
        <v>71</v>
      </c>
      <c r="BI16" s="4" t="s">
        <v>70</v>
      </c>
      <c r="BJ16" s="4" t="s">
        <v>73</v>
      </c>
      <c r="BK16" s="4" t="s">
        <v>73</v>
      </c>
      <c r="BL16" s="4" t="s">
        <v>72</v>
      </c>
      <c r="BM16" s="4" t="s">
        <v>71</v>
      </c>
      <c r="BN16" s="4" t="s">
        <v>71</v>
      </c>
      <c r="BO16" s="4" t="s">
        <v>72</v>
      </c>
      <c r="BP16" s="4" t="s">
        <v>71</v>
      </c>
      <c r="BQ16" s="4" t="s">
        <v>70</v>
      </c>
      <c r="BR16" s="4" t="s">
        <v>72</v>
      </c>
      <c r="BS16" s="4" t="s">
        <v>73</v>
      </c>
      <c r="BT16" s="4" t="s">
        <v>71</v>
      </c>
      <c r="BU16" s="4" t="s">
        <v>71</v>
      </c>
      <c r="BV16" s="4" t="s">
        <v>71</v>
      </c>
      <c r="BW16" s="4" t="s">
        <v>71</v>
      </c>
      <c r="BX16" s="4" t="s">
        <v>73</v>
      </c>
    </row>
    <row r="17" spans="1:76">
      <c r="A17" s="4" t="s">
        <v>101</v>
      </c>
      <c r="B17" s="4" t="s">
        <v>111</v>
      </c>
      <c r="C17" s="4" t="s">
        <v>112</v>
      </c>
      <c r="D17" s="4" t="s">
        <v>113</v>
      </c>
      <c r="E17" s="4" t="s">
        <v>70</v>
      </c>
      <c r="F17" s="4" t="s">
        <v>71</v>
      </c>
      <c r="G17" s="4" t="s">
        <v>70</v>
      </c>
      <c r="H17" s="4" t="s">
        <v>70</v>
      </c>
      <c r="I17" s="4" t="s">
        <v>70</v>
      </c>
      <c r="J17" s="4" t="s">
        <v>71</v>
      </c>
      <c r="K17" s="4" t="s">
        <v>70</v>
      </c>
      <c r="L17" s="4" t="s">
        <v>72</v>
      </c>
      <c r="M17" s="4" t="s">
        <v>73</v>
      </c>
      <c r="N17" s="4" t="s">
        <v>70</v>
      </c>
      <c r="O17" s="4" t="s">
        <v>72</v>
      </c>
      <c r="P17" s="4" t="s">
        <v>72</v>
      </c>
      <c r="Q17" s="4" t="s">
        <v>71</v>
      </c>
      <c r="R17" s="4" t="s">
        <v>73</v>
      </c>
      <c r="S17" s="4" t="s">
        <v>73</v>
      </c>
      <c r="T17" s="10" t="s">
        <v>77</v>
      </c>
      <c r="U17" s="4" t="s">
        <v>72</v>
      </c>
      <c r="V17" s="4" t="s">
        <v>70</v>
      </c>
      <c r="W17" s="4" t="s">
        <v>70</v>
      </c>
      <c r="X17" s="4" t="s">
        <v>72</v>
      </c>
      <c r="Y17" s="4" t="s">
        <v>73</v>
      </c>
      <c r="Z17" s="4" t="s">
        <v>70</v>
      </c>
      <c r="AA17" s="4" t="s">
        <v>73</v>
      </c>
      <c r="AB17" s="4" t="s">
        <v>73</v>
      </c>
      <c r="AC17" s="4" t="s">
        <v>71</v>
      </c>
      <c r="AD17" s="4" t="s">
        <v>70</v>
      </c>
      <c r="AE17" s="4" t="s">
        <v>73</v>
      </c>
      <c r="AF17" s="4" t="s">
        <v>70</v>
      </c>
      <c r="AG17" s="4" t="s">
        <v>73</v>
      </c>
      <c r="AH17" s="4" t="s">
        <v>70</v>
      </c>
      <c r="AI17" s="4" t="s">
        <v>71</v>
      </c>
      <c r="AJ17" s="4" t="s">
        <v>72</v>
      </c>
      <c r="AK17" s="4" t="s">
        <v>72</v>
      </c>
      <c r="AL17" s="4" t="s">
        <v>71</v>
      </c>
      <c r="AM17" s="4" t="s">
        <v>71</v>
      </c>
      <c r="AN17" s="4" t="s">
        <v>71</v>
      </c>
      <c r="AO17" s="4" t="s">
        <v>73</v>
      </c>
      <c r="AP17" s="4" t="s">
        <v>73</v>
      </c>
      <c r="AQ17" s="4" t="s">
        <v>70</v>
      </c>
      <c r="AR17" s="4" t="s">
        <v>71</v>
      </c>
      <c r="AS17" s="4" t="s">
        <v>72</v>
      </c>
      <c r="AT17" s="4" t="s">
        <v>71</v>
      </c>
      <c r="AU17" s="4" t="s">
        <v>72</v>
      </c>
      <c r="AV17" s="4" t="s">
        <v>73</v>
      </c>
      <c r="AW17" s="4" t="s">
        <v>72</v>
      </c>
      <c r="AX17" s="10" t="s">
        <v>77</v>
      </c>
      <c r="AY17" s="4" t="s">
        <v>73</v>
      </c>
      <c r="AZ17" s="4" t="s">
        <v>71</v>
      </c>
      <c r="BA17" s="4" t="s">
        <v>70</v>
      </c>
      <c r="BB17" s="4" t="s">
        <v>73</v>
      </c>
      <c r="BC17" s="4" t="s">
        <v>70</v>
      </c>
      <c r="BD17" s="4" t="s">
        <v>70</v>
      </c>
      <c r="BE17" s="4" t="s">
        <v>70</v>
      </c>
      <c r="BF17" s="4" t="s">
        <v>72</v>
      </c>
      <c r="BG17" s="4" t="s">
        <v>72</v>
      </c>
      <c r="BH17" s="4" t="s">
        <v>71</v>
      </c>
      <c r="BI17" s="4" t="s">
        <v>70</v>
      </c>
      <c r="BJ17" s="4" t="s">
        <v>73</v>
      </c>
      <c r="BK17" s="4" t="s">
        <v>72</v>
      </c>
      <c r="BL17" s="4" t="s">
        <v>72</v>
      </c>
      <c r="BM17" s="4" t="s">
        <v>71</v>
      </c>
      <c r="BN17" s="4" t="s">
        <v>71</v>
      </c>
      <c r="BO17" s="4" t="s">
        <v>71</v>
      </c>
      <c r="BP17" s="4" t="s">
        <v>72</v>
      </c>
      <c r="BQ17" s="4" t="s">
        <v>72</v>
      </c>
      <c r="BR17" s="4" t="s">
        <v>71</v>
      </c>
      <c r="BS17" s="4" t="s">
        <v>70</v>
      </c>
      <c r="BT17" s="4" t="s">
        <v>71</v>
      </c>
      <c r="BU17" s="4" t="s">
        <v>71</v>
      </c>
      <c r="BV17" s="4" t="s">
        <v>71</v>
      </c>
      <c r="BW17" s="4" t="s">
        <v>70</v>
      </c>
      <c r="BX17" s="4" t="s">
        <v>71</v>
      </c>
    </row>
    <row r="18" spans="1:76">
      <c r="A18" s="4" t="s">
        <v>101</v>
      </c>
      <c r="B18" s="4" t="s">
        <v>114</v>
      </c>
      <c r="C18" s="4" t="s">
        <v>112</v>
      </c>
      <c r="D18" s="4" t="s">
        <v>115</v>
      </c>
      <c r="E18" s="4" t="s">
        <v>70</v>
      </c>
      <c r="F18" s="4" t="s">
        <v>71</v>
      </c>
      <c r="G18" s="4" t="s">
        <v>70</v>
      </c>
      <c r="H18" s="4" t="s">
        <v>70</v>
      </c>
      <c r="I18" s="4" t="s">
        <v>70</v>
      </c>
      <c r="J18" s="4" t="s">
        <v>73</v>
      </c>
      <c r="K18" s="4" t="s">
        <v>73</v>
      </c>
      <c r="L18" s="4" t="s">
        <v>72</v>
      </c>
      <c r="M18" s="4" t="s">
        <v>73</v>
      </c>
      <c r="N18" s="4" t="s">
        <v>70</v>
      </c>
      <c r="O18" s="4" t="s">
        <v>71</v>
      </c>
      <c r="P18" s="4" t="s">
        <v>72</v>
      </c>
      <c r="Q18" s="4" t="s">
        <v>71</v>
      </c>
      <c r="R18" s="4" t="s">
        <v>73</v>
      </c>
      <c r="S18" s="4" t="s">
        <v>70</v>
      </c>
      <c r="T18" s="4" t="s">
        <v>72</v>
      </c>
      <c r="U18" s="4" t="s">
        <v>72</v>
      </c>
      <c r="V18" s="4" t="s">
        <v>70</v>
      </c>
      <c r="W18" s="4" t="s">
        <v>70</v>
      </c>
      <c r="X18" s="4" t="s">
        <v>72</v>
      </c>
      <c r="Y18" s="4" t="s">
        <v>73</v>
      </c>
      <c r="Z18" s="4" t="s">
        <v>70</v>
      </c>
      <c r="AA18" s="4" t="s">
        <v>73</v>
      </c>
      <c r="AB18" s="4" t="s">
        <v>70</v>
      </c>
      <c r="AC18" s="4" t="s">
        <v>71</v>
      </c>
      <c r="AD18" s="4" t="s">
        <v>73</v>
      </c>
      <c r="AE18" s="4" t="s">
        <v>71</v>
      </c>
      <c r="AF18" s="4" t="s">
        <v>70</v>
      </c>
      <c r="AG18" s="4" t="s">
        <v>73</v>
      </c>
      <c r="AH18" s="4" t="s">
        <v>71</v>
      </c>
      <c r="AI18" s="4" t="s">
        <v>71</v>
      </c>
      <c r="AJ18" s="4" t="s">
        <v>72</v>
      </c>
      <c r="AK18" s="4" t="s">
        <v>72</v>
      </c>
      <c r="AL18" s="4" t="s">
        <v>70</v>
      </c>
      <c r="AM18" s="4" t="s">
        <v>71</v>
      </c>
      <c r="AN18" s="4" t="s">
        <v>71</v>
      </c>
      <c r="AO18" s="4" t="s">
        <v>73</v>
      </c>
      <c r="AP18" s="4" t="s">
        <v>73</v>
      </c>
      <c r="AQ18" s="4" t="s">
        <v>70</v>
      </c>
      <c r="AR18" s="4" t="s">
        <v>70</v>
      </c>
      <c r="AS18" s="4" t="s">
        <v>72</v>
      </c>
      <c r="AT18" s="4" t="s">
        <v>71</v>
      </c>
      <c r="AU18" s="4" t="s">
        <v>70</v>
      </c>
      <c r="AV18" s="4" t="s">
        <v>70</v>
      </c>
      <c r="AW18" s="4" t="s">
        <v>70</v>
      </c>
      <c r="AX18" s="4" t="s">
        <v>70</v>
      </c>
      <c r="AY18" s="4" t="s">
        <v>72</v>
      </c>
      <c r="AZ18" s="4" t="s">
        <v>71</v>
      </c>
      <c r="BA18" s="4" t="s">
        <v>70</v>
      </c>
      <c r="BB18" s="4" t="s">
        <v>71</v>
      </c>
      <c r="BC18" s="4" t="s">
        <v>70</v>
      </c>
      <c r="BD18" s="4" t="s">
        <v>73</v>
      </c>
      <c r="BE18" s="4" t="s">
        <v>70</v>
      </c>
      <c r="BF18" s="4" t="s">
        <v>72</v>
      </c>
      <c r="BG18" s="4" t="s">
        <v>72</v>
      </c>
      <c r="BH18" s="4" t="s">
        <v>71</v>
      </c>
      <c r="BI18" s="4" t="s">
        <v>70</v>
      </c>
      <c r="BJ18" s="4" t="s">
        <v>73</v>
      </c>
      <c r="BK18" s="4" t="s">
        <v>70</v>
      </c>
      <c r="BL18" s="4" t="s">
        <v>72</v>
      </c>
      <c r="BM18" s="4" t="s">
        <v>71</v>
      </c>
      <c r="BN18" s="4" t="s">
        <v>72</v>
      </c>
      <c r="BO18" s="4" t="s">
        <v>71</v>
      </c>
      <c r="BP18" s="4" t="s">
        <v>70</v>
      </c>
      <c r="BQ18" s="4" t="s">
        <v>72</v>
      </c>
      <c r="BR18" s="4" t="s">
        <v>72</v>
      </c>
      <c r="BS18" s="4" t="s">
        <v>72</v>
      </c>
      <c r="BT18" s="4" t="s">
        <v>71</v>
      </c>
      <c r="BU18" s="4" t="s">
        <v>71</v>
      </c>
      <c r="BV18" s="4" t="s">
        <v>71</v>
      </c>
      <c r="BW18" s="4" t="s">
        <v>70</v>
      </c>
      <c r="BX18" s="4" t="s">
        <v>71</v>
      </c>
    </row>
    <row r="19" spans="1:76">
      <c r="A19" s="4" t="s">
        <v>101</v>
      </c>
      <c r="B19" s="4" t="s">
        <v>116</v>
      </c>
      <c r="C19" s="4" t="s">
        <v>117</v>
      </c>
      <c r="D19" s="4" t="s">
        <v>118</v>
      </c>
      <c r="E19" s="4" t="s">
        <v>73</v>
      </c>
      <c r="F19" s="4" t="s">
        <v>70</v>
      </c>
      <c r="G19" s="4" t="s">
        <v>70</v>
      </c>
      <c r="H19" s="4" t="s">
        <v>71</v>
      </c>
      <c r="I19" s="4" t="s">
        <v>72</v>
      </c>
      <c r="J19" s="4" t="s">
        <v>72</v>
      </c>
      <c r="K19" s="4" t="s">
        <v>70</v>
      </c>
      <c r="L19" s="4" t="s">
        <v>72</v>
      </c>
      <c r="M19" s="4" t="s">
        <v>73</v>
      </c>
      <c r="N19" s="4" t="s">
        <v>70</v>
      </c>
      <c r="O19" s="4" t="s">
        <v>71</v>
      </c>
      <c r="P19" s="4" t="s">
        <v>72</v>
      </c>
      <c r="Q19" s="4" t="s">
        <v>71</v>
      </c>
      <c r="R19" s="4" t="s">
        <v>73</v>
      </c>
      <c r="S19" s="4" t="s">
        <v>70</v>
      </c>
      <c r="T19" s="4" t="s">
        <v>70</v>
      </c>
      <c r="U19" s="4" t="s">
        <v>72</v>
      </c>
      <c r="V19" s="4" t="s">
        <v>70</v>
      </c>
      <c r="W19" s="4" t="s">
        <v>70</v>
      </c>
      <c r="X19" s="4" t="s">
        <v>72</v>
      </c>
      <c r="Y19" s="4" t="s">
        <v>73</v>
      </c>
      <c r="Z19" s="4" t="s">
        <v>70</v>
      </c>
      <c r="AA19" s="4" t="s">
        <v>73</v>
      </c>
      <c r="AB19" s="4" t="s">
        <v>70</v>
      </c>
      <c r="AC19" s="4" t="s">
        <v>71</v>
      </c>
      <c r="AD19" s="4" t="s">
        <v>70</v>
      </c>
      <c r="AE19" s="4" t="s">
        <v>71</v>
      </c>
      <c r="AF19" s="4" t="s">
        <v>73</v>
      </c>
      <c r="AG19" s="4" t="s">
        <v>71</v>
      </c>
      <c r="AH19" s="4" t="s">
        <v>71</v>
      </c>
      <c r="AI19" s="4" t="s">
        <v>71</v>
      </c>
      <c r="AJ19" s="4" t="s">
        <v>71</v>
      </c>
      <c r="AK19" s="4" t="s">
        <v>72</v>
      </c>
      <c r="AL19" s="4" t="s">
        <v>70</v>
      </c>
      <c r="AM19" s="4" t="s">
        <v>73</v>
      </c>
      <c r="AN19" s="4" t="s">
        <v>72</v>
      </c>
      <c r="AO19" s="4" t="s">
        <v>73</v>
      </c>
      <c r="AP19" s="4" t="s">
        <v>73</v>
      </c>
      <c r="AQ19" s="4" t="s">
        <v>70</v>
      </c>
      <c r="AR19" s="4" t="s">
        <v>70</v>
      </c>
      <c r="AS19" s="4" t="s">
        <v>70</v>
      </c>
      <c r="AT19" s="4" t="s">
        <v>72</v>
      </c>
      <c r="AU19" s="4" t="s">
        <v>70</v>
      </c>
      <c r="AV19" s="4" t="s">
        <v>73</v>
      </c>
      <c r="AW19" s="4" t="s">
        <v>70</v>
      </c>
      <c r="AX19" s="4" t="s">
        <v>70</v>
      </c>
      <c r="AY19" s="4" t="s">
        <v>72</v>
      </c>
      <c r="AZ19" s="4" t="s">
        <v>71</v>
      </c>
      <c r="BA19" s="4" t="s">
        <v>70</v>
      </c>
      <c r="BB19" s="4" t="s">
        <v>70</v>
      </c>
      <c r="BC19" s="4" t="s">
        <v>72</v>
      </c>
      <c r="BD19" s="4" t="s">
        <v>70</v>
      </c>
      <c r="BE19" s="4" t="s">
        <v>70</v>
      </c>
      <c r="BF19" s="4" t="s">
        <v>72</v>
      </c>
      <c r="BG19" s="4" t="s">
        <v>72</v>
      </c>
      <c r="BH19" s="4" t="s">
        <v>71</v>
      </c>
      <c r="BI19" s="4" t="s">
        <v>73</v>
      </c>
      <c r="BJ19" s="4" t="s">
        <v>73</v>
      </c>
      <c r="BK19" s="4" t="s">
        <v>70</v>
      </c>
      <c r="BL19" s="4" t="s">
        <v>72</v>
      </c>
      <c r="BM19" s="4" t="s">
        <v>71</v>
      </c>
      <c r="BN19" s="4" t="s">
        <v>71</v>
      </c>
      <c r="BO19" s="4" t="s">
        <v>73</v>
      </c>
      <c r="BP19" s="4" t="s">
        <v>71</v>
      </c>
      <c r="BQ19" s="4" t="s">
        <v>72</v>
      </c>
      <c r="BR19" s="4" t="s">
        <v>71</v>
      </c>
      <c r="BS19" s="4" t="s">
        <v>73</v>
      </c>
      <c r="BT19" s="4" t="s">
        <v>70</v>
      </c>
      <c r="BU19" s="4" t="s">
        <v>70</v>
      </c>
      <c r="BV19" s="4" t="s">
        <v>71</v>
      </c>
      <c r="BW19" s="4" t="s">
        <v>71</v>
      </c>
      <c r="BX19" s="4" t="s">
        <v>72</v>
      </c>
    </row>
    <row r="20" spans="1:76">
      <c r="A20" s="4" t="s">
        <v>101</v>
      </c>
      <c r="B20" s="4" t="s">
        <v>119</v>
      </c>
      <c r="C20" s="4" t="s">
        <v>120</v>
      </c>
      <c r="D20" s="4" t="s">
        <v>92</v>
      </c>
      <c r="E20" s="4" t="s">
        <v>71</v>
      </c>
      <c r="F20" s="4" t="s">
        <v>70</v>
      </c>
      <c r="G20" s="4" t="s">
        <v>70</v>
      </c>
      <c r="H20" s="4" t="s">
        <v>72</v>
      </c>
      <c r="I20" s="4" t="s">
        <v>70</v>
      </c>
      <c r="J20" s="4" t="s">
        <v>73</v>
      </c>
      <c r="K20" s="4" t="s">
        <v>72</v>
      </c>
      <c r="L20" s="4" t="s">
        <v>72</v>
      </c>
      <c r="M20" s="4" t="s">
        <v>70</v>
      </c>
      <c r="N20" s="4" t="s">
        <v>70</v>
      </c>
      <c r="O20" s="4" t="s">
        <v>71</v>
      </c>
      <c r="P20" s="4" t="s">
        <v>70</v>
      </c>
      <c r="Q20" s="4" t="s">
        <v>71</v>
      </c>
      <c r="R20" s="4" t="s">
        <v>73</v>
      </c>
      <c r="S20" s="4" t="s">
        <v>70</v>
      </c>
      <c r="T20" s="4" t="s">
        <v>71</v>
      </c>
      <c r="U20" s="4" t="s">
        <v>72</v>
      </c>
      <c r="V20" s="4" t="s">
        <v>70</v>
      </c>
      <c r="W20" s="4" t="s">
        <v>70</v>
      </c>
      <c r="X20" s="4" t="s">
        <v>72</v>
      </c>
      <c r="Y20" s="4" t="s">
        <v>73</v>
      </c>
      <c r="Z20" s="4" t="s">
        <v>70</v>
      </c>
      <c r="AA20" s="4" t="s">
        <v>71</v>
      </c>
      <c r="AB20" s="4" t="s">
        <v>70</v>
      </c>
      <c r="AC20" s="4" t="s">
        <v>71</v>
      </c>
      <c r="AD20" s="4" t="s">
        <v>73</v>
      </c>
      <c r="AE20" s="4" t="s">
        <v>71</v>
      </c>
      <c r="AF20" s="4" t="s">
        <v>72</v>
      </c>
      <c r="AG20" s="4" t="s">
        <v>72</v>
      </c>
      <c r="AH20" s="4" t="s">
        <v>71</v>
      </c>
      <c r="AI20" s="4" t="s">
        <v>70</v>
      </c>
      <c r="AJ20" s="4" t="s">
        <v>72</v>
      </c>
      <c r="AK20" s="4" t="s">
        <v>72</v>
      </c>
      <c r="AL20" s="4" t="s">
        <v>71</v>
      </c>
      <c r="AM20" s="4" t="s">
        <v>70</v>
      </c>
      <c r="AN20" s="4" t="s">
        <v>70</v>
      </c>
      <c r="AO20" s="4" t="s">
        <v>70</v>
      </c>
      <c r="AP20" s="4" t="s">
        <v>73</v>
      </c>
      <c r="AQ20" s="4" t="s">
        <v>71</v>
      </c>
      <c r="AR20" s="4" t="s">
        <v>70</v>
      </c>
      <c r="AS20" s="4" t="s">
        <v>73</v>
      </c>
      <c r="AT20" s="4" t="s">
        <v>73</v>
      </c>
      <c r="AU20" s="4" t="s">
        <v>70</v>
      </c>
      <c r="AV20" s="4" t="s">
        <v>70</v>
      </c>
      <c r="AW20" s="4" t="s">
        <v>70</v>
      </c>
      <c r="AX20" s="4" t="s">
        <v>70</v>
      </c>
      <c r="AY20" s="4" t="s">
        <v>72</v>
      </c>
      <c r="AZ20" s="4" t="s">
        <v>71</v>
      </c>
      <c r="BA20" s="4" t="s">
        <v>70</v>
      </c>
      <c r="BB20" s="4" t="s">
        <v>70</v>
      </c>
      <c r="BC20" s="4" t="s">
        <v>73</v>
      </c>
      <c r="BD20" s="4" t="s">
        <v>70</v>
      </c>
      <c r="BE20" s="4" t="s">
        <v>70</v>
      </c>
      <c r="BF20" s="4" t="s">
        <v>72</v>
      </c>
      <c r="BG20" s="4" t="s">
        <v>72</v>
      </c>
      <c r="BH20" s="4" t="s">
        <v>71</v>
      </c>
      <c r="BI20" s="4" t="s">
        <v>70</v>
      </c>
      <c r="BJ20" s="4" t="s">
        <v>73</v>
      </c>
      <c r="BK20" s="4" t="s">
        <v>73</v>
      </c>
      <c r="BL20" s="4" t="s">
        <v>72</v>
      </c>
      <c r="BM20" s="4" t="s">
        <v>71</v>
      </c>
      <c r="BN20" s="4" t="s">
        <v>71</v>
      </c>
      <c r="BO20" s="4" t="s">
        <v>72</v>
      </c>
      <c r="BP20" s="4" t="s">
        <v>71</v>
      </c>
      <c r="BQ20" s="4" t="s">
        <v>72</v>
      </c>
      <c r="BR20" s="4" t="s">
        <v>73</v>
      </c>
      <c r="BS20" s="4" t="s">
        <v>72</v>
      </c>
      <c r="BT20" s="4" t="s">
        <v>71</v>
      </c>
      <c r="BU20" s="4" t="s">
        <v>73</v>
      </c>
      <c r="BV20" s="4" t="s">
        <v>71</v>
      </c>
      <c r="BW20" s="4" t="s">
        <v>71</v>
      </c>
      <c r="BX20" s="4" t="s">
        <v>70</v>
      </c>
    </row>
    <row r="21" spans="1:76">
      <c r="A21" s="4" t="s">
        <v>101</v>
      </c>
      <c r="B21" s="4" t="s">
        <v>121</v>
      </c>
      <c r="C21" s="4" t="s">
        <v>122</v>
      </c>
      <c r="D21" s="4" t="s">
        <v>123</v>
      </c>
      <c r="E21" s="4" t="s">
        <v>70</v>
      </c>
      <c r="F21" s="4" t="s">
        <v>70</v>
      </c>
      <c r="G21" s="4" t="s">
        <v>73</v>
      </c>
      <c r="H21" s="4" t="s">
        <v>70</v>
      </c>
      <c r="I21" s="4" t="s">
        <v>73</v>
      </c>
      <c r="J21" s="4" t="s">
        <v>70</v>
      </c>
      <c r="K21" s="4" t="s">
        <v>73</v>
      </c>
      <c r="L21" s="4" t="s">
        <v>72</v>
      </c>
      <c r="M21" s="4" t="s">
        <v>70</v>
      </c>
      <c r="N21" s="4" t="s">
        <v>71</v>
      </c>
      <c r="O21" s="4" t="s">
        <v>71</v>
      </c>
      <c r="P21" s="4" t="s">
        <v>70</v>
      </c>
      <c r="Q21" s="4" t="s">
        <v>70</v>
      </c>
      <c r="R21" s="4" t="s">
        <v>73</v>
      </c>
      <c r="S21" s="4" t="s">
        <v>70</v>
      </c>
      <c r="T21" s="10" t="s">
        <v>77</v>
      </c>
      <c r="U21" s="4" t="s">
        <v>71</v>
      </c>
      <c r="V21" s="4" t="s">
        <v>70</v>
      </c>
      <c r="W21" s="4" t="s">
        <v>70</v>
      </c>
      <c r="X21" s="4" t="s">
        <v>71</v>
      </c>
      <c r="Y21" s="4" t="s">
        <v>73</v>
      </c>
      <c r="Z21" s="4" t="s">
        <v>73</v>
      </c>
      <c r="AA21" s="4" t="s">
        <v>71</v>
      </c>
      <c r="AB21" s="4" t="s">
        <v>70</v>
      </c>
      <c r="AC21" s="4" t="s">
        <v>70</v>
      </c>
      <c r="AD21" s="4" t="s">
        <v>73</v>
      </c>
      <c r="AE21" s="4" t="s">
        <v>71</v>
      </c>
      <c r="AF21" s="4" t="s">
        <v>71</v>
      </c>
      <c r="AG21" s="4" t="s">
        <v>70</v>
      </c>
      <c r="AH21" s="4" t="s">
        <v>70</v>
      </c>
      <c r="AI21" s="4" t="s">
        <v>72</v>
      </c>
      <c r="AJ21" s="4" t="s">
        <v>71</v>
      </c>
      <c r="AK21" s="4" t="s">
        <v>72</v>
      </c>
      <c r="AL21" s="4" t="s">
        <v>71</v>
      </c>
      <c r="AM21" s="4" t="s">
        <v>70</v>
      </c>
      <c r="AN21" s="4" t="s">
        <v>73</v>
      </c>
      <c r="AO21" s="4" t="s">
        <v>73</v>
      </c>
      <c r="AP21" s="4" t="s">
        <v>73</v>
      </c>
      <c r="AQ21" s="4" t="s">
        <v>73</v>
      </c>
      <c r="AR21" s="4" t="s">
        <v>71</v>
      </c>
      <c r="AS21" s="4" t="s">
        <v>71</v>
      </c>
      <c r="AT21" s="4" t="s">
        <v>70</v>
      </c>
      <c r="AU21" s="4" t="s">
        <v>70</v>
      </c>
      <c r="AV21" s="4" t="s">
        <v>73</v>
      </c>
      <c r="AW21" s="4" t="s">
        <v>70</v>
      </c>
      <c r="AX21" s="4" t="s">
        <v>72</v>
      </c>
      <c r="AY21" s="4" t="s">
        <v>71</v>
      </c>
      <c r="AZ21" s="4" t="s">
        <v>71</v>
      </c>
      <c r="BA21" s="4" t="s">
        <v>70</v>
      </c>
      <c r="BB21" s="4" t="s">
        <v>70</v>
      </c>
      <c r="BC21" s="4" t="s">
        <v>70</v>
      </c>
      <c r="BD21" s="4" t="s">
        <v>70</v>
      </c>
      <c r="BE21" s="4" t="s">
        <v>70</v>
      </c>
      <c r="BF21" s="4" t="s">
        <v>72</v>
      </c>
      <c r="BG21" s="4" t="s">
        <v>72</v>
      </c>
      <c r="BH21" s="4" t="s">
        <v>71</v>
      </c>
      <c r="BI21" s="4" t="s">
        <v>73</v>
      </c>
      <c r="BJ21" s="4" t="s">
        <v>73</v>
      </c>
      <c r="BK21" s="4" t="s">
        <v>73</v>
      </c>
      <c r="BL21" s="4" t="s">
        <v>72</v>
      </c>
      <c r="BM21" s="4" t="s">
        <v>71</v>
      </c>
      <c r="BN21" s="4" t="s">
        <v>71</v>
      </c>
      <c r="BO21" s="4" t="s">
        <v>71</v>
      </c>
      <c r="BP21" s="4" t="s">
        <v>71</v>
      </c>
      <c r="BQ21" s="4" t="s">
        <v>71</v>
      </c>
      <c r="BR21" s="4" t="s">
        <v>72</v>
      </c>
      <c r="BS21" s="4" t="s">
        <v>71</v>
      </c>
      <c r="BT21" s="4" t="s">
        <v>72</v>
      </c>
      <c r="BU21" s="4" t="s">
        <v>71</v>
      </c>
      <c r="BV21" s="4" t="s">
        <v>72</v>
      </c>
      <c r="BW21" s="4" t="s">
        <v>71</v>
      </c>
      <c r="BX21" s="4" t="s">
        <v>71</v>
      </c>
    </row>
    <row r="22" spans="1:76">
      <c r="A22" s="4" t="s">
        <v>101</v>
      </c>
      <c r="B22" s="4" t="s">
        <v>124</v>
      </c>
      <c r="C22" s="4" t="s">
        <v>125</v>
      </c>
      <c r="D22" s="4" t="s">
        <v>126</v>
      </c>
      <c r="E22" s="4" t="s">
        <v>70</v>
      </c>
      <c r="F22" s="4" t="s">
        <v>71</v>
      </c>
      <c r="G22" s="4" t="s">
        <v>72</v>
      </c>
      <c r="H22" s="4" t="s">
        <v>70</v>
      </c>
      <c r="I22" s="4" t="s">
        <v>73</v>
      </c>
      <c r="J22" s="4" t="s">
        <v>72</v>
      </c>
      <c r="K22" s="4" t="s">
        <v>73</v>
      </c>
      <c r="L22" s="4" t="s">
        <v>72</v>
      </c>
      <c r="M22" s="4" t="s">
        <v>73</v>
      </c>
      <c r="N22" s="4" t="s">
        <v>70</v>
      </c>
      <c r="O22" s="4" t="s">
        <v>71</v>
      </c>
      <c r="P22" s="4" t="s">
        <v>72</v>
      </c>
      <c r="Q22" s="4" t="s">
        <v>71</v>
      </c>
      <c r="R22" s="4" t="s">
        <v>73</v>
      </c>
      <c r="S22" s="4" t="s">
        <v>70</v>
      </c>
      <c r="T22" s="4" t="s">
        <v>72</v>
      </c>
      <c r="U22" s="4" t="s">
        <v>72</v>
      </c>
      <c r="V22" s="4" t="s">
        <v>70</v>
      </c>
      <c r="W22" s="4" t="s">
        <v>70</v>
      </c>
      <c r="X22" s="4" t="s">
        <v>72</v>
      </c>
      <c r="Y22" s="4" t="s">
        <v>73</v>
      </c>
      <c r="Z22" s="4" t="s">
        <v>70</v>
      </c>
      <c r="AA22" s="4" t="s">
        <v>73</v>
      </c>
      <c r="AB22" s="4" t="s">
        <v>70</v>
      </c>
      <c r="AC22" s="4" t="s">
        <v>71</v>
      </c>
      <c r="AD22" s="4" t="s">
        <v>70</v>
      </c>
      <c r="AE22" s="4" t="s">
        <v>71</v>
      </c>
      <c r="AF22" s="4" t="s">
        <v>73</v>
      </c>
      <c r="AG22" s="4" t="s">
        <v>71</v>
      </c>
      <c r="AH22" s="4" t="s">
        <v>71</v>
      </c>
      <c r="AI22" s="4" t="s">
        <v>71</v>
      </c>
      <c r="AJ22" s="4" t="s">
        <v>72</v>
      </c>
      <c r="AK22" s="4" t="s">
        <v>72</v>
      </c>
      <c r="AL22" s="4" t="s">
        <v>70</v>
      </c>
      <c r="AM22" s="4" t="s">
        <v>70</v>
      </c>
      <c r="AN22" s="4" t="s">
        <v>72</v>
      </c>
      <c r="AO22" s="4" t="s">
        <v>73</v>
      </c>
      <c r="AP22" s="4" t="s">
        <v>73</v>
      </c>
      <c r="AQ22" s="4" t="s">
        <v>70</v>
      </c>
      <c r="AR22" s="4" t="s">
        <v>70</v>
      </c>
      <c r="AS22" s="4" t="s">
        <v>70</v>
      </c>
      <c r="AT22" s="4" t="s">
        <v>72</v>
      </c>
      <c r="AU22" s="4" t="s">
        <v>70</v>
      </c>
      <c r="AV22" s="4" t="s">
        <v>73</v>
      </c>
      <c r="AW22" s="4" t="s">
        <v>70</v>
      </c>
      <c r="AX22" s="4" t="s">
        <v>70</v>
      </c>
      <c r="AY22" s="4" t="s">
        <v>72</v>
      </c>
      <c r="AZ22" s="4" t="s">
        <v>71</v>
      </c>
      <c r="BA22" s="4" t="s">
        <v>70</v>
      </c>
      <c r="BB22" s="4" t="s">
        <v>70</v>
      </c>
      <c r="BC22" s="4" t="s">
        <v>71</v>
      </c>
      <c r="BD22" s="4" t="s">
        <v>73</v>
      </c>
      <c r="BE22" s="4" t="s">
        <v>70</v>
      </c>
      <c r="BF22" s="4" t="s">
        <v>72</v>
      </c>
      <c r="BG22" s="4" t="s">
        <v>72</v>
      </c>
      <c r="BH22" s="4" t="s">
        <v>71</v>
      </c>
      <c r="BI22" s="4" t="s">
        <v>70</v>
      </c>
      <c r="BJ22" s="4" t="s">
        <v>73</v>
      </c>
      <c r="BK22" s="4" t="s">
        <v>73</v>
      </c>
      <c r="BL22" s="4" t="s">
        <v>72</v>
      </c>
      <c r="BM22" s="4" t="s">
        <v>71</v>
      </c>
      <c r="BN22" s="4" t="s">
        <v>72</v>
      </c>
      <c r="BO22" s="4" t="s">
        <v>70</v>
      </c>
      <c r="BP22" s="4" t="s">
        <v>71</v>
      </c>
      <c r="BQ22" s="4" t="s">
        <v>71</v>
      </c>
      <c r="BR22" s="4" t="s">
        <v>72</v>
      </c>
      <c r="BS22" s="4" t="s">
        <v>73</v>
      </c>
      <c r="BT22" s="4" t="s">
        <v>72</v>
      </c>
      <c r="BU22" s="4" t="s">
        <v>71</v>
      </c>
      <c r="BV22" s="4" t="s">
        <v>73</v>
      </c>
      <c r="BW22" s="4" t="s">
        <v>70</v>
      </c>
      <c r="BX22" s="4" t="s">
        <v>71</v>
      </c>
    </row>
    <row r="23" spans="1:76">
      <c r="A23" s="4" t="s">
        <v>101</v>
      </c>
      <c r="B23" s="4" t="s">
        <v>127</v>
      </c>
      <c r="C23" s="4" t="s">
        <v>125</v>
      </c>
      <c r="D23" s="4" t="s">
        <v>126</v>
      </c>
      <c r="E23" s="4" t="s">
        <v>70</v>
      </c>
      <c r="F23" s="4" t="s">
        <v>71</v>
      </c>
      <c r="G23" s="4" t="s">
        <v>72</v>
      </c>
      <c r="H23" s="4" t="s">
        <v>70</v>
      </c>
      <c r="I23" s="4" t="s">
        <v>73</v>
      </c>
      <c r="J23" s="4" t="s">
        <v>72</v>
      </c>
      <c r="K23" s="4" t="s">
        <v>73</v>
      </c>
      <c r="L23" s="4" t="s">
        <v>72</v>
      </c>
      <c r="M23" s="4" t="s">
        <v>70</v>
      </c>
      <c r="N23" s="4" t="s">
        <v>70</v>
      </c>
      <c r="O23" s="4" t="s">
        <v>71</v>
      </c>
      <c r="P23" s="4" t="s">
        <v>72</v>
      </c>
      <c r="Q23" s="4" t="s">
        <v>71</v>
      </c>
      <c r="R23" s="4" t="s">
        <v>73</v>
      </c>
      <c r="S23" s="4" t="s">
        <v>70</v>
      </c>
      <c r="T23" s="4" t="s">
        <v>72</v>
      </c>
      <c r="U23" s="4" t="s">
        <v>72</v>
      </c>
      <c r="V23" s="4" t="s">
        <v>70</v>
      </c>
      <c r="W23" s="4" t="s">
        <v>70</v>
      </c>
      <c r="X23" s="4" t="s">
        <v>72</v>
      </c>
      <c r="Y23" s="4" t="s">
        <v>73</v>
      </c>
      <c r="Z23" s="4" t="s">
        <v>70</v>
      </c>
      <c r="AA23" s="4" t="s">
        <v>73</v>
      </c>
      <c r="AB23" s="4" t="s">
        <v>70</v>
      </c>
      <c r="AC23" s="4" t="s">
        <v>71</v>
      </c>
      <c r="AD23" s="4" t="s">
        <v>70</v>
      </c>
      <c r="AE23" s="4" t="s">
        <v>71</v>
      </c>
      <c r="AF23" s="4" t="s">
        <v>73</v>
      </c>
      <c r="AG23" s="4" t="s">
        <v>71</v>
      </c>
      <c r="AH23" s="4" t="s">
        <v>71</v>
      </c>
      <c r="AI23" s="4" t="s">
        <v>71</v>
      </c>
      <c r="AJ23" s="4" t="s">
        <v>72</v>
      </c>
      <c r="AK23" s="4" t="s">
        <v>72</v>
      </c>
      <c r="AL23" s="4" t="s">
        <v>70</v>
      </c>
      <c r="AM23" s="4" t="s">
        <v>70</v>
      </c>
      <c r="AN23" s="4" t="s">
        <v>72</v>
      </c>
      <c r="AO23" s="4" t="s">
        <v>73</v>
      </c>
      <c r="AP23" s="4" t="s">
        <v>73</v>
      </c>
      <c r="AQ23" s="4" t="s">
        <v>70</v>
      </c>
      <c r="AR23" s="4" t="s">
        <v>70</v>
      </c>
      <c r="AS23" s="4" t="s">
        <v>70</v>
      </c>
      <c r="AT23" s="4" t="s">
        <v>72</v>
      </c>
      <c r="AU23" s="4" t="s">
        <v>70</v>
      </c>
      <c r="AV23" s="4" t="s">
        <v>73</v>
      </c>
      <c r="AW23" s="4" t="s">
        <v>70</v>
      </c>
      <c r="AX23" s="4" t="s">
        <v>70</v>
      </c>
      <c r="AY23" s="4" t="s">
        <v>72</v>
      </c>
      <c r="AZ23" s="4" t="s">
        <v>71</v>
      </c>
      <c r="BA23" s="4" t="s">
        <v>71</v>
      </c>
      <c r="BB23" s="4" t="s">
        <v>71</v>
      </c>
      <c r="BC23" s="4" t="s">
        <v>71</v>
      </c>
      <c r="BD23" s="4" t="s">
        <v>73</v>
      </c>
      <c r="BE23" s="4" t="s">
        <v>70</v>
      </c>
      <c r="BF23" s="4" t="s">
        <v>72</v>
      </c>
      <c r="BG23" s="4" t="s">
        <v>72</v>
      </c>
      <c r="BH23" s="4" t="s">
        <v>71</v>
      </c>
      <c r="BI23" s="4" t="s">
        <v>70</v>
      </c>
      <c r="BJ23" s="4" t="s">
        <v>73</v>
      </c>
      <c r="BK23" s="4" t="s">
        <v>71</v>
      </c>
      <c r="BL23" s="4" t="s">
        <v>72</v>
      </c>
      <c r="BM23" s="4" t="s">
        <v>71</v>
      </c>
      <c r="BN23" s="4" t="s">
        <v>72</v>
      </c>
      <c r="BO23" s="4" t="s">
        <v>70</v>
      </c>
      <c r="BP23" s="4" t="s">
        <v>70</v>
      </c>
      <c r="BQ23" s="4" t="s">
        <v>70</v>
      </c>
      <c r="BR23" s="4" t="s">
        <v>72</v>
      </c>
      <c r="BS23" s="4" t="s">
        <v>73</v>
      </c>
      <c r="BT23" s="4" t="s">
        <v>72</v>
      </c>
      <c r="BU23" s="4" t="s">
        <v>71</v>
      </c>
      <c r="BV23" s="4" t="s">
        <v>73</v>
      </c>
      <c r="BW23" s="4" t="s">
        <v>70</v>
      </c>
      <c r="BX23" s="4" t="s">
        <v>71</v>
      </c>
    </row>
    <row r="24" spans="1:76">
      <c r="A24" s="4" t="s">
        <v>101</v>
      </c>
      <c r="B24" s="4" t="s">
        <v>128</v>
      </c>
      <c r="C24" s="4" t="s">
        <v>129</v>
      </c>
      <c r="D24" s="4" t="s">
        <v>130</v>
      </c>
      <c r="E24" s="4" t="s">
        <v>70</v>
      </c>
      <c r="F24" s="4" t="s">
        <v>71</v>
      </c>
      <c r="G24" s="4" t="s">
        <v>70</v>
      </c>
      <c r="H24" s="4" t="s">
        <v>72</v>
      </c>
      <c r="I24" s="4" t="s">
        <v>71</v>
      </c>
      <c r="J24" s="4" t="s">
        <v>71</v>
      </c>
      <c r="K24" s="4" t="s">
        <v>70</v>
      </c>
      <c r="L24" s="4" t="s">
        <v>72</v>
      </c>
      <c r="M24" s="4" t="s">
        <v>73</v>
      </c>
      <c r="N24" s="4" t="s">
        <v>70</v>
      </c>
      <c r="O24" s="4" t="s">
        <v>71</v>
      </c>
      <c r="P24" s="4" t="s">
        <v>72</v>
      </c>
      <c r="Q24" s="4" t="s">
        <v>71</v>
      </c>
      <c r="R24" s="4" t="s">
        <v>73</v>
      </c>
      <c r="S24" s="4" t="s">
        <v>70</v>
      </c>
      <c r="T24" s="4" t="s">
        <v>72</v>
      </c>
      <c r="U24" s="4" t="s">
        <v>72</v>
      </c>
      <c r="V24" s="4" t="s">
        <v>70</v>
      </c>
      <c r="W24" s="4" t="s">
        <v>70</v>
      </c>
      <c r="X24" s="4" t="s">
        <v>72</v>
      </c>
      <c r="Y24" s="4" t="s">
        <v>73</v>
      </c>
      <c r="Z24" s="4" t="s">
        <v>70</v>
      </c>
      <c r="AA24" s="4" t="s">
        <v>73</v>
      </c>
      <c r="AB24" s="4" t="s">
        <v>70</v>
      </c>
      <c r="AC24" s="4" t="s">
        <v>71</v>
      </c>
      <c r="AD24" s="4" t="s">
        <v>73</v>
      </c>
      <c r="AE24" s="4" t="s">
        <v>71</v>
      </c>
      <c r="AF24" s="4" t="s">
        <v>71</v>
      </c>
      <c r="AG24" s="4" t="s">
        <v>73</v>
      </c>
      <c r="AH24" s="4" t="s">
        <v>71</v>
      </c>
      <c r="AI24" s="4" t="s">
        <v>71</v>
      </c>
      <c r="AJ24" s="4" t="s">
        <v>72</v>
      </c>
      <c r="AK24" s="4" t="s">
        <v>72</v>
      </c>
      <c r="AL24" s="4" t="s">
        <v>70</v>
      </c>
      <c r="AM24" s="4" t="s">
        <v>73</v>
      </c>
      <c r="AN24" s="4" t="s">
        <v>71</v>
      </c>
      <c r="AO24" s="4" t="s">
        <v>73</v>
      </c>
      <c r="AP24" s="4" t="s">
        <v>72</v>
      </c>
      <c r="AQ24" s="4" t="s">
        <v>70</v>
      </c>
      <c r="AR24" s="4" t="s">
        <v>70</v>
      </c>
      <c r="AS24" s="4" t="s">
        <v>72</v>
      </c>
      <c r="AT24" s="4" t="s">
        <v>70</v>
      </c>
      <c r="AU24" s="4" t="s">
        <v>70</v>
      </c>
      <c r="AV24" s="4" t="s">
        <v>70</v>
      </c>
      <c r="AW24" s="4" t="s">
        <v>70</v>
      </c>
      <c r="AX24" s="4" t="s">
        <v>70</v>
      </c>
      <c r="AY24" s="4" t="s">
        <v>72</v>
      </c>
      <c r="AZ24" s="4" t="s">
        <v>71</v>
      </c>
      <c r="BA24" s="4" t="s">
        <v>70</v>
      </c>
      <c r="BB24" s="4" t="s">
        <v>70</v>
      </c>
      <c r="BC24" s="4" t="s">
        <v>72</v>
      </c>
      <c r="BD24" s="4" t="s">
        <v>70</v>
      </c>
      <c r="BE24" s="4" t="s">
        <v>70</v>
      </c>
      <c r="BF24" s="4" t="s">
        <v>72</v>
      </c>
      <c r="BG24" s="4" t="s">
        <v>72</v>
      </c>
      <c r="BH24" s="4" t="s">
        <v>71</v>
      </c>
      <c r="BI24" s="4" t="s">
        <v>70</v>
      </c>
      <c r="BJ24" s="4" t="s">
        <v>73</v>
      </c>
      <c r="BK24" s="4" t="s">
        <v>70</v>
      </c>
      <c r="BL24" s="4" t="s">
        <v>72</v>
      </c>
      <c r="BM24" s="4" t="s">
        <v>71</v>
      </c>
      <c r="BN24" s="4" t="s">
        <v>71</v>
      </c>
      <c r="BO24" s="4" t="s">
        <v>73</v>
      </c>
      <c r="BP24" s="4" t="s">
        <v>71</v>
      </c>
      <c r="BQ24" s="4" t="s">
        <v>72</v>
      </c>
      <c r="BR24" s="4" t="s">
        <v>71</v>
      </c>
      <c r="BS24" s="4" t="s">
        <v>70</v>
      </c>
      <c r="BT24" s="4" t="s">
        <v>70</v>
      </c>
      <c r="BU24" s="4" t="s">
        <v>73</v>
      </c>
      <c r="BV24" s="4" t="s">
        <v>71</v>
      </c>
      <c r="BW24" s="4" t="s">
        <v>70</v>
      </c>
      <c r="BX24" s="4" t="s">
        <v>71</v>
      </c>
    </row>
    <row r="25" spans="1:76">
      <c r="A25" s="4" t="s">
        <v>131</v>
      </c>
      <c r="B25" s="4" t="s">
        <v>132</v>
      </c>
      <c r="C25" s="4" t="s">
        <v>103</v>
      </c>
      <c r="D25" s="4" t="s">
        <v>133</v>
      </c>
      <c r="E25" s="4" t="s">
        <v>70</v>
      </c>
      <c r="F25" s="4" t="s">
        <v>70</v>
      </c>
      <c r="G25" s="4" t="s">
        <v>70</v>
      </c>
      <c r="H25" s="4" t="s">
        <v>71</v>
      </c>
      <c r="I25" s="4" t="s">
        <v>72</v>
      </c>
      <c r="J25" s="4" t="s">
        <v>71</v>
      </c>
      <c r="K25" s="4" t="s">
        <v>70</v>
      </c>
      <c r="L25" s="4" t="s">
        <v>72</v>
      </c>
      <c r="M25" s="4" t="s">
        <v>73</v>
      </c>
      <c r="N25" s="4" t="s">
        <v>70</v>
      </c>
      <c r="O25" s="4" t="s">
        <v>73</v>
      </c>
      <c r="P25" s="4" t="s">
        <v>72</v>
      </c>
      <c r="Q25" s="4" t="s">
        <v>71</v>
      </c>
      <c r="R25" s="4" t="s">
        <v>73</v>
      </c>
      <c r="S25" s="4" t="s">
        <v>70</v>
      </c>
      <c r="T25" s="10" t="s">
        <v>77</v>
      </c>
      <c r="U25" s="4" t="s">
        <v>72</v>
      </c>
      <c r="V25" s="4" t="s">
        <v>70</v>
      </c>
      <c r="W25" s="4" t="s">
        <v>70</v>
      </c>
      <c r="X25" s="4" t="s">
        <v>71</v>
      </c>
      <c r="Y25" s="4" t="s">
        <v>73</v>
      </c>
      <c r="Z25" s="4" t="s">
        <v>70</v>
      </c>
      <c r="AA25" s="4" t="s">
        <v>73</v>
      </c>
      <c r="AB25" s="4" t="s">
        <v>72</v>
      </c>
      <c r="AC25" s="4" t="s">
        <v>71</v>
      </c>
      <c r="AD25" s="4" t="s">
        <v>70</v>
      </c>
      <c r="AE25" s="4" t="s">
        <v>71</v>
      </c>
      <c r="AF25" s="4" t="s">
        <v>72</v>
      </c>
      <c r="AG25" s="4" t="s">
        <v>72</v>
      </c>
      <c r="AH25" s="4" t="s">
        <v>71</v>
      </c>
      <c r="AI25" s="4" t="s">
        <v>71</v>
      </c>
      <c r="AJ25" s="4" t="s">
        <v>72</v>
      </c>
      <c r="AK25" s="4" t="s">
        <v>72</v>
      </c>
      <c r="AL25" s="4" t="s">
        <v>71</v>
      </c>
      <c r="AM25" s="4" t="s">
        <v>70</v>
      </c>
      <c r="AN25" s="4" t="s">
        <v>71</v>
      </c>
      <c r="AO25" s="4" t="s">
        <v>73</v>
      </c>
      <c r="AP25" s="4" t="s">
        <v>73</v>
      </c>
      <c r="AQ25" s="4" t="s">
        <v>70</v>
      </c>
      <c r="AR25" s="4" t="s">
        <v>70</v>
      </c>
      <c r="AS25" s="4" t="s">
        <v>73</v>
      </c>
      <c r="AT25" s="4" t="s">
        <v>73</v>
      </c>
      <c r="AU25" s="4" t="s">
        <v>70</v>
      </c>
      <c r="AV25" s="4" t="s">
        <v>73</v>
      </c>
      <c r="AW25" s="4" t="s">
        <v>70</v>
      </c>
      <c r="AX25" s="4" t="s">
        <v>70</v>
      </c>
      <c r="AY25" s="4" t="s">
        <v>71</v>
      </c>
      <c r="AZ25" s="4" t="s">
        <v>71</v>
      </c>
      <c r="BA25" s="4" t="s">
        <v>71</v>
      </c>
      <c r="BB25" s="4" t="s">
        <v>70</v>
      </c>
      <c r="BC25" s="4" t="s">
        <v>70</v>
      </c>
      <c r="BD25" s="4" t="s">
        <v>70</v>
      </c>
      <c r="BE25" s="4" t="s">
        <v>70</v>
      </c>
      <c r="BF25" s="4" t="s">
        <v>72</v>
      </c>
      <c r="BG25" s="4" t="s">
        <v>72</v>
      </c>
      <c r="BH25" s="4" t="s">
        <v>71</v>
      </c>
      <c r="BI25" s="4" t="s">
        <v>73</v>
      </c>
      <c r="BJ25" s="4" t="s">
        <v>73</v>
      </c>
      <c r="BK25" s="4" t="s">
        <v>73</v>
      </c>
      <c r="BL25" s="4" t="s">
        <v>72</v>
      </c>
      <c r="BM25" s="4" t="s">
        <v>71</v>
      </c>
      <c r="BN25" s="4" t="s">
        <v>71</v>
      </c>
      <c r="BO25" s="4" t="s">
        <v>71</v>
      </c>
      <c r="BP25" s="4" t="s">
        <v>71</v>
      </c>
      <c r="BQ25" s="4" t="s">
        <v>70</v>
      </c>
      <c r="BR25" s="4" t="s">
        <v>71</v>
      </c>
      <c r="BS25" s="4" t="s">
        <v>70</v>
      </c>
      <c r="BT25" s="4" t="s">
        <v>73</v>
      </c>
      <c r="BU25" s="4" t="s">
        <v>70</v>
      </c>
      <c r="BV25" s="4" t="s">
        <v>72</v>
      </c>
      <c r="BW25" s="4" t="s">
        <v>71</v>
      </c>
      <c r="BX25" s="4" t="s">
        <v>71</v>
      </c>
    </row>
    <row r="26" spans="1:76">
      <c r="A26" s="4" t="s">
        <v>131</v>
      </c>
      <c r="B26" s="4" t="s">
        <v>134</v>
      </c>
      <c r="C26" s="4" t="s">
        <v>103</v>
      </c>
      <c r="D26" s="4" t="s">
        <v>104</v>
      </c>
      <c r="E26" s="4" t="s">
        <v>70</v>
      </c>
      <c r="F26" s="4" t="s">
        <v>70</v>
      </c>
      <c r="G26" s="4" t="s">
        <v>70</v>
      </c>
      <c r="H26" s="4" t="s">
        <v>71</v>
      </c>
      <c r="I26" s="4" t="s">
        <v>72</v>
      </c>
      <c r="J26" s="4" t="s">
        <v>71</v>
      </c>
      <c r="K26" s="4" t="s">
        <v>70</v>
      </c>
      <c r="L26" s="4" t="s">
        <v>72</v>
      </c>
      <c r="M26" s="4" t="s">
        <v>73</v>
      </c>
      <c r="N26" s="4" t="s">
        <v>70</v>
      </c>
      <c r="O26" s="4" t="s">
        <v>73</v>
      </c>
      <c r="P26" s="4" t="s">
        <v>72</v>
      </c>
      <c r="Q26" s="4" t="s">
        <v>71</v>
      </c>
      <c r="R26" s="4" t="s">
        <v>73</v>
      </c>
      <c r="S26" s="4" t="s">
        <v>70</v>
      </c>
      <c r="T26" s="10" t="s">
        <v>77</v>
      </c>
      <c r="U26" s="4" t="s">
        <v>70</v>
      </c>
      <c r="V26" s="4" t="s">
        <v>70</v>
      </c>
      <c r="W26" s="4" t="s">
        <v>70</v>
      </c>
      <c r="X26" s="4" t="s">
        <v>72</v>
      </c>
      <c r="Y26" s="4" t="s">
        <v>73</v>
      </c>
      <c r="Z26" s="4" t="s">
        <v>70</v>
      </c>
      <c r="AA26" s="4" t="s">
        <v>73</v>
      </c>
      <c r="AB26" s="4" t="s">
        <v>72</v>
      </c>
      <c r="AC26" s="4" t="s">
        <v>71</v>
      </c>
      <c r="AD26" s="4" t="s">
        <v>73</v>
      </c>
      <c r="AE26" s="4" t="s">
        <v>71</v>
      </c>
      <c r="AF26" s="4" t="s">
        <v>72</v>
      </c>
      <c r="AG26" s="4" t="s">
        <v>71</v>
      </c>
      <c r="AH26" s="4" t="s">
        <v>71</v>
      </c>
      <c r="AI26" s="4" t="s">
        <v>71</v>
      </c>
      <c r="AJ26" s="4" t="s">
        <v>72</v>
      </c>
      <c r="AK26" s="4" t="s">
        <v>72</v>
      </c>
      <c r="AL26" s="4" t="s">
        <v>70</v>
      </c>
      <c r="AM26" s="4" t="s">
        <v>70</v>
      </c>
      <c r="AN26" s="4" t="s">
        <v>71</v>
      </c>
      <c r="AO26" s="4" t="s">
        <v>73</v>
      </c>
      <c r="AP26" s="4" t="s">
        <v>72</v>
      </c>
      <c r="AQ26" s="4" t="s">
        <v>70</v>
      </c>
      <c r="AR26" s="4" t="s">
        <v>70</v>
      </c>
      <c r="AS26" s="4" t="s">
        <v>70</v>
      </c>
      <c r="AT26" s="4" t="s">
        <v>73</v>
      </c>
      <c r="AU26" s="4" t="s">
        <v>70</v>
      </c>
      <c r="AV26" s="4" t="s">
        <v>73</v>
      </c>
      <c r="AW26" s="4" t="s">
        <v>70</v>
      </c>
      <c r="AX26" s="4" t="s">
        <v>70</v>
      </c>
      <c r="AY26" s="4" t="s">
        <v>71</v>
      </c>
      <c r="AZ26" s="4" t="s">
        <v>71</v>
      </c>
      <c r="BA26" s="4" t="s">
        <v>71</v>
      </c>
      <c r="BB26" s="4" t="s">
        <v>71</v>
      </c>
      <c r="BC26" s="4" t="s">
        <v>70</v>
      </c>
      <c r="BD26" s="4" t="s">
        <v>70</v>
      </c>
      <c r="BE26" s="4" t="s">
        <v>70</v>
      </c>
      <c r="BF26" s="4" t="s">
        <v>72</v>
      </c>
      <c r="BG26" s="4" t="s">
        <v>72</v>
      </c>
      <c r="BH26" s="4" t="s">
        <v>71</v>
      </c>
      <c r="BI26" s="4" t="s">
        <v>73</v>
      </c>
      <c r="BJ26" s="4" t="s">
        <v>73</v>
      </c>
      <c r="BK26" s="4" t="s">
        <v>73</v>
      </c>
      <c r="BL26" s="4" t="s">
        <v>72</v>
      </c>
      <c r="BM26" s="4" t="s">
        <v>71</v>
      </c>
      <c r="BN26" s="4" t="s">
        <v>71</v>
      </c>
      <c r="BO26" s="4" t="s">
        <v>71</v>
      </c>
      <c r="BP26" s="4" t="s">
        <v>70</v>
      </c>
      <c r="BQ26" s="4" t="s">
        <v>70</v>
      </c>
      <c r="BR26" s="4" t="s">
        <v>71</v>
      </c>
      <c r="BS26" s="4" t="s">
        <v>70</v>
      </c>
      <c r="BT26" s="4" t="s">
        <v>73</v>
      </c>
      <c r="BU26" s="4" t="s">
        <v>70</v>
      </c>
      <c r="BV26" s="4" t="s">
        <v>72</v>
      </c>
      <c r="BW26" s="4" t="s">
        <v>71</v>
      </c>
      <c r="BX26" s="4" t="s">
        <v>71</v>
      </c>
    </row>
    <row r="27" spans="1:76">
      <c r="A27" s="4" t="s">
        <v>131</v>
      </c>
      <c r="B27" s="4" t="s">
        <v>135</v>
      </c>
      <c r="C27" s="4" t="s">
        <v>103</v>
      </c>
      <c r="D27" s="4" t="s">
        <v>136</v>
      </c>
      <c r="E27" s="4" t="s">
        <v>70</v>
      </c>
      <c r="F27" s="4" t="s">
        <v>70</v>
      </c>
      <c r="G27" s="4" t="s">
        <v>70</v>
      </c>
      <c r="H27" s="4" t="s">
        <v>71</v>
      </c>
      <c r="I27" s="4" t="s">
        <v>71</v>
      </c>
      <c r="J27" s="4" t="s">
        <v>71</v>
      </c>
      <c r="K27" s="4" t="s">
        <v>73</v>
      </c>
      <c r="L27" s="4" t="s">
        <v>72</v>
      </c>
      <c r="M27" s="4" t="s">
        <v>73</v>
      </c>
      <c r="N27" s="4" t="s">
        <v>70</v>
      </c>
      <c r="O27" s="4" t="s">
        <v>71</v>
      </c>
      <c r="P27" s="4" t="s">
        <v>72</v>
      </c>
      <c r="Q27" s="4" t="s">
        <v>71</v>
      </c>
      <c r="R27" s="4" t="s">
        <v>73</v>
      </c>
      <c r="S27" s="4" t="s">
        <v>70</v>
      </c>
      <c r="T27" s="10" t="s">
        <v>77</v>
      </c>
      <c r="U27" s="4" t="s">
        <v>72</v>
      </c>
      <c r="V27" s="4" t="s">
        <v>70</v>
      </c>
      <c r="W27" s="4" t="s">
        <v>70</v>
      </c>
      <c r="X27" s="4" t="s">
        <v>72</v>
      </c>
      <c r="Y27" s="4" t="s">
        <v>73</v>
      </c>
      <c r="Z27" s="4" t="s">
        <v>70</v>
      </c>
      <c r="AA27" s="4" t="s">
        <v>73</v>
      </c>
      <c r="AB27" s="4" t="s">
        <v>70</v>
      </c>
      <c r="AC27" s="4" t="s">
        <v>72</v>
      </c>
      <c r="AD27" s="4" t="s">
        <v>70</v>
      </c>
      <c r="AE27" s="4" t="s">
        <v>71</v>
      </c>
      <c r="AF27" s="4" t="s">
        <v>71</v>
      </c>
      <c r="AG27" s="4" t="s">
        <v>72</v>
      </c>
      <c r="AH27" s="4" t="s">
        <v>71</v>
      </c>
      <c r="AI27" s="4" t="s">
        <v>71</v>
      </c>
      <c r="AJ27" s="4" t="s">
        <v>72</v>
      </c>
      <c r="AK27" s="4" t="s">
        <v>72</v>
      </c>
      <c r="AL27" s="4" t="s">
        <v>72</v>
      </c>
      <c r="AM27" s="4" t="s">
        <v>70</v>
      </c>
      <c r="AN27" s="4" t="s">
        <v>71</v>
      </c>
      <c r="AO27" s="4" t="s">
        <v>73</v>
      </c>
      <c r="AP27" s="4" t="s">
        <v>73</v>
      </c>
      <c r="AQ27" s="4" t="s">
        <v>70</v>
      </c>
      <c r="AR27" s="4" t="s">
        <v>70</v>
      </c>
      <c r="AS27" s="4" t="s">
        <v>73</v>
      </c>
      <c r="AT27" s="4" t="s">
        <v>70</v>
      </c>
      <c r="AU27" s="4" t="s">
        <v>70</v>
      </c>
      <c r="AV27" s="4" t="s">
        <v>73</v>
      </c>
      <c r="AW27" s="4" t="s">
        <v>72</v>
      </c>
      <c r="AX27" s="4" t="s">
        <v>70</v>
      </c>
      <c r="AY27" s="4" t="s">
        <v>71</v>
      </c>
      <c r="AZ27" s="4" t="s">
        <v>71</v>
      </c>
      <c r="BA27" s="4" t="s">
        <v>71</v>
      </c>
      <c r="BB27" s="4" t="s">
        <v>73</v>
      </c>
      <c r="BC27" s="4" t="s">
        <v>70</v>
      </c>
      <c r="BD27" s="4" t="s">
        <v>70</v>
      </c>
      <c r="BE27" s="4" t="s">
        <v>70</v>
      </c>
      <c r="BF27" s="4" t="s">
        <v>72</v>
      </c>
      <c r="BG27" s="4" t="s">
        <v>72</v>
      </c>
      <c r="BH27" s="4" t="s">
        <v>71</v>
      </c>
      <c r="BI27" s="4" t="s">
        <v>70</v>
      </c>
      <c r="BJ27" s="4" t="s">
        <v>73</v>
      </c>
      <c r="BK27" s="4" t="s">
        <v>73</v>
      </c>
      <c r="BL27" s="4" t="s">
        <v>72</v>
      </c>
      <c r="BM27" s="4" t="s">
        <v>71</v>
      </c>
      <c r="BN27" s="4" t="s">
        <v>71</v>
      </c>
      <c r="BO27" s="4" t="s">
        <v>71</v>
      </c>
      <c r="BP27" s="4" t="s">
        <v>72</v>
      </c>
      <c r="BQ27" s="4" t="s">
        <v>70</v>
      </c>
      <c r="BR27" s="4" t="s">
        <v>72</v>
      </c>
      <c r="BS27" s="4" t="s">
        <v>70</v>
      </c>
      <c r="BT27" s="4" t="s">
        <v>70</v>
      </c>
      <c r="BU27" s="4" t="s">
        <v>70</v>
      </c>
      <c r="BV27" s="4" t="s">
        <v>72</v>
      </c>
      <c r="BW27" s="4" t="s">
        <v>71</v>
      </c>
      <c r="BX27" s="4" t="s">
        <v>71</v>
      </c>
    </row>
    <row r="28" spans="1:76">
      <c r="A28" s="4" t="s">
        <v>131</v>
      </c>
      <c r="B28" s="4" t="s">
        <v>137</v>
      </c>
      <c r="C28" s="4" t="s">
        <v>106</v>
      </c>
      <c r="D28" s="4" t="s">
        <v>107</v>
      </c>
      <c r="E28" s="4" t="s">
        <v>70</v>
      </c>
      <c r="F28" s="4" t="s">
        <v>70</v>
      </c>
      <c r="G28" s="4" t="s">
        <v>70</v>
      </c>
      <c r="H28" s="4" t="s">
        <v>71</v>
      </c>
      <c r="I28" s="4" t="s">
        <v>71</v>
      </c>
      <c r="J28" s="4" t="s">
        <v>71</v>
      </c>
      <c r="K28" s="4" t="s">
        <v>70</v>
      </c>
      <c r="L28" s="4" t="s">
        <v>72</v>
      </c>
      <c r="M28" s="4" t="s">
        <v>73</v>
      </c>
      <c r="N28" s="4" t="s">
        <v>70</v>
      </c>
      <c r="O28" s="4" t="s">
        <v>71</v>
      </c>
      <c r="P28" s="4" t="s">
        <v>72</v>
      </c>
      <c r="Q28" s="4" t="s">
        <v>71</v>
      </c>
      <c r="R28" s="4" t="s">
        <v>73</v>
      </c>
      <c r="S28" s="4" t="s">
        <v>70</v>
      </c>
      <c r="T28" s="10" t="s">
        <v>77</v>
      </c>
      <c r="U28" s="4" t="s">
        <v>72</v>
      </c>
      <c r="V28" s="4" t="s">
        <v>70</v>
      </c>
      <c r="W28" s="4" t="s">
        <v>70</v>
      </c>
      <c r="X28" s="4" t="s">
        <v>73</v>
      </c>
      <c r="Y28" s="4" t="s">
        <v>73</v>
      </c>
      <c r="Z28" s="4" t="s">
        <v>70</v>
      </c>
      <c r="AA28" s="4" t="s">
        <v>73</v>
      </c>
      <c r="AB28" s="4" t="s">
        <v>70</v>
      </c>
      <c r="AC28" s="4" t="s">
        <v>72</v>
      </c>
      <c r="AD28" s="4" t="s">
        <v>70</v>
      </c>
      <c r="AE28" s="4" t="s">
        <v>71</v>
      </c>
      <c r="AF28" s="4" t="s">
        <v>72</v>
      </c>
      <c r="AG28" s="4" t="s">
        <v>72</v>
      </c>
      <c r="AH28" s="4" t="s">
        <v>70</v>
      </c>
      <c r="AI28" s="4" t="s">
        <v>70</v>
      </c>
      <c r="AJ28" s="4" t="s">
        <v>72</v>
      </c>
      <c r="AK28" s="4" t="s">
        <v>72</v>
      </c>
      <c r="AL28" s="4" t="s">
        <v>71</v>
      </c>
      <c r="AM28" s="4" t="s">
        <v>71</v>
      </c>
      <c r="AN28" s="4" t="s">
        <v>70</v>
      </c>
      <c r="AO28" s="4" t="s">
        <v>70</v>
      </c>
      <c r="AP28" s="4" t="s">
        <v>73</v>
      </c>
      <c r="AQ28" s="4" t="s">
        <v>71</v>
      </c>
      <c r="AR28" s="4" t="s">
        <v>71</v>
      </c>
      <c r="AS28" s="4" t="s">
        <v>73</v>
      </c>
      <c r="AT28" s="4" t="s">
        <v>73</v>
      </c>
      <c r="AU28" s="4" t="s">
        <v>70</v>
      </c>
      <c r="AV28" s="4" t="s">
        <v>73</v>
      </c>
      <c r="AW28" s="4" t="s">
        <v>72</v>
      </c>
      <c r="AX28" s="4" t="s">
        <v>70</v>
      </c>
      <c r="AY28" s="4" t="s">
        <v>71</v>
      </c>
      <c r="AZ28" s="4" t="s">
        <v>71</v>
      </c>
      <c r="BA28" s="4" t="s">
        <v>70</v>
      </c>
      <c r="BB28" s="4" t="s">
        <v>71</v>
      </c>
      <c r="BC28" s="4" t="s">
        <v>70</v>
      </c>
      <c r="BD28" s="4" t="s">
        <v>70</v>
      </c>
      <c r="BE28" s="4" t="s">
        <v>70</v>
      </c>
      <c r="BF28" s="4" t="s">
        <v>72</v>
      </c>
      <c r="BG28" s="4" t="s">
        <v>72</v>
      </c>
      <c r="BH28" s="4" t="s">
        <v>71</v>
      </c>
      <c r="BI28" s="4" t="s">
        <v>73</v>
      </c>
      <c r="BJ28" s="4" t="s">
        <v>73</v>
      </c>
      <c r="BK28" s="4" t="s">
        <v>73</v>
      </c>
      <c r="BL28" s="4" t="s">
        <v>72</v>
      </c>
      <c r="BM28" s="4" t="s">
        <v>71</v>
      </c>
      <c r="BN28" s="4" t="s">
        <v>71</v>
      </c>
      <c r="BO28" s="4" t="s">
        <v>71</v>
      </c>
      <c r="BP28" s="4" t="s">
        <v>70</v>
      </c>
      <c r="BQ28" s="4" t="s">
        <v>72</v>
      </c>
      <c r="BR28" s="4" t="s">
        <v>71</v>
      </c>
      <c r="BS28" s="4" t="s">
        <v>70</v>
      </c>
      <c r="BT28" s="4" t="s">
        <v>70</v>
      </c>
      <c r="BU28" s="4" t="s">
        <v>70</v>
      </c>
      <c r="BV28" s="4" t="s">
        <v>72</v>
      </c>
      <c r="BW28" s="4" t="s">
        <v>71</v>
      </c>
      <c r="BX28" s="4" t="s">
        <v>71</v>
      </c>
    </row>
    <row r="29" spans="1:76">
      <c r="A29" s="4" t="s">
        <v>131</v>
      </c>
      <c r="B29" s="4" t="s">
        <v>138</v>
      </c>
      <c r="C29" s="4" t="s">
        <v>112</v>
      </c>
      <c r="D29" s="4" t="s">
        <v>113</v>
      </c>
      <c r="E29" s="4" t="s">
        <v>70</v>
      </c>
      <c r="F29" s="4" t="s">
        <v>71</v>
      </c>
      <c r="G29" s="4" t="s">
        <v>70</v>
      </c>
      <c r="H29" s="4" t="s">
        <v>71</v>
      </c>
      <c r="I29" s="4" t="s">
        <v>71</v>
      </c>
      <c r="J29" s="4" t="s">
        <v>70</v>
      </c>
      <c r="K29" s="4" t="s">
        <v>73</v>
      </c>
      <c r="L29" s="4" t="s">
        <v>72</v>
      </c>
      <c r="M29" s="4" t="s">
        <v>70</v>
      </c>
      <c r="N29" s="4" t="s">
        <v>70</v>
      </c>
      <c r="O29" s="4" t="s">
        <v>72</v>
      </c>
      <c r="P29" s="4" t="s">
        <v>71</v>
      </c>
      <c r="Q29" s="4" t="s">
        <v>71</v>
      </c>
      <c r="R29" s="4" t="s">
        <v>73</v>
      </c>
      <c r="S29" s="4" t="s">
        <v>70</v>
      </c>
      <c r="T29" s="10" t="s">
        <v>77</v>
      </c>
      <c r="U29" s="4" t="s">
        <v>72</v>
      </c>
      <c r="V29" s="4" t="s">
        <v>70</v>
      </c>
      <c r="W29" s="4" t="s">
        <v>70</v>
      </c>
      <c r="X29" s="4" t="s">
        <v>72</v>
      </c>
      <c r="Y29" s="4" t="s">
        <v>73</v>
      </c>
      <c r="Z29" s="4" t="s">
        <v>70</v>
      </c>
      <c r="AA29" s="4" t="s">
        <v>70</v>
      </c>
      <c r="AB29" s="4" t="s">
        <v>73</v>
      </c>
      <c r="AC29" s="4" t="s">
        <v>71</v>
      </c>
      <c r="AD29" s="4" t="s">
        <v>73</v>
      </c>
      <c r="AE29" s="4" t="s">
        <v>71</v>
      </c>
      <c r="AF29" s="4" t="s">
        <v>70</v>
      </c>
      <c r="AG29" s="4" t="s">
        <v>73</v>
      </c>
      <c r="AH29" s="4" t="s">
        <v>70</v>
      </c>
      <c r="AI29" s="4" t="s">
        <v>71</v>
      </c>
      <c r="AJ29" s="4" t="s">
        <v>72</v>
      </c>
      <c r="AK29" s="4" t="s">
        <v>72</v>
      </c>
      <c r="AL29" s="4" t="s">
        <v>71</v>
      </c>
      <c r="AM29" s="4" t="s">
        <v>71</v>
      </c>
      <c r="AN29" s="4" t="s">
        <v>71</v>
      </c>
      <c r="AO29" s="4" t="s">
        <v>73</v>
      </c>
      <c r="AP29" s="4" t="s">
        <v>73</v>
      </c>
      <c r="AQ29" s="4" t="s">
        <v>70</v>
      </c>
      <c r="AR29" s="4" t="s">
        <v>71</v>
      </c>
      <c r="AS29" s="4" t="s">
        <v>72</v>
      </c>
      <c r="AT29" s="4" t="s">
        <v>71</v>
      </c>
      <c r="AU29" s="4" t="s">
        <v>70</v>
      </c>
      <c r="AV29" s="4" t="s">
        <v>70</v>
      </c>
      <c r="AW29" s="4" t="s">
        <v>73</v>
      </c>
      <c r="AX29" s="10" t="s">
        <v>77</v>
      </c>
      <c r="AY29" s="4" t="s">
        <v>70</v>
      </c>
      <c r="AZ29" s="4" t="s">
        <v>71</v>
      </c>
      <c r="BA29" s="4" t="s">
        <v>71</v>
      </c>
      <c r="BB29" s="4" t="s">
        <v>71</v>
      </c>
      <c r="BC29" s="4" t="s">
        <v>70</v>
      </c>
      <c r="BD29" s="4" t="s">
        <v>70</v>
      </c>
      <c r="BE29" s="4" t="s">
        <v>70</v>
      </c>
      <c r="BF29" s="4" t="s">
        <v>72</v>
      </c>
      <c r="BG29" s="4" t="s">
        <v>72</v>
      </c>
      <c r="BH29" s="4" t="s">
        <v>71</v>
      </c>
      <c r="BI29" s="4" t="s">
        <v>73</v>
      </c>
      <c r="BJ29" s="4" t="s">
        <v>73</v>
      </c>
      <c r="BK29" s="4" t="s">
        <v>72</v>
      </c>
      <c r="BL29" s="4" t="s">
        <v>72</v>
      </c>
      <c r="BM29" s="4" t="s">
        <v>71</v>
      </c>
      <c r="BN29" s="4" t="s">
        <v>71</v>
      </c>
      <c r="BO29" s="4" t="s">
        <v>71</v>
      </c>
      <c r="BP29" s="4" t="s">
        <v>70</v>
      </c>
      <c r="BQ29" s="4" t="s">
        <v>70</v>
      </c>
      <c r="BR29" s="4" t="s">
        <v>72</v>
      </c>
      <c r="BS29" s="4" t="s">
        <v>71</v>
      </c>
      <c r="BT29" s="4" t="s">
        <v>70</v>
      </c>
      <c r="BU29" s="4" t="s">
        <v>70</v>
      </c>
      <c r="BV29" s="4" t="s">
        <v>71</v>
      </c>
      <c r="BW29" s="4" t="s">
        <v>70</v>
      </c>
      <c r="BX29" s="4" t="s">
        <v>71</v>
      </c>
    </row>
    <row r="30" spans="1:76">
      <c r="A30" s="4" t="s">
        <v>131</v>
      </c>
      <c r="B30" s="4" t="s">
        <v>139</v>
      </c>
      <c r="C30" s="4" t="s">
        <v>117</v>
      </c>
      <c r="D30" s="4" t="s">
        <v>118</v>
      </c>
      <c r="E30" s="4" t="s">
        <v>70</v>
      </c>
      <c r="F30" s="4" t="s">
        <v>70</v>
      </c>
      <c r="G30" s="4" t="s">
        <v>70</v>
      </c>
      <c r="H30" s="4" t="s">
        <v>71</v>
      </c>
      <c r="I30" s="4" t="s">
        <v>71</v>
      </c>
      <c r="J30" s="4" t="s">
        <v>73</v>
      </c>
      <c r="K30" s="4" t="s">
        <v>73</v>
      </c>
      <c r="L30" s="4" t="s">
        <v>72</v>
      </c>
      <c r="M30" s="4" t="s">
        <v>73</v>
      </c>
      <c r="N30" s="4" t="s">
        <v>70</v>
      </c>
      <c r="O30" s="4" t="s">
        <v>71</v>
      </c>
      <c r="P30" s="4" t="s">
        <v>72</v>
      </c>
      <c r="Q30" s="4" t="s">
        <v>71</v>
      </c>
      <c r="R30" s="4" t="s">
        <v>73</v>
      </c>
      <c r="S30" s="4" t="s">
        <v>70</v>
      </c>
      <c r="T30" s="4" t="s">
        <v>72</v>
      </c>
      <c r="U30" s="4" t="s">
        <v>71</v>
      </c>
      <c r="V30" s="4" t="s">
        <v>70</v>
      </c>
      <c r="W30" s="4" t="s">
        <v>70</v>
      </c>
      <c r="X30" s="4" t="s">
        <v>72</v>
      </c>
      <c r="Y30" s="4" t="s">
        <v>72</v>
      </c>
      <c r="Z30" s="4" t="s">
        <v>70</v>
      </c>
      <c r="AA30" s="4" t="s">
        <v>73</v>
      </c>
      <c r="AB30" s="4" t="s">
        <v>70</v>
      </c>
      <c r="AC30" s="4" t="s">
        <v>71</v>
      </c>
      <c r="AD30" s="4" t="s">
        <v>70</v>
      </c>
      <c r="AE30" s="4" t="s">
        <v>71</v>
      </c>
      <c r="AF30" s="4" t="s">
        <v>72</v>
      </c>
      <c r="AG30" s="4" t="s">
        <v>71</v>
      </c>
      <c r="AH30" s="4" t="s">
        <v>70</v>
      </c>
      <c r="AI30" s="4" t="s">
        <v>70</v>
      </c>
      <c r="AJ30" s="4" t="s">
        <v>71</v>
      </c>
      <c r="AK30" s="4" t="s">
        <v>72</v>
      </c>
      <c r="AL30" s="4" t="s">
        <v>70</v>
      </c>
      <c r="AM30" s="4" t="s">
        <v>73</v>
      </c>
      <c r="AN30" s="4" t="s">
        <v>72</v>
      </c>
      <c r="AO30" s="4" t="s">
        <v>73</v>
      </c>
      <c r="AP30" s="4" t="s">
        <v>73</v>
      </c>
      <c r="AQ30" s="4" t="s">
        <v>71</v>
      </c>
      <c r="AR30" s="4" t="s">
        <v>71</v>
      </c>
      <c r="AS30" s="4" t="s">
        <v>70</v>
      </c>
      <c r="AT30" s="4" t="s">
        <v>70</v>
      </c>
      <c r="AU30" s="4" t="s">
        <v>70</v>
      </c>
      <c r="AV30" s="4" t="s">
        <v>73</v>
      </c>
      <c r="AW30" s="4" t="s">
        <v>70</v>
      </c>
      <c r="AX30" s="4" t="s">
        <v>70</v>
      </c>
      <c r="AY30" s="4" t="s">
        <v>71</v>
      </c>
      <c r="AZ30" s="4" t="s">
        <v>71</v>
      </c>
      <c r="BA30" s="4" t="s">
        <v>71</v>
      </c>
      <c r="BB30" s="4" t="s">
        <v>70</v>
      </c>
      <c r="BC30" s="4" t="s">
        <v>71</v>
      </c>
      <c r="BD30" s="4" t="s">
        <v>70</v>
      </c>
      <c r="BE30" s="4" t="s">
        <v>70</v>
      </c>
      <c r="BF30" s="4" t="s">
        <v>72</v>
      </c>
      <c r="BG30" s="4" t="s">
        <v>72</v>
      </c>
      <c r="BH30" s="4" t="s">
        <v>71</v>
      </c>
      <c r="BI30" s="4" t="s">
        <v>73</v>
      </c>
      <c r="BJ30" s="4" t="s">
        <v>73</v>
      </c>
      <c r="BK30" s="4" t="s">
        <v>73</v>
      </c>
      <c r="BL30" s="4" t="s">
        <v>72</v>
      </c>
      <c r="BM30" s="4" t="s">
        <v>71</v>
      </c>
      <c r="BN30" s="4" t="s">
        <v>71</v>
      </c>
      <c r="BO30" s="4" t="s">
        <v>70</v>
      </c>
      <c r="BP30" s="4" t="s">
        <v>71</v>
      </c>
      <c r="BQ30" s="4" t="s">
        <v>70</v>
      </c>
      <c r="BR30" s="4" t="s">
        <v>72</v>
      </c>
      <c r="BS30" s="4" t="s">
        <v>72</v>
      </c>
      <c r="BT30" s="4" t="s">
        <v>70</v>
      </c>
      <c r="BU30" s="4" t="s">
        <v>70</v>
      </c>
      <c r="BV30" s="4" t="s">
        <v>71</v>
      </c>
      <c r="BW30" s="4" t="s">
        <v>71</v>
      </c>
      <c r="BX30" s="4" t="s">
        <v>71</v>
      </c>
    </row>
    <row r="31" spans="1:76">
      <c r="A31" s="4" t="s">
        <v>131</v>
      </c>
      <c r="B31" s="4" t="s">
        <v>140</v>
      </c>
      <c r="C31" s="4" t="s">
        <v>141</v>
      </c>
      <c r="D31" s="4" t="s">
        <v>142</v>
      </c>
      <c r="E31" s="4" t="s">
        <v>70</v>
      </c>
      <c r="F31" s="4" t="s">
        <v>71</v>
      </c>
      <c r="G31" s="4" t="s">
        <v>71</v>
      </c>
      <c r="H31" s="4" t="s">
        <v>70</v>
      </c>
      <c r="I31" s="4" t="s">
        <v>71</v>
      </c>
      <c r="J31" s="4" t="s">
        <v>71</v>
      </c>
      <c r="K31" s="4" t="s">
        <v>72</v>
      </c>
      <c r="L31" s="4" t="s">
        <v>72</v>
      </c>
      <c r="M31" s="4" t="s">
        <v>73</v>
      </c>
      <c r="N31" s="4" t="s">
        <v>70</v>
      </c>
      <c r="O31" s="4" t="s">
        <v>71</v>
      </c>
      <c r="P31" s="4" t="s">
        <v>72</v>
      </c>
      <c r="Q31" s="4" t="s">
        <v>71</v>
      </c>
      <c r="R31" s="4" t="s">
        <v>73</v>
      </c>
      <c r="S31" s="4" t="s">
        <v>70</v>
      </c>
      <c r="T31" s="4" t="s">
        <v>73</v>
      </c>
      <c r="U31" s="4" t="s">
        <v>71</v>
      </c>
      <c r="V31" s="4" t="s">
        <v>70</v>
      </c>
      <c r="W31" s="4" t="s">
        <v>70</v>
      </c>
      <c r="X31" s="4" t="s">
        <v>70</v>
      </c>
      <c r="Y31" s="4" t="s">
        <v>73</v>
      </c>
      <c r="Z31" s="4" t="s">
        <v>70</v>
      </c>
      <c r="AA31" s="4" t="s">
        <v>73</v>
      </c>
      <c r="AB31" s="4" t="s">
        <v>70</v>
      </c>
      <c r="AC31" s="4" t="s">
        <v>71</v>
      </c>
      <c r="AD31" s="4" t="s">
        <v>73</v>
      </c>
      <c r="AE31" s="4" t="s">
        <v>71</v>
      </c>
      <c r="AF31" s="4" t="s">
        <v>72</v>
      </c>
      <c r="AG31" s="4" t="s">
        <v>71</v>
      </c>
      <c r="AH31" s="4" t="s">
        <v>70</v>
      </c>
      <c r="AI31" s="4" t="s">
        <v>73</v>
      </c>
      <c r="AJ31" s="4" t="s">
        <v>71</v>
      </c>
      <c r="AK31" s="4" t="s">
        <v>72</v>
      </c>
      <c r="AL31" s="4" t="s">
        <v>70</v>
      </c>
      <c r="AM31" s="4" t="s">
        <v>73</v>
      </c>
      <c r="AN31" s="4" t="s">
        <v>73</v>
      </c>
      <c r="AO31" s="4" t="s">
        <v>70</v>
      </c>
      <c r="AP31" s="4" t="s">
        <v>73</v>
      </c>
      <c r="AQ31" s="4" t="s">
        <v>72</v>
      </c>
      <c r="AR31" s="4" t="s">
        <v>71</v>
      </c>
      <c r="AS31" s="4" t="s">
        <v>70</v>
      </c>
      <c r="AT31" s="4" t="s">
        <v>73</v>
      </c>
      <c r="AU31" s="4" t="s">
        <v>70</v>
      </c>
      <c r="AV31" s="4" t="s">
        <v>71</v>
      </c>
      <c r="AW31" s="4" t="s">
        <v>72</v>
      </c>
      <c r="AX31" s="4" t="s">
        <v>70</v>
      </c>
      <c r="AY31" s="4" t="s">
        <v>72</v>
      </c>
      <c r="AZ31" s="4" t="s">
        <v>71</v>
      </c>
      <c r="BA31" s="4" t="s">
        <v>71</v>
      </c>
      <c r="BB31" s="4" t="s">
        <v>71</v>
      </c>
      <c r="BC31" s="4" t="s">
        <v>71</v>
      </c>
      <c r="BD31" s="4" t="s">
        <v>70</v>
      </c>
      <c r="BE31" s="4" t="s">
        <v>70</v>
      </c>
      <c r="BF31" s="4" t="s">
        <v>72</v>
      </c>
      <c r="BG31" s="4" t="s">
        <v>72</v>
      </c>
      <c r="BH31" s="4" t="s">
        <v>71</v>
      </c>
      <c r="BI31" s="4" t="s">
        <v>73</v>
      </c>
      <c r="BJ31" s="4" t="s">
        <v>73</v>
      </c>
      <c r="BK31" s="4" t="s">
        <v>73</v>
      </c>
      <c r="BL31" s="4" t="s">
        <v>72</v>
      </c>
      <c r="BM31" s="4" t="s">
        <v>71</v>
      </c>
      <c r="BN31" s="4" t="s">
        <v>71</v>
      </c>
      <c r="BO31" s="4" t="s">
        <v>70</v>
      </c>
      <c r="BP31" s="4" t="s">
        <v>70</v>
      </c>
      <c r="BQ31" s="4" t="s">
        <v>70</v>
      </c>
      <c r="BR31" s="4" t="s">
        <v>73</v>
      </c>
      <c r="BS31" s="4" t="s">
        <v>70</v>
      </c>
      <c r="BT31" s="4" t="s">
        <v>70</v>
      </c>
      <c r="BU31" s="4" t="s">
        <v>71</v>
      </c>
      <c r="BV31" s="4" t="s">
        <v>70</v>
      </c>
      <c r="BW31" s="4" t="s">
        <v>70</v>
      </c>
      <c r="BX31" s="4" t="s">
        <v>71</v>
      </c>
    </row>
    <row r="32" spans="1:76">
      <c r="A32" s="4" t="s">
        <v>131</v>
      </c>
      <c r="B32" s="4" t="s">
        <v>143</v>
      </c>
      <c r="C32" s="4" t="s">
        <v>120</v>
      </c>
      <c r="D32" s="4" t="s">
        <v>144</v>
      </c>
      <c r="E32" s="4" t="s">
        <v>70</v>
      </c>
      <c r="F32" s="4" t="s">
        <v>70</v>
      </c>
      <c r="G32" s="4" t="s">
        <v>70</v>
      </c>
      <c r="H32" s="4" t="s">
        <v>73</v>
      </c>
      <c r="I32" s="4" t="s">
        <v>71</v>
      </c>
      <c r="J32" s="4" t="s">
        <v>71</v>
      </c>
      <c r="K32" s="4" t="s">
        <v>70</v>
      </c>
      <c r="L32" s="4" t="s">
        <v>72</v>
      </c>
      <c r="M32" s="4" t="s">
        <v>70</v>
      </c>
      <c r="N32" s="4" t="s">
        <v>70</v>
      </c>
      <c r="O32" s="4" t="s">
        <v>70</v>
      </c>
      <c r="P32" s="4" t="s">
        <v>72</v>
      </c>
      <c r="Q32" s="4" t="s">
        <v>72</v>
      </c>
      <c r="R32" s="4" t="s">
        <v>73</v>
      </c>
      <c r="S32" s="4" t="s">
        <v>70</v>
      </c>
      <c r="T32" s="4" t="s">
        <v>71</v>
      </c>
      <c r="U32" s="4" t="s">
        <v>71</v>
      </c>
      <c r="V32" s="4" t="s">
        <v>70</v>
      </c>
      <c r="W32" s="4" t="s">
        <v>70</v>
      </c>
      <c r="X32" s="4" t="s">
        <v>72</v>
      </c>
      <c r="Y32" s="4" t="s">
        <v>73</v>
      </c>
      <c r="Z32" s="4" t="s">
        <v>72</v>
      </c>
      <c r="AA32" s="4" t="s">
        <v>73</v>
      </c>
      <c r="AB32" s="4" t="s">
        <v>71</v>
      </c>
      <c r="AC32" s="4" t="s">
        <v>72</v>
      </c>
      <c r="AD32" s="4" t="s">
        <v>72</v>
      </c>
      <c r="AE32" s="4" t="s">
        <v>71</v>
      </c>
      <c r="AF32" s="4" t="s">
        <v>70</v>
      </c>
      <c r="AG32" s="4" t="s">
        <v>70</v>
      </c>
      <c r="AH32" s="4" t="s">
        <v>70</v>
      </c>
      <c r="AI32" s="4" t="s">
        <v>71</v>
      </c>
      <c r="AJ32" s="4" t="s">
        <v>71</v>
      </c>
      <c r="AK32" s="4" t="s">
        <v>72</v>
      </c>
      <c r="AL32" s="4" t="s">
        <v>72</v>
      </c>
      <c r="AM32" s="4" t="s">
        <v>70</v>
      </c>
      <c r="AN32" s="4" t="s">
        <v>70</v>
      </c>
      <c r="AO32" s="4" t="s">
        <v>70</v>
      </c>
      <c r="AP32" s="4" t="s">
        <v>72</v>
      </c>
      <c r="AQ32" s="4" t="s">
        <v>70</v>
      </c>
      <c r="AR32" s="4" t="s">
        <v>71</v>
      </c>
      <c r="AS32" s="4" t="s">
        <v>71</v>
      </c>
      <c r="AT32" s="4" t="s">
        <v>71</v>
      </c>
      <c r="AU32" s="4" t="s">
        <v>70</v>
      </c>
      <c r="AV32" s="4" t="s">
        <v>72</v>
      </c>
      <c r="AW32" s="4" t="s">
        <v>70</v>
      </c>
      <c r="AX32" s="10" t="s">
        <v>77</v>
      </c>
      <c r="AY32" s="4" t="s">
        <v>73</v>
      </c>
      <c r="AZ32" s="4" t="s">
        <v>71</v>
      </c>
      <c r="BA32" s="4" t="s">
        <v>71</v>
      </c>
      <c r="BB32" s="4" t="s">
        <v>71</v>
      </c>
      <c r="BC32" s="4" t="s">
        <v>71</v>
      </c>
      <c r="BD32" s="4" t="s">
        <v>70</v>
      </c>
      <c r="BE32" s="4" t="s">
        <v>70</v>
      </c>
      <c r="BF32" s="4" t="s">
        <v>72</v>
      </c>
      <c r="BG32" s="4" t="s">
        <v>72</v>
      </c>
      <c r="BH32" s="4" t="s">
        <v>71</v>
      </c>
      <c r="BI32" s="4" t="s">
        <v>73</v>
      </c>
      <c r="BJ32" s="4" t="s">
        <v>73</v>
      </c>
      <c r="BK32" s="4" t="s">
        <v>73</v>
      </c>
      <c r="BL32" s="4" t="s">
        <v>72</v>
      </c>
      <c r="BM32" s="4" t="s">
        <v>71</v>
      </c>
      <c r="BN32" s="4" t="s">
        <v>71</v>
      </c>
      <c r="BO32" s="4" t="s">
        <v>70</v>
      </c>
      <c r="BP32" s="4" t="s">
        <v>70</v>
      </c>
      <c r="BQ32" s="4" t="s">
        <v>70</v>
      </c>
      <c r="BR32" s="4" t="s">
        <v>71</v>
      </c>
      <c r="BS32" s="4" t="s">
        <v>70</v>
      </c>
      <c r="BT32" s="4" t="s">
        <v>70</v>
      </c>
      <c r="BU32" s="4" t="s">
        <v>72</v>
      </c>
      <c r="BV32" s="4" t="s">
        <v>71</v>
      </c>
      <c r="BW32" s="4" t="s">
        <v>71</v>
      </c>
      <c r="BX32" s="4" t="s">
        <v>71</v>
      </c>
    </row>
    <row r="33" spans="1:76">
      <c r="A33" s="4" t="s">
        <v>131</v>
      </c>
      <c r="B33" s="4" t="s">
        <v>145</v>
      </c>
      <c r="C33" s="4" t="s">
        <v>125</v>
      </c>
      <c r="D33" s="4" t="s">
        <v>97</v>
      </c>
      <c r="E33" s="4" t="s">
        <v>70</v>
      </c>
      <c r="F33" s="4" t="s">
        <v>71</v>
      </c>
      <c r="G33" s="4" t="s">
        <v>71</v>
      </c>
      <c r="H33" s="4" t="s">
        <v>70</v>
      </c>
      <c r="I33" s="4" t="s">
        <v>70</v>
      </c>
      <c r="J33" s="4" t="s">
        <v>72</v>
      </c>
      <c r="K33" s="4" t="s">
        <v>70</v>
      </c>
      <c r="L33" s="4" t="s">
        <v>72</v>
      </c>
      <c r="M33" s="4" t="s">
        <v>73</v>
      </c>
      <c r="N33" s="4" t="s">
        <v>70</v>
      </c>
      <c r="O33" s="4" t="s">
        <v>71</v>
      </c>
      <c r="P33" s="4" t="s">
        <v>72</v>
      </c>
      <c r="Q33" s="4" t="s">
        <v>71</v>
      </c>
      <c r="R33" s="4" t="s">
        <v>73</v>
      </c>
      <c r="S33" s="4" t="s">
        <v>70</v>
      </c>
      <c r="T33" s="4" t="s">
        <v>72</v>
      </c>
      <c r="U33" s="4" t="s">
        <v>72</v>
      </c>
      <c r="V33" s="4" t="s">
        <v>70</v>
      </c>
      <c r="W33" s="4" t="s">
        <v>70</v>
      </c>
      <c r="X33" s="4" t="s">
        <v>71</v>
      </c>
      <c r="Y33" s="4" t="s">
        <v>73</v>
      </c>
      <c r="Z33" s="4" t="s">
        <v>70</v>
      </c>
      <c r="AA33" s="4" t="s">
        <v>73</v>
      </c>
      <c r="AB33" s="4" t="s">
        <v>70</v>
      </c>
      <c r="AC33" s="4" t="s">
        <v>71</v>
      </c>
      <c r="AD33" s="4" t="s">
        <v>70</v>
      </c>
      <c r="AE33" s="4" t="s">
        <v>73</v>
      </c>
      <c r="AF33" s="4" t="s">
        <v>72</v>
      </c>
      <c r="AG33" s="4" t="s">
        <v>72</v>
      </c>
      <c r="AH33" s="4" t="s">
        <v>71</v>
      </c>
      <c r="AI33" s="4" t="s">
        <v>71</v>
      </c>
      <c r="AJ33" s="4" t="s">
        <v>72</v>
      </c>
      <c r="AK33" s="4" t="s">
        <v>72</v>
      </c>
      <c r="AL33" s="4" t="s">
        <v>71</v>
      </c>
      <c r="AM33" s="4" t="s">
        <v>70</v>
      </c>
      <c r="AN33" s="4" t="s">
        <v>72</v>
      </c>
      <c r="AO33" s="4" t="s">
        <v>73</v>
      </c>
      <c r="AP33" s="4" t="s">
        <v>73</v>
      </c>
      <c r="AQ33" s="4" t="s">
        <v>70</v>
      </c>
      <c r="AR33" s="4" t="s">
        <v>70</v>
      </c>
      <c r="AS33" s="4" t="s">
        <v>73</v>
      </c>
      <c r="AT33" s="4" t="s">
        <v>73</v>
      </c>
      <c r="AU33" s="4" t="s">
        <v>72</v>
      </c>
      <c r="AV33" s="4" t="s">
        <v>73</v>
      </c>
      <c r="AW33" s="4" t="s">
        <v>70</v>
      </c>
      <c r="AX33" s="4" t="s">
        <v>70</v>
      </c>
      <c r="AY33" s="4" t="s">
        <v>71</v>
      </c>
      <c r="AZ33" s="4" t="s">
        <v>71</v>
      </c>
      <c r="BA33" s="4" t="s">
        <v>70</v>
      </c>
      <c r="BB33" s="4" t="s">
        <v>73</v>
      </c>
      <c r="BC33" s="4" t="s">
        <v>70</v>
      </c>
      <c r="BD33" s="4" t="s">
        <v>70</v>
      </c>
      <c r="BE33" s="4" t="s">
        <v>70</v>
      </c>
      <c r="BF33" s="4" t="s">
        <v>72</v>
      </c>
      <c r="BG33" s="4" t="s">
        <v>72</v>
      </c>
      <c r="BH33" s="4" t="s">
        <v>71</v>
      </c>
      <c r="BI33" s="4" t="s">
        <v>73</v>
      </c>
      <c r="BJ33" s="4" t="s">
        <v>73</v>
      </c>
      <c r="BK33" s="4" t="s">
        <v>73</v>
      </c>
      <c r="BL33" s="4" t="s">
        <v>72</v>
      </c>
      <c r="BM33" s="4" t="s">
        <v>71</v>
      </c>
      <c r="BN33" s="4" t="s">
        <v>71</v>
      </c>
      <c r="BO33" s="4" t="s">
        <v>71</v>
      </c>
      <c r="BP33" s="4" t="s">
        <v>72</v>
      </c>
      <c r="BQ33" s="4" t="s">
        <v>71</v>
      </c>
      <c r="BR33" s="4" t="s">
        <v>71</v>
      </c>
      <c r="BS33" s="4" t="s">
        <v>73</v>
      </c>
      <c r="BT33" s="4" t="s">
        <v>71</v>
      </c>
      <c r="BU33" s="4" t="s">
        <v>71</v>
      </c>
      <c r="BV33" s="4" t="s">
        <v>70</v>
      </c>
      <c r="BW33" s="4" t="s">
        <v>70</v>
      </c>
      <c r="BX33" s="4" t="s">
        <v>71</v>
      </c>
    </row>
    <row r="34" spans="1:76">
      <c r="A34" s="4" t="s">
        <v>131</v>
      </c>
      <c r="B34" s="4" t="s">
        <v>146</v>
      </c>
      <c r="C34" s="4" t="s">
        <v>125</v>
      </c>
      <c r="D34" s="4" t="s">
        <v>126</v>
      </c>
      <c r="E34" s="4" t="s">
        <v>70</v>
      </c>
      <c r="F34" s="4" t="s">
        <v>71</v>
      </c>
      <c r="G34" s="4" t="s">
        <v>71</v>
      </c>
      <c r="H34" s="4" t="s">
        <v>72</v>
      </c>
      <c r="I34" s="4" t="s">
        <v>70</v>
      </c>
      <c r="J34" s="4" t="s">
        <v>70</v>
      </c>
      <c r="K34" s="4" t="s">
        <v>70</v>
      </c>
      <c r="L34" s="4" t="s">
        <v>72</v>
      </c>
      <c r="M34" s="4" t="s">
        <v>73</v>
      </c>
      <c r="N34" s="4" t="s">
        <v>70</v>
      </c>
      <c r="O34" s="4" t="s">
        <v>71</v>
      </c>
      <c r="P34" s="4" t="s">
        <v>72</v>
      </c>
      <c r="Q34" s="4" t="s">
        <v>72</v>
      </c>
      <c r="R34" s="4" t="s">
        <v>73</v>
      </c>
      <c r="S34" s="4" t="s">
        <v>70</v>
      </c>
      <c r="T34" s="10" t="s">
        <v>77</v>
      </c>
      <c r="U34" s="4" t="s">
        <v>71</v>
      </c>
      <c r="V34" s="4" t="s">
        <v>70</v>
      </c>
      <c r="W34" s="4" t="s">
        <v>70</v>
      </c>
      <c r="X34" s="4" t="s">
        <v>72</v>
      </c>
      <c r="Y34" s="4" t="s">
        <v>73</v>
      </c>
      <c r="Z34" s="4" t="s">
        <v>73</v>
      </c>
      <c r="AA34" s="4" t="s">
        <v>73</v>
      </c>
      <c r="AB34" s="4" t="s">
        <v>70</v>
      </c>
      <c r="AC34" s="4" t="s">
        <v>71</v>
      </c>
      <c r="AD34" s="4" t="s">
        <v>70</v>
      </c>
      <c r="AE34" s="4" t="s">
        <v>71</v>
      </c>
      <c r="AF34" s="4" t="s">
        <v>70</v>
      </c>
      <c r="AG34" s="4" t="s">
        <v>72</v>
      </c>
      <c r="AH34" s="4" t="s">
        <v>71</v>
      </c>
      <c r="AI34" s="4" t="s">
        <v>71</v>
      </c>
      <c r="AJ34" s="4" t="s">
        <v>72</v>
      </c>
      <c r="AK34" s="4" t="s">
        <v>72</v>
      </c>
      <c r="AL34" s="4" t="s">
        <v>70</v>
      </c>
      <c r="AM34" s="4" t="s">
        <v>70</v>
      </c>
      <c r="AN34" s="4" t="s">
        <v>72</v>
      </c>
      <c r="AO34" s="4" t="s">
        <v>73</v>
      </c>
      <c r="AP34" s="4" t="s">
        <v>73</v>
      </c>
      <c r="AQ34" s="4" t="s">
        <v>70</v>
      </c>
      <c r="AR34" s="4" t="s">
        <v>70</v>
      </c>
      <c r="AS34" s="4" t="s">
        <v>73</v>
      </c>
      <c r="AT34" s="4" t="s">
        <v>71</v>
      </c>
      <c r="AU34" s="4" t="s">
        <v>70</v>
      </c>
      <c r="AV34" s="4" t="s">
        <v>73</v>
      </c>
      <c r="AW34" s="4" t="s">
        <v>70</v>
      </c>
      <c r="AX34" s="4" t="s">
        <v>73</v>
      </c>
      <c r="AY34" s="4" t="s">
        <v>71</v>
      </c>
      <c r="AZ34" s="4" t="s">
        <v>71</v>
      </c>
      <c r="BA34" s="4" t="s">
        <v>71</v>
      </c>
      <c r="BB34" s="4" t="s">
        <v>71</v>
      </c>
      <c r="BC34" s="4" t="s">
        <v>70</v>
      </c>
      <c r="BD34" s="4" t="s">
        <v>70</v>
      </c>
      <c r="BE34" s="4" t="s">
        <v>70</v>
      </c>
      <c r="BF34" s="4" t="s">
        <v>72</v>
      </c>
      <c r="BG34" s="4" t="s">
        <v>72</v>
      </c>
      <c r="BH34" s="4" t="s">
        <v>71</v>
      </c>
      <c r="BI34" s="4" t="s">
        <v>73</v>
      </c>
      <c r="BJ34" s="4" t="s">
        <v>73</v>
      </c>
      <c r="BK34" s="4" t="s">
        <v>73</v>
      </c>
      <c r="BL34" s="4" t="s">
        <v>72</v>
      </c>
      <c r="BM34" s="4" t="s">
        <v>71</v>
      </c>
      <c r="BN34" s="4" t="s">
        <v>71</v>
      </c>
      <c r="BO34" s="4" t="s">
        <v>71</v>
      </c>
      <c r="BP34" s="4" t="s">
        <v>70</v>
      </c>
      <c r="BQ34" s="4" t="s">
        <v>70</v>
      </c>
      <c r="BR34" s="4" t="s">
        <v>71</v>
      </c>
      <c r="BS34" s="4" t="s">
        <v>71</v>
      </c>
      <c r="BT34" s="4" t="s">
        <v>72</v>
      </c>
      <c r="BU34" s="4" t="s">
        <v>73</v>
      </c>
      <c r="BV34" s="4" t="s">
        <v>70</v>
      </c>
      <c r="BW34" s="4" t="s">
        <v>70</v>
      </c>
      <c r="BX34" s="4" t="s">
        <v>71</v>
      </c>
    </row>
    <row r="35" spans="1:76">
      <c r="A35" s="4" t="s">
        <v>131</v>
      </c>
      <c r="B35" s="4" t="s">
        <v>147</v>
      </c>
      <c r="C35" s="4" t="s">
        <v>129</v>
      </c>
      <c r="D35" s="4" t="s">
        <v>148</v>
      </c>
      <c r="E35" s="4" t="s">
        <v>70</v>
      </c>
      <c r="F35" s="4" t="s">
        <v>70</v>
      </c>
      <c r="G35" s="4" t="s">
        <v>70</v>
      </c>
      <c r="H35" s="4" t="s">
        <v>72</v>
      </c>
      <c r="I35" s="4" t="s">
        <v>72</v>
      </c>
      <c r="J35" s="4" t="s">
        <v>70</v>
      </c>
      <c r="K35" s="4" t="s">
        <v>70</v>
      </c>
      <c r="L35" s="4" t="s">
        <v>72</v>
      </c>
      <c r="M35" s="4" t="s">
        <v>70</v>
      </c>
      <c r="N35" s="4" t="s">
        <v>70</v>
      </c>
      <c r="O35" s="4" t="s">
        <v>72</v>
      </c>
      <c r="P35" s="4" t="s">
        <v>71</v>
      </c>
      <c r="Q35" s="4" t="s">
        <v>72</v>
      </c>
      <c r="R35" s="4" t="s">
        <v>73</v>
      </c>
      <c r="S35" s="4" t="s">
        <v>70</v>
      </c>
      <c r="T35" s="4" t="s">
        <v>71</v>
      </c>
      <c r="U35" s="4" t="s">
        <v>71</v>
      </c>
      <c r="V35" s="4" t="s">
        <v>70</v>
      </c>
      <c r="W35" s="4" t="s">
        <v>70</v>
      </c>
      <c r="X35" s="4" t="s">
        <v>72</v>
      </c>
      <c r="Y35" s="4" t="s">
        <v>73</v>
      </c>
      <c r="Z35" s="4" t="s">
        <v>72</v>
      </c>
      <c r="AA35" s="4" t="s">
        <v>70</v>
      </c>
      <c r="AB35" s="4" t="s">
        <v>73</v>
      </c>
      <c r="AC35" s="4" t="s">
        <v>71</v>
      </c>
      <c r="AD35" s="4" t="s">
        <v>70</v>
      </c>
      <c r="AE35" s="4" t="s">
        <v>70</v>
      </c>
      <c r="AF35" s="4" t="s">
        <v>71</v>
      </c>
      <c r="AG35" s="4" t="s">
        <v>72</v>
      </c>
      <c r="AH35" s="4" t="s">
        <v>71</v>
      </c>
      <c r="AI35" s="4" t="s">
        <v>71</v>
      </c>
      <c r="AJ35" s="4" t="s">
        <v>72</v>
      </c>
      <c r="AK35" s="4" t="s">
        <v>72</v>
      </c>
      <c r="AL35" s="4" t="s">
        <v>71</v>
      </c>
      <c r="AM35" s="4" t="s">
        <v>73</v>
      </c>
      <c r="AN35" s="4" t="s">
        <v>71</v>
      </c>
      <c r="AO35" s="4" t="s">
        <v>73</v>
      </c>
      <c r="AP35" s="4" t="s">
        <v>71</v>
      </c>
      <c r="AQ35" s="4" t="s">
        <v>70</v>
      </c>
      <c r="AR35" s="4" t="s">
        <v>70</v>
      </c>
      <c r="AS35" s="4" t="s">
        <v>73</v>
      </c>
      <c r="AT35" s="4" t="s">
        <v>70</v>
      </c>
      <c r="AU35" s="4" t="s">
        <v>71</v>
      </c>
      <c r="AV35" s="4" t="s">
        <v>73</v>
      </c>
      <c r="AW35" s="4" t="s">
        <v>70</v>
      </c>
      <c r="AX35" s="4" t="s">
        <v>70</v>
      </c>
      <c r="AY35" s="4" t="s">
        <v>71</v>
      </c>
      <c r="AZ35" s="4" t="s">
        <v>71</v>
      </c>
      <c r="BA35" s="4" t="s">
        <v>70</v>
      </c>
      <c r="BB35" s="4" t="s">
        <v>70</v>
      </c>
      <c r="BC35" s="4" t="s">
        <v>71</v>
      </c>
      <c r="BD35" s="4" t="s">
        <v>70</v>
      </c>
      <c r="BE35" s="4" t="s">
        <v>70</v>
      </c>
      <c r="BF35" s="4" t="s">
        <v>72</v>
      </c>
      <c r="BG35" s="4" t="s">
        <v>72</v>
      </c>
      <c r="BH35" s="4" t="s">
        <v>71</v>
      </c>
      <c r="BI35" s="4" t="s">
        <v>70</v>
      </c>
      <c r="BJ35" s="4" t="s">
        <v>73</v>
      </c>
      <c r="BK35" s="4" t="s">
        <v>73</v>
      </c>
      <c r="BL35" s="4" t="s">
        <v>72</v>
      </c>
      <c r="BM35" s="4" t="s">
        <v>71</v>
      </c>
      <c r="BN35" s="4" t="s">
        <v>71</v>
      </c>
      <c r="BO35" s="4" t="s">
        <v>70</v>
      </c>
      <c r="BP35" s="4" t="s">
        <v>71</v>
      </c>
      <c r="BQ35" s="4" t="s">
        <v>71</v>
      </c>
      <c r="BR35" s="4" t="s">
        <v>71</v>
      </c>
      <c r="BS35" s="4" t="s">
        <v>71</v>
      </c>
      <c r="BT35" s="4" t="s">
        <v>73</v>
      </c>
      <c r="BU35" s="4" t="s">
        <v>73</v>
      </c>
      <c r="BV35" s="4" t="s">
        <v>71</v>
      </c>
      <c r="BW35" s="4" t="s">
        <v>71</v>
      </c>
      <c r="BX35" s="4" t="s">
        <v>71</v>
      </c>
    </row>
    <row r="36" spans="1:76">
      <c r="A36" s="4" t="s">
        <v>131</v>
      </c>
      <c r="B36" s="4" t="s">
        <v>149</v>
      </c>
      <c r="C36" s="4" t="s">
        <v>129</v>
      </c>
      <c r="D36" s="4" t="s">
        <v>130</v>
      </c>
      <c r="E36" s="4" t="s">
        <v>70</v>
      </c>
      <c r="F36" s="4" t="s">
        <v>70</v>
      </c>
      <c r="G36" s="4" t="s">
        <v>70</v>
      </c>
      <c r="H36" s="4" t="s">
        <v>72</v>
      </c>
      <c r="I36" s="4" t="s">
        <v>72</v>
      </c>
      <c r="J36" s="4" t="s">
        <v>70</v>
      </c>
      <c r="K36" s="4" t="s">
        <v>70</v>
      </c>
      <c r="L36" s="4" t="s">
        <v>72</v>
      </c>
      <c r="M36" s="4" t="s">
        <v>70</v>
      </c>
      <c r="N36" s="4" t="s">
        <v>70</v>
      </c>
      <c r="O36" s="4" t="s">
        <v>72</v>
      </c>
      <c r="P36" s="4" t="s">
        <v>71</v>
      </c>
      <c r="Q36" s="4" t="s">
        <v>72</v>
      </c>
      <c r="R36" s="4" t="s">
        <v>73</v>
      </c>
      <c r="S36" s="4" t="s">
        <v>70</v>
      </c>
      <c r="T36" s="4" t="s">
        <v>72</v>
      </c>
      <c r="U36" s="4" t="s">
        <v>71</v>
      </c>
      <c r="V36" s="4" t="s">
        <v>70</v>
      </c>
      <c r="W36" s="4" t="s">
        <v>70</v>
      </c>
      <c r="X36" s="4" t="s">
        <v>72</v>
      </c>
      <c r="Y36" s="4" t="s">
        <v>73</v>
      </c>
      <c r="Z36" s="4" t="s">
        <v>72</v>
      </c>
      <c r="AA36" s="4" t="s">
        <v>70</v>
      </c>
      <c r="AB36" s="4" t="s">
        <v>73</v>
      </c>
      <c r="AC36" s="4" t="s">
        <v>71</v>
      </c>
      <c r="AD36" s="4" t="s">
        <v>73</v>
      </c>
      <c r="AE36" s="4" t="s">
        <v>71</v>
      </c>
      <c r="AF36" s="4" t="s">
        <v>71</v>
      </c>
      <c r="AG36" s="4" t="s">
        <v>72</v>
      </c>
      <c r="AH36" s="4" t="s">
        <v>71</v>
      </c>
      <c r="AI36" s="4" t="s">
        <v>71</v>
      </c>
      <c r="AJ36" s="4" t="s">
        <v>72</v>
      </c>
      <c r="AK36" s="4" t="s">
        <v>72</v>
      </c>
      <c r="AL36" s="4" t="s">
        <v>70</v>
      </c>
      <c r="AM36" s="4" t="s">
        <v>73</v>
      </c>
      <c r="AN36" s="4" t="s">
        <v>71</v>
      </c>
      <c r="AO36" s="4" t="s">
        <v>73</v>
      </c>
      <c r="AP36" s="4" t="s">
        <v>72</v>
      </c>
      <c r="AQ36" s="4" t="s">
        <v>70</v>
      </c>
      <c r="AR36" s="4" t="s">
        <v>70</v>
      </c>
      <c r="AS36" s="4" t="s">
        <v>73</v>
      </c>
      <c r="AT36" s="4" t="s">
        <v>70</v>
      </c>
      <c r="AU36" s="4" t="s">
        <v>70</v>
      </c>
      <c r="AV36" s="4" t="s">
        <v>73</v>
      </c>
      <c r="AW36" s="4" t="s">
        <v>70</v>
      </c>
      <c r="AX36" s="4" t="s">
        <v>70</v>
      </c>
      <c r="AY36" s="4" t="s">
        <v>71</v>
      </c>
      <c r="AZ36" s="4" t="s">
        <v>71</v>
      </c>
      <c r="BA36" s="4" t="s">
        <v>70</v>
      </c>
      <c r="BB36" s="4" t="s">
        <v>70</v>
      </c>
      <c r="BC36" s="4" t="s">
        <v>71</v>
      </c>
      <c r="BD36" s="4" t="s">
        <v>73</v>
      </c>
      <c r="BE36" s="4" t="s">
        <v>70</v>
      </c>
      <c r="BF36" s="4" t="s">
        <v>72</v>
      </c>
      <c r="BG36" s="4" t="s">
        <v>72</v>
      </c>
      <c r="BH36" s="4" t="s">
        <v>71</v>
      </c>
      <c r="BI36" s="4" t="s">
        <v>73</v>
      </c>
      <c r="BJ36" s="4" t="s">
        <v>73</v>
      </c>
      <c r="BK36" s="4" t="s">
        <v>73</v>
      </c>
      <c r="BL36" s="4" t="s">
        <v>72</v>
      </c>
      <c r="BM36" s="4" t="s">
        <v>71</v>
      </c>
      <c r="BN36" s="4" t="s">
        <v>72</v>
      </c>
      <c r="BO36" s="4" t="s">
        <v>70</v>
      </c>
      <c r="BP36" s="4" t="s">
        <v>71</v>
      </c>
      <c r="BQ36" s="4" t="s">
        <v>71</v>
      </c>
      <c r="BR36" s="4" t="s">
        <v>71</v>
      </c>
      <c r="BS36" s="4" t="s">
        <v>71</v>
      </c>
      <c r="BT36" s="4" t="s">
        <v>73</v>
      </c>
      <c r="BU36" s="4" t="s">
        <v>73</v>
      </c>
      <c r="BV36" s="4" t="s">
        <v>71</v>
      </c>
      <c r="BW36" s="4" t="s">
        <v>71</v>
      </c>
      <c r="BX36" s="4" t="s">
        <v>71</v>
      </c>
    </row>
    <row r="37" spans="1:76">
      <c r="A37" s="4" t="s">
        <v>150</v>
      </c>
      <c r="B37" s="4" t="s">
        <v>151</v>
      </c>
      <c r="C37" s="4" t="s">
        <v>152</v>
      </c>
      <c r="D37" s="4" t="s">
        <v>153</v>
      </c>
      <c r="E37" s="4" t="s">
        <v>70</v>
      </c>
      <c r="F37" s="4" t="s">
        <v>73</v>
      </c>
      <c r="G37" s="4" t="s">
        <v>71</v>
      </c>
      <c r="H37" s="4" t="s">
        <v>72</v>
      </c>
      <c r="I37" s="4" t="s">
        <v>71</v>
      </c>
      <c r="J37" s="4" t="s">
        <v>71</v>
      </c>
      <c r="K37" s="4" t="s">
        <v>73</v>
      </c>
      <c r="L37" s="4" t="s">
        <v>72</v>
      </c>
      <c r="M37" s="4" t="s">
        <v>70</v>
      </c>
      <c r="N37" s="4" t="s">
        <v>70</v>
      </c>
      <c r="O37" s="4" t="s">
        <v>71</v>
      </c>
      <c r="P37" s="4" t="s">
        <v>71</v>
      </c>
      <c r="Q37" s="4" t="s">
        <v>73</v>
      </c>
      <c r="R37" s="4" t="s">
        <v>73</v>
      </c>
      <c r="S37" s="4" t="s">
        <v>70</v>
      </c>
      <c r="T37" s="4" t="s">
        <v>72</v>
      </c>
      <c r="U37" s="4" t="s">
        <v>72</v>
      </c>
      <c r="V37" s="4" t="s">
        <v>70</v>
      </c>
      <c r="W37" s="4" t="s">
        <v>70</v>
      </c>
      <c r="X37" s="4" t="s">
        <v>72</v>
      </c>
      <c r="Y37" s="4" t="s">
        <v>73</v>
      </c>
      <c r="Z37" s="4" t="s">
        <v>73</v>
      </c>
      <c r="AA37" s="4" t="s">
        <v>70</v>
      </c>
      <c r="AB37" s="4" t="s">
        <v>70</v>
      </c>
      <c r="AC37" s="4" t="s">
        <v>71</v>
      </c>
      <c r="AD37" s="4" t="s">
        <v>70</v>
      </c>
      <c r="AE37" s="4" t="s">
        <v>72</v>
      </c>
      <c r="AF37" s="4" t="s">
        <v>70</v>
      </c>
      <c r="AG37" s="4" t="s">
        <v>71</v>
      </c>
      <c r="AH37" s="4" t="s">
        <v>70</v>
      </c>
      <c r="AI37" s="4" t="s">
        <v>73</v>
      </c>
      <c r="AJ37" s="4" t="s">
        <v>71</v>
      </c>
      <c r="AK37" s="4" t="s">
        <v>72</v>
      </c>
      <c r="AL37" s="4" t="s">
        <v>70</v>
      </c>
      <c r="AM37" s="4" t="s">
        <v>72</v>
      </c>
      <c r="AN37" s="4" t="s">
        <v>72</v>
      </c>
      <c r="AO37" s="4" t="s">
        <v>73</v>
      </c>
      <c r="AP37" s="4" t="s">
        <v>73</v>
      </c>
      <c r="AQ37" s="4" t="s">
        <v>72</v>
      </c>
      <c r="AR37" s="4" t="s">
        <v>71</v>
      </c>
      <c r="AS37" s="4" t="s">
        <v>70</v>
      </c>
      <c r="AT37" s="4" t="s">
        <v>71</v>
      </c>
      <c r="AU37" s="4" t="s">
        <v>73</v>
      </c>
      <c r="AV37" s="4" t="s">
        <v>73</v>
      </c>
      <c r="AW37" s="4" t="s">
        <v>70</v>
      </c>
      <c r="AX37" s="4" t="s">
        <v>73</v>
      </c>
      <c r="AY37" s="4" t="s">
        <v>72</v>
      </c>
      <c r="AZ37" s="4" t="s">
        <v>71</v>
      </c>
      <c r="BA37" s="4" t="s">
        <v>70</v>
      </c>
      <c r="BB37" s="4" t="s">
        <v>72</v>
      </c>
      <c r="BC37" s="4" t="s">
        <v>70</v>
      </c>
      <c r="BD37" s="4" t="s">
        <v>73</v>
      </c>
      <c r="BE37" s="4" t="s">
        <v>70</v>
      </c>
      <c r="BF37" s="4" t="s">
        <v>72</v>
      </c>
      <c r="BG37" s="4" t="s">
        <v>72</v>
      </c>
      <c r="BH37" s="4" t="s">
        <v>71</v>
      </c>
      <c r="BI37" s="4" t="s">
        <v>73</v>
      </c>
      <c r="BJ37" s="4" t="s">
        <v>73</v>
      </c>
      <c r="BK37" s="4" t="s">
        <v>71</v>
      </c>
      <c r="BL37" s="4" t="s">
        <v>71</v>
      </c>
      <c r="BM37" s="4" t="s">
        <v>71</v>
      </c>
      <c r="BN37" s="4" t="s">
        <v>72</v>
      </c>
      <c r="BO37" s="4" t="s">
        <v>71</v>
      </c>
      <c r="BP37" s="4" t="s">
        <v>73</v>
      </c>
      <c r="BQ37" s="4" t="s">
        <v>71</v>
      </c>
      <c r="BR37" s="4" t="s">
        <v>72</v>
      </c>
      <c r="BS37" s="4" t="s">
        <v>70</v>
      </c>
      <c r="BT37" s="4" t="s">
        <v>70</v>
      </c>
      <c r="BU37" s="4" t="s">
        <v>70</v>
      </c>
      <c r="BV37" s="4" t="s">
        <v>70</v>
      </c>
      <c r="BW37" s="4" t="s">
        <v>72</v>
      </c>
      <c r="BX37" s="4" t="s">
        <v>71</v>
      </c>
    </row>
    <row r="38" spans="1:76">
      <c r="A38" s="4" t="s">
        <v>150</v>
      </c>
      <c r="B38" s="4" t="s">
        <v>154</v>
      </c>
      <c r="C38" s="4" t="s">
        <v>106</v>
      </c>
      <c r="D38" s="4" t="s">
        <v>69</v>
      </c>
      <c r="E38" s="4" t="s">
        <v>70</v>
      </c>
      <c r="F38" s="4" t="s">
        <v>71</v>
      </c>
      <c r="G38" s="4" t="s">
        <v>72</v>
      </c>
      <c r="H38" s="4" t="s">
        <v>71</v>
      </c>
      <c r="I38" s="4" t="s">
        <v>70</v>
      </c>
      <c r="J38" s="4" t="s">
        <v>71</v>
      </c>
      <c r="K38" s="4" t="s">
        <v>70</v>
      </c>
      <c r="L38" s="4" t="s">
        <v>72</v>
      </c>
      <c r="M38" s="4" t="s">
        <v>70</v>
      </c>
      <c r="N38" s="4" t="s">
        <v>70</v>
      </c>
      <c r="O38" s="4" t="s">
        <v>71</v>
      </c>
      <c r="P38" s="4" t="s">
        <v>70</v>
      </c>
      <c r="Q38" s="4" t="s">
        <v>72</v>
      </c>
      <c r="R38" s="4" t="s">
        <v>73</v>
      </c>
      <c r="S38" s="4" t="s">
        <v>73</v>
      </c>
      <c r="T38" s="10" t="s">
        <v>77</v>
      </c>
      <c r="U38" s="4" t="s">
        <v>72</v>
      </c>
      <c r="V38" s="4" t="s">
        <v>70</v>
      </c>
      <c r="W38" s="4" t="s">
        <v>70</v>
      </c>
      <c r="X38" s="4" t="s">
        <v>71</v>
      </c>
      <c r="Y38" s="4" t="s">
        <v>73</v>
      </c>
      <c r="Z38" s="4" t="s">
        <v>73</v>
      </c>
      <c r="AA38" s="4" t="s">
        <v>71</v>
      </c>
      <c r="AB38" s="4" t="s">
        <v>70</v>
      </c>
      <c r="AC38" s="4" t="s">
        <v>71</v>
      </c>
      <c r="AD38" s="4" t="s">
        <v>70</v>
      </c>
      <c r="AE38" s="4" t="s">
        <v>72</v>
      </c>
      <c r="AF38" s="4" t="s">
        <v>71</v>
      </c>
      <c r="AG38" s="4" t="s">
        <v>72</v>
      </c>
      <c r="AH38" s="4" t="s">
        <v>70</v>
      </c>
      <c r="AI38" s="4" t="s">
        <v>73</v>
      </c>
      <c r="AJ38" s="4" t="s">
        <v>71</v>
      </c>
      <c r="AK38" s="4" t="s">
        <v>72</v>
      </c>
      <c r="AL38" s="4" t="s">
        <v>72</v>
      </c>
      <c r="AM38" s="4" t="s">
        <v>71</v>
      </c>
      <c r="AN38" s="4" t="s">
        <v>72</v>
      </c>
      <c r="AO38" s="4" t="s">
        <v>73</v>
      </c>
      <c r="AP38" s="4" t="s">
        <v>73</v>
      </c>
      <c r="AQ38" s="4" t="s">
        <v>72</v>
      </c>
      <c r="AR38" s="4" t="s">
        <v>71</v>
      </c>
      <c r="AS38" s="4" t="s">
        <v>73</v>
      </c>
      <c r="AT38" s="4" t="s">
        <v>70</v>
      </c>
      <c r="AU38" s="4" t="s">
        <v>73</v>
      </c>
      <c r="AV38" s="4" t="s">
        <v>73</v>
      </c>
      <c r="AW38" s="4" t="s">
        <v>70</v>
      </c>
      <c r="AX38" s="4" t="s">
        <v>73</v>
      </c>
      <c r="AY38" s="4" t="s">
        <v>72</v>
      </c>
      <c r="AZ38" s="4" t="s">
        <v>72</v>
      </c>
      <c r="BA38" s="4" t="s">
        <v>73</v>
      </c>
      <c r="BB38" s="4" t="s">
        <v>72</v>
      </c>
      <c r="BC38" s="4" t="s">
        <v>70</v>
      </c>
      <c r="BD38" s="4" t="s">
        <v>70</v>
      </c>
      <c r="BE38" s="4" t="s">
        <v>70</v>
      </c>
      <c r="BF38" s="4" t="s">
        <v>72</v>
      </c>
      <c r="BG38" s="4" t="s">
        <v>72</v>
      </c>
      <c r="BH38" s="4" t="s">
        <v>71</v>
      </c>
      <c r="BI38" s="4" t="s">
        <v>70</v>
      </c>
      <c r="BJ38" s="4" t="s">
        <v>73</v>
      </c>
      <c r="BK38" s="4" t="s">
        <v>71</v>
      </c>
      <c r="BL38" s="4" t="s">
        <v>71</v>
      </c>
      <c r="BM38" s="4" t="s">
        <v>71</v>
      </c>
      <c r="BN38" s="4" t="s">
        <v>71</v>
      </c>
      <c r="BO38" s="4" t="s">
        <v>71</v>
      </c>
      <c r="BP38" s="4" t="s">
        <v>73</v>
      </c>
      <c r="BQ38" s="4" t="s">
        <v>72</v>
      </c>
      <c r="BR38" s="4" t="s">
        <v>71</v>
      </c>
      <c r="BS38" s="4" t="s">
        <v>70</v>
      </c>
      <c r="BT38" s="4" t="s">
        <v>72</v>
      </c>
      <c r="BU38" s="4" t="s">
        <v>70</v>
      </c>
      <c r="BV38" s="4" t="s">
        <v>73</v>
      </c>
      <c r="BW38" s="4" t="s">
        <v>70</v>
      </c>
      <c r="BX38" s="4" t="s">
        <v>72</v>
      </c>
    </row>
    <row r="39" spans="1:76">
      <c r="A39" s="4" t="s">
        <v>150</v>
      </c>
      <c r="B39" s="4" t="s">
        <v>155</v>
      </c>
      <c r="C39" s="4" t="s">
        <v>156</v>
      </c>
      <c r="D39" s="4" t="s">
        <v>76</v>
      </c>
      <c r="E39" s="4" t="s">
        <v>72</v>
      </c>
      <c r="F39" s="4" t="s">
        <v>71</v>
      </c>
      <c r="G39" s="4" t="s">
        <v>71</v>
      </c>
      <c r="H39" s="4" t="s">
        <v>70</v>
      </c>
      <c r="I39" s="4" t="s">
        <v>72</v>
      </c>
      <c r="J39" s="4" t="s">
        <v>70</v>
      </c>
      <c r="K39" s="4" t="s">
        <v>73</v>
      </c>
      <c r="L39" s="4" t="s">
        <v>72</v>
      </c>
      <c r="M39" s="4" t="s">
        <v>73</v>
      </c>
      <c r="N39" s="4" t="s">
        <v>70</v>
      </c>
      <c r="O39" s="4" t="s">
        <v>72</v>
      </c>
      <c r="P39" s="4" t="s">
        <v>72</v>
      </c>
      <c r="Q39" s="4" t="s">
        <v>72</v>
      </c>
      <c r="R39" s="4" t="s">
        <v>73</v>
      </c>
      <c r="S39" s="4" t="s">
        <v>73</v>
      </c>
      <c r="T39" s="10" t="s">
        <v>77</v>
      </c>
      <c r="U39" s="4" t="s">
        <v>72</v>
      </c>
      <c r="V39" s="4" t="s">
        <v>70</v>
      </c>
      <c r="W39" s="4" t="s">
        <v>70</v>
      </c>
      <c r="X39" s="4" t="s">
        <v>72</v>
      </c>
      <c r="Y39" s="4" t="s">
        <v>73</v>
      </c>
      <c r="Z39" s="4" t="s">
        <v>70</v>
      </c>
      <c r="AA39" s="4" t="s">
        <v>73</v>
      </c>
      <c r="AB39" s="4" t="s">
        <v>73</v>
      </c>
      <c r="AC39" s="4" t="s">
        <v>72</v>
      </c>
      <c r="AD39" s="4" t="s">
        <v>70</v>
      </c>
      <c r="AE39" s="4" t="s">
        <v>70</v>
      </c>
      <c r="AF39" s="4" t="s">
        <v>70</v>
      </c>
      <c r="AG39" s="4" t="s">
        <v>71</v>
      </c>
      <c r="AH39" s="4" t="s">
        <v>70</v>
      </c>
      <c r="AI39" s="4" t="s">
        <v>71</v>
      </c>
      <c r="AJ39" s="4" t="s">
        <v>72</v>
      </c>
      <c r="AK39" s="4" t="s">
        <v>72</v>
      </c>
      <c r="AL39" s="4" t="s">
        <v>70</v>
      </c>
      <c r="AM39" s="4" t="s">
        <v>72</v>
      </c>
      <c r="AN39" s="4" t="s">
        <v>71</v>
      </c>
      <c r="AO39" s="4" t="s">
        <v>70</v>
      </c>
      <c r="AP39" s="4" t="s">
        <v>71</v>
      </c>
      <c r="AQ39" s="4" t="s">
        <v>70</v>
      </c>
      <c r="AR39" s="4" t="s">
        <v>72</v>
      </c>
      <c r="AS39" s="4" t="s">
        <v>70</v>
      </c>
      <c r="AT39" s="4" t="s">
        <v>71</v>
      </c>
      <c r="AU39" s="4" t="s">
        <v>71</v>
      </c>
      <c r="AV39" s="4" t="s">
        <v>73</v>
      </c>
      <c r="AW39" s="4" t="s">
        <v>70</v>
      </c>
      <c r="AX39" s="10" t="s">
        <v>77</v>
      </c>
      <c r="AY39" s="4" t="s">
        <v>73</v>
      </c>
      <c r="AZ39" s="4" t="s">
        <v>72</v>
      </c>
      <c r="BA39" s="4" t="s">
        <v>71</v>
      </c>
      <c r="BB39" s="4" t="s">
        <v>70</v>
      </c>
      <c r="BC39" s="4" t="s">
        <v>70</v>
      </c>
      <c r="BD39" s="4" t="s">
        <v>70</v>
      </c>
      <c r="BE39" s="4" t="s">
        <v>70</v>
      </c>
      <c r="BF39" s="4" t="s">
        <v>72</v>
      </c>
      <c r="BG39" s="4" t="s">
        <v>72</v>
      </c>
      <c r="BH39" s="4" t="s">
        <v>71</v>
      </c>
      <c r="BI39" s="4" t="s">
        <v>73</v>
      </c>
      <c r="BJ39" s="4" t="s">
        <v>73</v>
      </c>
      <c r="BK39" s="4" t="s">
        <v>72</v>
      </c>
      <c r="BL39" s="4" t="s">
        <v>72</v>
      </c>
      <c r="BM39" s="4" t="s">
        <v>71</v>
      </c>
      <c r="BN39" s="4" t="s">
        <v>71</v>
      </c>
      <c r="BO39" s="4" t="s">
        <v>71</v>
      </c>
      <c r="BP39" s="4" t="s">
        <v>71</v>
      </c>
      <c r="BQ39" s="4" t="s">
        <v>70</v>
      </c>
      <c r="BR39" s="4" t="s">
        <v>72</v>
      </c>
      <c r="BS39" s="4" t="s">
        <v>71</v>
      </c>
      <c r="BT39" s="4" t="s">
        <v>70</v>
      </c>
      <c r="BU39" s="4" t="s">
        <v>71</v>
      </c>
      <c r="BV39" s="4" t="s">
        <v>70</v>
      </c>
      <c r="BW39" s="4" t="s">
        <v>70</v>
      </c>
      <c r="BX39" s="4" t="s">
        <v>73</v>
      </c>
    </row>
    <row r="40" spans="1:76">
      <c r="A40" s="4" t="s">
        <v>150</v>
      </c>
      <c r="B40" s="4" t="s">
        <v>157</v>
      </c>
      <c r="C40" s="4" t="s">
        <v>158</v>
      </c>
      <c r="D40" s="4" t="s">
        <v>159</v>
      </c>
      <c r="E40" s="4" t="s">
        <v>72</v>
      </c>
      <c r="F40" s="4" t="s">
        <v>71</v>
      </c>
      <c r="G40" s="4" t="s">
        <v>71</v>
      </c>
      <c r="H40" s="4" t="s">
        <v>70</v>
      </c>
      <c r="I40" s="4" t="s">
        <v>73</v>
      </c>
      <c r="J40" s="4" t="s">
        <v>72</v>
      </c>
      <c r="K40" s="4" t="s">
        <v>73</v>
      </c>
      <c r="L40" s="4" t="s">
        <v>72</v>
      </c>
      <c r="M40" s="4" t="s">
        <v>73</v>
      </c>
      <c r="N40" s="4" t="s">
        <v>70</v>
      </c>
      <c r="O40" s="4" t="s">
        <v>72</v>
      </c>
      <c r="P40" s="4" t="s">
        <v>70</v>
      </c>
      <c r="Q40" s="4" t="s">
        <v>72</v>
      </c>
      <c r="R40" s="4" t="s">
        <v>73</v>
      </c>
      <c r="S40" s="4" t="s">
        <v>73</v>
      </c>
      <c r="T40" s="10" t="s">
        <v>77</v>
      </c>
      <c r="U40" s="4" t="s">
        <v>71</v>
      </c>
      <c r="V40" s="4" t="s">
        <v>70</v>
      </c>
      <c r="W40" s="4" t="s">
        <v>70</v>
      </c>
      <c r="X40" s="4" t="s">
        <v>71</v>
      </c>
      <c r="Y40" s="4" t="s">
        <v>73</v>
      </c>
      <c r="Z40" s="4" t="s">
        <v>72</v>
      </c>
      <c r="AA40" s="4" t="s">
        <v>71</v>
      </c>
      <c r="AB40" s="4" t="s">
        <v>73</v>
      </c>
      <c r="AC40" s="4" t="s">
        <v>71</v>
      </c>
      <c r="AD40" s="4" t="s">
        <v>73</v>
      </c>
      <c r="AE40" s="4" t="s">
        <v>72</v>
      </c>
      <c r="AF40" s="4" t="s">
        <v>71</v>
      </c>
      <c r="AG40" s="4" t="s">
        <v>73</v>
      </c>
      <c r="AH40" s="4" t="s">
        <v>71</v>
      </c>
      <c r="AI40" s="4" t="s">
        <v>70</v>
      </c>
      <c r="AJ40" s="4" t="s">
        <v>71</v>
      </c>
      <c r="AK40" s="4" t="s">
        <v>72</v>
      </c>
      <c r="AL40" s="4" t="s">
        <v>72</v>
      </c>
      <c r="AM40" s="4" t="s">
        <v>72</v>
      </c>
      <c r="AN40" s="4" t="s">
        <v>71</v>
      </c>
      <c r="AO40" s="4" t="s">
        <v>73</v>
      </c>
      <c r="AP40" s="4" t="s">
        <v>71</v>
      </c>
      <c r="AQ40" s="4" t="s">
        <v>71</v>
      </c>
      <c r="AR40" s="4" t="s">
        <v>70</v>
      </c>
      <c r="AS40" s="4" t="s">
        <v>72</v>
      </c>
      <c r="AT40" s="4" t="s">
        <v>70</v>
      </c>
      <c r="AU40" s="4" t="s">
        <v>70</v>
      </c>
      <c r="AV40" s="4" t="s">
        <v>73</v>
      </c>
      <c r="AW40" s="4" t="s">
        <v>70</v>
      </c>
      <c r="AX40" s="10" t="s">
        <v>77</v>
      </c>
      <c r="AY40" s="4" t="s">
        <v>71</v>
      </c>
      <c r="AZ40" s="4" t="s">
        <v>71</v>
      </c>
      <c r="BA40" s="4" t="s">
        <v>71</v>
      </c>
      <c r="BB40" s="4" t="s">
        <v>70</v>
      </c>
      <c r="BC40" s="4" t="s">
        <v>70</v>
      </c>
      <c r="BD40" s="4" t="s">
        <v>70</v>
      </c>
      <c r="BE40" s="4" t="s">
        <v>70</v>
      </c>
      <c r="BF40" s="4" t="s">
        <v>72</v>
      </c>
      <c r="BG40" s="4" t="s">
        <v>72</v>
      </c>
      <c r="BH40" s="4" t="s">
        <v>71</v>
      </c>
      <c r="BI40" s="4" t="s">
        <v>70</v>
      </c>
      <c r="BJ40" s="4" t="s">
        <v>73</v>
      </c>
      <c r="BK40" s="4" t="s">
        <v>71</v>
      </c>
      <c r="BL40" s="4" t="s">
        <v>72</v>
      </c>
      <c r="BM40" s="4" t="s">
        <v>71</v>
      </c>
      <c r="BN40" s="4" t="s">
        <v>71</v>
      </c>
      <c r="BO40" s="4" t="s">
        <v>71</v>
      </c>
      <c r="BP40" s="4" t="s">
        <v>71</v>
      </c>
      <c r="BQ40" s="4" t="s">
        <v>70</v>
      </c>
      <c r="BR40" s="4" t="s">
        <v>72</v>
      </c>
      <c r="BS40" s="4" t="s">
        <v>73</v>
      </c>
      <c r="BT40" s="4" t="s">
        <v>72</v>
      </c>
      <c r="BU40" s="4" t="s">
        <v>71</v>
      </c>
      <c r="BV40" s="4" t="s">
        <v>70</v>
      </c>
      <c r="BW40" s="4" t="s">
        <v>70</v>
      </c>
      <c r="BX40" s="4" t="s">
        <v>73</v>
      </c>
    </row>
    <row r="41" spans="1:76">
      <c r="A41" s="4" t="s">
        <v>150</v>
      </c>
      <c r="B41" s="4" t="s">
        <v>160</v>
      </c>
      <c r="C41" s="4" t="s">
        <v>161</v>
      </c>
      <c r="D41" s="4" t="s">
        <v>162</v>
      </c>
      <c r="E41" s="4" t="s">
        <v>70</v>
      </c>
      <c r="F41" s="4" t="s">
        <v>71</v>
      </c>
      <c r="G41" s="4" t="s">
        <v>71</v>
      </c>
      <c r="H41" s="4" t="s">
        <v>73</v>
      </c>
      <c r="I41" s="4" t="s">
        <v>72</v>
      </c>
      <c r="J41" s="4" t="s">
        <v>71</v>
      </c>
      <c r="K41" s="4" t="s">
        <v>72</v>
      </c>
      <c r="L41" s="4" t="s">
        <v>72</v>
      </c>
      <c r="M41" s="4" t="s">
        <v>73</v>
      </c>
      <c r="N41" s="4" t="s">
        <v>70</v>
      </c>
      <c r="O41" s="4" t="s">
        <v>72</v>
      </c>
      <c r="P41" s="4" t="s">
        <v>73</v>
      </c>
      <c r="Q41" s="4" t="s">
        <v>72</v>
      </c>
      <c r="R41" s="4" t="s">
        <v>73</v>
      </c>
      <c r="S41" s="4" t="s">
        <v>70</v>
      </c>
      <c r="T41" s="10" t="s">
        <v>77</v>
      </c>
      <c r="U41" s="4" t="s">
        <v>72</v>
      </c>
      <c r="V41" s="4" t="s">
        <v>70</v>
      </c>
      <c r="W41" s="4" t="s">
        <v>70</v>
      </c>
      <c r="X41" s="4" t="s">
        <v>72</v>
      </c>
      <c r="Y41" s="4" t="s">
        <v>73</v>
      </c>
      <c r="Z41" s="4" t="s">
        <v>70</v>
      </c>
      <c r="AA41" s="4" t="s">
        <v>72</v>
      </c>
      <c r="AB41" s="4" t="s">
        <v>73</v>
      </c>
      <c r="AC41" s="4" t="s">
        <v>71</v>
      </c>
      <c r="AD41" s="4" t="s">
        <v>73</v>
      </c>
      <c r="AE41" s="4" t="s">
        <v>71</v>
      </c>
      <c r="AF41" s="4" t="s">
        <v>73</v>
      </c>
      <c r="AG41" s="4" t="s">
        <v>72</v>
      </c>
      <c r="AH41" s="4" t="s">
        <v>71</v>
      </c>
      <c r="AI41" s="4" t="s">
        <v>70</v>
      </c>
      <c r="AJ41" s="4" t="s">
        <v>72</v>
      </c>
      <c r="AK41" s="4" t="s">
        <v>72</v>
      </c>
      <c r="AL41" s="4" t="s">
        <v>70</v>
      </c>
      <c r="AM41" s="4" t="s">
        <v>72</v>
      </c>
      <c r="AN41" s="4" t="s">
        <v>70</v>
      </c>
      <c r="AO41" s="4" t="s">
        <v>70</v>
      </c>
      <c r="AP41" s="4" t="s">
        <v>71</v>
      </c>
      <c r="AQ41" s="4" t="s">
        <v>71</v>
      </c>
      <c r="AR41" s="4" t="s">
        <v>70</v>
      </c>
      <c r="AS41" s="4" t="s">
        <v>73</v>
      </c>
      <c r="AT41" s="4" t="s">
        <v>72</v>
      </c>
      <c r="AU41" s="4" t="s">
        <v>70</v>
      </c>
      <c r="AV41" s="4" t="s">
        <v>73</v>
      </c>
      <c r="AW41" s="4" t="s">
        <v>73</v>
      </c>
      <c r="AX41" s="10" t="s">
        <v>77</v>
      </c>
      <c r="AY41" s="4" t="s">
        <v>73</v>
      </c>
      <c r="AZ41" s="4" t="s">
        <v>71</v>
      </c>
      <c r="BA41" s="4" t="s">
        <v>71</v>
      </c>
      <c r="BB41" s="4" t="s">
        <v>71</v>
      </c>
      <c r="BC41" s="4" t="s">
        <v>72</v>
      </c>
      <c r="BD41" s="4" t="s">
        <v>70</v>
      </c>
      <c r="BE41" s="4" t="s">
        <v>70</v>
      </c>
      <c r="BF41" s="4" t="s">
        <v>72</v>
      </c>
      <c r="BG41" s="4" t="s">
        <v>72</v>
      </c>
      <c r="BH41" s="4" t="s">
        <v>71</v>
      </c>
      <c r="BI41" s="4" t="s">
        <v>70</v>
      </c>
      <c r="BJ41" s="4" t="s">
        <v>73</v>
      </c>
      <c r="BK41" s="4" t="s">
        <v>72</v>
      </c>
      <c r="BL41" s="4" t="s">
        <v>72</v>
      </c>
      <c r="BM41" s="4" t="s">
        <v>71</v>
      </c>
      <c r="BN41" s="4" t="s">
        <v>72</v>
      </c>
      <c r="BO41" s="4" t="s">
        <v>73</v>
      </c>
      <c r="BP41" s="4" t="s">
        <v>70</v>
      </c>
      <c r="BQ41" s="4" t="s">
        <v>70</v>
      </c>
      <c r="BR41" s="4" t="s">
        <v>73</v>
      </c>
      <c r="BS41" s="4" t="s">
        <v>70</v>
      </c>
      <c r="BT41" s="4" t="s">
        <v>73</v>
      </c>
      <c r="BU41" s="4" t="s">
        <v>72</v>
      </c>
      <c r="BV41" s="4" t="s">
        <v>70</v>
      </c>
      <c r="BW41" s="4" t="s">
        <v>70</v>
      </c>
      <c r="BX41" s="4" t="s">
        <v>71</v>
      </c>
    </row>
    <row r="42" spans="1:76">
      <c r="A42" s="4" t="s">
        <v>150</v>
      </c>
      <c r="B42" s="4" t="s">
        <v>163</v>
      </c>
      <c r="C42" s="4" t="s">
        <v>117</v>
      </c>
      <c r="D42" s="4" t="s">
        <v>164</v>
      </c>
      <c r="E42" s="4" t="s">
        <v>70</v>
      </c>
      <c r="F42" s="4" t="s">
        <v>70</v>
      </c>
      <c r="G42" s="4" t="s">
        <v>72</v>
      </c>
      <c r="H42" s="4" t="s">
        <v>71</v>
      </c>
      <c r="I42" s="4" t="s">
        <v>72</v>
      </c>
      <c r="J42" s="4" t="s">
        <v>71</v>
      </c>
      <c r="K42" s="4" t="s">
        <v>72</v>
      </c>
      <c r="L42" s="4" t="s">
        <v>72</v>
      </c>
      <c r="M42" s="4" t="s">
        <v>70</v>
      </c>
      <c r="N42" s="4" t="s">
        <v>70</v>
      </c>
      <c r="O42" s="4" t="s">
        <v>71</v>
      </c>
      <c r="P42" s="4" t="s">
        <v>71</v>
      </c>
      <c r="Q42" s="4" t="s">
        <v>71</v>
      </c>
      <c r="R42" s="4" t="s">
        <v>73</v>
      </c>
      <c r="S42" s="4" t="s">
        <v>70</v>
      </c>
      <c r="T42" s="4" t="s">
        <v>72</v>
      </c>
      <c r="U42" s="4" t="s">
        <v>72</v>
      </c>
      <c r="V42" s="4" t="s">
        <v>70</v>
      </c>
      <c r="W42" s="4" t="s">
        <v>70</v>
      </c>
      <c r="X42" s="4" t="s">
        <v>72</v>
      </c>
      <c r="Y42" s="4" t="s">
        <v>73</v>
      </c>
      <c r="Z42" s="4" t="s">
        <v>73</v>
      </c>
      <c r="AA42" s="4" t="s">
        <v>70</v>
      </c>
      <c r="AB42" s="4" t="s">
        <v>70</v>
      </c>
      <c r="AC42" s="4" t="s">
        <v>71</v>
      </c>
      <c r="AD42" s="4" t="s">
        <v>73</v>
      </c>
      <c r="AE42" s="4" t="s">
        <v>71</v>
      </c>
      <c r="AF42" s="4" t="s">
        <v>71</v>
      </c>
      <c r="AG42" s="4" t="s">
        <v>70</v>
      </c>
      <c r="AH42" s="4" t="s">
        <v>72</v>
      </c>
      <c r="AI42" s="4" t="s">
        <v>70</v>
      </c>
      <c r="AJ42" s="4" t="s">
        <v>71</v>
      </c>
      <c r="AK42" s="4" t="s">
        <v>72</v>
      </c>
      <c r="AL42" s="4" t="s">
        <v>73</v>
      </c>
      <c r="AM42" s="4" t="s">
        <v>73</v>
      </c>
      <c r="AN42" s="4" t="s">
        <v>72</v>
      </c>
      <c r="AO42" s="4" t="s">
        <v>73</v>
      </c>
      <c r="AP42" s="4" t="s">
        <v>73</v>
      </c>
      <c r="AQ42" s="4" t="s">
        <v>71</v>
      </c>
      <c r="AR42" s="4" t="s">
        <v>70</v>
      </c>
      <c r="AS42" s="4" t="s">
        <v>71</v>
      </c>
      <c r="AT42" s="4" t="s">
        <v>70</v>
      </c>
      <c r="AU42" s="4" t="s">
        <v>70</v>
      </c>
      <c r="AV42" s="4" t="s">
        <v>70</v>
      </c>
      <c r="AW42" s="4" t="s">
        <v>70</v>
      </c>
      <c r="AX42" s="4" t="s">
        <v>73</v>
      </c>
      <c r="AY42" s="4" t="s">
        <v>72</v>
      </c>
      <c r="AZ42" s="4" t="s">
        <v>71</v>
      </c>
      <c r="BA42" s="4" t="s">
        <v>73</v>
      </c>
      <c r="BB42" s="4" t="s">
        <v>70</v>
      </c>
      <c r="BC42" s="4" t="s">
        <v>71</v>
      </c>
      <c r="BD42" s="4" t="s">
        <v>70</v>
      </c>
      <c r="BE42" s="4" t="s">
        <v>70</v>
      </c>
      <c r="BF42" s="4" t="s">
        <v>72</v>
      </c>
      <c r="BG42" s="4" t="s">
        <v>72</v>
      </c>
      <c r="BH42" s="4" t="s">
        <v>71</v>
      </c>
      <c r="BI42" s="4" t="s">
        <v>70</v>
      </c>
      <c r="BJ42" s="4" t="s">
        <v>73</v>
      </c>
      <c r="BK42" s="4" t="s">
        <v>72</v>
      </c>
      <c r="BL42" s="4" t="s">
        <v>71</v>
      </c>
      <c r="BM42" s="4" t="s">
        <v>71</v>
      </c>
      <c r="BN42" s="4" t="s">
        <v>71</v>
      </c>
      <c r="BO42" s="4" t="s">
        <v>70</v>
      </c>
      <c r="BP42" s="4" t="s">
        <v>71</v>
      </c>
      <c r="BQ42" s="4" t="s">
        <v>72</v>
      </c>
      <c r="BR42" s="4" t="s">
        <v>73</v>
      </c>
      <c r="BS42" s="4" t="s">
        <v>70</v>
      </c>
      <c r="BT42" s="4" t="s">
        <v>73</v>
      </c>
      <c r="BU42" s="4" t="s">
        <v>70</v>
      </c>
      <c r="BV42" s="4" t="s">
        <v>73</v>
      </c>
      <c r="BW42" s="4" t="s">
        <v>71</v>
      </c>
      <c r="BX42" s="4" t="s">
        <v>71</v>
      </c>
    </row>
    <row r="43" spans="1:76">
      <c r="A43" s="4" t="s">
        <v>150</v>
      </c>
      <c r="B43" s="4" t="s">
        <v>165</v>
      </c>
      <c r="C43" s="4" t="s">
        <v>117</v>
      </c>
      <c r="D43" s="4" t="s">
        <v>166</v>
      </c>
      <c r="E43" s="4" t="s">
        <v>70</v>
      </c>
      <c r="F43" s="4" t="s">
        <v>71</v>
      </c>
      <c r="G43" s="4" t="s">
        <v>72</v>
      </c>
      <c r="H43" s="4" t="s">
        <v>71</v>
      </c>
      <c r="I43" s="4" t="s">
        <v>70</v>
      </c>
      <c r="J43" s="4" t="s">
        <v>72</v>
      </c>
      <c r="K43" s="4" t="s">
        <v>70</v>
      </c>
      <c r="L43" s="4" t="s">
        <v>72</v>
      </c>
      <c r="M43" s="4" t="s">
        <v>73</v>
      </c>
      <c r="N43" s="4" t="s">
        <v>70</v>
      </c>
      <c r="O43" s="4" t="s">
        <v>71</v>
      </c>
      <c r="P43" s="4" t="s">
        <v>72</v>
      </c>
      <c r="Q43" s="4" t="s">
        <v>71</v>
      </c>
      <c r="R43" s="4" t="s">
        <v>73</v>
      </c>
      <c r="S43" s="4" t="s">
        <v>70</v>
      </c>
      <c r="T43" s="10" t="s">
        <v>77</v>
      </c>
      <c r="U43" s="4" t="s">
        <v>72</v>
      </c>
      <c r="V43" s="4" t="s">
        <v>70</v>
      </c>
      <c r="W43" s="4" t="s">
        <v>70</v>
      </c>
      <c r="X43" s="4" t="s">
        <v>72</v>
      </c>
      <c r="Y43" s="4" t="s">
        <v>73</v>
      </c>
      <c r="Z43" s="4" t="s">
        <v>70</v>
      </c>
      <c r="AA43" s="4" t="s">
        <v>73</v>
      </c>
      <c r="AB43" s="4" t="s">
        <v>70</v>
      </c>
      <c r="AC43" s="4" t="s">
        <v>71</v>
      </c>
      <c r="AD43" s="4" t="s">
        <v>72</v>
      </c>
      <c r="AE43" s="4" t="s">
        <v>72</v>
      </c>
      <c r="AF43" s="4" t="s">
        <v>71</v>
      </c>
      <c r="AG43" s="4" t="s">
        <v>70</v>
      </c>
      <c r="AH43" s="4" t="s">
        <v>72</v>
      </c>
      <c r="AI43" s="4" t="s">
        <v>70</v>
      </c>
      <c r="AJ43" s="4" t="s">
        <v>71</v>
      </c>
      <c r="AK43" s="4" t="s">
        <v>72</v>
      </c>
      <c r="AL43" s="4" t="s">
        <v>72</v>
      </c>
      <c r="AM43" s="4" t="s">
        <v>73</v>
      </c>
      <c r="AN43" s="4" t="s">
        <v>72</v>
      </c>
      <c r="AO43" s="4" t="s">
        <v>73</v>
      </c>
      <c r="AP43" s="4" t="s">
        <v>73</v>
      </c>
      <c r="AQ43" s="4" t="s">
        <v>71</v>
      </c>
      <c r="AR43" s="4" t="s">
        <v>70</v>
      </c>
      <c r="AS43" s="4" t="s">
        <v>71</v>
      </c>
      <c r="AT43" s="4" t="s">
        <v>70</v>
      </c>
      <c r="AU43" s="4" t="s">
        <v>73</v>
      </c>
      <c r="AV43" s="4" t="s">
        <v>71</v>
      </c>
      <c r="AW43" s="4" t="s">
        <v>71</v>
      </c>
      <c r="AX43" s="4" t="s">
        <v>70</v>
      </c>
      <c r="AY43" s="4" t="s">
        <v>72</v>
      </c>
      <c r="AZ43" s="4" t="s">
        <v>71</v>
      </c>
      <c r="BA43" s="4" t="s">
        <v>70</v>
      </c>
      <c r="BB43" s="4" t="s">
        <v>72</v>
      </c>
      <c r="BC43" s="4" t="s">
        <v>70</v>
      </c>
      <c r="BD43" s="4" t="s">
        <v>70</v>
      </c>
      <c r="BE43" s="4" t="s">
        <v>70</v>
      </c>
      <c r="BF43" s="4" t="s">
        <v>72</v>
      </c>
      <c r="BG43" s="4" t="s">
        <v>72</v>
      </c>
      <c r="BH43" s="4" t="s">
        <v>71</v>
      </c>
      <c r="BI43" s="4" t="s">
        <v>73</v>
      </c>
      <c r="BJ43" s="4" t="s">
        <v>73</v>
      </c>
      <c r="BK43" s="4" t="s">
        <v>72</v>
      </c>
      <c r="BL43" s="4" t="s">
        <v>71</v>
      </c>
      <c r="BM43" s="4" t="s">
        <v>71</v>
      </c>
      <c r="BN43" s="4" t="s">
        <v>71</v>
      </c>
      <c r="BO43" s="4" t="s">
        <v>71</v>
      </c>
      <c r="BP43" s="4" t="s">
        <v>73</v>
      </c>
      <c r="BQ43" s="4" t="s">
        <v>71</v>
      </c>
      <c r="BR43" s="4" t="s">
        <v>71</v>
      </c>
      <c r="BS43" s="4" t="s">
        <v>72</v>
      </c>
      <c r="BT43" s="4" t="s">
        <v>71</v>
      </c>
      <c r="BU43" s="4" t="s">
        <v>70</v>
      </c>
      <c r="BV43" s="4" t="s">
        <v>73</v>
      </c>
      <c r="BW43" s="4" t="s">
        <v>70</v>
      </c>
      <c r="BX43" s="4" t="s">
        <v>71</v>
      </c>
    </row>
    <row r="44" spans="1:76">
      <c r="A44" s="4" t="s">
        <v>150</v>
      </c>
      <c r="B44" s="4" t="s">
        <v>167</v>
      </c>
      <c r="C44" s="4" t="s">
        <v>168</v>
      </c>
      <c r="D44" s="4" t="s">
        <v>83</v>
      </c>
      <c r="E44" s="4" t="s">
        <v>70</v>
      </c>
      <c r="F44" s="4" t="s">
        <v>71</v>
      </c>
      <c r="G44" s="4" t="s">
        <v>71</v>
      </c>
      <c r="H44" s="4" t="s">
        <v>72</v>
      </c>
      <c r="I44" s="4" t="s">
        <v>72</v>
      </c>
      <c r="J44" s="4" t="s">
        <v>70</v>
      </c>
      <c r="K44" s="4" t="s">
        <v>72</v>
      </c>
      <c r="L44" s="4" t="s">
        <v>72</v>
      </c>
      <c r="M44" s="4" t="s">
        <v>70</v>
      </c>
      <c r="N44" s="4" t="s">
        <v>70</v>
      </c>
      <c r="O44" s="4" t="s">
        <v>71</v>
      </c>
      <c r="P44" s="4" t="s">
        <v>70</v>
      </c>
      <c r="Q44" s="4" t="s">
        <v>71</v>
      </c>
      <c r="R44" s="4" t="s">
        <v>73</v>
      </c>
      <c r="S44" s="4" t="s">
        <v>73</v>
      </c>
      <c r="T44" s="4" t="s">
        <v>72</v>
      </c>
      <c r="U44" s="4" t="s">
        <v>71</v>
      </c>
      <c r="V44" s="4" t="s">
        <v>70</v>
      </c>
      <c r="W44" s="4" t="s">
        <v>70</v>
      </c>
      <c r="X44" s="4" t="s">
        <v>72</v>
      </c>
      <c r="Y44" s="4" t="s">
        <v>73</v>
      </c>
      <c r="Z44" s="4" t="s">
        <v>70</v>
      </c>
      <c r="AA44" s="4" t="s">
        <v>71</v>
      </c>
      <c r="AB44" s="4" t="s">
        <v>70</v>
      </c>
      <c r="AC44" s="4" t="s">
        <v>71</v>
      </c>
      <c r="AD44" s="4" t="s">
        <v>70</v>
      </c>
      <c r="AE44" s="4" t="s">
        <v>72</v>
      </c>
      <c r="AF44" s="4" t="s">
        <v>73</v>
      </c>
      <c r="AG44" s="4" t="s">
        <v>72</v>
      </c>
      <c r="AH44" s="4" t="s">
        <v>70</v>
      </c>
      <c r="AI44" s="4" t="s">
        <v>73</v>
      </c>
      <c r="AJ44" s="4" t="s">
        <v>71</v>
      </c>
      <c r="AK44" s="4" t="s">
        <v>72</v>
      </c>
      <c r="AL44" s="4" t="s">
        <v>71</v>
      </c>
      <c r="AM44" s="4" t="s">
        <v>72</v>
      </c>
      <c r="AN44" s="4" t="s">
        <v>72</v>
      </c>
      <c r="AO44" s="4" t="s">
        <v>73</v>
      </c>
      <c r="AP44" s="4" t="s">
        <v>73</v>
      </c>
      <c r="AQ44" s="4" t="s">
        <v>72</v>
      </c>
      <c r="AR44" s="4" t="s">
        <v>71</v>
      </c>
      <c r="AS44" s="4" t="s">
        <v>73</v>
      </c>
      <c r="AT44" s="4" t="s">
        <v>72</v>
      </c>
      <c r="AU44" s="4" t="s">
        <v>73</v>
      </c>
      <c r="AV44" s="4" t="s">
        <v>73</v>
      </c>
      <c r="AW44" s="4" t="s">
        <v>70</v>
      </c>
      <c r="AX44" s="4" t="s">
        <v>70</v>
      </c>
      <c r="AY44" s="4" t="s">
        <v>72</v>
      </c>
      <c r="AZ44" s="4" t="s">
        <v>72</v>
      </c>
      <c r="BA44" s="4" t="s">
        <v>73</v>
      </c>
      <c r="BB44" s="4" t="s">
        <v>70</v>
      </c>
      <c r="BC44" s="4" t="s">
        <v>70</v>
      </c>
      <c r="BD44" s="4" t="s">
        <v>70</v>
      </c>
      <c r="BE44" s="4" t="s">
        <v>70</v>
      </c>
      <c r="BF44" s="4" t="s">
        <v>72</v>
      </c>
      <c r="BG44" s="4" t="s">
        <v>72</v>
      </c>
      <c r="BH44" s="4" t="s">
        <v>71</v>
      </c>
      <c r="BI44" s="4" t="s">
        <v>70</v>
      </c>
      <c r="BJ44" s="4" t="s">
        <v>73</v>
      </c>
      <c r="BK44" s="4" t="s">
        <v>70</v>
      </c>
      <c r="BL44" s="4" t="s">
        <v>71</v>
      </c>
      <c r="BM44" s="4" t="s">
        <v>71</v>
      </c>
      <c r="BN44" s="4" t="s">
        <v>71</v>
      </c>
      <c r="BO44" s="4" t="s">
        <v>71</v>
      </c>
      <c r="BP44" s="4" t="s">
        <v>71</v>
      </c>
      <c r="BQ44" s="4" t="s">
        <v>72</v>
      </c>
      <c r="BR44" s="4" t="s">
        <v>73</v>
      </c>
      <c r="BS44" s="4" t="s">
        <v>71</v>
      </c>
      <c r="BT44" s="4" t="s">
        <v>73</v>
      </c>
      <c r="BU44" s="4" t="s">
        <v>70</v>
      </c>
      <c r="BV44" s="4" t="s">
        <v>70</v>
      </c>
      <c r="BW44" s="4" t="s">
        <v>70</v>
      </c>
      <c r="BX44" s="4" t="s">
        <v>71</v>
      </c>
    </row>
    <row r="45" spans="1:76">
      <c r="A45" s="4" t="s">
        <v>150</v>
      </c>
      <c r="B45" s="4" t="s">
        <v>169</v>
      </c>
      <c r="C45" s="4" t="s">
        <v>170</v>
      </c>
      <c r="D45" s="4" t="s">
        <v>88</v>
      </c>
      <c r="E45" s="4" t="s">
        <v>70</v>
      </c>
      <c r="F45" s="4" t="s">
        <v>71</v>
      </c>
      <c r="G45" s="4" t="s">
        <v>72</v>
      </c>
      <c r="H45" s="4" t="s">
        <v>72</v>
      </c>
      <c r="I45" s="4" t="s">
        <v>71</v>
      </c>
      <c r="J45" s="4" t="s">
        <v>73</v>
      </c>
      <c r="K45" s="4" t="s">
        <v>70</v>
      </c>
      <c r="L45" s="4" t="s">
        <v>72</v>
      </c>
      <c r="M45" s="4" t="s">
        <v>73</v>
      </c>
      <c r="N45" s="4" t="s">
        <v>70</v>
      </c>
      <c r="O45" s="4" t="s">
        <v>71</v>
      </c>
      <c r="P45" s="4" t="s">
        <v>72</v>
      </c>
      <c r="Q45" s="4" t="s">
        <v>71</v>
      </c>
      <c r="R45" s="4" t="s">
        <v>73</v>
      </c>
      <c r="S45" s="4" t="s">
        <v>70</v>
      </c>
      <c r="T45" s="4" t="s">
        <v>72</v>
      </c>
      <c r="U45" s="4" t="s">
        <v>73</v>
      </c>
      <c r="V45" s="4" t="s">
        <v>70</v>
      </c>
      <c r="W45" s="4" t="s">
        <v>70</v>
      </c>
      <c r="X45" s="4" t="s">
        <v>73</v>
      </c>
      <c r="Y45" s="4" t="s">
        <v>73</v>
      </c>
      <c r="Z45" s="4" t="s">
        <v>70</v>
      </c>
      <c r="AA45" s="4" t="s">
        <v>73</v>
      </c>
      <c r="AB45" s="4" t="s">
        <v>70</v>
      </c>
      <c r="AC45" s="4" t="s">
        <v>71</v>
      </c>
      <c r="AD45" s="4" t="s">
        <v>70</v>
      </c>
      <c r="AE45" s="4" t="s">
        <v>72</v>
      </c>
      <c r="AF45" s="4" t="s">
        <v>71</v>
      </c>
      <c r="AG45" s="4" t="s">
        <v>73</v>
      </c>
      <c r="AH45" s="4" t="s">
        <v>70</v>
      </c>
      <c r="AI45" s="4" t="s">
        <v>72</v>
      </c>
      <c r="AJ45" s="4" t="s">
        <v>71</v>
      </c>
      <c r="AK45" s="4" t="s">
        <v>72</v>
      </c>
      <c r="AL45" s="4" t="s">
        <v>71</v>
      </c>
      <c r="AM45" s="4" t="s">
        <v>73</v>
      </c>
      <c r="AN45" s="4" t="s">
        <v>72</v>
      </c>
      <c r="AO45" s="4" t="s">
        <v>73</v>
      </c>
      <c r="AP45" s="4" t="s">
        <v>73</v>
      </c>
      <c r="AQ45" s="4" t="s">
        <v>72</v>
      </c>
      <c r="AR45" s="4" t="s">
        <v>71</v>
      </c>
      <c r="AS45" s="4" t="s">
        <v>72</v>
      </c>
      <c r="AT45" s="4" t="s">
        <v>70</v>
      </c>
      <c r="AU45" s="4" t="s">
        <v>73</v>
      </c>
      <c r="AV45" s="4" t="s">
        <v>73</v>
      </c>
      <c r="AW45" s="4" t="s">
        <v>70</v>
      </c>
      <c r="AX45" s="4" t="s">
        <v>70</v>
      </c>
      <c r="AY45" s="4" t="s">
        <v>72</v>
      </c>
      <c r="AZ45" s="4" t="s">
        <v>71</v>
      </c>
      <c r="BA45" s="4" t="s">
        <v>70</v>
      </c>
      <c r="BB45" s="4" t="s">
        <v>73</v>
      </c>
      <c r="BC45" s="4" t="s">
        <v>70</v>
      </c>
      <c r="BD45" s="4" t="s">
        <v>73</v>
      </c>
      <c r="BE45" s="4" t="s">
        <v>70</v>
      </c>
      <c r="BF45" s="4" t="s">
        <v>72</v>
      </c>
      <c r="BG45" s="4" t="s">
        <v>72</v>
      </c>
      <c r="BH45" s="4" t="s">
        <v>71</v>
      </c>
      <c r="BI45" s="4" t="s">
        <v>70</v>
      </c>
      <c r="BJ45" s="4" t="s">
        <v>73</v>
      </c>
      <c r="BK45" s="4" t="s">
        <v>73</v>
      </c>
      <c r="BL45" s="4" t="s">
        <v>71</v>
      </c>
      <c r="BM45" s="4" t="s">
        <v>71</v>
      </c>
      <c r="BN45" s="4" t="s">
        <v>72</v>
      </c>
      <c r="BO45" s="4" t="s">
        <v>71</v>
      </c>
      <c r="BP45" s="4" t="s">
        <v>72</v>
      </c>
      <c r="BQ45" s="4" t="s">
        <v>71</v>
      </c>
      <c r="BR45" s="4" t="s">
        <v>71</v>
      </c>
      <c r="BS45" s="4" t="s">
        <v>72</v>
      </c>
      <c r="BT45" s="4" t="s">
        <v>70</v>
      </c>
      <c r="BU45" s="4" t="s">
        <v>70</v>
      </c>
      <c r="BV45" s="4" t="s">
        <v>73</v>
      </c>
      <c r="BW45" s="4" t="s">
        <v>70</v>
      </c>
      <c r="BX45" s="4" t="s">
        <v>71</v>
      </c>
    </row>
    <row r="46" spans="1:76">
      <c r="A46" s="4" t="s">
        <v>150</v>
      </c>
      <c r="B46" s="4" t="s">
        <v>171</v>
      </c>
      <c r="C46" s="4" t="s">
        <v>141</v>
      </c>
      <c r="D46" s="4" t="s">
        <v>142</v>
      </c>
      <c r="E46" s="4" t="s">
        <v>70</v>
      </c>
      <c r="F46" s="4" t="s">
        <v>71</v>
      </c>
      <c r="G46" s="4" t="s">
        <v>70</v>
      </c>
      <c r="H46" s="4" t="s">
        <v>70</v>
      </c>
      <c r="I46" s="4" t="s">
        <v>73</v>
      </c>
      <c r="J46" s="4" t="s">
        <v>72</v>
      </c>
      <c r="K46" s="4" t="s">
        <v>72</v>
      </c>
      <c r="L46" s="4" t="s">
        <v>72</v>
      </c>
      <c r="M46" s="4" t="s">
        <v>73</v>
      </c>
      <c r="N46" s="4" t="s">
        <v>70</v>
      </c>
      <c r="O46" s="4" t="s">
        <v>71</v>
      </c>
      <c r="P46" s="4" t="s">
        <v>72</v>
      </c>
      <c r="Q46" s="4" t="s">
        <v>71</v>
      </c>
      <c r="R46" s="4" t="s">
        <v>73</v>
      </c>
      <c r="S46" s="4" t="s">
        <v>70</v>
      </c>
      <c r="T46" s="4" t="s">
        <v>72</v>
      </c>
      <c r="U46" s="4" t="s">
        <v>72</v>
      </c>
      <c r="V46" s="4" t="s">
        <v>70</v>
      </c>
      <c r="W46" s="4" t="s">
        <v>70</v>
      </c>
      <c r="X46" s="4" t="s">
        <v>70</v>
      </c>
      <c r="Y46" s="4" t="s">
        <v>73</v>
      </c>
      <c r="Z46" s="4" t="s">
        <v>70</v>
      </c>
      <c r="AA46" s="4" t="s">
        <v>73</v>
      </c>
      <c r="AB46" s="4" t="s">
        <v>70</v>
      </c>
      <c r="AC46" s="4" t="s">
        <v>71</v>
      </c>
      <c r="AD46" s="4" t="s">
        <v>70</v>
      </c>
      <c r="AE46" s="4" t="s">
        <v>71</v>
      </c>
      <c r="AF46" s="4" t="s">
        <v>71</v>
      </c>
      <c r="AG46" s="4" t="s">
        <v>73</v>
      </c>
      <c r="AH46" s="4" t="s">
        <v>70</v>
      </c>
      <c r="AI46" s="4" t="s">
        <v>73</v>
      </c>
      <c r="AJ46" s="4" t="s">
        <v>71</v>
      </c>
      <c r="AK46" s="4" t="s">
        <v>72</v>
      </c>
      <c r="AL46" s="4" t="s">
        <v>70</v>
      </c>
      <c r="AM46" s="4" t="s">
        <v>73</v>
      </c>
      <c r="AN46" s="4" t="s">
        <v>73</v>
      </c>
      <c r="AO46" s="4" t="s">
        <v>70</v>
      </c>
      <c r="AP46" s="4" t="s">
        <v>73</v>
      </c>
      <c r="AQ46" s="4" t="s">
        <v>72</v>
      </c>
      <c r="AR46" s="4" t="s">
        <v>71</v>
      </c>
      <c r="AS46" s="4" t="s">
        <v>72</v>
      </c>
      <c r="AT46" s="4" t="s">
        <v>70</v>
      </c>
      <c r="AU46" s="4" t="s">
        <v>70</v>
      </c>
      <c r="AV46" s="4" t="s">
        <v>73</v>
      </c>
      <c r="AW46" s="4" t="s">
        <v>70</v>
      </c>
      <c r="AX46" s="4" t="s">
        <v>70</v>
      </c>
      <c r="AY46" s="4" t="s">
        <v>72</v>
      </c>
      <c r="AZ46" s="4" t="s">
        <v>71</v>
      </c>
      <c r="BA46" s="4" t="s">
        <v>71</v>
      </c>
      <c r="BB46" s="4" t="s">
        <v>72</v>
      </c>
      <c r="BC46" s="4" t="s">
        <v>70</v>
      </c>
      <c r="BD46" s="4" t="s">
        <v>72</v>
      </c>
      <c r="BE46" s="4" t="s">
        <v>70</v>
      </c>
      <c r="BF46" s="4" t="s">
        <v>72</v>
      </c>
      <c r="BG46" s="4" t="s">
        <v>72</v>
      </c>
      <c r="BH46" s="4" t="s">
        <v>71</v>
      </c>
      <c r="BI46" s="4" t="s">
        <v>70</v>
      </c>
      <c r="BJ46" s="4" t="s">
        <v>73</v>
      </c>
      <c r="BK46" s="4" t="s">
        <v>72</v>
      </c>
      <c r="BL46" s="4" t="s">
        <v>71</v>
      </c>
      <c r="BM46" s="4" t="s">
        <v>71</v>
      </c>
      <c r="BN46" s="4" t="s">
        <v>73</v>
      </c>
      <c r="BO46" s="4" t="s">
        <v>71</v>
      </c>
      <c r="BP46" s="4" t="s">
        <v>73</v>
      </c>
      <c r="BQ46" s="4" t="s">
        <v>70</v>
      </c>
      <c r="BR46" s="4" t="s">
        <v>73</v>
      </c>
      <c r="BS46" s="4" t="s">
        <v>73</v>
      </c>
      <c r="BT46" s="4" t="s">
        <v>72</v>
      </c>
      <c r="BU46" s="4" t="s">
        <v>72</v>
      </c>
      <c r="BV46" s="4" t="s">
        <v>71</v>
      </c>
      <c r="BW46" s="4" t="s">
        <v>70</v>
      </c>
      <c r="BX46" s="4" t="s">
        <v>71</v>
      </c>
    </row>
    <row r="47" spans="1:76">
      <c r="A47" s="4" t="s">
        <v>150</v>
      </c>
      <c r="B47" s="4" t="s">
        <v>172</v>
      </c>
      <c r="C47" s="4" t="s">
        <v>125</v>
      </c>
      <c r="D47" s="4" t="s">
        <v>173</v>
      </c>
      <c r="E47" s="4" t="s">
        <v>70</v>
      </c>
      <c r="F47" s="4" t="s">
        <v>71</v>
      </c>
      <c r="G47" s="4" t="s">
        <v>72</v>
      </c>
      <c r="H47" s="4" t="s">
        <v>72</v>
      </c>
      <c r="I47" s="4" t="s">
        <v>71</v>
      </c>
      <c r="J47" s="4" t="s">
        <v>72</v>
      </c>
      <c r="K47" s="4" t="s">
        <v>73</v>
      </c>
      <c r="L47" s="4" t="s">
        <v>72</v>
      </c>
      <c r="M47" s="4" t="s">
        <v>70</v>
      </c>
      <c r="N47" s="4" t="s">
        <v>70</v>
      </c>
      <c r="O47" s="4" t="s">
        <v>71</v>
      </c>
      <c r="P47" s="4" t="s">
        <v>71</v>
      </c>
      <c r="Q47" s="4" t="s">
        <v>73</v>
      </c>
      <c r="R47" s="4" t="s">
        <v>73</v>
      </c>
      <c r="S47" s="4" t="s">
        <v>70</v>
      </c>
      <c r="T47" s="4" t="s">
        <v>72</v>
      </c>
      <c r="U47" s="4" t="s">
        <v>72</v>
      </c>
      <c r="V47" s="4" t="s">
        <v>70</v>
      </c>
      <c r="W47" s="4" t="s">
        <v>70</v>
      </c>
      <c r="X47" s="4" t="s">
        <v>72</v>
      </c>
      <c r="Y47" s="4" t="s">
        <v>73</v>
      </c>
      <c r="Z47" s="4" t="s">
        <v>73</v>
      </c>
      <c r="AA47" s="4" t="s">
        <v>70</v>
      </c>
      <c r="AB47" s="4" t="s">
        <v>70</v>
      </c>
      <c r="AC47" s="4" t="s">
        <v>71</v>
      </c>
      <c r="AD47" s="4" t="s">
        <v>70</v>
      </c>
      <c r="AE47" s="4" t="s">
        <v>71</v>
      </c>
      <c r="AF47" s="4" t="s">
        <v>71</v>
      </c>
      <c r="AG47" s="4" t="s">
        <v>73</v>
      </c>
      <c r="AH47" s="4" t="s">
        <v>71</v>
      </c>
      <c r="AI47" s="4" t="s">
        <v>73</v>
      </c>
      <c r="AJ47" s="4" t="s">
        <v>71</v>
      </c>
      <c r="AK47" s="4" t="s">
        <v>72</v>
      </c>
      <c r="AL47" s="4" t="s">
        <v>73</v>
      </c>
      <c r="AM47" s="4" t="s">
        <v>70</v>
      </c>
      <c r="AN47" s="4" t="s">
        <v>72</v>
      </c>
      <c r="AO47" s="4" t="s">
        <v>73</v>
      </c>
      <c r="AP47" s="4" t="s">
        <v>73</v>
      </c>
      <c r="AQ47" s="4" t="s">
        <v>72</v>
      </c>
      <c r="AR47" s="4" t="s">
        <v>70</v>
      </c>
      <c r="AS47" s="4" t="s">
        <v>72</v>
      </c>
      <c r="AT47" s="4" t="s">
        <v>70</v>
      </c>
      <c r="AU47" s="4" t="s">
        <v>70</v>
      </c>
      <c r="AV47" s="4" t="s">
        <v>73</v>
      </c>
      <c r="AW47" s="4" t="s">
        <v>70</v>
      </c>
      <c r="AX47" s="4" t="s">
        <v>73</v>
      </c>
      <c r="AY47" s="4" t="s">
        <v>72</v>
      </c>
      <c r="AZ47" s="4" t="s">
        <v>71</v>
      </c>
      <c r="BA47" s="4" t="s">
        <v>70</v>
      </c>
      <c r="BB47" s="4" t="s">
        <v>72</v>
      </c>
      <c r="BC47" s="4" t="s">
        <v>71</v>
      </c>
      <c r="BD47" s="4" t="s">
        <v>70</v>
      </c>
      <c r="BE47" s="4" t="s">
        <v>70</v>
      </c>
      <c r="BF47" s="4" t="s">
        <v>72</v>
      </c>
      <c r="BG47" s="4" t="s">
        <v>72</v>
      </c>
      <c r="BH47" s="4" t="s">
        <v>71</v>
      </c>
      <c r="BI47" s="4" t="s">
        <v>73</v>
      </c>
      <c r="BJ47" s="4" t="s">
        <v>73</v>
      </c>
      <c r="BK47" s="4" t="s">
        <v>73</v>
      </c>
      <c r="BL47" s="4" t="s">
        <v>72</v>
      </c>
      <c r="BM47" s="4" t="s">
        <v>71</v>
      </c>
      <c r="BN47" s="4" t="s">
        <v>71</v>
      </c>
      <c r="BO47" s="4" t="s">
        <v>70</v>
      </c>
      <c r="BP47" s="4" t="s">
        <v>73</v>
      </c>
      <c r="BQ47" s="4" t="s">
        <v>71</v>
      </c>
      <c r="BR47" s="4" t="s">
        <v>72</v>
      </c>
      <c r="BS47" s="4" t="s">
        <v>70</v>
      </c>
      <c r="BT47" s="4" t="s">
        <v>70</v>
      </c>
      <c r="BU47" s="4" t="s">
        <v>73</v>
      </c>
      <c r="BV47" s="4" t="s">
        <v>73</v>
      </c>
      <c r="BW47" s="4" t="s">
        <v>70</v>
      </c>
      <c r="BX47" s="4" t="s">
        <v>71</v>
      </c>
    </row>
    <row r="48" spans="1:76">
      <c r="A48" s="4" t="s">
        <v>150</v>
      </c>
      <c r="B48" s="4" t="s">
        <v>174</v>
      </c>
      <c r="C48" s="4" t="s">
        <v>175</v>
      </c>
      <c r="D48" s="4" t="s">
        <v>100</v>
      </c>
      <c r="E48" s="4" t="s">
        <v>71</v>
      </c>
      <c r="F48" s="4" t="s">
        <v>72</v>
      </c>
      <c r="G48" s="4" t="s">
        <v>71</v>
      </c>
      <c r="H48" s="4" t="s">
        <v>72</v>
      </c>
      <c r="I48" s="4" t="s">
        <v>71</v>
      </c>
      <c r="J48" s="4" t="s">
        <v>70</v>
      </c>
      <c r="K48" s="4" t="s">
        <v>70</v>
      </c>
      <c r="L48" s="4" t="s">
        <v>72</v>
      </c>
      <c r="M48" s="4" t="s">
        <v>73</v>
      </c>
      <c r="N48" s="4" t="s">
        <v>70</v>
      </c>
      <c r="O48" s="4" t="s">
        <v>71</v>
      </c>
      <c r="P48" s="4" t="s">
        <v>71</v>
      </c>
      <c r="Q48" s="4" t="s">
        <v>73</v>
      </c>
      <c r="R48" s="4" t="s">
        <v>73</v>
      </c>
      <c r="S48" s="4" t="s">
        <v>70</v>
      </c>
      <c r="T48" s="4" t="s">
        <v>72</v>
      </c>
      <c r="U48" s="4" t="s">
        <v>72</v>
      </c>
      <c r="V48" s="4" t="s">
        <v>70</v>
      </c>
      <c r="W48" s="4" t="s">
        <v>70</v>
      </c>
      <c r="X48" s="4" t="s">
        <v>72</v>
      </c>
      <c r="Y48" s="4" t="s">
        <v>73</v>
      </c>
      <c r="Z48" s="4" t="s">
        <v>73</v>
      </c>
      <c r="AA48" s="4" t="s">
        <v>70</v>
      </c>
      <c r="AB48" s="4" t="s">
        <v>70</v>
      </c>
      <c r="AC48" s="4" t="s">
        <v>71</v>
      </c>
      <c r="AD48" s="4" t="s">
        <v>70</v>
      </c>
      <c r="AE48" s="4" t="s">
        <v>71</v>
      </c>
      <c r="AF48" s="4" t="s">
        <v>73</v>
      </c>
      <c r="AG48" s="4" t="s">
        <v>73</v>
      </c>
      <c r="AH48" s="4" t="s">
        <v>70</v>
      </c>
      <c r="AI48" s="4" t="s">
        <v>73</v>
      </c>
      <c r="AJ48" s="4" t="s">
        <v>71</v>
      </c>
      <c r="AK48" s="4" t="s">
        <v>72</v>
      </c>
      <c r="AL48" s="4" t="s">
        <v>70</v>
      </c>
      <c r="AM48" s="4" t="s">
        <v>72</v>
      </c>
      <c r="AN48" s="4" t="s">
        <v>73</v>
      </c>
      <c r="AO48" s="4" t="s">
        <v>73</v>
      </c>
      <c r="AP48" s="4" t="s">
        <v>73</v>
      </c>
      <c r="AQ48" s="4" t="s">
        <v>72</v>
      </c>
      <c r="AR48" s="4" t="s">
        <v>71</v>
      </c>
      <c r="AS48" s="4" t="s">
        <v>72</v>
      </c>
      <c r="AT48" s="4" t="s">
        <v>72</v>
      </c>
      <c r="AU48" s="4" t="s">
        <v>70</v>
      </c>
      <c r="AV48" s="4" t="s">
        <v>73</v>
      </c>
      <c r="AW48" s="4" t="s">
        <v>70</v>
      </c>
      <c r="AX48" s="4" t="s">
        <v>73</v>
      </c>
      <c r="AY48" s="4" t="s">
        <v>72</v>
      </c>
      <c r="AZ48" s="4" t="s">
        <v>71</v>
      </c>
      <c r="BA48" s="4" t="s">
        <v>70</v>
      </c>
      <c r="BB48" s="4" t="s">
        <v>70</v>
      </c>
      <c r="BC48" s="4" t="s">
        <v>70</v>
      </c>
      <c r="BD48" s="4" t="s">
        <v>71</v>
      </c>
      <c r="BE48" s="4" t="s">
        <v>70</v>
      </c>
      <c r="BF48" s="4" t="s">
        <v>72</v>
      </c>
      <c r="BG48" s="4" t="s">
        <v>72</v>
      </c>
      <c r="BH48" s="4" t="s">
        <v>71</v>
      </c>
      <c r="BI48" s="4" t="s">
        <v>70</v>
      </c>
      <c r="BJ48" s="4" t="s">
        <v>73</v>
      </c>
      <c r="BK48" s="4" t="s">
        <v>71</v>
      </c>
      <c r="BL48" s="4" t="s">
        <v>72</v>
      </c>
      <c r="BM48" s="4" t="s">
        <v>71</v>
      </c>
      <c r="BN48" s="4" t="s">
        <v>70</v>
      </c>
      <c r="BO48" s="4" t="s">
        <v>71</v>
      </c>
      <c r="BP48" s="4" t="s">
        <v>71</v>
      </c>
      <c r="BQ48" s="4" t="s">
        <v>71</v>
      </c>
      <c r="BR48" s="4" t="s">
        <v>71</v>
      </c>
      <c r="BS48" s="4" t="s">
        <v>71</v>
      </c>
      <c r="BT48" s="4" t="s">
        <v>70</v>
      </c>
      <c r="BU48" s="4" t="s">
        <v>70</v>
      </c>
      <c r="BV48" s="4" t="s">
        <v>70</v>
      </c>
      <c r="BW48" s="4" t="s">
        <v>73</v>
      </c>
      <c r="BX48" s="4" t="s">
        <v>70</v>
      </c>
    </row>
    <row r="49" spans="1:76">
      <c r="A49" s="4" t="s">
        <v>150</v>
      </c>
      <c r="B49" s="4" t="s">
        <v>176</v>
      </c>
      <c r="C49" s="4" t="s">
        <v>129</v>
      </c>
      <c r="D49" s="4" t="s">
        <v>177</v>
      </c>
      <c r="E49" s="4" t="s">
        <v>70</v>
      </c>
      <c r="F49" s="4" t="s">
        <v>70</v>
      </c>
      <c r="G49" s="4" t="s">
        <v>72</v>
      </c>
      <c r="H49" s="4" t="s">
        <v>71</v>
      </c>
      <c r="I49" s="4" t="s">
        <v>71</v>
      </c>
      <c r="J49" s="4" t="s">
        <v>73</v>
      </c>
      <c r="K49" s="4" t="s">
        <v>73</v>
      </c>
      <c r="L49" s="4" t="s">
        <v>72</v>
      </c>
      <c r="M49" s="4" t="s">
        <v>70</v>
      </c>
      <c r="N49" s="4" t="s">
        <v>70</v>
      </c>
      <c r="O49" s="4" t="s">
        <v>72</v>
      </c>
      <c r="P49" s="4" t="s">
        <v>71</v>
      </c>
      <c r="Q49" s="4" t="s">
        <v>71</v>
      </c>
      <c r="R49" s="4" t="s">
        <v>73</v>
      </c>
      <c r="S49" s="4" t="s">
        <v>70</v>
      </c>
      <c r="T49" s="10" t="s">
        <v>77</v>
      </c>
      <c r="U49" s="4" t="s">
        <v>72</v>
      </c>
      <c r="V49" s="4" t="s">
        <v>70</v>
      </c>
      <c r="W49" s="4" t="s">
        <v>70</v>
      </c>
      <c r="X49" s="4" t="s">
        <v>72</v>
      </c>
      <c r="Y49" s="4" t="s">
        <v>73</v>
      </c>
      <c r="Z49" s="4" t="s">
        <v>73</v>
      </c>
      <c r="AA49" s="4" t="s">
        <v>70</v>
      </c>
      <c r="AB49" s="4" t="s">
        <v>73</v>
      </c>
      <c r="AC49" s="4" t="s">
        <v>71</v>
      </c>
      <c r="AD49" s="4" t="s">
        <v>70</v>
      </c>
      <c r="AE49" s="4" t="s">
        <v>72</v>
      </c>
      <c r="AF49" s="4" t="s">
        <v>71</v>
      </c>
      <c r="AG49" s="4" t="s">
        <v>70</v>
      </c>
      <c r="AH49" s="4" t="s">
        <v>71</v>
      </c>
      <c r="AI49" s="4" t="s">
        <v>71</v>
      </c>
      <c r="AJ49" s="4" t="s">
        <v>72</v>
      </c>
      <c r="AK49" s="4" t="s">
        <v>72</v>
      </c>
      <c r="AL49" s="4" t="s">
        <v>72</v>
      </c>
      <c r="AM49" s="4" t="s">
        <v>73</v>
      </c>
      <c r="AN49" s="4" t="s">
        <v>71</v>
      </c>
      <c r="AO49" s="4" t="s">
        <v>73</v>
      </c>
      <c r="AP49" s="4" t="s">
        <v>71</v>
      </c>
      <c r="AQ49" s="4" t="s">
        <v>70</v>
      </c>
      <c r="AR49" s="4" t="s">
        <v>70</v>
      </c>
      <c r="AS49" s="4" t="s">
        <v>71</v>
      </c>
      <c r="AT49" s="4" t="s">
        <v>70</v>
      </c>
      <c r="AU49" s="4" t="s">
        <v>73</v>
      </c>
      <c r="AV49" s="4" t="s">
        <v>73</v>
      </c>
      <c r="AW49" s="4" t="s">
        <v>70</v>
      </c>
      <c r="AX49" s="4" t="s">
        <v>73</v>
      </c>
      <c r="AY49" s="4" t="s">
        <v>72</v>
      </c>
      <c r="AZ49" s="4" t="s">
        <v>71</v>
      </c>
      <c r="BA49" s="4" t="s">
        <v>71</v>
      </c>
      <c r="BB49" s="4" t="s">
        <v>71</v>
      </c>
      <c r="BC49" s="4" t="s">
        <v>70</v>
      </c>
      <c r="BD49" s="4" t="s">
        <v>73</v>
      </c>
      <c r="BE49" s="4" t="s">
        <v>70</v>
      </c>
      <c r="BF49" s="4" t="s">
        <v>72</v>
      </c>
      <c r="BG49" s="4" t="s">
        <v>72</v>
      </c>
      <c r="BH49" s="4" t="s">
        <v>71</v>
      </c>
      <c r="BI49" s="4" t="s">
        <v>70</v>
      </c>
      <c r="BJ49" s="4" t="s">
        <v>73</v>
      </c>
      <c r="BK49" s="4" t="s">
        <v>73</v>
      </c>
      <c r="BL49" s="4" t="s">
        <v>71</v>
      </c>
      <c r="BM49" s="4" t="s">
        <v>71</v>
      </c>
      <c r="BN49" s="4" t="s">
        <v>72</v>
      </c>
      <c r="BO49" s="4" t="s">
        <v>71</v>
      </c>
      <c r="BP49" s="4" t="s">
        <v>70</v>
      </c>
      <c r="BQ49" s="4" t="s">
        <v>70</v>
      </c>
      <c r="BR49" s="4" t="s">
        <v>72</v>
      </c>
      <c r="BS49" s="4" t="s">
        <v>72</v>
      </c>
      <c r="BT49" s="4" t="s">
        <v>70</v>
      </c>
      <c r="BU49" s="4" t="s">
        <v>70</v>
      </c>
      <c r="BV49" s="4" t="s">
        <v>73</v>
      </c>
      <c r="BW49" s="4" t="s">
        <v>72</v>
      </c>
      <c r="BX49" s="4" t="s">
        <v>71</v>
      </c>
    </row>
    <row r="50" spans="1:76">
      <c r="A50" s="4" t="s">
        <v>150</v>
      </c>
      <c r="B50" s="4" t="s">
        <v>178</v>
      </c>
      <c r="C50" s="4" t="s">
        <v>179</v>
      </c>
      <c r="D50" s="4" t="s">
        <v>148</v>
      </c>
      <c r="E50" s="4" t="s">
        <v>70</v>
      </c>
      <c r="F50" s="4" t="s">
        <v>72</v>
      </c>
      <c r="G50" s="4" t="s">
        <v>72</v>
      </c>
      <c r="H50" s="4" t="s">
        <v>71</v>
      </c>
      <c r="I50" s="4" t="s">
        <v>71</v>
      </c>
      <c r="J50" s="4" t="s">
        <v>73</v>
      </c>
      <c r="K50" s="4" t="s">
        <v>73</v>
      </c>
      <c r="L50" s="4" t="s">
        <v>72</v>
      </c>
      <c r="M50" s="4" t="s">
        <v>73</v>
      </c>
      <c r="N50" s="4" t="s">
        <v>70</v>
      </c>
      <c r="O50" s="4" t="s">
        <v>72</v>
      </c>
      <c r="P50" s="4" t="s">
        <v>70</v>
      </c>
      <c r="Q50" s="4" t="s">
        <v>72</v>
      </c>
      <c r="R50" s="4" t="s">
        <v>73</v>
      </c>
      <c r="S50" s="4" t="s">
        <v>70</v>
      </c>
      <c r="T50" s="10" t="s">
        <v>77</v>
      </c>
      <c r="U50" s="4" t="s">
        <v>71</v>
      </c>
      <c r="V50" s="4" t="s">
        <v>70</v>
      </c>
      <c r="W50" s="4" t="s">
        <v>70</v>
      </c>
      <c r="X50" s="4" t="s">
        <v>71</v>
      </c>
      <c r="Y50" s="4" t="s">
        <v>73</v>
      </c>
      <c r="Z50" s="4" t="s">
        <v>72</v>
      </c>
      <c r="AA50" s="4" t="s">
        <v>71</v>
      </c>
      <c r="AB50" s="4" t="s">
        <v>73</v>
      </c>
      <c r="AC50" s="4" t="s">
        <v>71</v>
      </c>
      <c r="AD50" s="4" t="s">
        <v>70</v>
      </c>
      <c r="AE50" s="4" t="s">
        <v>72</v>
      </c>
      <c r="AF50" s="4" t="s">
        <v>72</v>
      </c>
      <c r="AG50" s="4" t="s">
        <v>70</v>
      </c>
      <c r="AH50" s="4" t="s">
        <v>71</v>
      </c>
      <c r="AI50" s="4" t="s">
        <v>71</v>
      </c>
      <c r="AJ50" s="4" t="s">
        <v>72</v>
      </c>
      <c r="AK50" s="4" t="s">
        <v>72</v>
      </c>
      <c r="AL50" s="4" t="s">
        <v>71</v>
      </c>
      <c r="AM50" s="4" t="s">
        <v>73</v>
      </c>
      <c r="AN50" s="4" t="s">
        <v>71</v>
      </c>
      <c r="AO50" s="4" t="s">
        <v>73</v>
      </c>
      <c r="AP50" s="4" t="s">
        <v>71</v>
      </c>
      <c r="AQ50" s="4" t="s">
        <v>70</v>
      </c>
      <c r="AR50" s="4" t="s">
        <v>70</v>
      </c>
      <c r="AS50" s="4" t="s">
        <v>71</v>
      </c>
      <c r="AT50" s="4" t="s">
        <v>73</v>
      </c>
      <c r="AU50" s="4" t="s">
        <v>73</v>
      </c>
      <c r="AV50" s="4" t="s">
        <v>73</v>
      </c>
      <c r="AW50" s="4" t="s">
        <v>70</v>
      </c>
      <c r="AX50" s="4" t="s">
        <v>70</v>
      </c>
      <c r="AY50" s="4" t="s">
        <v>72</v>
      </c>
      <c r="AZ50" s="4" t="s">
        <v>71</v>
      </c>
      <c r="BA50" s="4" t="s">
        <v>71</v>
      </c>
      <c r="BB50" s="4" t="s">
        <v>71</v>
      </c>
      <c r="BC50" s="4" t="s">
        <v>70</v>
      </c>
      <c r="BD50" s="4" t="s">
        <v>73</v>
      </c>
      <c r="BE50" s="4" t="s">
        <v>70</v>
      </c>
      <c r="BF50" s="4" t="s">
        <v>72</v>
      </c>
      <c r="BG50" s="4" t="s">
        <v>72</v>
      </c>
      <c r="BH50" s="4" t="s">
        <v>71</v>
      </c>
      <c r="BI50" s="4" t="s">
        <v>70</v>
      </c>
      <c r="BJ50" s="4" t="s">
        <v>73</v>
      </c>
      <c r="BK50" s="4" t="s">
        <v>72</v>
      </c>
      <c r="BL50" s="4" t="s">
        <v>71</v>
      </c>
      <c r="BM50" s="4" t="s">
        <v>71</v>
      </c>
      <c r="BN50" s="4" t="s">
        <v>72</v>
      </c>
      <c r="BO50" s="4" t="s">
        <v>71</v>
      </c>
      <c r="BP50" s="4" t="s">
        <v>70</v>
      </c>
      <c r="BQ50" s="4" t="s">
        <v>70</v>
      </c>
      <c r="BR50" s="4" t="s">
        <v>72</v>
      </c>
      <c r="BS50" s="4" t="s">
        <v>72</v>
      </c>
      <c r="BT50" s="4" t="s">
        <v>70</v>
      </c>
      <c r="BU50" s="4" t="s">
        <v>70</v>
      </c>
      <c r="BV50" s="4" t="s">
        <v>73</v>
      </c>
      <c r="BW50" s="4" t="s">
        <v>73</v>
      </c>
      <c r="BX50" s="4" t="s">
        <v>71</v>
      </c>
    </row>
    <row r="51" spans="1:76">
      <c r="A51" s="4" t="s">
        <v>150</v>
      </c>
      <c r="B51" s="4" t="s">
        <v>180</v>
      </c>
      <c r="C51" s="4" t="s">
        <v>179</v>
      </c>
      <c r="D51" s="4" t="s">
        <v>181</v>
      </c>
      <c r="E51" s="4" t="s">
        <v>70</v>
      </c>
      <c r="F51" s="4" t="s">
        <v>70</v>
      </c>
      <c r="G51" s="4" t="s">
        <v>72</v>
      </c>
      <c r="H51" s="4" t="s">
        <v>72</v>
      </c>
      <c r="I51" s="4" t="s">
        <v>72</v>
      </c>
      <c r="J51" s="4" t="s">
        <v>71</v>
      </c>
      <c r="K51" s="4" t="s">
        <v>70</v>
      </c>
      <c r="L51" s="4" t="s">
        <v>72</v>
      </c>
      <c r="M51" s="4" t="s">
        <v>70</v>
      </c>
      <c r="N51" s="4" t="s">
        <v>70</v>
      </c>
      <c r="O51" s="4" t="s">
        <v>72</v>
      </c>
      <c r="P51" s="4" t="s">
        <v>71</v>
      </c>
      <c r="Q51" s="4" t="s">
        <v>72</v>
      </c>
      <c r="R51" s="4" t="s">
        <v>73</v>
      </c>
      <c r="S51" s="4" t="s">
        <v>70</v>
      </c>
      <c r="T51" s="4" t="s">
        <v>72</v>
      </c>
      <c r="U51" s="4" t="s">
        <v>71</v>
      </c>
      <c r="V51" s="4" t="s">
        <v>70</v>
      </c>
      <c r="W51" s="4" t="s">
        <v>70</v>
      </c>
      <c r="X51" s="4" t="s">
        <v>72</v>
      </c>
      <c r="Y51" s="4" t="s">
        <v>73</v>
      </c>
      <c r="Z51" s="4" t="s">
        <v>72</v>
      </c>
      <c r="AA51" s="4" t="s">
        <v>70</v>
      </c>
      <c r="AB51" s="4" t="s">
        <v>70</v>
      </c>
      <c r="AC51" s="4" t="s">
        <v>71</v>
      </c>
      <c r="AD51" s="4" t="s">
        <v>73</v>
      </c>
      <c r="AE51" s="4" t="s">
        <v>72</v>
      </c>
      <c r="AF51" s="4" t="s">
        <v>71</v>
      </c>
      <c r="AG51" s="4" t="s">
        <v>72</v>
      </c>
      <c r="AH51" s="4" t="s">
        <v>70</v>
      </c>
      <c r="AI51" s="4" t="s">
        <v>71</v>
      </c>
      <c r="AJ51" s="4" t="s">
        <v>72</v>
      </c>
      <c r="AK51" s="4" t="s">
        <v>72</v>
      </c>
      <c r="AL51" s="4" t="s">
        <v>73</v>
      </c>
      <c r="AM51" s="4" t="s">
        <v>73</v>
      </c>
      <c r="AN51" s="4" t="s">
        <v>71</v>
      </c>
      <c r="AO51" s="4" t="s">
        <v>73</v>
      </c>
      <c r="AP51" s="4" t="s">
        <v>71</v>
      </c>
      <c r="AQ51" s="4" t="s">
        <v>70</v>
      </c>
      <c r="AR51" s="4" t="s">
        <v>71</v>
      </c>
      <c r="AS51" s="4" t="s">
        <v>73</v>
      </c>
      <c r="AT51" s="4" t="s">
        <v>70</v>
      </c>
      <c r="AU51" s="4" t="s">
        <v>73</v>
      </c>
      <c r="AV51" s="4" t="s">
        <v>73</v>
      </c>
      <c r="AW51" s="4" t="s">
        <v>71</v>
      </c>
      <c r="AX51" s="4" t="s">
        <v>70</v>
      </c>
      <c r="AY51" s="4" t="s">
        <v>72</v>
      </c>
      <c r="AZ51" s="4" t="s">
        <v>71</v>
      </c>
      <c r="BA51" s="4" t="s">
        <v>71</v>
      </c>
      <c r="BB51" s="4" t="s">
        <v>71</v>
      </c>
      <c r="BC51" s="4" t="s">
        <v>71</v>
      </c>
      <c r="BD51" s="4" t="s">
        <v>73</v>
      </c>
      <c r="BE51" s="4" t="s">
        <v>70</v>
      </c>
      <c r="BF51" s="4" t="s">
        <v>72</v>
      </c>
      <c r="BG51" s="4" t="s">
        <v>72</v>
      </c>
      <c r="BH51" s="4" t="s">
        <v>71</v>
      </c>
      <c r="BI51" s="4" t="s">
        <v>70</v>
      </c>
      <c r="BJ51" s="4" t="s">
        <v>73</v>
      </c>
      <c r="BK51" s="4" t="s">
        <v>72</v>
      </c>
      <c r="BL51" s="4" t="s">
        <v>71</v>
      </c>
      <c r="BM51" s="4" t="s">
        <v>71</v>
      </c>
      <c r="BN51" s="4" t="s">
        <v>72</v>
      </c>
      <c r="BO51" s="4" t="s">
        <v>70</v>
      </c>
      <c r="BP51" s="4" t="s">
        <v>70</v>
      </c>
      <c r="BQ51" s="4" t="s">
        <v>70</v>
      </c>
      <c r="BR51" s="4" t="s">
        <v>71</v>
      </c>
      <c r="BS51" s="4" t="s">
        <v>70</v>
      </c>
      <c r="BT51" s="4" t="s">
        <v>73</v>
      </c>
      <c r="BU51" s="4" t="s">
        <v>73</v>
      </c>
      <c r="BV51" s="4" t="s">
        <v>73</v>
      </c>
      <c r="BW51" s="4" t="s">
        <v>72</v>
      </c>
      <c r="BX51" s="4" t="s">
        <v>71</v>
      </c>
    </row>
    <row r="52" spans="1:76">
      <c r="A52" s="4" t="s">
        <v>182</v>
      </c>
      <c r="B52" s="4" t="s">
        <v>183</v>
      </c>
      <c r="C52" s="4" t="s">
        <v>125</v>
      </c>
      <c r="D52" s="4" t="s">
        <v>126</v>
      </c>
      <c r="E52" s="4" t="s">
        <v>70</v>
      </c>
      <c r="F52" s="4" t="s">
        <v>71</v>
      </c>
      <c r="G52" s="4" t="s">
        <v>72</v>
      </c>
      <c r="H52" s="4" t="s">
        <v>70</v>
      </c>
      <c r="I52" s="4" t="s">
        <v>73</v>
      </c>
      <c r="J52" s="4" t="s">
        <v>72</v>
      </c>
      <c r="K52" s="4" t="s">
        <v>73</v>
      </c>
      <c r="L52" s="4" t="s">
        <v>72</v>
      </c>
      <c r="M52" s="4" t="s">
        <v>70</v>
      </c>
      <c r="N52" s="4" t="s">
        <v>70</v>
      </c>
      <c r="O52" s="4" t="s">
        <v>71</v>
      </c>
      <c r="P52" s="4" t="s">
        <v>72</v>
      </c>
      <c r="Q52" s="4" t="s">
        <v>71</v>
      </c>
      <c r="R52" s="4" t="s">
        <v>73</v>
      </c>
      <c r="S52" s="4" t="s">
        <v>70</v>
      </c>
      <c r="T52" s="4" t="s">
        <v>72</v>
      </c>
      <c r="U52" s="4" t="s">
        <v>71</v>
      </c>
      <c r="V52" s="4" t="s">
        <v>70</v>
      </c>
      <c r="W52" s="4" t="s">
        <v>70</v>
      </c>
      <c r="X52" s="4" t="s">
        <v>72</v>
      </c>
      <c r="Y52" s="4" t="s">
        <v>73</v>
      </c>
      <c r="Z52" s="4" t="s">
        <v>70</v>
      </c>
      <c r="AA52" s="4" t="s">
        <v>73</v>
      </c>
      <c r="AB52" s="4" t="s">
        <v>70</v>
      </c>
      <c r="AC52" s="4" t="s">
        <v>71</v>
      </c>
      <c r="AD52" s="4" t="s">
        <v>70</v>
      </c>
      <c r="AE52" s="4" t="s">
        <v>71</v>
      </c>
      <c r="AF52" s="4" t="s">
        <v>73</v>
      </c>
      <c r="AG52" s="4" t="s">
        <v>72</v>
      </c>
      <c r="AH52" s="4" t="s">
        <v>71</v>
      </c>
      <c r="AI52" s="4" t="s">
        <v>71</v>
      </c>
      <c r="AJ52" s="4" t="s">
        <v>72</v>
      </c>
      <c r="AK52" s="4" t="s">
        <v>72</v>
      </c>
      <c r="AL52" s="4" t="s">
        <v>70</v>
      </c>
      <c r="AM52" s="4" t="s">
        <v>70</v>
      </c>
      <c r="AN52" s="4" t="s">
        <v>72</v>
      </c>
      <c r="AO52" s="4" t="s">
        <v>73</v>
      </c>
      <c r="AP52" s="4" t="s">
        <v>73</v>
      </c>
      <c r="AQ52" s="4" t="s">
        <v>70</v>
      </c>
      <c r="AR52" s="4" t="s">
        <v>70</v>
      </c>
      <c r="AS52" s="4" t="s">
        <v>73</v>
      </c>
      <c r="AT52" s="4" t="s">
        <v>72</v>
      </c>
      <c r="AU52" s="4" t="s">
        <v>70</v>
      </c>
      <c r="AV52" s="4" t="s">
        <v>73</v>
      </c>
      <c r="AW52" s="4" t="s">
        <v>70</v>
      </c>
      <c r="AX52" s="4" t="s">
        <v>70</v>
      </c>
      <c r="AY52" s="4" t="s">
        <v>72</v>
      </c>
      <c r="AZ52" s="4" t="s">
        <v>71</v>
      </c>
      <c r="BA52" s="4" t="s">
        <v>71</v>
      </c>
      <c r="BB52" s="4" t="s">
        <v>71</v>
      </c>
      <c r="BC52" s="4" t="s">
        <v>71</v>
      </c>
      <c r="BD52" s="4" t="s">
        <v>73</v>
      </c>
      <c r="BE52" s="4" t="s">
        <v>70</v>
      </c>
      <c r="BF52" s="4" t="s">
        <v>72</v>
      </c>
      <c r="BG52" s="4" t="s">
        <v>72</v>
      </c>
      <c r="BH52" s="4" t="s">
        <v>71</v>
      </c>
      <c r="BI52" s="4" t="s">
        <v>70</v>
      </c>
      <c r="BJ52" s="4" t="s">
        <v>73</v>
      </c>
      <c r="BK52" s="4" t="s">
        <v>72</v>
      </c>
      <c r="BL52" s="4" t="s">
        <v>72</v>
      </c>
      <c r="BM52" s="4" t="s">
        <v>71</v>
      </c>
      <c r="BN52" s="4" t="s">
        <v>72</v>
      </c>
      <c r="BO52" s="4" t="s">
        <v>70</v>
      </c>
      <c r="BP52" s="4" t="s">
        <v>70</v>
      </c>
      <c r="BQ52" s="4" t="s">
        <v>70</v>
      </c>
      <c r="BR52" s="4" t="s">
        <v>72</v>
      </c>
      <c r="BS52" s="4" t="s">
        <v>73</v>
      </c>
      <c r="BT52" s="4" t="s">
        <v>72</v>
      </c>
      <c r="BU52" s="4" t="s">
        <v>71</v>
      </c>
      <c r="BV52" s="4" t="s">
        <v>73</v>
      </c>
      <c r="BW52" s="4" t="s">
        <v>70</v>
      </c>
      <c r="BX52" s="4" t="s">
        <v>71</v>
      </c>
    </row>
    <row r="53" spans="1:76">
      <c r="A53" s="4" t="s">
        <v>182</v>
      </c>
      <c r="B53" s="4" t="s">
        <v>184</v>
      </c>
      <c r="C53" s="4" t="s">
        <v>112</v>
      </c>
      <c r="D53" s="4" t="s">
        <v>115</v>
      </c>
      <c r="E53" s="4" t="s">
        <v>70</v>
      </c>
      <c r="F53" s="4" t="s">
        <v>71</v>
      </c>
      <c r="G53" s="4" t="s">
        <v>70</v>
      </c>
      <c r="H53" s="4" t="s">
        <v>73</v>
      </c>
      <c r="I53" s="4" t="s">
        <v>71</v>
      </c>
      <c r="J53" s="4" t="s">
        <v>73</v>
      </c>
      <c r="K53" s="4" t="s">
        <v>71</v>
      </c>
      <c r="L53" s="4" t="s">
        <v>72</v>
      </c>
      <c r="M53" s="4" t="s">
        <v>73</v>
      </c>
      <c r="N53" s="4" t="s">
        <v>70</v>
      </c>
      <c r="O53" s="4" t="s">
        <v>71</v>
      </c>
      <c r="P53" s="4" t="s">
        <v>72</v>
      </c>
      <c r="Q53" s="4" t="s">
        <v>71</v>
      </c>
      <c r="R53" s="4" t="s">
        <v>73</v>
      </c>
      <c r="S53" s="4" t="s">
        <v>70</v>
      </c>
      <c r="T53" s="4" t="s">
        <v>72</v>
      </c>
      <c r="U53" s="4" t="s">
        <v>72</v>
      </c>
      <c r="V53" s="4" t="s">
        <v>70</v>
      </c>
      <c r="W53" s="4" t="s">
        <v>70</v>
      </c>
      <c r="X53" s="4" t="s">
        <v>72</v>
      </c>
      <c r="Y53" s="4" t="s">
        <v>73</v>
      </c>
      <c r="Z53" s="4" t="s">
        <v>70</v>
      </c>
      <c r="AA53" s="4" t="s">
        <v>73</v>
      </c>
      <c r="AB53" s="4" t="s">
        <v>70</v>
      </c>
      <c r="AC53" s="4" t="s">
        <v>71</v>
      </c>
      <c r="AD53" s="4" t="s">
        <v>70</v>
      </c>
      <c r="AE53" s="4" t="s">
        <v>71</v>
      </c>
      <c r="AF53" s="4" t="s">
        <v>73</v>
      </c>
      <c r="AG53" s="4" t="s">
        <v>73</v>
      </c>
      <c r="AH53" s="4" t="s">
        <v>71</v>
      </c>
      <c r="AI53" s="4" t="s">
        <v>71</v>
      </c>
      <c r="AJ53" s="4" t="s">
        <v>72</v>
      </c>
      <c r="AK53" s="4" t="s">
        <v>72</v>
      </c>
      <c r="AL53" s="4" t="s">
        <v>70</v>
      </c>
      <c r="AM53" s="4" t="s">
        <v>71</v>
      </c>
      <c r="AN53" s="4" t="s">
        <v>71</v>
      </c>
      <c r="AO53" s="4" t="s">
        <v>73</v>
      </c>
      <c r="AP53" s="4" t="s">
        <v>73</v>
      </c>
      <c r="AQ53" s="4" t="s">
        <v>70</v>
      </c>
      <c r="AR53" s="4" t="s">
        <v>70</v>
      </c>
      <c r="AS53" s="4" t="s">
        <v>72</v>
      </c>
      <c r="AT53" s="4" t="s">
        <v>72</v>
      </c>
      <c r="AU53" s="4" t="s">
        <v>70</v>
      </c>
      <c r="AV53" s="4" t="s">
        <v>73</v>
      </c>
      <c r="AW53" s="4" t="s">
        <v>70</v>
      </c>
      <c r="AX53" s="4" t="s">
        <v>70</v>
      </c>
      <c r="AY53" s="4" t="s">
        <v>72</v>
      </c>
      <c r="AZ53" s="4" t="s">
        <v>71</v>
      </c>
      <c r="BA53" s="4" t="s">
        <v>73</v>
      </c>
      <c r="BB53" s="4" t="s">
        <v>71</v>
      </c>
      <c r="BC53" s="4" t="s">
        <v>70</v>
      </c>
      <c r="BD53" s="4" t="s">
        <v>73</v>
      </c>
      <c r="BE53" s="4" t="s">
        <v>70</v>
      </c>
      <c r="BF53" s="4" t="s">
        <v>72</v>
      </c>
      <c r="BG53" s="4" t="s">
        <v>72</v>
      </c>
      <c r="BH53" s="4" t="s">
        <v>71</v>
      </c>
      <c r="BI53" s="4" t="s">
        <v>70</v>
      </c>
      <c r="BJ53" s="4" t="s">
        <v>73</v>
      </c>
      <c r="BK53" s="4" t="s">
        <v>73</v>
      </c>
      <c r="BL53" s="4" t="s">
        <v>71</v>
      </c>
      <c r="BM53" s="4" t="s">
        <v>71</v>
      </c>
      <c r="BN53" s="4" t="s">
        <v>72</v>
      </c>
      <c r="BO53" s="4" t="s">
        <v>71</v>
      </c>
      <c r="BP53" s="4" t="s">
        <v>70</v>
      </c>
      <c r="BQ53" s="4" t="s">
        <v>72</v>
      </c>
      <c r="BR53" s="4" t="s">
        <v>71</v>
      </c>
      <c r="BS53" s="4" t="s">
        <v>72</v>
      </c>
      <c r="BT53" s="4" t="s">
        <v>70</v>
      </c>
      <c r="BU53" s="4" t="s">
        <v>72</v>
      </c>
      <c r="BV53" s="4" t="s">
        <v>71</v>
      </c>
      <c r="BW53" s="4" t="s">
        <v>70</v>
      </c>
      <c r="BX53" s="4" t="s">
        <v>71</v>
      </c>
    </row>
    <row r="54" spans="1:76">
      <c r="A54" s="4" t="s">
        <v>182</v>
      </c>
      <c r="B54" s="4" t="s">
        <v>185</v>
      </c>
      <c r="C54" s="4" t="s">
        <v>103</v>
      </c>
      <c r="D54" s="4" t="s">
        <v>104</v>
      </c>
      <c r="E54" s="4" t="s">
        <v>70</v>
      </c>
      <c r="F54" s="4" t="s">
        <v>70</v>
      </c>
      <c r="G54" s="4" t="s">
        <v>70</v>
      </c>
      <c r="H54" s="4" t="s">
        <v>70</v>
      </c>
      <c r="I54" s="4" t="s">
        <v>71</v>
      </c>
      <c r="J54" s="4" t="s">
        <v>72</v>
      </c>
      <c r="K54" s="4" t="s">
        <v>73</v>
      </c>
      <c r="L54" s="4" t="s">
        <v>72</v>
      </c>
      <c r="M54" s="4" t="s">
        <v>73</v>
      </c>
      <c r="N54" s="4" t="s">
        <v>70</v>
      </c>
      <c r="O54" s="4" t="s">
        <v>71</v>
      </c>
      <c r="P54" s="4" t="s">
        <v>72</v>
      </c>
      <c r="Q54" s="4" t="s">
        <v>71</v>
      </c>
      <c r="R54" s="4" t="s">
        <v>73</v>
      </c>
      <c r="S54" s="4" t="s">
        <v>70</v>
      </c>
      <c r="T54" s="4" t="s">
        <v>71</v>
      </c>
      <c r="U54" s="4" t="s">
        <v>72</v>
      </c>
      <c r="V54" s="4" t="s">
        <v>70</v>
      </c>
      <c r="W54" s="4" t="s">
        <v>70</v>
      </c>
      <c r="X54" s="4" t="s">
        <v>70</v>
      </c>
      <c r="Y54" s="4" t="s">
        <v>73</v>
      </c>
      <c r="Z54" s="4" t="s">
        <v>70</v>
      </c>
      <c r="AA54" s="4" t="s">
        <v>73</v>
      </c>
      <c r="AB54" s="4" t="s">
        <v>70</v>
      </c>
      <c r="AC54" s="4" t="s">
        <v>71</v>
      </c>
      <c r="AD54" s="4" t="s">
        <v>70</v>
      </c>
      <c r="AE54" s="4" t="s">
        <v>71</v>
      </c>
      <c r="AF54" s="4" t="s">
        <v>72</v>
      </c>
      <c r="AG54" s="4" t="s">
        <v>72</v>
      </c>
      <c r="AH54" s="4" t="s">
        <v>70</v>
      </c>
      <c r="AI54" s="4" t="s">
        <v>71</v>
      </c>
      <c r="AJ54" s="4" t="s">
        <v>73</v>
      </c>
      <c r="AK54" s="4" t="s">
        <v>72</v>
      </c>
      <c r="AL54" s="4" t="s">
        <v>70</v>
      </c>
      <c r="AM54" s="4" t="s">
        <v>70</v>
      </c>
      <c r="AN54" s="4" t="s">
        <v>71</v>
      </c>
      <c r="AO54" s="4" t="s">
        <v>73</v>
      </c>
      <c r="AP54" s="4" t="s">
        <v>72</v>
      </c>
      <c r="AQ54" s="4" t="s">
        <v>70</v>
      </c>
      <c r="AR54" s="4" t="s">
        <v>71</v>
      </c>
      <c r="AS54" s="4" t="s">
        <v>73</v>
      </c>
      <c r="AT54" s="4" t="s">
        <v>73</v>
      </c>
      <c r="AU54" s="4" t="s">
        <v>70</v>
      </c>
      <c r="AV54" s="4" t="s">
        <v>73</v>
      </c>
      <c r="AW54" s="4" t="s">
        <v>70</v>
      </c>
      <c r="AX54" s="4" t="s">
        <v>70</v>
      </c>
      <c r="AY54" s="4" t="s">
        <v>72</v>
      </c>
      <c r="AZ54" s="4" t="s">
        <v>71</v>
      </c>
      <c r="BA54" s="4" t="s">
        <v>72</v>
      </c>
      <c r="BB54" s="4" t="s">
        <v>70</v>
      </c>
      <c r="BC54" s="4" t="s">
        <v>71</v>
      </c>
      <c r="BD54" s="4" t="s">
        <v>70</v>
      </c>
      <c r="BE54" s="4" t="s">
        <v>70</v>
      </c>
      <c r="BF54" s="4" t="s">
        <v>72</v>
      </c>
      <c r="BG54" s="4" t="s">
        <v>72</v>
      </c>
      <c r="BH54" s="4" t="s">
        <v>71</v>
      </c>
      <c r="BI54" s="4" t="s">
        <v>70</v>
      </c>
      <c r="BJ54" s="4" t="s">
        <v>73</v>
      </c>
      <c r="BK54" s="4" t="s">
        <v>72</v>
      </c>
      <c r="BL54" s="4" t="s">
        <v>71</v>
      </c>
      <c r="BM54" s="4" t="s">
        <v>71</v>
      </c>
      <c r="BN54" s="4" t="s">
        <v>71</v>
      </c>
      <c r="BO54" s="4" t="s">
        <v>70</v>
      </c>
      <c r="BP54" s="4" t="s">
        <v>71</v>
      </c>
      <c r="BQ54" s="4" t="s">
        <v>73</v>
      </c>
      <c r="BR54" s="4" t="s">
        <v>72</v>
      </c>
      <c r="BS54" s="4" t="s">
        <v>73</v>
      </c>
      <c r="BT54" s="4" t="s">
        <v>70</v>
      </c>
      <c r="BU54" s="4" t="s">
        <v>71</v>
      </c>
      <c r="BV54" s="4" t="s">
        <v>72</v>
      </c>
      <c r="BW54" s="4" t="s">
        <v>71</v>
      </c>
      <c r="BX54" s="4" t="s">
        <v>71</v>
      </c>
    </row>
    <row r="55" spans="1:76">
      <c r="A55" s="4" t="s">
        <v>182</v>
      </c>
      <c r="B55" s="4" t="s">
        <v>186</v>
      </c>
      <c r="C55" s="4" t="s">
        <v>103</v>
      </c>
      <c r="D55" s="4" t="s">
        <v>136</v>
      </c>
      <c r="E55" s="4" t="s">
        <v>70</v>
      </c>
      <c r="F55" s="4" t="s">
        <v>70</v>
      </c>
      <c r="G55" s="4" t="s">
        <v>70</v>
      </c>
      <c r="H55" s="4" t="s">
        <v>70</v>
      </c>
      <c r="I55" s="4" t="s">
        <v>72</v>
      </c>
      <c r="J55" s="4" t="s">
        <v>72</v>
      </c>
      <c r="K55" s="4" t="s">
        <v>73</v>
      </c>
      <c r="L55" s="4" t="s">
        <v>72</v>
      </c>
      <c r="M55" s="4" t="s">
        <v>73</v>
      </c>
      <c r="N55" s="4" t="s">
        <v>70</v>
      </c>
      <c r="O55" s="4" t="s">
        <v>71</v>
      </c>
      <c r="P55" s="4" t="s">
        <v>72</v>
      </c>
      <c r="Q55" s="4" t="s">
        <v>71</v>
      </c>
      <c r="R55" s="4" t="s">
        <v>73</v>
      </c>
      <c r="S55" s="4" t="s">
        <v>70</v>
      </c>
      <c r="T55" s="4" t="s">
        <v>71</v>
      </c>
      <c r="U55" s="4" t="s">
        <v>72</v>
      </c>
      <c r="V55" s="4" t="s">
        <v>70</v>
      </c>
      <c r="W55" s="4" t="s">
        <v>70</v>
      </c>
      <c r="X55" s="4" t="s">
        <v>70</v>
      </c>
      <c r="Y55" s="4" t="s">
        <v>73</v>
      </c>
      <c r="Z55" s="4" t="s">
        <v>70</v>
      </c>
      <c r="AA55" s="4" t="s">
        <v>73</v>
      </c>
      <c r="AB55" s="4" t="s">
        <v>70</v>
      </c>
      <c r="AC55" s="4" t="s">
        <v>71</v>
      </c>
      <c r="AD55" s="4" t="s">
        <v>70</v>
      </c>
      <c r="AE55" s="4" t="s">
        <v>71</v>
      </c>
      <c r="AF55" s="4" t="s">
        <v>71</v>
      </c>
      <c r="AG55" s="4" t="s">
        <v>72</v>
      </c>
      <c r="AH55" s="4" t="s">
        <v>70</v>
      </c>
      <c r="AI55" s="4" t="s">
        <v>71</v>
      </c>
      <c r="AJ55" s="4" t="s">
        <v>71</v>
      </c>
      <c r="AK55" s="4" t="s">
        <v>72</v>
      </c>
      <c r="AL55" s="4" t="s">
        <v>72</v>
      </c>
      <c r="AM55" s="4" t="s">
        <v>70</v>
      </c>
      <c r="AN55" s="4" t="s">
        <v>71</v>
      </c>
      <c r="AO55" s="4" t="s">
        <v>73</v>
      </c>
      <c r="AP55" s="4" t="s">
        <v>71</v>
      </c>
      <c r="AQ55" s="4" t="s">
        <v>70</v>
      </c>
      <c r="AR55" s="4" t="s">
        <v>71</v>
      </c>
      <c r="AS55" s="4" t="s">
        <v>73</v>
      </c>
      <c r="AT55" s="4" t="s">
        <v>70</v>
      </c>
      <c r="AU55" s="4" t="s">
        <v>70</v>
      </c>
      <c r="AV55" s="4" t="s">
        <v>73</v>
      </c>
      <c r="AW55" s="4" t="s">
        <v>70</v>
      </c>
      <c r="AX55" s="4" t="s">
        <v>70</v>
      </c>
      <c r="AY55" s="4" t="s">
        <v>72</v>
      </c>
      <c r="AZ55" s="4" t="s">
        <v>71</v>
      </c>
      <c r="BA55" s="4" t="s">
        <v>72</v>
      </c>
      <c r="BB55" s="4" t="s">
        <v>70</v>
      </c>
      <c r="BC55" s="4" t="s">
        <v>71</v>
      </c>
      <c r="BD55" s="4" t="s">
        <v>70</v>
      </c>
      <c r="BE55" s="4" t="s">
        <v>70</v>
      </c>
      <c r="BF55" s="4" t="s">
        <v>72</v>
      </c>
      <c r="BG55" s="4" t="s">
        <v>72</v>
      </c>
      <c r="BH55" s="4" t="s">
        <v>71</v>
      </c>
      <c r="BI55" s="4" t="s">
        <v>70</v>
      </c>
      <c r="BJ55" s="4" t="s">
        <v>73</v>
      </c>
      <c r="BK55" s="4" t="s">
        <v>72</v>
      </c>
      <c r="BL55" s="4" t="s">
        <v>71</v>
      </c>
      <c r="BM55" s="4" t="s">
        <v>71</v>
      </c>
      <c r="BN55" s="4" t="s">
        <v>71</v>
      </c>
      <c r="BO55" s="4" t="s">
        <v>70</v>
      </c>
      <c r="BP55" s="4" t="s">
        <v>71</v>
      </c>
      <c r="BQ55" s="4" t="s">
        <v>73</v>
      </c>
      <c r="BR55" s="4" t="s">
        <v>72</v>
      </c>
      <c r="BS55" s="4" t="s">
        <v>73</v>
      </c>
      <c r="BT55" s="4" t="s">
        <v>73</v>
      </c>
      <c r="BU55" s="4" t="s">
        <v>71</v>
      </c>
      <c r="BV55" s="4" t="s">
        <v>72</v>
      </c>
      <c r="BW55" s="4" t="s">
        <v>71</v>
      </c>
      <c r="BX55" s="4" t="s">
        <v>71</v>
      </c>
    </row>
    <row r="56" spans="1:76">
      <c r="A56" s="4" t="s">
        <v>182</v>
      </c>
      <c r="B56" s="4" t="s">
        <v>187</v>
      </c>
      <c r="C56" s="4" t="s">
        <v>106</v>
      </c>
      <c r="D56" s="4" t="s">
        <v>107</v>
      </c>
      <c r="E56" s="4" t="s">
        <v>70</v>
      </c>
      <c r="F56" s="4" t="s">
        <v>71</v>
      </c>
      <c r="G56" s="4" t="s">
        <v>70</v>
      </c>
      <c r="H56" s="4" t="s">
        <v>71</v>
      </c>
      <c r="I56" s="4" t="s">
        <v>71</v>
      </c>
      <c r="J56" s="4" t="s">
        <v>71</v>
      </c>
      <c r="K56" s="4" t="s">
        <v>70</v>
      </c>
      <c r="L56" s="4" t="s">
        <v>72</v>
      </c>
      <c r="M56" s="4" t="s">
        <v>73</v>
      </c>
      <c r="N56" s="4" t="s">
        <v>70</v>
      </c>
      <c r="O56" s="4" t="s">
        <v>71</v>
      </c>
      <c r="P56" s="4" t="s">
        <v>72</v>
      </c>
      <c r="Q56" s="4" t="s">
        <v>71</v>
      </c>
      <c r="R56" s="4" t="s">
        <v>73</v>
      </c>
      <c r="S56" s="4" t="s">
        <v>70</v>
      </c>
      <c r="T56" s="4" t="s">
        <v>71</v>
      </c>
      <c r="U56" s="4" t="s">
        <v>72</v>
      </c>
      <c r="V56" s="4" t="s">
        <v>70</v>
      </c>
      <c r="W56" s="4" t="s">
        <v>70</v>
      </c>
      <c r="X56" s="4" t="s">
        <v>73</v>
      </c>
      <c r="Y56" s="4" t="s">
        <v>73</v>
      </c>
      <c r="Z56" s="4" t="s">
        <v>70</v>
      </c>
      <c r="AA56" s="4" t="s">
        <v>73</v>
      </c>
      <c r="AB56" s="4" t="s">
        <v>70</v>
      </c>
      <c r="AC56" s="4" t="s">
        <v>71</v>
      </c>
      <c r="AD56" s="4" t="s">
        <v>70</v>
      </c>
      <c r="AE56" s="4" t="s">
        <v>72</v>
      </c>
      <c r="AF56" s="4" t="s">
        <v>72</v>
      </c>
      <c r="AG56" s="4" t="s">
        <v>70</v>
      </c>
      <c r="AH56" s="4" t="s">
        <v>70</v>
      </c>
      <c r="AI56" s="4" t="s">
        <v>71</v>
      </c>
      <c r="AJ56" s="4" t="s">
        <v>71</v>
      </c>
      <c r="AK56" s="4" t="s">
        <v>72</v>
      </c>
      <c r="AL56" s="4" t="s">
        <v>71</v>
      </c>
      <c r="AM56" s="4" t="s">
        <v>71</v>
      </c>
      <c r="AN56" s="4" t="s">
        <v>70</v>
      </c>
      <c r="AO56" s="4" t="s">
        <v>70</v>
      </c>
      <c r="AP56" s="4" t="s">
        <v>73</v>
      </c>
      <c r="AQ56" s="4" t="s">
        <v>70</v>
      </c>
      <c r="AR56" s="4" t="s">
        <v>71</v>
      </c>
      <c r="AS56" s="4" t="s">
        <v>71</v>
      </c>
      <c r="AT56" s="4" t="s">
        <v>73</v>
      </c>
      <c r="AU56" s="4" t="s">
        <v>73</v>
      </c>
      <c r="AV56" s="4" t="s">
        <v>73</v>
      </c>
      <c r="AW56" s="4" t="s">
        <v>70</v>
      </c>
      <c r="AX56" s="4" t="s">
        <v>70</v>
      </c>
      <c r="AY56" s="4" t="s">
        <v>72</v>
      </c>
      <c r="AZ56" s="4" t="s">
        <v>71</v>
      </c>
      <c r="BA56" s="4" t="s">
        <v>70</v>
      </c>
      <c r="BB56" s="4" t="s">
        <v>73</v>
      </c>
      <c r="BC56" s="4" t="s">
        <v>73</v>
      </c>
      <c r="BD56" s="4" t="s">
        <v>70</v>
      </c>
      <c r="BE56" s="4" t="s">
        <v>70</v>
      </c>
      <c r="BF56" s="4" t="s">
        <v>72</v>
      </c>
      <c r="BG56" s="4" t="s">
        <v>72</v>
      </c>
      <c r="BH56" s="4" t="s">
        <v>71</v>
      </c>
      <c r="BI56" s="4" t="s">
        <v>73</v>
      </c>
      <c r="BJ56" s="4" t="s">
        <v>73</v>
      </c>
      <c r="BK56" s="4" t="s">
        <v>73</v>
      </c>
      <c r="BL56" s="4" t="s">
        <v>72</v>
      </c>
      <c r="BM56" s="4" t="s">
        <v>71</v>
      </c>
      <c r="BN56" s="4" t="s">
        <v>71</v>
      </c>
      <c r="BO56" s="4" t="s">
        <v>72</v>
      </c>
      <c r="BP56" s="4" t="s">
        <v>72</v>
      </c>
      <c r="BQ56" s="4" t="s">
        <v>72</v>
      </c>
      <c r="BR56" s="4" t="s">
        <v>71</v>
      </c>
      <c r="BS56" s="4" t="s">
        <v>70</v>
      </c>
      <c r="BT56" s="4" t="s">
        <v>70</v>
      </c>
      <c r="BU56" s="4" t="s">
        <v>70</v>
      </c>
      <c r="BV56" s="4" t="s">
        <v>71</v>
      </c>
      <c r="BW56" s="4" t="s">
        <v>70</v>
      </c>
      <c r="BX56" s="4" t="s">
        <v>71</v>
      </c>
    </row>
    <row r="57" spans="1:76">
      <c r="A57" s="4" t="s">
        <v>182</v>
      </c>
      <c r="B57" s="4" t="s">
        <v>188</v>
      </c>
      <c r="C57" s="4" t="s">
        <v>152</v>
      </c>
      <c r="D57" s="4" t="s">
        <v>153</v>
      </c>
      <c r="E57" s="4" t="s">
        <v>72</v>
      </c>
      <c r="F57" s="4" t="s">
        <v>71</v>
      </c>
      <c r="G57" s="4" t="s">
        <v>71</v>
      </c>
      <c r="H57" s="4" t="s">
        <v>72</v>
      </c>
      <c r="I57" s="4" t="s">
        <v>71</v>
      </c>
      <c r="J57" s="4" t="s">
        <v>71</v>
      </c>
      <c r="K57" s="4" t="s">
        <v>72</v>
      </c>
      <c r="L57" s="4" t="s">
        <v>72</v>
      </c>
      <c r="M57" s="4" t="s">
        <v>73</v>
      </c>
      <c r="N57" s="4" t="s">
        <v>70</v>
      </c>
      <c r="O57" s="4" t="s">
        <v>71</v>
      </c>
      <c r="P57" s="4" t="s">
        <v>72</v>
      </c>
      <c r="Q57" s="4" t="s">
        <v>71</v>
      </c>
      <c r="R57" s="4" t="s">
        <v>73</v>
      </c>
      <c r="S57" s="4" t="s">
        <v>70</v>
      </c>
      <c r="T57" s="4" t="s">
        <v>72</v>
      </c>
      <c r="U57" s="4" t="s">
        <v>71</v>
      </c>
      <c r="V57" s="4" t="s">
        <v>70</v>
      </c>
      <c r="W57" s="4" t="s">
        <v>70</v>
      </c>
      <c r="X57" s="4" t="s">
        <v>72</v>
      </c>
      <c r="Y57" s="4" t="s">
        <v>73</v>
      </c>
      <c r="Z57" s="4" t="s">
        <v>70</v>
      </c>
      <c r="AA57" s="4" t="s">
        <v>73</v>
      </c>
      <c r="AB57" s="4" t="s">
        <v>70</v>
      </c>
      <c r="AC57" s="4" t="s">
        <v>71</v>
      </c>
      <c r="AD57" s="4" t="s">
        <v>70</v>
      </c>
      <c r="AE57" s="4" t="s">
        <v>73</v>
      </c>
      <c r="AF57" s="4" t="s">
        <v>71</v>
      </c>
      <c r="AG57" s="4" t="s">
        <v>70</v>
      </c>
      <c r="AH57" s="4" t="s">
        <v>70</v>
      </c>
      <c r="AI57" s="4" t="s">
        <v>73</v>
      </c>
      <c r="AJ57" s="4" t="s">
        <v>71</v>
      </c>
      <c r="AK57" s="4" t="s">
        <v>72</v>
      </c>
      <c r="AL57" s="4" t="s">
        <v>70</v>
      </c>
      <c r="AM57" s="4" t="s">
        <v>72</v>
      </c>
      <c r="AN57" s="4" t="s">
        <v>72</v>
      </c>
      <c r="AO57" s="4" t="s">
        <v>73</v>
      </c>
      <c r="AP57" s="4" t="s">
        <v>73</v>
      </c>
      <c r="AQ57" s="4" t="s">
        <v>72</v>
      </c>
      <c r="AR57" s="4" t="s">
        <v>71</v>
      </c>
      <c r="AS57" s="4" t="s">
        <v>71</v>
      </c>
      <c r="AT57" s="4" t="s">
        <v>70</v>
      </c>
      <c r="AU57" s="4" t="s">
        <v>71</v>
      </c>
      <c r="AV57" s="4" t="s">
        <v>73</v>
      </c>
      <c r="AW57" s="4" t="s">
        <v>70</v>
      </c>
      <c r="AX57" s="4" t="s">
        <v>70</v>
      </c>
      <c r="AY57" s="4" t="s">
        <v>72</v>
      </c>
      <c r="AZ57" s="4" t="s">
        <v>71</v>
      </c>
      <c r="BA57" s="4" t="s">
        <v>70</v>
      </c>
      <c r="BB57" s="4" t="s">
        <v>71</v>
      </c>
      <c r="BC57" s="4" t="s">
        <v>72</v>
      </c>
      <c r="BD57" s="4" t="s">
        <v>70</v>
      </c>
      <c r="BE57" s="4" t="s">
        <v>70</v>
      </c>
      <c r="BF57" s="4" t="s">
        <v>72</v>
      </c>
      <c r="BG57" s="4" t="s">
        <v>72</v>
      </c>
      <c r="BH57" s="4" t="s">
        <v>71</v>
      </c>
      <c r="BI57" s="4" t="s">
        <v>70</v>
      </c>
      <c r="BJ57" s="4" t="s">
        <v>73</v>
      </c>
      <c r="BK57" s="4" t="s">
        <v>70</v>
      </c>
      <c r="BL57" s="4" t="s">
        <v>71</v>
      </c>
      <c r="BM57" s="4" t="s">
        <v>71</v>
      </c>
      <c r="BN57" s="4" t="s">
        <v>71</v>
      </c>
      <c r="BO57" s="4" t="s">
        <v>73</v>
      </c>
      <c r="BP57" s="4" t="s">
        <v>70</v>
      </c>
      <c r="BQ57" s="4" t="s">
        <v>71</v>
      </c>
      <c r="BR57" s="4" t="s">
        <v>73</v>
      </c>
      <c r="BS57" s="4" t="s">
        <v>70</v>
      </c>
      <c r="BT57" s="4" t="s">
        <v>70</v>
      </c>
      <c r="BU57" s="4" t="s">
        <v>73</v>
      </c>
      <c r="BV57" s="4" t="s">
        <v>70</v>
      </c>
      <c r="BW57" s="4" t="s">
        <v>70</v>
      </c>
      <c r="BX57" s="4" t="s">
        <v>73</v>
      </c>
    </row>
    <row r="58" spans="1:76">
      <c r="A58" s="4" t="s">
        <v>182</v>
      </c>
      <c r="B58" s="4" t="s">
        <v>189</v>
      </c>
      <c r="C58" s="4" t="s">
        <v>152</v>
      </c>
      <c r="D58" s="4" t="s">
        <v>153</v>
      </c>
      <c r="E58" s="4" t="s">
        <v>72</v>
      </c>
      <c r="F58" s="4" t="s">
        <v>71</v>
      </c>
      <c r="G58" s="4" t="s">
        <v>71</v>
      </c>
      <c r="H58" s="4" t="s">
        <v>72</v>
      </c>
      <c r="I58" s="4" t="s">
        <v>71</v>
      </c>
      <c r="J58" s="4" t="s">
        <v>71</v>
      </c>
      <c r="K58" s="4" t="s">
        <v>72</v>
      </c>
      <c r="L58" s="4" t="s">
        <v>72</v>
      </c>
      <c r="M58" s="4" t="s">
        <v>73</v>
      </c>
      <c r="N58" s="4" t="s">
        <v>70</v>
      </c>
      <c r="O58" s="4" t="s">
        <v>71</v>
      </c>
      <c r="P58" s="4" t="s">
        <v>72</v>
      </c>
      <c r="Q58" s="4" t="s">
        <v>71</v>
      </c>
      <c r="R58" s="4" t="s">
        <v>73</v>
      </c>
      <c r="S58" s="4" t="s">
        <v>70</v>
      </c>
      <c r="T58" s="4" t="s">
        <v>72</v>
      </c>
      <c r="U58" s="4" t="s">
        <v>71</v>
      </c>
      <c r="V58" s="4" t="s">
        <v>70</v>
      </c>
      <c r="W58" s="4" t="s">
        <v>70</v>
      </c>
      <c r="X58" s="4" t="s">
        <v>72</v>
      </c>
      <c r="Y58" s="4" t="s">
        <v>73</v>
      </c>
      <c r="Z58" s="4" t="s">
        <v>70</v>
      </c>
      <c r="AA58" s="4" t="s">
        <v>73</v>
      </c>
      <c r="AB58" s="4" t="s">
        <v>70</v>
      </c>
      <c r="AC58" s="4" t="s">
        <v>71</v>
      </c>
      <c r="AD58" s="4" t="s">
        <v>70</v>
      </c>
      <c r="AE58" s="4" t="s">
        <v>73</v>
      </c>
      <c r="AF58" s="4" t="s">
        <v>71</v>
      </c>
      <c r="AG58" s="4" t="s">
        <v>70</v>
      </c>
      <c r="AH58" s="4" t="s">
        <v>70</v>
      </c>
      <c r="AI58" s="4" t="s">
        <v>73</v>
      </c>
      <c r="AJ58" s="4" t="s">
        <v>71</v>
      </c>
      <c r="AK58" s="4" t="s">
        <v>72</v>
      </c>
      <c r="AL58" s="4" t="s">
        <v>70</v>
      </c>
      <c r="AM58" s="4" t="s">
        <v>72</v>
      </c>
      <c r="AN58" s="4" t="s">
        <v>72</v>
      </c>
      <c r="AO58" s="4" t="s">
        <v>73</v>
      </c>
      <c r="AP58" s="4" t="s">
        <v>73</v>
      </c>
      <c r="AQ58" s="4" t="s">
        <v>72</v>
      </c>
      <c r="AR58" s="4" t="s">
        <v>71</v>
      </c>
      <c r="AS58" s="4" t="s">
        <v>71</v>
      </c>
      <c r="AT58" s="4" t="s">
        <v>70</v>
      </c>
      <c r="AU58" s="4" t="s">
        <v>71</v>
      </c>
      <c r="AV58" s="4" t="s">
        <v>73</v>
      </c>
      <c r="AW58" s="4" t="s">
        <v>70</v>
      </c>
      <c r="AX58" s="4" t="s">
        <v>70</v>
      </c>
      <c r="AY58" s="4" t="s">
        <v>72</v>
      </c>
      <c r="AZ58" s="4" t="s">
        <v>71</v>
      </c>
      <c r="BA58" s="4" t="s">
        <v>70</v>
      </c>
      <c r="BB58" s="4" t="s">
        <v>71</v>
      </c>
      <c r="BC58" s="4" t="s">
        <v>72</v>
      </c>
      <c r="BD58" s="4" t="s">
        <v>70</v>
      </c>
      <c r="BE58" s="4" t="s">
        <v>70</v>
      </c>
      <c r="BF58" s="4" t="s">
        <v>72</v>
      </c>
      <c r="BG58" s="4" t="s">
        <v>72</v>
      </c>
      <c r="BH58" s="4" t="s">
        <v>71</v>
      </c>
      <c r="BI58" s="4" t="s">
        <v>73</v>
      </c>
      <c r="BJ58" s="4" t="s">
        <v>73</v>
      </c>
      <c r="BK58" s="4" t="s">
        <v>70</v>
      </c>
      <c r="BL58" s="4" t="s">
        <v>72</v>
      </c>
      <c r="BM58" s="4" t="s">
        <v>71</v>
      </c>
      <c r="BN58" s="4" t="s">
        <v>71</v>
      </c>
      <c r="BO58" s="4" t="s">
        <v>73</v>
      </c>
      <c r="BP58" s="4" t="s">
        <v>70</v>
      </c>
      <c r="BQ58" s="4" t="s">
        <v>71</v>
      </c>
      <c r="BR58" s="4" t="s">
        <v>73</v>
      </c>
      <c r="BS58" s="4" t="s">
        <v>70</v>
      </c>
      <c r="BT58" s="4" t="s">
        <v>70</v>
      </c>
      <c r="BU58" s="4" t="s">
        <v>73</v>
      </c>
      <c r="BV58" s="4" t="s">
        <v>70</v>
      </c>
      <c r="BW58" s="4" t="s">
        <v>70</v>
      </c>
      <c r="BX58" s="4" t="s">
        <v>73</v>
      </c>
    </row>
    <row r="59" spans="1:76">
      <c r="A59" s="4" t="s">
        <v>182</v>
      </c>
      <c r="B59" s="4" t="s">
        <v>190</v>
      </c>
      <c r="C59" s="4" t="s">
        <v>191</v>
      </c>
      <c r="D59" s="4" t="s">
        <v>80</v>
      </c>
      <c r="E59" s="4" t="s">
        <v>70</v>
      </c>
      <c r="F59" s="4" t="s">
        <v>70</v>
      </c>
      <c r="G59" s="4" t="s">
        <v>71</v>
      </c>
      <c r="H59" s="4" t="s">
        <v>70</v>
      </c>
      <c r="I59" s="4" t="s">
        <v>71</v>
      </c>
      <c r="J59" s="4" t="s">
        <v>70</v>
      </c>
      <c r="K59" s="4" t="s">
        <v>72</v>
      </c>
      <c r="L59" s="4" t="s">
        <v>72</v>
      </c>
      <c r="M59" s="4" t="s">
        <v>70</v>
      </c>
      <c r="N59" s="4" t="s">
        <v>70</v>
      </c>
      <c r="O59" s="4" t="s">
        <v>71</v>
      </c>
      <c r="P59" s="4" t="s">
        <v>73</v>
      </c>
      <c r="Q59" s="4" t="s">
        <v>70</v>
      </c>
      <c r="R59" s="4" t="s">
        <v>73</v>
      </c>
      <c r="S59" s="4" t="s">
        <v>70</v>
      </c>
      <c r="T59" s="10" t="s">
        <v>77</v>
      </c>
      <c r="U59" s="4" t="s">
        <v>72</v>
      </c>
      <c r="V59" s="4" t="s">
        <v>70</v>
      </c>
      <c r="W59" s="4" t="s">
        <v>70</v>
      </c>
      <c r="X59" s="4" t="s">
        <v>71</v>
      </c>
      <c r="Y59" s="4" t="s">
        <v>71</v>
      </c>
      <c r="Z59" s="4" t="s">
        <v>73</v>
      </c>
      <c r="AA59" s="4" t="s">
        <v>72</v>
      </c>
      <c r="AB59" s="4" t="s">
        <v>70</v>
      </c>
      <c r="AC59" s="4" t="s">
        <v>71</v>
      </c>
      <c r="AD59" s="4" t="s">
        <v>73</v>
      </c>
      <c r="AE59" s="4" t="s">
        <v>70</v>
      </c>
      <c r="AF59" s="4" t="s">
        <v>71</v>
      </c>
      <c r="AG59" s="4" t="s">
        <v>70</v>
      </c>
      <c r="AH59" s="4" t="s">
        <v>70</v>
      </c>
      <c r="AI59" s="4" t="s">
        <v>73</v>
      </c>
      <c r="AJ59" s="4" t="s">
        <v>72</v>
      </c>
      <c r="AK59" s="4" t="s">
        <v>72</v>
      </c>
      <c r="AL59" s="4" t="s">
        <v>70</v>
      </c>
      <c r="AM59" s="4" t="s">
        <v>71</v>
      </c>
      <c r="AN59" s="4" t="s">
        <v>73</v>
      </c>
      <c r="AO59" s="4" t="s">
        <v>73</v>
      </c>
      <c r="AP59" s="4" t="s">
        <v>73</v>
      </c>
      <c r="AQ59" s="4" t="s">
        <v>72</v>
      </c>
      <c r="AR59" s="4" t="s">
        <v>71</v>
      </c>
      <c r="AS59" s="4" t="s">
        <v>71</v>
      </c>
      <c r="AT59" s="4" t="s">
        <v>70</v>
      </c>
      <c r="AU59" s="4" t="s">
        <v>72</v>
      </c>
      <c r="AV59" s="4" t="s">
        <v>70</v>
      </c>
      <c r="AW59" s="4" t="s">
        <v>73</v>
      </c>
      <c r="AX59" s="10" t="s">
        <v>77</v>
      </c>
      <c r="AY59" s="4" t="s">
        <v>73</v>
      </c>
      <c r="AZ59" s="4" t="s">
        <v>71</v>
      </c>
      <c r="BA59" s="4" t="s">
        <v>71</v>
      </c>
      <c r="BB59" s="4" t="s">
        <v>72</v>
      </c>
      <c r="BC59" s="4" t="s">
        <v>71</v>
      </c>
      <c r="BD59" s="4" t="s">
        <v>70</v>
      </c>
      <c r="BE59" s="4" t="s">
        <v>70</v>
      </c>
      <c r="BF59" s="4" t="s">
        <v>72</v>
      </c>
      <c r="BG59" s="4" t="s">
        <v>72</v>
      </c>
      <c r="BH59" s="4" t="s">
        <v>71</v>
      </c>
      <c r="BI59" s="4" t="s">
        <v>70</v>
      </c>
      <c r="BJ59" s="4" t="s">
        <v>73</v>
      </c>
      <c r="BK59" s="4" t="s">
        <v>71</v>
      </c>
      <c r="BL59" s="4" t="s">
        <v>72</v>
      </c>
      <c r="BM59" s="4" t="s">
        <v>71</v>
      </c>
      <c r="BN59" s="4" t="s">
        <v>71</v>
      </c>
      <c r="BO59" s="4" t="s">
        <v>70</v>
      </c>
      <c r="BP59" s="4" t="s">
        <v>70</v>
      </c>
      <c r="BQ59" s="4" t="s">
        <v>70</v>
      </c>
      <c r="BR59" s="4" t="s">
        <v>73</v>
      </c>
      <c r="BS59" s="4" t="s">
        <v>71</v>
      </c>
      <c r="BT59" s="4" t="s">
        <v>70</v>
      </c>
      <c r="BU59" s="4" t="s">
        <v>71</v>
      </c>
      <c r="BV59" s="4" t="s">
        <v>70</v>
      </c>
      <c r="BW59" s="4" t="s">
        <v>71</v>
      </c>
      <c r="BX59" s="4" t="s">
        <v>71</v>
      </c>
    </row>
    <row r="60" spans="1:76">
      <c r="A60" s="4" t="s">
        <v>182</v>
      </c>
      <c r="B60" s="4" t="s">
        <v>192</v>
      </c>
      <c r="C60" s="4" t="s">
        <v>191</v>
      </c>
      <c r="D60" s="4" t="s">
        <v>80</v>
      </c>
      <c r="E60" s="4" t="s">
        <v>70</v>
      </c>
      <c r="F60" s="4" t="s">
        <v>70</v>
      </c>
      <c r="G60" s="4" t="s">
        <v>71</v>
      </c>
      <c r="H60" s="4" t="s">
        <v>70</v>
      </c>
      <c r="I60" s="4" t="s">
        <v>71</v>
      </c>
      <c r="J60" s="4" t="s">
        <v>70</v>
      </c>
      <c r="K60" s="4" t="s">
        <v>72</v>
      </c>
      <c r="L60" s="4" t="s">
        <v>72</v>
      </c>
      <c r="M60" s="4" t="s">
        <v>70</v>
      </c>
      <c r="N60" s="4" t="s">
        <v>70</v>
      </c>
      <c r="O60" s="4" t="s">
        <v>71</v>
      </c>
      <c r="P60" s="4" t="s">
        <v>73</v>
      </c>
      <c r="Q60" s="4" t="s">
        <v>70</v>
      </c>
      <c r="R60" s="4" t="s">
        <v>73</v>
      </c>
      <c r="S60" s="4" t="s">
        <v>70</v>
      </c>
      <c r="T60" s="10" t="s">
        <v>77</v>
      </c>
      <c r="U60" s="4" t="s">
        <v>72</v>
      </c>
      <c r="V60" s="4" t="s">
        <v>70</v>
      </c>
      <c r="W60" s="4" t="s">
        <v>70</v>
      </c>
      <c r="X60" s="4" t="s">
        <v>71</v>
      </c>
      <c r="Y60" s="4" t="s">
        <v>71</v>
      </c>
      <c r="Z60" s="4" t="s">
        <v>73</v>
      </c>
      <c r="AA60" s="4" t="s">
        <v>72</v>
      </c>
      <c r="AB60" s="4" t="s">
        <v>70</v>
      </c>
      <c r="AC60" s="4" t="s">
        <v>71</v>
      </c>
      <c r="AD60" s="4" t="s">
        <v>73</v>
      </c>
      <c r="AE60" s="4" t="s">
        <v>70</v>
      </c>
      <c r="AF60" s="4" t="s">
        <v>71</v>
      </c>
      <c r="AG60" s="4" t="s">
        <v>70</v>
      </c>
      <c r="AH60" s="4" t="s">
        <v>70</v>
      </c>
      <c r="AI60" s="4" t="s">
        <v>73</v>
      </c>
      <c r="AJ60" s="4" t="s">
        <v>72</v>
      </c>
      <c r="AK60" s="4" t="s">
        <v>72</v>
      </c>
      <c r="AL60" s="4" t="s">
        <v>70</v>
      </c>
      <c r="AM60" s="4" t="s">
        <v>71</v>
      </c>
      <c r="AN60" s="4" t="s">
        <v>73</v>
      </c>
      <c r="AO60" s="4" t="s">
        <v>73</v>
      </c>
      <c r="AP60" s="4" t="s">
        <v>73</v>
      </c>
      <c r="AQ60" s="4" t="s">
        <v>72</v>
      </c>
      <c r="AR60" s="4" t="s">
        <v>71</v>
      </c>
      <c r="AS60" s="4" t="s">
        <v>71</v>
      </c>
      <c r="AT60" s="4" t="s">
        <v>70</v>
      </c>
      <c r="AU60" s="4" t="s">
        <v>72</v>
      </c>
      <c r="AV60" s="4" t="s">
        <v>70</v>
      </c>
      <c r="AW60" s="4" t="s">
        <v>70</v>
      </c>
      <c r="AX60" s="10" t="s">
        <v>77</v>
      </c>
      <c r="AY60" s="4" t="s">
        <v>73</v>
      </c>
      <c r="AZ60" s="4" t="s">
        <v>71</v>
      </c>
      <c r="BA60" s="4" t="s">
        <v>71</v>
      </c>
      <c r="BB60" s="4" t="s">
        <v>72</v>
      </c>
      <c r="BC60" s="4" t="s">
        <v>71</v>
      </c>
      <c r="BD60" s="4" t="s">
        <v>70</v>
      </c>
      <c r="BE60" s="4" t="s">
        <v>70</v>
      </c>
      <c r="BF60" s="4" t="s">
        <v>72</v>
      </c>
      <c r="BG60" s="4" t="s">
        <v>72</v>
      </c>
      <c r="BH60" s="4" t="s">
        <v>71</v>
      </c>
      <c r="BI60" s="4" t="s">
        <v>70</v>
      </c>
      <c r="BJ60" s="4" t="s">
        <v>73</v>
      </c>
      <c r="BK60" s="4" t="s">
        <v>71</v>
      </c>
      <c r="BL60" s="4" t="s">
        <v>72</v>
      </c>
      <c r="BM60" s="4" t="s">
        <v>71</v>
      </c>
      <c r="BN60" s="4" t="s">
        <v>71</v>
      </c>
      <c r="BO60" s="4" t="s">
        <v>70</v>
      </c>
      <c r="BP60" s="4" t="s">
        <v>70</v>
      </c>
      <c r="BQ60" s="4" t="s">
        <v>70</v>
      </c>
      <c r="BR60" s="4" t="s">
        <v>73</v>
      </c>
      <c r="BS60" s="4" t="s">
        <v>71</v>
      </c>
      <c r="BT60" s="4" t="s">
        <v>70</v>
      </c>
      <c r="BU60" s="4" t="s">
        <v>71</v>
      </c>
      <c r="BV60" s="4" t="s">
        <v>70</v>
      </c>
      <c r="BW60" s="4" t="s">
        <v>71</v>
      </c>
      <c r="BX60" s="4" t="s">
        <v>71</v>
      </c>
    </row>
    <row r="61" spans="1:76">
      <c r="A61" s="4" t="s">
        <v>182</v>
      </c>
      <c r="B61" s="4" t="s">
        <v>193</v>
      </c>
      <c r="C61" s="4" t="s">
        <v>112</v>
      </c>
      <c r="D61" s="4" t="s">
        <v>194</v>
      </c>
      <c r="E61" s="4" t="s">
        <v>70</v>
      </c>
      <c r="F61" s="4" t="s">
        <v>71</v>
      </c>
      <c r="G61" s="4" t="s">
        <v>70</v>
      </c>
      <c r="H61" s="4" t="s">
        <v>70</v>
      </c>
      <c r="I61" s="4" t="s">
        <v>70</v>
      </c>
      <c r="J61" s="4" t="s">
        <v>71</v>
      </c>
      <c r="K61" s="4" t="s">
        <v>73</v>
      </c>
      <c r="L61" s="4" t="s">
        <v>72</v>
      </c>
      <c r="M61" s="4" t="s">
        <v>71</v>
      </c>
      <c r="N61" s="4" t="s">
        <v>70</v>
      </c>
      <c r="O61" s="4" t="s">
        <v>72</v>
      </c>
      <c r="P61" s="4" t="s">
        <v>73</v>
      </c>
      <c r="Q61" s="4" t="s">
        <v>72</v>
      </c>
      <c r="R61" s="4" t="s">
        <v>73</v>
      </c>
      <c r="S61" s="4" t="s">
        <v>73</v>
      </c>
      <c r="T61" s="10" t="s">
        <v>77</v>
      </c>
      <c r="U61" s="4" t="s">
        <v>72</v>
      </c>
      <c r="V61" s="4" t="s">
        <v>70</v>
      </c>
      <c r="W61" s="4" t="s">
        <v>70</v>
      </c>
      <c r="X61" s="4" t="s">
        <v>71</v>
      </c>
      <c r="Y61" s="4" t="s">
        <v>73</v>
      </c>
      <c r="Z61" s="4" t="s">
        <v>72</v>
      </c>
      <c r="AA61" s="4" t="s">
        <v>72</v>
      </c>
      <c r="AB61" s="4" t="s">
        <v>73</v>
      </c>
      <c r="AC61" s="4" t="s">
        <v>71</v>
      </c>
      <c r="AD61" s="4" t="s">
        <v>71</v>
      </c>
      <c r="AE61" s="4" t="s">
        <v>72</v>
      </c>
      <c r="AF61" s="4" t="s">
        <v>71</v>
      </c>
      <c r="AG61" s="4" t="s">
        <v>73</v>
      </c>
      <c r="AH61" s="4" t="s">
        <v>70</v>
      </c>
      <c r="AI61" s="4" t="s">
        <v>71</v>
      </c>
      <c r="AJ61" s="4" t="s">
        <v>71</v>
      </c>
      <c r="AK61" s="4" t="s">
        <v>72</v>
      </c>
      <c r="AL61" s="4" t="s">
        <v>72</v>
      </c>
      <c r="AM61" s="4" t="s">
        <v>71</v>
      </c>
      <c r="AN61" s="4" t="s">
        <v>71</v>
      </c>
      <c r="AO61" s="4" t="s">
        <v>73</v>
      </c>
      <c r="AP61" s="4" t="s">
        <v>73</v>
      </c>
      <c r="AQ61" s="4" t="s">
        <v>70</v>
      </c>
      <c r="AR61" s="4" t="s">
        <v>71</v>
      </c>
      <c r="AS61" s="4" t="s">
        <v>72</v>
      </c>
      <c r="AT61" s="4" t="s">
        <v>70</v>
      </c>
      <c r="AU61" s="4" t="s">
        <v>73</v>
      </c>
      <c r="AV61" s="4" t="s">
        <v>72</v>
      </c>
      <c r="AW61" s="4" t="s">
        <v>70</v>
      </c>
      <c r="AX61" s="10" t="s">
        <v>77</v>
      </c>
      <c r="AY61" s="4" t="s">
        <v>73</v>
      </c>
      <c r="AZ61" s="4" t="s">
        <v>72</v>
      </c>
      <c r="BA61" s="4" t="s">
        <v>70</v>
      </c>
      <c r="BB61" s="4" t="s">
        <v>71</v>
      </c>
      <c r="BC61" s="4" t="s">
        <v>70</v>
      </c>
      <c r="BD61" s="4" t="s">
        <v>70</v>
      </c>
      <c r="BE61" s="4" t="s">
        <v>70</v>
      </c>
      <c r="BF61" s="4" t="s">
        <v>72</v>
      </c>
      <c r="BG61" s="4" t="s">
        <v>72</v>
      </c>
      <c r="BH61" s="4" t="s">
        <v>71</v>
      </c>
      <c r="BI61" s="4" t="s">
        <v>70</v>
      </c>
      <c r="BJ61" s="4" t="s">
        <v>73</v>
      </c>
      <c r="BK61" s="4" t="s">
        <v>72</v>
      </c>
      <c r="BL61" s="4" t="s">
        <v>72</v>
      </c>
      <c r="BM61" s="4" t="s">
        <v>71</v>
      </c>
      <c r="BN61" s="4" t="s">
        <v>71</v>
      </c>
      <c r="BO61" s="4" t="s">
        <v>71</v>
      </c>
      <c r="BP61" s="4" t="s">
        <v>70</v>
      </c>
      <c r="BQ61" s="4" t="s">
        <v>71</v>
      </c>
      <c r="BR61" s="4" t="s">
        <v>72</v>
      </c>
      <c r="BS61" s="4" t="s">
        <v>70</v>
      </c>
      <c r="BT61" s="4" t="s">
        <v>71</v>
      </c>
      <c r="BU61" s="4" t="s">
        <v>71</v>
      </c>
      <c r="BV61" s="4" t="s">
        <v>71</v>
      </c>
      <c r="BW61" s="4" t="s">
        <v>70</v>
      </c>
      <c r="BX61" s="4" t="s">
        <v>71</v>
      </c>
    </row>
    <row r="62" spans="1:76">
      <c r="A62" s="4" t="s">
        <v>182</v>
      </c>
      <c r="B62" s="4" t="s">
        <v>195</v>
      </c>
      <c r="C62" s="4" t="s">
        <v>117</v>
      </c>
      <c r="D62" s="4" t="s">
        <v>118</v>
      </c>
      <c r="E62" s="4" t="s">
        <v>70</v>
      </c>
      <c r="F62" s="4" t="s">
        <v>70</v>
      </c>
      <c r="G62" s="4" t="s">
        <v>70</v>
      </c>
      <c r="H62" s="4" t="s">
        <v>72</v>
      </c>
      <c r="I62" s="4" t="s">
        <v>71</v>
      </c>
      <c r="J62" s="4" t="s">
        <v>72</v>
      </c>
      <c r="K62" s="4" t="s">
        <v>70</v>
      </c>
      <c r="L62" s="4" t="s">
        <v>72</v>
      </c>
      <c r="M62" s="4" t="s">
        <v>73</v>
      </c>
      <c r="N62" s="4" t="s">
        <v>70</v>
      </c>
      <c r="O62" s="4" t="s">
        <v>71</v>
      </c>
      <c r="P62" s="4" t="s">
        <v>72</v>
      </c>
      <c r="Q62" s="4" t="s">
        <v>71</v>
      </c>
      <c r="R62" s="4" t="s">
        <v>73</v>
      </c>
      <c r="S62" s="4" t="s">
        <v>70</v>
      </c>
      <c r="T62" s="4" t="s">
        <v>70</v>
      </c>
      <c r="U62" s="4" t="s">
        <v>72</v>
      </c>
      <c r="V62" s="4" t="s">
        <v>70</v>
      </c>
      <c r="W62" s="4" t="s">
        <v>70</v>
      </c>
      <c r="X62" s="4" t="s">
        <v>72</v>
      </c>
      <c r="Y62" s="4" t="s">
        <v>73</v>
      </c>
      <c r="Z62" s="4" t="s">
        <v>70</v>
      </c>
      <c r="AA62" s="4" t="s">
        <v>73</v>
      </c>
      <c r="AB62" s="4" t="s">
        <v>70</v>
      </c>
      <c r="AC62" s="4" t="s">
        <v>71</v>
      </c>
      <c r="AD62" s="4" t="s">
        <v>70</v>
      </c>
      <c r="AE62" s="4" t="s">
        <v>72</v>
      </c>
      <c r="AF62" s="4" t="s">
        <v>73</v>
      </c>
      <c r="AG62" s="4" t="s">
        <v>71</v>
      </c>
      <c r="AH62" s="4" t="s">
        <v>70</v>
      </c>
      <c r="AI62" s="4" t="s">
        <v>71</v>
      </c>
      <c r="AJ62" s="4" t="s">
        <v>71</v>
      </c>
      <c r="AK62" s="4" t="s">
        <v>72</v>
      </c>
      <c r="AL62" s="4" t="s">
        <v>70</v>
      </c>
      <c r="AM62" s="4" t="s">
        <v>73</v>
      </c>
      <c r="AN62" s="4" t="s">
        <v>72</v>
      </c>
      <c r="AO62" s="4" t="s">
        <v>73</v>
      </c>
      <c r="AP62" s="4" t="s">
        <v>73</v>
      </c>
      <c r="AQ62" s="4" t="s">
        <v>70</v>
      </c>
      <c r="AR62" s="4" t="s">
        <v>71</v>
      </c>
      <c r="AS62" s="4" t="s">
        <v>70</v>
      </c>
      <c r="AT62" s="4" t="s">
        <v>72</v>
      </c>
      <c r="AU62" s="4" t="s">
        <v>73</v>
      </c>
      <c r="AV62" s="4" t="s">
        <v>73</v>
      </c>
      <c r="AW62" s="4" t="s">
        <v>70</v>
      </c>
      <c r="AX62" s="4" t="s">
        <v>70</v>
      </c>
      <c r="AY62" s="4" t="s">
        <v>72</v>
      </c>
      <c r="AZ62" s="4" t="s">
        <v>71</v>
      </c>
      <c r="BA62" s="4" t="s">
        <v>70</v>
      </c>
      <c r="BB62" s="4" t="s">
        <v>70</v>
      </c>
      <c r="BC62" s="4" t="s">
        <v>72</v>
      </c>
      <c r="BD62" s="4" t="s">
        <v>70</v>
      </c>
      <c r="BE62" s="4" t="s">
        <v>70</v>
      </c>
      <c r="BF62" s="4" t="s">
        <v>72</v>
      </c>
      <c r="BG62" s="4" t="s">
        <v>72</v>
      </c>
      <c r="BH62" s="4" t="s">
        <v>71</v>
      </c>
      <c r="BI62" s="4" t="s">
        <v>70</v>
      </c>
      <c r="BJ62" s="4" t="s">
        <v>73</v>
      </c>
      <c r="BK62" s="4" t="s">
        <v>70</v>
      </c>
      <c r="BL62" s="4" t="s">
        <v>72</v>
      </c>
      <c r="BM62" s="4" t="s">
        <v>71</v>
      </c>
      <c r="BN62" s="4" t="s">
        <v>71</v>
      </c>
      <c r="BO62" s="4" t="s">
        <v>73</v>
      </c>
      <c r="BP62" s="4" t="s">
        <v>71</v>
      </c>
      <c r="BQ62" s="4" t="s">
        <v>72</v>
      </c>
      <c r="BR62" s="4" t="s">
        <v>71</v>
      </c>
      <c r="BS62" s="4" t="s">
        <v>73</v>
      </c>
      <c r="BT62" s="4" t="s">
        <v>70</v>
      </c>
      <c r="BU62" s="4" t="s">
        <v>73</v>
      </c>
      <c r="BV62" s="4" t="s">
        <v>71</v>
      </c>
      <c r="BW62" s="4" t="s">
        <v>71</v>
      </c>
      <c r="BX62" s="4" t="s">
        <v>71</v>
      </c>
    </row>
    <row r="63" spans="1:76">
      <c r="A63" s="4" t="s">
        <v>182</v>
      </c>
      <c r="B63" s="4" t="s">
        <v>196</v>
      </c>
      <c r="C63" s="4" t="s">
        <v>197</v>
      </c>
      <c r="D63" s="4" t="s">
        <v>198</v>
      </c>
      <c r="E63" s="4" t="s">
        <v>70</v>
      </c>
      <c r="F63" s="4" t="s">
        <v>71</v>
      </c>
      <c r="G63" s="4" t="s">
        <v>71</v>
      </c>
      <c r="H63" s="4" t="s">
        <v>70</v>
      </c>
      <c r="I63" s="4" t="s">
        <v>73</v>
      </c>
      <c r="J63" s="4" t="s">
        <v>70</v>
      </c>
      <c r="K63" s="4" t="s">
        <v>73</v>
      </c>
      <c r="L63" s="4" t="s">
        <v>72</v>
      </c>
      <c r="M63" s="4" t="s">
        <v>70</v>
      </c>
      <c r="N63" s="4" t="s">
        <v>70</v>
      </c>
      <c r="O63" s="4" t="s">
        <v>72</v>
      </c>
      <c r="P63" s="4" t="s">
        <v>70</v>
      </c>
      <c r="Q63" s="4" t="s">
        <v>73</v>
      </c>
      <c r="R63" s="4" t="s">
        <v>73</v>
      </c>
      <c r="S63" s="4" t="s">
        <v>73</v>
      </c>
      <c r="T63" s="4" t="s">
        <v>72</v>
      </c>
      <c r="U63" s="4" t="s">
        <v>72</v>
      </c>
      <c r="V63" s="4" t="s">
        <v>70</v>
      </c>
      <c r="W63" s="4" t="s">
        <v>70</v>
      </c>
      <c r="X63" s="4" t="s">
        <v>72</v>
      </c>
      <c r="Y63" s="4" t="s">
        <v>70</v>
      </c>
      <c r="Z63" s="4" t="s">
        <v>73</v>
      </c>
      <c r="AA63" s="4" t="s">
        <v>71</v>
      </c>
      <c r="AB63" s="4" t="s">
        <v>73</v>
      </c>
      <c r="AC63" s="4" t="s">
        <v>71</v>
      </c>
      <c r="AD63" s="4" t="s">
        <v>73</v>
      </c>
      <c r="AE63" s="4" t="s">
        <v>71</v>
      </c>
      <c r="AF63" s="4" t="s">
        <v>72</v>
      </c>
      <c r="AG63" s="4" t="s">
        <v>73</v>
      </c>
      <c r="AH63" s="4" t="s">
        <v>70</v>
      </c>
      <c r="AI63" s="4" t="s">
        <v>71</v>
      </c>
      <c r="AJ63" s="4" t="s">
        <v>73</v>
      </c>
      <c r="AK63" s="4" t="s">
        <v>72</v>
      </c>
      <c r="AL63" s="4" t="s">
        <v>70</v>
      </c>
      <c r="AM63" s="4" t="s">
        <v>73</v>
      </c>
      <c r="AN63" s="4" t="s">
        <v>70</v>
      </c>
      <c r="AO63" s="4" t="s">
        <v>70</v>
      </c>
      <c r="AP63" s="4" t="s">
        <v>72</v>
      </c>
      <c r="AQ63" s="4" t="s">
        <v>70</v>
      </c>
      <c r="AR63" s="4" t="s">
        <v>71</v>
      </c>
      <c r="AS63" s="4" t="s">
        <v>72</v>
      </c>
      <c r="AT63" s="4" t="s">
        <v>73</v>
      </c>
      <c r="AU63" s="4" t="s">
        <v>70</v>
      </c>
      <c r="AV63" s="4" t="s">
        <v>71</v>
      </c>
      <c r="AW63" s="4" t="s">
        <v>70</v>
      </c>
      <c r="AX63" s="4" t="s">
        <v>71</v>
      </c>
      <c r="AY63" s="4" t="s">
        <v>70</v>
      </c>
      <c r="AZ63" s="4" t="s">
        <v>72</v>
      </c>
      <c r="BA63" s="4" t="s">
        <v>70</v>
      </c>
      <c r="BB63" s="4" t="s">
        <v>73</v>
      </c>
      <c r="BC63" s="4" t="s">
        <v>70</v>
      </c>
      <c r="BD63" s="4" t="s">
        <v>70</v>
      </c>
      <c r="BE63" s="4" t="s">
        <v>70</v>
      </c>
      <c r="BF63" s="4" t="s">
        <v>72</v>
      </c>
      <c r="BG63" s="4" t="s">
        <v>72</v>
      </c>
      <c r="BH63" s="4" t="s">
        <v>71</v>
      </c>
      <c r="BI63" s="4" t="s">
        <v>70</v>
      </c>
      <c r="BJ63" s="4" t="s">
        <v>73</v>
      </c>
      <c r="BK63" s="4" t="s">
        <v>70</v>
      </c>
      <c r="BL63" s="4" t="s">
        <v>72</v>
      </c>
      <c r="BM63" s="4" t="s">
        <v>71</v>
      </c>
      <c r="BN63" s="4" t="s">
        <v>71</v>
      </c>
      <c r="BO63" s="4" t="s">
        <v>71</v>
      </c>
      <c r="BP63" s="4" t="s">
        <v>72</v>
      </c>
      <c r="BQ63" s="4" t="s">
        <v>71</v>
      </c>
      <c r="BR63" s="4" t="s">
        <v>72</v>
      </c>
      <c r="BS63" s="4" t="s">
        <v>71</v>
      </c>
      <c r="BT63" s="4" t="s">
        <v>72</v>
      </c>
      <c r="BU63" s="4" t="s">
        <v>71</v>
      </c>
      <c r="BV63" s="4" t="s">
        <v>70</v>
      </c>
      <c r="BW63" s="4" t="s">
        <v>70</v>
      </c>
      <c r="BX63" s="4" t="s">
        <v>71</v>
      </c>
    </row>
    <row r="64" spans="1:76">
      <c r="A64" s="4" t="s">
        <v>182</v>
      </c>
      <c r="B64" s="4" t="s">
        <v>199</v>
      </c>
      <c r="C64" s="4" t="s">
        <v>200</v>
      </c>
      <c r="D64" s="4" t="s">
        <v>88</v>
      </c>
      <c r="E64" s="4" t="s">
        <v>70</v>
      </c>
      <c r="F64" s="4" t="s">
        <v>70</v>
      </c>
      <c r="G64" s="4" t="s">
        <v>71</v>
      </c>
      <c r="H64" s="4" t="s">
        <v>72</v>
      </c>
      <c r="I64" s="4" t="s">
        <v>73</v>
      </c>
      <c r="J64" s="4" t="s">
        <v>71</v>
      </c>
      <c r="K64" s="4" t="s">
        <v>70</v>
      </c>
      <c r="L64" s="4" t="s">
        <v>72</v>
      </c>
      <c r="M64" s="4" t="s">
        <v>73</v>
      </c>
      <c r="N64" s="4" t="s">
        <v>70</v>
      </c>
      <c r="O64" s="4" t="s">
        <v>71</v>
      </c>
      <c r="P64" s="4" t="s">
        <v>72</v>
      </c>
      <c r="Q64" s="4" t="s">
        <v>71</v>
      </c>
      <c r="R64" s="4" t="s">
        <v>73</v>
      </c>
      <c r="S64" s="4" t="s">
        <v>70</v>
      </c>
      <c r="T64" s="4" t="s">
        <v>72</v>
      </c>
      <c r="U64" s="4" t="s">
        <v>72</v>
      </c>
      <c r="V64" s="4" t="s">
        <v>70</v>
      </c>
      <c r="W64" s="4" t="s">
        <v>70</v>
      </c>
      <c r="X64" s="4" t="s">
        <v>72</v>
      </c>
      <c r="Y64" s="4" t="s">
        <v>73</v>
      </c>
      <c r="Z64" s="4" t="s">
        <v>70</v>
      </c>
      <c r="AA64" s="4" t="s">
        <v>73</v>
      </c>
      <c r="AB64" s="4" t="s">
        <v>70</v>
      </c>
      <c r="AC64" s="4" t="s">
        <v>71</v>
      </c>
      <c r="AD64" s="4" t="s">
        <v>73</v>
      </c>
      <c r="AE64" s="4" t="s">
        <v>71</v>
      </c>
      <c r="AF64" s="4" t="s">
        <v>73</v>
      </c>
      <c r="AG64" s="4" t="s">
        <v>72</v>
      </c>
      <c r="AH64" s="4" t="s">
        <v>71</v>
      </c>
      <c r="AI64" s="4" t="s">
        <v>73</v>
      </c>
      <c r="AJ64" s="4" t="s">
        <v>71</v>
      </c>
      <c r="AK64" s="4" t="s">
        <v>72</v>
      </c>
      <c r="AL64" s="4" t="s">
        <v>71</v>
      </c>
      <c r="AM64" s="4" t="s">
        <v>73</v>
      </c>
      <c r="AN64" s="4" t="s">
        <v>72</v>
      </c>
      <c r="AO64" s="4" t="s">
        <v>73</v>
      </c>
      <c r="AP64" s="4" t="s">
        <v>73</v>
      </c>
      <c r="AQ64" s="4" t="s">
        <v>72</v>
      </c>
      <c r="AR64" s="4" t="s">
        <v>70</v>
      </c>
      <c r="AS64" s="4" t="s">
        <v>73</v>
      </c>
      <c r="AT64" s="4" t="s">
        <v>72</v>
      </c>
      <c r="AU64" s="4" t="s">
        <v>70</v>
      </c>
      <c r="AV64" s="4" t="s">
        <v>70</v>
      </c>
      <c r="AW64" s="4" t="s">
        <v>70</v>
      </c>
      <c r="AX64" s="4" t="s">
        <v>70</v>
      </c>
      <c r="AY64" s="4" t="s">
        <v>72</v>
      </c>
      <c r="AZ64" s="4" t="s">
        <v>71</v>
      </c>
      <c r="BA64" s="4" t="s">
        <v>73</v>
      </c>
      <c r="BB64" s="4" t="s">
        <v>71</v>
      </c>
      <c r="BC64" s="4" t="s">
        <v>73</v>
      </c>
      <c r="BD64" s="4" t="s">
        <v>70</v>
      </c>
      <c r="BE64" s="4" t="s">
        <v>70</v>
      </c>
      <c r="BF64" s="4" t="s">
        <v>72</v>
      </c>
      <c r="BG64" s="4" t="s">
        <v>72</v>
      </c>
      <c r="BH64" s="4" t="s">
        <v>71</v>
      </c>
      <c r="BI64" s="4" t="s">
        <v>70</v>
      </c>
      <c r="BJ64" s="4" t="s">
        <v>73</v>
      </c>
      <c r="BK64" s="4" t="s">
        <v>73</v>
      </c>
      <c r="BL64" s="4" t="s">
        <v>72</v>
      </c>
      <c r="BM64" s="4" t="s">
        <v>71</v>
      </c>
      <c r="BN64" s="4" t="s">
        <v>71</v>
      </c>
      <c r="BO64" s="4" t="s">
        <v>71</v>
      </c>
      <c r="BP64" s="4" t="s">
        <v>70</v>
      </c>
      <c r="BQ64" s="4" t="s">
        <v>72</v>
      </c>
      <c r="BR64" s="4" t="s">
        <v>71</v>
      </c>
      <c r="BS64" s="4" t="s">
        <v>70</v>
      </c>
      <c r="BT64" s="4" t="s">
        <v>72</v>
      </c>
      <c r="BU64" s="4" t="s">
        <v>73</v>
      </c>
      <c r="BV64" s="4" t="s">
        <v>70</v>
      </c>
      <c r="BW64" s="4" t="s">
        <v>71</v>
      </c>
      <c r="BX64" s="4" t="s">
        <v>71</v>
      </c>
    </row>
    <row r="65" spans="1:76">
      <c r="A65" s="4" t="s">
        <v>182</v>
      </c>
      <c r="B65" s="4" t="s">
        <v>201</v>
      </c>
      <c r="C65" s="4" t="s">
        <v>141</v>
      </c>
      <c r="D65" s="4" t="s">
        <v>142</v>
      </c>
      <c r="E65" s="4" t="s">
        <v>70</v>
      </c>
      <c r="F65" s="4" t="s">
        <v>71</v>
      </c>
      <c r="G65" s="4" t="s">
        <v>71</v>
      </c>
      <c r="H65" s="4" t="s">
        <v>71</v>
      </c>
      <c r="I65" s="4" t="s">
        <v>70</v>
      </c>
      <c r="J65" s="4" t="s">
        <v>70</v>
      </c>
      <c r="K65" s="4" t="s">
        <v>73</v>
      </c>
      <c r="L65" s="4" t="s">
        <v>72</v>
      </c>
      <c r="M65" s="4" t="s">
        <v>73</v>
      </c>
      <c r="N65" s="4" t="s">
        <v>70</v>
      </c>
      <c r="O65" s="4" t="s">
        <v>71</v>
      </c>
      <c r="P65" s="4" t="s">
        <v>72</v>
      </c>
      <c r="Q65" s="4" t="s">
        <v>71</v>
      </c>
      <c r="R65" s="4" t="s">
        <v>73</v>
      </c>
      <c r="S65" s="4" t="s">
        <v>70</v>
      </c>
      <c r="T65" s="4" t="s">
        <v>72</v>
      </c>
      <c r="U65" s="4" t="s">
        <v>71</v>
      </c>
      <c r="V65" s="4" t="s">
        <v>70</v>
      </c>
      <c r="W65" s="4" t="s">
        <v>70</v>
      </c>
      <c r="X65" s="4" t="s">
        <v>70</v>
      </c>
      <c r="Y65" s="4" t="s">
        <v>73</v>
      </c>
      <c r="Z65" s="4" t="s">
        <v>70</v>
      </c>
      <c r="AA65" s="4" t="s">
        <v>73</v>
      </c>
      <c r="AB65" s="4" t="s">
        <v>70</v>
      </c>
      <c r="AC65" s="4" t="s">
        <v>71</v>
      </c>
      <c r="AD65" s="4" t="s">
        <v>73</v>
      </c>
      <c r="AE65" s="4" t="s">
        <v>70</v>
      </c>
      <c r="AF65" s="4" t="s">
        <v>73</v>
      </c>
      <c r="AG65" s="4" t="s">
        <v>70</v>
      </c>
      <c r="AH65" s="4" t="s">
        <v>70</v>
      </c>
      <c r="AI65" s="4" t="s">
        <v>73</v>
      </c>
      <c r="AJ65" s="4" t="s">
        <v>72</v>
      </c>
      <c r="AK65" s="4" t="s">
        <v>72</v>
      </c>
      <c r="AL65" s="4" t="s">
        <v>70</v>
      </c>
      <c r="AM65" s="4" t="s">
        <v>73</v>
      </c>
      <c r="AN65" s="4" t="s">
        <v>73</v>
      </c>
      <c r="AO65" s="4" t="s">
        <v>73</v>
      </c>
      <c r="AP65" s="4" t="s">
        <v>73</v>
      </c>
      <c r="AQ65" s="4" t="s">
        <v>72</v>
      </c>
      <c r="AR65" s="4" t="s">
        <v>71</v>
      </c>
      <c r="AS65" s="4" t="s">
        <v>71</v>
      </c>
      <c r="AT65" s="4" t="s">
        <v>72</v>
      </c>
      <c r="AU65" s="4" t="s">
        <v>71</v>
      </c>
      <c r="AV65" s="4" t="s">
        <v>70</v>
      </c>
      <c r="AW65" s="4" t="s">
        <v>72</v>
      </c>
      <c r="AX65" s="4" t="s">
        <v>70</v>
      </c>
      <c r="AY65" s="4" t="s">
        <v>72</v>
      </c>
      <c r="AZ65" s="4" t="s">
        <v>71</v>
      </c>
      <c r="BA65" s="4" t="s">
        <v>70</v>
      </c>
      <c r="BB65" s="4" t="s">
        <v>70</v>
      </c>
      <c r="BC65" s="4" t="s">
        <v>72</v>
      </c>
      <c r="BD65" s="4" t="s">
        <v>70</v>
      </c>
      <c r="BE65" s="4" t="s">
        <v>70</v>
      </c>
      <c r="BF65" s="4" t="s">
        <v>72</v>
      </c>
      <c r="BG65" s="4" t="s">
        <v>72</v>
      </c>
      <c r="BH65" s="4" t="s">
        <v>71</v>
      </c>
      <c r="BI65" s="4" t="s">
        <v>70</v>
      </c>
      <c r="BJ65" s="4" t="s">
        <v>73</v>
      </c>
      <c r="BK65" s="4" t="s">
        <v>72</v>
      </c>
      <c r="BL65" s="4" t="s">
        <v>72</v>
      </c>
      <c r="BM65" s="4" t="s">
        <v>71</v>
      </c>
      <c r="BN65" s="4" t="s">
        <v>71</v>
      </c>
      <c r="BO65" s="4" t="s">
        <v>70</v>
      </c>
      <c r="BP65" s="4" t="s">
        <v>71</v>
      </c>
      <c r="BQ65" s="4" t="s">
        <v>71</v>
      </c>
      <c r="BR65" s="4" t="s">
        <v>72</v>
      </c>
      <c r="BS65" s="4" t="s">
        <v>71</v>
      </c>
      <c r="BT65" s="4" t="s">
        <v>71</v>
      </c>
      <c r="BU65" s="4" t="s">
        <v>70</v>
      </c>
      <c r="BV65" s="4" t="s">
        <v>70</v>
      </c>
      <c r="BW65" s="4" t="s">
        <v>70</v>
      </c>
      <c r="BX65" s="4" t="s">
        <v>71</v>
      </c>
    </row>
    <row r="66" spans="1:76">
      <c r="A66" s="4" t="s">
        <v>182</v>
      </c>
      <c r="B66" s="4" t="s">
        <v>202</v>
      </c>
      <c r="C66" s="4" t="s">
        <v>120</v>
      </c>
      <c r="D66" s="4" t="s">
        <v>94</v>
      </c>
      <c r="E66" s="4" t="s">
        <v>71</v>
      </c>
      <c r="F66" s="4" t="s">
        <v>70</v>
      </c>
      <c r="G66" s="4" t="s">
        <v>70</v>
      </c>
      <c r="H66" s="4" t="s">
        <v>73</v>
      </c>
      <c r="I66" s="4" t="s">
        <v>71</v>
      </c>
      <c r="J66" s="4" t="s">
        <v>72</v>
      </c>
      <c r="K66" s="4" t="s">
        <v>70</v>
      </c>
      <c r="L66" s="4" t="s">
        <v>72</v>
      </c>
      <c r="M66" s="4" t="s">
        <v>73</v>
      </c>
      <c r="N66" s="4" t="s">
        <v>70</v>
      </c>
      <c r="O66" s="4" t="s">
        <v>71</v>
      </c>
      <c r="P66" s="4" t="s">
        <v>70</v>
      </c>
      <c r="Q66" s="4" t="s">
        <v>71</v>
      </c>
      <c r="R66" s="4" t="s">
        <v>73</v>
      </c>
      <c r="S66" s="4" t="s">
        <v>70</v>
      </c>
      <c r="T66" s="4" t="s">
        <v>71</v>
      </c>
      <c r="U66" s="4" t="s">
        <v>72</v>
      </c>
      <c r="V66" s="4" t="s">
        <v>70</v>
      </c>
      <c r="W66" s="4" t="s">
        <v>70</v>
      </c>
      <c r="X66" s="4" t="s">
        <v>72</v>
      </c>
      <c r="Y66" s="4" t="s">
        <v>73</v>
      </c>
      <c r="Z66" s="4" t="s">
        <v>70</v>
      </c>
      <c r="AA66" s="4" t="s">
        <v>71</v>
      </c>
      <c r="AB66" s="4" t="s">
        <v>70</v>
      </c>
      <c r="AC66" s="4" t="s">
        <v>71</v>
      </c>
      <c r="AD66" s="4" t="s">
        <v>73</v>
      </c>
      <c r="AE66" s="4" t="s">
        <v>71</v>
      </c>
      <c r="AF66" s="4" t="s">
        <v>71</v>
      </c>
      <c r="AG66" s="4" t="s">
        <v>70</v>
      </c>
      <c r="AH66" s="4" t="s">
        <v>72</v>
      </c>
      <c r="AI66" s="4" t="s">
        <v>71</v>
      </c>
      <c r="AJ66" s="4" t="s">
        <v>73</v>
      </c>
      <c r="AK66" s="4" t="s">
        <v>72</v>
      </c>
      <c r="AL66" s="4" t="s">
        <v>70</v>
      </c>
      <c r="AM66" s="4" t="s">
        <v>70</v>
      </c>
      <c r="AN66" s="4" t="s">
        <v>70</v>
      </c>
      <c r="AO66" s="4" t="s">
        <v>70</v>
      </c>
      <c r="AP66" s="4" t="s">
        <v>72</v>
      </c>
      <c r="AQ66" s="4" t="s">
        <v>70</v>
      </c>
      <c r="AR66" s="4" t="s">
        <v>72</v>
      </c>
      <c r="AS66" s="4" t="s">
        <v>71</v>
      </c>
      <c r="AT66" s="4" t="s">
        <v>70</v>
      </c>
      <c r="AU66" s="4" t="s">
        <v>70</v>
      </c>
      <c r="AV66" s="4" t="s">
        <v>70</v>
      </c>
      <c r="AW66" s="4" t="s">
        <v>70</v>
      </c>
      <c r="AX66" s="4" t="s">
        <v>70</v>
      </c>
      <c r="AY66" s="4" t="s">
        <v>72</v>
      </c>
      <c r="AZ66" s="4" t="s">
        <v>71</v>
      </c>
      <c r="BA66" s="4" t="s">
        <v>70</v>
      </c>
      <c r="BB66" s="4" t="s">
        <v>70</v>
      </c>
      <c r="BC66" s="4" t="s">
        <v>73</v>
      </c>
      <c r="BD66" s="4" t="s">
        <v>70</v>
      </c>
      <c r="BE66" s="4" t="s">
        <v>70</v>
      </c>
      <c r="BF66" s="4" t="s">
        <v>72</v>
      </c>
      <c r="BG66" s="4" t="s">
        <v>72</v>
      </c>
      <c r="BH66" s="4" t="s">
        <v>71</v>
      </c>
      <c r="BI66" s="4" t="s">
        <v>73</v>
      </c>
      <c r="BJ66" s="4" t="s">
        <v>73</v>
      </c>
      <c r="BK66" s="4" t="s">
        <v>73</v>
      </c>
      <c r="BL66" s="4" t="s">
        <v>72</v>
      </c>
      <c r="BM66" s="4" t="s">
        <v>71</v>
      </c>
      <c r="BN66" s="4" t="s">
        <v>71</v>
      </c>
      <c r="BO66" s="4" t="s">
        <v>72</v>
      </c>
      <c r="BP66" s="4" t="s">
        <v>71</v>
      </c>
      <c r="BQ66" s="4" t="s">
        <v>72</v>
      </c>
      <c r="BR66" s="4" t="s">
        <v>71</v>
      </c>
      <c r="BS66" s="4" t="s">
        <v>73</v>
      </c>
      <c r="BT66" s="4" t="s">
        <v>70</v>
      </c>
      <c r="BU66" s="4" t="s">
        <v>72</v>
      </c>
      <c r="BV66" s="4" t="s">
        <v>71</v>
      </c>
      <c r="BW66" s="4" t="s">
        <v>71</v>
      </c>
      <c r="BX66" s="4" t="s">
        <v>70</v>
      </c>
    </row>
    <row r="67" spans="1:76">
      <c r="A67" s="4" t="s">
        <v>182</v>
      </c>
      <c r="B67" s="4" t="s">
        <v>203</v>
      </c>
      <c r="C67" s="4" t="s">
        <v>120</v>
      </c>
      <c r="D67" s="4" t="s">
        <v>144</v>
      </c>
      <c r="E67" s="4" t="s">
        <v>71</v>
      </c>
      <c r="F67" s="4" t="s">
        <v>70</v>
      </c>
      <c r="G67" s="4" t="s">
        <v>70</v>
      </c>
      <c r="H67" s="4" t="s">
        <v>72</v>
      </c>
      <c r="I67" s="4" t="s">
        <v>70</v>
      </c>
      <c r="J67" s="4" t="s">
        <v>73</v>
      </c>
      <c r="K67" s="4" t="s">
        <v>73</v>
      </c>
      <c r="L67" s="4" t="s">
        <v>72</v>
      </c>
      <c r="M67" s="4" t="s">
        <v>73</v>
      </c>
      <c r="N67" s="4" t="s">
        <v>70</v>
      </c>
      <c r="O67" s="4" t="s">
        <v>71</v>
      </c>
      <c r="P67" s="4" t="s">
        <v>70</v>
      </c>
      <c r="Q67" s="4" t="s">
        <v>71</v>
      </c>
      <c r="R67" s="4" t="s">
        <v>73</v>
      </c>
      <c r="S67" s="4" t="s">
        <v>70</v>
      </c>
      <c r="T67" s="4" t="s">
        <v>72</v>
      </c>
      <c r="U67" s="4" t="s">
        <v>72</v>
      </c>
      <c r="V67" s="4" t="s">
        <v>70</v>
      </c>
      <c r="W67" s="4" t="s">
        <v>70</v>
      </c>
      <c r="X67" s="4" t="s">
        <v>72</v>
      </c>
      <c r="Y67" s="4" t="s">
        <v>73</v>
      </c>
      <c r="Z67" s="4" t="s">
        <v>70</v>
      </c>
      <c r="AA67" s="4" t="s">
        <v>71</v>
      </c>
      <c r="AB67" s="4" t="s">
        <v>70</v>
      </c>
      <c r="AC67" s="4" t="s">
        <v>71</v>
      </c>
      <c r="AD67" s="4" t="s">
        <v>73</v>
      </c>
      <c r="AE67" s="4" t="s">
        <v>72</v>
      </c>
      <c r="AF67" s="4" t="s">
        <v>71</v>
      </c>
      <c r="AG67" s="4" t="s">
        <v>72</v>
      </c>
      <c r="AH67" s="4" t="s">
        <v>70</v>
      </c>
      <c r="AI67" s="4" t="s">
        <v>70</v>
      </c>
      <c r="AJ67" s="4" t="s">
        <v>72</v>
      </c>
      <c r="AK67" s="4" t="s">
        <v>72</v>
      </c>
      <c r="AL67" s="4" t="s">
        <v>72</v>
      </c>
      <c r="AM67" s="4" t="s">
        <v>70</v>
      </c>
      <c r="AN67" s="4" t="s">
        <v>70</v>
      </c>
      <c r="AO67" s="4" t="s">
        <v>70</v>
      </c>
      <c r="AP67" s="4" t="s">
        <v>73</v>
      </c>
      <c r="AQ67" s="4" t="s">
        <v>71</v>
      </c>
      <c r="AR67" s="4" t="s">
        <v>71</v>
      </c>
      <c r="AS67" s="4" t="s">
        <v>73</v>
      </c>
      <c r="AT67" s="4" t="s">
        <v>70</v>
      </c>
      <c r="AU67" s="4" t="s">
        <v>73</v>
      </c>
      <c r="AV67" s="4" t="s">
        <v>70</v>
      </c>
      <c r="AW67" s="4" t="s">
        <v>70</v>
      </c>
      <c r="AX67" s="4" t="s">
        <v>70</v>
      </c>
      <c r="AY67" s="4" t="s">
        <v>72</v>
      </c>
      <c r="AZ67" s="4" t="s">
        <v>71</v>
      </c>
      <c r="BA67" s="4" t="s">
        <v>70</v>
      </c>
      <c r="BB67" s="4" t="s">
        <v>70</v>
      </c>
      <c r="BC67" s="4" t="s">
        <v>70</v>
      </c>
      <c r="BD67" s="4" t="s">
        <v>70</v>
      </c>
      <c r="BE67" s="4" t="s">
        <v>70</v>
      </c>
      <c r="BF67" s="4" t="s">
        <v>72</v>
      </c>
      <c r="BG67" s="4" t="s">
        <v>72</v>
      </c>
      <c r="BH67" s="4" t="s">
        <v>71</v>
      </c>
      <c r="BI67" s="4" t="s">
        <v>70</v>
      </c>
      <c r="BJ67" s="4" t="s">
        <v>73</v>
      </c>
      <c r="BK67" s="4" t="s">
        <v>73</v>
      </c>
      <c r="BL67" s="4" t="s">
        <v>72</v>
      </c>
      <c r="BM67" s="4" t="s">
        <v>71</v>
      </c>
      <c r="BN67" s="4" t="s">
        <v>71</v>
      </c>
      <c r="BO67" s="4" t="s">
        <v>71</v>
      </c>
      <c r="BP67" s="4" t="s">
        <v>72</v>
      </c>
      <c r="BQ67" s="4" t="s">
        <v>71</v>
      </c>
      <c r="BR67" s="4" t="s">
        <v>72</v>
      </c>
      <c r="BS67" s="4" t="s">
        <v>72</v>
      </c>
      <c r="BT67" s="4" t="s">
        <v>71</v>
      </c>
      <c r="BU67" s="4" t="s">
        <v>73</v>
      </c>
      <c r="BV67" s="4" t="s">
        <v>71</v>
      </c>
      <c r="BW67" s="4" t="s">
        <v>71</v>
      </c>
      <c r="BX67" s="4" t="s">
        <v>70</v>
      </c>
    </row>
    <row r="68" spans="1:76">
      <c r="A68" s="4" t="s">
        <v>182</v>
      </c>
      <c r="B68" s="4" t="s">
        <v>204</v>
      </c>
      <c r="C68" s="4" t="s">
        <v>122</v>
      </c>
      <c r="D68" s="4" t="s">
        <v>205</v>
      </c>
      <c r="E68" s="4" t="s">
        <v>70</v>
      </c>
      <c r="F68" s="4" t="s">
        <v>70</v>
      </c>
      <c r="G68" s="4" t="s">
        <v>73</v>
      </c>
      <c r="H68" s="4" t="s">
        <v>70</v>
      </c>
      <c r="I68" s="4" t="s">
        <v>73</v>
      </c>
      <c r="J68" s="4" t="s">
        <v>70</v>
      </c>
      <c r="K68" s="4" t="s">
        <v>73</v>
      </c>
      <c r="L68" s="4" t="s">
        <v>72</v>
      </c>
      <c r="M68" s="4" t="s">
        <v>70</v>
      </c>
      <c r="N68" s="4" t="s">
        <v>70</v>
      </c>
      <c r="O68" s="4" t="s">
        <v>71</v>
      </c>
      <c r="P68" s="4" t="s">
        <v>72</v>
      </c>
      <c r="Q68" s="4" t="s">
        <v>70</v>
      </c>
      <c r="R68" s="4" t="s">
        <v>73</v>
      </c>
      <c r="S68" s="4" t="s">
        <v>70</v>
      </c>
      <c r="T68" s="10" t="s">
        <v>77</v>
      </c>
      <c r="U68" s="4" t="s">
        <v>72</v>
      </c>
      <c r="V68" s="4" t="s">
        <v>70</v>
      </c>
      <c r="W68" s="4" t="s">
        <v>70</v>
      </c>
      <c r="X68" s="4" t="s">
        <v>72</v>
      </c>
      <c r="Y68" s="4" t="s">
        <v>73</v>
      </c>
      <c r="Z68" s="4" t="s">
        <v>73</v>
      </c>
      <c r="AA68" s="4" t="s">
        <v>73</v>
      </c>
      <c r="AB68" s="4" t="s">
        <v>70</v>
      </c>
      <c r="AC68" s="4" t="s">
        <v>71</v>
      </c>
      <c r="AD68" s="4" t="s">
        <v>73</v>
      </c>
      <c r="AE68" s="4" t="s">
        <v>71</v>
      </c>
      <c r="AF68" s="4" t="s">
        <v>71</v>
      </c>
      <c r="AG68" s="4" t="s">
        <v>70</v>
      </c>
      <c r="AH68" s="4" t="s">
        <v>70</v>
      </c>
      <c r="AI68" s="4" t="s">
        <v>72</v>
      </c>
      <c r="AJ68" s="4" t="s">
        <v>71</v>
      </c>
      <c r="AK68" s="4" t="s">
        <v>72</v>
      </c>
      <c r="AL68" s="4" t="s">
        <v>72</v>
      </c>
      <c r="AM68" s="4" t="s">
        <v>70</v>
      </c>
      <c r="AN68" s="4" t="s">
        <v>73</v>
      </c>
      <c r="AO68" s="4" t="s">
        <v>73</v>
      </c>
      <c r="AP68" s="4" t="s">
        <v>73</v>
      </c>
      <c r="AQ68" s="4" t="s">
        <v>73</v>
      </c>
      <c r="AR68" s="4" t="s">
        <v>71</v>
      </c>
      <c r="AS68" s="4" t="s">
        <v>71</v>
      </c>
      <c r="AT68" s="4" t="s">
        <v>70</v>
      </c>
      <c r="AU68" s="4" t="s">
        <v>70</v>
      </c>
      <c r="AV68" s="4" t="s">
        <v>71</v>
      </c>
      <c r="AW68" s="4" t="s">
        <v>70</v>
      </c>
      <c r="AX68" s="4" t="s">
        <v>73</v>
      </c>
      <c r="AY68" s="4" t="s">
        <v>71</v>
      </c>
      <c r="AZ68" s="4" t="s">
        <v>71</v>
      </c>
      <c r="BA68" s="4" t="s">
        <v>72</v>
      </c>
      <c r="BB68" s="4" t="s">
        <v>73</v>
      </c>
      <c r="BC68" s="4" t="s">
        <v>70</v>
      </c>
      <c r="BD68" s="4" t="s">
        <v>70</v>
      </c>
      <c r="BE68" s="4" t="s">
        <v>70</v>
      </c>
      <c r="BF68" s="4" t="s">
        <v>72</v>
      </c>
      <c r="BG68" s="4" t="s">
        <v>72</v>
      </c>
      <c r="BH68" s="4" t="s">
        <v>71</v>
      </c>
      <c r="BI68" s="4" t="s">
        <v>73</v>
      </c>
      <c r="BJ68" s="4" t="s">
        <v>73</v>
      </c>
      <c r="BK68" s="4" t="s">
        <v>73</v>
      </c>
      <c r="BL68" s="4" t="s">
        <v>72</v>
      </c>
      <c r="BM68" s="4" t="s">
        <v>71</v>
      </c>
      <c r="BN68" s="4" t="s">
        <v>71</v>
      </c>
      <c r="BO68" s="4" t="s">
        <v>71</v>
      </c>
      <c r="BP68" s="4" t="s">
        <v>72</v>
      </c>
      <c r="BQ68" s="4" t="s">
        <v>73</v>
      </c>
      <c r="BR68" s="4" t="s">
        <v>72</v>
      </c>
      <c r="BS68" s="4" t="s">
        <v>71</v>
      </c>
      <c r="BT68" s="4" t="s">
        <v>72</v>
      </c>
      <c r="BU68" s="4" t="s">
        <v>71</v>
      </c>
      <c r="BV68" s="4" t="s">
        <v>72</v>
      </c>
      <c r="BW68" s="4" t="s">
        <v>71</v>
      </c>
      <c r="BX68" s="4" t="s">
        <v>71</v>
      </c>
    </row>
    <row r="69" spans="1:76">
      <c r="A69" s="4" t="s">
        <v>182</v>
      </c>
      <c r="B69" s="4" t="s">
        <v>206</v>
      </c>
      <c r="C69" s="4" t="s">
        <v>125</v>
      </c>
      <c r="D69" s="4" t="s">
        <v>126</v>
      </c>
      <c r="E69" s="4" t="s">
        <v>70</v>
      </c>
      <c r="F69" s="4" t="s">
        <v>71</v>
      </c>
      <c r="G69" s="4" t="s">
        <v>72</v>
      </c>
      <c r="H69" s="4" t="s">
        <v>70</v>
      </c>
      <c r="I69" s="4" t="s">
        <v>73</v>
      </c>
      <c r="J69" s="4" t="s">
        <v>72</v>
      </c>
      <c r="K69" s="4" t="s">
        <v>73</v>
      </c>
      <c r="L69" s="4" t="s">
        <v>72</v>
      </c>
      <c r="M69" s="4" t="s">
        <v>73</v>
      </c>
      <c r="N69" s="4" t="s">
        <v>70</v>
      </c>
      <c r="O69" s="4" t="s">
        <v>71</v>
      </c>
      <c r="P69" s="4" t="s">
        <v>72</v>
      </c>
      <c r="Q69" s="4" t="s">
        <v>71</v>
      </c>
      <c r="R69" s="4" t="s">
        <v>73</v>
      </c>
      <c r="S69" s="4" t="s">
        <v>70</v>
      </c>
      <c r="T69" s="4" t="s">
        <v>73</v>
      </c>
      <c r="U69" s="4" t="s">
        <v>72</v>
      </c>
      <c r="V69" s="4" t="s">
        <v>70</v>
      </c>
      <c r="W69" s="4" t="s">
        <v>70</v>
      </c>
      <c r="X69" s="4" t="s">
        <v>72</v>
      </c>
      <c r="Y69" s="4" t="s">
        <v>73</v>
      </c>
      <c r="Z69" s="4" t="s">
        <v>70</v>
      </c>
      <c r="AA69" s="4" t="s">
        <v>73</v>
      </c>
      <c r="AB69" s="4" t="s">
        <v>70</v>
      </c>
      <c r="AC69" s="4" t="s">
        <v>71</v>
      </c>
      <c r="AD69" s="4" t="s">
        <v>70</v>
      </c>
      <c r="AE69" s="4" t="s">
        <v>71</v>
      </c>
      <c r="AF69" s="4" t="s">
        <v>73</v>
      </c>
      <c r="AG69" s="4" t="s">
        <v>72</v>
      </c>
      <c r="AH69" s="4" t="s">
        <v>71</v>
      </c>
      <c r="AI69" s="4" t="s">
        <v>71</v>
      </c>
      <c r="AJ69" s="4" t="s">
        <v>72</v>
      </c>
      <c r="AK69" s="4" t="s">
        <v>72</v>
      </c>
      <c r="AL69" s="4" t="s">
        <v>70</v>
      </c>
      <c r="AM69" s="4" t="s">
        <v>70</v>
      </c>
      <c r="AN69" s="4" t="s">
        <v>72</v>
      </c>
      <c r="AO69" s="4" t="s">
        <v>73</v>
      </c>
      <c r="AP69" s="4" t="s">
        <v>73</v>
      </c>
      <c r="AQ69" s="4" t="s">
        <v>70</v>
      </c>
      <c r="AR69" s="4" t="s">
        <v>70</v>
      </c>
      <c r="AS69" s="4" t="s">
        <v>73</v>
      </c>
      <c r="AT69" s="4" t="s">
        <v>72</v>
      </c>
      <c r="AU69" s="4" t="s">
        <v>70</v>
      </c>
      <c r="AV69" s="4" t="s">
        <v>73</v>
      </c>
      <c r="AW69" s="4" t="s">
        <v>70</v>
      </c>
      <c r="AX69" s="4" t="s">
        <v>70</v>
      </c>
      <c r="AY69" s="4" t="s">
        <v>72</v>
      </c>
      <c r="AZ69" s="4" t="s">
        <v>71</v>
      </c>
      <c r="BA69" s="4" t="s">
        <v>70</v>
      </c>
      <c r="BB69" s="4" t="s">
        <v>70</v>
      </c>
      <c r="BC69" s="4" t="s">
        <v>71</v>
      </c>
      <c r="BD69" s="4" t="s">
        <v>73</v>
      </c>
      <c r="BE69" s="4" t="s">
        <v>70</v>
      </c>
      <c r="BF69" s="4" t="s">
        <v>72</v>
      </c>
      <c r="BG69" s="4" t="s">
        <v>72</v>
      </c>
      <c r="BH69" s="4" t="s">
        <v>71</v>
      </c>
      <c r="BI69" s="4" t="s">
        <v>70</v>
      </c>
      <c r="BJ69" s="4" t="s">
        <v>73</v>
      </c>
      <c r="BK69" s="4" t="s">
        <v>72</v>
      </c>
      <c r="BL69" s="4" t="s">
        <v>72</v>
      </c>
      <c r="BM69" s="4" t="s">
        <v>71</v>
      </c>
      <c r="BN69" s="4" t="s">
        <v>72</v>
      </c>
      <c r="BO69" s="4" t="s">
        <v>70</v>
      </c>
      <c r="BP69" s="4" t="s">
        <v>71</v>
      </c>
      <c r="BQ69" s="4" t="s">
        <v>71</v>
      </c>
      <c r="BR69" s="4" t="s">
        <v>72</v>
      </c>
      <c r="BS69" s="4" t="s">
        <v>73</v>
      </c>
      <c r="BT69" s="4" t="s">
        <v>72</v>
      </c>
      <c r="BU69" s="4" t="s">
        <v>71</v>
      </c>
      <c r="BV69" s="4" t="s">
        <v>73</v>
      </c>
      <c r="BW69" s="4" t="s">
        <v>70</v>
      </c>
      <c r="BX69" s="4" t="s">
        <v>71</v>
      </c>
    </row>
    <row r="70" spans="1:76">
      <c r="A70" s="4" t="s">
        <v>182</v>
      </c>
      <c r="B70" s="4" t="s">
        <v>207</v>
      </c>
      <c r="C70" s="4" t="s">
        <v>125</v>
      </c>
      <c r="D70" s="4" t="s">
        <v>208</v>
      </c>
      <c r="E70" s="4" t="s">
        <v>70</v>
      </c>
      <c r="F70" s="4" t="s">
        <v>71</v>
      </c>
      <c r="G70" s="4" t="s">
        <v>71</v>
      </c>
      <c r="H70" s="4" t="s">
        <v>70</v>
      </c>
      <c r="I70" s="4" t="s">
        <v>73</v>
      </c>
      <c r="J70" s="4" t="s">
        <v>71</v>
      </c>
      <c r="K70" s="4" t="s">
        <v>72</v>
      </c>
      <c r="L70" s="4" t="s">
        <v>72</v>
      </c>
      <c r="M70" s="4" t="s">
        <v>73</v>
      </c>
      <c r="N70" s="4" t="s">
        <v>70</v>
      </c>
      <c r="O70" s="4" t="s">
        <v>71</v>
      </c>
      <c r="P70" s="4" t="s">
        <v>72</v>
      </c>
      <c r="Q70" s="4" t="s">
        <v>71</v>
      </c>
      <c r="R70" s="4" t="s">
        <v>73</v>
      </c>
      <c r="S70" s="4" t="s">
        <v>70</v>
      </c>
      <c r="T70" s="4" t="s">
        <v>72</v>
      </c>
      <c r="U70" s="4" t="s">
        <v>73</v>
      </c>
      <c r="V70" s="4" t="s">
        <v>70</v>
      </c>
      <c r="W70" s="4" t="s">
        <v>70</v>
      </c>
      <c r="X70" s="4" t="s">
        <v>72</v>
      </c>
      <c r="Y70" s="4" t="s">
        <v>73</v>
      </c>
      <c r="Z70" s="4" t="s">
        <v>70</v>
      </c>
      <c r="AA70" s="4" t="s">
        <v>73</v>
      </c>
      <c r="AB70" s="4" t="s">
        <v>70</v>
      </c>
      <c r="AC70" s="4" t="s">
        <v>71</v>
      </c>
      <c r="AD70" s="4" t="s">
        <v>73</v>
      </c>
      <c r="AE70" s="4" t="s">
        <v>73</v>
      </c>
      <c r="AF70" s="4" t="s">
        <v>71</v>
      </c>
      <c r="AG70" s="4" t="s">
        <v>72</v>
      </c>
      <c r="AH70" s="4" t="s">
        <v>70</v>
      </c>
      <c r="AI70" s="4" t="s">
        <v>73</v>
      </c>
      <c r="AJ70" s="4" t="s">
        <v>71</v>
      </c>
      <c r="AK70" s="4" t="s">
        <v>72</v>
      </c>
      <c r="AL70" s="4" t="s">
        <v>72</v>
      </c>
      <c r="AM70" s="4" t="s">
        <v>70</v>
      </c>
      <c r="AN70" s="4" t="s">
        <v>72</v>
      </c>
      <c r="AO70" s="4" t="s">
        <v>73</v>
      </c>
      <c r="AP70" s="4" t="s">
        <v>73</v>
      </c>
      <c r="AQ70" s="4" t="s">
        <v>72</v>
      </c>
      <c r="AR70" s="4" t="s">
        <v>71</v>
      </c>
      <c r="AS70" s="4" t="s">
        <v>73</v>
      </c>
      <c r="AT70" s="4" t="s">
        <v>70</v>
      </c>
      <c r="AU70" s="4" t="s">
        <v>72</v>
      </c>
      <c r="AV70" s="4" t="s">
        <v>73</v>
      </c>
      <c r="AW70" s="4" t="s">
        <v>70</v>
      </c>
      <c r="AX70" s="4" t="s">
        <v>70</v>
      </c>
      <c r="AY70" s="4" t="s">
        <v>72</v>
      </c>
      <c r="AZ70" s="4" t="s">
        <v>71</v>
      </c>
      <c r="BA70" s="4" t="s">
        <v>73</v>
      </c>
      <c r="BB70" s="4" t="s">
        <v>71</v>
      </c>
      <c r="BC70" s="4" t="s">
        <v>71</v>
      </c>
      <c r="BD70" s="4" t="s">
        <v>73</v>
      </c>
      <c r="BE70" s="4" t="s">
        <v>70</v>
      </c>
      <c r="BF70" s="4" t="s">
        <v>72</v>
      </c>
      <c r="BG70" s="4" t="s">
        <v>72</v>
      </c>
      <c r="BH70" s="4" t="s">
        <v>71</v>
      </c>
      <c r="BI70" s="4" t="s">
        <v>70</v>
      </c>
      <c r="BJ70" s="4" t="s">
        <v>73</v>
      </c>
      <c r="BK70" s="4" t="s">
        <v>72</v>
      </c>
      <c r="BL70" s="4" t="s">
        <v>72</v>
      </c>
      <c r="BM70" s="4" t="s">
        <v>71</v>
      </c>
      <c r="BN70" s="4" t="s">
        <v>71</v>
      </c>
      <c r="BO70" s="4" t="s">
        <v>70</v>
      </c>
      <c r="BP70" s="4" t="s">
        <v>70</v>
      </c>
      <c r="BQ70" s="4" t="s">
        <v>72</v>
      </c>
      <c r="BR70" s="4" t="s">
        <v>73</v>
      </c>
      <c r="BS70" s="4" t="s">
        <v>70</v>
      </c>
      <c r="BT70" s="4" t="s">
        <v>72</v>
      </c>
      <c r="BU70" s="4" t="s">
        <v>71</v>
      </c>
      <c r="BV70" s="4" t="s">
        <v>70</v>
      </c>
      <c r="BW70" s="4" t="s">
        <v>70</v>
      </c>
      <c r="BX70" s="4" t="s">
        <v>71</v>
      </c>
    </row>
    <row r="71" spans="1:76">
      <c r="A71" s="4" t="s">
        <v>182</v>
      </c>
      <c r="B71" s="4" t="s">
        <v>209</v>
      </c>
      <c r="C71" s="4" t="s">
        <v>125</v>
      </c>
      <c r="D71" s="4" t="s">
        <v>208</v>
      </c>
      <c r="E71" s="4" t="s">
        <v>70</v>
      </c>
      <c r="F71" s="4" t="s">
        <v>71</v>
      </c>
      <c r="G71" s="4" t="s">
        <v>71</v>
      </c>
      <c r="H71" s="4" t="s">
        <v>70</v>
      </c>
      <c r="I71" s="4" t="s">
        <v>70</v>
      </c>
      <c r="J71" s="4" t="s">
        <v>71</v>
      </c>
      <c r="K71" s="4" t="s">
        <v>72</v>
      </c>
      <c r="L71" s="4" t="s">
        <v>72</v>
      </c>
      <c r="M71" s="4" t="s">
        <v>73</v>
      </c>
      <c r="N71" s="4" t="s">
        <v>70</v>
      </c>
      <c r="O71" s="4" t="s">
        <v>71</v>
      </c>
      <c r="P71" s="4" t="s">
        <v>72</v>
      </c>
      <c r="Q71" s="4" t="s">
        <v>71</v>
      </c>
      <c r="R71" s="4" t="s">
        <v>73</v>
      </c>
      <c r="S71" s="4" t="s">
        <v>70</v>
      </c>
      <c r="T71" s="4" t="s">
        <v>72</v>
      </c>
      <c r="U71" s="4" t="s">
        <v>73</v>
      </c>
      <c r="V71" s="4" t="s">
        <v>70</v>
      </c>
      <c r="W71" s="4" t="s">
        <v>70</v>
      </c>
      <c r="X71" s="4" t="s">
        <v>72</v>
      </c>
      <c r="Y71" s="4" t="s">
        <v>73</v>
      </c>
      <c r="Z71" s="4" t="s">
        <v>70</v>
      </c>
      <c r="AA71" s="4" t="s">
        <v>73</v>
      </c>
      <c r="AB71" s="4" t="s">
        <v>70</v>
      </c>
      <c r="AC71" s="4" t="s">
        <v>71</v>
      </c>
      <c r="AD71" s="4" t="s">
        <v>73</v>
      </c>
      <c r="AE71" s="4" t="s">
        <v>73</v>
      </c>
      <c r="AF71" s="4" t="s">
        <v>71</v>
      </c>
      <c r="AG71" s="4" t="s">
        <v>72</v>
      </c>
      <c r="AH71" s="4" t="s">
        <v>70</v>
      </c>
      <c r="AI71" s="4" t="s">
        <v>73</v>
      </c>
      <c r="AJ71" s="4" t="s">
        <v>71</v>
      </c>
      <c r="AK71" s="4" t="s">
        <v>72</v>
      </c>
      <c r="AL71" s="4" t="s">
        <v>72</v>
      </c>
      <c r="AM71" s="4" t="s">
        <v>70</v>
      </c>
      <c r="AN71" s="4" t="s">
        <v>72</v>
      </c>
      <c r="AO71" s="4" t="s">
        <v>73</v>
      </c>
      <c r="AP71" s="4" t="s">
        <v>73</v>
      </c>
      <c r="AQ71" s="4" t="s">
        <v>72</v>
      </c>
      <c r="AR71" s="4" t="s">
        <v>71</v>
      </c>
      <c r="AS71" s="4" t="s">
        <v>73</v>
      </c>
      <c r="AT71" s="4" t="s">
        <v>70</v>
      </c>
      <c r="AU71" s="4" t="s">
        <v>72</v>
      </c>
      <c r="AV71" s="4" t="s">
        <v>73</v>
      </c>
      <c r="AW71" s="4" t="s">
        <v>70</v>
      </c>
      <c r="AX71" s="4" t="s">
        <v>70</v>
      </c>
      <c r="AY71" s="4" t="s">
        <v>72</v>
      </c>
      <c r="AZ71" s="4" t="s">
        <v>71</v>
      </c>
      <c r="BA71" s="4" t="s">
        <v>70</v>
      </c>
      <c r="BB71" s="4" t="s">
        <v>71</v>
      </c>
      <c r="BC71" s="4" t="s">
        <v>71</v>
      </c>
      <c r="BD71" s="4" t="s">
        <v>73</v>
      </c>
      <c r="BE71" s="4" t="s">
        <v>70</v>
      </c>
      <c r="BF71" s="4" t="s">
        <v>72</v>
      </c>
      <c r="BG71" s="4" t="s">
        <v>72</v>
      </c>
      <c r="BH71" s="4" t="s">
        <v>71</v>
      </c>
      <c r="BI71" s="4" t="s">
        <v>70</v>
      </c>
      <c r="BJ71" s="4" t="s">
        <v>73</v>
      </c>
      <c r="BK71" s="4" t="s">
        <v>72</v>
      </c>
      <c r="BL71" s="4" t="s">
        <v>72</v>
      </c>
      <c r="BM71" s="4" t="s">
        <v>71</v>
      </c>
      <c r="BN71" s="4" t="s">
        <v>71</v>
      </c>
      <c r="BO71" s="4" t="s">
        <v>70</v>
      </c>
      <c r="BP71" s="4" t="s">
        <v>70</v>
      </c>
      <c r="BQ71" s="4" t="s">
        <v>71</v>
      </c>
      <c r="BR71" s="4" t="s">
        <v>73</v>
      </c>
      <c r="BS71" s="4" t="s">
        <v>70</v>
      </c>
      <c r="BT71" s="4" t="s">
        <v>71</v>
      </c>
      <c r="BU71" s="4" t="s">
        <v>71</v>
      </c>
      <c r="BV71" s="4" t="s">
        <v>70</v>
      </c>
      <c r="BW71" s="4" t="s">
        <v>70</v>
      </c>
      <c r="BX71" s="4" t="s">
        <v>71</v>
      </c>
    </row>
    <row r="72" spans="1:76">
      <c r="A72" s="4" t="s">
        <v>182</v>
      </c>
      <c r="B72" s="4" t="s">
        <v>210</v>
      </c>
      <c r="C72" s="4" t="s">
        <v>211</v>
      </c>
      <c r="D72" s="4" t="s">
        <v>212</v>
      </c>
      <c r="E72" s="4" t="s">
        <v>73</v>
      </c>
      <c r="F72" s="4" t="s">
        <v>70</v>
      </c>
      <c r="G72" s="4" t="s">
        <v>70</v>
      </c>
      <c r="H72" s="4" t="s">
        <v>70</v>
      </c>
      <c r="I72" s="4" t="s">
        <v>70</v>
      </c>
      <c r="J72" s="4" t="s">
        <v>72</v>
      </c>
      <c r="K72" s="4" t="s">
        <v>70</v>
      </c>
      <c r="L72" s="4" t="s">
        <v>72</v>
      </c>
      <c r="M72" s="4" t="s">
        <v>73</v>
      </c>
      <c r="N72" s="4" t="s">
        <v>70</v>
      </c>
      <c r="O72" s="4" t="s">
        <v>71</v>
      </c>
      <c r="P72" s="4" t="s">
        <v>72</v>
      </c>
      <c r="Q72" s="4" t="s">
        <v>71</v>
      </c>
      <c r="R72" s="4" t="s">
        <v>71</v>
      </c>
      <c r="S72" s="4" t="s">
        <v>73</v>
      </c>
      <c r="T72" s="4" t="s">
        <v>73</v>
      </c>
      <c r="U72" s="4" t="s">
        <v>72</v>
      </c>
      <c r="V72" s="4" t="s">
        <v>70</v>
      </c>
      <c r="W72" s="4" t="s">
        <v>70</v>
      </c>
      <c r="X72" s="4" t="s">
        <v>71</v>
      </c>
      <c r="Y72" s="4" t="s">
        <v>73</v>
      </c>
      <c r="Z72" s="4" t="s">
        <v>70</v>
      </c>
      <c r="AA72" s="4" t="s">
        <v>73</v>
      </c>
      <c r="AB72" s="4" t="s">
        <v>70</v>
      </c>
      <c r="AC72" s="4" t="s">
        <v>71</v>
      </c>
      <c r="AD72" s="4" t="s">
        <v>73</v>
      </c>
      <c r="AE72" s="4" t="s">
        <v>70</v>
      </c>
      <c r="AF72" s="4" t="s">
        <v>71</v>
      </c>
      <c r="AG72" s="4" t="s">
        <v>70</v>
      </c>
      <c r="AH72" s="4" t="s">
        <v>70</v>
      </c>
      <c r="AI72" s="4" t="s">
        <v>73</v>
      </c>
      <c r="AJ72" s="4" t="s">
        <v>72</v>
      </c>
      <c r="AK72" s="4" t="s">
        <v>72</v>
      </c>
      <c r="AL72" s="4" t="s">
        <v>71</v>
      </c>
      <c r="AM72" s="4" t="s">
        <v>71</v>
      </c>
      <c r="AN72" s="4" t="s">
        <v>73</v>
      </c>
      <c r="AO72" s="4" t="s">
        <v>73</v>
      </c>
      <c r="AP72" s="4" t="s">
        <v>73</v>
      </c>
      <c r="AQ72" s="4" t="s">
        <v>72</v>
      </c>
      <c r="AR72" s="4" t="s">
        <v>71</v>
      </c>
      <c r="AS72" s="4" t="s">
        <v>71</v>
      </c>
      <c r="AT72" s="4" t="s">
        <v>70</v>
      </c>
      <c r="AU72" s="4" t="s">
        <v>71</v>
      </c>
      <c r="AV72" s="4" t="s">
        <v>70</v>
      </c>
      <c r="AW72" s="4" t="s">
        <v>72</v>
      </c>
      <c r="AX72" s="4" t="s">
        <v>70</v>
      </c>
      <c r="AY72" s="4" t="s">
        <v>72</v>
      </c>
      <c r="AZ72" s="4" t="s">
        <v>72</v>
      </c>
      <c r="BA72" s="4" t="s">
        <v>70</v>
      </c>
      <c r="BB72" s="4" t="s">
        <v>70</v>
      </c>
      <c r="BC72" s="4" t="s">
        <v>70</v>
      </c>
      <c r="BD72" s="4" t="s">
        <v>73</v>
      </c>
      <c r="BE72" s="4" t="s">
        <v>70</v>
      </c>
      <c r="BF72" s="4" t="s">
        <v>72</v>
      </c>
      <c r="BG72" s="4" t="s">
        <v>72</v>
      </c>
      <c r="BH72" s="4" t="s">
        <v>71</v>
      </c>
      <c r="BI72" s="4" t="s">
        <v>70</v>
      </c>
      <c r="BJ72" s="4" t="s">
        <v>73</v>
      </c>
      <c r="BK72" s="4" t="s">
        <v>73</v>
      </c>
      <c r="BL72" s="4" t="s">
        <v>72</v>
      </c>
      <c r="BM72" s="4" t="s">
        <v>71</v>
      </c>
      <c r="BN72" s="4" t="s">
        <v>72</v>
      </c>
      <c r="BO72" s="4" t="s">
        <v>71</v>
      </c>
      <c r="BP72" s="4" t="s">
        <v>72</v>
      </c>
      <c r="BQ72" s="4" t="s">
        <v>71</v>
      </c>
      <c r="BR72" s="4" t="s">
        <v>71</v>
      </c>
      <c r="BS72" s="4" t="s">
        <v>73</v>
      </c>
      <c r="BT72" s="4" t="s">
        <v>71</v>
      </c>
      <c r="BU72" s="4" t="s">
        <v>71</v>
      </c>
      <c r="BV72" s="4" t="s">
        <v>71</v>
      </c>
      <c r="BW72" s="4" t="s">
        <v>71</v>
      </c>
      <c r="BX72" s="4" t="s">
        <v>72</v>
      </c>
    </row>
    <row r="73" spans="1:76">
      <c r="A73" s="4" t="s">
        <v>182</v>
      </c>
      <c r="B73" s="4" t="s">
        <v>213</v>
      </c>
      <c r="C73" s="4" t="s">
        <v>129</v>
      </c>
      <c r="D73" s="4" t="s">
        <v>130</v>
      </c>
      <c r="E73" s="4" t="s">
        <v>70</v>
      </c>
      <c r="F73" s="4" t="s">
        <v>71</v>
      </c>
      <c r="G73" s="4" t="s">
        <v>70</v>
      </c>
      <c r="H73" s="4" t="s">
        <v>72</v>
      </c>
      <c r="I73" s="4" t="s">
        <v>71</v>
      </c>
      <c r="J73" s="4" t="s">
        <v>72</v>
      </c>
      <c r="K73" s="4" t="s">
        <v>73</v>
      </c>
      <c r="L73" s="4" t="s">
        <v>72</v>
      </c>
      <c r="M73" s="4" t="s">
        <v>73</v>
      </c>
      <c r="N73" s="4" t="s">
        <v>70</v>
      </c>
      <c r="O73" s="4" t="s">
        <v>71</v>
      </c>
      <c r="P73" s="4" t="s">
        <v>72</v>
      </c>
      <c r="Q73" s="4" t="s">
        <v>71</v>
      </c>
      <c r="R73" s="4" t="s">
        <v>73</v>
      </c>
      <c r="S73" s="4" t="s">
        <v>70</v>
      </c>
      <c r="T73" s="4" t="s">
        <v>72</v>
      </c>
      <c r="U73" s="4" t="s">
        <v>72</v>
      </c>
      <c r="V73" s="4" t="s">
        <v>70</v>
      </c>
      <c r="W73" s="4" t="s">
        <v>70</v>
      </c>
      <c r="X73" s="4" t="s">
        <v>72</v>
      </c>
      <c r="Y73" s="4" t="s">
        <v>73</v>
      </c>
      <c r="Z73" s="4" t="s">
        <v>70</v>
      </c>
      <c r="AA73" s="4" t="s">
        <v>73</v>
      </c>
      <c r="AB73" s="4" t="s">
        <v>70</v>
      </c>
      <c r="AC73" s="4" t="s">
        <v>71</v>
      </c>
      <c r="AD73" s="4" t="s">
        <v>73</v>
      </c>
      <c r="AE73" s="4" t="s">
        <v>71</v>
      </c>
      <c r="AF73" s="4" t="s">
        <v>71</v>
      </c>
      <c r="AG73" s="4" t="s">
        <v>73</v>
      </c>
      <c r="AH73" s="4" t="s">
        <v>71</v>
      </c>
      <c r="AI73" s="4" t="s">
        <v>71</v>
      </c>
      <c r="AJ73" s="4" t="s">
        <v>72</v>
      </c>
      <c r="AK73" s="4" t="s">
        <v>72</v>
      </c>
      <c r="AL73" s="4" t="s">
        <v>70</v>
      </c>
      <c r="AM73" s="4" t="s">
        <v>73</v>
      </c>
      <c r="AN73" s="4" t="s">
        <v>71</v>
      </c>
      <c r="AO73" s="4" t="s">
        <v>73</v>
      </c>
      <c r="AP73" s="4" t="s">
        <v>72</v>
      </c>
      <c r="AQ73" s="4" t="s">
        <v>70</v>
      </c>
      <c r="AR73" s="4" t="s">
        <v>70</v>
      </c>
      <c r="AS73" s="4" t="s">
        <v>72</v>
      </c>
      <c r="AT73" s="4" t="s">
        <v>70</v>
      </c>
      <c r="AU73" s="4" t="s">
        <v>70</v>
      </c>
      <c r="AV73" s="4" t="s">
        <v>70</v>
      </c>
      <c r="AW73" s="4" t="s">
        <v>70</v>
      </c>
      <c r="AX73" s="4" t="s">
        <v>70</v>
      </c>
      <c r="AY73" s="4" t="s">
        <v>72</v>
      </c>
      <c r="AZ73" s="4" t="s">
        <v>71</v>
      </c>
      <c r="BA73" s="4" t="s">
        <v>70</v>
      </c>
      <c r="BB73" s="4" t="s">
        <v>70</v>
      </c>
      <c r="BC73" s="4" t="s">
        <v>72</v>
      </c>
      <c r="BD73" s="4" t="s">
        <v>70</v>
      </c>
      <c r="BE73" s="4" t="s">
        <v>70</v>
      </c>
      <c r="BF73" s="4" t="s">
        <v>72</v>
      </c>
      <c r="BG73" s="4" t="s">
        <v>72</v>
      </c>
      <c r="BH73" s="4" t="s">
        <v>71</v>
      </c>
      <c r="BI73" s="4" t="s">
        <v>70</v>
      </c>
      <c r="BJ73" s="4" t="s">
        <v>73</v>
      </c>
      <c r="BK73" s="4" t="s">
        <v>70</v>
      </c>
      <c r="BL73" s="4" t="s">
        <v>72</v>
      </c>
      <c r="BM73" s="4" t="s">
        <v>71</v>
      </c>
      <c r="BN73" s="4" t="s">
        <v>71</v>
      </c>
      <c r="BO73" s="4" t="s">
        <v>73</v>
      </c>
      <c r="BP73" s="4" t="s">
        <v>71</v>
      </c>
      <c r="BQ73" s="4" t="s">
        <v>72</v>
      </c>
      <c r="BR73" s="4" t="s">
        <v>72</v>
      </c>
      <c r="BS73" s="4" t="s">
        <v>73</v>
      </c>
      <c r="BT73" s="4" t="s">
        <v>70</v>
      </c>
      <c r="BU73" s="4" t="s">
        <v>73</v>
      </c>
      <c r="BV73" s="4" t="s">
        <v>71</v>
      </c>
      <c r="BW73" s="4" t="s">
        <v>70</v>
      </c>
      <c r="BX73" s="4" t="s">
        <v>71</v>
      </c>
    </row>
    <row r="74" spans="1:76">
      <c r="A74" s="4" t="s">
        <v>182</v>
      </c>
      <c r="B74" s="4" t="s">
        <v>214</v>
      </c>
      <c r="C74" s="4" t="s">
        <v>129</v>
      </c>
      <c r="D74" s="4" t="s">
        <v>130</v>
      </c>
      <c r="E74" s="4" t="s">
        <v>70</v>
      </c>
      <c r="F74" s="4" t="s">
        <v>71</v>
      </c>
      <c r="G74" s="4" t="s">
        <v>70</v>
      </c>
      <c r="H74" s="4" t="s">
        <v>72</v>
      </c>
      <c r="I74" s="4" t="s">
        <v>71</v>
      </c>
      <c r="J74" s="4" t="s">
        <v>71</v>
      </c>
      <c r="K74" s="4" t="s">
        <v>70</v>
      </c>
      <c r="L74" s="4" t="s">
        <v>72</v>
      </c>
      <c r="M74" s="4" t="s">
        <v>73</v>
      </c>
      <c r="N74" s="4" t="s">
        <v>70</v>
      </c>
      <c r="O74" s="4" t="s">
        <v>71</v>
      </c>
      <c r="P74" s="4" t="s">
        <v>72</v>
      </c>
      <c r="Q74" s="4" t="s">
        <v>71</v>
      </c>
      <c r="R74" s="4" t="s">
        <v>73</v>
      </c>
      <c r="S74" s="4" t="s">
        <v>70</v>
      </c>
      <c r="T74" s="4" t="s">
        <v>72</v>
      </c>
      <c r="U74" s="4" t="s">
        <v>72</v>
      </c>
      <c r="V74" s="4" t="s">
        <v>70</v>
      </c>
      <c r="W74" s="4" t="s">
        <v>70</v>
      </c>
      <c r="X74" s="4" t="s">
        <v>72</v>
      </c>
      <c r="Y74" s="4" t="s">
        <v>73</v>
      </c>
      <c r="Z74" s="4" t="s">
        <v>70</v>
      </c>
      <c r="AA74" s="4" t="s">
        <v>73</v>
      </c>
      <c r="AB74" s="4" t="s">
        <v>70</v>
      </c>
      <c r="AC74" s="4" t="s">
        <v>71</v>
      </c>
      <c r="AD74" s="4" t="s">
        <v>73</v>
      </c>
      <c r="AE74" s="4" t="s">
        <v>71</v>
      </c>
      <c r="AF74" s="4" t="s">
        <v>71</v>
      </c>
      <c r="AG74" s="4" t="s">
        <v>73</v>
      </c>
      <c r="AH74" s="4" t="s">
        <v>71</v>
      </c>
      <c r="AI74" s="4" t="s">
        <v>71</v>
      </c>
      <c r="AJ74" s="4" t="s">
        <v>72</v>
      </c>
      <c r="AK74" s="4" t="s">
        <v>72</v>
      </c>
      <c r="AL74" s="4" t="s">
        <v>70</v>
      </c>
      <c r="AM74" s="4" t="s">
        <v>73</v>
      </c>
      <c r="AN74" s="4" t="s">
        <v>71</v>
      </c>
      <c r="AO74" s="4" t="s">
        <v>73</v>
      </c>
      <c r="AP74" s="4" t="s">
        <v>72</v>
      </c>
      <c r="AQ74" s="4" t="s">
        <v>70</v>
      </c>
      <c r="AR74" s="4" t="s">
        <v>70</v>
      </c>
      <c r="AS74" s="4" t="s">
        <v>72</v>
      </c>
      <c r="AT74" s="4" t="s">
        <v>70</v>
      </c>
      <c r="AU74" s="4" t="s">
        <v>70</v>
      </c>
      <c r="AV74" s="4" t="s">
        <v>70</v>
      </c>
      <c r="AW74" s="4" t="s">
        <v>70</v>
      </c>
      <c r="AX74" s="4" t="s">
        <v>70</v>
      </c>
      <c r="AY74" s="4" t="s">
        <v>72</v>
      </c>
      <c r="AZ74" s="4" t="s">
        <v>71</v>
      </c>
      <c r="BA74" s="4" t="s">
        <v>70</v>
      </c>
      <c r="BB74" s="4" t="s">
        <v>70</v>
      </c>
      <c r="BC74" s="4" t="s">
        <v>72</v>
      </c>
      <c r="BD74" s="4" t="s">
        <v>70</v>
      </c>
      <c r="BE74" s="4" t="s">
        <v>70</v>
      </c>
      <c r="BF74" s="4" t="s">
        <v>72</v>
      </c>
      <c r="BG74" s="4" t="s">
        <v>72</v>
      </c>
      <c r="BH74" s="4" t="s">
        <v>71</v>
      </c>
      <c r="BI74" s="4" t="s">
        <v>70</v>
      </c>
      <c r="BJ74" s="4" t="s">
        <v>73</v>
      </c>
      <c r="BK74" s="4" t="s">
        <v>70</v>
      </c>
      <c r="BL74" s="4" t="s">
        <v>72</v>
      </c>
      <c r="BM74" s="4" t="s">
        <v>71</v>
      </c>
      <c r="BN74" s="4" t="s">
        <v>71</v>
      </c>
      <c r="BO74" s="4" t="s">
        <v>73</v>
      </c>
      <c r="BP74" s="4" t="s">
        <v>71</v>
      </c>
      <c r="BQ74" s="4" t="s">
        <v>72</v>
      </c>
      <c r="BR74" s="4" t="s">
        <v>71</v>
      </c>
      <c r="BS74" s="4" t="s">
        <v>70</v>
      </c>
      <c r="BT74" s="4" t="s">
        <v>70</v>
      </c>
      <c r="BU74" s="4" t="s">
        <v>73</v>
      </c>
      <c r="BV74" s="4" t="s">
        <v>71</v>
      </c>
      <c r="BW74" s="4" t="s">
        <v>70</v>
      </c>
      <c r="BX74" s="4" t="s">
        <v>71</v>
      </c>
    </row>
    <row r="75" spans="1:76">
      <c r="A75" s="4" t="s">
        <v>182</v>
      </c>
      <c r="B75" s="4" t="s">
        <v>215</v>
      </c>
      <c r="C75" s="4" t="s">
        <v>129</v>
      </c>
      <c r="D75" s="4" t="s">
        <v>177</v>
      </c>
      <c r="E75" s="4" t="s">
        <v>70</v>
      </c>
      <c r="F75" s="4" t="s">
        <v>70</v>
      </c>
      <c r="G75" s="4" t="s">
        <v>70</v>
      </c>
      <c r="H75" s="4" t="s">
        <v>71</v>
      </c>
      <c r="I75" s="4" t="s">
        <v>70</v>
      </c>
      <c r="J75" s="4" t="s">
        <v>73</v>
      </c>
      <c r="K75" s="4" t="s">
        <v>72</v>
      </c>
      <c r="L75" s="4" t="s">
        <v>72</v>
      </c>
      <c r="M75" s="4" t="s">
        <v>73</v>
      </c>
      <c r="N75" s="4" t="s">
        <v>70</v>
      </c>
      <c r="O75" s="4" t="s">
        <v>71</v>
      </c>
      <c r="P75" s="4" t="s">
        <v>72</v>
      </c>
      <c r="Q75" s="4" t="s">
        <v>71</v>
      </c>
      <c r="R75" s="4" t="s">
        <v>73</v>
      </c>
      <c r="S75" s="4" t="s">
        <v>70</v>
      </c>
      <c r="T75" s="4" t="s">
        <v>72</v>
      </c>
      <c r="U75" s="4" t="s">
        <v>72</v>
      </c>
      <c r="V75" s="4" t="s">
        <v>70</v>
      </c>
      <c r="W75" s="4" t="s">
        <v>70</v>
      </c>
      <c r="X75" s="4" t="s">
        <v>70</v>
      </c>
      <c r="Y75" s="4" t="s">
        <v>73</v>
      </c>
      <c r="Z75" s="4" t="s">
        <v>70</v>
      </c>
      <c r="AA75" s="4" t="s">
        <v>73</v>
      </c>
      <c r="AB75" s="4" t="s">
        <v>70</v>
      </c>
      <c r="AC75" s="4" t="s">
        <v>71</v>
      </c>
      <c r="AD75" s="4" t="s">
        <v>73</v>
      </c>
      <c r="AE75" s="4" t="s">
        <v>71</v>
      </c>
      <c r="AF75" s="4" t="s">
        <v>71</v>
      </c>
      <c r="AG75" s="4" t="s">
        <v>72</v>
      </c>
      <c r="AH75" s="4" t="s">
        <v>70</v>
      </c>
      <c r="AI75" s="4" t="s">
        <v>71</v>
      </c>
      <c r="AJ75" s="4" t="s">
        <v>71</v>
      </c>
      <c r="AK75" s="4" t="s">
        <v>72</v>
      </c>
      <c r="AL75" s="4" t="s">
        <v>72</v>
      </c>
      <c r="AM75" s="4" t="s">
        <v>73</v>
      </c>
      <c r="AN75" s="4" t="s">
        <v>71</v>
      </c>
      <c r="AO75" s="4" t="s">
        <v>73</v>
      </c>
      <c r="AP75" s="4" t="s">
        <v>73</v>
      </c>
      <c r="AQ75" s="4" t="s">
        <v>70</v>
      </c>
      <c r="AR75" s="4" t="s">
        <v>71</v>
      </c>
      <c r="AS75" s="4" t="s">
        <v>73</v>
      </c>
      <c r="AT75" s="4" t="s">
        <v>70</v>
      </c>
      <c r="AU75" s="4" t="s">
        <v>70</v>
      </c>
      <c r="AV75" s="4" t="s">
        <v>70</v>
      </c>
      <c r="AW75" s="4" t="s">
        <v>70</v>
      </c>
      <c r="AX75" s="4" t="s">
        <v>70</v>
      </c>
      <c r="AY75" s="4" t="s">
        <v>72</v>
      </c>
      <c r="AZ75" s="4" t="s">
        <v>71</v>
      </c>
      <c r="BA75" s="4" t="s">
        <v>73</v>
      </c>
      <c r="BB75" s="4" t="s">
        <v>71</v>
      </c>
      <c r="BC75" s="4" t="s">
        <v>72</v>
      </c>
      <c r="BD75" s="4" t="s">
        <v>70</v>
      </c>
      <c r="BE75" s="4" t="s">
        <v>70</v>
      </c>
      <c r="BF75" s="4" t="s">
        <v>72</v>
      </c>
      <c r="BG75" s="4" t="s">
        <v>72</v>
      </c>
      <c r="BH75" s="4" t="s">
        <v>71</v>
      </c>
      <c r="BI75" s="4" t="s">
        <v>70</v>
      </c>
      <c r="BJ75" s="4" t="s">
        <v>73</v>
      </c>
      <c r="BK75" s="4" t="s">
        <v>73</v>
      </c>
      <c r="BL75" s="4" t="s">
        <v>71</v>
      </c>
      <c r="BM75" s="4" t="s">
        <v>71</v>
      </c>
      <c r="BN75" s="4" t="s">
        <v>71</v>
      </c>
      <c r="BO75" s="4" t="s">
        <v>70</v>
      </c>
      <c r="BP75" s="4" t="s">
        <v>70</v>
      </c>
      <c r="BQ75" s="4" t="s">
        <v>72</v>
      </c>
      <c r="BR75" s="4" t="s">
        <v>73</v>
      </c>
      <c r="BS75" s="4" t="s">
        <v>72</v>
      </c>
      <c r="BT75" s="4" t="s">
        <v>71</v>
      </c>
      <c r="BU75" s="4" t="s">
        <v>70</v>
      </c>
      <c r="BV75" s="4" t="s">
        <v>71</v>
      </c>
      <c r="BW75" s="4" t="s">
        <v>71</v>
      </c>
      <c r="BX75" s="4" t="s">
        <v>71</v>
      </c>
    </row>
    <row r="76" spans="1:76">
      <c r="A76" s="4" t="s">
        <v>216</v>
      </c>
      <c r="B76" s="4" t="s">
        <v>217</v>
      </c>
      <c r="C76" s="4" t="s">
        <v>103</v>
      </c>
      <c r="D76" s="4" t="s">
        <v>104</v>
      </c>
      <c r="E76" s="4" t="s">
        <v>70</v>
      </c>
      <c r="F76" s="4" t="s">
        <v>70</v>
      </c>
      <c r="G76" s="4" t="s">
        <v>70</v>
      </c>
      <c r="H76" s="4" t="s">
        <v>70</v>
      </c>
      <c r="I76" s="4" t="s">
        <v>71</v>
      </c>
      <c r="J76" s="4" t="s">
        <v>72</v>
      </c>
      <c r="K76" s="4" t="s">
        <v>73</v>
      </c>
      <c r="L76" s="4" t="s">
        <v>72</v>
      </c>
      <c r="M76" s="4" t="s">
        <v>73</v>
      </c>
      <c r="N76" s="4" t="s">
        <v>70</v>
      </c>
      <c r="O76" s="4" t="s">
        <v>71</v>
      </c>
      <c r="P76" s="4" t="s">
        <v>72</v>
      </c>
      <c r="Q76" s="4" t="s">
        <v>71</v>
      </c>
      <c r="R76" s="4" t="s">
        <v>73</v>
      </c>
      <c r="S76" s="4" t="s">
        <v>70</v>
      </c>
      <c r="T76" s="4" t="s">
        <v>72</v>
      </c>
      <c r="U76" s="4" t="s">
        <v>72</v>
      </c>
      <c r="V76" s="4" t="s">
        <v>70</v>
      </c>
      <c r="W76" s="4" t="s">
        <v>70</v>
      </c>
      <c r="X76" s="4" t="s">
        <v>72</v>
      </c>
      <c r="Y76" s="4" t="s">
        <v>73</v>
      </c>
      <c r="Z76" s="4" t="s">
        <v>70</v>
      </c>
      <c r="AA76" s="4" t="s">
        <v>73</v>
      </c>
      <c r="AB76" s="4" t="s">
        <v>70</v>
      </c>
      <c r="AC76" s="4" t="s">
        <v>71</v>
      </c>
      <c r="AD76" s="4" t="s">
        <v>70</v>
      </c>
      <c r="AE76" s="4" t="s">
        <v>71</v>
      </c>
      <c r="AF76" s="4" t="s">
        <v>71</v>
      </c>
      <c r="AG76" s="4" t="s">
        <v>72</v>
      </c>
      <c r="AH76" s="4" t="s">
        <v>70</v>
      </c>
      <c r="AI76" s="4" t="s">
        <v>71</v>
      </c>
      <c r="AJ76" s="4" t="s">
        <v>73</v>
      </c>
      <c r="AK76" s="4" t="s">
        <v>72</v>
      </c>
      <c r="AL76" s="4" t="s">
        <v>70</v>
      </c>
      <c r="AM76" s="4" t="s">
        <v>70</v>
      </c>
      <c r="AN76" s="4" t="s">
        <v>71</v>
      </c>
      <c r="AO76" s="4" t="s">
        <v>73</v>
      </c>
      <c r="AP76" s="4" t="s">
        <v>72</v>
      </c>
      <c r="AQ76" s="4" t="s">
        <v>70</v>
      </c>
      <c r="AR76" s="4" t="s">
        <v>71</v>
      </c>
      <c r="AS76" s="4" t="s">
        <v>73</v>
      </c>
      <c r="AT76" s="4" t="s">
        <v>70</v>
      </c>
      <c r="AU76" s="4" t="s">
        <v>70</v>
      </c>
      <c r="AV76" s="4" t="s">
        <v>73</v>
      </c>
      <c r="AW76" s="4" t="s">
        <v>70</v>
      </c>
      <c r="AX76" s="4" t="s">
        <v>70</v>
      </c>
      <c r="AY76" s="4" t="s">
        <v>72</v>
      </c>
      <c r="AZ76" s="4" t="s">
        <v>71</v>
      </c>
      <c r="BA76" s="4" t="s">
        <v>73</v>
      </c>
      <c r="BB76" s="4" t="s">
        <v>70</v>
      </c>
      <c r="BC76" s="4" t="s">
        <v>70</v>
      </c>
      <c r="BD76" s="4" t="s">
        <v>73</v>
      </c>
      <c r="BE76" s="4" t="s">
        <v>70</v>
      </c>
      <c r="BF76" s="4" t="s">
        <v>72</v>
      </c>
      <c r="BG76" s="4" t="s">
        <v>72</v>
      </c>
      <c r="BH76" s="4" t="s">
        <v>71</v>
      </c>
      <c r="BI76" s="4" t="s">
        <v>73</v>
      </c>
      <c r="BJ76" s="4" t="s">
        <v>73</v>
      </c>
      <c r="BK76" s="4" t="s">
        <v>72</v>
      </c>
      <c r="BL76" s="4" t="s">
        <v>72</v>
      </c>
      <c r="BM76" s="4" t="s">
        <v>71</v>
      </c>
      <c r="BN76" s="4" t="s">
        <v>72</v>
      </c>
      <c r="BO76" s="4" t="s">
        <v>71</v>
      </c>
      <c r="BP76" s="4" t="s">
        <v>71</v>
      </c>
      <c r="BQ76" s="4" t="s">
        <v>72</v>
      </c>
      <c r="BR76" s="4" t="s">
        <v>72</v>
      </c>
      <c r="BS76" s="4" t="s">
        <v>73</v>
      </c>
      <c r="BT76" s="4" t="s">
        <v>70</v>
      </c>
      <c r="BU76" s="4" t="s">
        <v>71</v>
      </c>
      <c r="BV76" s="4" t="s">
        <v>72</v>
      </c>
      <c r="BW76" s="4" t="s">
        <v>71</v>
      </c>
      <c r="BX76" s="4" t="s">
        <v>71</v>
      </c>
    </row>
    <row r="77" spans="1:76">
      <c r="A77" s="4" t="s">
        <v>216</v>
      </c>
      <c r="B77" s="4" t="s">
        <v>218</v>
      </c>
      <c r="C77" s="4" t="s">
        <v>103</v>
      </c>
      <c r="D77" s="4" t="s">
        <v>133</v>
      </c>
      <c r="E77" s="4" t="s">
        <v>70</v>
      </c>
      <c r="F77" s="4" t="s">
        <v>70</v>
      </c>
      <c r="G77" s="4" t="s">
        <v>70</v>
      </c>
      <c r="H77" s="4" t="s">
        <v>71</v>
      </c>
      <c r="I77" s="4" t="s">
        <v>71</v>
      </c>
      <c r="J77" s="4" t="s">
        <v>72</v>
      </c>
      <c r="K77" s="4" t="s">
        <v>70</v>
      </c>
      <c r="L77" s="4" t="s">
        <v>72</v>
      </c>
      <c r="M77" s="4" t="s">
        <v>70</v>
      </c>
      <c r="N77" s="4" t="s">
        <v>70</v>
      </c>
      <c r="O77" s="4" t="s">
        <v>71</v>
      </c>
      <c r="P77" s="4" t="s">
        <v>70</v>
      </c>
      <c r="Q77" s="4" t="s">
        <v>71</v>
      </c>
      <c r="R77" s="4" t="s">
        <v>73</v>
      </c>
      <c r="S77" s="4" t="s">
        <v>70</v>
      </c>
      <c r="T77" s="4" t="s">
        <v>72</v>
      </c>
      <c r="U77" s="4" t="s">
        <v>71</v>
      </c>
      <c r="V77" s="4" t="s">
        <v>70</v>
      </c>
      <c r="W77" s="4" t="s">
        <v>70</v>
      </c>
      <c r="X77" s="4" t="s">
        <v>72</v>
      </c>
      <c r="Y77" s="4" t="s">
        <v>73</v>
      </c>
      <c r="Z77" s="4" t="s">
        <v>70</v>
      </c>
      <c r="AA77" s="4" t="s">
        <v>71</v>
      </c>
      <c r="AB77" s="4" t="s">
        <v>70</v>
      </c>
      <c r="AC77" s="4" t="s">
        <v>71</v>
      </c>
      <c r="AD77" s="4" t="s">
        <v>73</v>
      </c>
      <c r="AE77" s="4" t="s">
        <v>71</v>
      </c>
      <c r="AF77" s="4" t="s">
        <v>71</v>
      </c>
      <c r="AG77" s="4" t="s">
        <v>72</v>
      </c>
      <c r="AH77" s="4" t="s">
        <v>71</v>
      </c>
      <c r="AI77" s="4" t="s">
        <v>70</v>
      </c>
      <c r="AJ77" s="4" t="s">
        <v>72</v>
      </c>
      <c r="AK77" s="4" t="s">
        <v>72</v>
      </c>
      <c r="AL77" s="4" t="s">
        <v>71</v>
      </c>
      <c r="AM77" s="4" t="s">
        <v>70</v>
      </c>
      <c r="AN77" s="4" t="s">
        <v>71</v>
      </c>
      <c r="AO77" s="4" t="s">
        <v>73</v>
      </c>
      <c r="AP77" s="4" t="s">
        <v>72</v>
      </c>
      <c r="AQ77" s="4" t="s">
        <v>71</v>
      </c>
      <c r="AR77" s="4" t="s">
        <v>70</v>
      </c>
      <c r="AS77" s="4" t="s">
        <v>73</v>
      </c>
      <c r="AT77" s="4" t="s">
        <v>70</v>
      </c>
      <c r="AU77" s="4" t="s">
        <v>70</v>
      </c>
      <c r="AV77" s="4" t="s">
        <v>70</v>
      </c>
      <c r="AW77" s="4" t="s">
        <v>70</v>
      </c>
      <c r="AX77" s="4" t="s">
        <v>70</v>
      </c>
      <c r="AY77" s="4" t="s">
        <v>72</v>
      </c>
      <c r="AZ77" s="4" t="s">
        <v>71</v>
      </c>
      <c r="BA77" s="4" t="s">
        <v>72</v>
      </c>
      <c r="BB77" s="4" t="s">
        <v>70</v>
      </c>
      <c r="BC77" s="4" t="s">
        <v>70</v>
      </c>
      <c r="BD77" s="4" t="s">
        <v>70</v>
      </c>
      <c r="BE77" s="4" t="s">
        <v>70</v>
      </c>
      <c r="BF77" s="4" t="s">
        <v>72</v>
      </c>
      <c r="BG77" s="4" t="s">
        <v>72</v>
      </c>
      <c r="BH77" s="4" t="s">
        <v>71</v>
      </c>
      <c r="BI77" s="4" t="s">
        <v>73</v>
      </c>
      <c r="BJ77" s="4" t="s">
        <v>73</v>
      </c>
      <c r="BK77" s="4" t="s">
        <v>73</v>
      </c>
      <c r="BL77" s="4" t="s">
        <v>72</v>
      </c>
      <c r="BM77" s="4" t="s">
        <v>71</v>
      </c>
      <c r="BN77" s="4" t="s">
        <v>71</v>
      </c>
      <c r="BO77" s="4" t="s">
        <v>71</v>
      </c>
      <c r="BP77" s="4" t="s">
        <v>71</v>
      </c>
      <c r="BQ77" s="4" t="s">
        <v>73</v>
      </c>
      <c r="BR77" s="4" t="s">
        <v>71</v>
      </c>
      <c r="BS77" s="4" t="s">
        <v>73</v>
      </c>
      <c r="BT77" s="4" t="s">
        <v>70</v>
      </c>
      <c r="BU77" s="4" t="s">
        <v>70</v>
      </c>
      <c r="BV77" s="4" t="s">
        <v>72</v>
      </c>
      <c r="BW77" s="4" t="s">
        <v>71</v>
      </c>
      <c r="BX77" s="4" t="s">
        <v>71</v>
      </c>
    </row>
    <row r="78" spans="1:76">
      <c r="A78" s="4" t="s">
        <v>216</v>
      </c>
      <c r="B78" s="4" t="s">
        <v>219</v>
      </c>
      <c r="C78" s="4" t="s">
        <v>103</v>
      </c>
      <c r="D78" s="4" t="s">
        <v>136</v>
      </c>
      <c r="E78" s="4" t="s">
        <v>70</v>
      </c>
      <c r="F78" s="4" t="s">
        <v>70</v>
      </c>
      <c r="G78" s="4" t="s">
        <v>70</v>
      </c>
      <c r="H78" s="4" t="s">
        <v>70</v>
      </c>
      <c r="I78" s="4" t="s">
        <v>71</v>
      </c>
      <c r="J78" s="4" t="s">
        <v>71</v>
      </c>
      <c r="K78" s="4" t="s">
        <v>72</v>
      </c>
      <c r="L78" s="4" t="s">
        <v>72</v>
      </c>
      <c r="M78" s="4" t="s">
        <v>73</v>
      </c>
      <c r="N78" s="4" t="s">
        <v>70</v>
      </c>
      <c r="O78" s="4" t="s">
        <v>71</v>
      </c>
      <c r="P78" s="4" t="s">
        <v>72</v>
      </c>
      <c r="Q78" s="4" t="s">
        <v>71</v>
      </c>
      <c r="R78" s="4" t="s">
        <v>73</v>
      </c>
      <c r="S78" s="4" t="s">
        <v>70</v>
      </c>
      <c r="T78" s="4" t="s">
        <v>72</v>
      </c>
      <c r="U78" s="4" t="s">
        <v>72</v>
      </c>
      <c r="V78" s="4" t="s">
        <v>70</v>
      </c>
      <c r="W78" s="4" t="s">
        <v>70</v>
      </c>
      <c r="X78" s="4" t="s">
        <v>72</v>
      </c>
      <c r="Y78" s="4" t="s">
        <v>73</v>
      </c>
      <c r="Z78" s="4" t="s">
        <v>70</v>
      </c>
      <c r="AA78" s="4" t="s">
        <v>73</v>
      </c>
      <c r="AB78" s="4" t="s">
        <v>70</v>
      </c>
      <c r="AC78" s="4" t="s">
        <v>71</v>
      </c>
      <c r="AD78" s="4" t="s">
        <v>70</v>
      </c>
      <c r="AE78" s="4" t="s">
        <v>71</v>
      </c>
      <c r="AF78" s="4" t="s">
        <v>72</v>
      </c>
      <c r="AG78" s="4" t="s">
        <v>70</v>
      </c>
      <c r="AH78" s="4" t="s">
        <v>71</v>
      </c>
      <c r="AI78" s="4" t="s">
        <v>71</v>
      </c>
      <c r="AJ78" s="4" t="s">
        <v>72</v>
      </c>
      <c r="AK78" s="4" t="s">
        <v>72</v>
      </c>
      <c r="AL78" s="4" t="s">
        <v>72</v>
      </c>
      <c r="AM78" s="4" t="s">
        <v>70</v>
      </c>
      <c r="AN78" s="4" t="s">
        <v>71</v>
      </c>
      <c r="AO78" s="4" t="s">
        <v>73</v>
      </c>
      <c r="AP78" s="4" t="s">
        <v>73</v>
      </c>
      <c r="AQ78" s="4" t="s">
        <v>70</v>
      </c>
      <c r="AR78" s="4" t="s">
        <v>70</v>
      </c>
      <c r="AS78" s="4" t="s">
        <v>71</v>
      </c>
      <c r="AT78" s="4" t="s">
        <v>73</v>
      </c>
      <c r="AU78" s="4" t="s">
        <v>70</v>
      </c>
      <c r="AV78" s="4" t="s">
        <v>73</v>
      </c>
      <c r="AW78" s="4" t="s">
        <v>72</v>
      </c>
      <c r="AX78" s="4" t="s">
        <v>70</v>
      </c>
      <c r="AY78" s="4" t="s">
        <v>72</v>
      </c>
      <c r="AZ78" s="4" t="s">
        <v>71</v>
      </c>
      <c r="BA78" s="4" t="s">
        <v>73</v>
      </c>
      <c r="BB78" s="4" t="s">
        <v>70</v>
      </c>
      <c r="BC78" s="4" t="s">
        <v>70</v>
      </c>
      <c r="BD78" s="4" t="s">
        <v>73</v>
      </c>
      <c r="BE78" s="4" t="s">
        <v>70</v>
      </c>
      <c r="BF78" s="4" t="s">
        <v>72</v>
      </c>
      <c r="BG78" s="4" t="s">
        <v>72</v>
      </c>
      <c r="BH78" s="4" t="s">
        <v>71</v>
      </c>
      <c r="BI78" s="4" t="s">
        <v>70</v>
      </c>
      <c r="BJ78" s="4" t="s">
        <v>73</v>
      </c>
      <c r="BK78" s="4" t="s">
        <v>73</v>
      </c>
      <c r="BL78" s="4" t="s">
        <v>72</v>
      </c>
      <c r="BM78" s="4" t="s">
        <v>71</v>
      </c>
      <c r="BN78" s="4" t="s">
        <v>72</v>
      </c>
      <c r="BO78" s="4" t="s">
        <v>71</v>
      </c>
      <c r="BP78" s="4" t="s">
        <v>71</v>
      </c>
      <c r="BQ78" s="4" t="s">
        <v>72</v>
      </c>
      <c r="BR78" s="4" t="s">
        <v>73</v>
      </c>
      <c r="BS78" s="4" t="s">
        <v>70</v>
      </c>
      <c r="BT78" s="4" t="s">
        <v>70</v>
      </c>
      <c r="BU78" s="4" t="s">
        <v>71</v>
      </c>
      <c r="BV78" s="4" t="s">
        <v>72</v>
      </c>
      <c r="BW78" s="4" t="s">
        <v>71</v>
      </c>
      <c r="BX78" s="4" t="s">
        <v>71</v>
      </c>
    </row>
    <row r="79" spans="1:76">
      <c r="A79" s="4" t="s">
        <v>216</v>
      </c>
      <c r="B79" s="4" t="s">
        <v>220</v>
      </c>
      <c r="C79" s="4" t="s">
        <v>106</v>
      </c>
      <c r="D79" s="4" t="s">
        <v>221</v>
      </c>
      <c r="E79" s="4" t="s">
        <v>70</v>
      </c>
      <c r="F79" s="4" t="s">
        <v>71</v>
      </c>
      <c r="G79" s="4" t="s">
        <v>71</v>
      </c>
      <c r="H79" s="4" t="s">
        <v>72</v>
      </c>
      <c r="I79" s="4" t="s">
        <v>72</v>
      </c>
      <c r="J79" s="4" t="s">
        <v>71</v>
      </c>
      <c r="K79" s="4" t="s">
        <v>70</v>
      </c>
      <c r="L79" s="4" t="s">
        <v>72</v>
      </c>
      <c r="M79" s="4" t="s">
        <v>73</v>
      </c>
      <c r="N79" s="4" t="s">
        <v>70</v>
      </c>
      <c r="O79" s="4" t="s">
        <v>71</v>
      </c>
      <c r="P79" s="4" t="s">
        <v>72</v>
      </c>
      <c r="Q79" s="4" t="s">
        <v>71</v>
      </c>
      <c r="R79" s="4" t="s">
        <v>73</v>
      </c>
      <c r="S79" s="4" t="s">
        <v>70</v>
      </c>
      <c r="T79" s="4" t="s">
        <v>70</v>
      </c>
      <c r="U79" s="4" t="s">
        <v>70</v>
      </c>
      <c r="V79" s="4" t="s">
        <v>70</v>
      </c>
      <c r="W79" s="4" t="s">
        <v>70</v>
      </c>
      <c r="X79" s="4" t="s">
        <v>73</v>
      </c>
      <c r="Y79" s="4" t="s">
        <v>73</v>
      </c>
      <c r="Z79" s="4" t="s">
        <v>70</v>
      </c>
      <c r="AA79" s="4" t="s">
        <v>73</v>
      </c>
      <c r="AB79" s="4" t="s">
        <v>70</v>
      </c>
      <c r="AC79" s="4" t="s">
        <v>71</v>
      </c>
      <c r="AD79" s="4" t="s">
        <v>73</v>
      </c>
      <c r="AE79" s="4" t="s">
        <v>71</v>
      </c>
      <c r="AF79" s="4" t="s">
        <v>71</v>
      </c>
      <c r="AG79" s="4" t="s">
        <v>70</v>
      </c>
      <c r="AH79" s="4" t="s">
        <v>71</v>
      </c>
      <c r="AI79" s="4" t="s">
        <v>72</v>
      </c>
      <c r="AJ79" s="4" t="s">
        <v>71</v>
      </c>
      <c r="AK79" s="4" t="s">
        <v>72</v>
      </c>
      <c r="AL79" s="4" t="s">
        <v>71</v>
      </c>
      <c r="AM79" s="4" t="s">
        <v>71</v>
      </c>
      <c r="AN79" s="4" t="s">
        <v>72</v>
      </c>
      <c r="AO79" s="4" t="s">
        <v>73</v>
      </c>
      <c r="AP79" s="4" t="s">
        <v>73</v>
      </c>
      <c r="AQ79" s="4" t="s">
        <v>73</v>
      </c>
      <c r="AR79" s="4" t="s">
        <v>70</v>
      </c>
      <c r="AS79" s="4" t="s">
        <v>71</v>
      </c>
      <c r="AT79" s="4" t="s">
        <v>70</v>
      </c>
      <c r="AU79" s="4" t="s">
        <v>70</v>
      </c>
      <c r="AV79" s="4" t="s">
        <v>70</v>
      </c>
      <c r="AW79" s="4" t="s">
        <v>72</v>
      </c>
      <c r="AX79" s="4" t="s">
        <v>70</v>
      </c>
      <c r="AY79" s="4" t="s">
        <v>72</v>
      </c>
      <c r="AZ79" s="4" t="s">
        <v>71</v>
      </c>
      <c r="BA79" s="4" t="s">
        <v>70</v>
      </c>
      <c r="BB79" s="4" t="s">
        <v>71</v>
      </c>
      <c r="BC79" s="4" t="s">
        <v>73</v>
      </c>
      <c r="BD79" s="4" t="s">
        <v>70</v>
      </c>
      <c r="BE79" s="4" t="s">
        <v>70</v>
      </c>
      <c r="BF79" s="4" t="s">
        <v>72</v>
      </c>
      <c r="BG79" s="4" t="s">
        <v>72</v>
      </c>
      <c r="BH79" s="4" t="s">
        <v>71</v>
      </c>
      <c r="BI79" s="4" t="s">
        <v>70</v>
      </c>
      <c r="BJ79" s="4" t="s">
        <v>73</v>
      </c>
      <c r="BK79" s="4" t="s">
        <v>73</v>
      </c>
      <c r="BL79" s="4" t="s">
        <v>72</v>
      </c>
      <c r="BM79" s="4" t="s">
        <v>71</v>
      </c>
      <c r="BN79" s="4" t="s">
        <v>71</v>
      </c>
      <c r="BO79" s="4" t="s">
        <v>72</v>
      </c>
      <c r="BP79" s="4" t="s">
        <v>70</v>
      </c>
      <c r="BQ79" s="4" t="s">
        <v>71</v>
      </c>
      <c r="BR79" s="4" t="s">
        <v>71</v>
      </c>
      <c r="BS79" s="4" t="s">
        <v>70</v>
      </c>
      <c r="BT79" s="4" t="s">
        <v>70</v>
      </c>
      <c r="BU79" s="4" t="s">
        <v>70</v>
      </c>
      <c r="BV79" s="4" t="s">
        <v>70</v>
      </c>
      <c r="BW79" s="4" t="s">
        <v>70</v>
      </c>
      <c r="BX79" s="4" t="s">
        <v>71</v>
      </c>
    </row>
    <row r="80" spans="1:76">
      <c r="A80" s="4" t="s">
        <v>216</v>
      </c>
      <c r="B80" s="4" t="s">
        <v>222</v>
      </c>
      <c r="C80" s="4" t="s">
        <v>106</v>
      </c>
      <c r="D80" s="4" t="s">
        <v>69</v>
      </c>
      <c r="E80" s="4" t="s">
        <v>70</v>
      </c>
      <c r="F80" s="4" t="s">
        <v>71</v>
      </c>
      <c r="G80" s="4" t="s">
        <v>71</v>
      </c>
      <c r="H80" s="4" t="s">
        <v>71</v>
      </c>
      <c r="I80" s="4" t="s">
        <v>71</v>
      </c>
      <c r="J80" s="4" t="s">
        <v>71</v>
      </c>
      <c r="K80" s="4" t="s">
        <v>70</v>
      </c>
      <c r="L80" s="4" t="s">
        <v>72</v>
      </c>
      <c r="M80" s="4" t="s">
        <v>73</v>
      </c>
      <c r="N80" s="4" t="s">
        <v>70</v>
      </c>
      <c r="O80" s="4" t="s">
        <v>71</v>
      </c>
      <c r="P80" s="4" t="s">
        <v>72</v>
      </c>
      <c r="Q80" s="4" t="s">
        <v>71</v>
      </c>
      <c r="R80" s="4" t="s">
        <v>73</v>
      </c>
      <c r="S80" s="4" t="s">
        <v>70</v>
      </c>
      <c r="T80" s="10" t="s">
        <v>77</v>
      </c>
      <c r="U80" s="4" t="s">
        <v>72</v>
      </c>
      <c r="V80" s="4" t="s">
        <v>70</v>
      </c>
      <c r="W80" s="4" t="s">
        <v>70</v>
      </c>
      <c r="X80" s="4" t="s">
        <v>73</v>
      </c>
      <c r="Y80" s="4" t="s">
        <v>73</v>
      </c>
      <c r="Z80" s="4" t="s">
        <v>70</v>
      </c>
      <c r="AA80" s="4" t="s">
        <v>73</v>
      </c>
      <c r="AB80" s="4" t="s">
        <v>70</v>
      </c>
      <c r="AC80" s="4" t="s">
        <v>71</v>
      </c>
      <c r="AD80" s="4" t="s">
        <v>73</v>
      </c>
      <c r="AE80" s="4" t="s">
        <v>70</v>
      </c>
      <c r="AF80" s="4" t="s">
        <v>70</v>
      </c>
      <c r="AG80" s="4" t="s">
        <v>71</v>
      </c>
      <c r="AH80" s="4" t="s">
        <v>70</v>
      </c>
      <c r="AI80" s="4" t="s">
        <v>71</v>
      </c>
      <c r="AJ80" s="4" t="s">
        <v>71</v>
      </c>
      <c r="AK80" s="4" t="s">
        <v>72</v>
      </c>
      <c r="AL80" s="4" t="s">
        <v>72</v>
      </c>
      <c r="AM80" s="4" t="s">
        <v>71</v>
      </c>
      <c r="AN80" s="4" t="s">
        <v>72</v>
      </c>
      <c r="AO80" s="4" t="s">
        <v>73</v>
      </c>
      <c r="AP80" s="4" t="s">
        <v>73</v>
      </c>
      <c r="AQ80" s="4" t="s">
        <v>70</v>
      </c>
      <c r="AR80" s="4" t="s">
        <v>71</v>
      </c>
      <c r="AS80" s="4" t="s">
        <v>70</v>
      </c>
      <c r="AT80" s="4" t="s">
        <v>71</v>
      </c>
      <c r="AU80" s="4" t="s">
        <v>72</v>
      </c>
      <c r="AV80" s="4" t="s">
        <v>72</v>
      </c>
      <c r="AW80" s="4" t="s">
        <v>70</v>
      </c>
      <c r="AX80" s="4" t="s">
        <v>70</v>
      </c>
      <c r="AY80" s="4" t="s">
        <v>71</v>
      </c>
      <c r="AZ80" s="4" t="s">
        <v>71</v>
      </c>
      <c r="BA80" s="4" t="s">
        <v>70</v>
      </c>
      <c r="BB80" s="4" t="s">
        <v>71</v>
      </c>
      <c r="BC80" s="4" t="s">
        <v>73</v>
      </c>
      <c r="BD80" s="4" t="s">
        <v>70</v>
      </c>
      <c r="BE80" s="4" t="s">
        <v>70</v>
      </c>
      <c r="BF80" s="4" t="s">
        <v>72</v>
      </c>
      <c r="BG80" s="4" t="s">
        <v>72</v>
      </c>
      <c r="BH80" s="4" t="s">
        <v>71</v>
      </c>
      <c r="BI80" s="4" t="s">
        <v>70</v>
      </c>
      <c r="BJ80" s="4" t="s">
        <v>73</v>
      </c>
      <c r="BK80" s="4" t="s">
        <v>70</v>
      </c>
      <c r="BL80" s="4" t="s">
        <v>72</v>
      </c>
      <c r="BM80" s="4" t="s">
        <v>71</v>
      </c>
      <c r="BN80" s="4" t="s">
        <v>71</v>
      </c>
      <c r="BO80" s="4" t="s">
        <v>72</v>
      </c>
      <c r="BP80" s="4" t="s">
        <v>70</v>
      </c>
      <c r="BQ80" s="4" t="s">
        <v>71</v>
      </c>
      <c r="BR80" s="4" t="s">
        <v>71</v>
      </c>
      <c r="BS80" s="4" t="s">
        <v>70</v>
      </c>
      <c r="BT80" s="4" t="s">
        <v>70</v>
      </c>
      <c r="BU80" s="4" t="s">
        <v>70</v>
      </c>
      <c r="BV80" s="4" t="s">
        <v>70</v>
      </c>
      <c r="BW80" s="4" t="s">
        <v>70</v>
      </c>
      <c r="BX80" s="4" t="s">
        <v>71</v>
      </c>
    </row>
    <row r="81" spans="1:76">
      <c r="A81" s="4" t="s">
        <v>216</v>
      </c>
      <c r="B81" s="4" t="s">
        <v>223</v>
      </c>
      <c r="C81" s="4" t="s">
        <v>152</v>
      </c>
      <c r="D81" s="4" t="s">
        <v>153</v>
      </c>
      <c r="E81" s="4" t="s">
        <v>72</v>
      </c>
      <c r="F81" s="4" t="s">
        <v>71</v>
      </c>
      <c r="G81" s="4" t="s">
        <v>71</v>
      </c>
      <c r="H81" s="4" t="s">
        <v>71</v>
      </c>
      <c r="I81" s="4" t="s">
        <v>71</v>
      </c>
      <c r="J81" s="4" t="s">
        <v>72</v>
      </c>
      <c r="K81" s="4" t="s">
        <v>70</v>
      </c>
      <c r="L81" s="4" t="s">
        <v>72</v>
      </c>
      <c r="M81" s="4" t="s">
        <v>73</v>
      </c>
      <c r="N81" s="4" t="s">
        <v>70</v>
      </c>
      <c r="O81" s="4" t="s">
        <v>71</v>
      </c>
      <c r="P81" s="4" t="s">
        <v>72</v>
      </c>
      <c r="Q81" s="4" t="s">
        <v>71</v>
      </c>
      <c r="R81" s="4" t="s">
        <v>73</v>
      </c>
      <c r="S81" s="4" t="s">
        <v>73</v>
      </c>
      <c r="T81" s="4" t="s">
        <v>72</v>
      </c>
      <c r="U81" s="4" t="s">
        <v>72</v>
      </c>
      <c r="V81" s="4" t="s">
        <v>70</v>
      </c>
      <c r="W81" s="4" t="s">
        <v>70</v>
      </c>
      <c r="X81" s="4" t="s">
        <v>71</v>
      </c>
      <c r="Y81" s="4" t="s">
        <v>73</v>
      </c>
      <c r="Z81" s="4" t="s">
        <v>70</v>
      </c>
      <c r="AA81" s="4" t="s">
        <v>73</v>
      </c>
      <c r="AB81" s="4" t="s">
        <v>70</v>
      </c>
      <c r="AC81" s="4" t="s">
        <v>71</v>
      </c>
      <c r="AD81" s="4" t="s">
        <v>73</v>
      </c>
      <c r="AE81" s="4" t="s">
        <v>70</v>
      </c>
      <c r="AF81" s="4" t="s">
        <v>71</v>
      </c>
      <c r="AG81" s="4" t="s">
        <v>71</v>
      </c>
      <c r="AH81" s="4" t="s">
        <v>70</v>
      </c>
      <c r="AI81" s="4" t="s">
        <v>70</v>
      </c>
      <c r="AJ81" s="4" t="s">
        <v>71</v>
      </c>
      <c r="AK81" s="4" t="s">
        <v>72</v>
      </c>
      <c r="AL81" s="4" t="s">
        <v>70</v>
      </c>
      <c r="AM81" s="4" t="s">
        <v>72</v>
      </c>
      <c r="AN81" s="4" t="s">
        <v>72</v>
      </c>
      <c r="AO81" s="4" t="s">
        <v>73</v>
      </c>
      <c r="AP81" s="4" t="s">
        <v>73</v>
      </c>
      <c r="AQ81" s="4" t="s">
        <v>71</v>
      </c>
      <c r="AR81" s="4" t="s">
        <v>71</v>
      </c>
      <c r="AS81" s="4" t="s">
        <v>70</v>
      </c>
      <c r="AT81" s="4" t="s">
        <v>70</v>
      </c>
      <c r="AU81" s="4" t="s">
        <v>71</v>
      </c>
      <c r="AV81" s="4" t="s">
        <v>73</v>
      </c>
      <c r="AW81" s="4" t="s">
        <v>70</v>
      </c>
      <c r="AX81" s="4" t="s">
        <v>70</v>
      </c>
      <c r="AY81" s="4" t="s">
        <v>72</v>
      </c>
      <c r="AZ81" s="4" t="s">
        <v>72</v>
      </c>
      <c r="BA81" s="4" t="s">
        <v>73</v>
      </c>
      <c r="BB81" s="4" t="s">
        <v>71</v>
      </c>
      <c r="BC81" s="4" t="s">
        <v>72</v>
      </c>
      <c r="BD81" s="4" t="s">
        <v>70</v>
      </c>
      <c r="BE81" s="4" t="s">
        <v>70</v>
      </c>
      <c r="BF81" s="4" t="s">
        <v>72</v>
      </c>
      <c r="BG81" s="4" t="s">
        <v>72</v>
      </c>
      <c r="BH81" s="4" t="s">
        <v>71</v>
      </c>
      <c r="BI81" s="4" t="s">
        <v>70</v>
      </c>
      <c r="BJ81" s="4" t="s">
        <v>73</v>
      </c>
      <c r="BK81" s="4" t="s">
        <v>70</v>
      </c>
      <c r="BL81" s="4" t="s">
        <v>72</v>
      </c>
      <c r="BM81" s="4" t="s">
        <v>71</v>
      </c>
      <c r="BN81" s="4" t="s">
        <v>71</v>
      </c>
      <c r="BO81" s="4" t="s">
        <v>73</v>
      </c>
      <c r="BP81" s="4" t="s">
        <v>70</v>
      </c>
      <c r="BQ81" s="4" t="s">
        <v>72</v>
      </c>
      <c r="BR81" s="4" t="s">
        <v>71</v>
      </c>
      <c r="BS81" s="4" t="s">
        <v>70</v>
      </c>
      <c r="BT81" s="4" t="s">
        <v>70</v>
      </c>
      <c r="BU81" s="4" t="s">
        <v>70</v>
      </c>
      <c r="BV81" s="4" t="s">
        <v>70</v>
      </c>
      <c r="BW81" s="4" t="s">
        <v>70</v>
      </c>
      <c r="BX81" s="4" t="s">
        <v>73</v>
      </c>
    </row>
    <row r="82" spans="1:76">
      <c r="A82" s="4" t="s">
        <v>216</v>
      </c>
      <c r="B82" s="4" t="s">
        <v>224</v>
      </c>
      <c r="C82" s="4" t="s">
        <v>152</v>
      </c>
      <c r="D82" s="4" t="s">
        <v>153</v>
      </c>
      <c r="E82" s="4" t="s">
        <v>72</v>
      </c>
      <c r="F82" s="4" t="s">
        <v>71</v>
      </c>
      <c r="G82" s="4" t="s">
        <v>71</v>
      </c>
      <c r="H82" s="4" t="s">
        <v>71</v>
      </c>
      <c r="I82" s="4" t="s">
        <v>71</v>
      </c>
      <c r="J82" s="4" t="s">
        <v>72</v>
      </c>
      <c r="K82" s="4" t="s">
        <v>70</v>
      </c>
      <c r="L82" s="4" t="s">
        <v>72</v>
      </c>
      <c r="M82" s="4" t="s">
        <v>73</v>
      </c>
      <c r="N82" s="4" t="s">
        <v>70</v>
      </c>
      <c r="O82" s="4" t="s">
        <v>71</v>
      </c>
      <c r="P82" s="4" t="s">
        <v>72</v>
      </c>
      <c r="Q82" s="4" t="s">
        <v>71</v>
      </c>
      <c r="R82" s="4" t="s">
        <v>73</v>
      </c>
      <c r="S82" s="4" t="s">
        <v>73</v>
      </c>
      <c r="T82" s="4" t="s">
        <v>72</v>
      </c>
      <c r="U82" s="4" t="s">
        <v>72</v>
      </c>
      <c r="V82" s="4" t="s">
        <v>70</v>
      </c>
      <c r="W82" s="4" t="s">
        <v>70</v>
      </c>
      <c r="X82" s="4" t="s">
        <v>71</v>
      </c>
      <c r="Y82" s="4" t="s">
        <v>73</v>
      </c>
      <c r="Z82" s="4" t="s">
        <v>70</v>
      </c>
      <c r="AA82" s="4" t="s">
        <v>73</v>
      </c>
      <c r="AB82" s="4" t="s">
        <v>70</v>
      </c>
      <c r="AC82" s="4" t="s">
        <v>71</v>
      </c>
      <c r="AD82" s="4" t="s">
        <v>73</v>
      </c>
      <c r="AE82" s="4" t="s">
        <v>72</v>
      </c>
      <c r="AF82" s="4" t="s">
        <v>72</v>
      </c>
      <c r="AG82" s="4" t="s">
        <v>71</v>
      </c>
      <c r="AH82" s="4" t="s">
        <v>70</v>
      </c>
      <c r="AI82" s="4" t="s">
        <v>70</v>
      </c>
      <c r="AJ82" s="4" t="s">
        <v>71</v>
      </c>
      <c r="AK82" s="4" t="s">
        <v>72</v>
      </c>
      <c r="AL82" s="4" t="s">
        <v>70</v>
      </c>
      <c r="AM82" s="4" t="s">
        <v>72</v>
      </c>
      <c r="AN82" s="4" t="s">
        <v>72</v>
      </c>
      <c r="AO82" s="4" t="s">
        <v>73</v>
      </c>
      <c r="AP82" s="4" t="s">
        <v>73</v>
      </c>
      <c r="AQ82" s="4" t="s">
        <v>71</v>
      </c>
      <c r="AR82" s="4" t="s">
        <v>71</v>
      </c>
      <c r="AS82" s="4" t="s">
        <v>70</v>
      </c>
      <c r="AT82" s="4" t="s">
        <v>70</v>
      </c>
      <c r="AU82" s="4" t="s">
        <v>73</v>
      </c>
      <c r="AV82" s="4" t="s">
        <v>70</v>
      </c>
      <c r="AW82" s="4" t="s">
        <v>70</v>
      </c>
      <c r="AX82" s="4" t="s">
        <v>70</v>
      </c>
      <c r="AY82" s="4" t="s">
        <v>72</v>
      </c>
      <c r="AZ82" s="4" t="s">
        <v>72</v>
      </c>
      <c r="BA82" s="4" t="s">
        <v>73</v>
      </c>
      <c r="BB82" s="4" t="s">
        <v>71</v>
      </c>
      <c r="BC82" s="4" t="s">
        <v>72</v>
      </c>
      <c r="BD82" s="4" t="s">
        <v>70</v>
      </c>
      <c r="BE82" s="4" t="s">
        <v>70</v>
      </c>
      <c r="BF82" s="4" t="s">
        <v>72</v>
      </c>
      <c r="BG82" s="4" t="s">
        <v>72</v>
      </c>
      <c r="BH82" s="4" t="s">
        <v>71</v>
      </c>
      <c r="BI82" s="4" t="s">
        <v>70</v>
      </c>
      <c r="BJ82" s="4" t="s">
        <v>73</v>
      </c>
      <c r="BK82" s="4" t="s">
        <v>70</v>
      </c>
      <c r="BL82" s="4" t="s">
        <v>72</v>
      </c>
      <c r="BM82" s="4" t="s">
        <v>71</v>
      </c>
      <c r="BN82" s="4" t="s">
        <v>71</v>
      </c>
      <c r="BO82" s="4" t="s">
        <v>73</v>
      </c>
      <c r="BP82" s="4" t="s">
        <v>70</v>
      </c>
      <c r="BQ82" s="4" t="s">
        <v>72</v>
      </c>
      <c r="BR82" s="4" t="s">
        <v>71</v>
      </c>
      <c r="BS82" s="4" t="s">
        <v>70</v>
      </c>
      <c r="BT82" s="4" t="s">
        <v>70</v>
      </c>
      <c r="BU82" s="4" t="s">
        <v>70</v>
      </c>
      <c r="BV82" s="4" t="s">
        <v>70</v>
      </c>
      <c r="BW82" s="4" t="s">
        <v>70</v>
      </c>
      <c r="BX82" s="4" t="s">
        <v>73</v>
      </c>
    </row>
    <row r="83" spans="1:76">
      <c r="A83" s="4" t="s">
        <v>216</v>
      </c>
      <c r="B83" s="4" t="s">
        <v>225</v>
      </c>
      <c r="C83" s="4" t="s">
        <v>191</v>
      </c>
      <c r="D83" s="4" t="s">
        <v>80</v>
      </c>
      <c r="E83" s="4" t="s">
        <v>70</v>
      </c>
      <c r="F83" s="4" t="s">
        <v>70</v>
      </c>
      <c r="G83" s="4" t="s">
        <v>72</v>
      </c>
      <c r="H83" s="4" t="s">
        <v>70</v>
      </c>
      <c r="I83" s="4" t="s">
        <v>70</v>
      </c>
      <c r="J83" s="4" t="s">
        <v>73</v>
      </c>
      <c r="K83" s="4" t="s">
        <v>70</v>
      </c>
      <c r="L83" s="4" t="s">
        <v>72</v>
      </c>
      <c r="M83" s="4" t="s">
        <v>70</v>
      </c>
      <c r="N83" s="4" t="s">
        <v>70</v>
      </c>
      <c r="O83" s="4" t="s">
        <v>71</v>
      </c>
      <c r="P83" s="4" t="s">
        <v>71</v>
      </c>
      <c r="Q83" s="4" t="s">
        <v>70</v>
      </c>
      <c r="R83" s="4" t="s">
        <v>73</v>
      </c>
      <c r="S83" s="4" t="s">
        <v>70</v>
      </c>
      <c r="T83" s="10" t="s">
        <v>77</v>
      </c>
      <c r="U83" s="4" t="s">
        <v>73</v>
      </c>
      <c r="V83" s="4" t="s">
        <v>70</v>
      </c>
      <c r="W83" s="4" t="s">
        <v>70</v>
      </c>
      <c r="X83" s="4" t="s">
        <v>71</v>
      </c>
      <c r="Y83" s="4" t="s">
        <v>70</v>
      </c>
      <c r="Z83" s="4" t="s">
        <v>73</v>
      </c>
      <c r="AA83" s="4" t="s">
        <v>70</v>
      </c>
      <c r="AB83" s="4" t="s">
        <v>70</v>
      </c>
      <c r="AC83" s="4" t="s">
        <v>71</v>
      </c>
      <c r="AD83" s="4" t="s">
        <v>73</v>
      </c>
      <c r="AE83" s="4" t="s">
        <v>73</v>
      </c>
      <c r="AF83" s="4" t="s">
        <v>71</v>
      </c>
      <c r="AG83" s="4" t="s">
        <v>70</v>
      </c>
      <c r="AH83" s="4" t="s">
        <v>70</v>
      </c>
      <c r="AI83" s="4" t="s">
        <v>71</v>
      </c>
      <c r="AJ83" s="4" t="s">
        <v>71</v>
      </c>
      <c r="AK83" s="4" t="s">
        <v>72</v>
      </c>
      <c r="AL83" s="4" t="s">
        <v>70</v>
      </c>
      <c r="AM83" s="4" t="s">
        <v>71</v>
      </c>
      <c r="AN83" s="4" t="s">
        <v>73</v>
      </c>
      <c r="AO83" s="4" t="s">
        <v>73</v>
      </c>
      <c r="AP83" s="4" t="s">
        <v>73</v>
      </c>
      <c r="AQ83" s="4" t="s">
        <v>70</v>
      </c>
      <c r="AR83" s="4" t="s">
        <v>71</v>
      </c>
      <c r="AS83" s="4" t="s">
        <v>71</v>
      </c>
      <c r="AT83" s="4" t="s">
        <v>70</v>
      </c>
      <c r="AU83" s="4" t="s">
        <v>72</v>
      </c>
      <c r="AV83" s="4" t="s">
        <v>71</v>
      </c>
      <c r="AW83" s="4" t="s">
        <v>72</v>
      </c>
      <c r="AX83" s="10" t="s">
        <v>77</v>
      </c>
      <c r="AY83" s="4" t="s">
        <v>73</v>
      </c>
      <c r="AZ83" s="4" t="s">
        <v>71</v>
      </c>
      <c r="BA83" s="4" t="s">
        <v>73</v>
      </c>
      <c r="BB83" s="4" t="s">
        <v>71</v>
      </c>
      <c r="BC83" s="4" t="s">
        <v>70</v>
      </c>
      <c r="BD83" s="4" t="s">
        <v>70</v>
      </c>
      <c r="BE83" s="4" t="s">
        <v>70</v>
      </c>
      <c r="BF83" s="4" t="s">
        <v>72</v>
      </c>
      <c r="BG83" s="4" t="s">
        <v>72</v>
      </c>
      <c r="BH83" s="4" t="s">
        <v>71</v>
      </c>
      <c r="BI83" s="4" t="s">
        <v>73</v>
      </c>
      <c r="BJ83" s="4" t="s">
        <v>73</v>
      </c>
      <c r="BK83" s="4" t="s">
        <v>73</v>
      </c>
      <c r="BL83" s="4" t="s">
        <v>72</v>
      </c>
      <c r="BM83" s="4" t="s">
        <v>71</v>
      </c>
      <c r="BN83" s="4" t="s">
        <v>71</v>
      </c>
      <c r="BO83" s="4" t="s">
        <v>71</v>
      </c>
      <c r="BP83" s="4" t="s">
        <v>70</v>
      </c>
      <c r="BQ83" s="4" t="s">
        <v>72</v>
      </c>
      <c r="BR83" s="4" t="s">
        <v>71</v>
      </c>
      <c r="BS83" s="4" t="s">
        <v>72</v>
      </c>
      <c r="BT83" s="4" t="s">
        <v>71</v>
      </c>
      <c r="BU83" s="4" t="s">
        <v>71</v>
      </c>
      <c r="BV83" s="4" t="s">
        <v>73</v>
      </c>
      <c r="BW83" s="4" t="s">
        <v>71</v>
      </c>
      <c r="BX83" s="4" t="s">
        <v>71</v>
      </c>
    </row>
    <row r="84" spans="1:76">
      <c r="A84" s="4" t="s">
        <v>216</v>
      </c>
      <c r="B84" s="4" t="s">
        <v>226</v>
      </c>
      <c r="C84" s="4" t="s">
        <v>191</v>
      </c>
      <c r="D84" s="4" t="s">
        <v>80</v>
      </c>
      <c r="E84" s="4" t="s">
        <v>70</v>
      </c>
      <c r="F84" s="4" t="s">
        <v>70</v>
      </c>
      <c r="G84" s="4" t="s">
        <v>72</v>
      </c>
      <c r="H84" s="4" t="s">
        <v>70</v>
      </c>
      <c r="I84" s="4" t="s">
        <v>70</v>
      </c>
      <c r="J84" s="4" t="s">
        <v>73</v>
      </c>
      <c r="K84" s="4" t="s">
        <v>70</v>
      </c>
      <c r="L84" s="4" t="s">
        <v>72</v>
      </c>
      <c r="M84" s="4" t="s">
        <v>70</v>
      </c>
      <c r="N84" s="4" t="s">
        <v>70</v>
      </c>
      <c r="O84" s="4" t="s">
        <v>71</v>
      </c>
      <c r="P84" s="4" t="s">
        <v>71</v>
      </c>
      <c r="Q84" s="4" t="s">
        <v>70</v>
      </c>
      <c r="R84" s="4" t="s">
        <v>73</v>
      </c>
      <c r="S84" s="4" t="s">
        <v>70</v>
      </c>
      <c r="T84" s="10" t="s">
        <v>77</v>
      </c>
      <c r="U84" s="4" t="s">
        <v>73</v>
      </c>
      <c r="V84" s="4" t="s">
        <v>70</v>
      </c>
      <c r="W84" s="4" t="s">
        <v>70</v>
      </c>
      <c r="X84" s="4" t="s">
        <v>71</v>
      </c>
      <c r="Y84" s="4" t="s">
        <v>70</v>
      </c>
      <c r="Z84" s="4" t="s">
        <v>73</v>
      </c>
      <c r="AA84" s="4" t="s">
        <v>70</v>
      </c>
      <c r="AB84" s="4" t="s">
        <v>70</v>
      </c>
      <c r="AC84" s="4" t="s">
        <v>71</v>
      </c>
      <c r="AD84" s="4" t="s">
        <v>73</v>
      </c>
      <c r="AE84" s="4" t="s">
        <v>73</v>
      </c>
      <c r="AF84" s="4" t="s">
        <v>71</v>
      </c>
      <c r="AG84" s="4" t="s">
        <v>70</v>
      </c>
      <c r="AH84" s="4" t="s">
        <v>70</v>
      </c>
      <c r="AI84" s="4" t="s">
        <v>71</v>
      </c>
      <c r="AJ84" s="4" t="s">
        <v>71</v>
      </c>
      <c r="AK84" s="4" t="s">
        <v>72</v>
      </c>
      <c r="AL84" s="4" t="s">
        <v>70</v>
      </c>
      <c r="AM84" s="4" t="s">
        <v>71</v>
      </c>
      <c r="AN84" s="4" t="s">
        <v>73</v>
      </c>
      <c r="AO84" s="4" t="s">
        <v>73</v>
      </c>
      <c r="AP84" s="4" t="s">
        <v>73</v>
      </c>
      <c r="AQ84" s="4" t="s">
        <v>70</v>
      </c>
      <c r="AR84" s="4" t="s">
        <v>71</v>
      </c>
      <c r="AS84" s="4" t="s">
        <v>71</v>
      </c>
      <c r="AT84" s="4" t="s">
        <v>70</v>
      </c>
      <c r="AU84" s="4" t="s">
        <v>72</v>
      </c>
      <c r="AV84" s="4" t="s">
        <v>71</v>
      </c>
      <c r="AW84" s="4" t="s">
        <v>72</v>
      </c>
      <c r="AX84" s="10" t="s">
        <v>77</v>
      </c>
      <c r="AY84" s="4" t="s">
        <v>73</v>
      </c>
      <c r="AZ84" s="4" t="s">
        <v>71</v>
      </c>
      <c r="BA84" s="4" t="s">
        <v>73</v>
      </c>
      <c r="BB84" s="4" t="s">
        <v>71</v>
      </c>
      <c r="BC84" s="4" t="s">
        <v>70</v>
      </c>
      <c r="BD84" s="4" t="s">
        <v>70</v>
      </c>
      <c r="BE84" s="4" t="s">
        <v>70</v>
      </c>
      <c r="BF84" s="4" t="s">
        <v>72</v>
      </c>
      <c r="BG84" s="4" t="s">
        <v>72</v>
      </c>
      <c r="BH84" s="4" t="s">
        <v>71</v>
      </c>
      <c r="BI84" s="4" t="s">
        <v>73</v>
      </c>
      <c r="BJ84" s="4" t="s">
        <v>73</v>
      </c>
      <c r="BK84" s="4" t="s">
        <v>73</v>
      </c>
      <c r="BL84" s="4" t="s">
        <v>72</v>
      </c>
      <c r="BM84" s="4" t="s">
        <v>71</v>
      </c>
      <c r="BN84" s="4" t="s">
        <v>71</v>
      </c>
      <c r="BO84" s="4" t="s">
        <v>71</v>
      </c>
      <c r="BP84" s="4" t="s">
        <v>70</v>
      </c>
      <c r="BQ84" s="4" t="s">
        <v>72</v>
      </c>
      <c r="BR84" s="4" t="s">
        <v>71</v>
      </c>
      <c r="BS84" s="4" t="s">
        <v>72</v>
      </c>
      <c r="BT84" s="4" t="s">
        <v>71</v>
      </c>
      <c r="BU84" s="4" t="s">
        <v>71</v>
      </c>
      <c r="BV84" s="4" t="s">
        <v>73</v>
      </c>
      <c r="BW84" s="4" t="s">
        <v>71</v>
      </c>
      <c r="BX84" s="4" t="s">
        <v>71</v>
      </c>
    </row>
    <row r="85" spans="1:76">
      <c r="A85" s="4" t="s">
        <v>216</v>
      </c>
      <c r="B85" s="4" t="s">
        <v>227</v>
      </c>
      <c r="C85" s="4" t="s">
        <v>191</v>
      </c>
      <c r="D85" s="4" t="s">
        <v>80</v>
      </c>
      <c r="E85" s="4" t="s">
        <v>70</v>
      </c>
      <c r="F85" s="4" t="s">
        <v>73</v>
      </c>
      <c r="G85" s="4" t="s">
        <v>71</v>
      </c>
      <c r="H85" s="4" t="s">
        <v>71</v>
      </c>
      <c r="I85" s="4" t="s">
        <v>70</v>
      </c>
      <c r="J85" s="4" t="s">
        <v>72</v>
      </c>
      <c r="K85" s="4" t="s">
        <v>70</v>
      </c>
      <c r="L85" s="4" t="s">
        <v>72</v>
      </c>
      <c r="M85" s="4" t="s">
        <v>70</v>
      </c>
      <c r="N85" s="4" t="s">
        <v>71</v>
      </c>
      <c r="O85" s="4" t="s">
        <v>71</v>
      </c>
      <c r="P85" s="4" t="s">
        <v>71</v>
      </c>
      <c r="Q85" s="4" t="s">
        <v>70</v>
      </c>
      <c r="R85" s="4" t="s">
        <v>73</v>
      </c>
      <c r="S85" s="4" t="s">
        <v>70</v>
      </c>
      <c r="T85" s="10" t="s">
        <v>77</v>
      </c>
      <c r="U85" s="4" t="s">
        <v>73</v>
      </c>
      <c r="V85" s="4" t="s">
        <v>70</v>
      </c>
      <c r="W85" s="4" t="s">
        <v>70</v>
      </c>
      <c r="X85" s="4" t="s">
        <v>71</v>
      </c>
      <c r="Y85" s="4" t="s">
        <v>71</v>
      </c>
      <c r="Z85" s="4" t="s">
        <v>73</v>
      </c>
      <c r="AA85" s="4" t="s">
        <v>70</v>
      </c>
      <c r="AB85" s="4" t="s">
        <v>70</v>
      </c>
      <c r="AC85" s="4" t="s">
        <v>70</v>
      </c>
      <c r="AD85" s="4" t="s">
        <v>70</v>
      </c>
      <c r="AE85" s="4" t="s">
        <v>71</v>
      </c>
      <c r="AF85" s="4" t="s">
        <v>72</v>
      </c>
      <c r="AG85" s="4" t="s">
        <v>71</v>
      </c>
      <c r="AH85" s="4" t="s">
        <v>70</v>
      </c>
      <c r="AI85" s="4" t="s">
        <v>73</v>
      </c>
      <c r="AJ85" s="4" t="s">
        <v>71</v>
      </c>
      <c r="AK85" s="4" t="s">
        <v>72</v>
      </c>
      <c r="AL85" s="4" t="s">
        <v>70</v>
      </c>
      <c r="AM85" s="4" t="s">
        <v>71</v>
      </c>
      <c r="AN85" s="4" t="s">
        <v>73</v>
      </c>
      <c r="AO85" s="4" t="s">
        <v>73</v>
      </c>
      <c r="AP85" s="4" t="s">
        <v>71</v>
      </c>
      <c r="AQ85" s="4" t="s">
        <v>72</v>
      </c>
      <c r="AR85" s="4" t="s">
        <v>71</v>
      </c>
      <c r="AS85" s="4" t="s">
        <v>70</v>
      </c>
      <c r="AT85" s="4" t="s">
        <v>73</v>
      </c>
      <c r="AU85" s="4" t="s">
        <v>70</v>
      </c>
      <c r="AV85" s="4" t="s">
        <v>72</v>
      </c>
      <c r="AW85" s="4" t="s">
        <v>72</v>
      </c>
      <c r="AX85" s="4" t="s">
        <v>73</v>
      </c>
      <c r="AY85" s="4" t="s">
        <v>71</v>
      </c>
      <c r="AZ85" s="4" t="s">
        <v>71</v>
      </c>
      <c r="BA85" s="4" t="s">
        <v>70</v>
      </c>
      <c r="BB85" s="4" t="s">
        <v>70</v>
      </c>
      <c r="BC85" s="4" t="s">
        <v>72</v>
      </c>
      <c r="BD85" s="4" t="s">
        <v>72</v>
      </c>
      <c r="BE85" s="4" t="s">
        <v>71</v>
      </c>
      <c r="BF85" s="4" t="s">
        <v>72</v>
      </c>
      <c r="BG85" s="4" t="s">
        <v>73</v>
      </c>
      <c r="BH85" s="4" t="s">
        <v>73</v>
      </c>
      <c r="BI85" s="4" t="s">
        <v>72</v>
      </c>
      <c r="BJ85" s="4" t="s">
        <v>71</v>
      </c>
      <c r="BK85" s="4" t="s">
        <v>71</v>
      </c>
      <c r="BL85" s="4" t="s">
        <v>70</v>
      </c>
      <c r="BM85" s="4" t="s">
        <v>70</v>
      </c>
      <c r="BN85" s="4" t="s">
        <v>72</v>
      </c>
      <c r="BO85" s="4" t="s">
        <v>71</v>
      </c>
      <c r="BP85" s="4" t="s">
        <v>73</v>
      </c>
      <c r="BQ85" s="4" t="s">
        <v>71</v>
      </c>
      <c r="BR85" s="4" t="s">
        <v>70</v>
      </c>
      <c r="BS85" s="4" t="s">
        <v>70</v>
      </c>
      <c r="BT85" s="4" t="s">
        <v>72</v>
      </c>
      <c r="BU85" s="4" t="s">
        <v>71</v>
      </c>
      <c r="BV85" s="4" t="s">
        <v>72</v>
      </c>
      <c r="BW85" s="4" t="s">
        <v>71</v>
      </c>
      <c r="BX85" s="4" t="s">
        <v>71</v>
      </c>
    </row>
    <row r="86" spans="1:76">
      <c r="A86" s="4" t="s">
        <v>216</v>
      </c>
      <c r="B86" s="4" t="s">
        <v>228</v>
      </c>
      <c r="C86" s="4" t="s">
        <v>109</v>
      </c>
      <c r="D86" s="4" t="s">
        <v>110</v>
      </c>
      <c r="E86" s="4" t="s">
        <v>72</v>
      </c>
      <c r="F86" s="4" t="s">
        <v>70</v>
      </c>
      <c r="G86" s="4" t="s">
        <v>70</v>
      </c>
      <c r="H86" s="4" t="s">
        <v>70</v>
      </c>
      <c r="I86" s="4" t="s">
        <v>71</v>
      </c>
      <c r="J86" s="4" t="s">
        <v>72</v>
      </c>
      <c r="K86" s="4" t="s">
        <v>73</v>
      </c>
      <c r="L86" s="4" t="s">
        <v>72</v>
      </c>
      <c r="M86" s="4" t="s">
        <v>70</v>
      </c>
      <c r="N86" s="4" t="s">
        <v>71</v>
      </c>
      <c r="O86" s="4" t="s">
        <v>72</v>
      </c>
      <c r="P86" s="4" t="s">
        <v>70</v>
      </c>
      <c r="Q86" s="4" t="s">
        <v>72</v>
      </c>
      <c r="R86" s="4" t="s">
        <v>73</v>
      </c>
      <c r="S86" s="4" t="s">
        <v>73</v>
      </c>
      <c r="T86" s="4" t="s">
        <v>72</v>
      </c>
      <c r="U86" s="4" t="s">
        <v>72</v>
      </c>
      <c r="V86" s="4" t="s">
        <v>70</v>
      </c>
      <c r="W86" s="4" t="s">
        <v>70</v>
      </c>
      <c r="X86" s="4" t="s">
        <v>71</v>
      </c>
      <c r="Y86" s="4" t="s">
        <v>73</v>
      </c>
      <c r="Z86" s="4" t="s">
        <v>73</v>
      </c>
      <c r="AA86" s="4" t="s">
        <v>71</v>
      </c>
      <c r="AB86" s="4" t="s">
        <v>73</v>
      </c>
      <c r="AC86" s="4" t="s">
        <v>71</v>
      </c>
      <c r="AD86" s="4" t="s">
        <v>72</v>
      </c>
      <c r="AE86" s="4" t="s">
        <v>73</v>
      </c>
      <c r="AF86" s="4" t="s">
        <v>71</v>
      </c>
      <c r="AG86" s="4" t="s">
        <v>70</v>
      </c>
      <c r="AH86" s="4" t="s">
        <v>70</v>
      </c>
      <c r="AI86" s="4" t="s">
        <v>72</v>
      </c>
      <c r="AJ86" s="4" t="s">
        <v>72</v>
      </c>
      <c r="AK86" s="4" t="s">
        <v>72</v>
      </c>
      <c r="AL86" s="4" t="s">
        <v>71</v>
      </c>
      <c r="AM86" s="4" t="s">
        <v>72</v>
      </c>
      <c r="AN86" s="4" t="s">
        <v>70</v>
      </c>
      <c r="AO86" s="4" t="s">
        <v>70</v>
      </c>
      <c r="AP86" s="4" t="s">
        <v>72</v>
      </c>
      <c r="AQ86" s="4" t="s">
        <v>73</v>
      </c>
      <c r="AR86" s="4" t="s">
        <v>71</v>
      </c>
      <c r="AS86" s="4" t="s">
        <v>71</v>
      </c>
      <c r="AT86" s="4" t="s">
        <v>70</v>
      </c>
      <c r="AU86" s="4" t="s">
        <v>72</v>
      </c>
      <c r="AV86" s="4" t="s">
        <v>71</v>
      </c>
      <c r="AW86" s="4" t="s">
        <v>73</v>
      </c>
      <c r="AX86" s="10" t="s">
        <v>77</v>
      </c>
      <c r="AY86" s="4" t="s">
        <v>72</v>
      </c>
      <c r="AZ86" s="4" t="s">
        <v>72</v>
      </c>
      <c r="BA86" s="4" t="s">
        <v>71</v>
      </c>
      <c r="BB86" s="4" t="s">
        <v>72</v>
      </c>
      <c r="BC86" s="4" t="s">
        <v>73</v>
      </c>
      <c r="BD86" s="4" t="s">
        <v>70</v>
      </c>
      <c r="BE86" s="4" t="s">
        <v>70</v>
      </c>
      <c r="BF86" s="4" t="s">
        <v>72</v>
      </c>
      <c r="BG86" s="4" t="s">
        <v>72</v>
      </c>
      <c r="BH86" s="4" t="s">
        <v>71</v>
      </c>
      <c r="BI86" s="4" t="s">
        <v>70</v>
      </c>
      <c r="BJ86" s="4" t="s">
        <v>73</v>
      </c>
      <c r="BK86" s="4" t="s">
        <v>70</v>
      </c>
      <c r="BL86" s="4" t="s">
        <v>72</v>
      </c>
      <c r="BM86" s="4" t="s">
        <v>71</v>
      </c>
      <c r="BN86" s="4" t="s">
        <v>71</v>
      </c>
      <c r="BO86" s="4" t="s">
        <v>72</v>
      </c>
      <c r="BP86" s="4" t="s">
        <v>70</v>
      </c>
      <c r="BQ86" s="4" t="s">
        <v>70</v>
      </c>
      <c r="BR86" s="4" t="s">
        <v>72</v>
      </c>
      <c r="BS86" s="4" t="s">
        <v>73</v>
      </c>
      <c r="BT86" s="4" t="s">
        <v>70</v>
      </c>
      <c r="BU86" s="4" t="s">
        <v>71</v>
      </c>
      <c r="BV86" s="4" t="s">
        <v>71</v>
      </c>
      <c r="BW86" s="4" t="s">
        <v>71</v>
      </c>
      <c r="BX86" s="4" t="s">
        <v>73</v>
      </c>
    </row>
    <row r="87" spans="1:76">
      <c r="A87" s="4" t="s">
        <v>216</v>
      </c>
      <c r="B87" s="4" t="s">
        <v>229</v>
      </c>
      <c r="C87" s="4" t="s">
        <v>109</v>
      </c>
      <c r="D87" s="4" t="s">
        <v>230</v>
      </c>
      <c r="E87" s="4" t="s">
        <v>72</v>
      </c>
      <c r="F87" s="4" t="s">
        <v>71</v>
      </c>
      <c r="G87" s="4" t="s">
        <v>71</v>
      </c>
      <c r="H87" s="4" t="s">
        <v>71</v>
      </c>
      <c r="I87" s="4" t="s">
        <v>71</v>
      </c>
      <c r="J87" s="4" t="s">
        <v>71</v>
      </c>
      <c r="K87" s="4" t="s">
        <v>73</v>
      </c>
      <c r="L87" s="4" t="s">
        <v>72</v>
      </c>
      <c r="M87" s="4" t="s">
        <v>70</v>
      </c>
      <c r="N87" s="4" t="s">
        <v>70</v>
      </c>
      <c r="O87" s="4" t="s">
        <v>72</v>
      </c>
      <c r="P87" s="4" t="s">
        <v>70</v>
      </c>
      <c r="Q87" s="4" t="s">
        <v>72</v>
      </c>
      <c r="R87" s="4" t="s">
        <v>73</v>
      </c>
      <c r="S87" s="4" t="s">
        <v>73</v>
      </c>
      <c r="T87" s="4" t="s">
        <v>72</v>
      </c>
      <c r="U87" s="4" t="s">
        <v>71</v>
      </c>
      <c r="V87" s="4" t="s">
        <v>70</v>
      </c>
      <c r="W87" s="4" t="s">
        <v>70</v>
      </c>
      <c r="X87" s="4" t="s">
        <v>71</v>
      </c>
      <c r="Y87" s="4" t="s">
        <v>73</v>
      </c>
      <c r="Z87" s="4" t="s">
        <v>70</v>
      </c>
      <c r="AA87" s="4" t="s">
        <v>71</v>
      </c>
      <c r="AB87" s="4" t="s">
        <v>73</v>
      </c>
      <c r="AC87" s="4" t="s">
        <v>71</v>
      </c>
      <c r="AD87" s="4" t="s">
        <v>72</v>
      </c>
      <c r="AE87" s="4" t="s">
        <v>70</v>
      </c>
      <c r="AF87" s="4" t="s">
        <v>71</v>
      </c>
      <c r="AG87" s="4" t="s">
        <v>70</v>
      </c>
      <c r="AH87" s="4" t="s">
        <v>70</v>
      </c>
      <c r="AI87" s="4" t="s">
        <v>72</v>
      </c>
      <c r="AJ87" s="4" t="s">
        <v>72</v>
      </c>
      <c r="AK87" s="4" t="s">
        <v>72</v>
      </c>
      <c r="AL87" s="4" t="s">
        <v>72</v>
      </c>
      <c r="AM87" s="4" t="s">
        <v>72</v>
      </c>
      <c r="AN87" s="4" t="s">
        <v>70</v>
      </c>
      <c r="AO87" s="4" t="s">
        <v>70</v>
      </c>
      <c r="AP87" s="4" t="s">
        <v>72</v>
      </c>
      <c r="AQ87" s="4" t="s">
        <v>73</v>
      </c>
      <c r="AR87" s="4" t="s">
        <v>71</v>
      </c>
      <c r="AS87" s="4" t="s">
        <v>71</v>
      </c>
      <c r="AT87" s="4" t="s">
        <v>70</v>
      </c>
      <c r="AU87" s="4" t="s">
        <v>72</v>
      </c>
      <c r="AV87" s="4" t="s">
        <v>71</v>
      </c>
      <c r="AW87" s="4" t="s">
        <v>72</v>
      </c>
      <c r="AX87" s="10" t="s">
        <v>77</v>
      </c>
      <c r="AY87" s="4" t="s">
        <v>70</v>
      </c>
      <c r="AZ87" s="4" t="s">
        <v>72</v>
      </c>
      <c r="BA87" s="4" t="s">
        <v>72</v>
      </c>
      <c r="BB87" s="4" t="s">
        <v>71</v>
      </c>
      <c r="BC87" s="4" t="s">
        <v>73</v>
      </c>
      <c r="BD87" s="4" t="s">
        <v>70</v>
      </c>
      <c r="BE87" s="4" t="s">
        <v>70</v>
      </c>
      <c r="BF87" s="4" t="s">
        <v>72</v>
      </c>
      <c r="BG87" s="4" t="s">
        <v>72</v>
      </c>
      <c r="BH87" s="4" t="s">
        <v>71</v>
      </c>
      <c r="BI87" s="4" t="s">
        <v>73</v>
      </c>
      <c r="BJ87" s="4" t="s">
        <v>73</v>
      </c>
      <c r="BK87" s="4" t="s">
        <v>73</v>
      </c>
      <c r="BL87" s="4" t="s">
        <v>72</v>
      </c>
      <c r="BM87" s="4" t="s">
        <v>71</v>
      </c>
      <c r="BN87" s="4" t="s">
        <v>71</v>
      </c>
      <c r="BO87" s="4" t="s">
        <v>72</v>
      </c>
      <c r="BP87" s="4" t="s">
        <v>70</v>
      </c>
      <c r="BQ87" s="4" t="s">
        <v>73</v>
      </c>
      <c r="BR87" s="4" t="s">
        <v>72</v>
      </c>
      <c r="BS87" s="4" t="s">
        <v>70</v>
      </c>
      <c r="BT87" s="4" t="s">
        <v>70</v>
      </c>
      <c r="BU87" s="4" t="s">
        <v>70</v>
      </c>
      <c r="BV87" s="4" t="s">
        <v>70</v>
      </c>
      <c r="BW87" s="4" t="s">
        <v>70</v>
      </c>
      <c r="BX87" s="4" t="s">
        <v>73</v>
      </c>
    </row>
    <row r="88" spans="1:76">
      <c r="A88" s="4" t="s">
        <v>216</v>
      </c>
      <c r="B88" s="4" t="s">
        <v>231</v>
      </c>
      <c r="C88" s="4" t="s">
        <v>112</v>
      </c>
      <c r="D88" s="4" t="s">
        <v>115</v>
      </c>
      <c r="E88" s="4" t="s">
        <v>70</v>
      </c>
      <c r="F88" s="4" t="s">
        <v>71</v>
      </c>
      <c r="G88" s="4" t="s">
        <v>70</v>
      </c>
      <c r="H88" s="4" t="s">
        <v>70</v>
      </c>
      <c r="I88" s="4" t="s">
        <v>73</v>
      </c>
      <c r="J88" s="4" t="s">
        <v>71</v>
      </c>
      <c r="K88" s="4" t="s">
        <v>70</v>
      </c>
      <c r="L88" s="4" t="s">
        <v>72</v>
      </c>
      <c r="M88" s="4" t="s">
        <v>73</v>
      </c>
      <c r="N88" s="4" t="s">
        <v>70</v>
      </c>
      <c r="O88" s="4" t="s">
        <v>71</v>
      </c>
      <c r="P88" s="4" t="s">
        <v>72</v>
      </c>
      <c r="Q88" s="4" t="s">
        <v>71</v>
      </c>
      <c r="R88" s="4" t="s">
        <v>73</v>
      </c>
      <c r="S88" s="4" t="s">
        <v>70</v>
      </c>
      <c r="T88" s="4" t="s">
        <v>72</v>
      </c>
      <c r="U88" s="4" t="s">
        <v>72</v>
      </c>
      <c r="V88" s="4" t="s">
        <v>70</v>
      </c>
      <c r="W88" s="4" t="s">
        <v>70</v>
      </c>
      <c r="X88" s="4" t="s">
        <v>72</v>
      </c>
      <c r="Y88" s="4" t="s">
        <v>73</v>
      </c>
      <c r="Z88" s="4" t="s">
        <v>70</v>
      </c>
      <c r="AA88" s="4" t="s">
        <v>73</v>
      </c>
      <c r="AB88" s="4" t="s">
        <v>70</v>
      </c>
      <c r="AC88" s="4" t="s">
        <v>71</v>
      </c>
      <c r="AD88" s="4" t="s">
        <v>70</v>
      </c>
      <c r="AE88" s="4" t="s">
        <v>71</v>
      </c>
      <c r="AF88" s="4" t="s">
        <v>73</v>
      </c>
      <c r="AG88" s="4" t="s">
        <v>73</v>
      </c>
      <c r="AH88" s="4" t="s">
        <v>71</v>
      </c>
      <c r="AI88" s="4" t="s">
        <v>71</v>
      </c>
      <c r="AJ88" s="4" t="s">
        <v>72</v>
      </c>
      <c r="AK88" s="4" t="s">
        <v>72</v>
      </c>
      <c r="AL88" s="4" t="s">
        <v>70</v>
      </c>
      <c r="AM88" s="4" t="s">
        <v>71</v>
      </c>
      <c r="AN88" s="4" t="s">
        <v>71</v>
      </c>
      <c r="AO88" s="4" t="s">
        <v>73</v>
      </c>
      <c r="AP88" s="4" t="s">
        <v>73</v>
      </c>
      <c r="AQ88" s="4" t="s">
        <v>70</v>
      </c>
      <c r="AR88" s="4" t="s">
        <v>70</v>
      </c>
      <c r="AS88" s="4" t="s">
        <v>72</v>
      </c>
      <c r="AT88" s="4" t="s">
        <v>72</v>
      </c>
      <c r="AU88" s="4" t="s">
        <v>70</v>
      </c>
      <c r="AV88" s="4" t="s">
        <v>73</v>
      </c>
      <c r="AW88" s="4" t="s">
        <v>70</v>
      </c>
      <c r="AX88" s="4" t="s">
        <v>70</v>
      </c>
      <c r="AY88" s="4" t="s">
        <v>72</v>
      </c>
      <c r="AZ88" s="4" t="s">
        <v>71</v>
      </c>
      <c r="BA88" s="4" t="s">
        <v>70</v>
      </c>
      <c r="BB88" s="4" t="s">
        <v>71</v>
      </c>
      <c r="BC88" s="4" t="s">
        <v>71</v>
      </c>
      <c r="BD88" s="4" t="s">
        <v>73</v>
      </c>
      <c r="BE88" s="4" t="s">
        <v>70</v>
      </c>
      <c r="BF88" s="4" t="s">
        <v>72</v>
      </c>
      <c r="BG88" s="4" t="s">
        <v>72</v>
      </c>
      <c r="BH88" s="4" t="s">
        <v>71</v>
      </c>
      <c r="BI88" s="4" t="s">
        <v>70</v>
      </c>
      <c r="BJ88" s="4" t="s">
        <v>73</v>
      </c>
      <c r="BK88" s="4" t="s">
        <v>73</v>
      </c>
      <c r="BL88" s="4" t="s">
        <v>71</v>
      </c>
      <c r="BM88" s="4" t="s">
        <v>71</v>
      </c>
      <c r="BN88" s="4" t="s">
        <v>72</v>
      </c>
      <c r="BO88" s="4" t="s">
        <v>70</v>
      </c>
      <c r="BP88" s="4" t="s">
        <v>70</v>
      </c>
      <c r="BQ88" s="4" t="s">
        <v>72</v>
      </c>
      <c r="BR88" s="4" t="s">
        <v>71</v>
      </c>
      <c r="BS88" s="4" t="s">
        <v>70</v>
      </c>
      <c r="BT88" s="4" t="s">
        <v>72</v>
      </c>
      <c r="BU88" s="4" t="s">
        <v>71</v>
      </c>
      <c r="BV88" s="4" t="s">
        <v>71</v>
      </c>
      <c r="BW88" s="4" t="s">
        <v>70</v>
      </c>
      <c r="BX88" s="4" t="s">
        <v>71</v>
      </c>
    </row>
    <row r="89" spans="1:76">
      <c r="A89" s="4" t="s">
        <v>216</v>
      </c>
      <c r="B89" s="4" t="s">
        <v>232</v>
      </c>
      <c r="C89" s="4" t="s">
        <v>112</v>
      </c>
      <c r="D89" s="4" t="s">
        <v>113</v>
      </c>
      <c r="E89" s="4" t="s">
        <v>70</v>
      </c>
      <c r="F89" s="4" t="s">
        <v>71</v>
      </c>
      <c r="G89" s="4" t="s">
        <v>70</v>
      </c>
      <c r="H89" s="4" t="s">
        <v>70</v>
      </c>
      <c r="I89" s="4" t="s">
        <v>70</v>
      </c>
      <c r="J89" s="4" t="s">
        <v>72</v>
      </c>
      <c r="K89" s="4" t="s">
        <v>70</v>
      </c>
      <c r="L89" s="4" t="s">
        <v>72</v>
      </c>
      <c r="M89" s="4" t="s">
        <v>73</v>
      </c>
      <c r="N89" s="4" t="s">
        <v>70</v>
      </c>
      <c r="O89" s="4" t="s">
        <v>72</v>
      </c>
      <c r="P89" s="4" t="s">
        <v>72</v>
      </c>
      <c r="Q89" s="4" t="s">
        <v>72</v>
      </c>
      <c r="R89" s="4" t="s">
        <v>73</v>
      </c>
      <c r="S89" s="4" t="s">
        <v>73</v>
      </c>
      <c r="T89" s="4" t="s">
        <v>72</v>
      </c>
      <c r="U89" s="10" t="s">
        <v>77</v>
      </c>
      <c r="V89" s="4" t="s">
        <v>70</v>
      </c>
      <c r="W89" s="4" t="s">
        <v>70</v>
      </c>
      <c r="X89" s="4" t="s">
        <v>72</v>
      </c>
      <c r="Y89" s="4" t="s">
        <v>73</v>
      </c>
      <c r="Z89" s="4" t="s">
        <v>70</v>
      </c>
      <c r="AA89" s="4" t="s">
        <v>73</v>
      </c>
      <c r="AB89" s="4" t="s">
        <v>73</v>
      </c>
      <c r="AC89" s="4" t="s">
        <v>71</v>
      </c>
      <c r="AD89" s="4" t="s">
        <v>73</v>
      </c>
      <c r="AE89" s="4" t="s">
        <v>72</v>
      </c>
      <c r="AF89" s="4" t="s">
        <v>70</v>
      </c>
      <c r="AG89" s="4" t="s">
        <v>73</v>
      </c>
      <c r="AH89" s="4" t="s">
        <v>70</v>
      </c>
      <c r="AI89" s="4" t="s">
        <v>71</v>
      </c>
      <c r="AJ89" s="4" t="s">
        <v>72</v>
      </c>
      <c r="AK89" s="4" t="s">
        <v>72</v>
      </c>
      <c r="AL89" s="4" t="s">
        <v>71</v>
      </c>
      <c r="AM89" s="4" t="s">
        <v>71</v>
      </c>
      <c r="AN89" s="4" t="s">
        <v>71</v>
      </c>
      <c r="AO89" s="4" t="s">
        <v>73</v>
      </c>
      <c r="AP89" s="4" t="s">
        <v>73</v>
      </c>
      <c r="AQ89" s="4" t="s">
        <v>70</v>
      </c>
      <c r="AR89" s="4" t="s">
        <v>71</v>
      </c>
      <c r="AS89" s="4" t="s">
        <v>72</v>
      </c>
      <c r="AT89" s="4" t="s">
        <v>71</v>
      </c>
      <c r="AU89" s="4" t="s">
        <v>73</v>
      </c>
      <c r="AV89" s="4" t="s">
        <v>70</v>
      </c>
      <c r="AW89" s="4" t="s">
        <v>73</v>
      </c>
      <c r="AX89" s="10" t="s">
        <v>77</v>
      </c>
      <c r="AY89" s="4" t="s">
        <v>70</v>
      </c>
      <c r="AZ89" s="4" t="s">
        <v>71</v>
      </c>
      <c r="BA89" s="4" t="s">
        <v>70</v>
      </c>
      <c r="BB89" s="4" t="s">
        <v>71</v>
      </c>
      <c r="BC89" s="4" t="s">
        <v>70</v>
      </c>
      <c r="BD89" s="4" t="s">
        <v>73</v>
      </c>
      <c r="BE89" s="4" t="s">
        <v>70</v>
      </c>
      <c r="BF89" s="4" t="s">
        <v>72</v>
      </c>
      <c r="BG89" s="4" t="s">
        <v>72</v>
      </c>
      <c r="BH89" s="4" t="s">
        <v>71</v>
      </c>
      <c r="BI89" s="4" t="s">
        <v>70</v>
      </c>
      <c r="BJ89" s="4" t="s">
        <v>73</v>
      </c>
      <c r="BK89" s="4" t="s">
        <v>72</v>
      </c>
      <c r="BL89" s="4" t="s">
        <v>72</v>
      </c>
      <c r="BM89" s="4" t="s">
        <v>71</v>
      </c>
      <c r="BN89" s="4" t="s">
        <v>72</v>
      </c>
      <c r="BO89" s="4" t="s">
        <v>71</v>
      </c>
      <c r="BP89" s="4" t="s">
        <v>70</v>
      </c>
      <c r="BQ89" s="4" t="s">
        <v>72</v>
      </c>
      <c r="BR89" s="4" t="s">
        <v>71</v>
      </c>
      <c r="BS89" s="4" t="s">
        <v>73</v>
      </c>
      <c r="BT89" s="4" t="s">
        <v>71</v>
      </c>
      <c r="BU89" s="4" t="s">
        <v>71</v>
      </c>
      <c r="BV89" s="4" t="s">
        <v>71</v>
      </c>
      <c r="BW89" s="4" t="s">
        <v>70</v>
      </c>
      <c r="BX89" s="4" t="s">
        <v>71</v>
      </c>
    </row>
    <row r="90" spans="1:76">
      <c r="A90" s="4" t="s">
        <v>216</v>
      </c>
      <c r="B90" s="4" t="s">
        <v>233</v>
      </c>
      <c r="C90" s="4" t="s">
        <v>112</v>
      </c>
      <c r="D90" s="4" t="s">
        <v>194</v>
      </c>
      <c r="E90" s="4" t="s">
        <v>70</v>
      </c>
      <c r="F90" s="4" t="s">
        <v>71</v>
      </c>
      <c r="G90" s="4" t="s">
        <v>70</v>
      </c>
      <c r="H90" s="4" t="s">
        <v>70</v>
      </c>
      <c r="I90" s="4" t="s">
        <v>70</v>
      </c>
      <c r="J90" s="4" t="s">
        <v>71</v>
      </c>
      <c r="K90" s="4" t="s">
        <v>70</v>
      </c>
      <c r="L90" s="4" t="s">
        <v>72</v>
      </c>
      <c r="M90" s="4" t="s">
        <v>73</v>
      </c>
      <c r="N90" s="4" t="s">
        <v>70</v>
      </c>
      <c r="O90" s="4" t="s">
        <v>71</v>
      </c>
      <c r="P90" s="4" t="s">
        <v>72</v>
      </c>
      <c r="Q90" s="4" t="s">
        <v>71</v>
      </c>
      <c r="R90" s="4" t="s">
        <v>73</v>
      </c>
      <c r="S90" s="4" t="s">
        <v>73</v>
      </c>
      <c r="T90" s="10" t="s">
        <v>77</v>
      </c>
      <c r="U90" s="4" t="s">
        <v>72</v>
      </c>
      <c r="V90" s="4" t="s">
        <v>70</v>
      </c>
      <c r="W90" s="4" t="s">
        <v>70</v>
      </c>
      <c r="X90" s="4" t="s">
        <v>72</v>
      </c>
      <c r="Y90" s="4" t="s">
        <v>73</v>
      </c>
      <c r="Z90" s="4" t="s">
        <v>70</v>
      </c>
      <c r="AA90" s="4" t="s">
        <v>73</v>
      </c>
      <c r="AB90" s="4" t="s">
        <v>70</v>
      </c>
      <c r="AC90" s="4" t="s">
        <v>71</v>
      </c>
      <c r="AD90" s="4" t="s">
        <v>71</v>
      </c>
      <c r="AE90" s="4" t="s">
        <v>71</v>
      </c>
      <c r="AF90" s="4" t="s">
        <v>72</v>
      </c>
      <c r="AG90" s="4" t="s">
        <v>73</v>
      </c>
      <c r="AH90" s="4" t="s">
        <v>70</v>
      </c>
      <c r="AI90" s="4" t="s">
        <v>72</v>
      </c>
      <c r="AJ90" s="4" t="s">
        <v>71</v>
      </c>
      <c r="AK90" s="4" t="s">
        <v>72</v>
      </c>
      <c r="AL90" s="4" t="s">
        <v>72</v>
      </c>
      <c r="AM90" s="4" t="s">
        <v>71</v>
      </c>
      <c r="AN90" s="4" t="s">
        <v>71</v>
      </c>
      <c r="AO90" s="4" t="s">
        <v>73</v>
      </c>
      <c r="AP90" s="4" t="s">
        <v>73</v>
      </c>
      <c r="AQ90" s="4" t="s">
        <v>73</v>
      </c>
      <c r="AR90" s="4" t="s">
        <v>71</v>
      </c>
      <c r="AS90" s="4" t="s">
        <v>72</v>
      </c>
      <c r="AT90" s="4" t="s">
        <v>73</v>
      </c>
      <c r="AU90" s="4" t="s">
        <v>70</v>
      </c>
      <c r="AV90" s="4" t="s">
        <v>71</v>
      </c>
      <c r="AW90" s="4" t="s">
        <v>72</v>
      </c>
      <c r="AX90" s="10" t="s">
        <v>77</v>
      </c>
      <c r="AY90" s="4" t="s">
        <v>73</v>
      </c>
      <c r="AZ90" s="4" t="s">
        <v>71</v>
      </c>
      <c r="BA90" s="4" t="s">
        <v>70</v>
      </c>
      <c r="BB90" s="4" t="s">
        <v>71</v>
      </c>
      <c r="BC90" s="4" t="s">
        <v>70</v>
      </c>
      <c r="BD90" s="4" t="s">
        <v>70</v>
      </c>
      <c r="BE90" s="4" t="s">
        <v>70</v>
      </c>
      <c r="BF90" s="4" t="s">
        <v>72</v>
      </c>
      <c r="BG90" s="4" t="s">
        <v>72</v>
      </c>
      <c r="BH90" s="4" t="s">
        <v>71</v>
      </c>
      <c r="BI90" s="4" t="s">
        <v>70</v>
      </c>
      <c r="BJ90" s="4" t="s">
        <v>73</v>
      </c>
      <c r="BK90" s="4" t="s">
        <v>72</v>
      </c>
      <c r="BL90" s="4" t="s">
        <v>72</v>
      </c>
      <c r="BM90" s="4" t="s">
        <v>71</v>
      </c>
      <c r="BN90" s="4" t="s">
        <v>71</v>
      </c>
      <c r="BO90" s="4" t="s">
        <v>71</v>
      </c>
      <c r="BP90" s="4" t="s">
        <v>70</v>
      </c>
      <c r="BQ90" s="4" t="s">
        <v>72</v>
      </c>
      <c r="BR90" s="4" t="s">
        <v>71</v>
      </c>
      <c r="BS90" s="4" t="s">
        <v>70</v>
      </c>
      <c r="BT90" s="4" t="s">
        <v>71</v>
      </c>
      <c r="BU90" s="4" t="s">
        <v>71</v>
      </c>
      <c r="BV90" s="4" t="s">
        <v>71</v>
      </c>
      <c r="BW90" s="4" t="s">
        <v>70</v>
      </c>
      <c r="BX90" s="4" t="s">
        <v>71</v>
      </c>
    </row>
    <row r="91" spans="1:76">
      <c r="A91" s="4" t="s">
        <v>216</v>
      </c>
      <c r="B91" s="4" t="s">
        <v>234</v>
      </c>
      <c r="C91" s="4" t="s">
        <v>161</v>
      </c>
      <c r="D91" s="4" t="s">
        <v>162</v>
      </c>
      <c r="E91" s="4" t="s">
        <v>70</v>
      </c>
      <c r="F91" s="4" t="s">
        <v>72</v>
      </c>
      <c r="G91" s="4" t="s">
        <v>70</v>
      </c>
      <c r="H91" s="4" t="s">
        <v>70</v>
      </c>
      <c r="I91" s="4" t="s">
        <v>70</v>
      </c>
      <c r="J91" s="4" t="s">
        <v>72</v>
      </c>
      <c r="K91" s="4" t="s">
        <v>73</v>
      </c>
      <c r="L91" s="4" t="s">
        <v>72</v>
      </c>
      <c r="M91" s="4" t="s">
        <v>73</v>
      </c>
      <c r="N91" s="4" t="s">
        <v>70</v>
      </c>
      <c r="O91" s="4" t="s">
        <v>71</v>
      </c>
      <c r="P91" s="4" t="s">
        <v>72</v>
      </c>
      <c r="Q91" s="4" t="s">
        <v>71</v>
      </c>
      <c r="R91" s="4" t="s">
        <v>73</v>
      </c>
      <c r="S91" s="4" t="s">
        <v>70</v>
      </c>
      <c r="T91" s="4" t="s">
        <v>71</v>
      </c>
      <c r="U91" s="4" t="s">
        <v>72</v>
      </c>
      <c r="V91" s="4" t="s">
        <v>70</v>
      </c>
      <c r="W91" s="4" t="s">
        <v>70</v>
      </c>
      <c r="X91" s="4" t="s">
        <v>71</v>
      </c>
      <c r="Y91" s="4" t="s">
        <v>73</v>
      </c>
      <c r="Z91" s="4" t="s">
        <v>70</v>
      </c>
      <c r="AA91" s="4" t="s">
        <v>73</v>
      </c>
      <c r="AB91" s="4" t="s">
        <v>70</v>
      </c>
      <c r="AC91" s="4" t="s">
        <v>71</v>
      </c>
      <c r="AD91" s="4" t="s">
        <v>73</v>
      </c>
      <c r="AE91" s="4" t="s">
        <v>71</v>
      </c>
      <c r="AF91" s="4" t="s">
        <v>71</v>
      </c>
      <c r="AG91" s="4" t="s">
        <v>72</v>
      </c>
      <c r="AH91" s="4" t="s">
        <v>70</v>
      </c>
      <c r="AI91" s="4" t="s">
        <v>70</v>
      </c>
      <c r="AJ91" s="4" t="s">
        <v>72</v>
      </c>
      <c r="AK91" s="4" t="s">
        <v>72</v>
      </c>
      <c r="AL91" s="4" t="s">
        <v>70</v>
      </c>
      <c r="AM91" s="4" t="s">
        <v>72</v>
      </c>
      <c r="AN91" s="4" t="s">
        <v>70</v>
      </c>
      <c r="AO91" s="4" t="s">
        <v>70</v>
      </c>
      <c r="AP91" s="4" t="s">
        <v>72</v>
      </c>
      <c r="AQ91" s="4" t="s">
        <v>72</v>
      </c>
      <c r="AR91" s="4" t="s">
        <v>71</v>
      </c>
      <c r="AS91" s="4" t="s">
        <v>73</v>
      </c>
      <c r="AT91" s="4" t="s">
        <v>70</v>
      </c>
      <c r="AU91" s="4" t="s">
        <v>70</v>
      </c>
      <c r="AV91" s="4" t="s">
        <v>73</v>
      </c>
      <c r="AW91" s="4" t="s">
        <v>72</v>
      </c>
      <c r="AX91" s="4" t="s">
        <v>70</v>
      </c>
      <c r="AY91" s="4" t="s">
        <v>72</v>
      </c>
      <c r="AZ91" s="4" t="s">
        <v>71</v>
      </c>
      <c r="BA91" s="4" t="s">
        <v>70</v>
      </c>
      <c r="BB91" s="4" t="s">
        <v>71</v>
      </c>
      <c r="BC91" s="4" t="s">
        <v>70</v>
      </c>
      <c r="BD91" s="4" t="s">
        <v>70</v>
      </c>
      <c r="BE91" s="4" t="s">
        <v>70</v>
      </c>
      <c r="BF91" s="4" t="s">
        <v>72</v>
      </c>
      <c r="BG91" s="4" t="s">
        <v>72</v>
      </c>
      <c r="BH91" s="4" t="s">
        <v>71</v>
      </c>
      <c r="BI91" s="4" t="s">
        <v>73</v>
      </c>
      <c r="BJ91" s="4" t="s">
        <v>73</v>
      </c>
      <c r="BK91" s="4" t="s">
        <v>70</v>
      </c>
      <c r="BL91" s="4" t="s">
        <v>72</v>
      </c>
      <c r="BM91" s="4" t="s">
        <v>71</v>
      </c>
      <c r="BN91" s="4" t="s">
        <v>71</v>
      </c>
      <c r="BO91" s="4" t="s">
        <v>71</v>
      </c>
      <c r="BP91" s="4" t="s">
        <v>70</v>
      </c>
      <c r="BQ91" s="4" t="s">
        <v>72</v>
      </c>
      <c r="BR91" s="4" t="s">
        <v>72</v>
      </c>
      <c r="BS91" s="4" t="s">
        <v>73</v>
      </c>
      <c r="BT91" s="4" t="s">
        <v>71</v>
      </c>
      <c r="BU91" s="4" t="s">
        <v>72</v>
      </c>
      <c r="BV91" s="4" t="s">
        <v>71</v>
      </c>
      <c r="BW91" s="4" t="s">
        <v>73</v>
      </c>
      <c r="BX91" s="4" t="s">
        <v>71</v>
      </c>
    </row>
    <row r="92" spans="1:76">
      <c r="A92" s="4" t="s">
        <v>216</v>
      </c>
      <c r="B92" s="4" t="s">
        <v>235</v>
      </c>
      <c r="C92" s="4" t="s">
        <v>168</v>
      </c>
      <c r="D92" s="4" t="s">
        <v>83</v>
      </c>
      <c r="E92" s="4" t="s">
        <v>70</v>
      </c>
      <c r="F92" s="4" t="s">
        <v>71</v>
      </c>
      <c r="G92" s="4" t="s">
        <v>70</v>
      </c>
      <c r="H92" s="4" t="s">
        <v>71</v>
      </c>
      <c r="I92" s="4" t="s">
        <v>71</v>
      </c>
      <c r="J92" s="4" t="s">
        <v>70</v>
      </c>
      <c r="K92" s="4" t="s">
        <v>72</v>
      </c>
      <c r="L92" s="4" t="s">
        <v>72</v>
      </c>
      <c r="M92" s="4" t="s">
        <v>73</v>
      </c>
      <c r="N92" s="4" t="s">
        <v>70</v>
      </c>
      <c r="O92" s="4" t="s">
        <v>71</v>
      </c>
      <c r="P92" s="4" t="s">
        <v>72</v>
      </c>
      <c r="Q92" s="4" t="s">
        <v>71</v>
      </c>
      <c r="R92" s="4" t="s">
        <v>73</v>
      </c>
      <c r="S92" s="4" t="s">
        <v>70</v>
      </c>
      <c r="T92" s="4" t="s">
        <v>72</v>
      </c>
      <c r="U92" s="4" t="s">
        <v>72</v>
      </c>
      <c r="V92" s="4" t="s">
        <v>70</v>
      </c>
      <c r="W92" s="4" t="s">
        <v>70</v>
      </c>
      <c r="X92" s="4" t="s">
        <v>72</v>
      </c>
      <c r="Y92" s="4" t="s">
        <v>73</v>
      </c>
      <c r="Z92" s="4" t="s">
        <v>70</v>
      </c>
      <c r="AA92" s="4" t="s">
        <v>73</v>
      </c>
      <c r="AB92" s="4" t="s">
        <v>70</v>
      </c>
      <c r="AC92" s="4" t="s">
        <v>71</v>
      </c>
      <c r="AD92" s="4" t="s">
        <v>73</v>
      </c>
      <c r="AE92" s="4" t="s">
        <v>70</v>
      </c>
      <c r="AF92" s="4" t="s">
        <v>71</v>
      </c>
      <c r="AG92" s="4" t="s">
        <v>72</v>
      </c>
      <c r="AH92" s="4" t="s">
        <v>70</v>
      </c>
      <c r="AI92" s="4" t="s">
        <v>73</v>
      </c>
      <c r="AJ92" s="4" t="s">
        <v>71</v>
      </c>
      <c r="AK92" s="4" t="s">
        <v>72</v>
      </c>
      <c r="AL92" s="4" t="s">
        <v>71</v>
      </c>
      <c r="AM92" s="4" t="s">
        <v>72</v>
      </c>
      <c r="AN92" s="4" t="s">
        <v>72</v>
      </c>
      <c r="AO92" s="4" t="s">
        <v>73</v>
      </c>
      <c r="AP92" s="4" t="s">
        <v>73</v>
      </c>
      <c r="AQ92" s="4" t="s">
        <v>72</v>
      </c>
      <c r="AR92" s="4" t="s">
        <v>71</v>
      </c>
      <c r="AS92" s="4" t="s">
        <v>73</v>
      </c>
      <c r="AT92" s="4" t="s">
        <v>70</v>
      </c>
      <c r="AU92" s="4" t="s">
        <v>71</v>
      </c>
      <c r="AV92" s="4" t="s">
        <v>70</v>
      </c>
      <c r="AW92" s="4" t="s">
        <v>70</v>
      </c>
      <c r="AX92" s="4" t="s">
        <v>70</v>
      </c>
      <c r="AY92" s="4" t="s">
        <v>72</v>
      </c>
      <c r="AZ92" s="4" t="s">
        <v>71</v>
      </c>
      <c r="BA92" s="4" t="s">
        <v>71</v>
      </c>
      <c r="BB92" s="4" t="s">
        <v>70</v>
      </c>
      <c r="BC92" s="4" t="s">
        <v>70</v>
      </c>
      <c r="BD92" s="4" t="s">
        <v>70</v>
      </c>
      <c r="BE92" s="4" t="s">
        <v>70</v>
      </c>
      <c r="BF92" s="4" t="s">
        <v>72</v>
      </c>
      <c r="BG92" s="4" t="s">
        <v>72</v>
      </c>
      <c r="BH92" s="4" t="s">
        <v>71</v>
      </c>
      <c r="BI92" s="4" t="s">
        <v>70</v>
      </c>
      <c r="BJ92" s="4" t="s">
        <v>73</v>
      </c>
      <c r="BK92" s="4" t="s">
        <v>70</v>
      </c>
      <c r="BL92" s="4" t="s">
        <v>72</v>
      </c>
      <c r="BM92" s="4" t="s">
        <v>71</v>
      </c>
      <c r="BN92" s="4" t="s">
        <v>71</v>
      </c>
      <c r="BO92" s="4" t="s">
        <v>71</v>
      </c>
      <c r="BP92" s="4" t="s">
        <v>72</v>
      </c>
      <c r="BQ92" s="4" t="s">
        <v>70</v>
      </c>
      <c r="BR92" s="4" t="s">
        <v>73</v>
      </c>
      <c r="BS92" s="4" t="s">
        <v>71</v>
      </c>
      <c r="BT92" s="4" t="s">
        <v>70</v>
      </c>
      <c r="BU92" s="4" t="s">
        <v>70</v>
      </c>
      <c r="BV92" s="4" t="s">
        <v>71</v>
      </c>
      <c r="BW92" s="4" t="s">
        <v>70</v>
      </c>
      <c r="BX92" s="4" t="s">
        <v>71</v>
      </c>
    </row>
    <row r="93" spans="1:76">
      <c r="A93" s="4" t="s">
        <v>216</v>
      </c>
      <c r="B93" s="4" t="s">
        <v>236</v>
      </c>
      <c r="C93" s="4" t="s">
        <v>200</v>
      </c>
      <c r="D93" s="4" t="s">
        <v>88</v>
      </c>
      <c r="E93" s="4" t="s">
        <v>70</v>
      </c>
      <c r="F93" s="4" t="s">
        <v>70</v>
      </c>
      <c r="G93" s="4" t="s">
        <v>70</v>
      </c>
      <c r="H93" s="4" t="s">
        <v>70</v>
      </c>
      <c r="I93" s="4" t="s">
        <v>71</v>
      </c>
      <c r="J93" s="4" t="s">
        <v>70</v>
      </c>
      <c r="K93" s="4" t="s">
        <v>70</v>
      </c>
      <c r="L93" s="4" t="s">
        <v>72</v>
      </c>
      <c r="M93" s="4" t="s">
        <v>73</v>
      </c>
      <c r="N93" s="4" t="s">
        <v>70</v>
      </c>
      <c r="O93" s="4" t="s">
        <v>71</v>
      </c>
      <c r="P93" s="4" t="s">
        <v>72</v>
      </c>
      <c r="Q93" s="4" t="s">
        <v>71</v>
      </c>
      <c r="R93" s="4" t="s">
        <v>73</v>
      </c>
      <c r="S93" s="4" t="s">
        <v>70</v>
      </c>
      <c r="T93" s="4" t="s">
        <v>71</v>
      </c>
      <c r="U93" s="4" t="s">
        <v>71</v>
      </c>
      <c r="V93" s="4" t="s">
        <v>70</v>
      </c>
      <c r="W93" s="4" t="s">
        <v>70</v>
      </c>
      <c r="X93" s="4" t="s">
        <v>72</v>
      </c>
      <c r="Y93" s="4" t="s">
        <v>73</v>
      </c>
      <c r="Z93" s="4" t="s">
        <v>70</v>
      </c>
      <c r="AA93" s="4" t="s">
        <v>73</v>
      </c>
      <c r="AB93" s="4" t="s">
        <v>70</v>
      </c>
      <c r="AC93" s="4" t="s">
        <v>71</v>
      </c>
      <c r="AD93" s="4" t="s">
        <v>73</v>
      </c>
      <c r="AE93" s="4" t="s">
        <v>70</v>
      </c>
      <c r="AF93" s="4" t="s">
        <v>71</v>
      </c>
      <c r="AG93" s="4" t="s">
        <v>70</v>
      </c>
      <c r="AH93" s="4" t="s">
        <v>70</v>
      </c>
      <c r="AI93" s="4" t="s">
        <v>73</v>
      </c>
      <c r="AJ93" s="4" t="s">
        <v>71</v>
      </c>
      <c r="AK93" s="4" t="s">
        <v>72</v>
      </c>
      <c r="AL93" s="4" t="s">
        <v>71</v>
      </c>
      <c r="AM93" s="4" t="s">
        <v>73</v>
      </c>
      <c r="AN93" s="4" t="s">
        <v>72</v>
      </c>
      <c r="AO93" s="4" t="s">
        <v>73</v>
      </c>
      <c r="AP93" s="4" t="s">
        <v>73</v>
      </c>
      <c r="AQ93" s="4" t="s">
        <v>72</v>
      </c>
      <c r="AR93" s="4" t="s">
        <v>71</v>
      </c>
      <c r="AS93" s="4" t="s">
        <v>71</v>
      </c>
      <c r="AT93" s="4" t="s">
        <v>70</v>
      </c>
      <c r="AU93" s="4" t="s">
        <v>72</v>
      </c>
      <c r="AV93" s="4" t="s">
        <v>71</v>
      </c>
      <c r="AW93" s="4" t="s">
        <v>70</v>
      </c>
      <c r="AX93" s="4" t="s">
        <v>70</v>
      </c>
      <c r="AY93" s="4" t="s">
        <v>71</v>
      </c>
      <c r="AZ93" s="4" t="s">
        <v>71</v>
      </c>
      <c r="BA93" s="4" t="s">
        <v>70</v>
      </c>
      <c r="BB93" s="4" t="s">
        <v>72</v>
      </c>
      <c r="BC93" s="4" t="s">
        <v>70</v>
      </c>
      <c r="BD93" s="4" t="s">
        <v>70</v>
      </c>
      <c r="BE93" s="4" t="s">
        <v>70</v>
      </c>
      <c r="BF93" s="4" t="s">
        <v>72</v>
      </c>
      <c r="BG93" s="4" t="s">
        <v>72</v>
      </c>
      <c r="BH93" s="4" t="s">
        <v>71</v>
      </c>
      <c r="BI93" s="4" t="s">
        <v>70</v>
      </c>
      <c r="BJ93" s="4" t="s">
        <v>73</v>
      </c>
      <c r="BK93" s="4" t="s">
        <v>70</v>
      </c>
      <c r="BL93" s="4" t="s">
        <v>72</v>
      </c>
      <c r="BM93" s="4" t="s">
        <v>71</v>
      </c>
      <c r="BN93" s="4" t="s">
        <v>71</v>
      </c>
      <c r="BO93" s="4" t="s">
        <v>71</v>
      </c>
      <c r="BP93" s="4" t="s">
        <v>73</v>
      </c>
      <c r="BQ93" s="4" t="s">
        <v>71</v>
      </c>
      <c r="BR93" s="4" t="s">
        <v>71</v>
      </c>
      <c r="BS93" s="4" t="s">
        <v>71</v>
      </c>
      <c r="BT93" s="4" t="s">
        <v>70</v>
      </c>
      <c r="BU93" s="4" t="s">
        <v>71</v>
      </c>
      <c r="BV93" s="4" t="s">
        <v>71</v>
      </c>
      <c r="BW93" s="4" t="s">
        <v>71</v>
      </c>
      <c r="BX93" s="4" t="s">
        <v>71</v>
      </c>
    </row>
    <row r="94" spans="1:76">
      <c r="A94" s="4" t="s">
        <v>216</v>
      </c>
      <c r="B94" s="4" t="s">
        <v>237</v>
      </c>
      <c r="C94" s="4" t="s">
        <v>200</v>
      </c>
      <c r="D94" s="4" t="s">
        <v>88</v>
      </c>
      <c r="E94" s="4" t="s">
        <v>71</v>
      </c>
      <c r="F94" s="4" t="s">
        <v>70</v>
      </c>
      <c r="G94" s="4" t="s">
        <v>71</v>
      </c>
      <c r="H94" s="4" t="s">
        <v>70</v>
      </c>
      <c r="I94" s="4" t="s">
        <v>70</v>
      </c>
      <c r="J94" s="4" t="s">
        <v>70</v>
      </c>
      <c r="K94" s="4" t="s">
        <v>70</v>
      </c>
      <c r="L94" s="4" t="s">
        <v>72</v>
      </c>
      <c r="M94" s="4" t="s">
        <v>70</v>
      </c>
      <c r="N94" s="4" t="s">
        <v>70</v>
      </c>
      <c r="O94" s="4" t="s">
        <v>73</v>
      </c>
      <c r="P94" s="4" t="s">
        <v>70</v>
      </c>
      <c r="Q94" s="4" t="s">
        <v>71</v>
      </c>
      <c r="R94" s="4" t="s">
        <v>73</v>
      </c>
      <c r="S94" s="4" t="s">
        <v>70</v>
      </c>
      <c r="T94" s="4" t="s">
        <v>71</v>
      </c>
      <c r="U94" s="4" t="s">
        <v>72</v>
      </c>
      <c r="V94" s="4" t="s">
        <v>70</v>
      </c>
      <c r="W94" s="4" t="s">
        <v>70</v>
      </c>
      <c r="X94" s="4" t="s">
        <v>72</v>
      </c>
      <c r="Y94" s="4" t="s">
        <v>73</v>
      </c>
      <c r="Z94" s="4" t="s">
        <v>70</v>
      </c>
      <c r="AA94" s="4" t="s">
        <v>71</v>
      </c>
      <c r="AB94" s="4" t="s">
        <v>72</v>
      </c>
      <c r="AC94" s="4" t="s">
        <v>71</v>
      </c>
      <c r="AD94" s="4" t="s">
        <v>70</v>
      </c>
      <c r="AE94" s="4" t="s">
        <v>71</v>
      </c>
      <c r="AF94" s="4" t="s">
        <v>72</v>
      </c>
      <c r="AG94" s="4" t="s">
        <v>70</v>
      </c>
      <c r="AH94" s="4" t="s">
        <v>70</v>
      </c>
      <c r="AI94" s="4" t="s">
        <v>70</v>
      </c>
      <c r="AJ94" s="4" t="s">
        <v>71</v>
      </c>
      <c r="AK94" s="4" t="s">
        <v>72</v>
      </c>
      <c r="AL94" s="4" t="s">
        <v>71</v>
      </c>
      <c r="AM94" s="4" t="s">
        <v>73</v>
      </c>
      <c r="AN94" s="4" t="s">
        <v>72</v>
      </c>
      <c r="AO94" s="4" t="s">
        <v>73</v>
      </c>
      <c r="AP94" s="4" t="s">
        <v>73</v>
      </c>
      <c r="AQ94" s="4" t="s">
        <v>71</v>
      </c>
      <c r="AR94" s="4" t="s">
        <v>71</v>
      </c>
      <c r="AS94" s="4" t="s">
        <v>71</v>
      </c>
      <c r="AT94" s="4" t="s">
        <v>73</v>
      </c>
      <c r="AU94" s="4" t="s">
        <v>70</v>
      </c>
      <c r="AV94" s="4" t="s">
        <v>73</v>
      </c>
      <c r="AW94" s="4" t="s">
        <v>70</v>
      </c>
      <c r="AX94" s="4" t="s">
        <v>70</v>
      </c>
      <c r="AY94" s="4" t="s">
        <v>72</v>
      </c>
      <c r="AZ94" s="4" t="s">
        <v>71</v>
      </c>
      <c r="BA94" s="4" t="s">
        <v>70</v>
      </c>
      <c r="BB94" s="4" t="s">
        <v>71</v>
      </c>
      <c r="BC94" s="4" t="s">
        <v>73</v>
      </c>
      <c r="BD94" s="4" t="s">
        <v>70</v>
      </c>
      <c r="BE94" s="4" t="s">
        <v>70</v>
      </c>
      <c r="BF94" s="4" t="s">
        <v>72</v>
      </c>
      <c r="BG94" s="4" t="s">
        <v>72</v>
      </c>
      <c r="BH94" s="4" t="s">
        <v>71</v>
      </c>
      <c r="BI94" s="4" t="s">
        <v>73</v>
      </c>
      <c r="BJ94" s="4" t="s">
        <v>73</v>
      </c>
      <c r="BK94" s="4" t="s">
        <v>73</v>
      </c>
      <c r="BL94" s="4" t="s">
        <v>72</v>
      </c>
      <c r="BM94" s="4" t="s">
        <v>71</v>
      </c>
      <c r="BN94" s="4" t="s">
        <v>71</v>
      </c>
      <c r="BO94" s="4" t="s">
        <v>72</v>
      </c>
      <c r="BP94" s="4" t="s">
        <v>70</v>
      </c>
      <c r="BQ94" s="4" t="s">
        <v>72</v>
      </c>
      <c r="BR94" s="4" t="s">
        <v>71</v>
      </c>
      <c r="BS94" s="4" t="s">
        <v>71</v>
      </c>
      <c r="BT94" s="4" t="s">
        <v>71</v>
      </c>
      <c r="BU94" s="4" t="s">
        <v>71</v>
      </c>
      <c r="BV94" s="4" t="s">
        <v>70</v>
      </c>
      <c r="BW94" s="4" t="s">
        <v>71</v>
      </c>
      <c r="BX94" s="4" t="s">
        <v>72</v>
      </c>
    </row>
    <row r="95" spans="1:76">
      <c r="A95" s="4" t="s">
        <v>216</v>
      </c>
      <c r="B95" s="4" t="s">
        <v>238</v>
      </c>
      <c r="C95" s="4" t="s">
        <v>200</v>
      </c>
      <c r="D95" s="4" t="s">
        <v>88</v>
      </c>
      <c r="E95" s="4" t="s">
        <v>73</v>
      </c>
      <c r="F95" s="4" t="s">
        <v>70</v>
      </c>
      <c r="G95" s="4" t="s">
        <v>71</v>
      </c>
      <c r="H95" s="4" t="s">
        <v>70</v>
      </c>
      <c r="I95" s="4" t="s">
        <v>70</v>
      </c>
      <c r="J95" s="4" t="s">
        <v>72</v>
      </c>
      <c r="K95" s="4" t="s">
        <v>70</v>
      </c>
      <c r="L95" s="4" t="s">
        <v>72</v>
      </c>
      <c r="M95" s="4" t="s">
        <v>73</v>
      </c>
      <c r="N95" s="4" t="s">
        <v>70</v>
      </c>
      <c r="O95" s="4" t="s">
        <v>71</v>
      </c>
      <c r="P95" s="4" t="s">
        <v>72</v>
      </c>
      <c r="Q95" s="4" t="s">
        <v>71</v>
      </c>
      <c r="R95" s="4" t="s">
        <v>73</v>
      </c>
      <c r="S95" s="4" t="s">
        <v>70</v>
      </c>
      <c r="T95" s="4" t="s">
        <v>72</v>
      </c>
      <c r="U95" s="4" t="s">
        <v>71</v>
      </c>
      <c r="V95" s="4" t="s">
        <v>70</v>
      </c>
      <c r="W95" s="4" t="s">
        <v>70</v>
      </c>
      <c r="X95" s="4" t="s">
        <v>72</v>
      </c>
      <c r="Y95" s="4" t="s">
        <v>73</v>
      </c>
      <c r="Z95" s="4" t="s">
        <v>70</v>
      </c>
      <c r="AA95" s="4" t="s">
        <v>73</v>
      </c>
      <c r="AB95" s="4" t="s">
        <v>70</v>
      </c>
      <c r="AC95" s="4" t="s">
        <v>71</v>
      </c>
      <c r="AD95" s="4" t="s">
        <v>73</v>
      </c>
      <c r="AE95" s="4" t="s">
        <v>73</v>
      </c>
      <c r="AF95" s="4" t="s">
        <v>70</v>
      </c>
      <c r="AG95" s="4" t="s">
        <v>71</v>
      </c>
      <c r="AH95" s="4" t="s">
        <v>70</v>
      </c>
      <c r="AI95" s="4" t="s">
        <v>70</v>
      </c>
      <c r="AJ95" s="4" t="s">
        <v>71</v>
      </c>
      <c r="AK95" s="4" t="s">
        <v>72</v>
      </c>
      <c r="AL95" s="4" t="s">
        <v>71</v>
      </c>
      <c r="AM95" s="4" t="s">
        <v>73</v>
      </c>
      <c r="AN95" s="4" t="s">
        <v>72</v>
      </c>
      <c r="AO95" s="4" t="s">
        <v>73</v>
      </c>
      <c r="AP95" s="4" t="s">
        <v>73</v>
      </c>
      <c r="AQ95" s="4" t="s">
        <v>72</v>
      </c>
      <c r="AR95" s="4" t="s">
        <v>71</v>
      </c>
      <c r="AS95" s="4" t="s">
        <v>70</v>
      </c>
      <c r="AT95" s="4" t="s">
        <v>71</v>
      </c>
      <c r="AU95" s="4" t="s">
        <v>72</v>
      </c>
      <c r="AV95" s="4" t="s">
        <v>70</v>
      </c>
      <c r="AW95" s="4" t="s">
        <v>72</v>
      </c>
      <c r="AX95" s="4" t="s">
        <v>70</v>
      </c>
      <c r="AY95" s="4" t="s">
        <v>72</v>
      </c>
      <c r="AZ95" s="4" t="s">
        <v>71</v>
      </c>
      <c r="BA95" s="4" t="s">
        <v>73</v>
      </c>
      <c r="BB95" s="4" t="s">
        <v>71</v>
      </c>
      <c r="BC95" s="4" t="s">
        <v>71</v>
      </c>
      <c r="BD95" s="4" t="s">
        <v>70</v>
      </c>
      <c r="BE95" s="4" t="s">
        <v>70</v>
      </c>
      <c r="BF95" s="4" t="s">
        <v>72</v>
      </c>
      <c r="BG95" s="4" t="s">
        <v>72</v>
      </c>
      <c r="BH95" s="4" t="s">
        <v>71</v>
      </c>
      <c r="BI95" s="4" t="s">
        <v>73</v>
      </c>
      <c r="BJ95" s="4" t="s">
        <v>73</v>
      </c>
      <c r="BK95" s="4" t="s">
        <v>70</v>
      </c>
      <c r="BL95" s="4" t="s">
        <v>72</v>
      </c>
      <c r="BM95" s="4" t="s">
        <v>71</v>
      </c>
      <c r="BN95" s="4" t="s">
        <v>71</v>
      </c>
      <c r="BO95" s="4" t="s">
        <v>70</v>
      </c>
      <c r="BP95" s="4" t="s">
        <v>70</v>
      </c>
      <c r="BQ95" s="4" t="s">
        <v>72</v>
      </c>
      <c r="BR95" s="4" t="s">
        <v>71</v>
      </c>
      <c r="BS95" s="4" t="s">
        <v>73</v>
      </c>
      <c r="BT95" s="4" t="s">
        <v>71</v>
      </c>
      <c r="BU95" s="4" t="s">
        <v>71</v>
      </c>
      <c r="BV95" s="4" t="s">
        <v>70</v>
      </c>
      <c r="BW95" s="4" t="s">
        <v>71</v>
      </c>
      <c r="BX95" s="4" t="s">
        <v>72</v>
      </c>
    </row>
    <row r="96" spans="1:76">
      <c r="A96" s="4" t="s">
        <v>216</v>
      </c>
      <c r="B96" s="4" t="s">
        <v>239</v>
      </c>
      <c r="C96" s="4" t="s">
        <v>141</v>
      </c>
      <c r="D96" s="4" t="s">
        <v>142</v>
      </c>
      <c r="E96" s="4" t="s">
        <v>70</v>
      </c>
      <c r="F96" s="4" t="s">
        <v>70</v>
      </c>
      <c r="G96" s="4" t="s">
        <v>71</v>
      </c>
      <c r="H96" s="4" t="s">
        <v>72</v>
      </c>
      <c r="I96" s="4" t="s">
        <v>70</v>
      </c>
      <c r="J96" s="4" t="s">
        <v>70</v>
      </c>
      <c r="K96" s="4" t="s">
        <v>70</v>
      </c>
      <c r="L96" s="4" t="s">
        <v>72</v>
      </c>
      <c r="M96" s="4" t="s">
        <v>73</v>
      </c>
      <c r="N96" s="4" t="s">
        <v>70</v>
      </c>
      <c r="O96" s="4" t="s">
        <v>71</v>
      </c>
      <c r="P96" s="4" t="s">
        <v>72</v>
      </c>
      <c r="Q96" s="4" t="s">
        <v>71</v>
      </c>
      <c r="R96" s="4" t="s">
        <v>73</v>
      </c>
      <c r="S96" s="4" t="s">
        <v>70</v>
      </c>
      <c r="T96" s="4" t="s">
        <v>72</v>
      </c>
      <c r="U96" s="4" t="s">
        <v>72</v>
      </c>
      <c r="V96" s="4" t="s">
        <v>70</v>
      </c>
      <c r="W96" s="4" t="s">
        <v>70</v>
      </c>
      <c r="X96" s="4" t="s">
        <v>72</v>
      </c>
      <c r="Y96" s="4" t="s">
        <v>71</v>
      </c>
      <c r="Z96" s="4" t="s">
        <v>70</v>
      </c>
      <c r="AA96" s="4" t="s">
        <v>73</v>
      </c>
      <c r="AB96" s="4" t="s">
        <v>70</v>
      </c>
      <c r="AC96" s="4" t="s">
        <v>71</v>
      </c>
      <c r="AD96" s="4" t="s">
        <v>70</v>
      </c>
      <c r="AE96" s="4" t="s">
        <v>73</v>
      </c>
      <c r="AF96" s="4" t="s">
        <v>72</v>
      </c>
      <c r="AG96" s="4" t="s">
        <v>71</v>
      </c>
      <c r="AH96" s="4" t="s">
        <v>70</v>
      </c>
      <c r="AI96" s="4" t="s">
        <v>71</v>
      </c>
      <c r="AJ96" s="4" t="s">
        <v>71</v>
      </c>
      <c r="AK96" s="4" t="s">
        <v>72</v>
      </c>
      <c r="AL96" s="4" t="s">
        <v>70</v>
      </c>
      <c r="AM96" s="4" t="s">
        <v>73</v>
      </c>
      <c r="AN96" s="4" t="s">
        <v>73</v>
      </c>
      <c r="AO96" s="4" t="s">
        <v>73</v>
      </c>
      <c r="AP96" s="4" t="s">
        <v>73</v>
      </c>
      <c r="AQ96" s="4" t="s">
        <v>70</v>
      </c>
      <c r="AR96" s="4" t="s">
        <v>71</v>
      </c>
      <c r="AS96" s="4" t="s">
        <v>70</v>
      </c>
      <c r="AT96" s="4" t="s">
        <v>73</v>
      </c>
      <c r="AU96" s="4" t="s">
        <v>72</v>
      </c>
      <c r="AV96" s="4" t="s">
        <v>73</v>
      </c>
      <c r="AW96" s="4" t="s">
        <v>70</v>
      </c>
      <c r="AX96" s="4" t="s">
        <v>70</v>
      </c>
      <c r="AY96" s="4" t="s">
        <v>72</v>
      </c>
      <c r="AZ96" s="4" t="s">
        <v>71</v>
      </c>
      <c r="BA96" s="4" t="s">
        <v>70</v>
      </c>
      <c r="BB96" s="4" t="s">
        <v>71</v>
      </c>
      <c r="BC96" s="4" t="s">
        <v>71</v>
      </c>
      <c r="BD96" s="4" t="s">
        <v>70</v>
      </c>
      <c r="BE96" s="4" t="s">
        <v>70</v>
      </c>
      <c r="BF96" s="4" t="s">
        <v>72</v>
      </c>
      <c r="BG96" s="4" t="s">
        <v>72</v>
      </c>
      <c r="BH96" s="4" t="s">
        <v>71</v>
      </c>
      <c r="BI96" s="4" t="s">
        <v>70</v>
      </c>
      <c r="BJ96" s="4" t="s">
        <v>73</v>
      </c>
      <c r="BK96" s="4" t="s">
        <v>72</v>
      </c>
      <c r="BL96" s="4" t="s">
        <v>71</v>
      </c>
      <c r="BM96" s="4" t="s">
        <v>71</v>
      </c>
      <c r="BN96" s="4" t="s">
        <v>71</v>
      </c>
      <c r="BO96" s="4" t="s">
        <v>70</v>
      </c>
      <c r="BP96" s="4" t="s">
        <v>70</v>
      </c>
      <c r="BQ96" s="4" t="s">
        <v>71</v>
      </c>
      <c r="BR96" s="4" t="s">
        <v>71</v>
      </c>
      <c r="BS96" s="4" t="s">
        <v>71</v>
      </c>
      <c r="BT96" s="4" t="s">
        <v>71</v>
      </c>
      <c r="BU96" s="4" t="s">
        <v>73</v>
      </c>
      <c r="BV96" s="4" t="s">
        <v>70</v>
      </c>
      <c r="BW96" s="4" t="s">
        <v>71</v>
      </c>
      <c r="BX96" s="4" t="s">
        <v>71</v>
      </c>
    </row>
    <row r="97" spans="1:76">
      <c r="A97" s="4" t="s">
        <v>216</v>
      </c>
      <c r="B97" s="4" t="s">
        <v>240</v>
      </c>
      <c r="C97" s="4" t="s">
        <v>120</v>
      </c>
      <c r="D97" s="4" t="s">
        <v>94</v>
      </c>
      <c r="E97" s="4" t="s">
        <v>71</v>
      </c>
      <c r="F97" s="4" t="s">
        <v>70</v>
      </c>
      <c r="G97" s="4" t="s">
        <v>70</v>
      </c>
      <c r="H97" s="4" t="s">
        <v>70</v>
      </c>
      <c r="I97" s="4" t="s">
        <v>73</v>
      </c>
      <c r="J97" s="4" t="s">
        <v>71</v>
      </c>
      <c r="K97" s="4" t="s">
        <v>70</v>
      </c>
      <c r="L97" s="4" t="s">
        <v>72</v>
      </c>
      <c r="M97" s="4" t="s">
        <v>70</v>
      </c>
      <c r="N97" s="4" t="s">
        <v>70</v>
      </c>
      <c r="O97" s="4" t="s">
        <v>71</v>
      </c>
      <c r="P97" s="4" t="s">
        <v>70</v>
      </c>
      <c r="Q97" s="4" t="s">
        <v>71</v>
      </c>
      <c r="R97" s="4" t="s">
        <v>73</v>
      </c>
      <c r="S97" s="4" t="s">
        <v>70</v>
      </c>
      <c r="T97" s="4" t="s">
        <v>71</v>
      </c>
      <c r="U97" s="4" t="s">
        <v>72</v>
      </c>
      <c r="V97" s="4" t="s">
        <v>70</v>
      </c>
      <c r="W97" s="4" t="s">
        <v>70</v>
      </c>
      <c r="X97" s="4" t="s">
        <v>72</v>
      </c>
      <c r="Y97" s="4" t="s">
        <v>73</v>
      </c>
      <c r="Z97" s="4" t="s">
        <v>70</v>
      </c>
      <c r="AA97" s="4" t="s">
        <v>71</v>
      </c>
      <c r="AB97" s="4" t="s">
        <v>70</v>
      </c>
      <c r="AC97" s="4" t="s">
        <v>71</v>
      </c>
      <c r="AD97" s="4" t="s">
        <v>73</v>
      </c>
      <c r="AE97" s="4" t="s">
        <v>71</v>
      </c>
      <c r="AF97" s="4" t="s">
        <v>72</v>
      </c>
      <c r="AG97" s="4" t="s">
        <v>72</v>
      </c>
      <c r="AH97" s="4" t="s">
        <v>70</v>
      </c>
      <c r="AI97" s="4" t="s">
        <v>73</v>
      </c>
      <c r="AJ97" s="4" t="s">
        <v>71</v>
      </c>
      <c r="AK97" s="4" t="s">
        <v>72</v>
      </c>
      <c r="AL97" s="4" t="s">
        <v>70</v>
      </c>
      <c r="AM97" s="4" t="s">
        <v>70</v>
      </c>
      <c r="AN97" s="4" t="s">
        <v>70</v>
      </c>
      <c r="AO97" s="4" t="s">
        <v>70</v>
      </c>
      <c r="AP97" s="4" t="s">
        <v>70</v>
      </c>
      <c r="AQ97" s="4" t="s">
        <v>72</v>
      </c>
      <c r="AR97" s="4" t="s">
        <v>71</v>
      </c>
      <c r="AS97" s="4" t="s">
        <v>73</v>
      </c>
      <c r="AT97" s="4" t="s">
        <v>73</v>
      </c>
      <c r="AU97" s="4" t="s">
        <v>70</v>
      </c>
      <c r="AV97" s="4" t="s">
        <v>70</v>
      </c>
      <c r="AW97" s="4" t="s">
        <v>70</v>
      </c>
      <c r="AX97" s="4" t="s">
        <v>70</v>
      </c>
      <c r="AY97" s="4" t="s">
        <v>72</v>
      </c>
      <c r="AZ97" s="4" t="s">
        <v>71</v>
      </c>
      <c r="BA97" s="4" t="s">
        <v>70</v>
      </c>
      <c r="BB97" s="4" t="s">
        <v>71</v>
      </c>
      <c r="BC97" s="4" t="s">
        <v>73</v>
      </c>
      <c r="BD97" s="4" t="s">
        <v>70</v>
      </c>
      <c r="BE97" s="4" t="s">
        <v>70</v>
      </c>
      <c r="BF97" s="4" t="s">
        <v>72</v>
      </c>
      <c r="BG97" s="4" t="s">
        <v>72</v>
      </c>
      <c r="BH97" s="4" t="s">
        <v>71</v>
      </c>
      <c r="BI97" s="4" t="s">
        <v>73</v>
      </c>
      <c r="BJ97" s="4" t="s">
        <v>73</v>
      </c>
      <c r="BK97" s="4" t="s">
        <v>73</v>
      </c>
      <c r="BL97" s="4" t="s">
        <v>72</v>
      </c>
      <c r="BM97" s="4" t="s">
        <v>71</v>
      </c>
      <c r="BN97" s="4" t="s">
        <v>71</v>
      </c>
      <c r="BO97" s="4" t="s">
        <v>72</v>
      </c>
      <c r="BP97" s="4" t="s">
        <v>70</v>
      </c>
      <c r="BQ97" s="4" t="s">
        <v>72</v>
      </c>
      <c r="BR97" s="4" t="s">
        <v>71</v>
      </c>
      <c r="BS97" s="4" t="s">
        <v>70</v>
      </c>
      <c r="BT97" s="4" t="s">
        <v>72</v>
      </c>
      <c r="BU97" s="4" t="s">
        <v>71</v>
      </c>
      <c r="BV97" s="4" t="s">
        <v>71</v>
      </c>
      <c r="BW97" s="4" t="s">
        <v>71</v>
      </c>
      <c r="BX97" s="4" t="s">
        <v>70</v>
      </c>
    </row>
    <row r="98" spans="1:76">
      <c r="A98" s="4" t="s">
        <v>216</v>
      </c>
      <c r="B98" s="4" t="s">
        <v>241</v>
      </c>
      <c r="C98" s="4" t="s">
        <v>120</v>
      </c>
      <c r="D98" s="4" t="s">
        <v>92</v>
      </c>
      <c r="E98" s="4" t="s">
        <v>71</v>
      </c>
      <c r="F98" s="4" t="s">
        <v>70</v>
      </c>
      <c r="G98" s="4" t="s">
        <v>70</v>
      </c>
      <c r="H98" s="4" t="s">
        <v>70</v>
      </c>
      <c r="I98" s="4" t="s">
        <v>70</v>
      </c>
      <c r="J98" s="4" t="s">
        <v>72</v>
      </c>
      <c r="K98" s="4" t="s">
        <v>70</v>
      </c>
      <c r="L98" s="4" t="s">
        <v>72</v>
      </c>
      <c r="M98" s="4" t="s">
        <v>73</v>
      </c>
      <c r="N98" s="4" t="s">
        <v>70</v>
      </c>
      <c r="O98" s="4" t="s">
        <v>71</v>
      </c>
      <c r="P98" s="4" t="s">
        <v>70</v>
      </c>
      <c r="Q98" s="4" t="s">
        <v>71</v>
      </c>
      <c r="R98" s="4" t="s">
        <v>73</v>
      </c>
      <c r="S98" s="4" t="s">
        <v>70</v>
      </c>
      <c r="T98" s="4" t="s">
        <v>71</v>
      </c>
      <c r="U98" s="4" t="s">
        <v>72</v>
      </c>
      <c r="V98" s="4" t="s">
        <v>70</v>
      </c>
      <c r="W98" s="4" t="s">
        <v>70</v>
      </c>
      <c r="X98" s="4" t="s">
        <v>71</v>
      </c>
      <c r="Y98" s="4" t="s">
        <v>73</v>
      </c>
      <c r="Z98" s="4" t="s">
        <v>70</v>
      </c>
      <c r="AA98" s="4" t="s">
        <v>71</v>
      </c>
      <c r="AB98" s="4" t="s">
        <v>70</v>
      </c>
      <c r="AC98" s="4" t="s">
        <v>71</v>
      </c>
      <c r="AD98" s="4" t="s">
        <v>70</v>
      </c>
      <c r="AE98" s="4" t="s">
        <v>71</v>
      </c>
      <c r="AF98" s="4" t="s">
        <v>72</v>
      </c>
      <c r="AG98" s="4" t="s">
        <v>72</v>
      </c>
      <c r="AH98" s="4" t="s">
        <v>71</v>
      </c>
      <c r="AI98" s="4" t="s">
        <v>70</v>
      </c>
      <c r="AJ98" s="4" t="s">
        <v>72</v>
      </c>
      <c r="AK98" s="4" t="s">
        <v>72</v>
      </c>
      <c r="AL98" s="4" t="s">
        <v>71</v>
      </c>
      <c r="AM98" s="4" t="s">
        <v>70</v>
      </c>
      <c r="AN98" s="4" t="s">
        <v>70</v>
      </c>
      <c r="AO98" s="4" t="s">
        <v>70</v>
      </c>
      <c r="AP98" s="4" t="s">
        <v>73</v>
      </c>
      <c r="AQ98" s="4" t="s">
        <v>71</v>
      </c>
      <c r="AR98" s="4" t="s">
        <v>70</v>
      </c>
      <c r="AS98" s="4" t="s">
        <v>73</v>
      </c>
      <c r="AT98" s="4" t="s">
        <v>73</v>
      </c>
      <c r="AU98" s="4" t="s">
        <v>70</v>
      </c>
      <c r="AV98" s="4" t="s">
        <v>73</v>
      </c>
      <c r="AW98" s="4" t="s">
        <v>70</v>
      </c>
      <c r="AX98" s="4" t="s">
        <v>70</v>
      </c>
      <c r="AY98" s="4" t="s">
        <v>72</v>
      </c>
      <c r="AZ98" s="4" t="s">
        <v>71</v>
      </c>
      <c r="BA98" s="4" t="s">
        <v>70</v>
      </c>
      <c r="BB98" s="4" t="s">
        <v>72</v>
      </c>
      <c r="BC98" s="4" t="s">
        <v>70</v>
      </c>
      <c r="BD98" s="4" t="s">
        <v>70</v>
      </c>
      <c r="BE98" s="4" t="s">
        <v>70</v>
      </c>
      <c r="BF98" s="4" t="s">
        <v>72</v>
      </c>
      <c r="BG98" s="4" t="s">
        <v>72</v>
      </c>
      <c r="BH98" s="4" t="s">
        <v>71</v>
      </c>
      <c r="BI98" s="4" t="s">
        <v>73</v>
      </c>
      <c r="BJ98" s="4" t="s">
        <v>73</v>
      </c>
      <c r="BK98" s="4" t="s">
        <v>73</v>
      </c>
      <c r="BL98" s="4" t="s">
        <v>72</v>
      </c>
      <c r="BM98" s="4" t="s">
        <v>71</v>
      </c>
      <c r="BN98" s="4" t="s">
        <v>71</v>
      </c>
      <c r="BO98" s="4" t="s">
        <v>71</v>
      </c>
      <c r="BP98" s="4" t="s">
        <v>70</v>
      </c>
      <c r="BQ98" s="4" t="s">
        <v>71</v>
      </c>
      <c r="BR98" s="4" t="s">
        <v>71</v>
      </c>
      <c r="BS98" s="4" t="s">
        <v>73</v>
      </c>
      <c r="BT98" s="4" t="s">
        <v>71</v>
      </c>
      <c r="BU98" s="4" t="s">
        <v>71</v>
      </c>
      <c r="BV98" s="4" t="s">
        <v>71</v>
      </c>
      <c r="BW98" s="4" t="s">
        <v>71</v>
      </c>
      <c r="BX98" s="4" t="s">
        <v>70</v>
      </c>
    </row>
    <row r="99" spans="1:76">
      <c r="A99" s="4" t="s">
        <v>216</v>
      </c>
      <c r="B99" s="4" t="s">
        <v>242</v>
      </c>
      <c r="C99" s="4" t="s">
        <v>120</v>
      </c>
      <c r="D99" s="4" t="s">
        <v>144</v>
      </c>
      <c r="E99" s="4" t="s">
        <v>71</v>
      </c>
      <c r="F99" s="4" t="s">
        <v>70</v>
      </c>
      <c r="G99" s="4" t="s">
        <v>70</v>
      </c>
      <c r="H99" s="4" t="s">
        <v>70</v>
      </c>
      <c r="I99" s="4" t="s">
        <v>70</v>
      </c>
      <c r="J99" s="4" t="s">
        <v>72</v>
      </c>
      <c r="K99" s="4" t="s">
        <v>70</v>
      </c>
      <c r="L99" s="4" t="s">
        <v>72</v>
      </c>
      <c r="M99" s="4" t="s">
        <v>70</v>
      </c>
      <c r="N99" s="4" t="s">
        <v>70</v>
      </c>
      <c r="O99" s="4" t="s">
        <v>71</v>
      </c>
      <c r="P99" s="4" t="s">
        <v>70</v>
      </c>
      <c r="Q99" s="4" t="s">
        <v>71</v>
      </c>
      <c r="R99" s="4" t="s">
        <v>73</v>
      </c>
      <c r="S99" s="4" t="s">
        <v>70</v>
      </c>
      <c r="T99" s="4" t="s">
        <v>71</v>
      </c>
      <c r="U99" s="4" t="s">
        <v>72</v>
      </c>
      <c r="V99" s="4" t="s">
        <v>70</v>
      </c>
      <c r="W99" s="4" t="s">
        <v>70</v>
      </c>
      <c r="X99" s="4" t="s">
        <v>72</v>
      </c>
      <c r="Y99" s="4" t="s">
        <v>73</v>
      </c>
      <c r="Z99" s="4" t="s">
        <v>70</v>
      </c>
      <c r="AA99" s="4" t="s">
        <v>71</v>
      </c>
      <c r="AB99" s="4" t="s">
        <v>70</v>
      </c>
      <c r="AC99" s="4" t="s">
        <v>71</v>
      </c>
      <c r="AD99" s="4" t="s">
        <v>70</v>
      </c>
      <c r="AE99" s="4" t="s">
        <v>72</v>
      </c>
      <c r="AF99" s="4" t="s">
        <v>71</v>
      </c>
      <c r="AG99" s="4" t="s">
        <v>71</v>
      </c>
      <c r="AH99" s="4" t="s">
        <v>70</v>
      </c>
      <c r="AI99" s="4" t="s">
        <v>71</v>
      </c>
      <c r="AJ99" s="4" t="s">
        <v>72</v>
      </c>
      <c r="AK99" s="4" t="s">
        <v>72</v>
      </c>
      <c r="AL99" s="4" t="s">
        <v>72</v>
      </c>
      <c r="AM99" s="4" t="s">
        <v>70</v>
      </c>
      <c r="AN99" s="4" t="s">
        <v>70</v>
      </c>
      <c r="AO99" s="4" t="s">
        <v>70</v>
      </c>
      <c r="AP99" s="4" t="s">
        <v>73</v>
      </c>
      <c r="AQ99" s="4" t="s">
        <v>70</v>
      </c>
      <c r="AR99" s="4" t="s">
        <v>71</v>
      </c>
      <c r="AS99" s="4" t="s">
        <v>70</v>
      </c>
      <c r="AT99" s="4" t="s">
        <v>70</v>
      </c>
      <c r="AU99" s="4" t="s">
        <v>73</v>
      </c>
      <c r="AV99" s="4" t="s">
        <v>73</v>
      </c>
      <c r="AW99" s="4" t="s">
        <v>70</v>
      </c>
      <c r="AX99" s="4" t="s">
        <v>70</v>
      </c>
      <c r="AY99" s="4" t="s">
        <v>72</v>
      </c>
      <c r="AZ99" s="4" t="s">
        <v>71</v>
      </c>
      <c r="BA99" s="4" t="s">
        <v>70</v>
      </c>
      <c r="BB99" s="4" t="s">
        <v>72</v>
      </c>
      <c r="BC99" s="4" t="s">
        <v>71</v>
      </c>
      <c r="BD99" s="4" t="s">
        <v>70</v>
      </c>
      <c r="BE99" s="4" t="s">
        <v>70</v>
      </c>
      <c r="BF99" s="4" t="s">
        <v>72</v>
      </c>
      <c r="BG99" s="4" t="s">
        <v>72</v>
      </c>
      <c r="BH99" s="4" t="s">
        <v>71</v>
      </c>
      <c r="BI99" s="4" t="s">
        <v>70</v>
      </c>
      <c r="BJ99" s="4" t="s">
        <v>73</v>
      </c>
      <c r="BK99" s="4" t="s">
        <v>73</v>
      </c>
      <c r="BL99" s="4" t="s">
        <v>72</v>
      </c>
      <c r="BM99" s="4" t="s">
        <v>71</v>
      </c>
      <c r="BN99" s="4" t="s">
        <v>71</v>
      </c>
      <c r="BO99" s="4" t="s">
        <v>70</v>
      </c>
      <c r="BP99" s="4" t="s">
        <v>70</v>
      </c>
      <c r="BQ99" s="4" t="s">
        <v>71</v>
      </c>
      <c r="BR99" s="4" t="s">
        <v>71</v>
      </c>
      <c r="BS99" s="4" t="s">
        <v>73</v>
      </c>
      <c r="BT99" s="4" t="s">
        <v>71</v>
      </c>
      <c r="BU99" s="4" t="s">
        <v>71</v>
      </c>
      <c r="BV99" s="4" t="s">
        <v>71</v>
      </c>
      <c r="BW99" s="4" t="s">
        <v>71</v>
      </c>
      <c r="BX99" s="4" t="s">
        <v>70</v>
      </c>
    </row>
    <row r="100" spans="1:76">
      <c r="A100" s="4" t="s">
        <v>216</v>
      </c>
      <c r="B100" s="4" t="s">
        <v>243</v>
      </c>
      <c r="C100" s="4" t="s">
        <v>122</v>
      </c>
      <c r="D100" s="4" t="s">
        <v>205</v>
      </c>
      <c r="E100" s="4" t="s">
        <v>70</v>
      </c>
      <c r="F100" s="4" t="s">
        <v>70</v>
      </c>
      <c r="G100" s="4" t="s">
        <v>72</v>
      </c>
      <c r="H100" s="4" t="s">
        <v>70</v>
      </c>
      <c r="I100" s="4" t="s">
        <v>70</v>
      </c>
      <c r="J100" s="4" t="s">
        <v>70</v>
      </c>
      <c r="K100" s="4" t="s">
        <v>72</v>
      </c>
      <c r="L100" s="4" t="s">
        <v>72</v>
      </c>
      <c r="M100" s="4" t="s">
        <v>70</v>
      </c>
      <c r="N100" s="4" t="s">
        <v>71</v>
      </c>
      <c r="O100" s="4" t="s">
        <v>71</v>
      </c>
      <c r="P100" s="4" t="s">
        <v>71</v>
      </c>
      <c r="Q100" s="4" t="s">
        <v>70</v>
      </c>
      <c r="R100" s="4" t="s">
        <v>73</v>
      </c>
      <c r="S100" s="4" t="s">
        <v>70</v>
      </c>
      <c r="T100" s="10" t="s">
        <v>77</v>
      </c>
      <c r="U100" s="4" t="s">
        <v>71</v>
      </c>
      <c r="V100" s="4" t="s">
        <v>70</v>
      </c>
      <c r="W100" s="4" t="s">
        <v>70</v>
      </c>
      <c r="X100" s="4" t="s">
        <v>71</v>
      </c>
      <c r="Y100" s="4" t="s">
        <v>73</v>
      </c>
      <c r="Z100" s="4" t="s">
        <v>73</v>
      </c>
      <c r="AA100" s="4" t="s">
        <v>70</v>
      </c>
      <c r="AB100" s="4" t="s">
        <v>70</v>
      </c>
      <c r="AC100" s="4" t="s">
        <v>70</v>
      </c>
      <c r="AD100" s="4" t="s">
        <v>73</v>
      </c>
      <c r="AE100" s="4" t="s">
        <v>73</v>
      </c>
      <c r="AF100" s="4" t="s">
        <v>71</v>
      </c>
      <c r="AG100" s="4" t="s">
        <v>70</v>
      </c>
      <c r="AH100" s="4" t="s">
        <v>70</v>
      </c>
      <c r="AI100" s="4" t="s">
        <v>72</v>
      </c>
      <c r="AJ100" s="4" t="s">
        <v>71</v>
      </c>
      <c r="AK100" s="4" t="s">
        <v>72</v>
      </c>
      <c r="AL100" s="4" t="s">
        <v>72</v>
      </c>
      <c r="AM100" s="4" t="s">
        <v>70</v>
      </c>
      <c r="AN100" s="4" t="s">
        <v>73</v>
      </c>
      <c r="AO100" s="4" t="s">
        <v>73</v>
      </c>
      <c r="AP100" s="4" t="s">
        <v>73</v>
      </c>
      <c r="AQ100" s="4" t="s">
        <v>73</v>
      </c>
      <c r="AR100" s="4" t="s">
        <v>71</v>
      </c>
      <c r="AS100" s="4" t="s">
        <v>71</v>
      </c>
      <c r="AT100" s="4" t="s">
        <v>70</v>
      </c>
      <c r="AU100" s="4" t="s">
        <v>72</v>
      </c>
      <c r="AV100" s="4" t="s">
        <v>71</v>
      </c>
      <c r="AW100" s="4" t="s">
        <v>70</v>
      </c>
      <c r="AX100" s="4" t="s">
        <v>72</v>
      </c>
      <c r="AY100" s="4" t="s">
        <v>71</v>
      </c>
      <c r="AZ100" s="4" t="s">
        <v>71</v>
      </c>
      <c r="BA100" s="4" t="s">
        <v>70</v>
      </c>
      <c r="BB100" s="4" t="s">
        <v>72</v>
      </c>
      <c r="BC100" s="4" t="s">
        <v>70</v>
      </c>
      <c r="BD100" s="4" t="s">
        <v>70</v>
      </c>
      <c r="BE100" s="4" t="s">
        <v>70</v>
      </c>
      <c r="BF100" s="4" t="s">
        <v>72</v>
      </c>
      <c r="BG100" s="4" t="s">
        <v>72</v>
      </c>
      <c r="BH100" s="4" t="s">
        <v>71</v>
      </c>
      <c r="BI100" s="4" t="s">
        <v>73</v>
      </c>
      <c r="BJ100" s="4" t="s">
        <v>73</v>
      </c>
      <c r="BK100" s="4" t="s">
        <v>73</v>
      </c>
      <c r="BL100" s="4" t="s">
        <v>72</v>
      </c>
      <c r="BM100" s="4" t="s">
        <v>71</v>
      </c>
      <c r="BN100" s="4" t="s">
        <v>71</v>
      </c>
      <c r="BO100" s="4" t="s">
        <v>71</v>
      </c>
      <c r="BP100" s="4" t="s">
        <v>73</v>
      </c>
      <c r="BQ100" s="4" t="s">
        <v>71</v>
      </c>
      <c r="BR100" s="4" t="s">
        <v>73</v>
      </c>
      <c r="BS100" s="4" t="s">
        <v>71</v>
      </c>
      <c r="BT100" s="4" t="s">
        <v>71</v>
      </c>
      <c r="BU100" s="4" t="s">
        <v>71</v>
      </c>
      <c r="BV100" s="4" t="s">
        <v>73</v>
      </c>
      <c r="BW100" s="4" t="s">
        <v>71</v>
      </c>
      <c r="BX100" s="4" t="s">
        <v>71</v>
      </c>
    </row>
    <row r="101" spans="1:76">
      <c r="A101" s="4" t="s">
        <v>216</v>
      </c>
      <c r="B101" s="4" t="s">
        <v>244</v>
      </c>
      <c r="C101" s="4" t="s">
        <v>125</v>
      </c>
      <c r="D101" s="4" t="s">
        <v>126</v>
      </c>
      <c r="E101" s="4" t="s">
        <v>70</v>
      </c>
      <c r="F101" s="4" t="s">
        <v>71</v>
      </c>
      <c r="G101" s="4" t="s">
        <v>71</v>
      </c>
      <c r="H101" s="4" t="s">
        <v>71</v>
      </c>
      <c r="I101" s="4" t="s">
        <v>71</v>
      </c>
      <c r="J101" s="4" t="s">
        <v>73</v>
      </c>
      <c r="K101" s="4" t="s">
        <v>73</v>
      </c>
      <c r="L101" s="4" t="s">
        <v>72</v>
      </c>
      <c r="M101" s="4" t="s">
        <v>73</v>
      </c>
      <c r="N101" s="4" t="s">
        <v>70</v>
      </c>
      <c r="O101" s="4" t="s">
        <v>71</v>
      </c>
      <c r="P101" s="4" t="s">
        <v>72</v>
      </c>
      <c r="Q101" s="4" t="s">
        <v>71</v>
      </c>
      <c r="R101" s="4" t="s">
        <v>73</v>
      </c>
      <c r="S101" s="4" t="s">
        <v>70</v>
      </c>
      <c r="T101" s="4" t="s">
        <v>72</v>
      </c>
      <c r="U101" s="4" t="s">
        <v>71</v>
      </c>
      <c r="V101" s="4" t="s">
        <v>70</v>
      </c>
      <c r="W101" s="4" t="s">
        <v>70</v>
      </c>
      <c r="X101" s="4" t="s">
        <v>72</v>
      </c>
      <c r="Y101" s="4" t="s">
        <v>73</v>
      </c>
      <c r="Z101" s="4" t="s">
        <v>70</v>
      </c>
      <c r="AA101" s="4" t="s">
        <v>73</v>
      </c>
      <c r="AB101" s="4" t="s">
        <v>70</v>
      </c>
      <c r="AC101" s="4" t="s">
        <v>71</v>
      </c>
      <c r="AD101" s="4" t="s">
        <v>70</v>
      </c>
      <c r="AE101" s="4" t="s">
        <v>72</v>
      </c>
      <c r="AF101" s="4" t="s">
        <v>71</v>
      </c>
      <c r="AG101" s="4" t="s">
        <v>72</v>
      </c>
      <c r="AH101" s="4" t="s">
        <v>71</v>
      </c>
      <c r="AI101" s="4" t="s">
        <v>71</v>
      </c>
      <c r="AJ101" s="4" t="s">
        <v>73</v>
      </c>
      <c r="AK101" s="4" t="s">
        <v>72</v>
      </c>
      <c r="AL101" s="4" t="s">
        <v>70</v>
      </c>
      <c r="AM101" s="4" t="s">
        <v>70</v>
      </c>
      <c r="AN101" s="4" t="s">
        <v>72</v>
      </c>
      <c r="AO101" s="4" t="s">
        <v>73</v>
      </c>
      <c r="AP101" s="4" t="s">
        <v>73</v>
      </c>
      <c r="AQ101" s="4" t="s">
        <v>70</v>
      </c>
      <c r="AR101" s="4" t="s">
        <v>70</v>
      </c>
      <c r="AS101" s="4" t="s">
        <v>73</v>
      </c>
      <c r="AT101" s="4" t="s">
        <v>70</v>
      </c>
      <c r="AU101" s="4" t="s">
        <v>73</v>
      </c>
      <c r="AV101" s="4" t="s">
        <v>73</v>
      </c>
      <c r="AW101" s="4" t="s">
        <v>70</v>
      </c>
      <c r="AX101" s="4" t="s">
        <v>70</v>
      </c>
      <c r="AY101" s="4" t="s">
        <v>72</v>
      </c>
      <c r="AZ101" s="4" t="s">
        <v>71</v>
      </c>
      <c r="BA101" s="4" t="s">
        <v>72</v>
      </c>
      <c r="BB101" s="4" t="s">
        <v>70</v>
      </c>
      <c r="BC101" s="4" t="s">
        <v>71</v>
      </c>
      <c r="BD101" s="4" t="s">
        <v>70</v>
      </c>
      <c r="BE101" s="4" t="s">
        <v>70</v>
      </c>
      <c r="BF101" s="4" t="s">
        <v>72</v>
      </c>
      <c r="BG101" s="4" t="s">
        <v>72</v>
      </c>
      <c r="BH101" s="4" t="s">
        <v>71</v>
      </c>
      <c r="BI101" s="4" t="s">
        <v>70</v>
      </c>
      <c r="BJ101" s="4" t="s">
        <v>73</v>
      </c>
      <c r="BK101" s="4" t="s">
        <v>72</v>
      </c>
      <c r="BL101" s="4" t="s">
        <v>72</v>
      </c>
      <c r="BM101" s="4" t="s">
        <v>71</v>
      </c>
      <c r="BN101" s="4" t="s">
        <v>71</v>
      </c>
      <c r="BO101" s="4" t="s">
        <v>70</v>
      </c>
      <c r="BP101" s="4" t="s">
        <v>71</v>
      </c>
      <c r="BQ101" s="4" t="s">
        <v>73</v>
      </c>
      <c r="BR101" s="4" t="s">
        <v>72</v>
      </c>
      <c r="BS101" s="4" t="s">
        <v>72</v>
      </c>
      <c r="BT101" s="4" t="s">
        <v>70</v>
      </c>
      <c r="BU101" s="4" t="s">
        <v>70</v>
      </c>
      <c r="BV101" s="4" t="s">
        <v>70</v>
      </c>
      <c r="BW101" s="4" t="s">
        <v>70</v>
      </c>
      <c r="BX101" s="4" t="s">
        <v>71</v>
      </c>
    </row>
    <row r="102" spans="1:76">
      <c r="A102" s="4" t="s">
        <v>216</v>
      </c>
      <c r="B102" s="4" t="s">
        <v>245</v>
      </c>
      <c r="C102" s="4" t="s">
        <v>125</v>
      </c>
      <c r="D102" s="4" t="s">
        <v>208</v>
      </c>
      <c r="E102" s="4" t="s">
        <v>70</v>
      </c>
      <c r="F102" s="4" t="s">
        <v>71</v>
      </c>
      <c r="G102" s="4" t="s">
        <v>71</v>
      </c>
      <c r="H102" s="4" t="s">
        <v>72</v>
      </c>
      <c r="I102" s="4" t="s">
        <v>71</v>
      </c>
      <c r="J102" s="4" t="s">
        <v>71</v>
      </c>
      <c r="K102" s="4" t="s">
        <v>72</v>
      </c>
      <c r="L102" s="4" t="s">
        <v>72</v>
      </c>
      <c r="M102" s="4" t="s">
        <v>73</v>
      </c>
      <c r="N102" s="4" t="s">
        <v>70</v>
      </c>
      <c r="O102" s="4" t="s">
        <v>71</v>
      </c>
      <c r="P102" s="4" t="s">
        <v>72</v>
      </c>
      <c r="Q102" s="4" t="s">
        <v>71</v>
      </c>
      <c r="R102" s="4" t="s">
        <v>73</v>
      </c>
      <c r="S102" s="4" t="s">
        <v>70</v>
      </c>
      <c r="T102" s="4" t="s">
        <v>72</v>
      </c>
      <c r="U102" s="4" t="s">
        <v>71</v>
      </c>
      <c r="V102" s="4" t="s">
        <v>70</v>
      </c>
      <c r="W102" s="4" t="s">
        <v>70</v>
      </c>
      <c r="X102" s="4" t="s">
        <v>71</v>
      </c>
      <c r="Y102" s="4" t="s">
        <v>73</v>
      </c>
      <c r="Z102" s="4" t="s">
        <v>70</v>
      </c>
      <c r="AA102" s="4" t="s">
        <v>73</v>
      </c>
      <c r="AB102" s="4" t="s">
        <v>70</v>
      </c>
      <c r="AC102" s="4" t="s">
        <v>71</v>
      </c>
      <c r="AD102" s="4" t="s">
        <v>70</v>
      </c>
      <c r="AE102" s="4" t="s">
        <v>73</v>
      </c>
      <c r="AF102" s="4" t="s">
        <v>72</v>
      </c>
      <c r="AG102" s="4" t="s">
        <v>70</v>
      </c>
      <c r="AH102" s="4" t="s">
        <v>72</v>
      </c>
      <c r="AI102" s="4" t="s">
        <v>73</v>
      </c>
      <c r="AJ102" s="4" t="s">
        <v>71</v>
      </c>
      <c r="AK102" s="4" t="s">
        <v>72</v>
      </c>
      <c r="AL102" s="4" t="s">
        <v>72</v>
      </c>
      <c r="AM102" s="4" t="s">
        <v>70</v>
      </c>
      <c r="AN102" s="4" t="s">
        <v>72</v>
      </c>
      <c r="AO102" s="4" t="s">
        <v>73</v>
      </c>
      <c r="AP102" s="4" t="s">
        <v>73</v>
      </c>
      <c r="AQ102" s="4" t="s">
        <v>72</v>
      </c>
      <c r="AR102" s="4" t="s">
        <v>73</v>
      </c>
      <c r="AS102" s="4" t="s">
        <v>71</v>
      </c>
      <c r="AT102" s="4" t="s">
        <v>73</v>
      </c>
      <c r="AU102" s="4" t="s">
        <v>72</v>
      </c>
      <c r="AV102" s="4" t="s">
        <v>73</v>
      </c>
      <c r="AW102" s="4" t="s">
        <v>70</v>
      </c>
      <c r="AX102" s="4" t="s">
        <v>70</v>
      </c>
      <c r="AY102" s="4" t="s">
        <v>72</v>
      </c>
      <c r="AZ102" s="4" t="s">
        <v>71</v>
      </c>
      <c r="BA102" s="4" t="s">
        <v>70</v>
      </c>
      <c r="BB102" s="4" t="s">
        <v>72</v>
      </c>
      <c r="BC102" s="4" t="s">
        <v>71</v>
      </c>
      <c r="BD102" s="4" t="s">
        <v>70</v>
      </c>
      <c r="BE102" s="4" t="s">
        <v>70</v>
      </c>
      <c r="BF102" s="4" t="s">
        <v>72</v>
      </c>
      <c r="BG102" s="4" t="s">
        <v>72</v>
      </c>
      <c r="BH102" s="4" t="s">
        <v>71</v>
      </c>
      <c r="BI102" s="4" t="s">
        <v>70</v>
      </c>
      <c r="BJ102" s="4" t="s">
        <v>73</v>
      </c>
      <c r="BK102" s="4" t="s">
        <v>73</v>
      </c>
      <c r="BL102" s="4" t="s">
        <v>72</v>
      </c>
      <c r="BM102" s="4" t="s">
        <v>71</v>
      </c>
      <c r="BN102" s="4" t="s">
        <v>71</v>
      </c>
      <c r="BO102" s="4" t="s">
        <v>70</v>
      </c>
      <c r="BP102" s="4" t="s">
        <v>73</v>
      </c>
      <c r="BQ102" s="4" t="s">
        <v>71</v>
      </c>
      <c r="BR102" s="4" t="s">
        <v>73</v>
      </c>
      <c r="BS102" s="4" t="s">
        <v>70</v>
      </c>
      <c r="BT102" s="4" t="s">
        <v>70</v>
      </c>
      <c r="BU102" s="4" t="s">
        <v>73</v>
      </c>
      <c r="BV102" s="4" t="s">
        <v>70</v>
      </c>
      <c r="BW102" s="4" t="s">
        <v>70</v>
      </c>
      <c r="BX102" s="4" t="s">
        <v>71</v>
      </c>
    </row>
    <row r="103" spans="1:76">
      <c r="A103" s="4" t="s">
        <v>216</v>
      </c>
      <c r="B103" s="4" t="s">
        <v>246</v>
      </c>
      <c r="C103" s="4" t="s">
        <v>125</v>
      </c>
      <c r="D103" s="4" t="s">
        <v>97</v>
      </c>
      <c r="E103" s="4" t="s">
        <v>70</v>
      </c>
      <c r="F103" s="4" t="s">
        <v>71</v>
      </c>
      <c r="G103" s="4" t="s">
        <v>71</v>
      </c>
      <c r="H103" s="4" t="s">
        <v>70</v>
      </c>
      <c r="I103" s="4" t="s">
        <v>71</v>
      </c>
      <c r="J103" s="4" t="s">
        <v>71</v>
      </c>
      <c r="K103" s="4" t="s">
        <v>72</v>
      </c>
      <c r="L103" s="4" t="s">
        <v>72</v>
      </c>
      <c r="M103" s="4" t="s">
        <v>73</v>
      </c>
      <c r="N103" s="4" t="s">
        <v>70</v>
      </c>
      <c r="O103" s="4" t="s">
        <v>71</v>
      </c>
      <c r="P103" s="4" t="s">
        <v>72</v>
      </c>
      <c r="Q103" s="4" t="s">
        <v>71</v>
      </c>
      <c r="R103" s="4" t="s">
        <v>73</v>
      </c>
      <c r="S103" s="4" t="s">
        <v>70</v>
      </c>
      <c r="T103" s="4" t="s">
        <v>72</v>
      </c>
      <c r="U103" s="4" t="s">
        <v>72</v>
      </c>
      <c r="V103" s="4" t="s">
        <v>70</v>
      </c>
      <c r="W103" s="4" t="s">
        <v>70</v>
      </c>
      <c r="X103" s="4" t="s">
        <v>71</v>
      </c>
      <c r="Y103" s="4" t="s">
        <v>73</v>
      </c>
      <c r="Z103" s="4" t="s">
        <v>70</v>
      </c>
      <c r="AA103" s="4" t="s">
        <v>73</v>
      </c>
      <c r="AB103" s="4" t="s">
        <v>70</v>
      </c>
      <c r="AC103" s="4" t="s">
        <v>71</v>
      </c>
      <c r="AD103" s="4" t="s">
        <v>73</v>
      </c>
      <c r="AE103" s="4" t="s">
        <v>73</v>
      </c>
      <c r="AF103" s="4" t="s">
        <v>71</v>
      </c>
      <c r="AG103" s="4" t="s">
        <v>70</v>
      </c>
      <c r="AH103" s="4" t="s">
        <v>71</v>
      </c>
      <c r="AI103" s="4" t="s">
        <v>73</v>
      </c>
      <c r="AJ103" s="4" t="s">
        <v>71</v>
      </c>
      <c r="AK103" s="4" t="s">
        <v>72</v>
      </c>
      <c r="AL103" s="4" t="s">
        <v>71</v>
      </c>
      <c r="AM103" s="4" t="s">
        <v>70</v>
      </c>
      <c r="AN103" s="4" t="s">
        <v>72</v>
      </c>
      <c r="AO103" s="4" t="s">
        <v>73</v>
      </c>
      <c r="AP103" s="4" t="s">
        <v>73</v>
      </c>
      <c r="AQ103" s="4" t="s">
        <v>72</v>
      </c>
      <c r="AR103" s="4" t="s">
        <v>70</v>
      </c>
      <c r="AS103" s="4" t="s">
        <v>71</v>
      </c>
      <c r="AT103" s="4" t="s">
        <v>70</v>
      </c>
      <c r="AU103" s="4" t="s">
        <v>72</v>
      </c>
      <c r="AV103" s="4" t="s">
        <v>73</v>
      </c>
      <c r="AW103" s="4" t="s">
        <v>70</v>
      </c>
      <c r="AX103" s="4" t="s">
        <v>70</v>
      </c>
      <c r="AY103" s="4" t="s">
        <v>72</v>
      </c>
      <c r="AZ103" s="4" t="s">
        <v>71</v>
      </c>
      <c r="BA103" s="4" t="s">
        <v>72</v>
      </c>
      <c r="BB103" s="4" t="s">
        <v>71</v>
      </c>
      <c r="BC103" s="4" t="s">
        <v>70</v>
      </c>
      <c r="BD103" s="4" t="s">
        <v>70</v>
      </c>
      <c r="BE103" s="4" t="s">
        <v>70</v>
      </c>
      <c r="BF103" s="4" t="s">
        <v>72</v>
      </c>
      <c r="BG103" s="4" t="s">
        <v>72</v>
      </c>
      <c r="BH103" s="4" t="s">
        <v>71</v>
      </c>
      <c r="BI103" s="4" t="s">
        <v>70</v>
      </c>
      <c r="BJ103" s="4" t="s">
        <v>73</v>
      </c>
      <c r="BK103" s="4" t="s">
        <v>70</v>
      </c>
      <c r="BL103" s="4" t="s">
        <v>72</v>
      </c>
      <c r="BM103" s="4" t="s">
        <v>71</v>
      </c>
      <c r="BN103" s="4" t="s">
        <v>71</v>
      </c>
      <c r="BO103" s="4" t="s">
        <v>71</v>
      </c>
      <c r="BP103" s="4" t="s">
        <v>72</v>
      </c>
      <c r="BQ103" s="4" t="s">
        <v>71</v>
      </c>
      <c r="BR103" s="4" t="s">
        <v>71</v>
      </c>
      <c r="BS103" s="4" t="s">
        <v>70</v>
      </c>
      <c r="BT103" s="4" t="s">
        <v>70</v>
      </c>
      <c r="BU103" s="4" t="s">
        <v>71</v>
      </c>
      <c r="BV103" s="4" t="s">
        <v>71</v>
      </c>
      <c r="BW103" s="4" t="s">
        <v>71</v>
      </c>
      <c r="BX103" s="4" t="s">
        <v>72</v>
      </c>
    </row>
    <row r="104" spans="1:76">
      <c r="A104" s="4" t="s">
        <v>216</v>
      </c>
      <c r="B104" s="4" t="s">
        <v>247</v>
      </c>
      <c r="C104" s="4" t="s">
        <v>211</v>
      </c>
      <c r="D104" s="4" t="s">
        <v>212</v>
      </c>
      <c r="E104" s="4" t="s">
        <v>73</v>
      </c>
      <c r="F104" s="4" t="s">
        <v>70</v>
      </c>
      <c r="G104" s="4" t="s">
        <v>70</v>
      </c>
      <c r="H104" s="4" t="s">
        <v>70</v>
      </c>
      <c r="I104" s="4" t="s">
        <v>72</v>
      </c>
      <c r="J104" s="4" t="s">
        <v>71</v>
      </c>
      <c r="K104" s="4" t="s">
        <v>70</v>
      </c>
      <c r="L104" s="4" t="s">
        <v>72</v>
      </c>
      <c r="M104" s="4" t="s">
        <v>73</v>
      </c>
      <c r="N104" s="4" t="s">
        <v>70</v>
      </c>
      <c r="O104" s="4" t="s">
        <v>71</v>
      </c>
      <c r="P104" s="4" t="s">
        <v>72</v>
      </c>
      <c r="Q104" s="4" t="s">
        <v>71</v>
      </c>
      <c r="R104" s="4" t="s">
        <v>73</v>
      </c>
      <c r="S104" s="4" t="s">
        <v>73</v>
      </c>
      <c r="T104" s="4" t="s">
        <v>72</v>
      </c>
      <c r="U104" s="4" t="s">
        <v>72</v>
      </c>
      <c r="V104" s="4" t="s">
        <v>70</v>
      </c>
      <c r="W104" s="4" t="s">
        <v>70</v>
      </c>
      <c r="X104" s="4" t="s">
        <v>72</v>
      </c>
      <c r="Y104" s="4" t="s">
        <v>73</v>
      </c>
      <c r="Z104" s="4" t="s">
        <v>70</v>
      </c>
      <c r="AA104" s="4" t="s">
        <v>73</v>
      </c>
      <c r="AB104" s="4" t="s">
        <v>70</v>
      </c>
      <c r="AC104" s="4" t="s">
        <v>71</v>
      </c>
      <c r="AD104" s="4" t="s">
        <v>73</v>
      </c>
      <c r="AE104" s="4" t="s">
        <v>71</v>
      </c>
      <c r="AF104" s="4" t="s">
        <v>72</v>
      </c>
      <c r="AG104" s="4" t="s">
        <v>70</v>
      </c>
      <c r="AH104" s="4" t="s">
        <v>70</v>
      </c>
      <c r="AI104" s="4" t="s">
        <v>72</v>
      </c>
      <c r="AJ104" s="4" t="s">
        <v>71</v>
      </c>
      <c r="AK104" s="4" t="s">
        <v>72</v>
      </c>
      <c r="AL104" s="4" t="s">
        <v>71</v>
      </c>
      <c r="AM104" s="4" t="s">
        <v>71</v>
      </c>
      <c r="AN104" s="4" t="s">
        <v>73</v>
      </c>
      <c r="AO104" s="4" t="s">
        <v>73</v>
      </c>
      <c r="AP104" s="4" t="s">
        <v>73</v>
      </c>
      <c r="AQ104" s="4" t="s">
        <v>73</v>
      </c>
      <c r="AR104" s="4" t="s">
        <v>71</v>
      </c>
      <c r="AS104" s="4" t="s">
        <v>71</v>
      </c>
      <c r="AT104" s="4" t="s">
        <v>73</v>
      </c>
      <c r="AU104" s="4" t="s">
        <v>70</v>
      </c>
      <c r="AV104" s="4" t="s">
        <v>71</v>
      </c>
      <c r="AW104" s="4" t="s">
        <v>70</v>
      </c>
      <c r="AX104" s="4" t="s">
        <v>70</v>
      </c>
      <c r="AY104" s="4" t="s">
        <v>72</v>
      </c>
      <c r="AZ104" s="4" t="s">
        <v>71</v>
      </c>
      <c r="BA104" s="4" t="s">
        <v>70</v>
      </c>
      <c r="BB104" s="4" t="s">
        <v>70</v>
      </c>
      <c r="BC104" s="4" t="s">
        <v>70</v>
      </c>
      <c r="BD104" s="4" t="s">
        <v>70</v>
      </c>
      <c r="BE104" s="4" t="s">
        <v>70</v>
      </c>
      <c r="BF104" s="4" t="s">
        <v>72</v>
      </c>
      <c r="BG104" s="4" t="s">
        <v>72</v>
      </c>
      <c r="BH104" s="4" t="s">
        <v>71</v>
      </c>
      <c r="BI104" s="4" t="s">
        <v>73</v>
      </c>
      <c r="BJ104" s="4" t="s">
        <v>73</v>
      </c>
      <c r="BK104" s="4" t="s">
        <v>70</v>
      </c>
      <c r="BL104" s="4" t="s">
        <v>72</v>
      </c>
      <c r="BM104" s="4" t="s">
        <v>71</v>
      </c>
      <c r="BN104" s="4" t="s">
        <v>71</v>
      </c>
      <c r="BO104" s="4" t="s">
        <v>71</v>
      </c>
      <c r="BP104" s="4" t="s">
        <v>72</v>
      </c>
      <c r="BQ104" s="4" t="s">
        <v>71</v>
      </c>
      <c r="BR104" s="4" t="s">
        <v>71</v>
      </c>
      <c r="BS104" s="4" t="s">
        <v>70</v>
      </c>
      <c r="BT104" s="4" t="s">
        <v>70</v>
      </c>
      <c r="BU104" s="4" t="s">
        <v>71</v>
      </c>
      <c r="BV104" s="4" t="s">
        <v>71</v>
      </c>
      <c r="BW104" s="4" t="s">
        <v>71</v>
      </c>
      <c r="BX104" s="4" t="s">
        <v>72</v>
      </c>
    </row>
    <row r="105" spans="1:76">
      <c r="A105" s="4" t="s">
        <v>216</v>
      </c>
      <c r="B105" s="4" t="s">
        <v>248</v>
      </c>
      <c r="C105" s="4" t="s">
        <v>211</v>
      </c>
      <c r="D105" s="4" t="s">
        <v>212</v>
      </c>
      <c r="E105" s="4" t="s">
        <v>73</v>
      </c>
      <c r="F105" s="4" t="s">
        <v>70</v>
      </c>
      <c r="G105" s="4" t="s">
        <v>70</v>
      </c>
      <c r="H105" s="4" t="s">
        <v>70</v>
      </c>
      <c r="I105" s="4" t="s">
        <v>70</v>
      </c>
      <c r="J105" s="4" t="s">
        <v>71</v>
      </c>
      <c r="K105" s="4" t="s">
        <v>70</v>
      </c>
      <c r="L105" s="4" t="s">
        <v>72</v>
      </c>
      <c r="M105" s="4" t="s">
        <v>73</v>
      </c>
      <c r="N105" s="4" t="s">
        <v>70</v>
      </c>
      <c r="O105" s="4" t="s">
        <v>71</v>
      </c>
      <c r="P105" s="4" t="s">
        <v>72</v>
      </c>
      <c r="Q105" s="4" t="s">
        <v>71</v>
      </c>
      <c r="R105" s="4" t="s">
        <v>73</v>
      </c>
      <c r="S105" s="4" t="s">
        <v>70</v>
      </c>
      <c r="T105" s="10" t="s">
        <v>77</v>
      </c>
      <c r="U105" s="4" t="s">
        <v>71</v>
      </c>
      <c r="V105" s="4" t="s">
        <v>70</v>
      </c>
      <c r="W105" s="4" t="s">
        <v>70</v>
      </c>
      <c r="X105" s="4" t="s">
        <v>71</v>
      </c>
      <c r="Y105" s="4" t="s">
        <v>73</v>
      </c>
      <c r="Z105" s="4" t="s">
        <v>70</v>
      </c>
      <c r="AA105" s="4" t="s">
        <v>73</v>
      </c>
      <c r="AB105" s="4" t="s">
        <v>70</v>
      </c>
      <c r="AC105" s="4" t="s">
        <v>71</v>
      </c>
      <c r="AD105" s="4" t="s">
        <v>70</v>
      </c>
      <c r="AE105" s="4" t="s">
        <v>70</v>
      </c>
      <c r="AF105" s="4" t="s">
        <v>71</v>
      </c>
      <c r="AG105" s="4" t="s">
        <v>70</v>
      </c>
      <c r="AH105" s="4" t="s">
        <v>70</v>
      </c>
      <c r="AI105" s="4" t="s">
        <v>72</v>
      </c>
      <c r="AJ105" s="4" t="s">
        <v>71</v>
      </c>
      <c r="AK105" s="4" t="s">
        <v>72</v>
      </c>
      <c r="AL105" s="4" t="s">
        <v>71</v>
      </c>
      <c r="AM105" s="4" t="s">
        <v>71</v>
      </c>
      <c r="AN105" s="4" t="s">
        <v>73</v>
      </c>
      <c r="AO105" s="4" t="s">
        <v>73</v>
      </c>
      <c r="AP105" s="4" t="s">
        <v>73</v>
      </c>
      <c r="AQ105" s="4" t="s">
        <v>73</v>
      </c>
      <c r="AR105" s="4" t="s">
        <v>72</v>
      </c>
      <c r="AS105" s="4" t="s">
        <v>71</v>
      </c>
      <c r="AT105" s="4" t="s">
        <v>70</v>
      </c>
      <c r="AU105" s="4" t="s">
        <v>72</v>
      </c>
      <c r="AV105" s="4" t="s">
        <v>73</v>
      </c>
      <c r="AW105" s="4" t="s">
        <v>72</v>
      </c>
      <c r="AX105" s="4" t="s">
        <v>70</v>
      </c>
      <c r="AY105" s="4" t="s">
        <v>72</v>
      </c>
      <c r="AZ105" s="4" t="s">
        <v>71</v>
      </c>
      <c r="BA105" s="4" t="s">
        <v>70</v>
      </c>
      <c r="BB105" s="4" t="s">
        <v>71</v>
      </c>
      <c r="BC105" s="4" t="s">
        <v>73</v>
      </c>
      <c r="BD105" s="4" t="s">
        <v>70</v>
      </c>
      <c r="BE105" s="4" t="s">
        <v>70</v>
      </c>
      <c r="BF105" s="4" t="s">
        <v>72</v>
      </c>
      <c r="BG105" s="4" t="s">
        <v>72</v>
      </c>
      <c r="BH105" s="4" t="s">
        <v>71</v>
      </c>
      <c r="BI105" s="4" t="s">
        <v>70</v>
      </c>
      <c r="BJ105" s="4" t="s">
        <v>73</v>
      </c>
      <c r="BK105" s="4" t="s">
        <v>72</v>
      </c>
      <c r="BL105" s="4" t="s">
        <v>72</v>
      </c>
      <c r="BM105" s="4" t="s">
        <v>71</v>
      </c>
      <c r="BN105" s="4" t="s">
        <v>71</v>
      </c>
      <c r="BO105" s="4" t="s">
        <v>72</v>
      </c>
      <c r="BP105" s="4" t="s">
        <v>70</v>
      </c>
      <c r="BQ105" s="4" t="s">
        <v>71</v>
      </c>
      <c r="BR105" s="4" t="s">
        <v>71</v>
      </c>
      <c r="BS105" s="4" t="s">
        <v>70</v>
      </c>
      <c r="BT105" s="4" t="s">
        <v>71</v>
      </c>
      <c r="BU105" s="4" t="s">
        <v>71</v>
      </c>
      <c r="BV105" s="4" t="s">
        <v>71</v>
      </c>
      <c r="BW105" s="4" t="s">
        <v>71</v>
      </c>
      <c r="BX105" s="4" t="s">
        <v>72</v>
      </c>
    </row>
    <row r="106" spans="1:76">
      <c r="A106" s="4" t="s">
        <v>216</v>
      </c>
      <c r="B106" s="4" t="s">
        <v>249</v>
      </c>
      <c r="C106" s="4" t="s">
        <v>211</v>
      </c>
      <c r="D106" s="4" t="s">
        <v>212</v>
      </c>
      <c r="E106" s="4" t="s">
        <v>73</v>
      </c>
      <c r="F106" s="4" t="s">
        <v>70</v>
      </c>
      <c r="G106" s="4" t="s">
        <v>70</v>
      </c>
      <c r="H106" s="4" t="s">
        <v>70</v>
      </c>
      <c r="I106" s="4" t="s">
        <v>70</v>
      </c>
      <c r="J106" s="4" t="s">
        <v>71</v>
      </c>
      <c r="K106" s="4" t="s">
        <v>70</v>
      </c>
      <c r="L106" s="4" t="s">
        <v>72</v>
      </c>
      <c r="M106" s="4" t="s">
        <v>73</v>
      </c>
      <c r="N106" s="4" t="s">
        <v>70</v>
      </c>
      <c r="O106" s="4" t="s">
        <v>71</v>
      </c>
      <c r="P106" s="4" t="s">
        <v>72</v>
      </c>
      <c r="Q106" s="4" t="s">
        <v>71</v>
      </c>
      <c r="R106" s="4" t="s">
        <v>73</v>
      </c>
      <c r="S106" s="4" t="s">
        <v>70</v>
      </c>
      <c r="T106" s="10" t="s">
        <v>77</v>
      </c>
      <c r="U106" s="4" t="s">
        <v>71</v>
      </c>
      <c r="V106" s="4" t="s">
        <v>70</v>
      </c>
      <c r="W106" s="4" t="s">
        <v>70</v>
      </c>
      <c r="X106" s="4" t="s">
        <v>71</v>
      </c>
      <c r="Y106" s="4" t="s">
        <v>73</v>
      </c>
      <c r="Z106" s="4" t="s">
        <v>70</v>
      </c>
      <c r="AA106" s="4" t="s">
        <v>73</v>
      </c>
      <c r="AB106" s="4" t="s">
        <v>70</v>
      </c>
      <c r="AC106" s="4" t="s">
        <v>71</v>
      </c>
      <c r="AD106" s="4" t="s">
        <v>70</v>
      </c>
      <c r="AE106" s="4" t="s">
        <v>70</v>
      </c>
      <c r="AF106" s="4" t="s">
        <v>71</v>
      </c>
      <c r="AG106" s="4" t="s">
        <v>70</v>
      </c>
      <c r="AH106" s="4" t="s">
        <v>70</v>
      </c>
      <c r="AI106" s="4" t="s">
        <v>72</v>
      </c>
      <c r="AJ106" s="4" t="s">
        <v>71</v>
      </c>
      <c r="AK106" s="4" t="s">
        <v>72</v>
      </c>
      <c r="AL106" s="4" t="s">
        <v>71</v>
      </c>
      <c r="AM106" s="4" t="s">
        <v>71</v>
      </c>
      <c r="AN106" s="4" t="s">
        <v>73</v>
      </c>
      <c r="AO106" s="4" t="s">
        <v>73</v>
      </c>
      <c r="AP106" s="4" t="s">
        <v>73</v>
      </c>
      <c r="AQ106" s="4" t="s">
        <v>73</v>
      </c>
      <c r="AR106" s="4" t="s">
        <v>72</v>
      </c>
      <c r="AS106" s="4" t="s">
        <v>71</v>
      </c>
      <c r="AT106" s="4" t="s">
        <v>70</v>
      </c>
      <c r="AU106" s="4" t="s">
        <v>72</v>
      </c>
      <c r="AV106" s="4" t="s">
        <v>73</v>
      </c>
      <c r="AW106" s="4" t="s">
        <v>72</v>
      </c>
      <c r="AX106" s="4" t="s">
        <v>70</v>
      </c>
      <c r="AY106" s="4" t="s">
        <v>72</v>
      </c>
      <c r="AZ106" s="4" t="s">
        <v>71</v>
      </c>
      <c r="BA106" s="4" t="s">
        <v>70</v>
      </c>
      <c r="BB106" s="4" t="s">
        <v>71</v>
      </c>
      <c r="BC106" s="4" t="s">
        <v>73</v>
      </c>
      <c r="BD106" s="4" t="s">
        <v>70</v>
      </c>
      <c r="BE106" s="4" t="s">
        <v>70</v>
      </c>
      <c r="BF106" s="4" t="s">
        <v>72</v>
      </c>
      <c r="BG106" s="4" t="s">
        <v>72</v>
      </c>
      <c r="BH106" s="4" t="s">
        <v>71</v>
      </c>
      <c r="BI106" s="4" t="s">
        <v>70</v>
      </c>
      <c r="BJ106" s="4" t="s">
        <v>73</v>
      </c>
      <c r="BK106" s="4" t="s">
        <v>72</v>
      </c>
      <c r="BL106" s="4" t="s">
        <v>72</v>
      </c>
      <c r="BM106" s="4" t="s">
        <v>71</v>
      </c>
      <c r="BN106" s="4" t="s">
        <v>71</v>
      </c>
      <c r="BO106" s="4" t="s">
        <v>72</v>
      </c>
      <c r="BP106" s="4" t="s">
        <v>70</v>
      </c>
      <c r="BQ106" s="4" t="s">
        <v>71</v>
      </c>
      <c r="BR106" s="4" t="s">
        <v>71</v>
      </c>
      <c r="BS106" s="4" t="s">
        <v>70</v>
      </c>
      <c r="BT106" s="4" t="s">
        <v>71</v>
      </c>
      <c r="BU106" s="4" t="s">
        <v>71</v>
      </c>
      <c r="BV106" s="4" t="s">
        <v>71</v>
      </c>
      <c r="BW106" s="4" t="s">
        <v>71</v>
      </c>
      <c r="BX106" s="4" t="s">
        <v>72</v>
      </c>
    </row>
    <row r="107" spans="1:76">
      <c r="A107" s="4" t="s">
        <v>216</v>
      </c>
      <c r="B107" s="4" t="s">
        <v>250</v>
      </c>
      <c r="C107" s="4" t="s">
        <v>175</v>
      </c>
      <c r="D107" s="4" t="s">
        <v>100</v>
      </c>
      <c r="E107" s="4" t="s">
        <v>70</v>
      </c>
      <c r="F107" s="4" t="s">
        <v>70</v>
      </c>
      <c r="G107" s="4" t="s">
        <v>71</v>
      </c>
      <c r="H107" s="4" t="s">
        <v>70</v>
      </c>
      <c r="I107" s="4" t="s">
        <v>70</v>
      </c>
      <c r="J107" s="4" t="s">
        <v>72</v>
      </c>
      <c r="K107" s="4" t="s">
        <v>70</v>
      </c>
      <c r="L107" s="4" t="s">
        <v>72</v>
      </c>
      <c r="M107" s="4" t="s">
        <v>70</v>
      </c>
      <c r="N107" s="4" t="s">
        <v>71</v>
      </c>
      <c r="O107" s="4" t="s">
        <v>71</v>
      </c>
      <c r="P107" s="4" t="s">
        <v>71</v>
      </c>
      <c r="Q107" s="4" t="s">
        <v>70</v>
      </c>
      <c r="R107" s="4" t="s">
        <v>73</v>
      </c>
      <c r="S107" s="4" t="s">
        <v>70</v>
      </c>
      <c r="T107" s="10" t="s">
        <v>77</v>
      </c>
      <c r="U107" s="4" t="s">
        <v>72</v>
      </c>
      <c r="V107" s="4" t="s">
        <v>70</v>
      </c>
      <c r="W107" s="4" t="s">
        <v>70</v>
      </c>
      <c r="X107" s="4" t="s">
        <v>71</v>
      </c>
      <c r="Y107" s="4" t="s">
        <v>73</v>
      </c>
      <c r="Z107" s="4" t="s">
        <v>73</v>
      </c>
      <c r="AA107" s="4" t="s">
        <v>70</v>
      </c>
      <c r="AB107" s="4" t="s">
        <v>70</v>
      </c>
      <c r="AC107" s="4" t="s">
        <v>70</v>
      </c>
      <c r="AD107" s="4" t="s">
        <v>73</v>
      </c>
      <c r="AE107" s="4" t="s">
        <v>70</v>
      </c>
      <c r="AF107" s="4" t="s">
        <v>71</v>
      </c>
      <c r="AG107" s="4" t="s">
        <v>73</v>
      </c>
      <c r="AH107" s="4" t="s">
        <v>70</v>
      </c>
      <c r="AI107" s="4" t="s">
        <v>73</v>
      </c>
      <c r="AJ107" s="4" t="s">
        <v>71</v>
      </c>
      <c r="AK107" s="4" t="s">
        <v>72</v>
      </c>
      <c r="AL107" s="4" t="s">
        <v>70</v>
      </c>
      <c r="AM107" s="4" t="s">
        <v>72</v>
      </c>
      <c r="AN107" s="4" t="s">
        <v>73</v>
      </c>
      <c r="AO107" s="4" t="s">
        <v>73</v>
      </c>
      <c r="AP107" s="4" t="s">
        <v>73</v>
      </c>
      <c r="AQ107" s="4" t="s">
        <v>72</v>
      </c>
      <c r="AR107" s="4" t="s">
        <v>71</v>
      </c>
      <c r="AS107" s="4" t="s">
        <v>72</v>
      </c>
      <c r="AT107" s="4" t="s">
        <v>70</v>
      </c>
      <c r="AU107" s="4" t="s">
        <v>71</v>
      </c>
      <c r="AV107" s="4" t="s">
        <v>71</v>
      </c>
      <c r="AW107" s="4" t="s">
        <v>70</v>
      </c>
      <c r="AX107" s="4" t="s">
        <v>70</v>
      </c>
      <c r="AY107" s="4" t="s">
        <v>71</v>
      </c>
      <c r="AZ107" s="4" t="s">
        <v>71</v>
      </c>
      <c r="BA107" s="4" t="s">
        <v>71</v>
      </c>
      <c r="BB107" s="4" t="s">
        <v>71</v>
      </c>
      <c r="BC107" s="4" t="s">
        <v>73</v>
      </c>
      <c r="BD107" s="4" t="s">
        <v>70</v>
      </c>
      <c r="BE107" s="4" t="s">
        <v>70</v>
      </c>
      <c r="BF107" s="4" t="s">
        <v>72</v>
      </c>
      <c r="BG107" s="4" t="s">
        <v>72</v>
      </c>
      <c r="BH107" s="4" t="s">
        <v>71</v>
      </c>
      <c r="BI107" s="4" t="s">
        <v>70</v>
      </c>
      <c r="BJ107" s="4" t="s">
        <v>73</v>
      </c>
      <c r="BK107" s="4" t="s">
        <v>73</v>
      </c>
      <c r="BL107" s="4" t="s">
        <v>71</v>
      </c>
      <c r="BM107" s="4" t="s">
        <v>71</v>
      </c>
      <c r="BN107" s="4" t="s">
        <v>71</v>
      </c>
      <c r="BO107" s="4" t="s">
        <v>72</v>
      </c>
      <c r="BP107" s="4" t="s">
        <v>70</v>
      </c>
      <c r="BQ107" s="4" t="s">
        <v>70</v>
      </c>
      <c r="BR107" s="4" t="s">
        <v>71</v>
      </c>
      <c r="BS107" s="4" t="s">
        <v>70</v>
      </c>
      <c r="BT107" s="4" t="s">
        <v>71</v>
      </c>
      <c r="BU107" s="4" t="s">
        <v>71</v>
      </c>
      <c r="BV107" s="4" t="s">
        <v>70</v>
      </c>
      <c r="BW107" s="4" t="s">
        <v>71</v>
      </c>
      <c r="BX107" s="4" t="s">
        <v>71</v>
      </c>
    </row>
    <row r="108" spans="1:76">
      <c r="A108" s="4" t="s">
        <v>216</v>
      </c>
      <c r="B108" s="4" t="s">
        <v>251</v>
      </c>
      <c r="C108" s="4" t="s">
        <v>129</v>
      </c>
      <c r="D108" s="4" t="s">
        <v>130</v>
      </c>
      <c r="E108" s="4" t="s">
        <v>70</v>
      </c>
      <c r="F108" s="4" t="s">
        <v>71</v>
      </c>
      <c r="G108" s="4" t="s">
        <v>70</v>
      </c>
      <c r="H108" s="4" t="s">
        <v>71</v>
      </c>
      <c r="I108" s="4" t="s">
        <v>70</v>
      </c>
      <c r="J108" s="4" t="s">
        <v>73</v>
      </c>
      <c r="K108" s="4" t="s">
        <v>72</v>
      </c>
      <c r="L108" s="4" t="s">
        <v>72</v>
      </c>
      <c r="M108" s="4" t="s">
        <v>73</v>
      </c>
      <c r="N108" s="4" t="s">
        <v>70</v>
      </c>
      <c r="O108" s="4" t="s">
        <v>71</v>
      </c>
      <c r="P108" s="4" t="s">
        <v>72</v>
      </c>
      <c r="Q108" s="4" t="s">
        <v>71</v>
      </c>
      <c r="R108" s="4" t="s">
        <v>73</v>
      </c>
      <c r="S108" s="4" t="s">
        <v>70</v>
      </c>
      <c r="T108" s="10" t="s">
        <v>77</v>
      </c>
      <c r="U108" s="4" t="s">
        <v>71</v>
      </c>
      <c r="V108" s="4" t="s">
        <v>70</v>
      </c>
      <c r="W108" s="4" t="s">
        <v>70</v>
      </c>
      <c r="X108" s="4" t="s">
        <v>70</v>
      </c>
      <c r="Y108" s="4" t="s">
        <v>73</v>
      </c>
      <c r="Z108" s="4" t="s">
        <v>70</v>
      </c>
      <c r="AA108" s="4" t="s">
        <v>73</v>
      </c>
      <c r="AB108" s="4" t="s">
        <v>70</v>
      </c>
      <c r="AC108" s="4" t="s">
        <v>71</v>
      </c>
      <c r="AD108" s="4" t="s">
        <v>70</v>
      </c>
      <c r="AE108" s="4" t="s">
        <v>71</v>
      </c>
      <c r="AF108" s="4" t="s">
        <v>72</v>
      </c>
      <c r="AG108" s="4" t="s">
        <v>72</v>
      </c>
      <c r="AH108" s="4" t="s">
        <v>71</v>
      </c>
      <c r="AI108" s="4" t="s">
        <v>71</v>
      </c>
      <c r="AJ108" s="4" t="s">
        <v>71</v>
      </c>
      <c r="AK108" s="4" t="s">
        <v>72</v>
      </c>
      <c r="AL108" s="4" t="s">
        <v>70</v>
      </c>
      <c r="AM108" s="4" t="s">
        <v>73</v>
      </c>
      <c r="AN108" s="4" t="s">
        <v>71</v>
      </c>
      <c r="AO108" s="4" t="s">
        <v>73</v>
      </c>
      <c r="AP108" s="4" t="s">
        <v>71</v>
      </c>
      <c r="AQ108" s="4" t="s">
        <v>70</v>
      </c>
      <c r="AR108" s="4" t="s">
        <v>70</v>
      </c>
      <c r="AS108" s="4" t="s">
        <v>73</v>
      </c>
      <c r="AT108" s="4" t="s">
        <v>73</v>
      </c>
      <c r="AU108" s="4" t="s">
        <v>70</v>
      </c>
      <c r="AV108" s="4" t="s">
        <v>73</v>
      </c>
      <c r="AW108" s="4" t="s">
        <v>70</v>
      </c>
      <c r="AX108" s="4" t="s">
        <v>70</v>
      </c>
      <c r="AY108" s="4" t="s">
        <v>72</v>
      </c>
      <c r="AZ108" s="4" t="s">
        <v>71</v>
      </c>
      <c r="BA108" s="4" t="s">
        <v>73</v>
      </c>
      <c r="BB108" s="4" t="s">
        <v>71</v>
      </c>
      <c r="BC108" s="4" t="s">
        <v>72</v>
      </c>
      <c r="BD108" s="4" t="s">
        <v>70</v>
      </c>
      <c r="BE108" s="4" t="s">
        <v>70</v>
      </c>
      <c r="BF108" s="4" t="s">
        <v>72</v>
      </c>
      <c r="BG108" s="4" t="s">
        <v>72</v>
      </c>
      <c r="BH108" s="4" t="s">
        <v>71</v>
      </c>
      <c r="BI108" s="4" t="s">
        <v>73</v>
      </c>
      <c r="BJ108" s="4" t="s">
        <v>73</v>
      </c>
      <c r="BK108" s="4" t="s">
        <v>72</v>
      </c>
      <c r="BL108" s="4" t="s">
        <v>71</v>
      </c>
      <c r="BM108" s="4" t="s">
        <v>71</v>
      </c>
      <c r="BN108" s="4" t="s">
        <v>71</v>
      </c>
      <c r="BO108" s="4" t="s">
        <v>73</v>
      </c>
      <c r="BP108" s="4" t="s">
        <v>70</v>
      </c>
      <c r="BQ108" s="4" t="s">
        <v>72</v>
      </c>
      <c r="BR108" s="4" t="s">
        <v>73</v>
      </c>
      <c r="BS108" s="4" t="s">
        <v>72</v>
      </c>
      <c r="BT108" s="4" t="s">
        <v>71</v>
      </c>
      <c r="BU108" s="4" t="s">
        <v>70</v>
      </c>
      <c r="BV108" s="4" t="s">
        <v>71</v>
      </c>
      <c r="BW108" s="4" t="s">
        <v>70</v>
      </c>
      <c r="BX108" s="4" t="s">
        <v>71</v>
      </c>
    </row>
    <row r="109" spans="1:76">
      <c r="A109" s="4" t="s">
        <v>216</v>
      </c>
      <c r="B109" s="4" t="s">
        <v>252</v>
      </c>
      <c r="C109" s="4" t="s">
        <v>129</v>
      </c>
      <c r="D109" s="4" t="s">
        <v>130</v>
      </c>
      <c r="E109" s="4" t="s">
        <v>70</v>
      </c>
      <c r="F109" s="4" t="s">
        <v>70</v>
      </c>
      <c r="G109" s="4" t="s">
        <v>73</v>
      </c>
      <c r="H109" s="4" t="s">
        <v>71</v>
      </c>
      <c r="I109" s="4" t="s">
        <v>70</v>
      </c>
      <c r="J109" s="4" t="s">
        <v>73</v>
      </c>
      <c r="K109" s="4" t="s">
        <v>72</v>
      </c>
      <c r="L109" s="4" t="s">
        <v>72</v>
      </c>
      <c r="M109" s="4" t="s">
        <v>73</v>
      </c>
      <c r="N109" s="4" t="s">
        <v>70</v>
      </c>
      <c r="O109" s="4" t="s">
        <v>71</v>
      </c>
      <c r="P109" s="4" t="s">
        <v>72</v>
      </c>
      <c r="Q109" s="4" t="s">
        <v>71</v>
      </c>
      <c r="R109" s="4" t="s">
        <v>73</v>
      </c>
      <c r="S109" s="4" t="s">
        <v>70</v>
      </c>
      <c r="T109" s="10" t="s">
        <v>77</v>
      </c>
      <c r="U109" s="4" t="s">
        <v>71</v>
      </c>
      <c r="V109" s="4" t="s">
        <v>70</v>
      </c>
      <c r="W109" s="4" t="s">
        <v>70</v>
      </c>
      <c r="X109" s="4" t="s">
        <v>70</v>
      </c>
      <c r="Y109" s="4" t="s">
        <v>73</v>
      </c>
      <c r="Z109" s="4" t="s">
        <v>70</v>
      </c>
      <c r="AA109" s="4" t="s">
        <v>73</v>
      </c>
      <c r="AB109" s="4" t="s">
        <v>70</v>
      </c>
      <c r="AC109" s="4" t="s">
        <v>71</v>
      </c>
      <c r="AD109" s="4" t="s">
        <v>70</v>
      </c>
      <c r="AE109" s="4" t="s">
        <v>71</v>
      </c>
      <c r="AF109" s="4" t="s">
        <v>72</v>
      </c>
      <c r="AG109" s="4" t="s">
        <v>72</v>
      </c>
      <c r="AH109" s="4" t="s">
        <v>71</v>
      </c>
      <c r="AI109" s="4" t="s">
        <v>71</v>
      </c>
      <c r="AJ109" s="4" t="s">
        <v>71</v>
      </c>
      <c r="AK109" s="4" t="s">
        <v>72</v>
      </c>
      <c r="AL109" s="4" t="s">
        <v>70</v>
      </c>
      <c r="AM109" s="4" t="s">
        <v>73</v>
      </c>
      <c r="AN109" s="4" t="s">
        <v>71</v>
      </c>
      <c r="AO109" s="4" t="s">
        <v>73</v>
      </c>
      <c r="AP109" s="4" t="s">
        <v>71</v>
      </c>
      <c r="AQ109" s="4" t="s">
        <v>70</v>
      </c>
      <c r="AR109" s="4" t="s">
        <v>70</v>
      </c>
      <c r="AS109" s="4" t="s">
        <v>73</v>
      </c>
      <c r="AT109" s="4" t="s">
        <v>73</v>
      </c>
      <c r="AU109" s="4" t="s">
        <v>70</v>
      </c>
      <c r="AV109" s="4" t="s">
        <v>73</v>
      </c>
      <c r="AW109" s="4" t="s">
        <v>70</v>
      </c>
      <c r="AX109" s="4" t="s">
        <v>70</v>
      </c>
      <c r="AY109" s="4" t="s">
        <v>72</v>
      </c>
      <c r="AZ109" s="4" t="s">
        <v>71</v>
      </c>
      <c r="BA109" s="4" t="s">
        <v>73</v>
      </c>
      <c r="BB109" s="4" t="s">
        <v>71</v>
      </c>
      <c r="BC109" s="4" t="s">
        <v>72</v>
      </c>
      <c r="BD109" s="4" t="s">
        <v>70</v>
      </c>
      <c r="BE109" s="4" t="s">
        <v>70</v>
      </c>
      <c r="BF109" s="4" t="s">
        <v>72</v>
      </c>
      <c r="BG109" s="4" t="s">
        <v>72</v>
      </c>
      <c r="BH109" s="4" t="s">
        <v>71</v>
      </c>
      <c r="BI109" s="4" t="s">
        <v>73</v>
      </c>
      <c r="BJ109" s="4" t="s">
        <v>73</v>
      </c>
      <c r="BK109" s="4" t="s">
        <v>72</v>
      </c>
      <c r="BL109" s="4" t="s">
        <v>71</v>
      </c>
      <c r="BM109" s="4" t="s">
        <v>71</v>
      </c>
      <c r="BN109" s="4" t="s">
        <v>71</v>
      </c>
      <c r="BO109" s="4" t="s">
        <v>73</v>
      </c>
      <c r="BP109" s="4" t="s">
        <v>70</v>
      </c>
      <c r="BQ109" s="4" t="s">
        <v>72</v>
      </c>
      <c r="BR109" s="4" t="s">
        <v>73</v>
      </c>
      <c r="BS109" s="4" t="s">
        <v>72</v>
      </c>
      <c r="BT109" s="4" t="s">
        <v>71</v>
      </c>
      <c r="BU109" s="4" t="s">
        <v>70</v>
      </c>
      <c r="BV109" s="4" t="s">
        <v>72</v>
      </c>
      <c r="BW109" s="4" t="s">
        <v>71</v>
      </c>
      <c r="BX109" s="4" t="s">
        <v>71</v>
      </c>
    </row>
    <row r="110" spans="1:76">
      <c r="A110" s="4" t="s">
        <v>216</v>
      </c>
      <c r="B110" s="4" t="s">
        <v>253</v>
      </c>
      <c r="C110" s="4" t="s">
        <v>129</v>
      </c>
      <c r="D110" s="4" t="s">
        <v>148</v>
      </c>
      <c r="E110" s="4" t="s">
        <v>70</v>
      </c>
      <c r="F110" s="4" t="s">
        <v>70</v>
      </c>
      <c r="G110" s="4" t="s">
        <v>70</v>
      </c>
      <c r="H110" s="4" t="s">
        <v>71</v>
      </c>
      <c r="I110" s="4" t="s">
        <v>70</v>
      </c>
      <c r="J110" s="4" t="s">
        <v>73</v>
      </c>
      <c r="K110" s="4" t="s">
        <v>72</v>
      </c>
      <c r="L110" s="4" t="s">
        <v>72</v>
      </c>
      <c r="M110" s="4" t="s">
        <v>73</v>
      </c>
      <c r="N110" s="4" t="s">
        <v>70</v>
      </c>
      <c r="O110" s="4" t="s">
        <v>71</v>
      </c>
      <c r="P110" s="4" t="s">
        <v>72</v>
      </c>
      <c r="Q110" s="4" t="s">
        <v>71</v>
      </c>
      <c r="R110" s="4" t="s">
        <v>73</v>
      </c>
      <c r="S110" s="4" t="s">
        <v>70</v>
      </c>
      <c r="T110" s="10" t="s">
        <v>77</v>
      </c>
      <c r="U110" s="4" t="s">
        <v>72</v>
      </c>
      <c r="V110" s="4" t="s">
        <v>70</v>
      </c>
      <c r="W110" s="4" t="s">
        <v>70</v>
      </c>
      <c r="X110" s="4" t="s">
        <v>70</v>
      </c>
      <c r="Y110" s="4" t="s">
        <v>73</v>
      </c>
      <c r="Z110" s="4" t="s">
        <v>70</v>
      </c>
      <c r="AA110" s="4" t="s">
        <v>73</v>
      </c>
      <c r="AB110" s="4" t="s">
        <v>70</v>
      </c>
      <c r="AC110" s="4" t="s">
        <v>71</v>
      </c>
      <c r="AD110" s="4" t="s">
        <v>70</v>
      </c>
      <c r="AE110" s="4" t="s">
        <v>71</v>
      </c>
      <c r="AF110" s="4" t="s">
        <v>72</v>
      </c>
      <c r="AG110" s="4" t="s">
        <v>72</v>
      </c>
      <c r="AH110" s="4" t="s">
        <v>71</v>
      </c>
      <c r="AI110" s="4" t="s">
        <v>70</v>
      </c>
      <c r="AJ110" s="4" t="s">
        <v>72</v>
      </c>
      <c r="AK110" s="4" t="s">
        <v>72</v>
      </c>
      <c r="AL110" s="4" t="s">
        <v>71</v>
      </c>
      <c r="AM110" s="4" t="s">
        <v>73</v>
      </c>
      <c r="AN110" s="4" t="s">
        <v>71</v>
      </c>
      <c r="AO110" s="4" t="s">
        <v>73</v>
      </c>
      <c r="AP110" s="4" t="s">
        <v>71</v>
      </c>
      <c r="AQ110" s="4" t="s">
        <v>71</v>
      </c>
      <c r="AR110" s="4" t="s">
        <v>70</v>
      </c>
      <c r="AS110" s="4" t="s">
        <v>73</v>
      </c>
      <c r="AT110" s="4" t="s">
        <v>73</v>
      </c>
      <c r="AU110" s="4" t="s">
        <v>70</v>
      </c>
      <c r="AV110" s="4" t="s">
        <v>73</v>
      </c>
      <c r="AW110" s="4" t="s">
        <v>70</v>
      </c>
      <c r="AX110" s="4" t="s">
        <v>70</v>
      </c>
      <c r="AY110" s="4" t="s">
        <v>72</v>
      </c>
      <c r="AZ110" s="4" t="s">
        <v>71</v>
      </c>
      <c r="BA110" s="4" t="s">
        <v>73</v>
      </c>
      <c r="BB110" s="4" t="s">
        <v>71</v>
      </c>
      <c r="BC110" s="4" t="s">
        <v>72</v>
      </c>
      <c r="BD110" s="4" t="s">
        <v>70</v>
      </c>
      <c r="BE110" s="4" t="s">
        <v>70</v>
      </c>
      <c r="BF110" s="4" t="s">
        <v>72</v>
      </c>
      <c r="BG110" s="4" t="s">
        <v>72</v>
      </c>
      <c r="BH110" s="4" t="s">
        <v>71</v>
      </c>
      <c r="BI110" s="4" t="s">
        <v>70</v>
      </c>
      <c r="BJ110" s="4" t="s">
        <v>73</v>
      </c>
      <c r="BK110" s="4" t="s">
        <v>73</v>
      </c>
      <c r="BL110" s="4" t="s">
        <v>71</v>
      </c>
      <c r="BM110" s="4" t="s">
        <v>71</v>
      </c>
      <c r="BN110" s="4" t="s">
        <v>71</v>
      </c>
      <c r="BO110" s="4" t="s">
        <v>73</v>
      </c>
      <c r="BP110" s="4" t="s">
        <v>70</v>
      </c>
      <c r="BQ110" s="4" t="s">
        <v>72</v>
      </c>
      <c r="BR110" s="4" t="s">
        <v>73</v>
      </c>
      <c r="BS110" s="4" t="s">
        <v>72</v>
      </c>
      <c r="BT110" s="4" t="s">
        <v>71</v>
      </c>
      <c r="BU110" s="4" t="s">
        <v>70</v>
      </c>
      <c r="BV110" s="4" t="s">
        <v>71</v>
      </c>
      <c r="BW110" s="4" t="s">
        <v>71</v>
      </c>
      <c r="BX110" s="4" t="s">
        <v>71</v>
      </c>
    </row>
    <row r="111" spans="1:76">
      <c r="A111" s="4" t="s">
        <v>216</v>
      </c>
      <c r="B111" s="4" t="s">
        <v>254</v>
      </c>
      <c r="C111" s="4" t="s">
        <v>129</v>
      </c>
      <c r="D111" s="4" t="s">
        <v>177</v>
      </c>
      <c r="E111" s="4" t="s">
        <v>70</v>
      </c>
      <c r="F111" s="4" t="s">
        <v>70</v>
      </c>
      <c r="G111" s="4" t="s">
        <v>70</v>
      </c>
      <c r="H111" s="4" t="s">
        <v>72</v>
      </c>
      <c r="I111" s="4" t="s">
        <v>70</v>
      </c>
      <c r="J111" s="4" t="s">
        <v>71</v>
      </c>
      <c r="K111" s="4" t="s">
        <v>70</v>
      </c>
      <c r="L111" s="4" t="s">
        <v>72</v>
      </c>
      <c r="M111" s="4" t="s">
        <v>73</v>
      </c>
      <c r="N111" s="4" t="s">
        <v>70</v>
      </c>
      <c r="O111" s="4" t="s">
        <v>71</v>
      </c>
      <c r="P111" s="4" t="s">
        <v>72</v>
      </c>
      <c r="Q111" s="4" t="s">
        <v>71</v>
      </c>
      <c r="R111" s="4" t="s">
        <v>73</v>
      </c>
      <c r="S111" s="4" t="s">
        <v>70</v>
      </c>
      <c r="T111" s="10" t="s">
        <v>77</v>
      </c>
      <c r="U111" s="4" t="s">
        <v>70</v>
      </c>
      <c r="V111" s="4" t="s">
        <v>70</v>
      </c>
      <c r="W111" s="4" t="s">
        <v>70</v>
      </c>
      <c r="X111" s="4" t="s">
        <v>72</v>
      </c>
      <c r="Y111" s="4" t="s">
        <v>72</v>
      </c>
      <c r="Z111" s="4" t="s">
        <v>70</v>
      </c>
      <c r="AA111" s="4" t="s">
        <v>73</v>
      </c>
      <c r="AB111" s="4" t="s">
        <v>70</v>
      </c>
      <c r="AC111" s="4" t="s">
        <v>71</v>
      </c>
      <c r="AD111" s="4" t="s">
        <v>70</v>
      </c>
      <c r="AE111" s="4" t="s">
        <v>71</v>
      </c>
      <c r="AF111" s="4" t="s">
        <v>72</v>
      </c>
      <c r="AG111" s="4" t="s">
        <v>70</v>
      </c>
      <c r="AH111" s="4" t="s">
        <v>71</v>
      </c>
      <c r="AI111" s="4" t="s">
        <v>72</v>
      </c>
      <c r="AJ111" s="4" t="s">
        <v>71</v>
      </c>
      <c r="AK111" s="4" t="s">
        <v>72</v>
      </c>
      <c r="AL111" s="4" t="s">
        <v>72</v>
      </c>
      <c r="AM111" s="4" t="s">
        <v>73</v>
      </c>
      <c r="AN111" s="4" t="s">
        <v>71</v>
      </c>
      <c r="AO111" s="4" t="s">
        <v>73</v>
      </c>
      <c r="AP111" s="4" t="s">
        <v>73</v>
      </c>
      <c r="AQ111" s="4" t="s">
        <v>73</v>
      </c>
      <c r="AR111" s="4" t="s">
        <v>70</v>
      </c>
      <c r="AS111" s="4" t="s">
        <v>71</v>
      </c>
      <c r="AT111" s="4" t="s">
        <v>73</v>
      </c>
      <c r="AU111" s="4" t="s">
        <v>70</v>
      </c>
      <c r="AV111" s="4" t="s">
        <v>73</v>
      </c>
      <c r="AW111" s="4" t="s">
        <v>72</v>
      </c>
      <c r="AX111" s="4" t="s">
        <v>70</v>
      </c>
      <c r="AY111" s="4" t="s">
        <v>72</v>
      </c>
      <c r="AZ111" s="4" t="s">
        <v>71</v>
      </c>
      <c r="BA111" s="4" t="s">
        <v>70</v>
      </c>
      <c r="BB111" s="4" t="s">
        <v>70</v>
      </c>
      <c r="BC111" s="4" t="s">
        <v>71</v>
      </c>
      <c r="BD111" s="4" t="s">
        <v>70</v>
      </c>
      <c r="BE111" s="4" t="s">
        <v>70</v>
      </c>
      <c r="BF111" s="4" t="s">
        <v>72</v>
      </c>
      <c r="BG111" s="4" t="s">
        <v>72</v>
      </c>
      <c r="BH111" s="4" t="s">
        <v>71</v>
      </c>
      <c r="BI111" s="4" t="s">
        <v>70</v>
      </c>
      <c r="BJ111" s="4" t="s">
        <v>73</v>
      </c>
      <c r="BK111" s="4" t="s">
        <v>73</v>
      </c>
      <c r="BL111" s="4" t="s">
        <v>73</v>
      </c>
      <c r="BM111" s="4" t="s">
        <v>71</v>
      </c>
      <c r="BN111" s="4" t="s">
        <v>70</v>
      </c>
      <c r="BO111" s="4" t="s">
        <v>71</v>
      </c>
      <c r="BP111" s="4" t="s">
        <v>70</v>
      </c>
      <c r="BQ111" s="4" t="s">
        <v>71</v>
      </c>
      <c r="BR111" s="4" t="s">
        <v>71</v>
      </c>
      <c r="BS111" s="4" t="s">
        <v>70</v>
      </c>
      <c r="BT111" s="4" t="s">
        <v>71</v>
      </c>
      <c r="BU111" s="4" t="s">
        <v>70</v>
      </c>
      <c r="BV111" s="4" t="s">
        <v>71</v>
      </c>
      <c r="BW111" s="4" t="s">
        <v>71</v>
      </c>
      <c r="BX111" s="4" t="s">
        <v>71</v>
      </c>
    </row>
    <row r="112" spans="1:76">
      <c r="A112" s="4" t="s">
        <v>255</v>
      </c>
      <c r="B112" s="4" t="s">
        <v>256</v>
      </c>
      <c r="C112" s="4" t="s">
        <v>103</v>
      </c>
      <c r="D112" s="4" t="s">
        <v>136</v>
      </c>
      <c r="E112" s="4" t="s">
        <v>70</v>
      </c>
      <c r="F112" s="4" t="s">
        <v>70</v>
      </c>
      <c r="G112" s="4" t="s">
        <v>73</v>
      </c>
      <c r="H112" s="4" t="s">
        <v>70</v>
      </c>
      <c r="I112" s="4" t="s">
        <v>71</v>
      </c>
      <c r="J112" s="4" t="s">
        <v>71</v>
      </c>
      <c r="K112" s="4" t="s">
        <v>72</v>
      </c>
      <c r="L112" s="4" t="s">
        <v>72</v>
      </c>
      <c r="M112" s="4" t="s">
        <v>73</v>
      </c>
      <c r="N112" s="4" t="s">
        <v>70</v>
      </c>
      <c r="O112" s="4" t="s">
        <v>71</v>
      </c>
      <c r="P112" s="4" t="s">
        <v>72</v>
      </c>
      <c r="Q112" s="4" t="s">
        <v>71</v>
      </c>
      <c r="R112" s="4" t="s">
        <v>73</v>
      </c>
      <c r="S112" s="4" t="s">
        <v>70</v>
      </c>
      <c r="T112" s="4" t="s">
        <v>71</v>
      </c>
      <c r="U112" s="4" t="s">
        <v>72</v>
      </c>
      <c r="V112" s="4" t="s">
        <v>70</v>
      </c>
      <c r="W112" s="4" t="s">
        <v>70</v>
      </c>
      <c r="X112" s="4" t="s">
        <v>70</v>
      </c>
      <c r="Y112" s="4" t="s">
        <v>73</v>
      </c>
      <c r="Z112" s="4" t="s">
        <v>70</v>
      </c>
      <c r="AA112" s="4" t="s">
        <v>73</v>
      </c>
      <c r="AB112" s="4" t="s">
        <v>70</v>
      </c>
      <c r="AC112" s="4" t="s">
        <v>71</v>
      </c>
      <c r="AD112" s="4" t="s">
        <v>70</v>
      </c>
      <c r="AE112" s="4" t="s">
        <v>71</v>
      </c>
      <c r="AF112" s="4" t="s">
        <v>71</v>
      </c>
      <c r="AG112" s="4" t="s">
        <v>72</v>
      </c>
      <c r="AH112" s="4" t="s">
        <v>70</v>
      </c>
      <c r="AI112" s="4" t="s">
        <v>71</v>
      </c>
      <c r="AJ112" s="4" t="s">
        <v>72</v>
      </c>
      <c r="AK112" s="4" t="s">
        <v>72</v>
      </c>
      <c r="AL112" s="4" t="s">
        <v>72</v>
      </c>
      <c r="AM112" s="4" t="s">
        <v>70</v>
      </c>
      <c r="AN112" s="4" t="s">
        <v>71</v>
      </c>
      <c r="AO112" s="4" t="s">
        <v>73</v>
      </c>
      <c r="AP112" s="4" t="s">
        <v>71</v>
      </c>
      <c r="AQ112" s="4" t="s">
        <v>70</v>
      </c>
      <c r="AR112" s="4" t="s">
        <v>71</v>
      </c>
      <c r="AS112" s="4" t="s">
        <v>73</v>
      </c>
      <c r="AT112" s="4" t="s">
        <v>70</v>
      </c>
      <c r="AU112" s="4" t="s">
        <v>70</v>
      </c>
      <c r="AV112" s="4" t="s">
        <v>73</v>
      </c>
      <c r="AW112" s="4" t="s">
        <v>70</v>
      </c>
      <c r="AX112" s="4" t="s">
        <v>70</v>
      </c>
      <c r="AY112" s="4" t="s">
        <v>72</v>
      </c>
      <c r="AZ112" s="4" t="s">
        <v>71</v>
      </c>
      <c r="BA112" s="4" t="s">
        <v>73</v>
      </c>
      <c r="BB112" s="4" t="s">
        <v>70</v>
      </c>
      <c r="BC112" s="4" t="s">
        <v>71</v>
      </c>
      <c r="BD112" s="4" t="s">
        <v>70</v>
      </c>
      <c r="BE112" s="4" t="s">
        <v>70</v>
      </c>
      <c r="BF112" s="4" t="s">
        <v>72</v>
      </c>
      <c r="BG112" s="4" t="s">
        <v>72</v>
      </c>
      <c r="BH112" s="4" t="s">
        <v>71</v>
      </c>
      <c r="BI112" s="4" t="s">
        <v>70</v>
      </c>
      <c r="BJ112" s="4" t="s">
        <v>73</v>
      </c>
      <c r="BK112" s="4" t="s">
        <v>72</v>
      </c>
      <c r="BL112" s="4" t="s">
        <v>71</v>
      </c>
      <c r="BM112" s="4" t="s">
        <v>71</v>
      </c>
      <c r="BN112" s="4" t="s">
        <v>71</v>
      </c>
      <c r="BO112" s="4" t="s">
        <v>70</v>
      </c>
      <c r="BP112" s="4" t="s">
        <v>71</v>
      </c>
      <c r="BQ112" s="4" t="s">
        <v>72</v>
      </c>
      <c r="BR112" s="4" t="s">
        <v>73</v>
      </c>
      <c r="BS112" s="4" t="s">
        <v>70</v>
      </c>
      <c r="BT112" s="4" t="s">
        <v>70</v>
      </c>
      <c r="BU112" s="4" t="s">
        <v>71</v>
      </c>
      <c r="BV112" s="4" t="s">
        <v>72</v>
      </c>
      <c r="BW112" s="4" t="s">
        <v>71</v>
      </c>
      <c r="BX112" s="4" t="s">
        <v>71</v>
      </c>
    </row>
    <row r="113" spans="1:76">
      <c r="A113" s="4" t="s">
        <v>255</v>
      </c>
      <c r="B113" s="4" t="s">
        <v>257</v>
      </c>
      <c r="C113" s="4" t="s">
        <v>141</v>
      </c>
      <c r="D113" s="4" t="s">
        <v>142</v>
      </c>
      <c r="E113" s="4" t="s">
        <v>70</v>
      </c>
      <c r="F113" s="4" t="s">
        <v>70</v>
      </c>
      <c r="G113" s="4" t="s">
        <v>71</v>
      </c>
      <c r="H113" s="4" t="s">
        <v>72</v>
      </c>
      <c r="I113" s="4" t="s">
        <v>71</v>
      </c>
      <c r="J113" s="4" t="s">
        <v>70</v>
      </c>
      <c r="K113" s="4" t="s">
        <v>70</v>
      </c>
      <c r="L113" s="4" t="s">
        <v>72</v>
      </c>
      <c r="M113" s="4" t="s">
        <v>73</v>
      </c>
      <c r="N113" s="4" t="s">
        <v>70</v>
      </c>
      <c r="O113" s="4" t="s">
        <v>71</v>
      </c>
      <c r="P113" s="4" t="s">
        <v>72</v>
      </c>
      <c r="Q113" s="4" t="s">
        <v>71</v>
      </c>
      <c r="R113" s="4" t="s">
        <v>73</v>
      </c>
      <c r="S113" s="4" t="s">
        <v>70</v>
      </c>
      <c r="T113" s="4" t="s">
        <v>72</v>
      </c>
      <c r="U113" s="4" t="s">
        <v>72</v>
      </c>
      <c r="V113" s="4" t="s">
        <v>70</v>
      </c>
      <c r="W113" s="4" t="s">
        <v>70</v>
      </c>
      <c r="X113" s="4" t="s">
        <v>72</v>
      </c>
      <c r="Y113" s="4" t="s">
        <v>73</v>
      </c>
      <c r="Z113" s="4" t="s">
        <v>70</v>
      </c>
      <c r="AA113" s="4" t="s">
        <v>73</v>
      </c>
      <c r="AB113" s="4" t="s">
        <v>70</v>
      </c>
      <c r="AC113" s="4" t="s">
        <v>71</v>
      </c>
      <c r="AD113" s="4" t="s">
        <v>73</v>
      </c>
      <c r="AE113" s="4" t="s">
        <v>73</v>
      </c>
      <c r="AF113" s="4" t="s">
        <v>71</v>
      </c>
      <c r="AG113" s="4" t="s">
        <v>70</v>
      </c>
      <c r="AH113" s="4" t="s">
        <v>70</v>
      </c>
      <c r="AI113" s="4" t="s">
        <v>73</v>
      </c>
      <c r="AJ113" s="4" t="s">
        <v>71</v>
      </c>
      <c r="AK113" s="4" t="s">
        <v>72</v>
      </c>
      <c r="AL113" s="4" t="s">
        <v>70</v>
      </c>
      <c r="AM113" s="4" t="s">
        <v>73</v>
      </c>
      <c r="AN113" s="4" t="s">
        <v>73</v>
      </c>
      <c r="AO113" s="4" t="s">
        <v>73</v>
      </c>
      <c r="AP113" s="4" t="s">
        <v>73</v>
      </c>
      <c r="AQ113" s="4" t="s">
        <v>72</v>
      </c>
      <c r="AR113" s="4" t="s">
        <v>71</v>
      </c>
      <c r="AS113" s="4" t="s">
        <v>71</v>
      </c>
      <c r="AT113" s="4" t="s">
        <v>70</v>
      </c>
      <c r="AU113" s="4" t="s">
        <v>72</v>
      </c>
      <c r="AV113" s="4" t="s">
        <v>70</v>
      </c>
      <c r="AW113" s="4" t="s">
        <v>72</v>
      </c>
      <c r="AX113" s="4" t="s">
        <v>70</v>
      </c>
      <c r="AY113" s="4" t="s">
        <v>72</v>
      </c>
      <c r="AZ113" s="4" t="s">
        <v>71</v>
      </c>
      <c r="BA113" s="4" t="s">
        <v>70</v>
      </c>
      <c r="BB113" s="4" t="s">
        <v>70</v>
      </c>
      <c r="BC113" s="4" t="s">
        <v>71</v>
      </c>
      <c r="BD113" s="4" t="s">
        <v>70</v>
      </c>
      <c r="BE113" s="4" t="s">
        <v>70</v>
      </c>
      <c r="BF113" s="4" t="s">
        <v>72</v>
      </c>
      <c r="BG113" s="4" t="s">
        <v>72</v>
      </c>
      <c r="BH113" s="4" t="s">
        <v>71</v>
      </c>
      <c r="BI113" s="4" t="s">
        <v>70</v>
      </c>
      <c r="BJ113" s="4" t="s">
        <v>73</v>
      </c>
      <c r="BK113" s="4" t="s">
        <v>72</v>
      </c>
      <c r="BL113" s="4" t="s">
        <v>72</v>
      </c>
      <c r="BM113" s="4" t="s">
        <v>71</v>
      </c>
      <c r="BN113" s="4" t="s">
        <v>71</v>
      </c>
      <c r="BO113" s="4" t="s">
        <v>70</v>
      </c>
      <c r="BP113" s="4" t="s">
        <v>72</v>
      </c>
      <c r="BQ113" s="4" t="s">
        <v>71</v>
      </c>
      <c r="BR113" s="4" t="s">
        <v>71</v>
      </c>
      <c r="BS113" s="4" t="s">
        <v>71</v>
      </c>
      <c r="BT113" s="4" t="s">
        <v>70</v>
      </c>
      <c r="BU113" s="4" t="s">
        <v>73</v>
      </c>
      <c r="BV113" s="4" t="s">
        <v>70</v>
      </c>
      <c r="BW113" s="4" t="s">
        <v>71</v>
      </c>
      <c r="BX113" s="4" t="s">
        <v>71</v>
      </c>
    </row>
    <row r="114" spans="1:76">
      <c r="A114" s="4" t="s">
        <v>255</v>
      </c>
      <c r="B114" s="4" t="s">
        <v>258</v>
      </c>
      <c r="C114" s="4" t="s">
        <v>112</v>
      </c>
      <c r="D114" s="4" t="s">
        <v>194</v>
      </c>
      <c r="E114" s="4" t="s">
        <v>70</v>
      </c>
      <c r="F114" s="4" t="s">
        <v>71</v>
      </c>
      <c r="G114" s="4" t="s">
        <v>70</v>
      </c>
      <c r="H114" s="4" t="s">
        <v>70</v>
      </c>
      <c r="I114" s="4" t="s">
        <v>70</v>
      </c>
      <c r="J114" s="4" t="s">
        <v>72</v>
      </c>
      <c r="K114" s="4" t="s">
        <v>70</v>
      </c>
      <c r="L114" s="4" t="s">
        <v>72</v>
      </c>
      <c r="M114" s="4" t="s">
        <v>73</v>
      </c>
      <c r="N114" s="4" t="s">
        <v>70</v>
      </c>
      <c r="O114" s="4" t="s">
        <v>72</v>
      </c>
      <c r="P114" s="4" t="s">
        <v>72</v>
      </c>
      <c r="Q114" s="4" t="s">
        <v>72</v>
      </c>
      <c r="R114" s="4" t="s">
        <v>73</v>
      </c>
      <c r="S114" s="4" t="s">
        <v>70</v>
      </c>
      <c r="T114" s="10" t="s">
        <v>77</v>
      </c>
      <c r="U114" s="4" t="s">
        <v>72</v>
      </c>
      <c r="V114" s="4" t="s">
        <v>70</v>
      </c>
      <c r="W114" s="4" t="s">
        <v>70</v>
      </c>
      <c r="X114" s="4" t="s">
        <v>72</v>
      </c>
      <c r="Y114" s="4" t="s">
        <v>73</v>
      </c>
      <c r="Z114" s="4" t="s">
        <v>73</v>
      </c>
      <c r="AA114" s="4" t="s">
        <v>73</v>
      </c>
      <c r="AB114" s="4" t="s">
        <v>73</v>
      </c>
      <c r="AC114" s="4" t="s">
        <v>71</v>
      </c>
      <c r="AD114" s="4" t="s">
        <v>71</v>
      </c>
      <c r="AE114" s="4" t="s">
        <v>72</v>
      </c>
      <c r="AF114" s="4" t="s">
        <v>71</v>
      </c>
      <c r="AG114" s="4" t="s">
        <v>73</v>
      </c>
      <c r="AH114" s="4" t="s">
        <v>70</v>
      </c>
      <c r="AI114" s="4" t="s">
        <v>71</v>
      </c>
      <c r="AJ114" s="4" t="s">
        <v>71</v>
      </c>
      <c r="AK114" s="4" t="s">
        <v>72</v>
      </c>
      <c r="AL114" s="4" t="s">
        <v>72</v>
      </c>
      <c r="AM114" s="4" t="s">
        <v>71</v>
      </c>
      <c r="AN114" s="4" t="s">
        <v>71</v>
      </c>
      <c r="AO114" s="4" t="s">
        <v>73</v>
      </c>
      <c r="AP114" s="4" t="s">
        <v>73</v>
      </c>
      <c r="AQ114" s="4" t="s">
        <v>70</v>
      </c>
      <c r="AR114" s="4" t="s">
        <v>71</v>
      </c>
      <c r="AS114" s="4" t="s">
        <v>72</v>
      </c>
      <c r="AT114" s="4" t="s">
        <v>70</v>
      </c>
      <c r="AU114" s="4" t="s">
        <v>73</v>
      </c>
      <c r="AV114" s="4" t="s">
        <v>72</v>
      </c>
      <c r="AW114" s="4" t="s">
        <v>70</v>
      </c>
      <c r="AX114" s="10" t="s">
        <v>77</v>
      </c>
      <c r="AY114" s="4" t="s">
        <v>72</v>
      </c>
      <c r="AZ114" s="4" t="s">
        <v>71</v>
      </c>
      <c r="BA114" s="4" t="s">
        <v>70</v>
      </c>
      <c r="BB114" s="4" t="s">
        <v>72</v>
      </c>
      <c r="BC114" s="4" t="s">
        <v>70</v>
      </c>
      <c r="BD114" s="4" t="s">
        <v>73</v>
      </c>
      <c r="BE114" s="4" t="s">
        <v>70</v>
      </c>
      <c r="BF114" s="4" t="s">
        <v>72</v>
      </c>
      <c r="BG114" s="4" t="s">
        <v>72</v>
      </c>
      <c r="BH114" s="4" t="s">
        <v>71</v>
      </c>
      <c r="BI114" s="4" t="s">
        <v>70</v>
      </c>
      <c r="BJ114" s="4" t="s">
        <v>73</v>
      </c>
      <c r="BK114" s="4" t="s">
        <v>72</v>
      </c>
      <c r="BL114" s="4" t="s">
        <v>72</v>
      </c>
      <c r="BM114" s="4" t="s">
        <v>71</v>
      </c>
      <c r="BN114" s="4" t="s">
        <v>72</v>
      </c>
      <c r="BO114" s="4" t="s">
        <v>71</v>
      </c>
      <c r="BP114" s="4" t="s">
        <v>73</v>
      </c>
      <c r="BQ114" s="4" t="s">
        <v>72</v>
      </c>
      <c r="BR114" s="4" t="s">
        <v>71</v>
      </c>
      <c r="BS114" s="4" t="s">
        <v>73</v>
      </c>
      <c r="BT114" s="4" t="s">
        <v>71</v>
      </c>
      <c r="BU114" s="4" t="s">
        <v>71</v>
      </c>
      <c r="BV114" s="4" t="s">
        <v>71</v>
      </c>
      <c r="BW114" s="4" t="s">
        <v>70</v>
      </c>
      <c r="BX114" s="4" t="s">
        <v>71</v>
      </c>
    </row>
    <row r="115" spans="1:76">
      <c r="A115" s="4" t="s">
        <v>255</v>
      </c>
      <c r="B115" s="4" t="s">
        <v>259</v>
      </c>
      <c r="C115" s="4" t="s">
        <v>117</v>
      </c>
      <c r="D115" s="4" t="s">
        <v>88</v>
      </c>
      <c r="E115" s="4" t="s">
        <v>70</v>
      </c>
      <c r="F115" s="4" t="s">
        <v>70</v>
      </c>
      <c r="G115" s="4" t="s">
        <v>73</v>
      </c>
      <c r="H115" s="4" t="s">
        <v>71</v>
      </c>
      <c r="I115" s="4" t="s">
        <v>71</v>
      </c>
      <c r="J115" s="4" t="s">
        <v>72</v>
      </c>
      <c r="K115" s="4" t="s">
        <v>72</v>
      </c>
      <c r="L115" s="4" t="s">
        <v>72</v>
      </c>
      <c r="M115" s="4" t="s">
        <v>73</v>
      </c>
      <c r="N115" s="4" t="s">
        <v>70</v>
      </c>
      <c r="O115" s="4" t="s">
        <v>71</v>
      </c>
      <c r="P115" s="4" t="s">
        <v>72</v>
      </c>
      <c r="Q115" s="4" t="s">
        <v>71</v>
      </c>
      <c r="R115" s="4" t="s">
        <v>73</v>
      </c>
      <c r="S115" s="4" t="s">
        <v>70</v>
      </c>
      <c r="T115" s="4" t="s">
        <v>72</v>
      </c>
      <c r="U115" s="4" t="s">
        <v>72</v>
      </c>
      <c r="V115" s="4" t="s">
        <v>70</v>
      </c>
      <c r="W115" s="4" t="s">
        <v>70</v>
      </c>
      <c r="X115" s="4" t="s">
        <v>72</v>
      </c>
      <c r="Y115" s="4" t="s">
        <v>73</v>
      </c>
      <c r="Z115" s="4" t="s">
        <v>70</v>
      </c>
      <c r="AA115" s="4" t="s">
        <v>73</v>
      </c>
      <c r="AB115" s="4" t="s">
        <v>70</v>
      </c>
      <c r="AC115" s="4" t="s">
        <v>71</v>
      </c>
      <c r="AD115" s="4" t="s">
        <v>73</v>
      </c>
      <c r="AE115" s="4" t="s">
        <v>70</v>
      </c>
      <c r="AF115" s="4" t="s">
        <v>73</v>
      </c>
      <c r="AG115" s="4" t="s">
        <v>71</v>
      </c>
      <c r="AH115" s="4" t="s">
        <v>70</v>
      </c>
      <c r="AI115" s="4" t="s">
        <v>70</v>
      </c>
      <c r="AJ115" s="4" t="s">
        <v>71</v>
      </c>
      <c r="AK115" s="4" t="s">
        <v>72</v>
      </c>
      <c r="AL115" s="4" t="s">
        <v>71</v>
      </c>
      <c r="AM115" s="4" t="s">
        <v>73</v>
      </c>
      <c r="AN115" s="4" t="s">
        <v>72</v>
      </c>
      <c r="AO115" s="4" t="s">
        <v>73</v>
      </c>
      <c r="AP115" s="4" t="s">
        <v>73</v>
      </c>
      <c r="AQ115" s="4" t="s">
        <v>71</v>
      </c>
      <c r="AR115" s="4" t="s">
        <v>71</v>
      </c>
      <c r="AS115" s="4" t="s">
        <v>70</v>
      </c>
      <c r="AT115" s="4" t="s">
        <v>72</v>
      </c>
      <c r="AU115" s="4" t="s">
        <v>71</v>
      </c>
      <c r="AV115" s="4" t="s">
        <v>71</v>
      </c>
      <c r="AW115" s="4" t="s">
        <v>70</v>
      </c>
      <c r="AX115" s="4" t="s">
        <v>70</v>
      </c>
      <c r="AY115" s="4" t="s">
        <v>72</v>
      </c>
      <c r="AZ115" s="4" t="s">
        <v>71</v>
      </c>
      <c r="BA115" s="4" t="s">
        <v>70</v>
      </c>
      <c r="BB115" s="4" t="s">
        <v>72</v>
      </c>
      <c r="BC115" s="4" t="s">
        <v>73</v>
      </c>
      <c r="BD115" s="4" t="s">
        <v>70</v>
      </c>
      <c r="BE115" s="4" t="s">
        <v>70</v>
      </c>
      <c r="BF115" s="4" t="s">
        <v>72</v>
      </c>
      <c r="BG115" s="4" t="s">
        <v>72</v>
      </c>
      <c r="BH115" s="4" t="s">
        <v>71</v>
      </c>
      <c r="BI115" s="4" t="s">
        <v>70</v>
      </c>
      <c r="BJ115" s="4" t="s">
        <v>73</v>
      </c>
      <c r="BK115" s="4" t="s">
        <v>70</v>
      </c>
      <c r="BL115" s="4" t="s">
        <v>72</v>
      </c>
      <c r="BM115" s="4" t="s">
        <v>71</v>
      </c>
      <c r="BN115" s="4" t="s">
        <v>71</v>
      </c>
      <c r="BO115" s="4" t="s">
        <v>72</v>
      </c>
      <c r="BP115" s="4" t="s">
        <v>73</v>
      </c>
      <c r="BQ115" s="4" t="s">
        <v>71</v>
      </c>
      <c r="BR115" s="4" t="s">
        <v>73</v>
      </c>
      <c r="BS115" s="4" t="s">
        <v>73</v>
      </c>
      <c r="BT115" s="4" t="s">
        <v>70</v>
      </c>
      <c r="BU115" s="4" t="s">
        <v>70</v>
      </c>
      <c r="BV115" s="4" t="s">
        <v>72</v>
      </c>
      <c r="BW115" s="4" t="s">
        <v>71</v>
      </c>
      <c r="BX115" s="4" t="s">
        <v>71</v>
      </c>
    </row>
    <row r="116" spans="1:76">
      <c r="A116" s="4" t="s">
        <v>255</v>
      </c>
      <c r="B116" s="4" t="s">
        <v>260</v>
      </c>
      <c r="C116" s="4" t="s">
        <v>168</v>
      </c>
      <c r="D116" s="4" t="s">
        <v>85</v>
      </c>
      <c r="E116" s="4" t="s">
        <v>70</v>
      </c>
      <c r="F116" s="4" t="s">
        <v>73</v>
      </c>
      <c r="G116" s="4" t="s">
        <v>70</v>
      </c>
      <c r="H116" s="4" t="s">
        <v>71</v>
      </c>
      <c r="I116" s="4" t="s">
        <v>71</v>
      </c>
      <c r="J116" s="4" t="s">
        <v>73</v>
      </c>
      <c r="K116" s="4" t="s">
        <v>72</v>
      </c>
      <c r="L116" s="4" t="s">
        <v>72</v>
      </c>
      <c r="M116" s="4" t="s">
        <v>73</v>
      </c>
      <c r="N116" s="4" t="s">
        <v>70</v>
      </c>
      <c r="O116" s="4" t="s">
        <v>71</v>
      </c>
      <c r="P116" s="4" t="s">
        <v>72</v>
      </c>
      <c r="Q116" s="4" t="s">
        <v>71</v>
      </c>
      <c r="R116" s="4" t="s">
        <v>73</v>
      </c>
      <c r="S116" s="4" t="s">
        <v>70</v>
      </c>
      <c r="T116" s="4" t="s">
        <v>72</v>
      </c>
      <c r="U116" s="4" t="s">
        <v>72</v>
      </c>
      <c r="V116" s="4" t="s">
        <v>70</v>
      </c>
      <c r="W116" s="4" t="s">
        <v>70</v>
      </c>
      <c r="X116" s="4" t="s">
        <v>72</v>
      </c>
      <c r="Y116" s="4" t="s">
        <v>73</v>
      </c>
      <c r="Z116" s="4" t="s">
        <v>70</v>
      </c>
      <c r="AA116" s="4" t="s">
        <v>73</v>
      </c>
      <c r="AB116" s="4" t="s">
        <v>70</v>
      </c>
      <c r="AC116" s="4" t="s">
        <v>71</v>
      </c>
      <c r="AD116" s="4" t="s">
        <v>73</v>
      </c>
      <c r="AE116" s="4" t="s">
        <v>72</v>
      </c>
      <c r="AF116" s="4" t="s">
        <v>71</v>
      </c>
      <c r="AG116" s="4" t="s">
        <v>72</v>
      </c>
      <c r="AH116" s="4" t="s">
        <v>70</v>
      </c>
      <c r="AI116" s="4" t="s">
        <v>73</v>
      </c>
      <c r="AJ116" s="4" t="s">
        <v>71</v>
      </c>
      <c r="AK116" s="4" t="s">
        <v>72</v>
      </c>
      <c r="AL116" s="4" t="s">
        <v>72</v>
      </c>
      <c r="AM116" s="4" t="s">
        <v>72</v>
      </c>
      <c r="AN116" s="4" t="s">
        <v>72</v>
      </c>
      <c r="AO116" s="4" t="s">
        <v>73</v>
      </c>
      <c r="AP116" s="4" t="s">
        <v>73</v>
      </c>
      <c r="AQ116" s="4" t="s">
        <v>72</v>
      </c>
      <c r="AR116" s="4" t="s">
        <v>71</v>
      </c>
      <c r="AS116" s="4" t="s">
        <v>73</v>
      </c>
      <c r="AT116" s="4" t="s">
        <v>70</v>
      </c>
      <c r="AU116" s="4" t="s">
        <v>73</v>
      </c>
      <c r="AV116" s="4" t="s">
        <v>70</v>
      </c>
      <c r="AW116" s="4" t="s">
        <v>70</v>
      </c>
      <c r="AX116" s="4" t="s">
        <v>70</v>
      </c>
      <c r="AY116" s="4" t="s">
        <v>72</v>
      </c>
      <c r="AZ116" s="4" t="s">
        <v>71</v>
      </c>
      <c r="BA116" s="4" t="s">
        <v>70</v>
      </c>
      <c r="BB116" s="4" t="s">
        <v>73</v>
      </c>
      <c r="BC116" s="4" t="s">
        <v>73</v>
      </c>
      <c r="BD116" s="4" t="s">
        <v>70</v>
      </c>
      <c r="BE116" s="4" t="s">
        <v>70</v>
      </c>
      <c r="BF116" s="4" t="s">
        <v>72</v>
      </c>
      <c r="BG116" s="4" t="s">
        <v>72</v>
      </c>
      <c r="BH116" s="4" t="s">
        <v>71</v>
      </c>
      <c r="BI116" s="4" t="s">
        <v>70</v>
      </c>
      <c r="BJ116" s="4" t="s">
        <v>73</v>
      </c>
      <c r="BK116" s="4" t="s">
        <v>70</v>
      </c>
      <c r="BL116" s="4" t="s">
        <v>72</v>
      </c>
      <c r="BM116" s="4" t="s">
        <v>71</v>
      </c>
      <c r="BN116" s="4" t="s">
        <v>71</v>
      </c>
      <c r="BO116" s="4" t="s">
        <v>72</v>
      </c>
      <c r="BP116" s="4" t="s">
        <v>72</v>
      </c>
      <c r="BQ116" s="4" t="s">
        <v>71</v>
      </c>
      <c r="BR116" s="4" t="s">
        <v>73</v>
      </c>
      <c r="BS116" s="4" t="s">
        <v>72</v>
      </c>
      <c r="BT116" s="4" t="s">
        <v>70</v>
      </c>
      <c r="BU116" s="4" t="s">
        <v>70</v>
      </c>
      <c r="BV116" s="4" t="s">
        <v>71</v>
      </c>
      <c r="BW116" s="4" t="s">
        <v>72</v>
      </c>
      <c r="BX116" s="4" t="s">
        <v>71</v>
      </c>
    </row>
    <row r="117" spans="1:76">
      <c r="A117" s="4" t="s">
        <v>255</v>
      </c>
      <c r="B117" s="4" t="s">
        <v>261</v>
      </c>
      <c r="C117" s="4" t="s">
        <v>197</v>
      </c>
      <c r="D117" s="4" t="s">
        <v>262</v>
      </c>
      <c r="E117" s="4" t="s">
        <v>70</v>
      </c>
      <c r="F117" s="4" t="s">
        <v>71</v>
      </c>
      <c r="G117" s="4" t="s">
        <v>70</v>
      </c>
      <c r="H117" s="4" t="s">
        <v>70</v>
      </c>
      <c r="I117" s="4" t="s">
        <v>70</v>
      </c>
      <c r="J117" s="4" t="s">
        <v>72</v>
      </c>
      <c r="K117" s="4" t="s">
        <v>70</v>
      </c>
      <c r="L117" s="4" t="s">
        <v>72</v>
      </c>
      <c r="M117" s="4" t="s">
        <v>70</v>
      </c>
      <c r="N117" s="4" t="s">
        <v>71</v>
      </c>
      <c r="O117" s="4" t="s">
        <v>70</v>
      </c>
      <c r="P117" s="4" t="s">
        <v>70</v>
      </c>
      <c r="Q117" s="4" t="s">
        <v>70</v>
      </c>
      <c r="R117" s="4" t="s">
        <v>73</v>
      </c>
      <c r="S117" s="4" t="s">
        <v>73</v>
      </c>
      <c r="T117" s="4" t="s">
        <v>72</v>
      </c>
      <c r="U117" s="4" t="s">
        <v>72</v>
      </c>
      <c r="V117" s="4" t="s">
        <v>70</v>
      </c>
      <c r="W117" s="4" t="s">
        <v>70</v>
      </c>
      <c r="X117" s="4" t="s">
        <v>72</v>
      </c>
      <c r="Y117" s="4" t="s">
        <v>70</v>
      </c>
      <c r="Z117" s="4" t="s">
        <v>73</v>
      </c>
      <c r="AA117" s="4" t="s">
        <v>71</v>
      </c>
      <c r="AB117" s="4" t="s">
        <v>71</v>
      </c>
      <c r="AC117" s="4" t="s">
        <v>70</v>
      </c>
      <c r="AD117" s="4" t="s">
        <v>70</v>
      </c>
      <c r="AE117" s="4" t="s">
        <v>71</v>
      </c>
      <c r="AF117" s="4" t="s">
        <v>72</v>
      </c>
      <c r="AG117" s="4" t="s">
        <v>73</v>
      </c>
      <c r="AH117" s="4" t="s">
        <v>70</v>
      </c>
      <c r="AI117" s="4" t="s">
        <v>73</v>
      </c>
      <c r="AJ117" s="4" t="s">
        <v>72</v>
      </c>
      <c r="AK117" s="4" t="s">
        <v>72</v>
      </c>
      <c r="AL117" s="4" t="s">
        <v>71</v>
      </c>
      <c r="AM117" s="4" t="s">
        <v>73</v>
      </c>
      <c r="AN117" s="4" t="s">
        <v>70</v>
      </c>
      <c r="AO117" s="4" t="s">
        <v>70</v>
      </c>
      <c r="AP117" s="4" t="s">
        <v>73</v>
      </c>
      <c r="AQ117" s="4" t="s">
        <v>72</v>
      </c>
      <c r="AR117" s="4" t="s">
        <v>71</v>
      </c>
      <c r="AS117" s="4" t="s">
        <v>72</v>
      </c>
      <c r="AT117" s="4" t="s">
        <v>73</v>
      </c>
      <c r="AU117" s="4" t="s">
        <v>70</v>
      </c>
      <c r="AV117" s="4" t="s">
        <v>70</v>
      </c>
      <c r="AW117" s="4" t="s">
        <v>70</v>
      </c>
      <c r="AX117" s="4" t="s">
        <v>72</v>
      </c>
      <c r="AY117" s="4" t="s">
        <v>71</v>
      </c>
      <c r="AZ117" s="4" t="s">
        <v>72</v>
      </c>
      <c r="BA117" s="4" t="s">
        <v>70</v>
      </c>
      <c r="BB117" s="4" t="s">
        <v>73</v>
      </c>
      <c r="BC117" s="4" t="s">
        <v>70</v>
      </c>
      <c r="BD117" s="4" t="s">
        <v>70</v>
      </c>
      <c r="BE117" s="4" t="s">
        <v>70</v>
      </c>
      <c r="BF117" s="4" t="s">
        <v>72</v>
      </c>
      <c r="BG117" s="4" t="s">
        <v>72</v>
      </c>
      <c r="BH117" s="4" t="s">
        <v>71</v>
      </c>
      <c r="BI117" s="4" t="s">
        <v>73</v>
      </c>
      <c r="BJ117" s="4" t="s">
        <v>73</v>
      </c>
      <c r="BK117" s="4" t="s">
        <v>70</v>
      </c>
      <c r="BL117" s="4" t="s">
        <v>72</v>
      </c>
      <c r="BM117" s="4" t="s">
        <v>71</v>
      </c>
      <c r="BN117" s="4" t="s">
        <v>71</v>
      </c>
      <c r="BO117" s="4" t="s">
        <v>71</v>
      </c>
      <c r="BP117" s="4" t="s">
        <v>72</v>
      </c>
      <c r="BQ117" s="4" t="s">
        <v>72</v>
      </c>
      <c r="BR117" s="4" t="s">
        <v>71</v>
      </c>
      <c r="BS117" s="4" t="s">
        <v>73</v>
      </c>
      <c r="BT117" s="4" t="s">
        <v>71</v>
      </c>
      <c r="BU117" s="4" t="s">
        <v>71</v>
      </c>
      <c r="BV117" s="4" t="s">
        <v>71</v>
      </c>
      <c r="BW117" s="4" t="s">
        <v>70</v>
      </c>
      <c r="BX117" s="4" t="s">
        <v>71</v>
      </c>
    </row>
    <row r="118" spans="1:76">
      <c r="A118" s="4" t="s">
        <v>255</v>
      </c>
      <c r="B118" s="4" t="s">
        <v>263</v>
      </c>
      <c r="C118" s="4" t="s">
        <v>200</v>
      </c>
      <c r="D118" s="4" t="s">
        <v>88</v>
      </c>
      <c r="E118" s="4" t="s">
        <v>70</v>
      </c>
      <c r="F118" s="4" t="s">
        <v>70</v>
      </c>
      <c r="G118" s="4" t="s">
        <v>71</v>
      </c>
      <c r="H118" s="4" t="s">
        <v>70</v>
      </c>
      <c r="I118" s="4" t="s">
        <v>70</v>
      </c>
      <c r="J118" s="4" t="s">
        <v>72</v>
      </c>
      <c r="K118" s="4" t="s">
        <v>70</v>
      </c>
      <c r="L118" s="4" t="s">
        <v>72</v>
      </c>
      <c r="M118" s="4" t="s">
        <v>73</v>
      </c>
      <c r="N118" s="4" t="s">
        <v>70</v>
      </c>
      <c r="O118" s="4" t="s">
        <v>71</v>
      </c>
      <c r="P118" s="4" t="s">
        <v>72</v>
      </c>
      <c r="Q118" s="4" t="s">
        <v>71</v>
      </c>
      <c r="R118" s="4" t="s">
        <v>73</v>
      </c>
      <c r="S118" s="4" t="s">
        <v>70</v>
      </c>
      <c r="T118" s="10" t="s">
        <v>77</v>
      </c>
      <c r="U118" s="4" t="s">
        <v>71</v>
      </c>
      <c r="V118" s="4" t="s">
        <v>70</v>
      </c>
      <c r="W118" s="4" t="s">
        <v>70</v>
      </c>
      <c r="X118" s="4" t="s">
        <v>71</v>
      </c>
      <c r="Y118" s="4" t="s">
        <v>73</v>
      </c>
      <c r="Z118" s="4" t="s">
        <v>70</v>
      </c>
      <c r="AA118" s="4" t="s">
        <v>73</v>
      </c>
      <c r="AB118" s="4" t="s">
        <v>70</v>
      </c>
      <c r="AC118" s="4" t="s">
        <v>71</v>
      </c>
      <c r="AD118" s="4" t="s">
        <v>70</v>
      </c>
      <c r="AE118" s="4" t="s">
        <v>72</v>
      </c>
      <c r="AF118" s="4" t="s">
        <v>73</v>
      </c>
      <c r="AG118" s="4" t="s">
        <v>71</v>
      </c>
      <c r="AH118" s="4" t="s">
        <v>70</v>
      </c>
      <c r="AI118" s="4" t="s">
        <v>70</v>
      </c>
      <c r="AJ118" s="4" t="s">
        <v>72</v>
      </c>
      <c r="AK118" s="4" t="s">
        <v>72</v>
      </c>
      <c r="AL118" s="4" t="s">
        <v>71</v>
      </c>
      <c r="AM118" s="4" t="s">
        <v>73</v>
      </c>
      <c r="AN118" s="4" t="s">
        <v>72</v>
      </c>
      <c r="AO118" s="4" t="s">
        <v>73</v>
      </c>
      <c r="AP118" s="4" t="s">
        <v>71</v>
      </c>
      <c r="AQ118" s="4" t="s">
        <v>71</v>
      </c>
      <c r="AR118" s="4" t="s">
        <v>71</v>
      </c>
      <c r="AS118" s="4" t="s">
        <v>70</v>
      </c>
      <c r="AT118" s="4" t="s">
        <v>72</v>
      </c>
      <c r="AU118" s="4" t="s">
        <v>70</v>
      </c>
      <c r="AV118" s="4" t="s">
        <v>73</v>
      </c>
      <c r="AW118" s="4" t="s">
        <v>70</v>
      </c>
      <c r="AX118" s="4" t="s">
        <v>70</v>
      </c>
      <c r="AY118" s="4" t="s">
        <v>72</v>
      </c>
      <c r="AZ118" s="4" t="s">
        <v>71</v>
      </c>
      <c r="BA118" s="4" t="s">
        <v>70</v>
      </c>
      <c r="BB118" s="4" t="s">
        <v>70</v>
      </c>
      <c r="BC118" s="4" t="s">
        <v>70</v>
      </c>
      <c r="BD118" s="4" t="s">
        <v>70</v>
      </c>
      <c r="BE118" s="4" t="s">
        <v>70</v>
      </c>
      <c r="BF118" s="4" t="s">
        <v>72</v>
      </c>
      <c r="BG118" s="4" t="s">
        <v>72</v>
      </c>
      <c r="BH118" s="4" t="s">
        <v>71</v>
      </c>
      <c r="BI118" s="4" t="s">
        <v>70</v>
      </c>
      <c r="BJ118" s="4" t="s">
        <v>73</v>
      </c>
      <c r="BK118" s="4" t="s">
        <v>72</v>
      </c>
      <c r="BL118" s="4" t="s">
        <v>71</v>
      </c>
      <c r="BM118" s="4" t="s">
        <v>71</v>
      </c>
      <c r="BN118" s="4" t="s">
        <v>71</v>
      </c>
      <c r="BO118" s="4" t="s">
        <v>71</v>
      </c>
      <c r="BP118" s="4" t="s">
        <v>72</v>
      </c>
      <c r="BQ118" s="4" t="s">
        <v>71</v>
      </c>
      <c r="BR118" s="4" t="s">
        <v>71</v>
      </c>
      <c r="BS118" s="4" t="s">
        <v>70</v>
      </c>
      <c r="BT118" s="4" t="s">
        <v>71</v>
      </c>
      <c r="BU118" s="4" t="s">
        <v>71</v>
      </c>
      <c r="BV118" s="4" t="s">
        <v>70</v>
      </c>
      <c r="BW118" s="4" t="s">
        <v>71</v>
      </c>
      <c r="BX118" s="4" t="s">
        <v>72</v>
      </c>
    </row>
    <row r="119" spans="1:76">
      <c r="A119" s="4" t="s">
        <v>255</v>
      </c>
      <c r="B119" s="4" t="s">
        <v>264</v>
      </c>
      <c r="C119" s="4" t="s">
        <v>120</v>
      </c>
      <c r="D119" s="4" t="s">
        <v>144</v>
      </c>
      <c r="E119" s="4" t="s">
        <v>71</v>
      </c>
      <c r="F119" s="4" t="s">
        <v>70</v>
      </c>
      <c r="G119" s="4" t="s">
        <v>70</v>
      </c>
      <c r="H119" s="4" t="s">
        <v>70</v>
      </c>
      <c r="I119" s="4" t="s">
        <v>73</v>
      </c>
      <c r="J119" s="4" t="s">
        <v>73</v>
      </c>
      <c r="K119" s="4" t="s">
        <v>70</v>
      </c>
      <c r="L119" s="4" t="s">
        <v>72</v>
      </c>
      <c r="M119" s="4" t="s">
        <v>73</v>
      </c>
      <c r="N119" s="4" t="s">
        <v>70</v>
      </c>
      <c r="O119" s="4" t="s">
        <v>71</v>
      </c>
      <c r="P119" s="4" t="s">
        <v>72</v>
      </c>
      <c r="Q119" s="4" t="s">
        <v>71</v>
      </c>
      <c r="R119" s="4" t="s">
        <v>73</v>
      </c>
      <c r="S119" s="4" t="s">
        <v>70</v>
      </c>
      <c r="T119" s="4" t="s">
        <v>71</v>
      </c>
      <c r="U119" s="4" t="s">
        <v>72</v>
      </c>
      <c r="V119" s="4" t="s">
        <v>70</v>
      </c>
      <c r="W119" s="4" t="s">
        <v>70</v>
      </c>
      <c r="X119" s="4" t="s">
        <v>72</v>
      </c>
      <c r="Y119" s="4" t="s">
        <v>73</v>
      </c>
      <c r="Z119" s="4" t="s">
        <v>70</v>
      </c>
      <c r="AA119" s="4" t="s">
        <v>73</v>
      </c>
      <c r="AB119" s="4" t="s">
        <v>70</v>
      </c>
      <c r="AC119" s="4" t="s">
        <v>71</v>
      </c>
      <c r="AD119" s="4" t="s">
        <v>73</v>
      </c>
      <c r="AE119" s="4" t="s">
        <v>71</v>
      </c>
      <c r="AF119" s="4" t="s">
        <v>73</v>
      </c>
      <c r="AG119" s="4" t="s">
        <v>72</v>
      </c>
      <c r="AH119" s="4" t="s">
        <v>70</v>
      </c>
      <c r="AI119" s="4" t="s">
        <v>70</v>
      </c>
      <c r="AJ119" s="4" t="s">
        <v>72</v>
      </c>
      <c r="AK119" s="4" t="s">
        <v>72</v>
      </c>
      <c r="AL119" s="4" t="s">
        <v>72</v>
      </c>
      <c r="AM119" s="4" t="s">
        <v>70</v>
      </c>
      <c r="AN119" s="4" t="s">
        <v>70</v>
      </c>
      <c r="AO119" s="4" t="s">
        <v>70</v>
      </c>
      <c r="AP119" s="4" t="s">
        <v>73</v>
      </c>
      <c r="AQ119" s="4" t="s">
        <v>71</v>
      </c>
      <c r="AR119" s="4" t="s">
        <v>71</v>
      </c>
      <c r="AS119" s="4" t="s">
        <v>73</v>
      </c>
      <c r="AT119" s="4" t="s">
        <v>72</v>
      </c>
      <c r="AU119" s="4" t="s">
        <v>70</v>
      </c>
      <c r="AV119" s="4" t="s">
        <v>70</v>
      </c>
      <c r="AW119" s="4" t="s">
        <v>70</v>
      </c>
      <c r="AX119" s="4" t="s">
        <v>70</v>
      </c>
      <c r="AY119" s="4" t="s">
        <v>72</v>
      </c>
      <c r="AZ119" s="4" t="s">
        <v>71</v>
      </c>
      <c r="BA119" s="4" t="s">
        <v>70</v>
      </c>
      <c r="BB119" s="4" t="s">
        <v>71</v>
      </c>
      <c r="BC119" s="4" t="s">
        <v>73</v>
      </c>
      <c r="BD119" s="4" t="s">
        <v>70</v>
      </c>
      <c r="BE119" s="4" t="s">
        <v>70</v>
      </c>
      <c r="BF119" s="4" t="s">
        <v>72</v>
      </c>
      <c r="BG119" s="4" t="s">
        <v>72</v>
      </c>
      <c r="BH119" s="4" t="s">
        <v>71</v>
      </c>
      <c r="BI119" s="4" t="s">
        <v>70</v>
      </c>
      <c r="BJ119" s="4" t="s">
        <v>73</v>
      </c>
      <c r="BK119" s="4" t="s">
        <v>73</v>
      </c>
      <c r="BL119" s="4" t="s">
        <v>72</v>
      </c>
      <c r="BM119" s="4" t="s">
        <v>71</v>
      </c>
      <c r="BN119" s="4" t="s">
        <v>71</v>
      </c>
      <c r="BO119" s="4" t="s">
        <v>72</v>
      </c>
      <c r="BP119" s="4" t="s">
        <v>70</v>
      </c>
      <c r="BQ119" s="4" t="s">
        <v>72</v>
      </c>
      <c r="BR119" s="4" t="s">
        <v>71</v>
      </c>
      <c r="BS119" s="4" t="s">
        <v>72</v>
      </c>
      <c r="BT119" s="4" t="s">
        <v>72</v>
      </c>
      <c r="BU119" s="4" t="s">
        <v>71</v>
      </c>
      <c r="BV119" s="4" t="s">
        <v>71</v>
      </c>
      <c r="BW119" s="4" t="s">
        <v>71</v>
      </c>
      <c r="BX119" s="4" t="s">
        <v>70</v>
      </c>
    </row>
    <row r="120" spans="1:76">
      <c r="A120" s="4" t="s">
        <v>255</v>
      </c>
      <c r="B120" s="4" t="s">
        <v>265</v>
      </c>
      <c r="C120" s="4" t="s">
        <v>106</v>
      </c>
      <c r="D120" s="4" t="s">
        <v>266</v>
      </c>
      <c r="E120" s="4" t="s">
        <v>70</v>
      </c>
      <c r="F120" s="4" t="s">
        <v>71</v>
      </c>
      <c r="G120" s="4" t="s">
        <v>70</v>
      </c>
      <c r="H120" s="4" t="s">
        <v>71</v>
      </c>
      <c r="I120" s="4" t="s">
        <v>71</v>
      </c>
      <c r="J120" s="4" t="s">
        <v>71</v>
      </c>
      <c r="K120" s="4" t="s">
        <v>70</v>
      </c>
      <c r="L120" s="4" t="s">
        <v>72</v>
      </c>
      <c r="M120" s="4" t="s">
        <v>73</v>
      </c>
      <c r="N120" s="4" t="s">
        <v>70</v>
      </c>
      <c r="O120" s="4" t="s">
        <v>71</v>
      </c>
      <c r="P120" s="4" t="s">
        <v>72</v>
      </c>
      <c r="Q120" s="4" t="s">
        <v>71</v>
      </c>
      <c r="R120" s="4" t="s">
        <v>73</v>
      </c>
      <c r="S120" s="4" t="s">
        <v>73</v>
      </c>
      <c r="T120" s="10" t="s">
        <v>77</v>
      </c>
      <c r="U120" s="4" t="s">
        <v>72</v>
      </c>
      <c r="V120" s="4" t="s">
        <v>70</v>
      </c>
      <c r="W120" s="4" t="s">
        <v>70</v>
      </c>
      <c r="X120" s="4" t="s">
        <v>73</v>
      </c>
      <c r="Y120" s="4" t="s">
        <v>73</v>
      </c>
      <c r="Z120" s="4" t="s">
        <v>70</v>
      </c>
      <c r="AA120" s="4" t="s">
        <v>73</v>
      </c>
      <c r="AB120" s="4" t="s">
        <v>70</v>
      </c>
      <c r="AC120" s="4" t="s">
        <v>73</v>
      </c>
      <c r="AD120" s="4" t="s">
        <v>70</v>
      </c>
      <c r="AE120" s="4" t="s">
        <v>72</v>
      </c>
      <c r="AF120" s="4" t="s">
        <v>72</v>
      </c>
      <c r="AG120" s="4" t="s">
        <v>72</v>
      </c>
      <c r="AH120" s="4" t="s">
        <v>70</v>
      </c>
      <c r="AI120" s="4" t="s">
        <v>73</v>
      </c>
      <c r="AJ120" s="4" t="s">
        <v>71</v>
      </c>
      <c r="AK120" s="4" t="s">
        <v>72</v>
      </c>
      <c r="AL120" s="4" t="s">
        <v>73</v>
      </c>
      <c r="AM120" s="4" t="s">
        <v>71</v>
      </c>
      <c r="AN120" s="4" t="s">
        <v>70</v>
      </c>
      <c r="AO120" s="4" t="s">
        <v>70</v>
      </c>
      <c r="AP120" s="4" t="s">
        <v>73</v>
      </c>
      <c r="AQ120" s="4" t="s">
        <v>72</v>
      </c>
      <c r="AR120" s="4" t="s">
        <v>71</v>
      </c>
      <c r="AS120" s="4" t="s">
        <v>73</v>
      </c>
      <c r="AT120" s="4" t="s">
        <v>73</v>
      </c>
      <c r="AU120" s="4" t="s">
        <v>73</v>
      </c>
      <c r="AV120" s="4" t="s">
        <v>73</v>
      </c>
      <c r="AW120" s="4" t="s">
        <v>70</v>
      </c>
      <c r="AX120" s="4" t="s">
        <v>70</v>
      </c>
      <c r="AY120" s="4" t="s">
        <v>72</v>
      </c>
      <c r="AZ120" s="4" t="s">
        <v>72</v>
      </c>
      <c r="BA120" s="4" t="s">
        <v>73</v>
      </c>
      <c r="BB120" s="4" t="s">
        <v>70</v>
      </c>
      <c r="BC120" s="4" t="s">
        <v>70</v>
      </c>
      <c r="BD120" s="4" t="s">
        <v>70</v>
      </c>
      <c r="BE120" s="4" t="s">
        <v>70</v>
      </c>
      <c r="BF120" s="4" t="s">
        <v>72</v>
      </c>
      <c r="BG120" s="4" t="s">
        <v>72</v>
      </c>
      <c r="BH120" s="4" t="s">
        <v>71</v>
      </c>
      <c r="BI120" s="4" t="s">
        <v>70</v>
      </c>
      <c r="BJ120" s="4" t="s">
        <v>73</v>
      </c>
      <c r="BK120" s="4" t="s">
        <v>71</v>
      </c>
      <c r="BL120" s="4" t="s">
        <v>72</v>
      </c>
      <c r="BM120" s="4" t="s">
        <v>71</v>
      </c>
      <c r="BN120" s="4" t="s">
        <v>71</v>
      </c>
      <c r="BO120" s="4" t="s">
        <v>71</v>
      </c>
      <c r="BP120" s="4" t="s">
        <v>71</v>
      </c>
      <c r="BQ120" s="4" t="s">
        <v>72</v>
      </c>
      <c r="BR120" s="4" t="s">
        <v>71</v>
      </c>
      <c r="BS120" s="4" t="s">
        <v>70</v>
      </c>
      <c r="BT120" s="4" t="s">
        <v>70</v>
      </c>
      <c r="BU120" s="4" t="s">
        <v>70</v>
      </c>
      <c r="BV120" s="4" t="s">
        <v>71</v>
      </c>
      <c r="BW120" s="4" t="s">
        <v>70</v>
      </c>
      <c r="BX120" s="4" t="s">
        <v>71</v>
      </c>
    </row>
    <row r="121" spans="1:76">
      <c r="A121" s="4" t="s">
        <v>255</v>
      </c>
      <c r="B121" s="4" t="s">
        <v>267</v>
      </c>
      <c r="C121" s="4" t="s">
        <v>122</v>
      </c>
      <c r="D121" s="4" t="s">
        <v>205</v>
      </c>
      <c r="E121" s="4" t="s">
        <v>70</v>
      </c>
      <c r="F121" s="4" t="s">
        <v>70</v>
      </c>
      <c r="G121" s="4" t="s">
        <v>73</v>
      </c>
      <c r="H121" s="4" t="s">
        <v>70</v>
      </c>
      <c r="I121" s="4" t="s">
        <v>70</v>
      </c>
      <c r="J121" s="4" t="s">
        <v>73</v>
      </c>
      <c r="K121" s="4" t="s">
        <v>73</v>
      </c>
      <c r="L121" s="4" t="s">
        <v>72</v>
      </c>
      <c r="M121" s="4" t="s">
        <v>73</v>
      </c>
      <c r="N121" s="4" t="s">
        <v>71</v>
      </c>
      <c r="O121" s="4" t="s">
        <v>71</v>
      </c>
      <c r="P121" s="4" t="s">
        <v>71</v>
      </c>
      <c r="Q121" s="4" t="s">
        <v>73</v>
      </c>
      <c r="R121" s="4" t="s">
        <v>73</v>
      </c>
      <c r="S121" s="4" t="s">
        <v>70</v>
      </c>
      <c r="T121" s="4" t="s">
        <v>72</v>
      </c>
      <c r="U121" s="4" t="s">
        <v>71</v>
      </c>
      <c r="V121" s="4" t="s">
        <v>70</v>
      </c>
      <c r="W121" s="4" t="s">
        <v>70</v>
      </c>
      <c r="X121" s="4" t="s">
        <v>71</v>
      </c>
      <c r="Y121" s="4" t="s">
        <v>73</v>
      </c>
      <c r="Z121" s="4" t="s">
        <v>73</v>
      </c>
      <c r="AA121" s="4" t="s">
        <v>70</v>
      </c>
      <c r="AB121" s="4" t="s">
        <v>70</v>
      </c>
      <c r="AC121" s="4" t="s">
        <v>70</v>
      </c>
      <c r="AD121" s="4" t="s">
        <v>73</v>
      </c>
      <c r="AE121" s="4" t="s">
        <v>72</v>
      </c>
      <c r="AF121" s="4" t="s">
        <v>71</v>
      </c>
      <c r="AG121" s="4" t="s">
        <v>70</v>
      </c>
      <c r="AH121" s="4" t="s">
        <v>70</v>
      </c>
      <c r="AI121" s="4" t="s">
        <v>72</v>
      </c>
      <c r="AJ121" s="4" t="s">
        <v>71</v>
      </c>
      <c r="AK121" s="4" t="s">
        <v>72</v>
      </c>
      <c r="AL121" s="4" t="s">
        <v>72</v>
      </c>
      <c r="AM121" s="4" t="s">
        <v>70</v>
      </c>
      <c r="AN121" s="4" t="s">
        <v>73</v>
      </c>
      <c r="AO121" s="4" t="s">
        <v>73</v>
      </c>
      <c r="AP121" s="4" t="s">
        <v>73</v>
      </c>
      <c r="AQ121" s="4" t="s">
        <v>73</v>
      </c>
      <c r="AR121" s="4" t="s">
        <v>71</v>
      </c>
      <c r="AS121" s="4" t="s">
        <v>71</v>
      </c>
      <c r="AT121" s="4" t="s">
        <v>70</v>
      </c>
      <c r="AU121" s="4" t="s">
        <v>73</v>
      </c>
      <c r="AV121" s="4" t="s">
        <v>71</v>
      </c>
      <c r="AW121" s="4" t="s">
        <v>73</v>
      </c>
      <c r="AX121" s="4" t="s">
        <v>70</v>
      </c>
      <c r="AY121" s="4" t="s">
        <v>70</v>
      </c>
      <c r="AZ121" s="4" t="s">
        <v>71</v>
      </c>
      <c r="BA121" s="4" t="s">
        <v>70</v>
      </c>
      <c r="BB121" s="4" t="s">
        <v>70</v>
      </c>
      <c r="BC121" s="4" t="s">
        <v>70</v>
      </c>
      <c r="BD121" s="4" t="s">
        <v>70</v>
      </c>
      <c r="BE121" s="4" t="s">
        <v>70</v>
      </c>
      <c r="BF121" s="4" t="s">
        <v>72</v>
      </c>
      <c r="BG121" s="4" t="s">
        <v>72</v>
      </c>
      <c r="BH121" s="4" t="s">
        <v>71</v>
      </c>
      <c r="BI121" s="4" t="s">
        <v>70</v>
      </c>
      <c r="BJ121" s="4" t="s">
        <v>73</v>
      </c>
      <c r="BK121" s="4" t="s">
        <v>73</v>
      </c>
      <c r="BL121" s="4" t="s">
        <v>72</v>
      </c>
      <c r="BM121" s="4" t="s">
        <v>71</v>
      </c>
      <c r="BN121" s="4" t="s">
        <v>71</v>
      </c>
      <c r="BO121" s="4" t="s">
        <v>71</v>
      </c>
      <c r="BP121" s="4" t="s">
        <v>72</v>
      </c>
      <c r="BQ121" s="4" t="s">
        <v>71</v>
      </c>
      <c r="BR121" s="4" t="s">
        <v>72</v>
      </c>
      <c r="BS121" s="4" t="s">
        <v>72</v>
      </c>
      <c r="BT121" s="4" t="s">
        <v>71</v>
      </c>
      <c r="BU121" s="4" t="s">
        <v>71</v>
      </c>
      <c r="BV121" s="4" t="s">
        <v>72</v>
      </c>
      <c r="BW121" s="4" t="s">
        <v>71</v>
      </c>
      <c r="BX121" s="4" t="s">
        <v>71</v>
      </c>
    </row>
    <row r="122" spans="1:76">
      <c r="A122" s="4" t="s">
        <v>255</v>
      </c>
      <c r="B122" s="4" t="s">
        <v>268</v>
      </c>
      <c r="C122" s="4" t="s">
        <v>125</v>
      </c>
      <c r="D122" s="4" t="s">
        <v>208</v>
      </c>
      <c r="E122" s="4" t="s">
        <v>70</v>
      </c>
      <c r="F122" s="4" t="s">
        <v>71</v>
      </c>
      <c r="G122" s="4" t="s">
        <v>71</v>
      </c>
      <c r="H122" s="4" t="s">
        <v>70</v>
      </c>
      <c r="I122" s="4" t="s">
        <v>70</v>
      </c>
      <c r="J122" s="4" t="s">
        <v>72</v>
      </c>
      <c r="K122" s="4" t="s">
        <v>70</v>
      </c>
      <c r="L122" s="4" t="s">
        <v>72</v>
      </c>
      <c r="M122" s="4" t="s">
        <v>73</v>
      </c>
      <c r="N122" s="4" t="s">
        <v>70</v>
      </c>
      <c r="O122" s="4" t="s">
        <v>71</v>
      </c>
      <c r="P122" s="4" t="s">
        <v>72</v>
      </c>
      <c r="Q122" s="4" t="s">
        <v>71</v>
      </c>
      <c r="R122" s="4" t="s">
        <v>73</v>
      </c>
      <c r="S122" s="4" t="s">
        <v>73</v>
      </c>
      <c r="T122" s="4" t="s">
        <v>72</v>
      </c>
      <c r="U122" s="4" t="s">
        <v>72</v>
      </c>
      <c r="V122" s="4" t="s">
        <v>70</v>
      </c>
      <c r="W122" s="4" t="s">
        <v>70</v>
      </c>
      <c r="X122" s="4" t="s">
        <v>72</v>
      </c>
      <c r="Y122" s="4" t="s">
        <v>73</v>
      </c>
      <c r="Z122" s="4" t="s">
        <v>70</v>
      </c>
      <c r="AA122" s="4" t="s">
        <v>73</v>
      </c>
      <c r="AB122" s="4" t="s">
        <v>70</v>
      </c>
      <c r="AC122" s="4" t="s">
        <v>71</v>
      </c>
      <c r="AD122" s="4" t="s">
        <v>73</v>
      </c>
      <c r="AE122" s="4" t="s">
        <v>73</v>
      </c>
      <c r="AF122" s="4" t="s">
        <v>71</v>
      </c>
      <c r="AG122" s="4" t="s">
        <v>72</v>
      </c>
      <c r="AH122" s="4" t="s">
        <v>70</v>
      </c>
      <c r="AI122" s="4" t="s">
        <v>73</v>
      </c>
      <c r="AJ122" s="4" t="s">
        <v>71</v>
      </c>
      <c r="AK122" s="4" t="s">
        <v>72</v>
      </c>
      <c r="AL122" s="4" t="s">
        <v>72</v>
      </c>
      <c r="AM122" s="4" t="s">
        <v>70</v>
      </c>
      <c r="AN122" s="4" t="s">
        <v>72</v>
      </c>
      <c r="AO122" s="4" t="s">
        <v>73</v>
      </c>
      <c r="AP122" s="4" t="s">
        <v>73</v>
      </c>
      <c r="AQ122" s="4" t="s">
        <v>72</v>
      </c>
      <c r="AR122" s="4" t="s">
        <v>71</v>
      </c>
      <c r="AS122" s="4" t="s">
        <v>73</v>
      </c>
      <c r="AT122" s="4" t="s">
        <v>70</v>
      </c>
      <c r="AU122" s="4" t="s">
        <v>72</v>
      </c>
      <c r="AV122" s="4" t="s">
        <v>73</v>
      </c>
      <c r="AW122" s="4" t="s">
        <v>70</v>
      </c>
      <c r="AX122" s="4" t="s">
        <v>70</v>
      </c>
      <c r="AY122" s="4" t="s">
        <v>72</v>
      </c>
      <c r="AZ122" s="4" t="s">
        <v>72</v>
      </c>
      <c r="BA122" s="4" t="s">
        <v>70</v>
      </c>
      <c r="BB122" s="4" t="s">
        <v>70</v>
      </c>
      <c r="BC122" s="4" t="s">
        <v>70</v>
      </c>
      <c r="BD122" s="4" t="s">
        <v>70</v>
      </c>
      <c r="BE122" s="4" t="s">
        <v>70</v>
      </c>
      <c r="BF122" s="4" t="s">
        <v>72</v>
      </c>
      <c r="BG122" s="4" t="s">
        <v>72</v>
      </c>
      <c r="BH122" s="4" t="s">
        <v>71</v>
      </c>
      <c r="BI122" s="4" t="s">
        <v>73</v>
      </c>
      <c r="BJ122" s="4" t="s">
        <v>73</v>
      </c>
      <c r="BK122" s="4" t="s">
        <v>70</v>
      </c>
      <c r="BL122" s="4" t="s">
        <v>72</v>
      </c>
      <c r="BM122" s="4" t="s">
        <v>71</v>
      </c>
      <c r="BN122" s="4" t="s">
        <v>71</v>
      </c>
      <c r="BO122" s="4" t="s">
        <v>72</v>
      </c>
      <c r="BP122" s="4" t="s">
        <v>71</v>
      </c>
      <c r="BQ122" s="4" t="s">
        <v>72</v>
      </c>
      <c r="BR122" s="4" t="s">
        <v>72</v>
      </c>
      <c r="BS122" s="4" t="s">
        <v>70</v>
      </c>
      <c r="BT122" s="4" t="s">
        <v>71</v>
      </c>
      <c r="BU122" s="4" t="s">
        <v>71</v>
      </c>
      <c r="BV122" s="4" t="s">
        <v>70</v>
      </c>
      <c r="BW122" s="4" t="s">
        <v>70</v>
      </c>
      <c r="BX122" s="4" t="s">
        <v>71</v>
      </c>
    </row>
    <row r="123" spans="1:76">
      <c r="A123" s="4" t="s">
        <v>255</v>
      </c>
      <c r="B123" s="4" t="s">
        <v>269</v>
      </c>
      <c r="C123" s="4" t="s">
        <v>129</v>
      </c>
      <c r="D123" s="4" t="s">
        <v>177</v>
      </c>
      <c r="E123" s="4" t="s">
        <v>70</v>
      </c>
      <c r="F123" s="4" t="s">
        <v>70</v>
      </c>
      <c r="G123" s="4" t="s">
        <v>73</v>
      </c>
      <c r="H123" s="4" t="s">
        <v>70</v>
      </c>
      <c r="I123" s="4" t="s">
        <v>70</v>
      </c>
      <c r="J123" s="4" t="s">
        <v>73</v>
      </c>
      <c r="K123" s="4" t="s">
        <v>72</v>
      </c>
      <c r="L123" s="4" t="s">
        <v>72</v>
      </c>
      <c r="M123" s="4" t="s">
        <v>73</v>
      </c>
      <c r="N123" s="4" t="s">
        <v>70</v>
      </c>
      <c r="O123" s="4" t="s">
        <v>71</v>
      </c>
      <c r="P123" s="4" t="s">
        <v>72</v>
      </c>
      <c r="Q123" s="4" t="s">
        <v>71</v>
      </c>
      <c r="R123" s="4" t="s">
        <v>73</v>
      </c>
      <c r="S123" s="4" t="s">
        <v>70</v>
      </c>
      <c r="T123" s="4" t="s">
        <v>71</v>
      </c>
      <c r="U123" s="4" t="s">
        <v>72</v>
      </c>
      <c r="V123" s="4" t="s">
        <v>70</v>
      </c>
      <c r="W123" s="4" t="s">
        <v>70</v>
      </c>
      <c r="X123" s="4" t="s">
        <v>70</v>
      </c>
      <c r="Y123" s="4" t="s">
        <v>73</v>
      </c>
      <c r="Z123" s="4" t="s">
        <v>70</v>
      </c>
      <c r="AA123" s="4" t="s">
        <v>73</v>
      </c>
      <c r="AB123" s="4" t="s">
        <v>70</v>
      </c>
      <c r="AC123" s="4" t="s">
        <v>71</v>
      </c>
      <c r="AD123" s="4" t="s">
        <v>73</v>
      </c>
      <c r="AE123" s="4" t="s">
        <v>72</v>
      </c>
      <c r="AF123" s="4" t="s">
        <v>71</v>
      </c>
      <c r="AG123" s="4" t="s">
        <v>72</v>
      </c>
      <c r="AH123" s="4" t="s">
        <v>70</v>
      </c>
      <c r="AI123" s="4" t="s">
        <v>71</v>
      </c>
      <c r="AJ123" s="4" t="s">
        <v>71</v>
      </c>
      <c r="AK123" s="4" t="s">
        <v>72</v>
      </c>
      <c r="AL123" s="4" t="s">
        <v>72</v>
      </c>
      <c r="AM123" s="4" t="s">
        <v>73</v>
      </c>
      <c r="AN123" s="4" t="s">
        <v>71</v>
      </c>
      <c r="AO123" s="4" t="s">
        <v>73</v>
      </c>
      <c r="AP123" s="4" t="s">
        <v>73</v>
      </c>
      <c r="AQ123" s="4" t="s">
        <v>70</v>
      </c>
      <c r="AR123" s="4" t="s">
        <v>71</v>
      </c>
      <c r="AS123" s="4" t="s">
        <v>73</v>
      </c>
      <c r="AT123" s="4" t="s">
        <v>70</v>
      </c>
      <c r="AU123" s="4" t="s">
        <v>73</v>
      </c>
      <c r="AV123" s="4" t="s">
        <v>70</v>
      </c>
      <c r="AW123" s="4" t="s">
        <v>70</v>
      </c>
      <c r="AX123" s="4" t="s">
        <v>70</v>
      </c>
      <c r="AY123" s="4" t="s">
        <v>72</v>
      </c>
      <c r="AZ123" s="4" t="s">
        <v>71</v>
      </c>
      <c r="BA123" s="4" t="s">
        <v>70</v>
      </c>
      <c r="BB123" s="4" t="s">
        <v>70</v>
      </c>
      <c r="BC123" s="10" t="s">
        <v>77</v>
      </c>
      <c r="BD123" s="4" t="s">
        <v>71</v>
      </c>
      <c r="BE123" s="4" t="s">
        <v>70</v>
      </c>
      <c r="BF123" s="4" t="s">
        <v>72</v>
      </c>
      <c r="BG123" s="4" t="s">
        <v>72</v>
      </c>
      <c r="BH123" s="4" t="s">
        <v>71</v>
      </c>
      <c r="BI123" s="4" t="s">
        <v>70</v>
      </c>
      <c r="BJ123" s="4" t="s">
        <v>73</v>
      </c>
      <c r="BK123" s="4" t="s">
        <v>70</v>
      </c>
      <c r="BL123" s="4" t="s">
        <v>71</v>
      </c>
      <c r="BM123" s="4" t="s">
        <v>71</v>
      </c>
      <c r="BN123" s="4" t="s">
        <v>71</v>
      </c>
      <c r="BO123" s="4" t="s">
        <v>70</v>
      </c>
      <c r="BP123" s="4" t="s">
        <v>72</v>
      </c>
      <c r="BQ123" s="4" t="s">
        <v>71</v>
      </c>
      <c r="BR123" s="4" t="s">
        <v>73</v>
      </c>
      <c r="BS123" s="4" t="s">
        <v>72</v>
      </c>
      <c r="BT123" s="4" t="s">
        <v>71</v>
      </c>
      <c r="BU123" s="4" t="s">
        <v>71</v>
      </c>
      <c r="BV123" s="4" t="s">
        <v>72</v>
      </c>
      <c r="BW123" s="4" t="s">
        <v>71</v>
      </c>
      <c r="BX123" s="4" t="s">
        <v>71</v>
      </c>
    </row>
    <row r="124" spans="1:76">
      <c r="A124" s="4" t="s">
        <v>255</v>
      </c>
      <c r="B124" s="4" t="s">
        <v>270</v>
      </c>
      <c r="C124" s="4" t="s">
        <v>211</v>
      </c>
      <c r="D124" s="4" t="s">
        <v>212</v>
      </c>
      <c r="E124" s="4" t="s">
        <v>73</v>
      </c>
      <c r="F124" s="4" t="s">
        <v>70</v>
      </c>
      <c r="G124" s="4" t="s">
        <v>70</v>
      </c>
      <c r="H124" s="4" t="s">
        <v>70</v>
      </c>
      <c r="I124" s="4" t="s">
        <v>70</v>
      </c>
      <c r="J124" s="4" t="s">
        <v>71</v>
      </c>
      <c r="K124" s="4" t="s">
        <v>73</v>
      </c>
      <c r="L124" s="4" t="s">
        <v>72</v>
      </c>
      <c r="M124" s="4" t="s">
        <v>73</v>
      </c>
      <c r="N124" s="4" t="s">
        <v>70</v>
      </c>
      <c r="O124" s="4" t="s">
        <v>72</v>
      </c>
      <c r="P124" s="4" t="s">
        <v>72</v>
      </c>
      <c r="Q124" s="4" t="s">
        <v>72</v>
      </c>
      <c r="R124" s="4" t="s">
        <v>73</v>
      </c>
      <c r="S124" s="4" t="s">
        <v>73</v>
      </c>
      <c r="T124" s="10" t="s">
        <v>77</v>
      </c>
      <c r="U124" s="4" t="s">
        <v>71</v>
      </c>
      <c r="V124" s="4" t="s">
        <v>70</v>
      </c>
      <c r="W124" s="4" t="s">
        <v>70</v>
      </c>
      <c r="X124" s="4" t="s">
        <v>72</v>
      </c>
      <c r="Y124" s="4" t="s">
        <v>73</v>
      </c>
      <c r="Z124" s="4" t="s">
        <v>70</v>
      </c>
      <c r="AA124" s="4" t="s">
        <v>73</v>
      </c>
      <c r="AB124" s="4" t="s">
        <v>73</v>
      </c>
      <c r="AC124" s="4" t="s">
        <v>71</v>
      </c>
      <c r="AD124" s="4" t="s">
        <v>73</v>
      </c>
      <c r="AE124" s="4" t="s">
        <v>70</v>
      </c>
      <c r="AF124" s="4" t="s">
        <v>73</v>
      </c>
      <c r="AG124" s="4" t="s">
        <v>70</v>
      </c>
      <c r="AH124" s="4" t="s">
        <v>70</v>
      </c>
      <c r="AI124" s="4" t="s">
        <v>72</v>
      </c>
      <c r="AJ124" s="4" t="s">
        <v>71</v>
      </c>
      <c r="AK124" s="4" t="s">
        <v>72</v>
      </c>
      <c r="AL124" s="4" t="s">
        <v>71</v>
      </c>
      <c r="AM124" s="4" t="s">
        <v>71</v>
      </c>
      <c r="AN124" s="4" t="s">
        <v>73</v>
      </c>
      <c r="AO124" s="4" t="s">
        <v>73</v>
      </c>
      <c r="AP124" s="4" t="s">
        <v>73</v>
      </c>
      <c r="AQ124" s="4" t="s">
        <v>73</v>
      </c>
      <c r="AR124" s="4" t="s">
        <v>71</v>
      </c>
      <c r="AS124" s="4" t="s">
        <v>71</v>
      </c>
      <c r="AT124" s="4" t="s">
        <v>72</v>
      </c>
      <c r="AU124" s="4" t="s">
        <v>71</v>
      </c>
      <c r="AV124" s="4" t="s">
        <v>71</v>
      </c>
      <c r="AW124" s="4" t="s">
        <v>70</v>
      </c>
      <c r="AX124" s="10" t="s">
        <v>77</v>
      </c>
      <c r="AY124" s="4" t="s">
        <v>70</v>
      </c>
      <c r="AZ124" s="4" t="s">
        <v>72</v>
      </c>
      <c r="BA124" s="4" t="s">
        <v>70</v>
      </c>
      <c r="BB124" s="4" t="s">
        <v>72</v>
      </c>
      <c r="BC124" s="4" t="s">
        <v>70</v>
      </c>
      <c r="BD124" s="4" t="s">
        <v>70</v>
      </c>
      <c r="BE124" s="4" t="s">
        <v>70</v>
      </c>
      <c r="BF124" s="4" t="s">
        <v>72</v>
      </c>
      <c r="BG124" s="4" t="s">
        <v>72</v>
      </c>
      <c r="BH124" s="4" t="s">
        <v>71</v>
      </c>
      <c r="BI124" s="4" t="s">
        <v>70</v>
      </c>
      <c r="BJ124" s="4" t="s">
        <v>73</v>
      </c>
      <c r="BK124" s="4" t="s">
        <v>72</v>
      </c>
      <c r="BL124" s="4" t="s">
        <v>72</v>
      </c>
      <c r="BM124" s="4" t="s">
        <v>71</v>
      </c>
      <c r="BN124" s="4" t="s">
        <v>71</v>
      </c>
      <c r="BO124" s="4" t="s">
        <v>72</v>
      </c>
      <c r="BP124" s="4" t="s">
        <v>73</v>
      </c>
      <c r="BQ124" s="4" t="s">
        <v>71</v>
      </c>
      <c r="BR124" s="4" t="s">
        <v>72</v>
      </c>
      <c r="BS124" s="4" t="s">
        <v>70</v>
      </c>
      <c r="BT124" s="4" t="s">
        <v>71</v>
      </c>
      <c r="BU124" s="4" t="s">
        <v>71</v>
      </c>
      <c r="BV124" s="4" t="s">
        <v>71</v>
      </c>
      <c r="BW124" s="4" t="s">
        <v>71</v>
      </c>
      <c r="BX124" s="4" t="s">
        <v>72</v>
      </c>
    </row>
    <row r="125" spans="1:76">
      <c r="A125" s="4" t="s">
        <v>255</v>
      </c>
      <c r="B125" s="4" t="s">
        <v>271</v>
      </c>
      <c r="C125" s="4" t="s">
        <v>117</v>
      </c>
      <c r="D125" s="4" t="s">
        <v>88</v>
      </c>
      <c r="E125" s="4" t="s">
        <v>71</v>
      </c>
      <c r="F125" s="4" t="s">
        <v>70</v>
      </c>
      <c r="G125" s="4" t="s">
        <v>71</v>
      </c>
      <c r="H125" s="4" t="s">
        <v>70</v>
      </c>
      <c r="I125" s="4" t="s">
        <v>70</v>
      </c>
      <c r="J125" s="4" t="s">
        <v>70</v>
      </c>
      <c r="K125" s="4" t="s">
        <v>70</v>
      </c>
      <c r="L125" s="4" t="s">
        <v>72</v>
      </c>
      <c r="M125" s="4" t="s">
        <v>70</v>
      </c>
      <c r="N125" s="4" t="s">
        <v>70</v>
      </c>
      <c r="O125" s="4" t="s">
        <v>73</v>
      </c>
      <c r="P125" s="4" t="s">
        <v>70</v>
      </c>
      <c r="Q125" s="4" t="s">
        <v>71</v>
      </c>
      <c r="R125" s="4" t="s">
        <v>73</v>
      </c>
      <c r="S125" s="4" t="s">
        <v>70</v>
      </c>
      <c r="T125" s="4" t="s">
        <v>72</v>
      </c>
      <c r="U125" s="4" t="s">
        <v>72</v>
      </c>
      <c r="V125" s="4" t="s">
        <v>70</v>
      </c>
      <c r="W125" s="4" t="s">
        <v>70</v>
      </c>
      <c r="X125" s="4" t="s">
        <v>72</v>
      </c>
      <c r="Y125" s="4" t="s">
        <v>73</v>
      </c>
      <c r="Z125" s="4" t="s">
        <v>70</v>
      </c>
      <c r="AA125" s="4" t="s">
        <v>71</v>
      </c>
      <c r="AB125" s="4" t="s">
        <v>72</v>
      </c>
      <c r="AC125" s="4" t="s">
        <v>71</v>
      </c>
      <c r="AD125" s="4" t="s">
        <v>70</v>
      </c>
      <c r="AE125" s="4" t="s">
        <v>72</v>
      </c>
      <c r="AF125" s="4" t="s">
        <v>71</v>
      </c>
      <c r="AG125" s="4" t="s">
        <v>70</v>
      </c>
      <c r="AH125" s="4" t="s">
        <v>70</v>
      </c>
      <c r="AI125" s="4" t="s">
        <v>70</v>
      </c>
      <c r="AJ125" s="4" t="s">
        <v>71</v>
      </c>
      <c r="AK125" s="4" t="s">
        <v>72</v>
      </c>
      <c r="AL125" s="4" t="s">
        <v>71</v>
      </c>
      <c r="AM125" s="4" t="s">
        <v>73</v>
      </c>
      <c r="AN125" s="4" t="s">
        <v>72</v>
      </c>
      <c r="AO125" s="4" t="s">
        <v>73</v>
      </c>
      <c r="AP125" s="4" t="s">
        <v>73</v>
      </c>
      <c r="AQ125" s="4" t="s">
        <v>71</v>
      </c>
      <c r="AR125" s="4" t="s">
        <v>71</v>
      </c>
      <c r="AS125" s="4" t="s">
        <v>71</v>
      </c>
      <c r="AT125" s="4" t="s">
        <v>70</v>
      </c>
      <c r="AU125" s="4" t="s">
        <v>73</v>
      </c>
      <c r="AV125" s="4" t="s">
        <v>73</v>
      </c>
      <c r="AW125" s="4" t="s">
        <v>70</v>
      </c>
      <c r="AX125" s="4" t="s">
        <v>70</v>
      </c>
      <c r="AY125" s="4" t="s">
        <v>72</v>
      </c>
      <c r="AZ125" s="4" t="s">
        <v>71</v>
      </c>
      <c r="BA125" s="4" t="s">
        <v>70</v>
      </c>
      <c r="BB125" s="4" t="s">
        <v>71</v>
      </c>
      <c r="BC125" s="4" t="s">
        <v>73</v>
      </c>
      <c r="BD125" s="4" t="s">
        <v>70</v>
      </c>
      <c r="BE125" s="4" t="s">
        <v>70</v>
      </c>
      <c r="BF125" s="4" t="s">
        <v>72</v>
      </c>
      <c r="BG125" s="4" t="s">
        <v>72</v>
      </c>
      <c r="BH125" s="4" t="s">
        <v>71</v>
      </c>
      <c r="BI125" s="4" t="s">
        <v>73</v>
      </c>
      <c r="BJ125" s="4" t="s">
        <v>73</v>
      </c>
      <c r="BK125" s="4" t="s">
        <v>73</v>
      </c>
      <c r="BL125" s="4" t="s">
        <v>72</v>
      </c>
      <c r="BM125" s="4" t="s">
        <v>71</v>
      </c>
      <c r="BN125" s="4" t="s">
        <v>71</v>
      </c>
      <c r="BO125" s="4" t="s">
        <v>72</v>
      </c>
      <c r="BP125" s="4" t="s">
        <v>70</v>
      </c>
      <c r="BQ125" s="4" t="s">
        <v>71</v>
      </c>
      <c r="BR125" s="4" t="s">
        <v>71</v>
      </c>
      <c r="BS125" s="4" t="s">
        <v>71</v>
      </c>
      <c r="BT125" s="4" t="s">
        <v>71</v>
      </c>
      <c r="BU125" s="4" t="s">
        <v>71</v>
      </c>
      <c r="BV125" s="4" t="s">
        <v>70</v>
      </c>
      <c r="BW125" s="4" t="s">
        <v>71</v>
      </c>
      <c r="BX125" s="4" t="s">
        <v>73</v>
      </c>
    </row>
    <row r="126" spans="1:76">
      <c r="A126" s="4" t="s">
        <v>272</v>
      </c>
      <c r="B126" s="4" t="s">
        <v>273</v>
      </c>
      <c r="C126" s="4" t="s">
        <v>141</v>
      </c>
      <c r="D126" s="4" t="s">
        <v>142</v>
      </c>
      <c r="E126" s="4" t="s">
        <v>70</v>
      </c>
      <c r="F126" s="4" t="s">
        <v>71</v>
      </c>
      <c r="G126" s="4" t="s">
        <v>71</v>
      </c>
      <c r="H126" s="4" t="s">
        <v>70</v>
      </c>
      <c r="I126" s="4" t="s">
        <v>73</v>
      </c>
      <c r="J126" s="4" t="s">
        <v>73</v>
      </c>
      <c r="K126" s="4" t="s">
        <v>73</v>
      </c>
      <c r="L126" s="4" t="s">
        <v>72</v>
      </c>
      <c r="M126" s="4" t="s">
        <v>73</v>
      </c>
      <c r="N126" s="4" t="s">
        <v>70</v>
      </c>
      <c r="O126" s="4" t="s">
        <v>71</v>
      </c>
      <c r="P126" s="4" t="s">
        <v>72</v>
      </c>
      <c r="Q126" s="4" t="s">
        <v>71</v>
      </c>
      <c r="R126" s="4" t="s">
        <v>73</v>
      </c>
      <c r="S126" s="4" t="s">
        <v>70</v>
      </c>
      <c r="T126" s="4" t="s">
        <v>72</v>
      </c>
      <c r="U126" s="4" t="s">
        <v>72</v>
      </c>
      <c r="V126" s="4" t="s">
        <v>70</v>
      </c>
      <c r="W126" s="4" t="s">
        <v>70</v>
      </c>
      <c r="X126" s="4" t="s">
        <v>70</v>
      </c>
      <c r="Y126" s="4" t="s">
        <v>73</v>
      </c>
      <c r="Z126" s="4" t="s">
        <v>70</v>
      </c>
      <c r="AA126" s="4" t="s">
        <v>73</v>
      </c>
      <c r="AB126" s="4" t="s">
        <v>70</v>
      </c>
      <c r="AC126" s="4" t="s">
        <v>71</v>
      </c>
      <c r="AD126" s="4" t="s">
        <v>70</v>
      </c>
      <c r="AE126" s="4" t="s">
        <v>72</v>
      </c>
      <c r="AF126" s="4" t="s">
        <v>72</v>
      </c>
      <c r="AG126" s="4" t="s">
        <v>73</v>
      </c>
      <c r="AH126" s="4" t="s">
        <v>70</v>
      </c>
      <c r="AI126" s="4" t="s">
        <v>73</v>
      </c>
      <c r="AJ126" s="4" t="s">
        <v>71</v>
      </c>
      <c r="AK126" s="4" t="s">
        <v>72</v>
      </c>
      <c r="AL126" s="4" t="s">
        <v>70</v>
      </c>
      <c r="AM126" s="4" t="s">
        <v>73</v>
      </c>
      <c r="AN126" s="4" t="s">
        <v>73</v>
      </c>
      <c r="AO126" s="4" t="s">
        <v>70</v>
      </c>
      <c r="AP126" s="4" t="s">
        <v>73</v>
      </c>
      <c r="AQ126" s="4" t="s">
        <v>72</v>
      </c>
      <c r="AR126" s="4" t="s">
        <v>71</v>
      </c>
      <c r="AS126" s="4" t="s">
        <v>72</v>
      </c>
      <c r="AT126" s="4" t="s">
        <v>73</v>
      </c>
      <c r="AU126" s="4" t="s">
        <v>73</v>
      </c>
      <c r="AV126" s="4" t="s">
        <v>73</v>
      </c>
      <c r="AW126" s="4" t="s">
        <v>70</v>
      </c>
      <c r="AX126" s="4" t="s">
        <v>70</v>
      </c>
      <c r="AY126" s="4" t="s">
        <v>72</v>
      </c>
      <c r="AZ126" s="4" t="s">
        <v>71</v>
      </c>
      <c r="BA126" s="4" t="s">
        <v>71</v>
      </c>
      <c r="BB126" s="4" t="s">
        <v>71</v>
      </c>
      <c r="BC126" s="4" t="s">
        <v>72</v>
      </c>
      <c r="BD126" s="4" t="s">
        <v>70</v>
      </c>
      <c r="BE126" s="4" t="s">
        <v>70</v>
      </c>
      <c r="BF126" s="4" t="s">
        <v>72</v>
      </c>
      <c r="BG126" s="4" t="s">
        <v>72</v>
      </c>
      <c r="BH126" s="4" t="s">
        <v>71</v>
      </c>
      <c r="BI126" s="4" t="s">
        <v>70</v>
      </c>
      <c r="BJ126" s="4" t="s">
        <v>73</v>
      </c>
      <c r="BK126" s="4" t="s">
        <v>72</v>
      </c>
      <c r="BL126" s="4" t="s">
        <v>71</v>
      </c>
      <c r="BM126" s="4" t="s">
        <v>71</v>
      </c>
      <c r="BN126" s="4" t="s">
        <v>71</v>
      </c>
      <c r="BO126" s="4" t="s">
        <v>70</v>
      </c>
      <c r="BP126" s="4" t="s">
        <v>70</v>
      </c>
      <c r="BQ126" s="4" t="s">
        <v>70</v>
      </c>
      <c r="BR126" s="4" t="s">
        <v>72</v>
      </c>
      <c r="BS126" s="4" t="s">
        <v>72</v>
      </c>
      <c r="BT126" s="4" t="s">
        <v>72</v>
      </c>
      <c r="BU126" s="4" t="s">
        <v>71</v>
      </c>
      <c r="BV126" s="4" t="s">
        <v>70</v>
      </c>
      <c r="BW126" s="4" t="s">
        <v>70</v>
      </c>
      <c r="BX126" s="4" t="s">
        <v>71</v>
      </c>
    </row>
    <row r="127" spans="1:76">
      <c r="A127" s="4" t="s">
        <v>272</v>
      </c>
      <c r="B127" s="4" t="s">
        <v>274</v>
      </c>
      <c r="C127" s="4" t="s">
        <v>197</v>
      </c>
      <c r="D127" s="4" t="s">
        <v>275</v>
      </c>
      <c r="E127" s="4" t="s">
        <v>73</v>
      </c>
      <c r="F127" s="4" t="s">
        <v>71</v>
      </c>
      <c r="G127" s="4" t="s">
        <v>72</v>
      </c>
      <c r="H127" s="4" t="s">
        <v>72</v>
      </c>
      <c r="I127" s="4" t="s">
        <v>72</v>
      </c>
      <c r="J127" s="4" t="s">
        <v>72</v>
      </c>
      <c r="K127" s="4" t="s">
        <v>73</v>
      </c>
      <c r="L127" s="4" t="s">
        <v>73</v>
      </c>
      <c r="M127" s="4" t="s">
        <v>73</v>
      </c>
      <c r="N127" s="4" t="s">
        <v>70</v>
      </c>
      <c r="O127" s="4" t="s">
        <v>70</v>
      </c>
      <c r="P127" s="4" t="s">
        <v>73</v>
      </c>
      <c r="Q127" s="4" t="s">
        <v>72</v>
      </c>
      <c r="R127" s="4" t="s">
        <v>73</v>
      </c>
      <c r="S127" s="4" t="s">
        <v>70</v>
      </c>
      <c r="T127" s="4" t="s">
        <v>72</v>
      </c>
      <c r="U127" s="4" t="s">
        <v>73</v>
      </c>
      <c r="V127" s="4" t="s">
        <v>70</v>
      </c>
      <c r="W127" s="4" t="s">
        <v>72</v>
      </c>
      <c r="X127" s="4" t="s">
        <v>72</v>
      </c>
      <c r="Y127" s="4" t="s">
        <v>72</v>
      </c>
      <c r="Z127" s="4" t="s">
        <v>73</v>
      </c>
      <c r="AA127" s="4" t="s">
        <v>72</v>
      </c>
      <c r="AB127" s="4" t="s">
        <v>71</v>
      </c>
      <c r="AC127" s="4" t="s">
        <v>71</v>
      </c>
      <c r="AD127" s="4" t="s">
        <v>70</v>
      </c>
      <c r="AE127" s="4" t="s">
        <v>72</v>
      </c>
      <c r="AF127" s="4" t="s">
        <v>72</v>
      </c>
      <c r="AG127" s="4" t="s">
        <v>70</v>
      </c>
      <c r="AH127" s="4" t="s">
        <v>70</v>
      </c>
      <c r="AI127" s="4" t="s">
        <v>72</v>
      </c>
      <c r="AJ127" s="4" t="s">
        <v>71</v>
      </c>
      <c r="AK127" s="4" t="s">
        <v>72</v>
      </c>
      <c r="AL127" s="4" t="s">
        <v>72</v>
      </c>
      <c r="AM127" s="4" t="s">
        <v>73</v>
      </c>
      <c r="AN127" s="4" t="s">
        <v>70</v>
      </c>
      <c r="AO127" s="4" t="s">
        <v>70</v>
      </c>
      <c r="AP127" s="4" t="s">
        <v>73</v>
      </c>
      <c r="AQ127" s="4" t="s">
        <v>73</v>
      </c>
      <c r="AR127" s="4" t="s">
        <v>71</v>
      </c>
      <c r="AS127" s="4" t="s">
        <v>71</v>
      </c>
      <c r="AT127" s="4" t="s">
        <v>73</v>
      </c>
      <c r="AU127" s="4" t="s">
        <v>73</v>
      </c>
      <c r="AV127" s="4" t="s">
        <v>73</v>
      </c>
      <c r="AW127" s="10" t="s">
        <v>77</v>
      </c>
      <c r="AX127" s="10" t="s">
        <v>77</v>
      </c>
      <c r="AY127" s="4" t="s">
        <v>73</v>
      </c>
      <c r="AZ127" s="4" t="s">
        <v>73</v>
      </c>
      <c r="BA127" s="4" t="s">
        <v>73</v>
      </c>
      <c r="BB127" s="4" t="s">
        <v>72</v>
      </c>
      <c r="BC127" s="4" t="s">
        <v>72</v>
      </c>
      <c r="BD127" s="4" t="s">
        <v>70</v>
      </c>
      <c r="BE127" s="4" t="s">
        <v>70</v>
      </c>
      <c r="BF127" s="4" t="s">
        <v>72</v>
      </c>
      <c r="BG127" s="4" t="s">
        <v>70</v>
      </c>
      <c r="BH127" s="4" t="s">
        <v>71</v>
      </c>
      <c r="BI127" s="4" t="s">
        <v>73</v>
      </c>
      <c r="BJ127" s="4" t="s">
        <v>73</v>
      </c>
      <c r="BK127" s="4" t="s">
        <v>71</v>
      </c>
      <c r="BL127" s="4" t="s">
        <v>72</v>
      </c>
      <c r="BM127" s="4" t="s">
        <v>71</v>
      </c>
      <c r="BN127" s="4" t="s">
        <v>71</v>
      </c>
      <c r="BO127" s="4" t="s">
        <v>73</v>
      </c>
      <c r="BP127" s="4" t="s">
        <v>73</v>
      </c>
      <c r="BQ127" s="4" t="s">
        <v>73</v>
      </c>
      <c r="BR127" s="4" t="s">
        <v>72</v>
      </c>
      <c r="BS127" s="4" t="s">
        <v>73</v>
      </c>
      <c r="BT127" s="4" t="s">
        <v>73</v>
      </c>
      <c r="BU127" s="4" t="s">
        <v>73</v>
      </c>
      <c r="BV127" s="4" t="s">
        <v>73</v>
      </c>
      <c r="BW127" s="4" t="s">
        <v>70</v>
      </c>
      <c r="BX127" s="4" t="s">
        <v>72</v>
      </c>
    </row>
    <row r="128" spans="1:76">
      <c r="A128" s="4" t="s">
        <v>272</v>
      </c>
      <c r="B128" s="4" t="s">
        <v>276</v>
      </c>
      <c r="C128" s="4" t="s">
        <v>197</v>
      </c>
      <c r="D128" s="4" t="s">
        <v>277</v>
      </c>
      <c r="E128" s="4" t="s">
        <v>70</v>
      </c>
      <c r="F128" s="4" t="s">
        <v>72</v>
      </c>
      <c r="G128" s="4" t="s">
        <v>71</v>
      </c>
      <c r="H128" s="4" t="s">
        <v>73</v>
      </c>
      <c r="I128" s="4" t="s">
        <v>70</v>
      </c>
      <c r="J128" s="4" t="s">
        <v>70</v>
      </c>
      <c r="K128" s="4" t="s">
        <v>73</v>
      </c>
      <c r="L128" s="4" t="s">
        <v>72</v>
      </c>
      <c r="M128" s="4" t="s">
        <v>70</v>
      </c>
      <c r="N128" s="4" t="s">
        <v>70</v>
      </c>
      <c r="O128" s="4" t="s">
        <v>71</v>
      </c>
      <c r="P128" s="4" t="s">
        <v>71</v>
      </c>
      <c r="Q128" s="4" t="s">
        <v>70</v>
      </c>
      <c r="R128" s="4" t="s">
        <v>73</v>
      </c>
      <c r="S128" s="4" t="s">
        <v>70</v>
      </c>
      <c r="T128" s="10" t="s">
        <v>77</v>
      </c>
      <c r="U128" s="4" t="s">
        <v>72</v>
      </c>
      <c r="V128" s="4" t="s">
        <v>70</v>
      </c>
      <c r="W128" s="4" t="s">
        <v>70</v>
      </c>
      <c r="X128" s="4" t="s">
        <v>72</v>
      </c>
      <c r="Y128" s="4" t="s">
        <v>73</v>
      </c>
      <c r="Z128" s="4" t="s">
        <v>73</v>
      </c>
      <c r="AA128" s="4" t="s">
        <v>70</v>
      </c>
      <c r="AB128" s="4" t="s">
        <v>70</v>
      </c>
      <c r="AC128" s="4" t="s">
        <v>71</v>
      </c>
      <c r="AD128" s="4" t="s">
        <v>70</v>
      </c>
      <c r="AE128" s="4" t="s">
        <v>71</v>
      </c>
      <c r="AF128" s="4" t="s">
        <v>71</v>
      </c>
      <c r="AG128" s="4" t="s">
        <v>73</v>
      </c>
      <c r="AH128" s="4" t="s">
        <v>70</v>
      </c>
      <c r="AI128" s="4" t="s">
        <v>73</v>
      </c>
      <c r="AJ128" s="4" t="s">
        <v>71</v>
      </c>
      <c r="AK128" s="4" t="s">
        <v>72</v>
      </c>
      <c r="AL128" s="4" t="s">
        <v>71</v>
      </c>
      <c r="AM128" s="4" t="s">
        <v>73</v>
      </c>
      <c r="AN128" s="4" t="s">
        <v>73</v>
      </c>
      <c r="AO128" s="4" t="s">
        <v>70</v>
      </c>
      <c r="AP128" s="4" t="s">
        <v>72</v>
      </c>
      <c r="AQ128" s="4" t="s">
        <v>72</v>
      </c>
      <c r="AR128" s="4" t="s">
        <v>71</v>
      </c>
      <c r="AS128" s="4" t="s">
        <v>72</v>
      </c>
      <c r="AT128" s="4" t="s">
        <v>70</v>
      </c>
      <c r="AU128" s="4" t="s">
        <v>70</v>
      </c>
      <c r="AV128" s="4" t="s">
        <v>72</v>
      </c>
      <c r="AW128" s="4" t="s">
        <v>71</v>
      </c>
      <c r="AX128" s="4" t="s">
        <v>72</v>
      </c>
      <c r="AY128" s="4" t="s">
        <v>70</v>
      </c>
      <c r="AZ128" s="4" t="s">
        <v>71</v>
      </c>
      <c r="BA128" s="4" t="s">
        <v>70</v>
      </c>
      <c r="BB128" s="4" t="s">
        <v>72</v>
      </c>
      <c r="BC128" s="4" t="s">
        <v>70</v>
      </c>
      <c r="BD128" s="4" t="s">
        <v>70</v>
      </c>
      <c r="BE128" s="4" t="s">
        <v>70</v>
      </c>
      <c r="BF128" s="4" t="s">
        <v>72</v>
      </c>
      <c r="BG128" s="4" t="s">
        <v>72</v>
      </c>
      <c r="BH128" s="4" t="s">
        <v>71</v>
      </c>
      <c r="BI128" s="4" t="s">
        <v>70</v>
      </c>
      <c r="BJ128" s="4" t="s">
        <v>73</v>
      </c>
      <c r="BK128" s="4" t="s">
        <v>73</v>
      </c>
      <c r="BL128" s="4" t="s">
        <v>72</v>
      </c>
      <c r="BM128" s="4" t="s">
        <v>71</v>
      </c>
      <c r="BN128" s="4" t="s">
        <v>71</v>
      </c>
      <c r="BO128" s="4" t="s">
        <v>71</v>
      </c>
      <c r="BP128" s="4" t="s">
        <v>73</v>
      </c>
      <c r="BQ128" s="4" t="s">
        <v>71</v>
      </c>
      <c r="BR128" s="4" t="s">
        <v>72</v>
      </c>
      <c r="BS128" s="4" t="s">
        <v>72</v>
      </c>
      <c r="BT128" s="4" t="s">
        <v>71</v>
      </c>
      <c r="BU128" s="4" t="s">
        <v>72</v>
      </c>
      <c r="BV128" s="4" t="s">
        <v>70</v>
      </c>
      <c r="BW128" s="4" t="s">
        <v>73</v>
      </c>
      <c r="BX128" s="4" t="s">
        <v>71</v>
      </c>
    </row>
    <row r="129" spans="1:76">
      <c r="A129" s="4" t="s">
        <v>272</v>
      </c>
      <c r="B129" s="4" t="s">
        <v>278</v>
      </c>
      <c r="C129" s="4" t="s">
        <v>109</v>
      </c>
      <c r="D129" s="4" t="s">
        <v>110</v>
      </c>
      <c r="E129" s="4" t="s">
        <v>70</v>
      </c>
      <c r="F129" s="4" t="s">
        <v>70</v>
      </c>
      <c r="G129" s="4" t="s">
        <v>72</v>
      </c>
      <c r="H129" s="4" t="s">
        <v>72</v>
      </c>
      <c r="I129" s="4" t="s">
        <v>71</v>
      </c>
      <c r="J129" s="4" t="s">
        <v>71</v>
      </c>
      <c r="K129" s="4" t="s">
        <v>73</v>
      </c>
      <c r="L129" s="4" t="s">
        <v>72</v>
      </c>
      <c r="M129" s="4" t="s">
        <v>70</v>
      </c>
      <c r="N129" s="4" t="s">
        <v>70</v>
      </c>
      <c r="O129" s="4" t="s">
        <v>72</v>
      </c>
      <c r="P129" s="4" t="s">
        <v>70</v>
      </c>
      <c r="Q129" s="4" t="s">
        <v>72</v>
      </c>
      <c r="R129" s="4" t="s">
        <v>73</v>
      </c>
      <c r="S129" s="4" t="s">
        <v>73</v>
      </c>
      <c r="T129" s="10" t="s">
        <v>77</v>
      </c>
      <c r="U129" s="4" t="s">
        <v>72</v>
      </c>
      <c r="V129" s="4" t="s">
        <v>70</v>
      </c>
      <c r="W129" s="4" t="s">
        <v>70</v>
      </c>
      <c r="X129" s="4" t="s">
        <v>72</v>
      </c>
      <c r="Y129" s="4" t="s">
        <v>73</v>
      </c>
      <c r="Z129" s="4" t="s">
        <v>70</v>
      </c>
      <c r="AA129" s="4" t="s">
        <v>71</v>
      </c>
      <c r="AB129" s="4" t="s">
        <v>73</v>
      </c>
      <c r="AC129" s="4" t="s">
        <v>71</v>
      </c>
      <c r="AD129" s="4" t="s">
        <v>72</v>
      </c>
      <c r="AE129" s="4" t="s">
        <v>71</v>
      </c>
      <c r="AF129" s="4" t="s">
        <v>72</v>
      </c>
      <c r="AG129" s="4" t="s">
        <v>70</v>
      </c>
      <c r="AH129" s="4" t="s">
        <v>70</v>
      </c>
      <c r="AI129" s="4" t="s">
        <v>73</v>
      </c>
      <c r="AJ129" s="4" t="s">
        <v>71</v>
      </c>
      <c r="AK129" s="4" t="s">
        <v>72</v>
      </c>
      <c r="AL129" s="4" t="s">
        <v>71</v>
      </c>
      <c r="AM129" s="4" t="s">
        <v>72</v>
      </c>
      <c r="AN129" s="4" t="s">
        <v>70</v>
      </c>
      <c r="AO129" s="4" t="s">
        <v>73</v>
      </c>
      <c r="AP129" s="4" t="s">
        <v>73</v>
      </c>
      <c r="AQ129" s="4" t="s">
        <v>72</v>
      </c>
      <c r="AR129" s="4" t="s">
        <v>71</v>
      </c>
      <c r="AS129" s="4" t="s">
        <v>71</v>
      </c>
      <c r="AT129" s="4" t="s">
        <v>73</v>
      </c>
      <c r="AU129" s="4" t="s">
        <v>70</v>
      </c>
      <c r="AV129" s="4" t="s">
        <v>71</v>
      </c>
      <c r="AW129" s="4" t="s">
        <v>70</v>
      </c>
      <c r="AX129" s="10" t="s">
        <v>77</v>
      </c>
      <c r="AY129" s="4" t="s">
        <v>73</v>
      </c>
      <c r="AZ129" s="4" t="s">
        <v>72</v>
      </c>
      <c r="BA129" s="4" t="s">
        <v>71</v>
      </c>
      <c r="BB129" s="4" t="s">
        <v>71</v>
      </c>
      <c r="BC129" s="4" t="s">
        <v>70</v>
      </c>
      <c r="BD129" s="4" t="s">
        <v>73</v>
      </c>
      <c r="BE129" s="4" t="s">
        <v>70</v>
      </c>
      <c r="BF129" s="4" t="s">
        <v>72</v>
      </c>
      <c r="BG129" s="4" t="s">
        <v>72</v>
      </c>
      <c r="BH129" s="4" t="s">
        <v>71</v>
      </c>
      <c r="BI129" s="4" t="s">
        <v>73</v>
      </c>
      <c r="BJ129" s="4" t="s">
        <v>73</v>
      </c>
      <c r="BK129" s="4" t="s">
        <v>73</v>
      </c>
      <c r="BL129" s="4" t="s">
        <v>72</v>
      </c>
      <c r="BM129" s="4" t="s">
        <v>71</v>
      </c>
      <c r="BN129" s="4" t="s">
        <v>72</v>
      </c>
      <c r="BO129" s="4" t="s">
        <v>71</v>
      </c>
      <c r="BP129" s="4" t="s">
        <v>70</v>
      </c>
      <c r="BQ129" s="4" t="s">
        <v>70</v>
      </c>
      <c r="BR129" s="4" t="s">
        <v>72</v>
      </c>
      <c r="BS129" s="4" t="s">
        <v>70</v>
      </c>
      <c r="BT129" s="4" t="s">
        <v>70</v>
      </c>
      <c r="BU129" s="4" t="s">
        <v>73</v>
      </c>
      <c r="BV129" s="4" t="s">
        <v>73</v>
      </c>
      <c r="BW129" s="4" t="s">
        <v>71</v>
      </c>
      <c r="BX129" s="4" t="s">
        <v>71</v>
      </c>
    </row>
    <row r="130" spans="1:76">
      <c r="A130" s="4" t="s">
        <v>272</v>
      </c>
      <c r="B130" s="4" t="s">
        <v>279</v>
      </c>
      <c r="C130" s="4" t="s">
        <v>106</v>
      </c>
      <c r="D130" s="4" t="s">
        <v>280</v>
      </c>
      <c r="E130" s="4" t="s">
        <v>72</v>
      </c>
      <c r="F130" s="4" t="s">
        <v>70</v>
      </c>
      <c r="G130" s="4" t="s">
        <v>70</v>
      </c>
      <c r="H130" s="4" t="s">
        <v>72</v>
      </c>
      <c r="I130" s="4" t="s">
        <v>73</v>
      </c>
      <c r="J130" s="4" t="s">
        <v>71</v>
      </c>
      <c r="K130" s="4" t="s">
        <v>72</v>
      </c>
      <c r="L130" s="4" t="s">
        <v>72</v>
      </c>
      <c r="M130" s="4" t="s">
        <v>73</v>
      </c>
      <c r="N130" s="4" t="s">
        <v>70</v>
      </c>
      <c r="O130" s="4" t="s">
        <v>72</v>
      </c>
      <c r="P130" s="4" t="s">
        <v>72</v>
      </c>
      <c r="Q130" s="4" t="s">
        <v>72</v>
      </c>
      <c r="R130" s="4" t="s">
        <v>73</v>
      </c>
      <c r="S130" s="10" t="s">
        <v>77</v>
      </c>
      <c r="T130" s="10" t="s">
        <v>77</v>
      </c>
      <c r="U130" s="4" t="s">
        <v>73</v>
      </c>
      <c r="V130" s="4" t="s">
        <v>73</v>
      </c>
      <c r="W130" s="4" t="s">
        <v>73</v>
      </c>
      <c r="X130" s="4" t="s">
        <v>72</v>
      </c>
      <c r="Y130" s="4" t="s">
        <v>73</v>
      </c>
      <c r="Z130" s="4" t="s">
        <v>73</v>
      </c>
      <c r="AA130" s="4" t="s">
        <v>73</v>
      </c>
      <c r="AB130" s="4" t="s">
        <v>73</v>
      </c>
      <c r="AC130" s="4" t="s">
        <v>72</v>
      </c>
      <c r="AD130" s="4" t="s">
        <v>73</v>
      </c>
      <c r="AE130" s="4" t="s">
        <v>73</v>
      </c>
      <c r="AF130" s="4" t="s">
        <v>73</v>
      </c>
      <c r="AG130" s="4" t="s">
        <v>72</v>
      </c>
      <c r="AH130" s="4" t="s">
        <v>70</v>
      </c>
      <c r="AI130" s="4" t="s">
        <v>73</v>
      </c>
      <c r="AJ130" s="4" t="s">
        <v>72</v>
      </c>
      <c r="AK130" s="4" t="s">
        <v>72</v>
      </c>
      <c r="AL130" s="4" t="s">
        <v>72</v>
      </c>
      <c r="AM130" s="4" t="s">
        <v>71</v>
      </c>
      <c r="AN130" s="4" t="s">
        <v>70</v>
      </c>
      <c r="AO130" s="4" t="s">
        <v>73</v>
      </c>
      <c r="AP130" s="4" t="s">
        <v>71</v>
      </c>
      <c r="AQ130" s="4" t="s">
        <v>72</v>
      </c>
      <c r="AR130" s="4" t="s">
        <v>71</v>
      </c>
      <c r="AS130" s="4" t="s">
        <v>73</v>
      </c>
      <c r="AT130" s="4" t="s">
        <v>72</v>
      </c>
      <c r="AU130" s="4" t="s">
        <v>72</v>
      </c>
      <c r="AV130" s="4" t="s">
        <v>73</v>
      </c>
      <c r="AW130" s="4" t="s">
        <v>70</v>
      </c>
      <c r="AX130" s="10" t="s">
        <v>77</v>
      </c>
      <c r="AY130" s="4" t="s">
        <v>73</v>
      </c>
      <c r="AZ130" s="4" t="s">
        <v>72</v>
      </c>
      <c r="BA130" s="4" t="s">
        <v>72</v>
      </c>
      <c r="BB130" s="4" t="s">
        <v>73</v>
      </c>
      <c r="BC130" s="4" t="s">
        <v>72</v>
      </c>
      <c r="BD130" s="4" t="s">
        <v>70</v>
      </c>
      <c r="BE130" s="4" t="s">
        <v>73</v>
      </c>
      <c r="BF130" s="4" t="s">
        <v>72</v>
      </c>
      <c r="BG130" s="4" t="s">
        <v>72</v>
      </c>
      <c r="BH130" s="4" t="s">
        <v>72</v>
      </c>
      <c r="BI130" s="10" t="s">
        <v>77</v>
      </c>
      <c r="BJ130" s="4" t="s">
        <v>73</v>
      </c>
      <c r="BK130" s="4" t="s">
        <v>73</v>
      </c>
      <c r="BL130" s="4" t="s">
        <v>72</v>
      </c>
      <c r="BM130" s="4" t="s">
        <v>72</v>
      </c>
      <c r="BN130" s="4" t="s">
        <v>71</v>
      </c>
      <c r="BO130" s="4" t="s">
        <v>73</v>
      </c>
      <c r="BP130" s="4" t="s">
        <v>72</v>
      </c>
      <c r="BQ130" s="4" t="s">
        <v>73</v>
      </c>
      <c r="BR130" s="4" t="s">
        <v>73</v>
      </c>
      <c r="BS130" s="4" t="s">
        <v>72</v>
      </c>
      <c r="BT130" s="4" t="s">
        <v>72</v>
      </c>
      <c r="BU130" s="4" t="s">
        <v>73</v>
      </c>
      <c r="BV130" s="4" t="s">
        <v>71</v>
      </c>
      <c r="BW130" s="4" t="s">
        <v>71</v>
      </c>
      <c r="BX130" s="4" t="s">
        <v>73</v>
      </c>
    </row>
    <row r="131" spans="1:76">
      <c r="A131" s="4" t="s">
        <v>272</v>
      </c>
      <c r="B131" s="4" t="s">
        <v>281</v>
      </c>
      <c r="C131" s="4" t="s">
        <v>106</v>
      </c>
      <c r="D131" s="4" t="s">
        <v>107</v>
      </c>
      <c r="E131" s="4" t="s">
        <v>70</v>
      </c>
      <c r="F131" s="4" t="s">
        <v>73</v>
      </c>
      <c r="G131" s="4" t="s">
        <v>71</v>
      </c>
      <c r="H131" s="4" t="s">
        <v>71</v>
      </c>
      <c r="I131" s="4" t="s">
        <v>71</v>
      </c>
      <c r="J131" s="4" t="s">
        <v>73</v>
      </c>
      <c r="K131" s="4" t="s">
        <v>70</v>
      </c>
      <c r="L131" s="4" t="s">
        <v>72</v>
      </c>
      <c r="M131" s="4" t="s">
        <v>70</v>
      </c>
      <c r="N131" s="4" t="s">
        <v>70</v>
      </c>
      <c r="O131" s="4" t="s">
        <v>71</v>
      </c>
      <c r="P131" s="4" t="s">
        <v>71</v>
      </c>
      <c r="Q131" s="4" t="s">
        <v>72</v>
      </c>
      <c r="R131" s="4" t="s">
        <v>73</v>
      </c>
      <c r="S131" s="4" t="s">
        <v>73</v>
      </c>
      <c r="T131" s="10" t="s">
        <v>77</v>
      </c>
      <c r="U131" s="4" t="s">
        <v>72</v>
      </c>
      <c r="V131" s="4" t="s">
        <v>70</v>
      </c>
      <c r="W131" s="4" t="s">
        <v>70</v>
      </c>
      <c r="X131" s="4" t="s">
        <v>73</v>
      </c>
      <c r="Y131" s="4" t="s">
        <v>73</v>
      </c>
      <c r="Z131" s="4" t="s">
        <v>73</v>
      </c>
      <c r="AA131" s="4" t="s">
        <v>70</v>
      </c>
      <c r="AB131" s="4" t="s">
        <v>70</v>
      </c>
      <c r="AC131" s="4" t="s">
        <v>71</v>
      </c>
      <c r="AD131" s="4" t="s">
        <v>73</v>
      </c>
      <c r="AE131" s="4" t="s">
        <v>72</v>
      </c>
      <c r="AF131" s="4" t="s">
        <v>71</v>
      </c>
      <c r="AG131" s="4" t="s">
        <v>73</v>
      </c>
      <c r="AH131" s="4" t="s">
        <v>70</v>
      </c>
      <c r="AI131" s="4" t="s">
        <v>71</v>
      </c>
      <c r="AJ131" s="4" t="s">
        <v>71</v>
      </c>
      <c r="AK131" s="4" t="s">
        <v>72</v>
      </c>
      <c r="AL131" s="4" t="s">
        <v>71</v>
      </c>
      <c r="AM131" s="4" t="s">
        <v>71</v>
      </c>
      <c r="AN131" s="4" t="s">
        <v>70</v>
      </c>
      <c r="AO131" s="4" t="s">
        <v>70</v>
      </c>
      <c r="AP131" s="4" t="s">
        <v>73</v>
      </c>
      <c r="AQ131" s="4" t="s">
        <v>70</v>
      </c>
      <c r="AR131" s="4" t="s">
        <v>71</v>
      </c>
      <c r="AS131" s="4" t="s">
        <v>72</v>
      </c>
      <c r="AT131" s="4" t="s">
        <v>70</v>
      </c>
      <c r="AU131" s="4" t="s">
        <v>70</v>
      </c>
      <c r="AV131" s="4" t="s">
        <v>70</v>
      </c>
      <c r="AW131" s="4" t="s">
        <v>70</v>
      </c>
      <c r="AX131" s="4" t="s">
        <v>73</v>
      </c>
      <c r="AY131" s="4" t="s">
        <v>72</v>
      </c>
      <c r="AZ131" s="4" t="s">
        <v>72</v>
      </c>
      <c r="BA131" s="4" t="s">
        <v>70</v>
      </c>
      <c r="BB131" s="4" t="s">
        <v>72</v>
      </c>
      <c r="BC131" s="4" t="s">
        <v>70</v>
      </c>
      <c r="BD131" s="4" t="s">
        <v>70</v>
      </c>
      <c r="BE131" s="4" t="s">
        <v>70</v>
      </c>
      <c r="BF131" s="4" t="s">
        <v>72</v>
      </c>
      <c r="BG131" s="4" t="s">
        <v>72</v>
      </c>
      <c r="BH131" s="4" t="s">
        <v>71</v>
      </c>
      <c r="BI131" s="4" t="s">
        <v>70</v>
      </c>
      <c r="BJ131" s="4" t="s">
        <v>73</v>
      </c>
      <c r="BK131" s="4" t="s">
        <v>70</v>
      </c>
      <c r="BL131" s="4" t="s">
        <v>72</v>
      </c>
      <c r="BM131" s="4" t="s">
        <v>71</v>
      </c>
      <c r="BN131" s="4" t="s">
        <v>71</v>
      </c>
      <c r="BO131" s="4" t="s">
        <v>71</v>
      </c>
      <c r="BP131" s="4" t="s">
        <v>73</v>
      </c>
      <c r="BQ131" s="4" t="s">
        <v>72</v>
      </c>
      <c r="BR131" s="4" t="s">
        <v>71</v>
      </c>
      <c r="BS131" s="4" t="s">
        <v>72</v>
      </c>
      <c r="BT131" s="4" t="s">
        <v>70</v>
      </c>
      <c r="BU131" s="4" t="s">
        <v>70</v>
      </c>
      <c r="BV131" s="4" t="s">
        <v>70</v>
      </c>
      <c r="BW131" s="4" t="s">
        <v>72</v>
      </c>
      <c r="BX131" s="4" t="s">
        <v>71</v>
      </c>
    </row>
    <row r="132" spans="1:76">
      <c r="A132" s="4" t="s">
        <v>272</v>
      </c>
      <c r="B132" s="4" t="s">
        <v>282</v>
      </c>
      <c r="C132" s="4" t="s">
        <v>106</v>
      </c>
      <c r="D132" s="4" t="s">
        <v>221</v>
      </c>
      <c r="E132" s="4" t="s">
        <v>70</v>
      </c>
      <c r="F132" s="4" t="s">
        <v>71</v>
      </c>
      <c r="G132" s="4" t="s">
        <v>71</v>
      </c>
      <c r="H132" s="4" t="s">
        <v>71</v>
      </c>
      <c r="I132" s="4" t="s">
        <v>71</v>
      </c>
      <c r="J132" s="4" t="s">
        <v>73</v>
      </c>
      <c r="K132" s="4" t="s">
        <v>70</v>
      </c>
      <c r="L132" s="4" t="s">
        <v>72</v>
      </c>
      <c r="M132" s="4" t="s">
        <v>70</v>
      </c>
      <c r="N132" s="4" t="s">
        <v>70</v>
      </c>
      <c r="O132" s="4" t="s">
        <v>71</v>
      </c>
      <c r="P132" s="4" t="s">
        <v>71</v>
      </c>
      <c r="Q132" s="4" t="s">
        <v>72</v>
      </c>
      <c r="R132" s="4" t="s">
        <v>73</v>
      </c>
      <c r="S132" s="4" t="s">
        <v>73</v>
      </c>
      <c r="T132" s="10" t="s">
        <v>77</v>
      </c>
      <c r="U132" s="4" t="s">
        <v>72</v>
      </c>
      <c r="V132" s="4" t="s">
        <v>70</v>
      </c>
      <c r="W132" s="4" t="s">
        <v>70</v>
      </c>
      <c r="X132" s="4" t="s">
        <v>73</v>
      </c>
      <c r="Y132" s="4" t="s">
        <v>73</v>
      </c>
      <c r="Z132" s="4" t="s">
        <v>73</v>
      </c>
      <c r="AA132" s="4" t="s">
        <v>70</v>
      </c>
      <c r="AB132" s="4" t="s">
        <v>70</v>
      </c>
      <c r="AC132" s="4" t="s">
        <v>71</v>
      </c>
      <c r="AD132" s="4" t="s">
        <v>73</v>
      </c>
      <c r="AE132" s="4" t="s">
        <v>72</v>
      </c>
      <c r="AF132" s="4" t="s">
        <v>72</v>
      </c>
      <c r="AG132" s="4" t="s">
        <v>70</v>
      </c>
      <c r="AH132" s="4" t="s">
        <v>70</v>
      </c>
      <c r="AI132" s="4" t="s">
        <v>71</v>
      </c>
      <c r="AJ132" s="4" t="s">
        <v>71</v>
      </c>
      <c r="AK132" s="4" t="s">
        <v>72</v>
      </c>
      <c r="AL132" s="4" t="s">
        <v>71</v>
      </c>
      <c r="AM132" s="4" t="s">
        <v>71</v>
      </c>
      <c r="AN132" s="4" t="s">
        <v>72</v>
      </c>
      <c r="AO132" s="4" t="s">
        <v>73</v>
      </c>
      <c r="AP132" s="4" t="s">
        <v>73</v>
      </c>
      <c r="AQ132" s="4" t="s">
        <v>70</v>
      </c>
      <c r="AR132" s="4" t="s">
        <v>71</v>
      </c>
      <c r="AS132" s="4" t="s">
        <v>71</v>
      </c>
      <c r="AT132" s="4" t="s">
        <v>73</v>
      </c>
      <c r="AU132" s="4" t="s">
        <v>70</v>
      </c>
      <c r="AV132" s="4" t="s">
        <v>70</v>
      </c>
      <c r="AW132" s="4" t="s">
        <v>70</v>
      </c>
      <c r="AX132" s="4" t="s">
        <v>73</v>
      </c>
      <c r="AY132" s="4" t="s">
        <v>72</v>
      </c>
      <c r="AZ132" s="4" t="s">
        <v>72</v>
      </c>
      <c r="BA132" s="4" t="s">
        <v>70</v>
      </c>
      <c r="BB132" s="4" t="s">
        <v>72</v>
      </c>
      <c r="BC132" s="4" t="s">
        <v>70</v>
      </c>
      <c r="BD132" s="4" t="s">
        <v>70</v>
      </c>
      <c r="BE132" s="4" t="s">
        <v>70</v>
      </c>
      <c r="BF132" s="4" t="s">
        <v>72</v>
      </c>
      <c r="BG132" s="4" t="s">
        <v>72</v>
      </c>
      <c r="BH132" s="4" t="s">
        <v>71</v>
      </c>
      <c r="BI132" s="4" t="s">
        <v>70</v>
      </c>
      <c r="BJ132" s="4" t="s">
        <v>73</v>
      </c>
      <c r="BK132" s="4" t="s">
        <v>70</v>
      </c>
      <c r="BL132" s="4" t="s">
        <v>72</v>
      </c>
      <c r="BM132" s="4" t="s">
        <v>71</v>
      </c>
      <c r="BN132" s="4" t="s">
        <v>71</v>
      </c>
      <c r="BO132" s="4" t="s">
        <v>71</v>
      </c>
      <c r="BP132" s="4" t="s">
        <v>73</v>
      </c>
      <c r="BQ132" s="4" t="s">
        <v>72</v>
      </c>
      <c r="BR132" s="4" t="s">
        <v>71</v>
      </c>
      <c r="BS132" s="4" t="s">
        <v>72</v>
      </c>
      <c r="BT132" s="4" t="s">
        <v>70</v>
      </c>
      <c r="BU132" s="4" t="s">
        <v>70</v>
      </c>
      <c r="BV132" s="4" t="s">
        <v>70</v>
      </c>
      <c r="BW132" s="4" t="s">
        <v>70</v>
      </c>
      <c r="BX132" s="4" t="s">
        <v>72</v>
      </c>
    </row>
    <row r="133" spans="1:76">
      <c r="A133" s="4" t="s">
        <v>272</v>
      </c>
      <c r="B133" s="4" t="s">
        <v>283</v>
      </c>
      <c r="C133" s="4" t="s">
        <v>106</v>
      </c>
      <c r="D133" s="4" t="s">
        <v>69</v>
      </c>
      <c r="E133" s="4" t="s">
        <v>70</v>
      </c>
      <c r="F133" s="4" t="s">
        <v>70</v>
      </c>
      <c r="G133" s="4" t="s">
        <v>71</v>
      </c>
      <c r="H133" s="4" t="s">
        <v>72</v>
      </c>
      <c r="I133" s="4" t="s">
        <v>71</v>
      </c>
      <c r="J133" s="4" t="s">
        <v>71</v>
      </c>
      <c r="K133" s="4" t="s">
        <v>70</v>
      </c>
      <c r="L133" s="4" t="s">
        <v>72</v>
      </c>
      <c r="M133" s="4" t="s">
        <v>70</v>
      </c>
      <c r="N133" s="4" t="s">
        <v>70</v>
      </c>
      <c r="O133" s="4" t="s">
        <v>71</v>
      </c>
      <c r="P133" s="4" t="s">
        <v>70</v>
      </c>
      <c r="Q133" s="4" t="s">
        <v>71</v>
      </c>
      <c r="R133" s="4" t="s">
        <v>73</v>
      </c>
      <c r="S133" s="4" t="s">
        <v>73</v>
      </c>
      <c r="T133" s="10" t="s">
        <v>77</v>
      </c>
      <c r="U133" s="4" t="s">
        <v>72</v>
      </c>
      <c r="V133" s="4" t="s">
        <v>70</v>
      </c>
      <c r="W133" s="4" t="s">
        <v>70</v>
      </c>
      <c r="X133" s="4" t="s">
        <v>73</v>
      </c>
      <c r="Y133" s="4" t="s">
        <v>73</v>
      </c>
      <c r="Z133" s="4" t="s">
        <v>70</v>
      </c>
      <c r="AA133" s="4" t="s">
        <v>71</v>
      </c>
      <c r="AB133" s="4" t="s">
        <v>70</v>
      </c>
      <c r="AC133" s="4" t="s">
        <v>71</v>
      </c>
      <c r="AD133" s="4" t="s">
        <v>73</v>
      </c>
      <c r="AE133" s="4" t="s">
        <v>72</v>
      </c>
      <c r="AF133" s="4" t="s">
        <v>72</v>
      </c>
      <c r="AG133" s="4" t="s">
        <v>70</v>
      </c>
      <c r="AH133" s="4" t="s">
        <v>70</v>
      </c>
      <c r="AI133" s="4" t="s">
        <v>73</v>
      </c>
      <c r="AJ133" s="4" t="s">
        <v>71</v>
      </c>
      <c r="AK133" s="4" t="s">
        <v>72</v>
      </c>
      <c r="AL133" s="4" t="s">
        <v>72</v>
      </c>
      <c r="AM133" s="4" t="s">
        <v>71</v>
      </c>
      <c r="AN133" s="4" t="s">
        <v>72</v>
      </c>
      <c r="AO133" s="4" t="s">
        <v>73</v>
      </c>
      <c r="AP133" s="4" t="s">
        <v>73</v>
      </c>
      <c r="AQ133" s="4" t="s">
        <v>72</v>
      </c>
      <c r="AR133" s="4" t="s">
        <v>72</v>
      </c>
      <c r="AS133" s="4" t="s">
        <v>71</v>
      </c>
      <c r="AT133" s="4" t="s">
        <v>73</v>
      </c>
      <c r="AU133" s="4" t="s">
        <v>73</v>
      </c>
      <c r="AV133" s="4" t="s">
        <v>73</v>
      </c>
      <c r="AW133" s="4" t="s">
        <v>70</v>
      </c>
      <c r="AX133" s="4" t="s">
        <v>70</v>
      </c>
      <c r="AY133" s="4" t="s">
        <v>72</v>
      </c>
      <c r="AZ133" s="4" t="s">
        <v>72</v>
      </c>
      <c r="BA133" s="4" t="s">
        <v>71</v>
      </c>
      <c r="BB133" s="4" t="s">
        <v>71</v>
      </c>
      <c r="BC133" s="4" t="s">
        <v>70</v>
      </c>
      <c r="BD133" s="4" t="s">
        <v>70</v>
      </c>
      <c r="BE133" s="4" t="s">
        <v>70</v>
      </c>
      <c r="BF133" s="4" t="s">
        <v>72</v>
      </c>
      <c r="BG133" s="4" t="s">
        <v>72</v>
      </c>
      <c r="BH133" s="4" t="s">
        <v>71</v>
      </c>
      <c r="BI133" s="4" t="s">
        <v>70</v>
      </c>
      <c r="BJ133" s="4" t="s">
        <v>73</v>
      </c>
      <c r="BK133" s="4" t="s">
        <v>70</v>
      </c>
      <c r="BL133" s="4" t="s">
        <v>72</v>
      </c>
      <c r="BM133" s="4" t="s">
        <v>71</v>
      </c>
      <c r="BN133" s="4" t="s">
        <v>71</v>
      </c>
      <c r="BO133" s="4" t="s">
        <v>71</v>
      </c>
      <c r="BP133" s="4" t="s">
        <v>70</v>
      </c>
      <c r="BQ133" s="4" t="s">
        <v>70</v>
      </c>
      <c r="BR133" s="4" t="s">
        <v>71</v>
      </c>
      <c r="BS133" s="4" t="s">
        <v>70</v>
      </c>
      <c r="BT133" s="4" t="s">
        <v>70</v>
      </c>
      <c r="BU133" s="4" t="s">
        <v>73</v>
      </c>
      <c r="BV133" s="4" t="s">
        <v>70</v>
      </c>
      <c r="BW133" s="4" t="s">
        <v>72</v>
      </c>
      <c r="BX133" s="4" t="s">
        <v>71</v>
      </c>
    </row>
    <row r="134" spans="1:76">
      <c r="A134" s="4" t="s">
        <v>272</v>
      </c>
      <c r="B134" s="4" t="s">
        <v>284</v>
      </c>
      <c r="C134" s="4" t="s">
        <v>125</v>
      </c>
      <c r="D134" s="4" t="s">
        <v>173</v>
      </c>
      <c r="E134" s="4" t="s">
        <v>70</v>
      </c>
      <c r="F134" s="4" t="s">
        <v>70</v>
      </c>
      <c r="G134" s="4" t="s">
        <v>71</v>
      </c>
      <c r="H134" s="4" t="s">
        <v>71</v>
      </c>
      <c r="I134" s="4" t="s">
        <v>71</v>
      </c>
      <c r="J134" s="4" t="s">
        <v>72</v>
      </c>
      <c r="K134" s="4" t="s">
        <v>70</v>
      </c>
      <c r="L134" s="4" t="s">
        <v>72</v>
      </c>
      <c r="M134" s="4" t="s">
        <v>70</v>
      </c>
      <c r="N134" s="4" t="s">
        <v>70</v>
      </c>
      <c r="O134" s="4" t="s">
        <v>71</v>
      </c>
      <c r="P134" s="4" t="s">
        <v>72</v>
      </c>
      <c r="Q134" s="4" t="s">
        <v>73</v>
      </c>
      <c r="R134" s="4" t="s">
        <v>70</v>
      </c>
      <c r="S134" s="4" t="s">
        <v>71</v>
      </c>
      <c r="T134" s="10" t="s">
        <v>77</v>
      </c>
      <c r="U134" s="4" t="s">
        <v>72</v>
      </c>
      <c r="V134" s="4" t="s">
        <v>70</v>
      </c>
      <c r="W134" s="4" t="s">
        <v>70</v>
      </c>
      <c r="X134" s="4" t="s">
        <v>72</v>
      </c>
      <c r="Y134" s="4" t="s">
        <v>73</v>
      </c>
      <c r="Z134" s="4" t="s">
        <v>73</v>
      </c>
      <c r="AA134" s="4" t="s">
        <v>73</v>
      </c>
      <c r="AB134" s="4" t="s">
        <v>70</v>
      </c>
      <c r="AC134" s="4" t="s">
        <v>71</v>
      </c>
      <c r="AD134" s="4" t="s">
        <v>70</v>
      </c>
      <c r="AE134" s="4" t="s">
        <v>71</v>
      </c>
      <c r="AF134" s="4" t="s">
        <v>71</v>
      </c>
      <c r="AG134" s="4" t="s">
        <v>72</v>
      </c>
      <c r="AH134" s="4" t="s">
        <v>70</v>
      </c>
      <c r="AI134" s="4" t="s">
        <v>72</v>
      </c>
      <c r="AJ134" s="4" t="s">
        <v>71</v>
      </c>
      <c r="AK134" s="4" t="s">
        <v>72</v>
      </c>
      <c r="AL134" s="4" t="s">
        <v>73</v>
      </c>
      <c r="AM134" s="4" t="s">
        <v>70</v>
      </c>
      <c r="AN134" s="4" t="s">
        <v>72</v>
      </c>
      <c r="AO134" s="4" t="s">
        <v>73</v>
      </c>
      <c r="AP134" s="4" t="s">
        <v>73</v>
      </c>
      <c r="AQ134" s="4" t="s">
        <v>73</v>
      </c>
      <c r="AR134" s="4" t="s">
        <v>71</v>
      </c>
      <c r="AS134" s="4" t="s">
        <v>73</v>
      </c>
      <c r="AT134" s="4" t="s">
        <v>70</v>
      </c>
      <c r="AU134" s="4" t="s">
        <v>70</v>
      </c>
      <c r="AV134" s="4" t="s">
        <v>73</v>
      </c>
      <c r="AW134" s="4" t="s">
        <v>70</v>
      </c>
      <c r="AX134" s="4" t="s">
        <v>73</v>
      </c>
      <c r="AY134" s="4" t="s">
        <v>72</v>
      </c>
      <c r="AZ134" s="4" t="s">
        <v>71</v>
      </c>
      <c r="BA134" s="4" t="s">
        <v>71</v>
      </c>
      <c r="BB134" s="4" t="s">
        <v>72</v>
      </c>
      <c r="BC134" s="4" t="s">
        <v>70</v>
      </c>
      <c r="BD134" s="4" t="s">
        <v>70</v>
      </c>
      <c r="BE134" s="4" t="s">
        <v>70</v>
      </c>
      <c r="BF134" s="4" t="s">
        <v>72</v>
      </c>
      <c r="BG134" s="4" t="s">
        <v>72</v>
      </c>
      <c r="BH134" s="4" t="s">
        <v>71</v>
      </c>
      <c r="BI134" s="4" t="s">
        <v>70</v>
      </c>
      <c r="BJ134" s="4" t="s">
        <v>73</v>
      </c>
      <c r="BK134" s="4" t="s">
        <v>73</v>
      </c>
      <c r="BL134" s="4" t="s">
        <v>72</v>
      </c>
      <c r="BM134" s="4" t="s">
        <v>71</v>
      </c>
      <c r="BN134" s="4" t="s">
        <v>71</v>
      </c>
      <c r="BO134" s="4" t="s">
        <v>71</v>
      </c>
      <c r="BP134" s="4" t="s">
        <v>73</v>
      </c>
      <c r="BQ134" s="4" t="s">
        <v>70</v>
      </c>
      <c r="BR134" s="4" t="s">
        <v>71</v>
      </c>
      <c r="BS134" s="4" t="s">
        <v>70</v>
      </c>
      <c r="BT134" s="4" t="s">
        <v>70</v>
      </c>
      <c r="BU134" s="4" t="s">
        <v>70</v>
      </c>
      <c r="BV134" s="4" t="s">
        <v>70</v>
      </c>
      <c r="BW134" s="4" t="s">
        <v>71</v>
      </c>
      <c r="BX134" s="4" t="s">
        <v>71</v>
      </c>
    </row>
    <row r="135" spans="1:76">
      <c r="A135" s="4" t="s">
        <v>272</v>
      </c>
      <c r="B135" s="4" t="s">
        <v>285</v>
      </c>
      <c r="C135" s="4" t="s">
        <v>211</v>
      </c>
      <c r="D135" s="4" t="s">
        <v>212</v>
      </c>
      <c r="E135" s="4" t="s">
        <v>70</v>
      </c>
      <c r="F135" s="4" t="s">
        <v>73</v>
      </c>
      <c r="G135" s="4" t="s">
        <v>71</v>
      </c>
      <c r="H135" s="4" t="s">
        <v>71</v>
      </c>
      <c r="I135" s="4" t="s">
        <v>72</v>
      </c>
      <c r="J135" s="4" t="s">
        <v>71</v>
      </c>
      <c r="K135" s="4" t="s">
        <v>70</v>
      </c>
      <c r="L135" s="4" t="s">
        <v>72</v>
      </c>
      <c r="M135" s="4" t="s">
        <v>70</v>
      </c>
      <c r="N135" s="4" t="s">
        <v>70</v>
      </c>
      <c r="O135" s="4" t="s">
        <v>71</v>
      </c>
      <c r="P135" s="4" t="s">
        <v>70</v>
      </c>
      <c r="Q135" s="4" t="s">
        <v>71</v>
      </c>
      <c r="R135" s="4" t="s">
        <v>73</v>
      </c>
      <c r="S135" s="4" t="s">
        <v>73</v>
      </c>
      <c r="T135" s="10" t="s">
        <v>77</v>
      </c>
      <c r="U135" s="4" t="s">
        <v>72</v>
      </c>
      <c r="V135" s="4" t="s">
        <v>70</v>
      </c>
      <c r="W135" s="4" t="s">
        <v>70</v>
      </c>
      <c r="X135" s="4" t="s">
        <v>72</v>
      </c>
      <c r="Y135" s="4" t="s">
        <v>73</v>
      </c>
      <c r="Z135" s="4" t="s">
        <v>70</v>
      </c>
      <c r="AA135" s="4" t="s">
        <v>71</v>
      </c>
      <c r="AB135" s="4" t="s">
        <v>70</v>
      </c>
      <c r="AC135" s="4" t="s">
        <v>71</v>
      </c>
      <c r="AD135" s="4" t="s">
        <v>70</v>
      </c>
      <c r="AE135" s="4" t="s">
        <v>72</v>
      </c>
      <c r="AF135" s="4" t="s">
        <v>71</v>
      </c>
      <c r="AG135" s="4" t="s">
        <v>72</v>
      </c>
      <c r="AH135" s="4" t="s">
        <v>70</v>
      </c>
      <c r="AI135" s="4" t="s">
        <v>73</v>
      </c>
      <c r="AJ135" s="4" t="s">
        <v>71</v>
      </c>
      <c r="AK135" s="4" t="s">
        <v>72</v>
      </c>
      <c r="AL135" s="4" t="s">
        <v>71</v>
      </c>
      <c r="AM135" s="4" t="s">
        <v>71</v>
      </c>
      <c r="AN135" s="4" t="s">
        <v>73</v>
      </c>
      <c r="AO135" s="4" t="s">
        <v>70</v>
      </c>
      <c r="AP135" s="4" t="s">
        <v>73</v>
      </c>
      <c r="AQ135" s="4" t="s">
        <v>72</v>
      </c>
      <c r="AR135" s="4" t="s">
        <v>71</v>
      </c>
      <c r="AS135" s="4" t="s">
        <v>73</v>
      </c>
      <c r="AT135" s="4" t="s">
        <v>70</v>
      </c>
      <c r="AU135" s="4" t="s">
        <v>73</v>
      </c>
      <c r="AV135" s="4" t="s">
        <v>73</v>
      </c>
      <c r="AW135" s="4" t="s">
        <v>70</v>
      </c>
      <c r="AX135" s="4" t="s">
        <v>70</v>
      </c>
      <c r="AY135" s="4" t="s">
        <v>72</v>
      </c>
      <c r="AZ135" s="4" t="s">
        <v>72</v>
      </c>
      <c r="BA135" s="4" t="s">
        <v>70</v>
      </c>
      <c r="BB135" s="4" t="s">
        <v>71</v>
      </c>
      <c r="BC135" s="4" t="s">
        <v>70</v>
      </c>
      <c r="BD135" s="4" t="s">
        <v>72</v>
      </c>
      <c r="BE135" s="4" t="s">
        <v>70</v>
      </c>
      <c r="BF135" s="4" t="s">
        <v>72</v>
      </c>
      <c r="BG135" s="4" t="s">
        <v>72</v>
      </c>
      <c r="BH135" s="4" t="s">
        <v>71</v>
      </c>
      <c r="BI135" s="4" t="s">
        <v>70</v>
      </c>
      <c r="BJ135" s="4" t="s">
        <v>73</v>
      </c>
      <c r="BK135" s="4" t="s">
        <v>73</v>
      </c>
      <c r="BL135" s="4" t="s">
        <v>72</v>
      </c>
      <c r="BM135" s="4" t="s">
        <v>71</v>
      </c>
      <c r="BN135" s="4" t="s">
        <v>73</v>
      </c>
      <c r="BO135" s="4" t="s">
        <v>71</v>
      </c>
      <c r="BP135" s="4" t="s">
        <v>70</v>
      </c>
      <c r="BQ135" s="4" t="s">
        <v>72</v>
      </c>
      <c r="BR135" s="4" t="s">
        <v>71</v>
      </c>
      <c r="BS135" s="4" t="s">
        <v>70</v>
      </c>
      <c r="BT135" s="4" t="s">
        <v>70</v>
      </c>
      <c r="BU135" s="4" t="s">
        <v>70</v>
      </c>
      <c r="BV135" s="4" t="s">
        <v>70</v>
      </c>
      <c r="BW135" s="4" t="s">
        <v>72</v>
      </c>
      <c r="BX135" s="4" t="s">
        <v>71</v>
      </c>
    </row>
    <row r="136" spans="1:76">
      <c r="A136" s="4" t="s">
        <v>272</v>
      </c>
      <c r="B136" s="4" t="s">
        <v>286</v>
      </c>
      <c r="C136" s="4" t="s">
        <v>175</v>
      </c>
      <c r="D136" s="4" t="s">
        <v>100</v>
      </c>
      <c r="E136" s="4" t="s">
        <v>71</v>
      </c>
      <c r="F136" s="4" t="s">
        <v>71</v>
      </c>
      <c r="G136" s="4" t="s">
        <v>72</v>
      </c>
      <c r="H136" s="4" t="s">
        <v>72</v>
      </c>
      <c r="I136" s="4" t="s">
        <v>71</v>
      </c>
      <c r="J136" s="4" t="s">
        <v>70</v>
      </c>
      <c r="K136" s="4" t="s">
        <v>73</v>
      </c>
      <c r="L136" s="4" t="s">
        <v>72</v>
      </c>
      <c r="M136" s="4" t="s">
        <v>73</v>
      </c>
      <c r="N136" s="4" t="s">
        <v>70</v>
      </c>
      <c r="O136" s="4" t="s">
        <v>71</v>
      </c>
      <c r="P136" s="4" t="s">
        <v>72</v>
      </c>
      <c r="Q136" s="4" t="s">
        <v>71</v>
      </c>
      <c r="R136" s="4" t="s">
        <v>73</v>
      </c>
      <c r="S136" s="4" t="s">
        <v>70</v>
      </c>
      <c r="T136" s="4" t="s">
        <v>72</v>
      </c>
      <c r="U136" s="4" t="s">
        <v>72</v>
      </c>
      <c r="V136" s="4" t="s">
        <v>70</v>
      </c>
      <c r="W136" s="4" t="s">
        <v>70</v>
      </c>
      <c r="X136" s="4" t="s">
        <v>72</v>
      </c>
      <c r="Y136" s="4" t="s">
        <v>73</v>
      </c>
      <c r="Z136" s="4" t="s">
        <v>70</v>
      </c>
      <c r="AA136" s="4" t="s">
        <v>73</v>
      </c>
      <c r="AB136" s="4" t="s">
        <v>70</v>
      </c>
      <c r="AC136" s="4" t="s">
        <v>71</v>
      </c>
      <c r="AD136" s="4" t="s">
        <v>70</v>
      </c>
      <c r="AE136" s="4" t="s">
        <v>70</v>
      </c>
      <c r="AF136" s="4" t="s">
        <v>73</v>
      </c>
      <c r="AG136" s="4" t="s">
        <v>70</v>
      </c>
      <c r="AH136" s="4" t="s">
        <v>70</v>
      </c>
      <c r="AI136" s="4" t="s">
        <v>73</v>
      </c>
      <c r="AJ136" s="4" t="s">
        <v>71</v>
      </c>
      <c r="AK136" s="4" t="s">
        <v>72</v>
      </c>
      <c r="AL136" s="4" t="s">
        <v>70</v>
      </c>
      <c r="AM136" s="4" t="s">
        <v>72</v>
      </c>
      <c r="AN136" s="4" t="s">
        <v>73</v>
      </c>
      <c r="AO136" s="4" t="s">
        <v>70</v>
      </c>
      <c r="AP136" s="4" t="s">
        <v>73</v>
      </c>
      <c r="AQ136" s="4" t="s">
        <v>72</v>
      </c>
      <c r="AR136" s="4" t="s">
        <v>71</v>
      </c>
      <c r="AS136" s="4" t="s">
        <v>71</v>
      </c>
      <c r="AT136" s="4" t="s">
        <v>72</v>
      </c>
      <c r="AU136" s="4" t="s">
        <v>72</v>
      </c>
      <c r="AV136" s="4" t="s">
        <v>73</v>
      </c>
      <c r="AW136" s="4" t="s">
        <v>70</v>
      </c>
      <c r="AX136" s="4" t="s">
        <v>70</v>
      </c>
      <c r="AY136" s="4" t="s">
        <v>72</v>
      </c>
      <c r="AZ136" s="4" t="s">
        <v>71</v>
      </c>
      <c r="BA136" s="4" t="s">
        <v>70</v>
      </c>
      <c r="BB136" s="4" t="s">
        <v>71</v>
      </c>
      <c r="BC136" s="4" t="s">
        <v>72</v>
      </c>
      <c r="BD136" s="4" t="s">
        <v>70</v>
      </c>
      <c r="BE136" s="4" t="s">
        <v>70</v>
      </c>
      <c r="BF136" s="4" t="s">
        <v>72</v>
      </c>
      <c r="BG136" s="4" t="s">
        <v>72</v>
      </c>
      <c r="BH136" s="4" t="s">
        <v>71</v>
      </c>
      <c r="BI136" s="4" t="s">
        <v>70</v>
      </c>
      <c r="BJ136" s="4" t="s">
        <v>73</v>
      </c>
      <c r="BK136" s="4" t="s">
        <v>72</v>
      </c>
      <c r="BL136" s="4" t="s">
        <v>72</v>
      </c>
      <c r="BM136" s="4" t="s">
        <v>71</v>
      </c>
      <c r="BN136" s="4" t="s">
        <v>71</v>
      </c>
      <c r="BO136" s="4" t="s">
        <v>70</v>
      </c>
      <c r="BP136" s="4" t="s">
        <v>70</v>
      </c>
      <c r="BQ136" s="4" t="s">
        <v>71</v>
      </c>
      <c r="BR136" s="4" t="s">
        <v>72</v>
      </c>
      <c r="BS136" s="4" t="s">
        <v>71</v>
      </c>
      <c r="BT136" s="4" t="s">
        <v>70</v>
      </c>
      <c r="BU136" s="4" t="s">
        <v>73</v>
      </c>
      <c r="BV136" s="4" t="s">
        <v>73</v>
      </c>
      <c r="BW136" s="4" t="s">
        <v>70</v>
      </c>
      <c r="BX136" s="4" t="s">
        <v>70</v>
      </c>
    </row>
    <row r="137" spans="1:76">
      <c r="A137" s="4" t="s">
        <v>287</v>
      </c>
      <c r="B137" s="4" t="s">
        <v>288</v>
      </c>
      <c r="C137" s="4" t="s">
        <v>103</v>
      </c>
      <c r="D137" s="4" t="s">
        <v>136</v>
      </c>
      <c r="E137" s="4" t="s">
        <v>70</v>
      </c>
      <c r="F137" s="4" t="s">
        <v>70</v>
      </c>
      <c r="G137" s="4" t="s">
        <v>70</v>
      </c>
      <c r="H137" s="4" t="s">
        <v>71</v>
      </c>
      <c r="I137" s="4" t="s">
        <v>71</v>
      </c>
      <c r="J137" s="4" t="s">
        <v>71</v>
      </c>
      <c r="K137" s="4" t="s">
        <v>72</v>
      </c>
      <c r="L137" s="4" t="s">
        <v>72</v>
      </c>
      <c r="M137" s="4" t="s">
        <v>73</v>
      </c>
      <c r="N137" s="4" t="s">
        <v>70</v>
      </c>
      <c r="O137" s="4" t="s">
        <v>71</v>
      </c>
      <c r="P137" s="4" t="s">
        <v>72</v>
      </c>
      <c r="Q137" s="4" t="s">
        <v>71</v>
      </c>
      <c r="R137" s="4" t="s">
        <v>73</v>
      </c>
      <c r="S137" s="4" t="s">
        <v>70</v>
      </c>
      <c r="T137" s="4" t="s">
        <v>71</v>
      </c>
      <c r="U137" s="4" t="s">
        <v>72</v>
      </c>
      <c r="V137" s="4" t="s">
        <v>70</v>
      </c>
      <c r="W137" s="4" t="s">
        <v>70</v>
      </c>
      <c r="X137" s="4" t="s">
        <v>70</v>
      </c>
      <c r="Y137" s="4" t="s">
        <v>73</v>
      </c>
      <c r="Z137" s="4" t="s">
        <v>70</v>
      </c>
      <c r="AA137" s="4" t="s">
        <v>73</v>
      </c>
      <c r="AB137" s="4" t="s">
        <v>70</v>
      </c>
      <c r="AC137" s="4" t="s">
        <v>71</v>
      </c>
      <c r="AD137" s="4" t="s">
        <v>73</v>
      </c>
      <c r="AE137" s="4" t="s">
        <v>71</v>
      </c>
      <c r="AF137" s="4" t="s">
        <v>71</v>
      </c>
      <c r="AG137" s="4" t="s">
        <v>72</v>
      </c>
      <c r="AH137" s="4" t="s">
        <v>70</v>
      </c>
      <c r="AI137" s="4" t="s">
        <v>71</v>
      </c>
      <c r="AJ137" s="4" t="s">
        <v>71</v>
      </c>
      <c r="AK137" s="4" t="s">
        <v>72</v>
      </c>
      <c r="AL137" s="4" t="s">
        <v>72</v>
      </c>
      <c r="AM137" s="4" t="s">
        <v>70</v>
      </c>
      <c r="AN137" s="4" t="s">
        <v>71</v>
      </c>
      <c r="AO137" s="4" t="s">
        <v>73</v>
      </c>
      <c r="AP137" s="4" t="s">
        <v>71</v>
      </c>
      <c r="AQ137" s="4" t="s">
        <v>70</v>
      </c>
      <c r="AR137" s="4" t="s">
        <v>71</v>
      </c>
      <c r="AS137" s="4" t="s">
        <v>73</v>
      </c>
      <c r="AT137" s="4" t="s">
        <v>70</v>
      </c>
      <c r="AU137" s="4" t="s">
        <v>70</v>
      </c>
      <c r="AV137" s="4" t="s">
        <v>70</v>
      </c>
      <c r="AW137" s="4" t="s">
        <v>70</v>
      </c>
      <c r="AX137" s="4" t="s">
        <v>70</v>
      </c>
      <c r="AY137" s="4" t="s">
        <v>72</v>
      </c>
      <c r="AZ137" s="4" t="s">
        <v>71</v>
      </c>
      <c r="BA137" s="4" t="s">
        <v>70</v>
      </c>
      <c r="BB137" s="4" t="s">
        <v>73</v>
      </c>
      <c r="BC137" s="4" t="s">
        <v>71</v>
      </c>
      <c r="BD137" s="4" t="s">
        <v>70</v>
      </c>
      <c r="BE137" s="4" t="s">
        <v>70</v>
      </c>
      <c r="BF137" s="4" t="s">
        <v>72</v>
      </c>
      <c r="BG137" s="4" t="s">
        <v>72</v>
      </c>
      <c r="BH137" s="4" t="s">
        <v>71</v>
      </c>
      <c r="BI137" s="4" t="s">
        <v>70</v>
      </c>
      <c r="BJ137" s="4" t="s">
        <v>73</v>
      </c>
      <c r="BK137" s="4" t="s">
        <v>72</v>
      </c>
      <c r="BL137" s="4" t="s">
        <v>71</v>
      </c>
      <c r="BM137" s="4" t="s">
        <v>71</v>
      </c>
      <c r="BN137" s="4" t="s">
        <v>71</v>
      </c>
      <c r="BO137" s="4" t="s">
        <v>70</v>
      </c>
      <c r="BP137" s="4" t="s">
        <v>72</v>
      </c>
      <c r="BQ137" s="4" t="s">
        <v>72</v>
      </c>
      <c r="BR137" s="4" t="s">
        <v>73</v>
      </c>
      <c r="BS137" s="4" t="s">
        <v>70</v>
      </c>
      <c r="BT137" s="4" t="s">
        <v>70</v>
      </c>
      <c r="BU137" s="4" t="s">
        <v>70</v>
      </c>
      <c r="BV137" s="4" t="s">
        <v>72</v>
      </c>
      <c r="BW137" s="4" t="s">
        <v>71</v>
      </c>
      <c r="BX137" s="4" t="s">
        <v>71</v>
      </c>
    </row>
    <row r="138" spans="1:76">
      <c r="A138" s="4" t="s">
        <v>287</v>
      </c>
      <c r="B138" s="4" t="s">
        <v>289</v>
      </c>
      <c r="C138" s="4" t="s">
        <v>156</v>
      </c>
      <c r="D138" s="4" t="s">
        <v>76</v>
      </c>
      <c r="E138" s="4" t="s">
        <v>70</v>
      </c>
      <c r="F138" s="4" t="s">
        <v>70</v>
      </c>
      <c r="G138" s="4" t="s">
        <v>71</v>
      </c>
      <c r="H138" s="4" t="s">
        <v>71</v>
      </c>
      <c r="I138" s="4" t="s">
        <v>71</v>
      </c>
      <c r="J138" s="4" t="s">
        <v>71</v>
      </c>
      <c r="K138" s="4" t="s">
        <v>73</v>
      </c>
      <c r="L138" s="4" t="s">
        <v>72</v>
      </c>
      <c r="M138" s="4" t="s">
        <v>73</v>
      </c>
      <c r="N138" s="4" t="s">
        <v>70</v>
      </c>
      <c r="O138" s="4" t="s">
        <v>71</v>
      </c>
      <c r="P138" s="4" t="s">
        <v>70</v>
      </c>
      <c r="Q138" s="4" t="s">
        <v>73</v>
      </c>
      <c r="R138" s="4" t="s">
        <v>73</v>
      </c>
      <c r="S138" s="4" t="s">
        <v>70</v>
      </c>
      <c r="T138" s="4" t="s">
        <v>72</v>
      </c>
      <c r="U138" s="4" t="s">
        <v>72</v>
      </c>
      <c r="V138" s="4" t="s">
        <v>70</v>
      </c>
      <c r="W138" s="4" t="s">
        <v>70</v>
      </c>
      <c r="X138" s="4" t="s">
        <v>72</v>
      </c>
      <c r="Y138" s="4" t="s">
        <v>73</v>
      </c>
      <c r="Z138" s="4" t="s">
        <v>72</v>
      </c>
      <c r="AA138" s="4" t="s">
        <v>71</v>
      </c>
      <c r="AB138" s="4" t="s">
        <v>70</v>
      </c>
      <c r="AC138" s="4" t="s">
        <v>71</v>
      </c>
      <c r="AD138" s="4" t="s">
        <v>70</v>
      </c>
      <c r="AE138" s="4" t="s">
        <v>71</v>
      </c>
      <c r="AF138" s="4" t="s">
        <v>71</v>
      </c>
      <c r="AG138" s="4" t="s">
        <v>72</v>
      </c>
      <c r="AH138" s="4" t="s">
        <v>71</v>
      </c>
      <c r="AI138" s="4" t="s">
        <v>71</v>
      </c>
      <c r="AJ138" s="4" t="s">
        <v>71</v>
      </c>
      <c r="AK138" s="4" t="s">
        <v>72</v>
      </c>
      <c r="AL138" s="4" t="s">
        <v>70</v>
      </c>
      <c r="AM138" s="4" t="s">
        <v>72</v>
      </c>
      <c r="AN138" s="4" t="s">
        <v>71</v>
      </c>
      <c r="AO138" s="4" t="s">
        <v>73</v>
      </c>
      <c r="AP138" s="4" t="s">
        <v>71</v>
      </c>
      <c r="AQ138" s="4" t="s">
        <v>70</v>
      </c>
      <c r="AR138" s="4" t="s">
        <v>70</v>
      </c>
      <c r="AS138" s="4" t="s">
        <v>73</v>
      </c>
      <c r="AT138" s="4" t="s">
        <v>70</v>
      </c>
      <c r="AU138" s="4" t="s">
        <v>70</v>
      </c>
      <c r="AV138" s="4" t="s">
        <v>73</v>
      </c>
      <c r="AW138" s="4" t="s">
        <v>70</v>
      </c>
      <c r="AX138" s="4" t="s">
        <v>73</v>
      </c>
      <c r="AY138" s="4" t="s">
        <v>72</v>
      </c>
      <c r="AZ138" s="4" t="s">
        <v>71</v>
      </c>
      <c r="BA138" s="4" t="s">
        <v>73</v>
      </c>
      <c r="BB138" s="4" t="s">
        <v>71</v>
      </c>
      <c r="BC138" s="4" t="s">
        <v>70</v>
      </c>
      <c r="BD138" s="4" t="s">
        <v>70</v>
      </c>
      <c r="BE138" s="4" t="s">
        <v>70</v>
      </c>
      <c r="BF138" s="4" t="s">
        <v>72</v>
      </c>
      <c r="BG138" s="4" t="s">
        <v>72</v>
      </c>
      <c r="BH138" s="4" t="s">
        <v>71</v>
      </c>
      <c r="BI138" s="4" t="s">
        <v>70</v>
      </c>
      <c r="BJ138" s="4" t="s">
        <v>73</v>
      </c>
      <c r="BK138" s="4" t="s">
        <v>70</v>
      </c>
      <c r="BL138" s="4" t="s">
        <v>72</v>
      </c>
      <c r="BM138" s="4" t="s">
        <v>71</v>
      </c>
      <c r="BN138" s="4" t="s">
        <v>71</v>
      </c>
      <c r="BO138" s="4" t="s">
        <v>71</v>
      </c>
      <c r="BP138" s="4" t="s">
        <v>70</v>
      </c>
      <c r="BQ138" s="4" t="s">
        <v>72</v>
      </c>
      <c r="BR138" s="4" t="s">
        <v>72</v>
      </c>
      <c r="BS138" s="4" t="s">
        <v>70</v>
      </c>
      <c r="BT138" s="4" t="s">
        <v>70</v>
      </c>
      <c r="BU138" s="4" t="s">
        <v>70</v>
      </c>
      <c r="BV138" s="4" t="s">
        <v>70</v>
      </c>
      <c r="BW138" s="4" t="s">
        <v>72</v>
      </c>
      <c r="BX138" s="4" t="s">
        <v>71</v>
      </c>
    </row>
    <row r="139" spans="1:76">
      <c r="A139" s="4" t="s">
        <v>287</v>
      </c>
      <c r="B139" s="4" t="s">
        <v>290</v>
      </c>
      <c r="C139" s="4" t="s">
        <v>158</v>
      </c>
      <c r="D139" s="4" t="s">
        <v>159</v>
      </c>
      <c r="E139" s="4" t="s">
        <v>70</v>
      </c>
      <c r="F139" s="4" t="s">
        <v>70</v>
      </c>
      <c r="G139" s="4" t="s">
        <v>71</v>
      </c>
      <c r="H139" s="4" t="s">
        <v>71</v>
      </c>
      <c r="I139" s="4" t="s">
        <v>72</v>
      </c>
      <c r="J139" s="4" t="s">
        <v>70</v>
      </c>
      <c r="K139" s="4" t="s">
        <v>72</v>
      </c>
      <c r="L139" s="4" t="s">
        <v>72</v>
      </c>
      <c r="M139" s="4" t="s">
        <v>70</v>
      </c>
      <c r="N139" s="4" t="s">
        <v>70</v>
      </c>
      <c r="O139" s="4" t="s">
        <v>72</v>
      </c>
      <c r="P139" s="4" t="s">
        <v>70</v>
      </c>
      <c r="Q139" s="4" t="s">
        <v>73</v>
      </c>
      <c r="R139" s="4" t="s">
        <v>73</v>
      </c>
      <c r="S139" s="4" t="s">
        <v>70</v>
      </c>
      <c r="T139" s="10" t="s">
        <v>77</v>
      </c>
      <c r="U139" s="4" t="s">
        <v>71</v>
      </c>
      <c r="V139" s="4" t="s">
        <v>70</v>
      </c>
      <c r="W139" s="4" t="s">
        <v>70</v>
      </c>
      <c r="X139" s="4" t="s">
        <v>72</v>
      </c>
      <c r="Y139" s="4" t="s">
        <v>73</v>
      </c>
      <c r="Z139" s="4" t="s">
        <v>73</v>
      </c>
      <c r="AA139" s="4" t="s">
        <v>71</v>
      </c>
      <c r="AB139" s="4" t="s">
        <v>73</v>
      </c>
      <c r="AC139" s="4" t="s">
        <v>71</v>
      </c>
      <c r="AD139" s="4" t="s">
        <v>73</v>
      </c>
      <c r="AE139" s="4" t="s">
        <v>71</v>
      </c>
      <c r="AF139" s="4" t="s">
        <v>73</v>
      </c>
      <c r="AG139" s="4" t="s">
        <v>71</v>
      </c>
      <c r="AH139" s="4" t="s">
        <v>70</v>
      </c>
      <c r="AI139" s="4" t="s">
        <v>70</v>
      </c>
      <c r="AJ139" s="4" t="s">
        <v>72</v>
      </c>
      <c r="AK139" s="4" t="s">
        <v>72</v>
      </c>
      <c r="AL139" s="4" t="s">
        <v>72</v>
      </c>
      <c r="AM139" s="4" t="s">
        <v>72</v>
      </c>
      <c r="AN139" s="4" t="s">
        <v>71</v>
      </c>
      <c r="AO139" s="4" t="s">
        <v>73</v>
      </c>
      <c r="AP139" s="4" t="s">
        <v>72</v>
      </c>
      <c r="AQ139" s="4" t="s">
        <v>71</v>
      </c>
      <c r="AR139" s="4" t="s">
        <v>71</v>
      </c>
      <c r="AS139" s="4" t="s">
        <v>70</v>
      </c>
      <c r="AT139" s="4" t="s">
        <v>72</v>
      </c>
      <c r="AU139" s="4" t="s">
        <v>70</v>
      </c>
      <c r="AV139" s="4" t="s">
        <v>70</v>
      </c>
      <c r="AW139" s="4" t="s">
        <v>73</v>
      </c>
      <c r="AX139" s="4" t="s">
        <v>71</v>
      </c>
      <c r="AY139" s="4" t="s">
        <v>73</v>
      </c>
      <c r="AZ139" s="4" t="s">
        <v>71</v>
      </c>
      <c r="BA139" s="4" t="s">
        <v>73</v>
      </c>
      <c r="BB139" s="4" t="s">
        <v>71</v>
      </c>
      <c r="BC139" s="4" t="s">
        <v>70</v>
      </c>
      <c r="BD139" s="4" t="s">
        <v>70</v>
      </c>
      <c r="BE139" s="4" t="s">
        <v>70</v>
      </c>
      <c r="BF139" s="4" t="s">
        <v>72</v>
      </c>
      <c r="BG139" s="4" t="s">
        <v>72</v>
      </c>
      <c r="BH139" s="4" t="s">
        <v>71</v>
      </c>
      <c r="BI139" s="4" t="s">
        <v>70</v>
      </c>
      <c r="BJ139" s="4" t="s">
        <v>73</v>
      </c>
      <c r="BK139" s="4" t="s">
        <v>73</v>
      </c>
      <c r="BL139" s="4" t="s">
        <v>71</v>
      </c>
      <c r="BM139" s="4" t="s">
        <v>71</v>
      </c>
      <c r="BN139" s="4" t="s">
        <v>71</v>
      </c>
      <c r="BO139" s="4" t="s">
        <v>71</v>
      </c>
      <c r="BP139" s="4" t="s">
        <v>70</v>
      </c>
      <c r="BQ139" s="4" t="s">
        <v>72</v>
      </c>
      <c r="BR139" s="4" t="s">
        <v>73</v>
      </c>
      <c r="BS139" s="4" t="s">
        <v>71</v>
      </c>
      <c r="BT139" s="4" t="s">
        <v>73</v>
      </c>
      <c r="BU139" s="4" t="s">
        <v>70</v>
      </c>
      <c r="BV139" s="4" t="s">
        <v>70</v>
      </c>
      <c r="BW139" s="4" t="s">
        <v>71</v>
      </c>
      <c r="BX139" s="4" t="s">
        <v>72</v>
      </c>
    </row>
    <row r="140" spans="1:76">
      <c r="A140" s="4" t="s">
        <v>287</v>
      </c>
      <c r="B140" s="4" t="s">
        <v>291</v>
      </c>
      <c r="C140" s="4" t="s">
        <v>141</v>
      </c>
      <c r="D140" s="4" t="s">
        <v>142</v>
      </c>
      <c r="E140" s="4" t="s">
        <v>70</v>
      </c>
      <c r="F140" s="4" t="s">
        <v>70</v>
      </c>
      <c r="G140" s="4" t="s">
        <v>72</v>
      </c>
      <c r="H140" s="4" t="s">
        <v>71</v>
      </c>
      <c r="I140" s="4" t="s">
        <v>70</v>
      </c>
      <c r="J140" s="4" t="s">
        <v>72</v>
      </c>
      <c r="K140" s="4" t="s">
        <v>70</v>
      </c>
      <c r="L140" s="4" t="s">
        <v>72</v>
      </c>
      <c r="M140" s="4" t="s">
        <v>73</v>
      </c>
      <c r="N140" s="4" t="s">
        <v>70</v>
      </c>
      <c r="O140" s="4" t="s">
        <v>71</v>
      </c>
      <c r="P140" s="4" t="s">
        <v>72</v>
      </c>
      <c r="Q140" s="4" t="s">
        <v>71</v>
      </c>
      <c r="R140" s="4" t="s">
        <v>73</v>
      </c>
      <c r="S140" s="4" t="s">
        <v>70</v>
      </c>
      <c r="T140" s="4" t="s">
        <v>72</v>
      </c>
      <c r="U140" s="4" t="s">
        <v>71</v>
      </c>
      <c r="V140" s="4" t="s">
        <v>70</v>
      </c>
      <c r="W140" s="4" t="s">
        <v>70</v>
      </c>
      <c r="X140" s="4" t="s">
        <v>72</v>
      </c>
      <c r="Y140" s="4" t="s">
        <v>73</v>
      </c>
      <c r="Z140" s="4" t="s">
        <v>70</v>
      </c>
      <c r="AA140" s="4" t="s">
        <v>73</v>
      </c>
      <c r="AB140" s="4" t="s">
        <v>70</v>
      </c>
      <c r="AC140" s="4" t="s">
        <v>71</v>
      </c>
      <c r="AD140" s="4" t="s">
        <v>73</v>
      </c>
      <c r="AE140" s="4" t="s">
        <v>70</v>
      </c>
      <c r="AF140" s="4" t="s">
        <v>71</v>
      </c>
      <c r="AG140" s="4" t="s">
        <v>73</v>
      </c>
      <c r="AH140" s="4" t="s">
        <v>70</v>
      </c>
      <c r="AI140" s="4" t="s">
        <v>73</v>
      </c>
      <c r="AJ140" s="4" t="s">
        <v>71</v>
      </c>
      <c r="AK140" s="4" t="s">
        <v>72</v>
      </c>
      <c r="AL140" s="4" t="s">
        <v>70</v>
      </c>
      <c r="AM140" s="4" t="s">
        <v>73</v>
      </c>
      <c r="AN140" s="4" t="s">
        <v>73</v>
      </c>
      <c r="AO140" s="4" t="s">
        <v>70</v>
      </c>
      <c r="AP140" s="4" t="s">
        <v>71</v>
      </c>
      <c r="AQ140" s="4" t="s">
        <v>72</v>
      </c>
      <c r="AR140" s="4" t="s">
        <v>71</v>
      </c>
      <c r="AS140" s="4" t="s">
        <v>72</v>
      </c>
      <c r="AT140" s="4" t="s">
        <v>70</v>
      </c>
      <c r="AU140" s="4" t="s">
        <v>71</v>
      </c>
      <c r="AV140" s="4" t="s">
        <v>70</v>
      </c>
      <c r="AW140" s="4" t="s">
        <v>72</v>
      </c>
      <c r="AX140" s="4" t="s">
        <v>70</v>
      </c>
      <c r="AY140" s="4" t="s">
        <v>72</v>
      </c>
      <c r="AZ140" s="4" t="s">
        <v>71</v>
      </c>
      <c r="BA140" s="4" t="s">
        <v>70</v>
      </c>
      <c r="BB140" s="4" t="s">
        <v>70</v>
      </c>
      <c r="BC140" s="4" t="s">
        <v>71</v>
      </c>
      <c r="BD140" s="4" t="s">
        <v>70</v>
      </c>
      <c r="BE140" s="4" t="s">
        <v>70</v>
      </c>
      <c r="BF140" s="4" t="s">
        <v>72</v>
      </c>
      <c r="BG140" s="4" t="s">
        <v>72</v>
      </c>
      <c r="BH140" s="4" t="s">
        <v>71</v>
      </c>
      <c r="BI140" s="4" t="s">
        <v>73</v>
      </c>
      <c r="BJ140" s="4" t="s">
        <v>73</v>
      </c>
      <c r="BK140" s="4" t="s">
        <v>72</v>
      </c>
      <c r="BL140" s="4" t="s">
        <v>72</v>
      </c>
      <c r="BM140" s="4" t="s">
        <v>71</v>
      </c>
      <c r="BN140" s="4" t="s">
        <v>71</v>
      </c>
      <c r="BO140" s="4" t="s">
        <v>70</v>
      </c>
      <c r="BP140" s="4" t="s">
        <v>72</v>
      </c>
      <c r="BQ140" s="4" t="s">
        <v>71</v>
      </c>
      <c r="BR140" s="4" t="s">
        <v>71</v>
      </c>
      <c r="BS140" s="4" t="s">
        <v>73</v>
      </c>
      <c r="BT140" s="4" t="s">
        <v>71</v>
      </c>
      <c r="BU140" s="4" t="s">
        <v>70</v>
      </c>
      <c r="BV140" s="4" t="s">
        <v>73</v>
      </c>
      <c r="BW140" s="4" t="s">
        <v>71</v>
      </c>
      <c r="BX140" s="4" t="s">
        <v>71</v>
      </c>
    </row>
    <row r="141" spans="1:76">
      <c r="A141" s="4" t="s">
        <v>287</v>
      </c>
      <c r="B141" s="4" t="s">
        <v>292</v>
      </c>
      <c r="C141" s="4" t="s">
        <v>112</v>
      </c>
      <c r="D141" s="4" t="s">
        <v>194</v>
      </c>
      <c r="E141" s="4" t="s">
        <v>70</v>
      </c>
      <c r="F141" s="4" t="s">
        <v>71</v>
      </c>
      <c r="G141" s="4" t="s">
        <v>73</v>
      </c>
      <c r="H141" s="4" t="s">
        <v>70</v>
      </c>
      <c r="I141" s="4" t="s">
        <v>70</v>
      </c>
      <c r="J141" s="4" t="s">
        <v>72</v>
      </c>
      <c r="K141" s="4" t="s">
        <v>70</v>
      </c>
      <c r="L141" s="4" t="s">
        <v>72</v>
      </c>
      <c r="M141" s="4" t="s">
        <v>73</v>
      </c>
      <c r="N141" s="4" t="s">
        <v>70</v>
      </c>
      <c r="O141" s="4" t="s">
        <v>72</v>
      </c>
      <c r="P141" s="4" t="s">
        <v>72</v>
      </c>
      <c r="Q141" s="4" t="s">
        <v>72</v>
      </c>
      <c r="R141" s="4" t="s">
        <v>73</v>
      </c>
      <c r="S141" s="4" t="s">
        <v>73</v>
      </c>
      <c r="T141" s="10" t="s">
        <v>77</v>
      </c>
      <c r="U141" s="4" t="s">
        <v>72</v>
      </c>
      <c r="V141" s="4" t="s">
        <v>70</v>
      </c>
      <c r="W141" s="4" t="s">
        <v>70</v>
      </c>
      <c r="X141" s="4" t="s">
        <v>72</v>
      </c>
      <c r="Y141" s="4" t="s">
        <v>73</v>
      </c>
      <c r="Z141" s="4" t="s">
        <v>70</v>
      </c>
      <c r="AA141" s="4" t="s">
        <v>73</v>
      </c>
      <c r="AB141" s="4" t="s">
        <v>73</v>
      </c>
      <c r="AC141" s="4" t="s">
        <v>71</v>
      </c>
      <c r="AD141" s="4" t="s">
        <v>72</v>
      </c>
      <c r="AE141" s="4" t="s">
        <v>72</v>
      </c>
      <c r="AF141" s="4" t="s">
        <v>71</v>
      </c>
      <c r="AG141" s="4" t="s">
        <v>73</v>
      </c>
      <c r="AH141" s="4" t="s">
        <v>70</v>
      </c>
      <c r="AI141" s="4" t="s">
        <v>71</v>
      </c>
      <c r="AJ141" s="4" t="s">
        <v>71</v>
      </c>
      <c r="AK141" s="4" t="s">
        <v>72</v>
      </c>
      <c r="AL141" s="4" t="s">
        <v>72</v>
      </c>
      <c r="AM141" s="4" t="s">
        <v>71</v>
      </c>
      <c r="AN141" s="4" t="s">
        <v>71</v>
      </c>
      <c r="AO141" s="4" t="s">
        <v>73</v>
      </c>
      <c r="AP141" s="4" t="s">
        <v>73</v>
      </c>
      <c r="AQ141" s="4" t="s">
        <v>70</v>
      </c>
      <c r="AR141" s="4" t="s">
        <v>71</v>
      </c>
      <c r="AS141" s="4" t="s">
        <v>72</v>
      </c>
      <c r="AT141" s="4" t="s">
        <v>70</v>
      </c>
      <c r="AU141" s="4" t="s">
        <v>73</v>
      </c>
      <c r="AV141" s="4" t="s">
        <v>72</v>
      </c>
      <c r="AW141" s="4" t="s">
        <v>72</v>
      </c>
      <c r="AX141" s="10" t="s">
        <v>77</v>
      </c>
      <c r="AY141" s="4" t="s">
        <v>70</v>
      </c>
      <c r="AZ141" s="4" t="s">
        <v>72</v>
      </c>
      <c r="BA141" s="4" t="s">
        <v>70</v>
      </c>
      <c r="BB141" s="4" t="s">
        <v>73</v>
      </c>
      <c r="BC141" s="4" t="s">
        <v>70</v>
      </c>
      <c r="BD141" s="4" t="s">
        <v>70</v>
      </c>
      <c r="BE141" s="4" t="s">
        <v>70</v>
      </c>
      <c r="BF141" s="4" t="s">
        <v>72</v>
      </c>
      <c r="BG141" s="4" t="s">
        <v>72</v>
      </c>
      <c r="BH141" s="4" t="s">
        <v>71</v>
      </c>
      <c r="BI141" s="4" t="s">
        <v>70</v>
      </c>
      <c r="BJ141" s="4" t="s">
        <v>73</v>
      </c>
      <c r="BK141" s="4" t="s">
        <v>72</v>
      </c>
      <c r="BL141" s="4" t="s">
        <v>72</v>
      </c>
      <c r="BM141" s="4" t="s">
        <v>71</v>
      </c>
      <c r="BN141" s="4" t="s">
        <v>71</v>
      </c>
      <c r="BO141" s="4" t="s">
        <v>71</v>
      </c>
      <c r="BP141" s="4" t="s">
        <v>72</v>
      </c>
      <c r="BQ141" s="4" t="s">
        <v>72</v>
      </c>
      <c r="BR141" s="4" t="s">
        <v>71</v>
      </c>
      <c r="BS141" s="4" t="s">
        <v>73</v>
      </c>
      <c r="BT141" s="4" t="s">
        <v>71</v>
      </c>
      <c r="BU141" s="4" t="s">
        <v>71</v>
      </c>
      <c r="BV141" s="4" t="s">
        <v>72</v>
      </c>
      <c r="BW141" s="4" t="s">
        <v>70</v>
      </c>
      <c r="BX141" s="4" t="s">
        <v>71</v>
      </c>
    </row>
    <row r="142" spans="1:76">
      <c r="A142" s="4" t="s">
        <v>287</v>
      </c>
      <c r="B142" s="4" t="s">
        <v>293</v>
      </c>
      <c r="C142" s="4" t="s">
        <v>161</v>
      </c>
      <c r="D142" s="4" t="s">
        <v>162</v>
      </c>
      <c r="E142" s="4" t="s">
        <v>70</v>
      </c>
      <c r="F142" s="4" t="s">
        <v>71</v>
      </c>
      <c r="G142" s="4" t="s">
        <v>70</v>
      </c>
      <c r="H142" s="4" t="s">
        <v>72</v>
      </c>
      <c r="I142" s="4" t="s">
        <v>73</v>
      </c>
      <c r="J142" s="4" t="s">
        <v>70</v>
      </c>
      <c r="K142" s="4" t="s">
        <v>70</v>
      </c>
      <c r="L142" s="4" t="s">
        <v>72</v>
      </c>
      <c r="M142" s="4" t="s">
        <v>70</v>
      </c>
      <c r="N142" s="4" t="s">
        <v>70</v>
      </c>
      <c r="O142" s="4" t="s">
        <v>72</v>
      </c>
      <c r="P142" s="4" t="s">
        <v>70</v>
      </c>
      <c r="Q142" s="4" t="s">
        <v>73</v>
      </c>
      <c r="R142" s="4" t="s">
        <v>73</v>
      </c>
      <c r="S142" s="4" t="s">
        <v>70</v>
      </c>
      <c r="T142" s="10" t="s">
        <v>77</v>
      </c>
      <c r="U142" s="4" t="s">
        <v>72</v>
      </c>
      <c r="V142" s="4" t="s">
        <v>70</v>
      </c>
      <c r="W142" s="4" t="s">
        <v>70</v>
      </c>
      <c r="X142" s="4" t="s">
        <v>72</v>
      </c>
      <c r="Y142" s="4" t="s">
        <v>73</v>
      </c>
      <c r="Z142" s="4" t="s">
        <v>73</v>
      </c>
      <c r="AA142" s="4" t="s">
        <v>71</v>
      </c>
      <c r="AB142" s="4" t="s">
        <v>73</v>
      </c>
      <c r="AC142" s="4" t="s">
        <v>71</v>
      </c>
      <c r="AD142" s="4" t="s">
        <v>73</v>
      </c>
      <c r="AE142" s="4" t="s">
        <v>72</v>
      </c>
      <c r="AF142" s="4" t="s">
        <v>71</v>
      </c>
      <c r="AG142" s="4" t="s">
        <v>73</v>
      </c>
      <c r="AH142" s="4" t="s">
        <v>70</v>
      </c>
      <c r="AI142" s="4" t="s">
        <v>70</v>
      </c>
      <c r="AJ142" s="4" t="s">
        <v>72</v>
      </c>
      <c r="AK142" s="4" t="s">
        <v>72</v>
      </c>
      <c r="AL142" s="4" t="s">
        <v>70</v>
      </c>
      <c r="AM142" s="4" t="s">
        <v>72</v>
      </c>
      <c r="AN142" s="4" t="s">
        <v>70</v>
      </c>
      <c r="AO142" s="4" t="s">
        <v>70</v>
      </c>
      <c r="AP142" s="4" t="s">
        <v>71</v>
      </c>
      <c r="AQ142" s="4" t="s">
        <v>72</v>
      </c>
      <c r="AR142" s="4" t="s">
        <v>71</v>
      </c>
      <c r="AS142" s="4" t="s">
        <v>72</v>
      </c>
      <c r="AT142" s="4" t="s">
        <v>70</v>
      </c>
      <c r="AU142" s="4" t="s">
        <v>73</v>
      </c>
      <c r="AV142" s="4" t="s">
        <v>71</v>
      </c>
      <c r="AW142" s="4" t="s">
        <v>73</v>
      </c>
      <c r="AX142" s="4" t="s">
        <v>72</v>
      </c>
      <c r="AY142" s="4" t="s">
        <v>73</v>
      </c>
      <c r="AZ142" s="4" t="s">
        <v>71</v>
      </c>
      <c r="BA142" s="4" t="s">
        <v>70</v>
      </c>
      <c r="BB142" s="4" t="s">
        <v>71</v>
      </c>
      <c r="BC142" s="4" t="s">
        <v>70</v>
      </c>
      <c r="BD142" s="4" t="s">
        <v>70</v>
      </c>
      <c r="BE142" s="4" t="s">
        <v>70</v>
      </c>
      <c r="BF142" s="4" t="s">
        <v>72</v>
      </c>
      <c r="BG142" s="4" t="s">
        <v>72</v>
      </c>
      <c r="BH142" s="4" t="s">
        <v>71</v>
      </c>
      <c r="BI142" s="4" t="s">
        <v>70</v>
      </c>
      <c r="BJ142" s="4" t="s">
        <v>73</v>
      </c>
      <c r="BK142" s="4" t="s">
        <v>72</v>
      </c>
      <c r="BL142" s="4" t="s">
        <v>71</v>
      </c>
      <c r="BM142" s="4" t="s">
        <v>71</v>
      </c>
      <c r="BN142" s="4" t="s">
        <v>71</v>
      </c>
      <c r="BO142" s="4" t="s">
        <v>71</v>
      </c>
      <c r="BP142" s="4" t="s">
        <v>70</v>
      </c>
      <c r="BQ142" s="4" t="s">
        <v>72</v>
      </c>
      <c r="BR142" s="4" t="s">
        <v>72</v>
      </c>
      <c r="BS142" s="4" t="s">
        <v>71</v>
      </c>
      <c r="BT142" s="4" t="s">
        <v>72</v>
      </c>
      <c r="BU142" s="4" t="s">
        <v>73</v>
      </c>
      <c r="BV142" s="4" t="s">
        <v>71</v>
      </c>
      <c r="BW142" s="4" t="s">
        <v>70</v>
      </c>
      <c r="BX142" s="4" t="s">
        <v>71</v>
      </c>
    </row>
    <row r="143" spans="1:76">
      <c r="A143" s="4" t="s">
        <v>287</v>
      </c>
      <c r="B143" s="4" t="s">
        <v>294</v>
      </c>
      <c r="C143" s="4" t="s">
        <v>117</v>
      </c>
      <c r="D143" s="4" t="s">
        <v>88</v>
      </c>
      <c r="E143" s="4" t="s">
        <v>70</v>
      </c>
      <c r="F143" s="4" t="s">
        <v>70</v>
      </c>
      <c r="G143" s="4" t="s">
        <v>73</v>
      </c>
      <c r="H143" s="4" t="s">
        <v>71</v>
      </c>
      <c r="I143" s="4" t="s">
        <v>71</v>
      </c>
      <c r="J143" s="4" t="s">
        <v>72</v>
      </c>
      <c r="K143" s="4" t="s">
        <v>72</v>
      </c>
      <c r="L143" s="4" t="s">
        <v>72</v>
      </c>
      <c r="M143" s="4" t="s">
        <v>73</v>
      </c>
      <c r="N143" s="4" t="s">
        <v>70</v>
      </c>
      <c r="O143" s="4" t="s">
        <v>71</v>
      </c>
      <c r="P143" s="4" t="s">
        <v>72</v>
      </c>
      <c r="Q143" s="4" t="s">
        <v>71</v>
      </c>
      <c r="R143" s="4" t="s">
        <v>73</v>
      </c>
      <c r="S143" s="4" t="s">
        <v>70</v>
      </c>
      <c r="T143" s="4" t="s">
        <v>72</v>
      </c>
      <c r="U143" s="4" t="s">
        <v>72</v>
      </c>
      <c r="V143" s="4" t="s">
        <v>70</v>
      </c>
      <c r="W143" s="4" t="s">
        <v>70</v>
      </c>
      <c r="X143" s="4" t="s">
        <v>72</v>
      </c>
      <c r="Y143" s="4" t="s">
        <v>73</v>
      </c>
      <c r="Z143" s="4" t="s">
        <v>70</v>
      </c>
      <c r="AA143" s="4" t="s">
        <v>73</v>
      </c>
      <c r="AB143" s="4" t="s">
        <v>70</v>
      </c>
      <c r="AC143" s="4" t="s">
        <v>71</v>
      </c>
      <c r="AD143" s="4" t="s">
        <v>73</v>
      </c>
      <c r="AE143" s="4" t="s">
        <v>72</v>
      </c>
      <c r="AF143" s="4" t="s">
        <v>71</v>
      </c>
      <c r="AG143" s="4" t="s">
        <v>71</v>
      </c>
      <c r="AH143" s="4" t="s">
        <v>70</v>
      </c>
      <c r="AI143" s="4" t="s">
        <v>70</v>
      </c>
      <c r="AJ143" s="4" t="s">
        <v>71</v>
      </c>
      <c r="AK143" s="4" t="s">
        <v>72</v>
      </c>
      <c r="AL143" s="4" t="s">
        <v>71</v>
      </c>
      <c r="AM143" s="4" t="s">
        <v>73</v>
      </c>
      <c r="AN143" s="4" t="s">
        <v>72</v>
      </c>
      <c r="AO143" s="4" t="s">
        <v>73</v>
      </c>
      <c r="AP143" s="4" t="s">
        <v>73</v>
      </c>
      <c r="AQ143" s="4" t="s">
        <v>71</v>
      </c>
      <c r="AR143" s="4" t="s">
        <v>71</v>
      </c>
      <c r="AS143" s="4" t="s">
        <v>70</v>
      </c>
      <c r="AT143" s="4" t="s">
        <v>70</v>
      </c>
      <c r="AU143" s="4" t="s">
        <v>73</v>
      </c>
      <c r="AV143" s="4" t="s">
        <v>71</v>
      </c>
      <c r="AW143" s="4" t="s">
        <v>70</v>
      </c>
      <c r="AX143" s="4" t="s">
        <v>70</v>
      </c>
      <c r="AY143" s="4" t="s">
        <v>72</v>
      </c>
      <c r="AZ143" s="4" t="s">
        <v>71</v>
      </c>
      <c r="BA143" s="4" t="s">
        <v>73</v>
      </c>
      <c r="BB143" s="4" t="s">
        <v>72</v>
      </c>
      <c r="BC143" s="4" t="s">
        <v>72</v>
      </c>
      <c r="BD143" s="4" t="s">
        <v>70</v>
      </c>
      <c r="BE143" s="4" t="s">
        <v>70</v>
      </c>
      <c r="BF143" s="4" t="s">
        <v>72</v>
      </c>
      <c r="BG143" s="4" t="s">
        <v>72</v>
      </c>
      <c r="BH143" s="4" t="s">
        <v>71</v>
      </c>
      <c r="BI143" s="4" t="s">
        <v>73</v>
      </c>
      <c r="BJ143" s="4" t="s">
        <v>73</v>
      </c>
      <c r="BK143" s="4" t="s">
        <v>70</v>
      </c>
      <c r="BL143" s="4" t="s">
        <v>72</v>
      </c>
      <c r="BM143" s="4" t="s">
        <v>71</v>
      </c>
      <c r="BN143" s="4" t="s">
        <v>71</v>
      </c>
      <c r="BO143" s="4" t="s">
        <v>73</v>
      </c>
      <c r="BP143" s="4" t="s">
        <v>73</v>
      </c>
      <c r="BQ143" s="4" t="s">
        <v>72</v>
      </c>
      <c r="BR143" s="4" t="s">
        <v>73</v>
      </c>
      <c r="BS143" s="4" t="s">
        <v>73</v>
      </c>
      <c r="BT143" s="4" t="s">
        <v>70</v>
      </c>
      <c r="BU143" s="4" t="s">
        <v>70</v>
      </c>
      <c r="BV143" s="4" t="s">
        <v>72</v>
      </c>
      <c r="BW143" s="4" t="s">
        <v>71</v>
      </c>
      <c r="BX143" s="4" t="s">
        <v>71</v>
      </c>
    </row>
    <row r="144" spans="1:76">
      <c r="A144" s="4" t="s">
        <v>287</v>
      </c>
      <c r="B144" s="4" t="s">
        <v>295</v>
      </c>
      <c r="C144" s="4" t="s">
        <v>117</v>
      </c>
      <c r="D144" s="4" t="s">
        <v>88</v>
      </c>
      <c r="E144" s="4" t="s">
        <v>71</v>
      </c>
      <c r="F144" s="4" t="s">
        <v>70</v>
      </c>
      <c r="G144" s="4" t="s">
        <v>70</v>
      </c>
      <c r="H144" s="4" t="s">
        <v>73</v>
      </c>
      <c r="I144" s="4" t="s">
        <v>73</v>
      </c>
      <c r="J144" s="4" t="s">
        <v>72</v>
      </c>
      <c r="K144" s="4" t="s">
        <v>73</v>
      </c>
      <c r="L144" s="4" t="s">
        <v>72</v>
      </c>
      <c r="M144" s="4" t="s">
        <v>73</v>
      </c>
      <c r="N144" s="4" t="s">
        <v>70</v>
      </c>
      <c r="O144" s="4" t="s">
        <v>71</v>
      </c>
      <c r="P144" s="4" t="s">
        <v>72</v>
      </c>
      <c r="Q144" s="4" t="s">
        <v>71</v>
      </c>
      <c r="R144" s="4" t="s">
        <v>73</v>
      </c>
      <c r="S144" s="4" t="s">
        <v>70</v>
      </c>
      <c r="T144" s="4" t="s">
        <v>71</v>
      </c>
      <c r="U144" s="4" t="s">
        <v>72</v>
      </c>
      <c r="V144" s="4" t="s">
        <v>70</v>
      </c>
      <c r="W144" s="4" t="s">
        <v>70</v>
      </c>
      <c r="X144" s="4" t="s">
        <v>72</v>
      </c>
      <c r="Y144" s="4" t="s">
        <v>73</v>
      </c>
      <c r="Z144" s="4" t="s">
        <v>70</v>
      </c>
      <c r="AA144" s="4" t="s">
        <v>73</v>
      </c>
      <c r="AB144" s="4" t="s">
        <v>70</v>
      </c>
      <c r="AC144" s="4" t="s">
        <v>71</v>
      </c>
      <c r="AD144" s="4" t="s">
        <v>73</v>
      </c>
      <c r="AE144" s="4" t="s">
        <v>72</v>
      </c>
      <c r="AF144" s="4" t="s">
        <v>72</v>
      </c>
      <c r="AG144" s="4" t="s">
        <v>71</v>
      </c>
      <c r="AH144" s="4" t="s">
        <v>71</v>
      </c>
      <c r="AI144" s="4" t="s">
        <v>70</v>
      </c>
      <c r="AJ144" s="4" t="s">
        <v>71</v>
      </c>
      <c r="AK144" s="4" t="s">
        <v>72</v>
      </c>
      <c r="AL144" s="4" t="s">
        <v>70</v>
      </c>
      <c r="AM144" s="4" t="s">
        <v>73</v>
      </c>
      <c r="AN144" s="4" t="s">
        <v>72</v>
      </c>
      <c r="AO144" s="4" t="s">
        <v>73</v>
      </c>
      <c r="AP144" s="4" t="s">
        <v>73</v>
      </c>
      <c r="AQ144" s="4" t="s">
        <v>71</v>
      </c>
      <c r="AR144" s="4" t="s">
        <v>70</v>
      </c>
      <c r="AS144" s="4" t="s">
        <v>70</v>
      </c>
      <c r="AT144" s="4" t="s">
        <v>73</v>
      </c>
      <c r="AU144" s="4" t="s">
        <v>70</v>
      </c>
      <c r="AV144" s="4" t="s">
        <v>73</v>
      </c>
      <c r="AW144" s="4" t="s">
        <v>70</v>
      </c>
      <c r="AX144" s="4" t="s">
        <v>70</v>
      </c>
      <c r="AY144" s="4" t="s">
        <v>72</v>
      </c>
      <c r="AZ144" s="4" t="s">
        <v>71</v>
      </c>
      <c r="BA144" s="4" t="s">
        <v>70</v>
      </c>
      <c r="BB144" s="4" t="s">
        <v>72</v>
      </c>
      <c r="BC144" s="4" t="s">
        <v>72</v>
      </c>
      <c r="BD144" s="4" t="s">
        <v>70</v>
      </c>
      <c r="BE144" s="4" t="s">
        <v>70</v>
      </c>
      <c r="BF144" s="4" t="s">
        <v>72</v>
      </c>
      <c r="BG144" s="4" t="s">
        <v>72</v>
      </c>
      <c r="BH144" s="4" t="s">
        <v>71</v>
      </c>
      <c r="BI144" s="4" t="s">
        <v>73</v>
      </c>
      <c r="BJ144" s="4" t="s">
        <v>73</v>
      </c>
      <c r="BK144" s="4" t="s">
        <v>70</v>
      </c>
      <c r="BL144" s="4" t="s">
        <v>72</v>
      </c>
      <c r="BM144" s="4" t="s">
        <v>71</v>
      </c>
      <c r="BN144" s="4" t="s">
        <v>71</v>
      </c>
      <c r="BO144" s="4" t="s">
        <v>73</v>
      </c>
      <c r="BP144" s="4" t="s">
        <v>73</v>
      </c>
      <c r="BQ144" s="4" t="s">
        <v>72</v>
      </c>
      <c r="BR144" s="4" t="s">
        <v>72</v>
      </c>
      <c r="BS144" s="4" t="s">
        <v>73</v>
      </c>
      <c r="BT144" s="4" t="s">
        <v>72</v>
      </c>
      <c r="BU144" s="4" t="s">
        <v>72</v>
      </c>
      <c r="BV144" s="4" t="s">
        <v>71</v>
      </c>
      <c r="BW144" s="4" t="s">
        <v>71</v>
      </c>
      <c r="BX144" s="4" t="s">
        <v>70</v>
      </c>
    </row>
    <row r="145" spans="1:76">
      <c r="A145" s="4" t="s">
        <v>287</v>
      </c>
      <c r="B145" s="4" t="s">
        <v>296</v>
      </c>
      <c r="C145" s="4" t="s">
        <v>168</v>
      </c>
      <c r="D145" s="4" t="s">
        <v>83</v>
      </c>
      <c r="E145" s="4" t="s">
        <v>70</v>
      </c>
      <c r="F145" s="4" t="s">
        <v>72</v>
      </c>
      <c r="G145" s="4" t="s">
        <v>71</v>
      </c>
      <c r="H145" s="4" t="s">
        <v>72</v>
      </c>
      <c r="I145" s="4" t="s">
        <v>70</v>
      </c>
      <c r="J145" s="4" t="s">
        <v>73</v>
      </c>
      <c r="K145" s="4" t="s">
        <v>72</v>
      </c>
      <c r="L145" s="4" t="s">
        <v>72</v>
      </c>
      <c r="M145" s="4" t="s">
        <v>73</v>
      </c>
      <c r="N145" s="4" t="s">
        <v>70</v>
      </c>
      <c r="O145" s="4" t="s">
        <v>71</v>
      </c>
      <c r="P145" s="4" t="s">
        <v>70</v>
      </c>
      <c r="Q145" s="4" t="s">
        <v>71</v>
      </c>
      <c r="R145" s="4" t="s">
        <v>73</v>
      </c>
      <c r="S145" s="4" t="s">
        <v>73</v>
      </c>
      <c r="T145" s="4" t="s">
        <v>71</v>
      </c>
      <c r="U145" s="4" t="s">
        <v>72</v>
      </c>
      <c r="V145" s="4" t="s">
        <v>70</v>
      </c>
      <c r="W145" s="4" t="s">
        <v>70</v>
      </c>
      <c r="X145" s="4" t="s">
        <v>71</v>
      </c>
      <c r="Y145" s="4" t="s">
        <v>73</v>
      </c>
      <c r="Z145" s="4" t="s">
        <v>70</v>
      </c>
      <c r="AA145" s="4" t="s">
        <v>73</v>
      </c>
      <c r="AB145" s="4" t="s">
        <v>70</v>
      </c>
      <c r="AC145" s="4" t="s">
        <v>71</v>
      </c>
      <c r="AD145" s="4" t="s">
        <v>73</v>
      </c>
      <c r="AE145" s="4" t="s">
        <v>73</v>
      </c>
      <c r="AF145" s="4" t="s">
        <v>71</v>
      </c>
      <c r="AG145" s="4" t="s">
        <v>72</v>
      </c>
      <c r="AH145" s="4" t="s">
        <v>70</v>
      </c>
      <c r="AI145" s="4" t="s">
        <v>73</v>
      </c>
      <c r="AJ145" s="4" t="s">
        <v>71</v>
      </c>
      <c r="AK145" s="4" t="s">
        <v>72</v>
      </c>
      <c r="AL145" s="4" t="s">
        <v>71</v>
      </c>
      <c r="AM145" s="4" t="s">
        <v>72</v>
      </c>
      <c r="AN145" s="4" t="s">
        <v>72</v>
      </c>
      <c r="AO145" s="4" t="s">
        <v>73</v>
      </c>
      <c r="AP145" s="4" t="s">
        <v>73</v>
      </c>
      <c r="AQ145" s="4" t="s">
        <v>72</v>
      </c>
      <c r="AR145" s="4" t="s">
        <v>71</v>
      </c>
      <c r="AS145" s="4" t="s">
        <v>73</v>
      </c>
      <c r="AT145" s="4" t="s">
        <v>70</v>
      </c>
      <c r="AU145" s="4" t="s">
        <v>72</v>
      </c>
      <c r="AV145" s="4" t="s">
        <v>70</v>
      </c>
      <c r="AW145" s="4" t="s">
        <v>70</v>
      </c>
      <c r="AX145" s="4" t="s">
        <v>70</v>
      </c>
      <c r="AY145" s="4" t="s">
        <v>72</v>
      </c>
      <c r="AZ145" s="4" t="s">
        <v>72</v>
      </c>
      <c r="BA145" s="4" t="s">
        <v>70</v>
      </c>
      <c r="BB145" s="4" t="s">
        <v>72</v>
      </c>
      <c r="BC145" s="4" t="s">
        <v>70</v>
      </c>
      <c r="BD145" s="4" t="s">
        <v>70</v>
      </c>
      <c r="BE145" s="4" t="s">
        <v>70</v>
      </c>
      <c r="BF145" s="4" t="s">
        <v>72</v>
      </c>
      <c r="BG145" s="4" t="s">
        <v>72</v>
      </c>
      <c r="BH145" s="4" t="s">
        <v>71</v>
      </c>
      <c r="BI145" s="4" t="s">
        <v>70</v>
      </c>
      <c r="BJ145" s="4" t="s">
        <v>73</v>
      </c>
      <c r="BK145" s="4" t="s">
        <v>72</v>
      </c>
      <c r="BL145" s="4" t="s">
        <v>72</v>
      </c>
      <c r="BM145" s="4" t="s">
        <v>71</v>
      </c>
      <c r="BN145" s="4" t="s">
        <v>71</v>
      </c>
      <c r="BO145" s="4" t="s">
        <v>71</v>
      </c>
      <c r="BP145" s="4" t="s">
        <v>73</v>
      </c>
      <c r="BQ145" s="4" t="s">
        <v>71</v>
      </c>
      <c r="BR145" s="4" t="s">
        <v>73</v>
      </c>
      <c r="BS145" s="4" t="s">
        <v>72</v>
      </c>
      <c r="BT145" s="4" t="s">
        <v>71</v>
      </c>
      <c r="BU145" s="4" t="s">
        <v>73</v>
      </c>
      <c r="BV145" s="4" t="s">
        <v>70</v>
      </c>
      <c r="BW145" s="4" t="s">
        <v>70</v>
      </c>
      <c r="BX145" s="4" t="s">
        <v>71</v>
      </c>
    </row>
    <row r="146" spans="1:76">
      <c r="A146" s="4" t="s">
        <v>287</v>
      </c>
      <c r="B146" s="4" t="s">
        <v>297</v>
      </c>
      <c r="C146" s="4" t="s">
        <v>168</v>
      </c>
      <c r="D146" s="4" t="s">
        <v>85</v>
      </c>
      <c r="E146" s="4" t="s">
        <v>70</v>
      </c>
      <c r="F146" s="4" t="s">
        <v>73</v>
      </c>
      <c r="G146" s="4" t="s">
        <v>71</v>
      </c>
      <c r="H146" s="4" t="s">
        <v>72</v>
      </c>
      <c r="I146" s="4" t="s">
        <v>71</v>
      </c>
      <c r="J146" s="4" t="s">
        <v>70</v>
      </c>
      <c r="K146" s="4" t="s">
        <v>72</v>
      </c>
      <c r="L146" s="4" t="s">
        <v>72</v>
      </c>
      <c r="M146" s="4" t="s">
        <v>73</v>
      </c>
      <c r="N146" s="4" t="s">
        <v>70</v>
      </c>
      <c r="O146" s="4" t="s">
        <v>71</v>
      </c>
      <c r="P146" s="4" t="s">
        <v>72</v>
      </c>
      <c r="Q146" s="4" t="s">
        <v>71</v>
      </c>
      <c r="R146" s="4" t="s">
        <v>73</v>
      </c>
      <c r="S146" s="4" t="s">
        <v>70</v>
      </c>
      <c r="T146" s="4" t="s">
        <v>71</v>
      </c>
      <c r="U146" s="4" t="s">
        <v>71</v>
      </c>
      <c r="V146" s="4" t="s">
        <v>70</v>
      </c>
      <c r="W146" s="4" t="s">
        <v>70</v>
      </c>
      <c r="X146" s="4" t="s">
        <v>72</v>
      </c>
      <c r="Y146" s="4" t="s">
        <v>73</v>
      </c>
      <c r="Z146" s="4" t="s">
        <v>70</v>
      </c>
      <c r="AA146" s="4" t="s">
        <v>73</v>
      </c>
      <c r="AB146" s="4" t="s">
        <v>70</v>
      </c>
      <c r="AC146" s="4" t="s">
        <v>71</v>
      </c>
      <c r="AD146" s="4" t="s">
        <v>73</v>
      </c>
      <c r="AE146" s="4" t="s">
        <v>73</v>
      </c>
      <c r="AF146" s="4" t="s">
        <v>71</v>
      </c>
      <c r="AG146" s="4" t="s">
        <v>72</v>
      </c>
      <c r="AH146" s="4" t="s">
        <v>70</v>
      </c>
      <c r="AI146" s="4" t="s">
        <v>70</v>
      </c>
      <c r="AJ146" s="4" t="s">
        <v>71</v>
      </c>
      <c r="AK146" s="4" t="s">
        <v>72</v>
      </c>
      <c r="AL146" s="4" t="s">
        <v>72</v>
      </c>
      <c r="AM146" s="4" t="s">
        <v>72</v>
      </c>
      <c r="AN146" s="4" t="s">
        <v>72</v>
      </c>
      <c r="AO146" s="4" t="s">
        <v>73</v>
      </c>
      <c r="AP146" s="4" t="s">
        <v>73</v>
      </c>
      <c r="AQ146" s="4" t="s">
        <v>71</v>
      </c>
      <c r="AR146" s="4" t="s">
        <v>71</v>
      </c>
      <c r="AS146" s="4" t="s">
        <v>73</v>
      </c>
      <c r="AT146" s="4" t="s">
        <v>70</v>
      </c>
      <c r="AU146" s="4" t="s">
        <v>72</v>
      </c>
      <c r="AV146" s="4" t="s">
        <v>70</v>
      </c>
      <c r="AW146" s="4" t="s">
        <v>70</v>
      </c>
      <c r="AX146" s="4" t="s">
        <v>70</v>
      </c>
      <c r="AY146" s="4" t="s">
        <v>72</v>
      </c>
      <c r="AZ146" s="4" t="s">
        <v>71</v>
      </c>
      <c r="BA146" s="4" t="s">
        <v>71</v>
      </c>
      <c r="BB146" s="4" t="s">
        <v>70</v>
      </c>
      <c r="BC146" s="4" t="s">
        <v>70</v>
      </c>
      <c r="BD146" s="4" t="s">
        <v>70</v>
      </c>
      <c r="BE146" s="4" t="s">
        <v>70</v>
      </c>
      <c r="BF146" s="4" t="s">
        <v>72</v>
      </c>
      <c r="BG146" s="4" t="s">
        <v>72</v>
      </c>
      <c r="BH146" s="4" t="s">
        <v>71</v>
      </c>
      <c r="BI146" s="4" t="s">
        <v>70</v>
      </c>
      <c r="BJ146" s="4" t="s">
        <v>73</v>
      </c>
      <c r="BK146" s="4" t="s">
        <v>73</v>
      </c>
      <c r="BL146" s="4" t="s">
        <v>72</v>
      </c>
      <c r="BM146" s="4" t="s">
        <v>71</v>
      </c>
      <c r="BN146" s="4" t="s">
        <v>71</v>
      </c>
      <c r="BO146" s="4" t="s">
        <v>71</v>
      </c>
      <c r="BP146" s="4" t="s">
        <v>71</v>
      </c>
      <c r="BQ146" s="4" t="s">
        <v>70</v>
      </c>
      <c r="BR146" s="4" t="s">
        <v>73</v>
      </c>
      <c r="BS146" s="4" t="s">
        <v>71</v>
      </c>
      <c r="BT146" s="4" t="s">
        <v>70</v>
      </c>
      <c r="BU146" s="4" t="s">
        <v>73</v>
      </c>
      <c r="BV146" s="4" t="s">
        <v>70</v>
      </c>
      <c r="BW146" s="4" t="s">
        <v>72</v>
      </c>
      <c r="BX146" s="4" t="s">
        <v>71</v>
      </c>
    </row>
    <row r="147" spans="1:76">
      <c r="A147" s="4" t="s">
        <v>287</v>
      </c>
      <c r="B147" s="4" t="s">
        <v>298</v>
      </c>
      <c r="C147" s="4" t="s">
        <v>197</v>
      </c>
      <c r="D147" s="4" t="s">
        <v>299</v>
      </c>
      <c r="E147" s="4" t="s">
        <v>70</v>
      </c>
      <c r="F147" s="4" t="s">
        <v>71</v>
      </c>
      <c r="G147" s="4" t="s">
        <v>71</v>
      </c>
      <c r="H147" s="4" t="s">
        <v>72</v>
      </c>
      <c r="I147" s="4" t="s">
        <v>72</v>
      </c>
      <c r="J147" s="4" t="s">
        <v>72</v>
      </c>
      <c r="K147" s="4" t="s">
        <v>72</v>
      </c>
      <c r="L147" s="4" t="s">
        <v>72</v>
      </c>
      <c r="M147" s="4" t="s">
        <v>70</v>
      </c>
      <c r="N147" s="4" t="s">
        <v>70</v>
      </c>
      <c r="O147" s="4" t="s">
        <v>71</v>
      </c>
      <c r="P147" s="4" t="s">
        <v>70</v>
      </c>
      <c r="Q147" s="4" t="s">
        <v>70</v>
      </c>
      <c r="R147" s="4" t="s">
        <v>73</v>
      </c>
      <c r="S147" s="4" t="s">
        <v>73</v>
      </c>
      <c r="T147" s="4" t="s">
        <v>72</v>
      </c>
      <c r="U147" s="4" t="s">
        <v>72</v>
      </c>
      <c r="V147" s="4" t="s">
        <v>70</v>
      </c>
      <c r="W147" s="4" t="s">
        <v>70</v>
      </c>
      <c r="X147" s="4" t="s">
        <v>71</v>
      </c>
      <c r="Y147" s="4" t="s">
        <v>70</v>
      </c>
      <c r="Z147" s="4" t="s">
        <v>73</v>
      </c>
      <c r="AA147" s="4" t="s">
        <v>71</v>
      </c>
      <c r="AB147" s="4" t="s">
        <v>70</v>
      </c>
      <c r="AC147" s="4" t="s">
        <v>71</v>
      </c>
      <c r="AD147" s="4" t="s">
        <v>73</v>
      </c>
      <c r="AE147" s="4" t="s">
        <v>72</v>
      </c>
      <c r="AF147" s="4" t="s">
        <v>72</v>
      </c>
      <c r="AG147" s="4" t="s">
        <v>73</v>
      </c>
      <c r="AH147" s="4" t="s">
        <v>70</v>
      </c>
      <c r="AI147" s="4" t="s">
        <v>73</v>
      </c>
      <c r="AJ147" s="4" t="s">
        <v>71</v>
      </c>
      <c r="AK147" s="4" t="s">
        <v>72</v>
      </c>
      <c r="AL147" s="4" t="s">
        <v>71</v>
      </c>
      <c r="AM147" s="4" t="s">
        <v>73</v>
      </c>
      <c r="AN147" s="4" t="s">
        <v>73</v>
      </c>
      <c r="AO147" s="4" t="s">
        <v>73</v>
      </c>
      <c r="AP147" s="4" t="s">
        <v>73</v>
      </c>
      <c r="AQ147" s="4" t="s">
        <v>72</v>
      </c>
      <c r="AR147" s="4" t="s">
        <v>71</v>
      </c>
      <c r="AS147" s="4" t="s">
        <v>72</v>
      </c>
      <c r="AT147" s="4" t="s">
        <v>73</v>
      </c>
      <c r="AU147" s="4" t="s">
        <v>73</v>
      </c>
      <c r="AV147" s="4" t="s">
        <v>71</v>
      </c>
      <c r="AW147" s="4" t="s">
        <v>73</v>
      </c>
      <c r="AX147" s="4" t="s">
        <v>70</v>
      </c>
      <c r="AY147" s="4" t="s">
        <v>70</v>
      </c>
      <c r="AZ147" s="4" t="s">
        <v>72</v>
      </c>
      <c r="BA147" s="4" t="s">
        <v>73</v>
      </c>
      <c r="BB147" s="4" t="s">
        <v>72</v>
      </c>
      <c r="BC147" s="4" t="s">
        <v>71</v>
      </c>
      <c r="BD147" s="4" t="s">
        <v>70</v>
      </c>
      <c r="BE147" s="4" t="s">
        <v>70</v>
      </c>
      <c r="BF147" s="4" t="s">
        <v>72</v>
      </c>
      <c r="BG147" s="4" t="s">
        <v>72</v>
      </c>
      <c r="BH147" s="4" t="s">
        <v>71</v>
      </c>
      <c r="BI147" s="4" t="s">
        <v>70</v>
      </c>
      <c r="BJ147" s="4" t="s">
        <v>73</v>
      </c>
      <c r="BK147" s="4" t="s">
        <v>73</v>
      </c>
      <c r="BL147" s="4" t="s">
        <v>72</v>
      </c>
      <c r="BM147" s="4" t="s">
        <v>71</v>
      </c>
      <c r="BN147" s="4" t="s">
        <v>71</v>
      </c>
      <c r="BO147" s="4" t="s">
        <v>70</v>
      </c>
      <c r="BP147" s="4" t="s">
        <v>73</v>
      </c>
      <c r="BQ147" s="4" t="s">
        <v>72</v>
      </c>
      <c r="BR147" s="4" t="s">
        <v>73</v>
      </c>
      <c r="BS147" s="4" t="s">
        <v>73</v>
      </c>
      <c r="BT147" s="4" t="s">
        <v>73</v>
      </c>
      <c r="BU147" s="4" t="s">
        <v>70</v>
      </c>
      <c r="BV147" s="4" t="s">
        <v>70</v>
      </c>
      <c r="BW147" s="4" t="s">
        <v>70</v>
      </c>
      <c r="BX147" s="4" t="s">
        <v>71</v>
      </c>
    </row>
    <row r="148" spans="1:76">
      <c r="A148" s="4" t="s">
        <v>287</v>
      </c>
      <c r="B148" s="4" t="s">
        <v>300</v>
      </c>
      <c r="C148" s="4" t="s">
        <v>197</v>
      </c>
      <c r="D148" s="4" t="s">
        <v>301</v>
      </c>
      <c r="E148" s="4" t="s">
        <v>71</v>
      </c>
      <c r="F148" s="4" t="s">
        <v>71</v>
      </c>
      <c r="G148" s="4" t="s">
        <v>71</v>
      </c>
      <c r="H148" s="4" t="s">
        <v>71</v>
      </c>
      <c r="I148" s="4" t="s">
        <v>73</v>
      </c>
      <c r="J148" s="4" t="s">
        <v>73</v>
      </c>
      <c r="K148" s="4" t="s">
        <v>70</v>
      </c>
      <c r="L148" s="4" t="s">
        <v>72</v>
      </c>
      <c r="M148" s="4" t="s">
        <v>70</v>
      </c>
      <c r="N148" s="4" t="s">
        <v>70</v>
      </c>
      <c r="O148" s="4" t="s">
        <v>71</v>
      </c>
      <c r="P148" s="4" t="s">
        <v>70</v>
      </c>
      <c r="Q148" s="4" t="s">
        <v>70</v>
      </c>
      <c r="R148" s="4" t="s">
        <v>73</v>
      </c>
      <c r="S148" s="4" t="s">
        <v>73</v>
      </c>
      <c r="T148" s="4" t="s">
        <v>72</v>
      </c>
      <c r="U148" s="4" t="s">
        <v>73</v>
      </c>
      <c r="V148" s="4" t="s">
        <v>70</v>
      </c>
      <c r="W148" s="4" t="s">
        <v>70</v>
      </c>
      <c r="X148" s="4" t="s">
        <v>72</v>
      </c>
      <c r="Y148" s="4" t="s">
        <v>70</v>
      </c>
      <c r="Z148" s="4" t="s">
        <v>73</v>
      </c>
      <c r="AA148" s="4" t="s">
        <v>71</v>
      </c>
      <c r="AB148" s="4" t="s">
        <v>70</v>
      </c>
      <c r="AC148" s="4" t="s">
        <v>71</v>
      </c>
      <c r="AD148" s="4" t="s">
        <v>73</v>
      </c>
      <c r="AE148" s="4" t="s">
        <v>72</v>
      </c>
      <c r="AF148" s="4" t="s">
        <v>72</v>
      </c>
      <c r="AG148" s="4" t="s">
        <v>70</v>
      </c>
      <c r="AH148" s="4" t="s">
        <v>70</v>
      </c>
      <c r="AI148" s="4" t="s">
        <v>73</v>
      </c>
      <c r="AJ148" s="4" t="s">
        <v>71</v>
      </c>
      <c r="AK148" s="4" t="s">
        <v>72</v>
      </c>
      <c r="AL148" s="4" t="s">
        <v>72</v>
      </c>
      <c r="AM148" s="4" t="s">
        <v>73</v>
      </c>
      <c r="AN148" s="4" t="s">
        <v>73</v>
      </c>
      <c r="AO148" s="4" t="s">
        <v>73</v>
      </c>
      <c r="AP148" s="4" t="s">
        <v>73</v>
      </c>
      <c r="AQ148" s="4" t="s">
        <v>72</v>
      </c>
      <c r="AR148" s="4" t="s">
        <v>71</v>
      </c>
      <c r="AS148" s="4" t="s">
        <v>71</v>
      </c>
      <c r="AT148" s="4" t="s">
        <v>73</v>
      </c>
      <c r="AU148" s="4" t="s">
        <v>73</v>
      </c>
      <c r="AV148" s="4" t="s">
        <v>71</v>
      </c>
      <c r="AW148" s="4" t="s">
        <v>70</v>
      </c>
      <c r="AX148" s="4" t="s">
        <v>70</v>
      </c>
      <c r="AY148" s="4" t="s">
        <v>70</v>
      </c>
      <c r="AZ148" s="4" t="s">
        <v>72</v>
      </c>
      <c r="BA148" s="4" t="s">
        <v>70</v>
      </c>
      <c r="BB148" s="4" t="s">
        <v>71</v>
      </c>
      <c r="BC148" s="4" t="s">
        <v>71</v>
      </c>
      <c r="BD148" s="4" t="s">
        <v>70</v>
      </c>
      <c r="BE148" s="4" t="s">
        <v>70</v>
      </c>
      <c r="BF148" s="4" t="s">
        <v>72</v>
      </c>
      <c r="BG148" s="4" t="s">
        <v>72</v>
      </c>
      <c r="BH148" s="4" t="s">
        <v>71</v>
      </c>
      <c r="BI148" s="4" t="s">
        <v>73</v>
      </c>
      <c r="BJ148" s="4" t="s">
        <v>73</v>
      </c>
      <c r="BK148" s="4" t="s">
        <v>70</v>
      </c>
      <c r="BL148" s="4" t="s">
        <v>72</v>
      </c>
      <c r="BM148" s="4" t="s">
        <v>71</v>
      </c>
      <c r="BN148" s="4" t="s">
        <v>71</v>
      </c>
      <c r="BO148" s="4" t="s">
        <v>70</v>
      </c>
      <c r="BP148" s="4" t="s">
        <v>70</v>
      </c>
      <c r="BQ148" s="4" t="s">
        <v>71</v>
      </c>
      <c r="BR148" s="4" t="s">
        <v>71</v>
      </c>
      <c r="BS148" s="4" t="s">
        <v>72</v>
      </c>
      <c r="BT148" s="4" t="s">
        <v>72</v>
      </c>
      <c r="BU148" s="4" t="s">
        <v>70</v>
      </c>
      <c r="BV148" s="4" t="s">
        <v>70</v>
      </c>
      <c r="BW148" s="4" t="s">
        <v>70</v>
      </c>
      <c r="BX148" s="4" t="s">
        <v>70</v>
      </c>
    </row>
    <row r="149" spans="1:76">
      <c r="A149" s="4" t="s">
        <v>287</v>
      </c>
      <c r="B149" s="4" t="s">
        <v>302</v>
      </c>
      <c r="C149" s="4" t="s">
        <v>197</v>
      </c>
      <c r="D149" s="4" t="s">
        <v>275</v>
      </c>
      <c r="E149" s="4" t="s">
        <v>70</v>
      </c>
      <c r="F149" s="4" t="s">
        <v>70</v>
      </c>
      <c r="G149" s="4" t="s">
        <v>70</v>
      </c>
      <c r="H149" s="4" t="s">
        <v>70</v>
      </c>
      <c r="I149" s="4" t="s">
        <v>70</v>
      </c>
      <c r="J149" s="4" t="s">
        <v>73</v>
      </c>
      <c r="K149" s="4" t="s">
        <v>72</v>
      </c>
      <c r="L149" s="4" t="s">
        <v>72</v>
      </c>
      <c r="M149" s="4" t="s">
        <v>70</v>
      </c>
      <c r="N149" s="4" t="s">
        <v>70</v>
      </c>
      <c r="O149" s="4" t="s">
        <v>71</v>
      </c>
      <c r="P149" s="4" t="s">
        <v>70</v>
      </c>
      <c r="Q149" s="4" t="s">
        <v>70</v>
      </c>
      <c r="R149" s="4" t="s">
        <v>73</v>
      </c>
      <c r="S149" s="4" t="s">
        <v>73</v>
      </c>
      <c r="T149" s="4" t="s">
        <v>72</v>
      </c>
      <c r="U149" s="4" t="s">
        <v>72</v>
      </c>
      <c r="V149" s="4" t="s">
        <v>70</v>
      </c>
      <c r="W149" s="4" t="s">
        <v>70</v>
      </c>
      <c r="X149" s="4" t="s">
        <v>71</v>
      </c>
      <c r="Y149" s="4" t="s">
        <v>70</v>
      </c>
      <c r="Z149" s="4" t="s">
        <v>73</v>
      </c>
      <c r="AA149" s="4" t="s">
        <v>71</v>
      </c>
      <c r="AB149" s="4" t="s">
        <v>70</v>
      </c>
      <c r="AC149" s="4" t="s">
        <v>71</v>
      </c>
      <c r="AD149" s="4" t="s">
        <v>73</v>
      </c>
      <c r="AE149" s="4" t="s">
        <v>71</v>
      </c>
      <c r="AF149" s="4" t="s">
        <v>72</v>
      </c>
      <c r="AG149" s="4" t="s">
        <v>73</v>
      </c>
      <c r="AH149" s="4" t="s">
        <v>70</v>
      </c>
      <c r="AI149" s="4" t="s">
        <v>73</v>
      </c>
      <c r="AJ149" s="4" t="s">
        <v>71</v>
      </c>
      <c r="AK149" s="4" t="s">
        <v>72</v>
      </c>
      <c r="AL149" s="4" t="s">
        <v>72</v>
      </c>
      <c r="AM149" s="4" t="s">
        <v>73</v>
      </c>
      <c r="AN149" s="4" t="s">
        <v>70</v>
      </c>
      <c r="AO149" s="4" t="s">
        <v>70</v>
      </c>
      <c r="AP149" s="4" t="s">
        <v>73</v>
      </c>
      <c r="AQ149" s="4" t="s">
        <v>72</v>
      </c>
      <c r="AR149" s="4" t="s">
        <v>71</v>
      </c>
      <c r="AS149" s="4" t="s">
        <v>72</v>
      </c>
      <c r="AT149" s="4" t="s">
        <v>73</v>
      </c>
      <c r="AU149" s="4" t="s">
        <v>70</v>
      </c>
      <c r="AV149" s="4" t="s">
        <v>71</v>
      </c>
      <c r="AW149" s="4" t="s">
        <v>70</v>
      </c>
      <c r="AX149" s="4" t="s">
        <v>72</v>
      </c>
      <c r="AY149" s="4" t="s">
        <v>70</v>
      </c>
      <c r="AZ149" s="4" t="s">
        <v>72</v>
      </c>
      <c r="BA149" s="4" t="s">
        <v>73</v>
      </c>
      <c r="BB149" s="4" t="s">
        <v>73</v>
      </c>
      <c r="BC149" s="4" t="s">
        <v>70</v>
      </c>
      <c r="BD149" s="4" t="s">
        <v>70</v>
      </c>
      <c r="BE149" s="4" t="s">
        <v>70</v>
      </c>
      <c r="BF149" s="4" t="s">
        <v>72</v>
      </c>
      <c r="BG149" s="4" t="s">
        <v>72</v>
      </c>
      <c r="BH149" s="4" t="s">
        <v>71</v>
      </c>
      <c r="BI149" s="4" t="s">
        <v>73</v>
      </c>
      <c r="BJ149" s="4" t="s">
        <v>73</v>
      </c>
      <c r="BK149" s="4" t="s">
        <v>70</v>
      </c>
      <c r="BL149" s="4" t="s">
        <v>72</v>
      </c>
      <c r="BM149" s="4" t="s">
        <v>71</v>
      </c>
      <c r="BN149" s="4" t="s">
        <v>71</v>
      </c>
      <c r="BO149" s="4" t="s">
        <v>71</v>
      </c>
      <c r="BP149" s="4" t="s">
        <v>72</v>
      </c>
      <c r="BQ149" s="4" t="s">
        <v>72</v>
      </c>
      <c r="BR149" s="4" t="s">
        <v>73</v>
      </c>
      <c r="BS149" s="4" t="s">
        <v>72</v>
      </c>
      <c r="BT149" s="4" t="s">
        <v>71</v>
      </c>
      <c r="BU149" s="4" t="s">
        <v>71</v>
      </c>
      <c r="BV149" s="4" t="s">
        <v>71</v>
      </c>
      <c r="BW149" s="4" t="s">
        <v>71</v>
      </c>
      <c r="BX149" s="4" t="s">
        <v>71</v>
      </c>
    </row>
    <row r="150" spans="1:76">
      <c r="A150" s="4" t="s">
        <v>287</v>
      </c>
      <c r="B150" s="4" t="s">
        <v>303</v>
      </c>
      <c r="C150" s="4" t="s">
        <v>200</v>
      </c>
      <c r="D150" s="4" t="s">
        <v>88</v>
      </c>
      <c r="E150" s="4" t="s">
        <v>70</v>
      </c>
      <c r="F150" s="4" t="s">
        <v>70</v>
      </c>
      <c r="G150" s="4" t="s">
        <v>71</v>
      </c>
      <c r="H150" s="4" t="s">
        <v>70</v>
      </c>
      <c r="I150" s="4" t="s">
        <v>70</v>
      </c>
      <c r="J150" s="4" t="s">
        <v>70</v>
      </c>
      <c r="K150" s="4" t="s">
        <v>70</v>
      </c>
      <c r="L150" s="4" t="s">
        <v>72</v>
      </c>
      <c r="M150" s="4" t="s">
        <v>73</v>
      </c>
      <c r="N150" s="4" t="s">
        <v>70</v>
      </c>
      <c r="O150" s="4" t="s">
        <v>71</v>
      </c>
      <c r="P150" s="4" t="s">
        <v>72</v>
      </c>
      <c r="Q150" s="4" t="s">
        <v>71</v>
      </c>
      <c r="R150" s="4" t="s">
        <v>73</v>
      </c>
      <c r="S150" s="4" t="s">
        <v>70</v>
      </c>
      <c r="T150" s="4" t="s">
        <v>72</v>
      </c>
      <c r="U150" s="4" t="s">
        <v>72</v>
      </c>
      <c r="V150" s="4" t="s">
        <v>70</v>
      </c>
      <c r="W150" s="4" t="s">
        <v>70</v>
      </c>
      <c r="X150" s="4" t="s">
        <v>72</v>
      </c>
      <c r="Y150" s="4" t="s">
        <v>73</v>
      </c>
      <c r="Z150" s="4" t="s">
        <v>70</v>
      </c>
      <c r="AA150" s="4" t="s">
        <v>73</v>
      </c>
      <c r="AB150" s="4" t="s">
        <v>70</v>
      </c>
      <c r="AC150" s="4" t="s">
        <v>71</v>
      </c>
      <c r="AD150" s="4" t="s">
        <v>70</v>
      </c>
      <c r="AE150" s="4" t="s">
        <v>72</v>
      </c>
      <c r="AF150" s="4" t="s">
        <v>72</v>
      </c>
      <c r="AG150" s="4" t="s">
        <v>71</v>
      </c>
      <c r="AH150" s="4" t="s">
        <v>70</v>
      </c>
      <c r="AI150" s="4" t="s">
        <v>70</v>
      </c>
      <c r="AJ150" s="4" t="s">
        <v>72</v>
      </c>
      <c r="AK150" s="4" t="s">
        <v>72</v>
      </c>
      <c r="AL150" s="4" t="s">
        <v>71</v>
      </c>
      <c r="AM150" s="4" t="s">
        <v>73</v>
      </c>
      <c r="AN150" s="4" t="s">
        <v>72</v>
      </c>
      <c r="AO150" s="4" t="s">
        <v>73</v>
      </c>
      <c r="AP150" s="4" t="s">
        <v>71</v>
      </c>
      <c r="AQ150" s="4" t="s">
        <v>71</v>
      </c>
      <c r="AR150" s="4" t="s">
        <v>71</v>
      </c>
      <c r="AS150" s="4" t="s">
        <v>70</v>
      </c>
      <c r="AT150" s="4" t="s">
        <v>73</v>
      </c>
      <c r="AU150" s="4" t="s">
        <v>73</v>
      </c>
      <c r="AV150" s="4" t="s">
        <v>73</v>
      </c>
      <c r="AW150" s="4" t="s">
        <v>70</v>
      </c>
      <c r="AX150" s="4" t="s">
        <v>70</v>
      </c>
      <c r="AY150" s="4" t="s">
        <v>72</v>
      </c>
      <c r="AZ150" s="4" t="s">
        <v>71</v>
      </c>
      <c r="BA150" s="4" t="s">
        <v>70</v>
      </c>
      <c r="BB150" s="4" t="s">
        <v>73</v>
      </c>
      <c r="BC150" s="4" t="s">
        <v>70</v>
      </c>
      <c r="BD150" s="4" t="s">
        <v>73</v>
      </c>
      <c r="BE150" s="4" t="s">
        <v>70</v>
      </c>
      <c r="BF150" s="4" t="s">
        <v>72</v>
      </c>
      <c r="BG150" s="4" t="s">
        <v>72</v>
      </c>
      <c r="BH150" s="4" t="s">
        <v>71</v>
      </c>
      <c r="BI150" s="4" t="s">
        <v>73</v>
      </c>
      <c r="BJ150" s="4" t="s">
        <v>73</v>
      </c>
      <c r="BK150" s="4" t="s">
        <v>73</v>
      </c>
      <c r="BL150" s="4" t="s">
        <v>72</v>
      </c>
      <c r="BM150" s="4" t="s">
        <v>71</v>
      </c>
      <c r="BN150" s="4" t="s">
        <v>72</v>
      </c>
      <c r="BO150" s="4" t="s">
        <v>71</v>
      </c>
      <c r="BP150" s="4" t="s">
        <v>72</v>
      </c>
      <c r="BQ150" s="4" t="s">
        <v>71</v>
      </c>
      <c r="BR150" s="4" t="s">
        <v>71</v>
      </c>
      <c r="BS150" s="4" t="s">
        <v>71</v>
      </c>
      <c r="BT150" s="4" t="s">
        <v>71</v>
      </c>
      <c r="BU150" s="4" t="s">
        <v>71</v>
      </c>
      <c r="BV150" s="4" t="s">
        <v>70</v>
      </c>
      <c r="BW150" s="4" t="s">
        <v>71</v>
      </c>
      <c r="BX150" s="4" t="s">
        <v>72</v>
      </c>
    </row>
    <row r="151" spans="1:76">
      <c r="A151" s="4" t="s">
        <v>287</v>
      </c>
      <c r="B151" s="4" t="s">
        <v>304</v>
      </c>
      <c r="C151" s="4" t="s">
        <v>120</v>
      </c>
      <c r="D151" s="4" t="s">
        <v>144</v>
      </c>
      <c r="E151" s="4" t="s">
        <v>71</v>
      </c>
      <c r="F151" s="4" t="s">
        <v>70</v>
      </c>
      <c r="G151" s="4" t="s">
        <v>70</v>
      </c>
      <c r="H151" s="4" t="s">
        <v>70</v>
      </c>
      <c r="I151" s="4" t="s">
        <v>73</v>
      </c>
      <c r="J151" s="4" t="s">
        <v>73</v>
      </c>
      <c r="K151" s="4" t="s">
        <v>70</v>
      </c>
      <c r="L151" s="4" t="s">
        <v>72</v>
      </c>
      <c r="M151" s="4" t="s">
        <v>70</v>
      </c>
      <c r="N151" s="4" t="s">
        <v>70</v>
      </c>
      <c r="O151" s="4" t="s">
        <v>71</v>
      </c>
      <c r="P151" s="4" t="s">
        <v>72</v>
      </c>
      <c r="Q151" s="4" t="s">
        <v>71</v>
      </c>
      <c r="R151" s="4" t="s">
        <v>73</v>
      </c>
      <c r="S151" s="4" t="s">
        <v>70</v>
      </c>
      <c r="T151" s="4" t="s">
        <v>72</v>
      </c>
      <c r="U151" s="4" t="s">
        <v>72</v>
      </c>
      <c r="V151" s="4" t="s">
        <v>70</v>
      </c>
      <c r="W151" s="4" t="s">
        <v>70</v>
      </c>
      <c r="X151" s="4" t="s">
        <v>72</v>
      </c>
      <c r="Y151" s="4" t="s">
        <v>73</v>
      </c>
      <c r="Z151" s="4" t="s">
        <v>70</v>
      </c>
      <c r="AA151" s="4" t="s">
        <v>73</v>
      </c>
      <c r="AB151" s="4" t="s">
        <v>70</v>
      </c>
      <c r="AC151" s="4" t="s">
        <v>71</v>
      </c>
      <c r="AD151" s="4" t="s">
        <v>73</v>
      </c>
      <c r="AE151" s="4" t="s">
        <v>72</v>
      </c>
      <c r="AF151" s="4" t="s">
        <v>72</v>
      </c>
      <c r="AG151" s="4" t="s">
        <v>71</v>
      </c>
      <c r="AH151" s="4" t="s">
        <v>70</v>
      </c>
      <c r="AI151" s="4" t="s">
        <v>70</v>
      </c>
      <c r="AJ151" s="4" t="s">
        <v>72</v>
      </c>
      <c r="AK151" s="4" t="s">
        <v>72</v>
      </c>
      <c r="AL151" s="4" t="s">
        <v>72</v>
      </c>
      <c r="AM151" s="4" t="s">
        <v>70</v>
      </c>
      <c r="AN151" s="4" t="s">
        <v>70</v>
      </c>
      <c r="AO151" s="4" t="s">
        <v>70</v>
      </c>
      <c r="AP151" s="4" t="s">
        <v>73</v>
      </c>
      <c r="AQ151" s="4" t="s">
        <v>71</v>
      </c>
      <c r="AR151" s="4" t="s">
        <v>71</v>
      </c>
      <c r="AS151" s="4" t="s">
        <v>70</v>
      </c>
      <c r="AT151" s="4" t="s">
        <v>73</v>
      </c>
      <c r="AU151" s="4" t="s">
        <v>73</v>
      </c>
      <c r="AV151" s="4" t="s">
        <v>70</v>
      </c>
      <c r="AW151" s="4" t="s">
        <v>70</v>
      </c>
      <c r="AX151" s="4" t="s">
        <v>70</v>
      </c>
      <c r="AY151" s="4" t="s">
        <v>72</v>
      </c>
      <c r="AZ151" s="4" t="s">
        <v>71</v>
      </c>
      <c r="BA151" s="4" t="s">
        <v>70</v>
      </c>
      <c r="BB151" s="4" t="s">
        <v>71</v>
      </c>
      <c r="BC151" s="4" t="s">
        <v>73</v>
      </c>
      <c r="BD151" s="4" t="s">
        <v>70</v>
      </c>
      <c r="BE151" s="4" t="s">
        <v>70</v>
      </c>
      <c r="BF151" s="4" t="s">
        <v>72</v>
      </c>
      <c r="BG151" s="4" t="s">
        <v>72</v>
      </c>
      <c r="BH151" s="4" t="s">
        <v>71</v>
      </c>
      <c r="BI151" s="4" t="s">
        <v>73</v>
      </c>
      <c r="BJ151" s="4" t="s">
        <v>73</v>
      </c>
      <c r="BK151" s="4" t="s">
        <v>73</v>
      </c>
      <c r="BL151" s="4" t="s">
        <v>72</v>
      </c>
      <c r="BM151" s="4" t="s">
        <v>71</v>
      </c>
      <c r="BN151" s="4" t="s">
        <v>71</v>
      </c>
      <c r="BO151" s="4" t="s">
        <v>72</v>
      </c>
      <c r="BP151" s="4" t="s">
        <v>70</v>
      </c>
      <c r="BQ151" s="4" t="s">
        <v>72</v>
      </c>
      <c r="BR151" s="4" t="s">
        <v>71</v>
      </c>
      <c r="BS151" s="4" t="s">
        <v>72</v>
      </c>
      <c r="BT151" s="4" t="s">
        <v>72</v>
      </c>
      <c r="BU151" s="4" t="s">
        <v>71</v>
      </c>
      <c r="BV151" s="4" t="s">
        <v>71</v>
      </c>
      <c r="BW151" s="4" t="s">
        <v>71</v>
      </c>
      <c r="BX151" s="4" t="s">
        <v>70</v>
      </c>
    </row>
    <row r="152" spans="1:76">
      <c r="A152" s="4" t="s">
        <v>287</v>
      </c>
      <c r="B152" s="4" t="s">
        <v>305</v>
      </c>
      <c r="C152" s="4" t="s">
        <v>109</v>
      </c>
      <c r="D152" s="4" t="s">
        <v>230</v>
      </c>
      <c r="E152" s="4" t="s">
        <v>72</v>
      </c>
      <c r="F152" s="4" t="s">
        <v>70</v>
      </c>
      <c r="G152" s="4" t="s">
        <v>70</v>
      </c>
      <c r="H152" s="4" t="s">
        <v>70</v>
      </c>
      <c r="I152" s="4" t="s">
        <v>71</v>
      </c>
      <c r="J152" s="4" t="s">
        <v>72</v>
      </c>
      <c r="K152" s="4" t="s">
        <v>73</v>
      </c>
      <c r="L152" s="4" t="s">
        <v>72</v>
      </c>
      <c r="M152" s="4" t="s">
        <v>73</v>
      </c>
      <c r="N152" s="4" t="s">
        <v>70</v>
      </c>
      <c r="O152" s="4" t="s">
        <v>71</v>
      </c>
      <c r="P152" s="4" t="s">
        <v>71</v>
      </c>
      <c r="Q152" s="4" t="s">
        <v>73</v>
      </c>
      <c r="R152" s="4" t="s">
        <v>73</v>
      </c>
      <c r="S152" s="4" t="s">
        <v>70</v>
      </c>
      <c r="T152" s="10" t="s">
        <v>77</v>
      </c>
      <c r="U152" s="4" t="s">
        <v>71</v>
      </c>
      <c r="V152" s="4" t="s">
        <v>70</v>
      </c>
      <c r="W152" s="4" t="s">
        <v>70</v>
      </c>
      <c r="X152" s="4" t="s">
        <v>72</v>
      </c>
      <c r="Y152" s="4" t="s">
        <v>73</v>
      </c>
      <c r="Z152" s="4" t="s">
        <v>73</v>
      </c>
      <c r="AA152" s="4" t="s">
        <v>70</v>
      </c>
      <c r="AB152" s="4" t="s">
        <v>70</v>
      </c>
      <c r="AC152" s="4" t="s">
        <v>71</v>
      </c>
      <c r="AD152" s="4" t="s">
        <v>73</v>
      </c>
      <c r="AE152" s="4" t="s">
        <v>73</v>
      </c>
      <c r="AF152" s="4" t="s">
        <v>70</v>
      </c>
      <c r="AG152" s="4" t="s">
        <v>70</v>
      </c>
      <c r="AH152" s="4" t="s">
        <v>70</v>
      </c>
      <c r="AI152" s="4" t="s">
        <v>73</v>
      </c>
      <c r="AJ152" s="4" t="s">
        <v>71</v>
      </c>
      <c r="AK152" s="4" t="s">
        <v>72</v>
      </c>
      <c r="AL152" s="4" t="s">
        <v>72</v>
      </c>
      <c r="AM152" s="4" t="s">
        <v>72</v>
      </c>
      <c r="AN152" s="4" t="s">
        <v>70</v>
      </c>
      <c r="AO152" s="4" t="s">
        <v>73</v>
      </c>
      <c r="AP152" s="4" t="s">
        <v>71</v>
      </c>
      <c r="AQ152" s="4" t="s">
        <v>72</v>
      </c>
      <c r="AR152" s="4" t="s">
        <v>71</v>
      </c>
      <c r="AS152" s="4" t="s">
        <v>71</v>
      </c>
      <c r="AT152" s="4" t="s">
        <v>71</v>
      </c>
      <c r="AU152" s="4" t="s">
        <v>72</v>
      </c>
      <c r="AV152" s="4" t="s">
        <v>71</v>
      </c>
      <c r="AW152" s="4" t="s">
        <v>73</v>
      </c>
      <c r="AX152" s="4" t="s">
        <v>72</v>
      </c>
      <c r="AY152" s="4" t="s">
        <v>70</v>
      </c>
      <c r="AZ152" s="4" t="s">
        <v>71</v>
      </c>
      <c r="BA152" s="4" t="s">
        <v>70</v>
      </c>
      <c r="BB152" s="4" t="s">
        <v>71</v>
      </c>
      <c r="BC152" s="4" t="s">
        <v>71</v>
      </c>
      <c r="BD152" s="4" t="s">
        <v>70</v>
      </c>
      <c r="BE152" s="4" t="s">
        <v>70</v>
      </c>
      <c r="BF152" s="4" t="s">
        <v>72</v>
      </c>
      <c r="BG152" s="4" t="s">
        <v>72</v>
      </c>
      <c r="BH152" s="4" t="s">
        <v>71</v>
      </c>
      <c r="BI152" s="4" t="s">
        <v>70</v>
      </c>
      <c r="BJ152" s="4" t="s">
        <v>73</v>
      </c>
      <c r="BK152" s="4" t="s">
        <v>73</v>
      </c>
      <c r="BL152" s="4" t="s">
        <v>72</v>
      </c>
      <c r="BM152" s="4" t="s">
        <v>71</v>
      </c>
      <c r="BN152" s="4" t="s">
        <v>71</v>
      </c>
      <c r="BO152" s="4" t="s">
        <v>72</v>
      </c>
      <c r="BP152" s="4" t="s">
        <v>70</v>
      </c>
      <c r="BQ152" s="4" t="s">
        <v>71</v>
      </c>
      <c r="BR152" s="4" t="s">
        <v>72</v>
      </c>
      <c r="BS152" s="4" t="s">
        <v>73</v>
      </c>
      <c r="BT152" s="4" t="s">
        <v>70</v>
      </c>
      <c r="BU152" s="4" t="s">
        <v>71</v>
      </c>
      <c r="BV152" s="4" t="s">
        <v>71</v>
      </c>
      <c r="BW152" s="4" t="s">
        <v>71</v>
      </c>
      <c r="BX152" s="4" t="s">
        <v>73</v>
      </c>
    </row>
    <row r="153" spans="1:76">
      <c r="A153" s="4" t="s">
        <v>287</v>
      </c>
      <c r="B153" s="4" t="s">
        <v>306</v>
      </c>
      <c r="C153" s="4" t="s">
        <v>106</v>
      </c>
      <c r="D153" s="4" t="s">
        <v>69</v>
      </c>
      <c r="E153" s="4" t="s">
        <v>70</v>
      </c>
      <c r="F153" s="4" t="s">
        <v>71</v>
      </c>
      <c r="G153" s="4" t="s">
        <v>71</v>
      </c>
      <c r="H153" s="4" t="s">
        <v>71</v>
      </c>
      <c r="I153" s="4" t="s">
        <v>73</v>
      </c>
      <c r="J153" s="4" t="s">
        <v>72</v>
      </c>
      <c r="K153" s="4" t="s">
        <v>70</v>
      </c>
      <c r="L153" s="4" t="s">
        <v>72</v>
      </c>
      <c r="M153" s="4" t="s">
        <v>73</v>
      </c>
      <c r="N153" s="4" t="s">
        <v>70</v>
      </c>
      <c r="O153" s="4" t="s">
        <v>71</v>
      </c>
      <c r="P153" s="4" t="s">
        <v>72</v>
      </c>
      <c r="Q153" s="4" t="s">
        <v>71</v>
      </c>
      <c r="R153" s="4" t="s">
        <v>73</v>
      </c>
      <c r="S153" s="4" t="s">
        <v>70</v>
      </c>
      <c r="T153" s="4" t="s">
        <v>72</v>
      </c>
      <c r="U153" s="4" t="s">
        <v>73</v>
      </c>
      <c r="V153" s="4" t="s">
        <v>70</v>
      </c>
      <c r="W153" s="4" t="s">
        <v>70</v>
      </c>
      <c r="X153" s="4" t="s">
        <v>73</v>
      </c>
      <c r="Y153" s="4" t="s">
        <v>73</v>
      </c>
      <c r="Z153" s="4" t="s">
        <v>70</v>
      </c>
      <c r="AA153" s="4" t="s">
        <v>73</v>
      </c>
      <c r="AB153" s="4" t="s">
        <v>70</v>
      </c>
      <c r="AC153" s="4" t="s">
        <v>71</v>
      </c>
      <c r="AD153" s="4" t="s">
        <v>73</v>
      </c>
      <c r="AE153" s="4" t="s">
        <v>71</v>
      </c>
      <c r="AF153" s="4" t="s">
        <v>70</v>
      </c>
      <c r="AG153" s="4" t="s">
        <v>71</v>
      </c>
      <c r="AH153" s="4" t="s">
        <v>70</v>
      </c>
      <c r="AI153" s="4" t="s">
        <v>71</v>
      </c>
      <c r="AJ153" s="4" t="s">
        <v>71</v>
      </c>
      <c r="AK153" s="4" t="s">
        <v>72</v>
      </c>
      <c r="AL153" s="4" t="s">
        <v>72</v>
      </c>
      <c r="AM153" s="4" t="s">
        <v>71</v>
      </c>
      <c r="AN153" s="4" t="s">
        <v>72</v>
      </c>
      <c r="AO153" s="4" t="s">
        <v>73</v>
      </c>
      <c r="AP153" s="4" t="s">
        <v>73</v>
      </c>
      <c r="AQ153" s="4" t="s">
        <v>70</v>
      </c>
      <c r="AR153" s="4" t="s">
        <v>71</v>
      </c>
      <c r="AS153" s="4" t="s">
        <v>70</v>
      </c>
      <c r="AT153" s="4" t="s">
        <v>72</v>
      </c>
      <c r="AU153" s="4" t="s">
        <v>70</v>
      </c>
      <c r="AV153" s="4" t="s">
        <v>73</v>
      </c>
      <c r="AW153" s="4" t="s">
        <v>70</v>
      </c>
      <c r="AX153" s="4" t="s">
        <v>70</v>
      </c>
      <c r="AY153" s="4" t="s">
        <v>72</v>
      </c>
      <c r="AZ153" s="4" t="s">
        <v>71</v>
      </c>
      <c r="BA153" s="4" t="s">
        <v>70</v>
      </c>
      <c r="BB153" s="4" t="s">
        <v>70</v>
      </c>
      <c r="BC153" s="4" t="s">
        <v>73</v>
      </c>
      <c r="BD153" s="4" t="s">
        <v>73</v>
      </c>
      <c r="BE153" s="4" t="s">
        <v>70</v>
      </c>
      <c r="BF153" s="4" t="s">
        <v>72</v>
      </c>
      <c r="BG153" s="4" t="s">
        <v>72</v>
      </c>
      <c r="BH153" s="4" t="s">
        <v>71</v>
      </c>
      <c r="BI153" s="4" t="s">
        <v>70</v>
      </c>
      <c r="BJ153" s="4" t="s">
        <v>73</v>
      </c>
      <c r="BK153" s="4" t="s">
        <v>70</v>
      </c>
      <c r="BL153" s="4" t="s">
        <v>71</v>
      </c>
      <c r="BM153" s="4" t="s">
        <v>71</v>
      </c>
      <c r="BN153" s="4" t="s">
        <v>72</v>
      </c>
      <c r="BO153" s="4" t="s">
        <v>72</v>
      </c>
      <c r="BP153" s="4" t="s">
        <v>71</v>
      </c>
      <c r="BQ153" s="4" t="s">
        <v>72</v>
      </c>
      <c r="BR153" s="4" t="s">
        <v>71</v>
      </c>
      <c r="BS153" s="4" t="s">
        <v>70</v>
      </c>
      <c r="BT153" s="4" t="s">
        <v>72</v>
      </c>
      <c r="BU153" s="4" t="s">
        <v>70</v>
      </c>
      <c r="BV153" s="4" t="s">
        <v>70</v>
      </c>
      <c r="BW153" s="4" t="s">
        <v>70</v>
      </c>
      <c r="BX153" s="4" t="s">
        <v>71</v>
      </c>
    </row>
    <row r="154" spans="1:76">
      <c r="A154" s="4" t="s">
        <v>287</v>
      </c>
      <c r="B154" s="4" t="s">
        <v>307</v>
      </c>
      <c r="C154" s="4" t="s">
        <v>122</v>
      </c>
      <c r="D154" s="4" t="s">
        <v>205</v>
      </c>
      <c r="E154" s="4" t="s">
        <v>70</v>
      </c>
      <c r="F154" s="4" t="s">
        <v>70</v>
      </c>
      <c r="G154" s="4" t="s">
        <v>73</v>
      </c>
      <c r="H154" s="4" t="s">
        <v>73</v>
      </c>
      <c r="I154" s="4" t="s">
        <v>70</v>
      </c>
      <c r="J154" s="4" t="s">
        <v>73</v>
      </c>
      <c r="K154" s="4" t="s">
        <v>72</v>
      </c>
      <c r="L154" s="4" t="s">
        <v>72</v>
      </c>
      <c r="M154" s="4" t="s">
        <v>73</v>
      </c>
      <c r="N154" s="4" t="s">
        <v>71</v>
      </c>
      <c r="O154" s="4" t="s">
        <v>71</v>
      </c>
      <c r="P154" s="4" t="s">
        <v>71</v>
      </c>
      <c r="Q154" s="4" t="s">
        <v>73</v>
      </c>
      <c r="R154" s="4" t="s">
        <v>73</v>
      </c>
      <c r="S154" s="4" t="s">
        <v>70</v>
      </c>
      <c r="T154" s="4" t="s">
        <v>72</v>
      </c>
      <c r="U154" s="4" t="s">
        <v>71</v>
      </c>
      <c r="V154" s="4" t="s">
        <v>70</v>
      </c>
      <c r="W154" s="4" t="s">
        <v>70</v>
      </c>
      <c r="X154" s="4" t="s">
        <v>71</v>
      </c>
      <c r="Y154" s="4" t="s">
        <v>73</v>
      </c>
      <c r="Z154" s="4" t="s">
        <v>73</v>
      </c>
      <c r="AA154" s="4" t="s">
        <v>70</v>
      </c>
      <c r="AB154" s="4" t="s">
        <v>70</v>
      </c>
      <c r="AC154" s="4" t="s">
        <v>70</v>
      </c>
      <c r="AD154" s="4" t="s">
        <v>73</v>
      </c>
      <c r="AE154" s="4" t="s">
        <v>72</v>
      </c>
      <c r="AF154" s="4" t="s">
        <v>71</v>
      </c>
      <c r="AG154" s="4" t="s">
        <v>70</v>
      </c>
      <c r="AH154" s="4" t="s">
        <v>70</v>
      </c>
      <c r="AI154" s="4" t="s">
        <v>72</v>
      </c>
      <c r="AJ154" s="4" t="s">
        <v>71</v>
      </c>
      <c r="AK154" s="4" t="s">
        <v>72</v>
      </c>
      <c r="AL154" s="4" t="s">
        <v>72</v>
      </c>
      <c r="AM154" s="4" t="s">
        <v>70</v>
      </c>
      <c r="AN154" s="4" t="s">
        <v>73</v>
      </c>
      <c r="AO154" s="4" t="s">
        <v>73</v>
      </c>
      <c r="AP154" s="4" t="s">
        <v>73</v>
      </c>
      <c r="AQ154" s="4" t="s">
        <v>73</v>
      </c>
      <c r="AR154" s="4" t="s">
        <v>71</v>
      </c>
      <c r="AS154" s="4" t="s">
        <v>71</v>
      </c>
      <c r="AT154" s="4" t="s">
        <v>70</v>
      </c>
      <c r="AU154" s="4" t="s">
        <v>73</v>
      </c>
      <c r="AV154" s="4" t="s">
        <v>70</v>
      </c>
      <c r="AW154" s="4" t="s">
        <v>73</v>
      </c>
      <c r="AX154" s="4" t="s">
        <v>70</v>
      </c>
      <c r="AY154" s="4" t="s">
        <v>70</v>
      </c>
      <c r="AZ154" s="4" t="s">
        <v>71</v>
      </c>
      <c r="BA154" s="4" t="s">
        <v>70</v>
      </c>
      <c r="BB154" s="4" t="s">
        <v>70</v>
      </c>
      <c r="BC154" s="4" t="s">
        <v>70</v>
      </c>
      <c r="BD154" s="4" t="s">
        <v>70</v>
      </c>
      <c r="BE154" s="4" t="s">
        <v>70</v>
      </c>
      <c r="BF154" s="4" t="s">
        <v>72</v>
      </c>
      <c r="BG154" s="4" t="s">
        <v>72</v>
      </c>
      <c r="BH154" s="4" t="s">
        <v>71</v>
      </c>
      <c r="BI154" s="4" t="s">
        <v>70</v>
      </c>
      <c r="BJ154" s="4" t="s">
        <v>73</v>
      </c>
      <c r="BK154" s="4" t="s">
        <v>73</v>
      </c>
      <c r="BL154" s="4" t="s">
        <v>72</v>
      </c>
      <c r="BM154" s="4" t="s">
        <v>71</v>
      </c>
      <c r="BN154" s="4" t="s">
        <v>71</v>
      </c>
      <c r="BO154" s="4" t="s">
        <v>71</v>
      </c>
      <c r="BP154" s="4" t="s">
        <v>72</v>
      </c>
      <c r="BQ154" s="4" t="s">
        <v>71</v>
      </c>
      <c r="BR154" s="4" t="s">
        <v>73</v>
      </c>
      <c r="BS154" s="4" t="s">
        <v>72</v>
      </c>
      <c r="BT154" s="4" t="s">
        <v>71</v>
      </c>
      <c r="BU154" s="4" t="s">
        <v>72</v>
      </c>
      <c r="BV154" s="4" t="s">
        <v>72</v>
      </c>
      <c r="BW154" s="4" t="s">
        <v>71</v>
      </c>
      <c r="BX154" s="4" t="s">
        <v>71</v>
      </c>
    </row>
    <row r="155" spans="1:76">
      <c r="A155" s="4" t="s">
        <v>287</v>
      </c>
      <c r="B155" s="4" t="s">
        <v>308</v>
      </c>
      <c r="C155" s="4" t="s">
        <v>125</v>
      </c>
      <c r="D155" s="4" t="s">
        <v>173</v>
      </c>
      <c r="E155" s="4" t="s">
        <v>70</v>
      </c>
      <c r="F155" s="4" t="s">
        <v>71</v>
      </c>
      <c r="G155" s="4" t="s">
        <v>72</v>
      </c>
      <c r="H155" s="4" t="s">
        <v>70</v>
      </c>
      <c r="I155" s="4" t="s">
        <v>73</v>
      </c>
      <c r="J155" s="4" t="s">
        <v>71</v>
      </c>
      <c r="K155" s="4" t="s">
        <v>72</v>
      </c>
      <c r="L155" s="4" t="s">
        <v>72</v>
      </c>
      <c r="M155" s="4" t="s">
        <v>73</v>
      </c>
      <c r="N155" s="4" t="s">
        <v>70</v>
      </c>
      <c r="O155" s="4" t="s">
        <v>71</v>
      </c>
      <c r="P155" s="4" t="s">
        <v>72</v>
      </c>
      <c r="Q155" s="4" t="s">
        <v>71</v>
      </c>
      <c r="R155" s="4" t="s">
        <v>73</v>
      </c>
      <c r="S155" s="4" t="s">
        <v>70</v>
      </c>
      <c r="T155" s="4" t="s">
        <v>72</v>
      </c>
      <c r="U155" s="4" t="s">
        <v>72</v>
      </c>
      <c r="V155" s="4" t="s">
        <v>70</v>
      </c>
      <c r="W155" s="4" t="s">
        <v>70</v>
      </c>
      <c r="X155" s="4" t="s">
        <v>72</v>
      </c>
      <c r="Y155" s="4" t="s">
        <v>73</v>
      </c>
      <c r="Z155" s="4" t="s">
        <v>70</v>
      </c>
      <c r="AA155" s="4" t="s">
        <v>73</v>
      </c>
      <c r="AB155" s="4" t="s">
        <v>70</v>
      </c>
      <c r="AC155" s="4" t="s">
        <v>71</v>
      </c>
      <c r="AD155" s="4" t="s">
        <v>73</v>
      </c>
      <c r="AE155" s="4" t="s">
        <v>73</v>
      </c>
      <c r="AF155" s="4" t="s">
        <v>72</v>
      </c>
      <c r="AG155" s="4" t="s">
        <v>72</v>
      </c>
      <c r="AH155" s="4" t="s">
        <v>70</v>
      </c>
      <c r="AI155" s="4" t="s">
        <v>73</v>
      </c>
      <c r="AJ155" s="4" t="s">
        <v>71</v>
      </c>
      <c r="AK155" s="4" t="s">
        <v>72</v>
      </c>
      <c r="AL155" s="4" t="s">
        <v>73</v>
      </c>
      <c r="AM155" s="4" t="s">
        <v>70</v>
      </c>
      <c r="AN155" s="4" t="s">
        <v>72</v>
      </c>
      <c r="AO155" s="4" t="s">
        <v>73</v>
      </c>
      <c r="AP155" s="4" t="s">
        <v>73</v>
      </c>
      <c r="AQ155" s="4" t="s">
        <v>72</v>
      </c>
      <c r="AR155" s="4" t="s">
        <v>71</v>
      </c>
      <c r="AS155" s="4" t="s">
        <v>73</v>
      </c>
      <c r="AT155" s="4" t="s">
        <v>73</v>
      </c>
      <c r="AU155" s="4" t="s">
        <v>72</v>
      </c>
      <c r="AV155" s="4" t="s">
        <v>73</v>
      </c>
      <c r="AW155" s="4" t="s">
        <v>70</v>
      </c>
      <c r="AX155" s="4" t="s">
        <v>70</v>
      </c>
      <c r="AY155" s="4" t="s">
        <v>72</v>
      </c>
      <c r="AZ155" s="4" t="s">
        <v>71</v>
      </c>
      <c r="BA155" s="4" t="s">
        <v>70</v>
      </c>
      <c r="BB155" s="4" t="s">
        <v>73</v>
      </c>
      <c r="BC155" s="4" t="s">
        <v>73</v>
      </c>
      <c r="BD155" s="4" t="s">
        <v>70</v>
      </c>
      <c r="BE155" s="4" t="s">
        <v>70</v>
      </c>
      <c r="BF155" s="4" t="s">
        <v>72</v>
      </c>
      <c r="BG155" s="4" t="s">
        <v>72</v>
      </c>
      <c r="BH155" s="4" t="s">
        <v>71</v>
      </c>
      <c r="BI155" s="4" t="s">
        <v>73</v>
      </c>
      <c r="BJ155" s="4" t="s">
        <v>73</v>
      </c>
      <c r="BK155" s="4" t="s">
        <v>73</v>
      </c>
      <c r="BL155" s="4" t="s">
        <v>72</v>
      </c>
      <c r="BM155" s="4" t="s">
        <v>71</v>
      </c>
      <c r="BN155" s="4" t="s">
        <v>71</v>
      </c>
      <c r="BO155" s="4" t="s">
        <v>72</v>
      </c>
      <c r="BP155" s="4" t="s">
        <v>72</v>
      </c>
      <c r="BQ155" s="4" t="s">
        <v>72</v>
      </c>
      <c r="BR155" s="4" t="s">
        <v>73</v>
      </c>
      <c r="BS155" s="4" t="s">
        <v>70</v>
      </c>
      <c r="BT155" s="4" t="s">
        <v>72</v>
      </c>
      <c r="BU155" s="4" t="s">
        <v>71</v>
      </c>
      <c r="BV155" s="4" t="s">
        <v>73</v>
      </c>
      <c r="BW155" s="4" t="s">
        <v>70</v>
      </c>
      <c r="BX155" s="4" t="s">
        <v>71</v>
      </c>
    </row>
    <row r="156" spans="1:76">
      <c r="A156" s="4" t="s">
        <v>287</v>
      </c>
      <c r="B156" s="4" t="s">
        <v>309</v>
      </c>
      <c r="C156" s="4" t="s">
        <v>125</v>
      </c>
      <c r="D156" s="4" t="s">
        <v>208</v>
      </c>
      <c r="E156" s="4" t="s">
        <v>70</v>
      </c>
      <c r="F156" s="4" t="s">
        <v>71</v>
      </c>
      <c r="G156" s="4" t="s">
        <v>72</v>
      </c>
      <c r="H156" s="4" t="s">
        <v>70</v>
      </c>
      <c r="I156" s="4" t="s">
        <v>73</v>
      </c>
      <c r="J156" s="4" t="s">
        <v>71</v>
      </c>
      <c r="K156" s="4" t="s">
        <v>72</v>
      </c>
      <c r="L156" s="4" t="s">
        <v>72</v>
      </c>
      <c r="M156" s="4" t="s">
        <v>73</v>
      </c>
      <c r="N156" s="4" t="s">
        <v>70</v>
      </c>
      <c r="O156" s="4" t="s">
        <v>71</v>
      </c>
      <c r="P156" s="4" t="s">
        <v>72</v>
      </c>
      <c r="Q156" s="4" t="s">
        <v>71</v>
      </c>
      <c r="R156" s="4" t="s">
        <v>73</v>
      </c>
      <c r="S156" s="4" t="s">
        <v>70</v>
      </c>
      <c r="T156" s="4" t="s">
        <v>71</v>
      </c>
      <c r="U156" s="4" t="s">
        <v>73</v>
      </c>
      <c r="V156" s="4" t="s">
        <v>70</v>
      </c>
      <c r="W156" s="4" t="s">
        <v>70</v>
      </c>
      <c r="X156" s="4" t="s">
        <v>71</v>
      </c>
      <c r="Y156" s="4" t="s">
        <v>73</v>
      </c>
      <c r="Z156" s="4" t="s">
        <v>70</v>
      </c>
      <c r="AA156" s="4" t="s">
        <v>73</v>
      </c>
      <c r="AB156" s="4" t="s">
        <v>70</v>
      </c>
      <c r="AC156" s="4" t="s">
        <v>71</v>
      </c>
      <c r="AD156" s="4" t="s">
        <v>73</v>
      </c>
      <c r="AE156" s="4" t="s">
        <v>73</v>
      </c>
      <c r="AF156" s="4" t="s">
        <v>71</v>
      </c>
      <c r="AG156" s="4" t="s">
        <v>72</v>
      </c>
      <c r="AH156" s="4" t="s">
        <v>70</v>
      </c>
      <c r="AI156" s="4" t="s">
        <v>73</v>
      </c>
      <c r="AJ156" s="4" t="s">
        <v>71</v>
      </c>
      <c r="AK156" s="4" t="s">
        <v>72</v>
      </c>
      <c r="AL156" s="4" t="s">
        <v>72</v>
      </c>
      <c r="AM156" s="4" t="s">
        <v>70</v>
      </c>
      <c r="AN156" s="4" t="s">
        <v>72</v>
      </c>
      <c r="AO156" s="4" t="s">
        <v>73</v>
      </c>
      <c r="AP156" s="4" t="s">
        <v>73</v>
      </c>
      <c r="AQ156" s="4" t="s">
        <v>72</v>
      </c>
      <c r="AR156" s="4" t="s">
        <v>71</v>
      </c>
      <c r="AS156" s="4" t="s">
        <v>73</v>
      </c>
      <c r="AT156" s="4" t="s">
        <v>70</v>
      </c>
      <c r="AU156" s="4" t="s">
        <v>72</v>
      </c>
      <c r="AV156" s="4" t="s">
        <v>73</v>
      </c>
      <c r="AW156" s="4" t="s">
        <v>70</v>
      </c>
      <c r="AX156" s="4" t="s">
        <v>70</v>
      </c>
      <c r="AY156" s="4" t="s">
        <v>72</v>
      </c>
      <c r="AZ156" s="4" t="s">
        <v>71</v>
      </c>
      <c r="BA156" s="4" t="s">
        <v>70</v>
      </c>
      <c r="BB156" s="4" t="s">
        <v>72</v>
      </c>
      <c r="BC156" s="4" t="s">
        <v>73</v>
      </c>
      <c r="BD156" s="4" t="s">
        <v>70</v>
      </c>
      <c r="BE156" s="4" t="s">
        <v>70</v>
      </c>
      <c r="BF156" s="4" t="s">
        <v>72</v>
      </c>
      <c r="BG156" s="4" t="s">
        <v>72</v>
      </c>
      <c r="BH156" s="4" t="s">
        <v>71</v>
      </c>
      <c r="BI156" s="4" t="s">
        <v>70</v>
      </c>
      <c r="BJ156" s="4" t="s">
        <v>73</v>
      </c>
      <c r="BK156" s="4" t="s">
        <v>72</v>
      </c>
      <c r="BL156" s="4" t="s">
        <v>72</v>
      </c>
      <c r="BM156" s="4" t="s">
        <v>71</v>
      </c>
      <c r="BN156" s="4" t="s">
        <v>71</v>
      </c>
      <c r="BO156" s="4" t="s">
        <v>72</v>
      </c>
      <c r="BP156" s="4" t="s">
        <v>73</v>
      </c>
      <c r="BQ156" s="4" t="s">
        <v>72</v>
      </c>
      <c r="BR156" s="4" t="s">
        <v>73</v>
      </c>
      <c r="BS156" s="4" t="s">
        <v>70</v>
      </c>
      <c r="BT156" s="4" t="s">
        <v>72</v>
      </c>
      <c r="BU156" s="4" t="s">
        <v>71</v>
      </c>
      <c r="BV156" s="4" t="s">
        <v>73</v>
      </c>
      <c r="BW156" s="4" t="s">
        <v>70</v>
      </c>
      <c r="BX156" s="4" t="s">
        <v>71</v>
      </c>
    </row>
    <row r="157" spans="1:76">
      <c r="A157" s="4" t="s">
        <v>287</v>
      </c>
      <c r="B157" s="4" t="s">
        <v>310</v>
      </c>
      <c r="C157" s="4" t="s">
        <v>129</v>
      </c>
      <c r="D157" s="4" t="s">
        <v>177</v>
      </c>
      <c r="E157" s="4" t="s">
        <v>70</v>
      </c>
      <c r="F157" s="4" t="s">
        <v>70</v>
      </c>
      <c r="G157" s="4" t="s">
        <v>73</v>
      </c>
      <c r="H157" s="4" t="s">
        <v>70</v>
      </c>
      <c r="I157" s="4" t="s">
        <v>72</v>
      </c>
      <c r="J157" s="4" t="s">
        <v>70</v>
      </c>
      <c r="K157" s="4" t="s">
        <v>72</v>
      </c>
      <c r="L157" s="4" t="s">
        <v>72</v>
      </c>
      <c r="M157" s="4" t="s">
        <v>73</v>
      </c>
      <c r="N157" s="4" t="s">
        <v>70</v>
      </c>
      <c r="O157" s="4" t="s">
        <v>71</v>
      </c>
      <c r="P157" s="4" t="s">
        <v>72</v>
      </c>
      <c r="Q157" s="4" t="s">
        <v>71</v>
      </c>
      <c r="R157" s="4" t="s">
        <v>73</v>
      </c>
      <c r="S157" s="4" t="s">
        <v>70</v>
      </c>
      <c r="T157" s="4" t="s">
        <v>71</v>
      </c>
      <c r="U157" s="4" t="s">
        <v>72</v>
      </c>
      <c r="V157" s="4" t="s">
        <v>70</v>
      </c>
      <c r="W157" s="4" t="s">
        <v>70</v>
      </c>
      <c r="X157" s="4" t="s">
        <v>70</v>
      </c>
      <c r="Y157" s="4" t="s">
        <v>73</v>
      </c>
      <c r="Z157" s="4" t="s">
        <v>70</v>
      </c>
      <c r="AA157" s="4" t="s">
        <v>73</v>
      </c>
      <c r="AB157" s="4" t="s">
        <v>70</v>
      </c>
      <c r="AC157" s="4" t="s">
        <v>71</v>
      </c>
      <c r="AD157" s="4" t="s">
        <v>72</v>
      </c>
      <c r="AE157" s="4" t="s">
        <v>71</v>
      </c>
      <c r="AF157" s="4" t="s">
        <v>71</v>
      </c>
      <c r="AG157" s="4" t="s">
        <v>72</v>
      </c>
      <c r="AH157" s="4" t="s">
        <v>70</v>
      </c>
      <c r="AI157" s="4" t="s">
        <v>71</v>
      </c>
      <c r="AJ157" s="4" t="s">
        <v>71</v>
      </c>
      <c r="AK157" s="4" t="s">
        <v>72</v>
      </c>
      <c r="AL157" s="4" t="s">
        <v>72</v>
      </c>
      <c r="AM157" s="4" t="s">
        <v>73</v>
      </c>
      <c r="AN157" s="4" t="s">
        <v>71</v>
      </c>
      <c r="AO157" s="4" t="s">
        <v>73</v>
      </c>
      <c r="AP157" s="4" t="s">
        <v>73</v>
      </c>
      <c r="AQ157" s="4" t="s">
        <v>70</v>
      </c>
      <c r="AR157" s="4" t="s">
        <v>71</v>
      </c>
      <c r="AS157" s="4" t="s">
        <v>73</v>
      </c>
      <c r="AT157" s="4" t="s">
        <v>70</v>
      </c>
      <c r="AU157" s="4" t="s">
        <v>70</v>
      </c>
      <c r="AV157" s="4" t="s">
        <v>71</v>
      </c>
      <c r="AW157" s="4" t="s">
        <v>70</v>
      </c>
      <c r="AX157" s="4" t="s">
        <v>70</v>
      </c>
      <c r="AY157" s="4" t="s">
        <v>72</v>
      </c>
      <c r="AZ157" s="4" t="s">
        <v>71</v>
      </c>
      <c r="BA157" s="4" t="s">
        <v>73</v>
      </c>
      <c r="BB157" s="4" t="s">
        <v>72</v>
      </c>
      <c r="BC157" s="4" t="s">
        <v>73</v>
      </c>
      <c r="BD157" s="4" t="s">
        <v>70</v>
      </c>
      <c r="BE157" s="4" t="s">
        <v>70</v>
      </c>
      <c r="BF157" s="4" t="s">
        <v>72</v>
      </c>
      <c r="BG157" s="4" t="s">
        <v>72</v>
      </c>
      <c r="BH157" s="4" t="s">
        <v>71</v>
      </c>
      <c r="BI157" s="4" t="s">
        <v>73</v>
      </c>
      <c r="BJ157" s="4" t="s">
        <v>73</v>
      </c>
      <c r="BK157" s="4" t="s">
        <v>70</v>
      </c>
      <c r="BL157" s="4" t="s">
        <v>72</v>
      </c>
      <c r="BM157" s="4" t="s">
        <v>71</v>
      </c>
      <c r="BN157" s="4" t="s">
        <v>71</v>
      </c>
      <c r="BO157" s="4" t="s">
        <v>72</v>
      </c>
      <c r="BP157" s="4" t="s">
        <v>73</v>
      </c>
      <c r="BQ157" s="4" t="s">
        <v>72</v>
      </c>
      <c r="BR157" s="4" t="s">
        <v>73</v>
      </c>
      <c r="BS157" s="4" t="s">
        <v>71</v>
      </c>
      <c r="BT157" s="4" t="s">
        <v>73</v>
      </c>
      <c r="BU157" s="4" t="s">
        <v>71</v>
      </c>
      <c r="BV157" s="4" t="s">
        <v>72</v>
      </c>
      <c r="BW157" s="4" t="s">
        <v>71</v>
      </c>
      <c r="BX157" s="4" t="s">
        <v>71</v>
      </c>
    </row>
    <row r="158" spans="1:76">
      <c r="A158" s="4" t="s">
        <v>287</v>
      </c>
      <c r="B158" s="4" t="s">
        <v>311</v>
      </c>
      <c r="C158" s="4" t="s">
        <v>129</v>
      </c>
      <c r="D158" s="4" t="s">
        <v>177</v>
      </c>
      <c r="E158" s="4" t="s">
        <v>70</v>
      </c>
      <c r="F158" s="4" t="s">
        <v>70</v>
      </c>
      <c r="G158" s="4" t="s">
        <v>73</v>
      </c>
      <c r="H158" s="4" t="s">
        <v>70</v>
      </c>
      <c r="I158" s="4" t="s">
        <v>72</v>
      </c>
      <c r="J158" s="4" t="s">
        <v>70</v>
      </c>
      <c r="K158" s="4" t="s">
        <v>72</v>
      </c>
      <c r="L158" s="4" t="s">
        <v>72</v>
      </c>
      <c r="M158" s="4" t="s">
        <v>73</v>
      </c>
      <c r="N158" s="4" t="s">
        <v>70</v>
      </c>
      <c r="O158" s="4" t="s">
        <v>71</v>
      </c>
      <c r="P158" s="4" t="s">
        <v>72</v>
      </c>
      <c r="Q158" s="4" t="s">
        <v>71</v>
      </c>
      <c r="R158" s="4" t="s">
        <v>73</v>
      </c>
      <c r="S158" s="4" t="s">
        <v>70</v>
      </c>
      <c r="T158" s="4" t="s">
        <v>71</v>
      </c>
      <c r="U158" s="4" t="s">
        <v>72</v>
      </c>
      <c r="V158" s="4" t="s">
        <v>70</v>
      </c>
      <c r="W158" s="4" t="s">
        <v>70</v>
      </c>
      <c r="X158" s="4" t="s">
        <v>70</v>
      </c>
      <c r="Y158" s="4" t="s">
        <v>73</v>
      </c>
      <c r="Z158" s="4" t="s">
        <v>70</v>
      </c>
      <c r="AA158" s="4" t="s">
        <v>73</v>
      </c>
      <c r="AB158" s="4" t="s">
        <v>70</v>
      </c>
      <c r="AC158" s="4" t="s">
        <v>71</v>
      </c>
      <c r="AD158" s="4" t="s">
        <v>72</v>
      </c>
      <c r="AE158" s="4" t="s">
        <v>71</v>
      </c>
      <c r="AF158" s="4" t="s">
        <v>71</v>
      </c>
      <c r="AG158" s="4" t="s">
        <v>72</v>
      </c>
      <c r="AH158" s="4" t="s">
        <v>70</v>
      </c>
      <c r="AI158" s="4" t="s">
        <v>71</v>
      </c>
      <c r="AJ158" s="4" t="s">
        <v>71</v>
      </c>
      <c r="AK158" s="4" t="s">
        <v>72</v>
      </c>
      <c r="AL158" s="4" t="s">
        <v>72</v>
      </c>
      <c r="AM158" s="4" t="s">
        <v>73</v>
      </c>
      <c r="AN158" s="4" t="s">
        <v>71</v>
      </c>
      <c r="AO158" s="4" t="s">
        <v>73</v>
      </c>
      <c r="AP158" s="4" t="s">
        <v>73</v>
      </c>
      <c r="AQ158" s="4" t="s">
        <v>70</v>
      </c>
      <c r="AR158" s="4" t="s">
        <v>71</v>
      </c>
      <c r="AS158" s="4" t="s">
        <v>73</v>
      </c>
      <c r="AT158" s="4" t="s">
        <v>70</v>
      </c>
      <c r="AU158" s="4" t="s">
        <v>70</v>
      </c>
      <c r="AV158" s="4" t="s">
        <v>71</v>
      </c>
      <c r="AW158" s="4" t="s">
        <v>70</v>
      </c>
      <c r="AX158" s="4" t="s">
        <v>70</v>
      </c>
      <c r="AY158" s="4" t="s">
        <v>72</v>
      </c>
      <c r="AZ158" s="4" t="s">
        <v>71</v>
      </c>
      <c r="BA158" s="4" t="s">
        <v>73</v>
      </c>
      <c r="BB158" s="4" t="s">
        <v>72</v>
      </c>
      <c r="BC158" s="4" t="s">
        <v>73</v>
      </c>
      <c r="BD158" s="4" t="s">
        <v>70</v>
      </c>
      <c r="BE158" s="4" t="s">
        <v>70</v>
      </c>
      <c r="BF158" s="4" t="s">
        <v>72</v>
      </c>
      <c r="BG158" s="4" t="s">
        <v>72</v>
      </c>
      <c r="BH158" s="4" t="s">
        <v>71</v>
      </c>
      <c r="BI158" s="4" t="s">
        <v>73</v>
      </c>
      <c r="BJ158" s="4" t="s">
        <v>73</v>
      </c>
      <c r="BK158" s="4" t="s">
        <v>70</v>
      </c>
      <c r="BL158" s="4" t="s">
        <v>72</v>
      </c>
      <c r="BM158" s="4" t="s">
        <v>71</v>
      </c>
      <c r="BN158" s="4" t="s">
        <v>71</v>
      </c>
      <c r="BO158" s="4" t="s">
        <v>72</v>
      </c>
      <c r="BP158" s="4" t="s">
        <v>73</v>
      </c>
      <c r="BQ158" s="4" t="s">
        <v>72</v>
      </c>
      <c r="BR158" s="4" t="s">
        <v>73</v>
      </c>
      <c r="BS158" s="4" t="s">
        <v>71</v>
      </c>
      <c r="BT158" s="4" t="s">
        <v>73</v>
      </c>
      <c r="BU158" s="4" t="s">
        <v>71</v>
      </c>
      <c r="BV158" s="4" t="s">
        <v>72</v>
      </c>
      <c r="BW158" s="4" t="s">
        <v>71</v>
      </c>
      <c r="BX158" s="4" t="s">
        <v>71</v>
      </c>
    </row>
    <row r="159" spans="1:76">
      <c r="A159" s="4" t="s">
        <v>287</v>
      </c>
      <c r="B159" s="4" t="s">
        <v>312</v>
      </c>
      <c r="C159" s="4" t="s">
        <v>211</v>
      </c>
      <c r="D159" s="4" t="s">
        <v>212</v>
      </c>
      <c r="E159" s="4" t="s">
        <v>73</v>
      </c>
      <c r="F159" s="4" t="s">
        <v>70</v>
      </c>
      <c r="G159" s="4" t="s">
        <v>70</v>
      </c>
      <c r="H159" s="4" t="s">
        <v>73</v>
      </c>
      <c r="I159" s="4" t="s">
        <v>70</v>
      </c>
      <c r="J159" s="4" t="s">
        <v>73</v>
      </c>
      <c r="K159" s="4" t="s">
        <v>70</v>
      </c>
      <c r="L159" s="4" t="s">
        <v>72</v>
      </c>
      <c r="M159" s="4" t="s">
        <v>73</v>
      </c>
      <c r="N159" s="4" t="s">
        <v>70</v>
      </c>
      <c r="O159" s="4" t="s">
        <v>72</v>
      </c>
      <c r="P159" s="4" t="s">
        <v>72</v>
      </c>
      <c r="Q159" s="4" t="s">
        <v>71</v>
      </c>
      <c r="R159" s="4" t="s">
        <v>73</v>
      </c>
      <c r="S159" s="4" t="s">
        <v>73</v>
      </c>
      <c r="T159" s="10" t="s">
        <v>77</v>
      </c>
      <c r="U159" s="4" t="s">
        <v>72</v>
      </c>
      <c r="V159" s="4" t="s">
        <v>70</v>
      </c>
      <c r="W159" s="4" t="s">
        <v>70</v>
      </c>
      <c r="X159" s="4" t="s">
        <v>72</v>
      </c>
      <c r="Y159" s="4" t="s">
        <v>73</v>
      </c>
      <c r="Z159" s="4" t="s">
        <v>70</v>
      </c>
      <c r="AA159" s="4" t="s">
        <v>73</v>
      </c>
      <c r="AB159" s="4" t="s">
        <v>73</v>
      </c>
      <c r="AC159" s="4" t="s">
        <v>71</v>
      </c>
      <c r="AD159" s="4" t="s">
        <v>70</v>
      </c>
      <c r="AE159" s="4" t="s">
        <v>72</v>
      </c>
      <c r="AF159" s="4" t="s">
        <v>71</v>
      </c>
      <c r="AG159" s="4" t="s">
        <v>70</v>
      </c>
      <c r="AH159" s="4" t="s">
        <v>70</v>
      </c>
      <c r="AI159" s="4" t="s">
        <v>72</v>
      </c>
      <c r="AJ159" s="4" t="s">
        <v>71</v>
      </c>
      <c r="AK159" s="4" t="s">
        <v>72</v>
      </c>
      <c r="AL159" s="4" t="s">
        <v>71</v>
      </c>
      <c r="AM159" s="4" t="s">
        <v>71</v>
      </c>
      <c r="AN159" s="4" t="s">
        <v>73</v>
      </c>
      <c r="AO159" s="4" t="s">
        <v>73</v>
      </c>
      <c r="AP159" s="4" t="s">
        <v>73</v>
      </c>
      <c r="AQ159" s="4" t="s">
        <v>73</v>
      </c>
      <c r="AR159" s="4" t="s">
        <v>71</v>
      </c>
      <c r="AS159" s="4" t="s">
        <v>71</v>
      </c>
      <c r="AT159" s="4" t="s">
        <v>70</v>
      </c>
      <c r="AU159" s="4" t="s">
        <v>73</v>
      </c>
      <c r="AV159" s="4" t="s">
        <v>70</v>
      </c>
      <c r="AW159" s="4" t="s">
        <v>71</v>
      </c>
      <c r="AX159" s="4" t="s">
        <v>70</v>
      </c>
      <c r="AY159" s="4" t="s">
        <v>72</v>
      </c>
      <c r="AZ159" s="4" t="s">
        <v>72</v>
      </c>
      <c r="BA159" s="4" t="s">
        <v>70</v>
      </c>
      <c r="BB159" s="4" t="s">
        <v>73</v>
      </c>
      <c r="BC159" s="4" t="s">
        <v>70</v>
      </c>
      <c r="BD159" s="4" t="s">
        <v>70</v>
      </c>
      <c r="BE159" s="4" t="s">
        <v>70</v>
      </c>
      <c r="BF159" s="4" t="s">
        <v>72</v>
      </c>
      <c r="BG159" s="4" t="s">
        <v>72</v>
      </c>
      <c r="BH159" s="4" t="s">
        <v>71</v>
      </c>
      <c r="BI159" s="4" t="s">
        <v>70</v>
      </c>
      <c r="BJ159" s="4" t="s">
        <v>73</v>
      </c>
      <c r="BK159" s="4" t="s">
        <v>72</v>
      </c>
      <c r="BL159" s="4" t="s">
        <v>72</v>
      </c>
      <c r="BM159" s="4" t="s">
        <v>71</v>
      </c>
      <c r="BN159" s="4" t="s">
        <v>71</v>
      </c>
      <c r="BO159" s="4" t="s">
        <v>72</v>
      </c>
      <c r="BP159" s="4" t="s">
        <v>72</v>
      </c>
      <c r="BQ159" s="4" t="s">
        <v>72</v>
      </c>
      <c r="BR159" s="4" t="s">
        <v>71</v>
      </c>
      <c r="BS159" s="4" t="s">
        <v>72</v>
      </c>
      <c r="BT159" s="4" t="s">
        <v>71</v>
      </c>
      <c r="BU159" s="4" t="s">
        <v>72</v>
      </c>
      <c r="BV159" s="4" t="s">
        <v>71</v>
      </c>
      <c r="BW159" s="4" t="s">
        <v>71</v>
      </c>
      <c r="BX159" s="4" t="s">
        <v>72</v>
      </c>
    </row>
    <row r="160" spans="1:76">
      <c r="A160" s="4" t="s">
        <v>287</v>
      </c>
      <c r="B160" s="4" t="s">
        <v>313</v>
      </c>
      <c r="C160" s="4" t="s">
        <v>211</v>
      </c>
      <c r="D160" s="4" t="s">
        <v>314</v>
      </c>
      <c r="E160" s="4" t="s">
        <v>73</v>
      </c>
      <c r="F160" s="4" t="s">
        <v>70</v>
      </c>
      <c r="G160" s="4" t="s">
        <v>70</v>
      </c>
      <c r="H160" s="4" t="s">
        <v>70</v>
      </c>
      <c r="I160" s="4" t="s">
        <v>70</v>
      </c>
      <c r="J160" s="4" t="s">
        <v>71</v>
      </c>
      <c r="K160" s="4" t="s">
        <v>73</v>
      </c>
      <c r="L160" s="4" t="s">
        <v>72</v>
      </c>
      <c r="M160" s="4" t="s">
        <v>73</v>
      </c>
      <c r="N160" s="4" t="s">
        <v>70</v>
      </c>
      <c r="O160" s="4" t="s">
        <v>72</v>
      </c>
      <c r="P160" s="4" t="s">
        <v>72</v>
      </c>
      <c r="Q160" s="4" t="s">
        <v>71</v>
      </c>
      <c r="R160" s="4" t="s">
        <v>73</v>
      </c>
      <c r="S160" s="4" t="s">
        <v>70</v>
      </c>
      <c r="T160" s="4" t="s">
        <v>72</v>
      </c>
      <c r="U160" s="4" t="s">
        <v>73</v>
      </c>
      <c r="V160" s="4" t="s">
        <v>70</v>
      </c>
      <c r="W160" s="4" t="s">
        <v>70</v>
      </c>
      <c r="X160" s="4" t="s">
        <v>72</v>
      </c>
      <c r="Y160" s="4" t="s">
        <v>73</v>
      </c>
      <c r="Z160" s="4" t="s">
        <v>70</v>
      </c>
      <c r="AA160" s="4" t="s">
        <v>73</v>
      </c>
      <c r="AB160" s="4" t="s">
        <v>73</v>
      </c>
      <c r="AC160" s="4" t="s">
        <v>71</v>
      </c>
      <c r="AD160" s="4" t="s">
        <v>73</v>
      </c>
      <c r="AE160" s="4" t="s">
        <v>72</v>
      </c>
      <c r="AF160" s="4" t="s">
        <v>71</v>
      </c>
      <c r="AG160" s="4" t="s">
        <v>70</v>
      </c>
      <c r="AH160" s="4" t="s">
        <v>70</v>
      </c>
      <c r="AI160" s="4" t="s">
        <v>72</v>
      </c>
      <c r="AJ160" s="4" t="s">
        <v>71</v>
      </c>
      <c r="AK160" s="4" t="s">
        <v>72</v>
      </c>
      <c r="AL160" s="4" t="s">
        <v>72</v>
      </c>
      <c r="AM160" s="4" t="s">
        <v>71</v>
      </c>
      <c r="AN160" s="4" t="s">
        <v>73</v>
      </c>
      <c r="AO160" s="4" t="s">
        <v>73</v>
      </c>
      <c r="AP160" s="4" t="s">
        <v>73</v>
      </c>
      <c r="AQ160" s="4" t="s">
        <v>73</v>
      </c>
      <c r="AR160" s="4" t="s">
        <v>71</v>
      </c>
      <c r="AS160" s="4" t="s">
        <v>71</v>
      </c>
      <c r="AT160" s="4" t="s">
        <v>70</v>
      </c>
      <c r="AU160" s="4" t="s">
        <v>73</v>
      </c>
      <c r="AV160" s="4" t="s">
        <v>70</v>
      </c>
      <c r="AW160" s="4" t="s">
        <v>72</v>
      </c>
      <c r="AX160" s="4" t="s">
        <v>70</v>
      </c>
      <c r="AY160" s="4" t="s">
        <v>72</v>
      </c>
      <c r="AZ160" s="4" t="s">
        <v>71</v>
      </c>
      <c r="BA160" s="4" t="s">
        <v>73</v>
      </c>
      <c r="BB160" s="4" t="s">
        <v>71</v>
      </c>
      <c r="BC160" s="4" t="s">
        <v>70</v>
      </c>
      <c r="BD160" s="4" t="s">
        <v>73</v>
      </c>
      <c r="BE160" s="4" t="s">
        <v>70</v>
      </c>
      <c r="BF160" s="4" t="s">
        <v>72</v>
      </c>
      <c r="BG160" s="4" t="s">
        <v>72</v>
      </c>
      <c r="BH160" s="4" t="s">
        <v>71</v>
      </c>
      <c r="BI160" s="4" t="s">
        <v>70</v>
      </c>
      <c r="BJ160" s="4" t="s">
        <v>73</v>
      </c>
      <c r="BK160" s="4" t="s">
        <v>70</v>
      </c>
      <c r="BL160" s="4" t="s">
        <v>72</v>
      </c>
      <c r="BM160" s="4" t="s">
        <v>71</v>
      </c>
      <c r="BN160" s="4" t="s">
        <v>72</v>
      </c>
      <c r="BO160" s="4" t="s">
        <v>72</v>
      </c>
      <c r="BP160" s="4" t="s">
        <v>70</v>
      </c>
      <c r="BQ160" s="4" t="s">
        <v>72</v>
      </c>
      <c r="BR160" s="4" t="s">
        <v>72</v>
      </c>
      <c r="BS160" s="4" t="s">
        <v>70</v>
      </c>
      <c r="BT160" s="4" t="s">
        <v>71</v>
      </c>
      <c r="BU160" s="4" t="s">
        <v>71</v>
      </c>
      <c r="BV160" s="4" t="s">
        <v>71</v>
      </c>
      <c r="BW160" s="4" t="s">
        <v>71</v>
      </c>
      <c r="BX160" s="4" t="s">
        <v>72</v>
      </c>
    </row>
    <row r="161" spans="1:76">
      <c r="A161" s="4" t="s">
        <v>287</v>
      </c>
      <c r="B161" s="4" t="s">
        <v>295</v>
      </c>
      <c r="C161" s="4" t="s">
        <v>117</v>
      </c>
      <c r="D161" s="4" t="s">
        <v>88</v>
      </c>
      <c r="E161" s="4" t="s">
        <v>71</v>
      </c>
      <c r="F161" s="4" t="s">
        <v>70</v>
      </c>
      <c r="G161" s="4" t="s">
        <v>71</v>
      </c>
      <c r="H161" s="4" t="s">
        <v>70</v>
      </c>
      <c r="I161" s="4" t="s">
        <v>70</v>
      </c>
      <c r="J161" s="4" t="s">
        <v>70</v>
      </c>
      <c r="K161" s="4" t="s">
        <v>70</v>
      </c>
      <c r="L161" s="4" t="s">
        <v>72</v>
      </c>
      <c r="M161" s="4" t="s">
        <v>73</v>
      </c>
      <c r="N161" s="4" t="s">
        <v>70</v>
      </c>
      <c r="O161" s="4" t="s">
        <v>73</v>
      </c>
      <c r="P161" s="4" t="s">
        <v>70</v>
      </c>
      <c r="Q161" s="4" t="s">
        <v>71</v>
      </c>
      <c r="R161" s="4" t="s">
        <v>73</v>
      </c>
      <c r="S161" s="4" t="s">
        <v>70</v>
      </c>
      <c r="T161" s="4" t="s">
        <v>72</v>
      </c>
      <c r="U161" s="4" t="s">
        <v>72</v>
      </c>
      <c r="V161" s="4" t="s">
        <v>70</v>
      </c>
      <c r="W161" s="4" t="s">
        <v>70</v>
      </c>
      <c r="X161" s="4" t="s">
        <v>72</v>
      </c>
      <c r="Y161" s="4" t="s">
        <v>73</v>
      </c>
      <c r="Z161" s="4" t="s">
        <v>70</v>
      </c>
      <c r="AA161" s="4" t="s">
        <v>71</v>
      </c>
      <c r="AB161" s="4" t="s">
        <v>72</v>
      </c>
      <c r="AC161" s="4" t="s">
        <v>71</v>
      </c>
      <c r="AD161" s="4" t="s">
        <v>70</v>
      </c>
      <c r="AE161" s="4" t="s">
        <v>71</v>
      </c>
      <c r="AF161" s="4" t="s">
        <v>71</v>
      </c>
      <c r="AG161" s="4" t="s">
        <v>70</v>
      </c>
      <c r="AH161" s="4" t="s">
        <v>70</v>
      </c>
      <c r="AI161" s="4" t="s">
        <v>70</v>
      </c>
      <c r="AJ161" s="4" t="s">
        <v>71</v>
      </c>
      <c r="AK161" s="4" t="s">
        <v>72</v>
      </c>
      <c r="AL161" s="4" t="s">
        <v>71</v>
      </c>
      <c r="AM161" s="4" t="s">
        <v>73</v>
      </c>
      <c r="AN161" s="4" t="s">
        <v>72</v>
      </c>
      <c r="AO161" s="4" t="s">
        <v>73</v>
      </c>
      <c r="AP161" s="4" t="s">
        <v>73</v>
      </c>
      <c r="AQ161" s="4" t="s">
        <v>71</v>
      </c>
      <c r="AR161" s="4" t="s">
        <v>71</v>
      </c>
      <c r="AS161" s="4" t="s">
        <v>71</v>
      </c>
      <c r="AT161" s="4" t="s">
        <v>70</v>
      </c>
      <c r="AU161" s="4" t="s">
        <v>70</v>
      </c>
      <c r="AV161" s="4" t="s">
        <v>73</v>
      </c>
      <c r="AW161" s="4" t="s">
        <v>70</v>
      </c>
      <c r="AX161" s="4" t="s">
        <v>70</v>
      </c>
      <c r="AY161" s="4" t="s">
        <v>72</v>
      </c>
      <c r="AZ161" s="4" t="s">
        <v>71</v>
      </c>
      <c r="BA161" s="4" t="s">
        <v>70</v>
      </c>
      <c r="BB161" s="4" t="s">
        <v>71</v>
      </c>
      <c r="BC161" s="4" t="s">
        <v>73</v>
      </c>
      <c r="BD161" s="4" t="s">
        <v>70</v>
      </c>
      <c r="BE161" s="4" t="s">
        <v>70</v>
      </c>
      <c r="BF161" s="4" t="s">
        <v>72</v>
      </c>
      <c r="BG161" s="4" t="s">
        <v>72</v>
      </c>
      <c r="BH161" s="4" t="s">
        <v>71</v>
      </c>
      <c r="BI161" s="4" t="s">
        <v>70</v>
      </c>
      <c r="BJ161" s="4" t="s">
        <v>73</v>
      </c>
      <c r="BK161" s="4" t="s">
        <v>70</v>
      </c>
      <c r="BL161" s="4" t="s">
        <v>72</v>
      </c>
      <c r="BM161" s="4" t="s">
        <v>71</v>
      </c>
      <c r="BN161" s="4" t="s">
        <v>71</v>
      </c>
      <c r="BO161" s="4" t="s">
        <v>72</v>
      </c>
      <c r="BP161" s="4" t="s">
        <v>70</v>
      </c>
      <c r="BQ161" s="4" t="s">
        <v>71</v>
      </c>
      <c r="BR161" s="4" t="s">
        <v>71</v>
      </c>
      <c r="BS161" s="4" t="s">
        <v>71</v>
      </c>
      <c r="BT161" s="4" t="s">
        <v>71</v>
      </c>
      <c r="BU161" s="4" t="s">
        <v>71</v>
      </c>
      <c r="BV161" s="4" t="s">
        <v>70</v>
      </c>
      <c r="BW161" s="4" t="s">
        <v>71</v>
      </c>
      <c r="BX161" s="4" t="s">
        <v>73</v>
      </c>
    </row>
    <row r="162" spans="1:76">
      <c r="A162" s="4" t="s">
        <v>287</v>
      </c>
      <c r="B162" s="4" t="s">
        <v>315</v>
      </c>
      <c r="C162" s="4" t="s">
        <v>117</v>
      </c>
      <c r="D162" s="4" t="s">
        <v>88</v>
      </c>
      <c r="E162" s="4" t="s">
        <v>71</v>
      </c>
      <c r="F162" s="4" t="s">
        <v>70</v>
      </c>
      <c r="G162" s="4" t="s">
        <v>71</v>
      </c>
      <c r="H162" s="4" t="s">
        <v>70</v>
      </c>
      <c r="I162" s="4" t="s">
        <v>70</v>
      </c>
      <c r="J162" s="4" t="s">
        <v>70</v>
      </c>
      <c r="K162" s="4" t="s">
        <v>70</v>
      </c>
      <c r="L162" s="4" t="s">
        <v>72</v>
      </c>
      <c r="M162" s="4" t="s">
        <v>73</v>
      </c>
      <c r="N162" s="4" t="s">
        <v>70</v>
      </c>
      <c r="O162" s="4" t="s">
        <v>73</v>
      </c>
      <c r="P162" s="4" t="s">
        <v>70</v>
      </c>
      <c r="Q162" s="4" t="s">
        <v>71</v>
      </c>
      <c r="R162" s="4" t="s">
        <v>73</v>
      </c>
      <c r="S162" s="4" t="s">
        <v>70</v>
      </c>
      <c r="T162" s="4" t="s">
        <v>72</v>
      </c>
      <c r="U162" s="4" t="s">
        <v>72</v>
      </c>
      <c r="V162" s="4" t="s">
        <v>70</v>
      </c>
      <c r="W162" s="4" t="s">
        <v>70</v>
      </c>
      <c r="X162" s="4" t="s">
        <v>72</v>
      </c>
      <c r="Y162" s="4" t="s">
        <v>73</v>
      </c>
      <c r="Z162" s="4" t="s">
        <v>70</v>
      </c>
      <c r="AA162" s="4" t="s">
        <v>71</v>
      </c>
      <c r="AB162" s="4" t="s">
        <v>72</v>
      </c>
      <c r="AC162" s="4" t="s">
        <v>71</v>
      </c>
      <c r="AD162" s="4" t="s">
        <v>70</v>
      </c>
      <c r="AE162" s="4" t="s">
        <v>71</v>
      </c>
      <c r="AF162" s="4" t="s">
        <v>71</v>
      </c>
      <c r="AG162" s="4" t="s">
        <v>70</v>
      </c>
      <c r="AH162" s="4" t="s">
        <v>70</v>
      </c>
      <c r="AI162" s="4" t="s">
        <v>70</v>
      </c>
      <c r="AJ162" s="4" t="s">
        <v>71</v>
      </c>
      <c r="AK162" s="4" t="s">
        <v>72</v>
      </c>
      <c r="AL162" s="4" t="s">
        <v>71</v>
      </c>
      <c r="AM162" s="4" t="s">
        <v>73</v>
      </c>
      <c r="AN162" s="4" t="s">
        <v>72</v>
      </c>
      <c r="AO162" s="4" t="s">
        <v>73</v>
      </c>
      <c r="AP162" s="4" t="s">
        <v>73</v>
      </c>
      <c r="AQ162" s="4" t="s">
        <v>71</v>
      </c>
      <c r="AR162" s="4" t="s">
        <v>71</v>
      </c>
      <c r="AS162" s="4" t="s">
        <v>71</v>
      </c>
      <c r="AT162" s="4" t="s">
        <v>70</v>
      </c>
      <c r="AU162" s="4" t="s">
        <v>70</v>
      </c>
      <c r="AV162" s="4" t="s">
        <v>73</v>
      </c>
      <c r="AW162" s="4" t="s">
        <v>70</v>
      </c>
      <c r="AX162" s="4" t="s">
        <v>70</v>
      </c>
      <c r="AY162" s="4" t="s">
        <v>71</v>
      </c>
      <c r="AZ162" s="4" t="s">
        <v>71</v>
      </c>
      <c r="BA162" s="4" t="s">
        <v>70</v>
      </c>
      <c r="BB162" s="4" t="s">
        <v>71</v>
      </c>
      <c r="BC162" s="4" t="s">
        <v>73</v>
      </c>
      <c r="BD162" s="4" t="s">
        <v>70</v>
      </c>
      <c r="BE162" s="4" t="s">
        <v>70</v>
      </c>
      <c r="BF162" s="4" t="s">
        <v>72</v>
      </c>
      <c r="BG162" s="4" t="s">
        <v>72</v>
      </c>
      <c r="BH162" s="4" t="s">
        <v>71</v>
      </c>
      <c r="BI162" s="4" t="s">
        <v>70</v>
      </c>
      <c r="BJ162" s="4" t="s">
        <v>73</v>
      </c>
      <c r="BK162" s="4" t="s">
        <v>70</v>
      </c>
      <c r="BL162" s="4" t="s">
        <v>72</v>
      </c>
      <c r="BM162" s="4" t="s">
        <v>71</v>
      </c>
      <c r="BN162" s="4" t="s">
        <v>71</v>
      </c>
      <c r="BO162" s="4" t="s">
        <v>72</v>
      </c>
      <c r="BP162" s="4" t="s">
        <v>70</v>
      </c>
      <c r="BQ162" s="4" t="s">
        <v>71</v>
      </c>
      <c r="BR162" s="4" t="s">
        <v>71</v>
      </c>
      <c r="BS162" s="4" t="s">
        <v>71</v>
      </c>
      <c r="BT162" s="4" t="s">
        <v>71</v>
      </c>
      <c r="BU162" s="4" t="s">
        <v>71</v>
      </c>
      <c r="BV162" s="4" t="s">
        <v>70</v>
      </c>
      <c r="BW162" s="4" t="s">
        <v>71</v>
      </c>
      <c r="BX162" s="4" t="s">
        <v>73</v>
      </c>
    </row>
    <row r="163" spans="1:76">
      <c r="A163" s="4" t="s">
        <v>287</v>
      </c>
      <c r="B163" s="4" t="s">
        <v>316</v>
      </c>
      <c r="C163" s="4" t="s">
        <v>103</v>
      </c>
      <c r="D163" s="4" t="s">
        <v>136</v>
      </c>
      <c r="E163" s="4" t="s">
        <v>70</v>
      </c>
      <c r="F163" s="4" t="s">
        <v>70</v>
      </c>
      <c r="G163" s="4" t="s">
        <v>70</v>
      </c>
      <c r="H163" s="4" t="s">
        <v>71</v>
      </c>
      <c r="I163" s="4" t="s">
        <v>71</v>
      </c>
      <c r="J163" s="4" t="s">
        <v>71</v>
      </c>
      <c r="K163" s="4" t="s">
        <v>72</v>
      </c>
      <c r="L163" s="4" t="s">
        <v>72</v>
      </c>
      <c r="M163" s="4" t="s">
        <v>73</v>
      </c>
      <c r="N163" s="4" t="s">
        <v>70</v>
      </c>
      <c r="O163" s="4" t="s">
        <v>71</v>
      </c>
      <c r="P163" s="4" t="s">
        <v>72</v>
      </c>
      <c r="Q163" s="4" t="s">
        <v>71</v>
      </c>
      <c r="R163" s="4" t="s">
        <v>73</v>
      </c>
      <c r="S163" s="4" t="s">
        <v>70</v>
      </c>
      <c r="T163" s="4" t="s">
        <v>71</v>
      </c>
      <c r="U163" s="4" t="s">
        <v>72</v>
      </c>
      <c r="V163" s="4" t="s">
        <v>70</v>
      </c>
      <c r="W163" s="4" t="s">
        <v>70</v>
      </c>
      <c r="X163" s="4" t="s">
        <v>70</v>
      </c>
      <c r="Y163" s="4" t="s">
        <v>73</v>
      </c>
      <c r="Z163" s="4" t="s">
        <v>70</v>
      </c>
      <c r="AA163" s="4" t="s">
        <v>73</v>
      </c>
      <c r="AB163" s="4" t="s">
        <v>70</v>
      </c>
      <c r="AC163" s="4" t="s">
        <v>71</v>
      </c>
      <c r="AD163" s="4" t="s">
        <v>73</v>
      </c>
      <c r="AE163" s="4" t="s">
        <v>71</v>
      </c>
      <c r="AF163" s="4" t="s">
        <v>71</v>
      </c>
      <c r="AG163" s="4" t="s">
        <v>72</v>
      </c>
      <c r="AH163" s="4" t="s">
        <v>70</v>
      </c>
      <c r="AI163" s="4" t="s">
        <v>71</v>
      </c>
      <c r="AJ163" s="4" t="s">
        <v>71</v>
      </c>
      <c r="AK163" s="4" t="s">
        <v>72</v>
      </c>
      <c r="AL163" s="4" t="s">
        <v>72</v>
      </c>
      <c r="AM163" s="4" t="s">
        <v>70</v>
      </c>
      <c r="AN163" s="4" t="s">
        <v>71</v>
      </c>
      <c r="AO163" s="4" t="s">
        <v>73</v>
      </c>
      <c r="AP163" s="4" t="s">
        <v>71</v>
      </c>
      <c r="AQ163" s="4" t="s">
        <v>70</v>
      </c>
      <c r="AR163" s="4" t="s">
        <v>71</v>
      </c>
      <c r="AS163" s="4" t="s">
        <v>73</v>
      </c>
      <c r="AT163" s="4" t="s">
        <v>70</v>
      </c>
      <c r="AU163" s="4" t="s">
        <v>70</v>
      </c>
      <c r="AV163" s="4" t="s">
        <v>70</v>
      </c>
      <c r="AW163" s="4" t="s">
        <v>70</v>
      </c>
      <c r="AX163" s="4" t="s">
        <v>70</v>
      </c>
      <c r="AY163" s="4" t="s">
        <v>72</v>
      </c>
      <c r="AZ163" s="4" t="s">
        <v>71</v>
      </c>
      <c r="BA163" s="4" t="s">
        <v>70</v>
      </c>
      <c r="BB163" s="4" t="s">
        <v>73</v>
      </c>
      <c r="BC163" s="4" t="s">
        <v>71</v>
      </c>
      <c r="BD163" s="4" t="s">
        <v>70</v>
      </c>
      <c r="BE163" s="4" t="s">
        <v>70</v>
      </c>
      <c r="BF163" s="4" t="s">
        <v>72</v>
      </c>
      <c r="BG163" s="4" t="s">
        <v>72</v>
      </c>
      <c r="BH163" s="4" t="s">
        <v>71</v>
      </c>
      <c r="BI163" s="4" t="s">
        <v>70</v>
      </c>
      <c r="BJ163" s="4" t="s">
        <v>73</v>
      </c>
      <c r="BK163" s="4" t="s">
        <v>72</v>
      </c>
      <c r="BL163" s="4" t="s">
        <v>71</v>
      </c>
      <c r="BM163" s="4" t="s">
        <v>71</v>
      </c>
      <c r="BN163" s="4" t="s">
        <v>71</v>
      </c>
      <c r="BO163" s="4" t="s">
        <v>70</v>
      </c>
      <c r="BP163" s="4" t="s">
        <v>72</v>
      </c>
      <c r="BQ163" s="4" t="s">
        <v>72</v>
      </c>
      <c r="BR163" s="4" t="s">
        <v>73</v>
      </c>
      <c r="BS163" s="4" t="s">
        <v>70</v>
      </c>
      <c r="BT163" s="4" t="s">
        <v>70</v>
      </c>
      <c r="BU163" s="4" t="s">
        <v>70</v>
      </c>
      <c r="BV163" s="4" t="s">
        <v>72</v>
      </c>
      <c r="BW163" s="4" t="s">
        <v>71</v>
      </c>
      <c r="BX163" s="4" t="s">
        <v>71</v>
      </c>
    </row>
    <row r="164" spans="1:76">
      <c r="A164" s="4" t="s">
        <v>287</v>
      </c>
      <c r="B164" s="4" t="s">
        <v>317</v>
      </c>
      <c r="C164" s="4" t="s">
        <v>112</v>
      </c>
      <c r="D164" s="4" t="s">
        <v>194</v>
      </c>
      <c r="E164" s="4" t="s">
        <v>70</v>
      </c>
      <c r="F164" s="4" t="s">
        <v>71</v>
      </c>
      <c r="G164" s="4" t="s">
        <v>73</v>
      </c>
      <c r="H164" s="4" t="s">
        <v>70</v>
      </c>
      <c r="I164" s="4" t="s">
        <v>70</v>
      </c>
      <c r="J164" s="4" t="s">
        <v>72</v>
      </c>
      <c r="K164" s="4" t="s">
        <v>70</v>
      </c>
      <c r="L164" s="4" t="s">
        <v>72</v>
      </c>
      <c r="M164" s="4" t="s">
        <v>73</v>
      </c>
      <c r="N164" s="4" t="s">
        <v>70</v>
      </c>
      <c r="O164" s="4" t="s">
        <v>72</v>
      </c>
      <c r="P164" s="4" t="s">
        <v>72</v>
      </c>
      <c r="Q164" s="4" t="s">
        <v>72</v>
      </c>
      <c r="R164" s="4" t="s">
        <v>73</v>
      </c>
      <c r="S164" s="4" t="s">
        <v>73</v>
      </c>
      <c r="T164" s="10" t="s">
        <v>77</v>
      </c>
      <c r="U164" s="4" t="s">
        <v>72</v>
      </c>
      <c r="V164" s="4" t="s">
        <v>70</v>
      </c>
      <c r="W164" s="4" t="s">
        <v>70</v>
      </c>
      <c r="X164" s="4" t="s">
        <v>71</v>
      </c>
      <c r="Y164" s="4" t="s">
        <v>73</v>
      </c>
      <c r="Z164" s="4" t="s">
        <v>70</v>
      </c>
      <c r="AA164" s="4" t="s">
        <v>73</v>
      </c>
      <c r="AB164" s="4" t="s">
        <v>73</v>
      </c>
      <c r="AC164" s="4" t="s">
        <v>71</v>
      </c>
      <c r="AD164" s="4" t="s">
        <v>72</v>
      </c>
      <c r="AE164" s="4" t="s">
        <v>72</v>
      </c>
      <c r="AF164" s="4" t="s">
        <v>71</v>
      </c>
      <c r="AG164" s="4" t="s">
        <v>73</v>
      </c>
      <c r="AH164" s="4" t="s">
        <v>70</v>
      </c>
      <c r="AI164" s="4" t="s">
        <v>71</v>
      </c>
      <c r="AJ164" s="4" t="s">
        <v>71</v>
      </c>
      <c r="AK164" s="4" t="s">
        <v>72</v>
      </c>
      <c r="AL164" s="4" t="s">
        <v>72</v>
      </c>
      <c r="AM164" s="4" t="s">
        <v>71</v>
      </c>
      <c r="AN164" s="4" t="s">
        <v>71</v>
      </c>
      <c r="AO164" s="4" t="s">
        <v>73</v>
      </c>
      <c r="AP164" s="4" t="s">
        <v>73</v>
      </c>
      <c r="AQ164" s="4" t="s">
        <v>70</v>
      </c>
      <c r="AR164" s="4" t="s">
        <v>71</v>
      </c>
      <c r="AS164" s="4" t="s">
        <v>72</v>
      </c>
      <c r="AT164" s="4" t="s">
        <v>70</v>
      </c>
      <c r="AU164" s="4" t="s">
        <v>73</v>
      </c>
      <c r="AV164" s="4" t="s">
        <v>72</v>
      </c>
      <c r="AW164" s="4" t="s">
        <v>72</v>
      </c>
      <c r="AX164" s="10" t="s">
        <v>77</v>
      </c>
      <c r="AY164" s="4" t="s">
        <v>70</v>
      </c>
      <c r="AZ164" s="4" t="s">
        <v>72</v>
      </c>
      <c r="BA164" s="4" t="s">
        <v>70</v>
      </c>
      <c r="BB164" s="4" t="s">
        <v>73</v>
      </c>
      <c r="BC164" s="4" t="s">
        <v>70</v>
      </c>
      <c r="BD164" s="4" t="s">
        <v>70</v>
      </c>
      <c r="BE164" s="4" t="s">
        <v>70</v>
      </c>
      <c r="BF164" s="4" t="s">
        <v>72</v>
      </c>
      <c r="BG164" s="4" t="s">
        <v>72</v>
      </c>
      <c r="BH164" s="4" t="s">
        <v>71</v>
      </c>
      <c r="BI164" s="4" t="s">
        <v>70</v>
      </c>
      <c r="BJ164" s="4" t="s">
        <v>73</v>
      </c>
      <c r="BK164" s="4" t="s">
        <v>72</v>
      </c>
      <c r="BL164" s="4" t="s">
        <v>72</v>
      </c>
      <c r="BM164" s="4" t="s">
        <v>71</v>
      </c>
      <c r="BN164" s="4" t="s">
        <v>71</v>
      </c>
      <c r="BO164" s="4" t="s">
        <v>71</v>
      </c>
      <c r="BP164" s="4" t="s">
        <v>72</v>
      </c>
      <c r="BQ164" s="4" t="s">
        <v>72</v>
      </c>
      <c r="BR164" s="4" t="s">
        <v>71</v>
      </c>
      <c r="BS164" s="4" t="s">
        <v>73</v>
      </c>
      <c r="BT164" s="4" t="s">
        <v>71</v>
      </c>
      <c r="BU164" s="4" t="s">
        <v>71</v>
      </c>
      <c r="BV164" s="4" t="s">
        <v>72</v>
      </c>
      <c r="BW164" s="4" t="s">
        <v>70</v>
      </c>
      <c r="BX164" s="4" t="s">
        <v>71</v>
      </c>
    </row>
    <row r="165" spans="1:76">
      <c r="A165" s="4" t="s">
        <v>287</v>
      </c>
      <c r="B165" s="4" t="s">
        <v>318</v>
      </c>
      <c r="C165" s="4" t="s">
        <v>117</v>
      </c>
      <c r="D165" s="4" t="s">
        <v>118</v>
      </c>
      <c r="E165" s="4" t="s">
        <v>71</v>
      </c>
      <c r="F165" s="4" t="s">
        <v>70</v>
      </c>
      <c r="G165" s="4" t="s">
        <v>70</v>
      </c>
      <c r="H165" s="4" t="s">
        <v>73</v>
      </c>
      <c r="I165" s="4" t="s">
        <v>73</v>
      </c>
      <c r="J165" s="4" t="s">
        <v>72</v>
      </c>
      <c r="K165" s="4" t="s">
        <v>73</v>
      </c>
      <c r="L165" s="4" t="s">
        <v>72</v>
      </c>
      <c r="M165" s="4" t="s">
        <v>73</v>
      </c>
      <c r="N165" s="4" t="s">
        <v>70</v>
      </c>
      <c r="O165" s="4" t="s">
        <v>71</v>
      </c>
      <c r="P165" s="4" t="s">
        <v>72</v>
      </c>
      <c r="Q165" s="4" t="s">
        <v>71</v>
      </c>
      <c r="R165" s="4" t="s">
        <v>73</v>
      </c>
      <c r="S165" s="4" t="s">
        <v>70</v>
      </c>
      <c r="T165" s="4" t="s">
        <v>71</v>
      </c>
      <c r="U165" s="4" t="s">
        <v>72</v>
      </c>
      <c r="V165" s="4" t="s">
        <v>70</v>
      </c>
      <c r="W165" s="4" t="s">
        <v>70</v>
      </c>
      <c r="X165" s="4" t="s">
        <v>72</v>
      </c>
      <c r="Y165" s="4" t="s">
        <v>73</v>
      </c>
      <c r="Z165" s="4" t="s">
        <v>70</v>
      </c>
      <c r="AA165" s="4" t="s">
        <v>73</v>
      </c>
      <c r="AB165" s="4" t="s">
        <v>70</v>
      </c>
      <c r="AC165" s="4" t="s">
        <v>71</v>
      </c>
      <c r="AD165" s="4" t="s">
        <v>73</v>
      </c>
      <c r="AE165" s="4" t="s">
        <v>72</v>
      </c>
      <c r="AF165" s="4" t="s">
        <v>72</v>
      </c>
      <c r="AG165" s="4" t="s">
        <v>71</v>
      </c>
      <c r="AH165" s="4" t="s">
        <v>71</v>
      </c>
      <c r="AI165" s="4" t="s">
        <v>70</v>
      </c>
      <c r="AJ165" s="4" t="s">
        <v>71</v>
      </c>
      <c r="AK165" s="4" t="s">
        <v>72</v>
      </c>
      <c r="AL165" s="4" t="s">
        <v>70</v>
      </c>
      <c r="AM165" s="4" t="s">
        <v>73</v>
      </c>
      <c r="AN165" s="4" t="s">
        <v>72</v>
      </c>
      <c r="AO165" s="4" t="s">
        <v>73</v>
      </c>
      <c r="AP165" s="4" t="s">
        <v>73</v>
      </c>
      <c r="AQ165" s="4" t="s">
        <v>71</v>
      </c>
      <c r="AR165" s="4" t="s">
        <v>70</v>
      </c>
      <c r="AS165" s="4" t="s">
        <v>70</v>
      </c>
      <c r="AT165" s="4" t="s">
        <v>73</v>
      </c>
      <c r="AU165" s="4" t="s">
        <v>70</v>
      </c>
      <c r="AV165" s="4" t="s">
        <v>73</v>
      </c>
      <c r="AW165" s="4" t="s">
        <v>70</v>
      </c>
      <c r="AX165" s="4" t="s">
        <v>70</v>
      </c>
      <c r="AY165" s="4" t="s">
        <v>72</v>
      </c>
      <c r="AZ165" s="4" t="s">
        <v>71</v>
      </c>
      <c r="BA165" s="4" t="s">
        <v>70</v>
      </c>
      <c r="BB165" s="4" t="s">
        <v>72</v>
      </c>
      <c r="BC165" s="4" t="s">
        <v>72</v>
      </c>
      <c r="BD165" s="4" t="s">
        <v>70</v>
      </c>
      <c r="BE165" s="4" t="s">
        <v>70</v>
      </c>
      <c r="BF165" s="4" t="s">
        <v>72</v>
      </c>
      <c r="BG165" s="4" t="s">
        <v>72</v>
      </c>
      <c r="BH165" s="4" t="s">
        <v>71</v>
      </c>
      <c r="BI165" s="4" t="s">
        <v>73</v>
      </c>
      <c r="BJ165" s="4" t="s">
        <v>73</v>
      </c>
      <c r="BK165" s="4" t="s">
        <v>70</v>
      </c>
      <c r="BL165" s="4" t="s">
        <v>72</v>
      </c>
      <c r="BM165" s="4" t="s">
        <v>71</v>
      </c>
      <c r="BN165" s="4" t="s">
        <v>71</v>
      </c>
      <c r="BO165" s="4" t="s">
        <v>73</v>
      </c>
      <c r="BP165" s="4" t="s">
        <v>73</v>
      </c>
      <c r="BQ165" s="4" t="s">
        <v>72</v>
      </c>
      <c r="BR165" s="4" t="s">
        <v>72</v>
      </c>
      <c r="BS165" s="4" t="s">
        <v>73</v>
      </c>
      <c r="BT165" s="4" t="s">
        <v>72</v>
      </c>
      <c r="BU165" s="4" t="s">
        <v>72</v>
      </c>
      <c r="BV165" s="4" t="s">
        <v>71</v>
      </c>
      <c r="BW165" s="4" t="s">
        <v>71</v>
      </c>
      <c r="BX165" s="4" t="s">
        <v>70</v>
      </c>
    </row>
    <row r="166" spans="1:76">
      <c r="A166" s="4" t="s">
        <v>287</v>
      </c>
      <c r="B166" s="4" t="s">
        <v>319</v>
      </c>
      <c r="C166" s="4" t="s">
        <v>117</v>
      </c>
      <c r="D166" s="4" t="s">
        <v>118</v>
      </c>
      <c r="E166" s="4" t="s">
        <v>71</v>
      </c>
      <c r="F166" s="4" t="s">
        <v>70</v>
      </c>
      <c r="G166" s="4" t="s">
        <v>70</v>
      </c>
      <c r="H166" s="4" t="s">
        <v>73</v>
      </c>
      <c r="I166" s="4" t="s">
        <v>73</v>
      </c>
      <c r="J166" s="4" t="s">
        <v>72</v>
      </c>
      <c r="K166" s="4" t="s">
        <v>73</v>
      </c>
      <c r="L166" s="4" t="s">
        <v>72</v>
      </c>
      <c r="M166" s="4" t="s">
        <v>73</v>
      </c>
      <c r="N166" s="4" t="s">
        <v>70</v>
      </c>
      <c r="O166" s="4" t="s">
        <v>71</v>
      </c>
      <c r="P166" s="4" t="s">
        <v>72</v>
      </c>
      <c r="Q166" s="4" t="s">
        <v>71</v>
      </c>
      <c r="R166" s="4" t="s">
        <v>73</v>
      </c>
      <c r="S166" s="4" t="s">
        <v>70</v>
      </c>
      <c r="T166" s="4" t="s">
        <v>71</v>
      </c>
      <c r="U166" s="4" t="s">
        <v>72</v>
      </c>
      <c r="V166" s="4" t="s">
        <v>70</v>
      </c>
      <c r="W166" s="4" t="s">
        <v>70</v>
      </c>
      <c r="X166" s="4" t="s">
        <v>72</v>
      </c>
      <c r="Y166" s="4" t="s">
        <v>73</v>
      </c>
      <c r="Z166" s="4" t="s">
        <v>70</v>
      </c>
      <c r="AA166" s="4" t="s">
        <v>73</v>
      </c>
      <c r="AB166" s="4" t="s">
        <v>70</v>
      </c>
      <c r="AC166" s="4" t="s">
        <v>71</v>
      </c>
      <c r="AD166" s="4" t="s">
        <v>73</v>
      </c>
      <c r="AE166" s="4" t="s">
        <v>72</v>
      </c>
      <c r="AF166" s="4" t="s">
        <v>72</v>
      </c>
      <c r="AG166" s="4" t="s">
        <v>71</v>
      </c>
      <c r="AH166" s="4" t="s">
        <v>71</v>
      </c>
      <c r="AI166" s="4" t="s">
        <v>70</v>
      </c>
      <c r="AJ166" s="4" t="s">
        <v>71</v>
      </c>
      <c r="AK166" s="4" t="s">
        <v>72</v>
      </c>
      <c r="AL166" s="4" t="s">
        <v>70</v>
      </c>
      <c r="AM166" s="4" t="s">
        <v>73</v>
      </c>
      <c r="AN166" s="4" t="s">
        <v>72</v>
      </c>
      <c r="AO166" s="4" t="s">
        <v>73</v>
      </c>
      <c r="AP166" s="4" t="s">
        <v>73</v>
      </c>
      <c r="AQ166" s="4" t="s">
        <v>71</v>
      </c>
      <c r="AR166" s="4" t="s">
        <v>70</v>
      </c>
      <c r="AS166" s="4" t="s">
        <v>70</v>
      </c>
      <c r="AT166" s="4" t="s">
        <v>73</v>
      </c>
      <c r="AU166" s="4" t="s">
        <v>70</v>
      </c>
      <c r="AV166" s="4" t="s">
        <v>73</v>
      </c>
      <c r="AW166" s="4" t="s">
        <v>70</v>
      </c>
      <c r="AX166" s="4" t="s">
        <v>70</v>
      </c>
      <c r="AY166" s="4" t="s">
        <v>72</v>
      </c>
      <c r="AZ166" s="4" t="s">
        <v>71</v>
      </c>
      <c r="BA166" s="4" t="s">
        <v>70</v>
      </c>
      <c r="BB166" s="4" t="s">
        <v>72</v>
      </c>
      <c r="BC166" s="4" t="s">
        <v>72</v>
      </c>
      <c r="BD166" s="4" t="s">
        <v>70</v>
      </c>
      <c r="BE166" s="4" t="s">
        <v>70</v>
      </c>
      <c r="BF166" s="4" t="s">
        <v>72</v>
      </c>
      <c r="BG166" s="4" t="s">
        <v>72</v>
      </c>
      <c r="BH166" s="4" t="s">
        <v>71</v>
      </c>
      <c r="BI166" s="4" t="s">
        <v>73</v>
      </c>
      <c r="BJ166" s="4" t="s">
        <v>73</v>
      </c>
      <c r="BK166" s="4" t="s">
        <v>70</v>
      </c>
      <c r="BL166" s="4" t="s">
        <v>72</v>
      </c>
      <c r="BM166" s="4" t="s">
        <v>71</v>
      </c>
      <c r="BN166" s="4" t="s">
        <v>71</v>
      </c>
      <c r="BO166" s="4" t="s">
        <v>73</v>
      </c>
      <c r="BP166" s="4" t="s">
        <v>73</v>
      </c>
      <c r="BQ166" s="4" t="s">
        <v>72</v>
      </c>
      <c r="BR166" s="4" t="s">
        <v>72</v>
      </c>
      <c r="BS166" s="4" t="s">
        <v>73</v>
      </c>
      <c r="BT166" s="4" t="s">
        <v>72</v>
      </c>
      <c r="BU166" s="4" t="s">
        <v>72</v>
      </c>
      <c r="BV166" s="4" t="s">
        <v>71</v>
      </c>
      <c r="BW166" s="4" t="s">
        <v>71</v>
      </c>
      <c r="BX166" s="4" t="s">
        <v>70</v>
      </c>
    </row>
    <row r="167" spans="1:76">
      <c r="A167" s="4" t="s">
        <v>287</v>
      </c>
      <c r="B167" s="4" t="s">
        <v>320</v>
      </c>
      <c r="C167" s="4" t="s">
        <v>120</v>
      </c>
      <c r="D167" s="4" t="s">
        <v>144</v>
      </c>
      <c r="E167" s="4" t="s">
        <v>71</v>
      </c>
      <c r="F167" s="4" t="s">
        <v>70</v>
      </c>
      <c r="G167" s="4" t="s">
        <v>70</v>
      </c>
      <c r="H167" s="4" t="s">
        <v>70</v>
      </c>
      <c r="I167" s="4" t="s">
        <v>73</v>
      </c>
      <c r="J167" s="4" t="s">
        <v>73</v>
      </c>
      <c r="K167" s="4" t="s">
        <v>70</v>
      </c>
      <c r="L167" s="4" t="s">
        <v>72</v>
      </c>
      <c r="M167" s="4" t="s">
        <v>70</v>
      </c>
      <c r="N167" s="4" t="s">
        <v>70</v>
      </c>
      <c r="O167" s="4" t="s">
        <v>71</v>
      </c>
      <c r="P167" s="4" t="s">
        <v>72</v>
      </c>
      <c r="Q167" s="4" t="s">
        <v>71</v>
      </c>
      <c r="R167" s="4" t="s">
        <v>73</v>
      </c>
      <c r="S167" s="4" t="s">
        <v>70</v>
      </c>
      <c r="T167" s="4" t="s">
        <v>72</v>
      </c>
      <c r="U167" s="4" t="s">
        <v>72</v>
      </c>
      <c r="V167" s="4" t="s">
        <v>70</v>
      </c>
      <c r="W167" s="4" t="s">
        <v>70</v>
      </c>
      <c r="X167" s="4" t="s">
        <v>72</v>
      </c>
      <c r="Y167" s="4" t="s">
        <v>73</v>
      </c>
      <c r="Z167" s="4" t="s">
        <v>70</v>
      </c>
      <c r="AA167" s="4" t="s">
        <v>73</v>
      </c>
      <c r="AB167" s="4" t="s">
        <v>70</v>
      </c>
      <c r="AC167" s="4" t="s">
        <v>71</v>
      </c>
      <c r="AD167" s="4" t="s">
        <v>73</v>
      </c>
      <c r="AE167" s="4" t="s">
        <v>72</v>
      </c>
      <c r="AF167" s="4" t="s">
        <v>72</v>
      </c>
      <c r="AG167" s="4" t="s">
        <v>71</v>
      </c>
      <c r="AH167" s="4" t="s">
        <v>70</v>
      </c>
      <c r="AI167" s="4" t="s">
        <v>70</v>
      </c>
      <c r="AJ167" s="4" t="s">
        <v>72</v>
      </c>
      <c r="AK167" s="4" t="s">
        <v>72</v>
      </c>
      <c r="AL167" s="4" t="s">
        <v>72</v>
      </c>
      <c r="AM167" s="4" t="s">
        <v>70</v>
      </c>
      <c r="AN167" s="4" t="s">
        <v>70</v>
      </c>
      <c r="AO167" s="4" t="s">
        <v>70</v>
      </c>
      <c r="AP167" s="4" t="s">
        <v>73</v>
      </c>
      <c r="AQ167" s="4" t="s">
        <v>71</v>
      </c>
      <c r="AR167" s="4" t="s">
        <v>71</v>
      </c>
      <c r="AS167" s="4" t="s">
        <v>70</v>
      </c>
      <c r="AT167" s="4" t="s">
        <v>73</v>
      </c>
      <c r="AU167" s="4" t="s">
        <v>73</v>
      </c>
      <c r="AV167" s="4" t="s">
        <v>70</v>
      </c>
      <c r="AW167" s="4" t="s">
        <v>70</v>
      </c>
      <c r="AX167" s="4" t="s">
        <v>70</v>
      </c>
      <c r="AY167" s="4" t="s">
        <v>72</v>
      </c>
      <c r="AZ167" s="4" t="s">
        <v>71</v>
      </c>
      <c r="BA167" s="4" t="s">
        <v>70</v>
      </c>
      <c r="BB167" s="4" t="s">
        <v>71</v>
      </c>
      <c r="BC167" s="4" t="s">
        <v>73</v>
      </c>
      <c r="BD167" s="4" t="s">
        <v>70</v>
      </c>
      <c r="BE167" s="4" t="s">
        <v>70</v>
      </c>
      <c r="BF167" s="4" t="s">
        <v>72</v>
      </c>
      <c r="BG167" s="4" t="s">
        <v>72</v>
      </c>
      <c r="BH167" s="4" t="s">
        <v>71</v>
      </c>
      <c r="BI167" s="4" t="s">
        <v>73</v>
      </c>
      <c r="BJ167" s="4" t="s">
        <v>73</v>
      </c>
      <c r="BK167" s="4" t="s">
        <v>73</v>
      </c>
      <c r="BL167" s="4" t="s">
        <v>72</v>
      </c>
      <c r="BM167" s="4" t="s">
        <v>71</v>
      </c>
      <c r="BN167" s="4" t="s">
        <v>71</v>
      </c>
      <c r="BO167" s="4" t="s">
        <v>72</v>
      </c>
      <c r="BP167" s="4" t="s">
        <v>70</v>
      </c>
      <c r="BQ167" s="4" t="s">
        <v>72</v>
      </c>
      <c r="BR167" s="4" t="s">
        <v>71</v>
      </c>
      <c r="BS167" s="4" t="s">
        <v>72</v>
      </c>
      <c r="BT167" s="4" t="s">
        <v>72</v>
      </c>
      <c r="BU167" s="4" t="s">
        <v>71</v>
      </c>
      <c r="BV167" s="4" t="s">
        <v>71</v>
      </c>
      <c r="BW167" s="4" t="s">
        <v>71</v>
      </c>
      <c r="BX167" s="4" t="s">
        <v>70</v>
      </c>
    </row>
    <row r="168" spans="1:76">
      <c r="A168" s="4" t="s">
        <v>321</v>
      </c>
      <c r="B168" s="4" t="s">
        <v>322</v>
      </c>
      <c r="C168" s="4" t="s">
        <v>117</v>
      </c>
      <c r="D168" s="4" t="s">
        <v>88</v>
      </c>
      <c r="E168" s="4" t="s">
        <v>70</v>
      </c>
      <c r="F168" s="4" t="s">
        <v>70</v>
      </c>
      <c r="G168" s="4" t="s">
        <v>70</v>
      </c>
      <c r="H168" s="4" t="s">
        <v>71</v>
      </c>
      <c r="I168" s="4" t="s">
        <v>71</v>
      </c>
      <c r="J168" s="4" t="s">
        <v>71</v>
      </c>
      <c r="K168" s="4" t="s">
        <v>70</v>
      </c>
      <c r="L168" s="4" t="s">
        <v>72</v>
      </c>
      <c r="M168" s="4" t="s">
        <v>73</v>
      </c>
      <c r="N168" s="4" t="s">
        <v>70</v>
      </c>
      <c r="O168" s="4" t="s">
        <v>71</v>
      </c>
      <c r="P168" s="4" t="s">
        <v>72</v>
      </c>
      <c r="Q168" s="4" t="s">
        <v>72</v>
      </c>
      <c r="R168" s="4" t="s">
        <v>73</v>
      </c>
      <c r="S168" s="4" t="s">
        <v>70</v>
      </c>
      <c r="T168" s="4" t="s">
        <v>71</v>
      </c>
      <c r="U168" s="4" t="s">
        <v>71</v>
      </c>
      <c r="V168" s="4" t="s">
        <v>70</v>
      </c>
      <c r="W168" s="4" t="s">
        <v>70</v>
      </c>
      <c r="X168" s="4" t="s">
        <v>72</v>
      </c>
      <c r="Y168" s="4" t="s">
        <v>73</v>
      </c>
      <c r="Z168" s="4" t="s">
        <v>70</v>
      </c>
      <c r="AA168" s="4" t="s">
        <v>73</v>
      </c>
      <c r="AB168" s="4" t="s">
        <v>70</v>
      </c>
      <c r="AC168" s="4" t="s">
        <v>71</v>
      </c>
      <c r="AD168" s="4" t="s">
        <v>70</v>
      </c>
      <c r="AE168" s="4" t="s">
        <v>71</v>
      </c>
      <c r="AF168" s="4" t="s">
        <v>71</v>
      </c>
      <c r="AG168" s="4" t="s">
        <v>71</v>
      </c>
      <c r="AH168" s="4" t="s">
        <v>70</v>
      </c>
      <c r="AI168" s="4" t="s">
        <v>70</v>
      </c>
      <c r="AJ168" s="4" t="s">
        <v>71</v>
      </c>
      <c r="AK168" s="4" t="s">
        <v>72</v>
      </c>
      <c r="AL168" s="4" t="s">
        <v>71</v>
      </c>
      <c r="AM168" s="4" t="s">
        <v>73</v>
      </c>
      <c r="AN168" s="4" t="s">
        <v>72</v>
      </c>
      <c r="AO168" s="4" t="s">
        <v>73</v>
      </c>
      <c r="AP168" s="4" t="s">
        <v>73</v>
      </c>
      <c r="AQ168" s="4" t="s">
        <v>71</v>
      </c>
      <c r="AR168" s="4" t="s">
        <v>71</v>
      </c>
      <c r="AS168" s="4" t="s">
        <v>70</v>
      </c>
      <c r="AT168" s="4" t="s">
        <v>70</v>
      </c>
      <c r="AU168" s="4" t="s">
        <v>70</v>
      </c>
      <c r="AV168" s="4" t="s">
        <v>71</v>
      </c>
      <c r="AW168" s="4" t="s">
        <v>70</v>
      </c>
      <c r="AX168" s="4" t="s">
        <v>70</v>
      </c>
      <c r="AY168" s="4" t="s">
        <v>72</v>
      </c>
      <c r="AZ168" s="4" t="s">
        <v>71</v>
      </c>
      <c r="BA168" s="4" t="s">
        <v>70</v>
      </c>
      <c r="BB168" s="4" t="s">
        <v>73</v>
      </c>
      <c r="BC168" s="4" t="s">
        <v>70</v>
      </c>
      <c r="BD168" s="4" t="s">
        <v>70</v>
      </c>
      <c r="BE168" s="4" t="s">
        <v>70</v>
      </c>
      <c r="BF168" s="4" t="s">
        <v>72</v>
      </c>
      <c r="BG168" s="4" t="s">
        <v>72</v>
      </c>
      <c r="BH168" s="4" t="s">
        <v>71</v>
      </c>
      <c r="BI168" s="4" t="s">
        <v>70</v>
      </c>
      <c r="BJ168" s="4" t="s">
        <v>73</v>
      </c>
      <c r="BK168" s="4" t="s">
        <v>73</v>
      </c>
      <c r="BL168" s="4" t="s">
        <v>72</v>
      </c>
      <c r="BM168" s="4" t="s">
        <v>71</v>
      </c>
      <c r="BN168" s="4" t="s">
        <v>71</v>
      </c>
      <c r="BO168" s="4" t="s">
        <v>71</v>
      </c>
      <c r="BP168" s="4" t="s">
        <v>72</v>
      </c>
      <c r="BQ168" s="4" t="s">
        <v>71</v>
      </c>
      <c r="BR168" s="4" t="s">
        <v>71</v>
      </c>
      <c r="BS168" s="4" t="s">
        <v>70</v>
      </c>
      <c r="BT168" s="4" t="s">
        <v>70</v>
      </c>
      <c r="BU168" s="4" t="s">
        <v>70</v>
      </c>
      <c r="BV168" s="4" t="s">
        <v>71</v>
      </c>
      <c r="BW168" s="4" t="s">
        <v>71</v>
      </c>
      <c r="BX168" s="4" t="s">
        <v>71</v>
      </c>
    </row>
    <row r="169" spans="1:76">
      <c r="A169" s="4" t="s">
        <v>323</v>
      </c>
      <c r="B169" s="4" t="s">
        <v>324</v>
      </c>
      <c r="C169" s="4" t="s">
        <v>175</v>
      </c>
      <c r="D169" s="4" t="s">
        <v>100</v>
      </c>
      <c r="E169" s="4" t="s">
        <v>71</v>
      </c>
      <c r="F169" s="4" t="s">
        <v>71</v>
      </c>
      <c r="G169" s="4" t="s">
        <v>70</v>
      </c>
      <c r="H169" s="4" t="s">
        <v>70</v>
      </c>
      <c r="I169" s="4" t="s">
        <v>71</v>
      </c>
      <c r="J169" s="4" t="s">
        <v>70</v>
      </c>
      <c r="K169" s="4" t="s">
        <v>70</v>
      </c>
      <c r="L169" s="4" t="s">
        <v>72</v>
      </c>
      <c r="M169" s="4" t="s">
        <v>73</v>
      </c>
      <c r="N169" s="4" t="s">
        <v>70</v>
      </c>
      <c r="O169" s="4" t="s">
        <v>72</v>
      </c>
      <c r="P169" s="4" t="s">
        <v>72</v>
      </c>
      <c r="Q169" s="4" t="s">
        <v>71</v>
      </c>
      <c r="R169" s="4" t="s">
        <v>73</v>
      </c>
      <c r="S169" s="4" t="s">
        <v>70</v>
      </c>
      <c r="T169" s="4" t="s">
        <v>71</v>
      </c>
      <c r="U169" s="4" t="s">
        <v>71</v>
      </c>
      <c r="V169" s="4" t="s">
        <v>70</v>
      </c>
      <c r="W169" s="4" t="s">
        <v>70</v>
      </c>
      <c r="X169" s="4" t="s">
        <v>72</v>
      </c>
      <c r="Y169" s="4" t="s">
        <v>73</v>
      </c>
      <c r="Z169" s="4" t="s">
        <v>70</v>
      </c>
      <c r="AA169" s="4" t="s">
        <v>73</v>
      </c>
      <c r="AB169" s="4" t="s">
        <v>73</v>
      </c>
      <c r="AC169" s="4" t="s">
        <v>71</v>
      </c>
      <c r="AD169" s="4" t="s">
        <v>70</v>
      </c>
      <c r="AE169" s="4" t="s">
        <v>70</v>
      </c>
      <c r="AF169" s="4" t="s">
        <v>71</v>
      </c>
      <c r="AG169" s="4" t="s">
        <v>70</v>
      </c>
      <c r="AH169" s="4" t="s">
        <v>70</v>
      </c>
      <c r="AI169" s="4" t="s">
        <v>73</v>
      </c>
      <c r="AJ169" s="4" t="s">
        <v>71</v>
      </c>
      <c r="AK169" s="4" t="s">
        <v>72</v>
      </c>
      <c r="AL169" s="4" t="s">
        <v>70</v>
      </c>
      <c r="AM169" s="4" t="s">
        <v>72</v>
      </c>
      <c r="AN169" s="4" t="s">
        <v>73</v>
      </c>
      <c r="AO169" s="4" t="s">
        <v>70</v>
      </c>
      <c r="AP169" s="4" t="s">
        <v>73</v>
      </c>
      <c r="AQ169" s="4" t="s">
        <v>72</v>
      </c>
      <c r="AR169" s="4" t="s">
        <v>71</v>
      </c>
      <c r="AS169" s="4" t="s">
        <v>71</v>
      </c>
      <c r="AT169" s="4" t="s">
        <v>70</v>
      </c>
      <c r="AU169" s="4" t="s">
        <v>71</v>
      </c>
      <c r="AV169" s="4" t="s">
        <v>73</v>
      </c>
      <c r="AW169" s="4" t="s">
        <v>72</v>
      </c>
      <c r="AX169" s="4" t="s">
        <v>70</v>
      </c>
      <c r="AY169" s="4" t="s">
        <v>72</v>
      </c>
      <c r="AZ169" s="4" t="s">
        <v>71</v>
      </c>
      <c r="BA169" s="4" t="s">
        <v>70</v>
      </c>
      <c r="BB169" s="4" t="s">
        <v>71</v>
      </c>
      <c r="BC169" s="4" t="s">
        <v>72</v>
      </c>
      <c r="BD169" s="4" t="s">
        <v>70</v>
      </c>
      <c r="BE169" s="4" t="s">
        <v>70</v>
      </c>
      <c r="BF169" s="4" t="s">
        <v>72</v>
      </c>
      <c r="BG169" s="4" t="s">
        <v>72</v>
      </c>
      <c r="BH169" s="4" t="s">
        <v>71</v>
      </c>
      <c r="BI169" s="4" t="s">
        <v>73</v>
      </c>
      <c r="BJ169" s="4" t="s">
        <v>73</v>
      </c>
      <c r="BK169" s="4" t="s">
        <v>73</v>
      </c>
      <c r="BL169" s="4" t="s">
        <v>72</v>
      </c>
      <c r="BM169" s="4" t="s">
        <v>71</v>
      </c>
      <c r="BN169" s="4" t="s">
        <v>71</v>
      </c>
      <c r="BO169" s="4" t="s">
        <v>70</v>
      </c>
      <c r="BP169" s="4" t="s">
        <v>70</v>
      </c>
      <c r="BQ169" s="4" t="s">
        <v>71</v>
      </c>
      <c r="BR169" s="4" t="s">
        <v>71</v>
      </c>
      <c r="BS169" s="4" t="s">
        <v>71</v>
      </c>
      <c r="BT169" s="4" t="s">
        <v>70</v>
      </c>
      <c r="BU169" s="4" t="s">
        <v>71</v>
      </c>
      <c r="BV169" s="4" t="s">
        <v>71</v>
      </c>
      <c r="BW169" s="4" t="s">
        <v>70</v>
      </c>
      <c r="BX169" s="4" t="s">
        <v>70</v>
      </c>
    </row>
    <row r="170" spans="1:76">
      <c r="A170" s="4" t="s">
        <v>321</v>
      </c>
      <c r="B170" s="4" t="s">
        <v>325</v>
      </c>
      <c r="C170" s="4" t="s">
        <v>191</v>
      </c>
      <c r="D170" s="4" t="s">
        <v>80</v>
      </c>
      <c r="E170" s="4" t="s">
        <v>70</v>
      </c>
      <c r="F170" s="4" t="s">
        <v>71</v>
      </c>
      <c r="G170" s="4" t="s">
        <v>71</v>
      </c>
      <c r="H170" s="4" t="s">
        <v>73</v>
      </c>
      <c r="I170" s="4" t="s">
        <v>70</v>
      </c>
      <c r="J170" s="4" t="s">
        <v>70</v>
      </c>
      <c r="K170" s="4" t="s">
        <v>70</v>
      </c>
      <c r="L170" s="4" t="s">
        <v>72</v>
      </c>
      <c r="M170" s="4" t="s">
        <v>70</v>
      </c>
      <c r="N170" s="4" t="s">
        <v>70</v>
      </c>
      <c r="O170" s="4" t="s">
        <v>71</v>
      </c>
      <c r="P170" s="4" t="s">
        <v>73</v>
      </c>
      <c r="Q170" s="4" t="s">
        <v>70</v>
      </c>
      <c r="R170" s="4" t="s">
        <v>73</v>
      </c>
      <c r="S170" s="4" t="s">
        <v>70</v>
      </c>
      <c r="T170" s="10" t="s">
        <v>77</v>
      </c>
      <c r="U170" s="4" t="s">
        <v>70</v>
      </c>
      <c r="V170" s="4" t="s">
        <v>70</v>
      </c>
      <c r="W170" s="4" t="s">
        <v>70</v>
      </c>
      <c r="X170" s="4" t="s">
        <v>71</v>
      </c>
      <c r="Y170" s="4" t="s">
        <v>72</v>
      </c>
      <c r="Z170" s="4" t="s">
        <v>72</v>
      </c>
      <c r="AA170" s="4" t="s">
        <v>72</v>
      </c>
      <c r="AB170" s="4" t="s">
        <v>70</v>
      </c>
      <c r="AC170" s="4" t="s">
        <v>71</v>
      </c>
      <c r="AD170" s="4" t="s">
        <v>70</v>
      </c>
      <c r="AE170" s="4" t="s">
        <v>70</v>
      </c>
      <c r="AF170" s="4" t="s">
        <v>71</v>
      </c>
      <c r="AG170" s="4" t="s">
        <v>70</v>
      </c>
      <c r="AH170" s="4" t="s">
        <v>70</v>
      </c>
      <c r="AI170" s="4" t="s">
        <v>73</v>
      </c>
      <c r="AJ170" s="4" t="s">
        <v>71</v>
      </c>
      <c r="AK170" s="4" t="s">
        <v>72</v>
      </c>
      <c r="AL170" s="4" t="s">
        <v>70</v>
      </c>
      <c r="AM170" s="4" t="s">
        <v>71</v>
      </c>
      <c r="AN170" s="4" t="s">
        <v>73</v>
      </c>
      <c r="AO170" s="4" t="s">
        <v>70</v>
      </c>
      <c r="AP170" s="4" t="s">
        <v>73</v>
      </c>
      <c r="AQ170" s="4" t="s">
        <v>72</v>
      </c>
      <c r="AR170" s="4" t="s">
        <v>71</v>
      </c>
      <c r="AS170" s="4" t="s">
        <v>71</v>
      </c>
      <c r="AT170" s="4" t="s">
        <v>70</v>
      </c>
      <c r="AU170" s="4" t="s">
        <v>71</v>
      </c>
      <c r="AV170" s="4" t="s">
        <v>72</v>
      </c>
      <c r="AW170" s="4" t="s">
        <v>72</v>
      </c>
      <c r="AX170" s="4" t="s">
        <v>72</v>
      </c>
      <c r="AY170" s="4" t="s">
        <v>73</v>
      </c>
      <c r="AZ170" s="4" t="s">
        <v>71</v>
      </c>
      <c r="BA170" s="4" t="s">
        <v>71</v>
      </c>
      <c r="BB170" s="4" t="s">
        <v>71</v>
      </c>
      <c r="BC170" s="4" t="s">
        <v>71</v>
      </c>
      <c r="BD170" s="4" t="s">
        <v>70</v>
      </c>
      <c r="BE170" s="4" t="s">
        <v>70</v>
      </c>
      <c r="BF170" s="4" t="s">
        <v>72</v>
      </c>
      <c r="BG170" s="4" t="s">
        <v>72</v>
      </c>
      <c r="BH170" s="4" t="s">
        <v>71</v>
      </c>
      <c r="BI170" s="4" t="s">
        <v>70</v>
      </c>
      <c r="BJ170" s="4" t="s">
        <v>73</v>
      </c>
      <c r="BK170" s="4" t="s">
        <v>73</v>
      </c>
      <c r="BL170" s="4" t="s">
        <v>72</v>
      </c>
      <c r="BM170" s="4" t="s">
        <v>71</v>
      </c>
      <c r="BN170" s="4" t="s">
        <v>71</v>
      </c>
      <c r="BO170" s="4" t="s">
        <v>70</v>
      </c>
      <c r="BP170" s="4" t="s">
        <v>70</v>
      </c>
      <c r="BQ170" s="4" t="s">
        <v>70</v>
      </c>
      <c r="BR170" s="4" t="s">
        <v>71</v>
      </c>
      <c r="BS170" s="4" t="s">
        <v>71</v>
      </c>
      <c r="BT170" s="4" t="s">
        <v>71</v>
      </c>
      <c r="BU170" s="4" t="s">
        <v>72</v>
      </c>
      <c r="BV170" s="4" t="s">
        <v>70</v>
      </c>
      <c r="BW170" s="4" t="s">
        <v>70</v>
      </c>
      <c r="BX170" s="4" t="s">
        <v>71</v>
      </c>
    </row>
    <row r="171" spans="1:76">
      <c r="A171" s="4" t="s">
        <v>323</v>
      </c>
      <c r="B171" s="4" t="s">
        <v>326</v>
      </c>
      <c r="C171" s="4" t="s">
        <v>191</v>
      </c>
      <c r="D171" s="4" t="s">
        <v>80</v>
      </c>
      <c r="E171" s="4" t="s">
        <v>70</v>
      </c>
      <c r="F171" s="4" t="s">
        <v>71</v>
      </c>
      <c r="G171" s="4" t="s">
        <v>71</v>
      </c>
      <c r="H171" s="4" t="s">
        <v>70</v>
      </c>
      <c r="I171" s="4" t="s">
        <v>70</v>
      </c>
      <c r="J171" s="4" t="s">
        <v>70</v>
      </c>
      <c r="K171" s="4" t="s">
        <v>70</v>
      </c>
      <c r="L171" s="4" t="s">
        <v>72</v>
      </c>
      <c r="M171" s="4" t="s">
        <v>73</v>
      </c>
      <c r="N171" s="4" t="s">
        <v>70</v>
      </c>
      <c r="O171" s="4" t="s">
        <v>72</v>
      </c>
      <c r="P171" s="4" t="s">
        <v>71</v>
      </c>
      <c r="Q171" s="4" t="s">
        <v>72</v>
      </c>
      <c r="R171" s="4" t="s">
        <v>73</v>
      </c>
      <c r="S171" s="4" t="s">
        <v>70</v>
      </c>
      <c r="T171" s="10" t="s">
        <v>77</v>
      </c>
      <c r="U171" s="4" t="s">
        <v>70</v>
      </c>
      <c r="V171" s="4" t="s">
        <v>70</v>
      </c>
      <c r="W171" s="4" t="s">
        <v>70</v>
      </c>
      <c r="X171" s="4" t="s">
        <v>71</v>
      </c>
      <c r="Y171" s="4" t="s">
        <v>72</v>
      </c>
      <c r="Z171" s="4" t="s">
        <v>73</v>
      </c>
      <c r="AA171" s="4" t="s">
        <v>70</v>
      </c>
      <c r="AB171" s="4" t="s">
        <v>70</v>
      </c>
      <c r="AC171" s="4" t="s">
        <v>71</v>
      </c>
      <c r="AD171" s="4" t="s">
        <v>73</v>
      </c>
      <c r="AE171" s="4" t="s">
        <v>70</v>
      </c>
      <c r="AF171" s="4" t="s">
        <v>71</v>
      </c>
      <c r="AG171" s="4" t="s">
        <v>70</v>
      </c>
      <c r="AH171" s="4" t="s">
        <v>70</v>
      </c>
      <c r="AI171" s="4" t="s">
        <v>73</v>
      </c>
      <c r="AJ171" s="4" t="s">
        <v>71</v>
      </c>
      <c r="AK171" s="4" t="s">
        <v>72</v>
      </c>
      <c r="AL171" s="4" t="s">
        <v>70</v>
      </c>
      <c r="AM171" s="4" t="s">
        <v>71</v>
      </c>
      <c r="AN171" s="4" t="s">
        <v>73</v>
      </c>
      <c r="AO171" s="4" t="s">
        <v>70</v>
      </c>
      <c r="AP171" s="4" t="s">
        <v>73</v>
      </c>
      <c r="AQ171" s="4" t="s">
        <v>72</v>
      </c>
      <c r="AR171" s="4" t="s">
        <v>71</v>
      </c>
      <c r="AS171" s="4" t="s">
        <v>71</v>
      </c>
      <c r="AT171" s="4" t="s">
        <v>70</v>
      </c>
      <c r="AU171" s="4" t="s">
        <v>71</v>
      </c>
      <c r="AV171" s="4" t="s">
        <v>71</v>
      </c>
      <c r="AW171" s="4" t="s">
        <v>72</v>
      </c>
      <c r="AX171" s="4" t="s">
        <v>72</v>
      </c>
      <c r="AY171" s="4" t="s">
        <v>73</v>
      </c>
      <c r="AZ171" s="4" t="s">
        <v>71</v>
      </c>
      <c r="BA171" s="4" t="s">
        <v>70</v>
      </c>
      <c r="BB171" s="4" t="s">
        <v>72</v>
      </c>
      <c r="BC171" s="4" t="s">
        <v>70</v>
      </c>
      <c r="BD171" s="4" t="s">
        <v>70</v>
      </c>
      <c r="BE171" s="4" t="s">
        <v>70</v>
      </c>
      <c r="BF171" s="4" t="s">
        <v>72</v>
      </c>
      <c r="BG171" s="4" t="s">
        <v>72</v>
      </c>
      <c r="BH171" s="4" t="s">
        <v>71</v>
      </c>
      <c r="BI171" s="4" t="s">
        <v>73</v>
      </c>
      <c r="BJ171" s="4" t="s">
        <v>73</v>
      </c>
      <c r="BK171" s="4" t="s">
        <v>73</v>
      </c>
      <c r="BL171" s="4" t="s">
        <v>72</v>
      </c>
      <c r="BM171" s="4" t="s">
        <v>71</v>
      </c>
      <c r="BN171" s="4" t="s">
        <v>71</v>
      </c>
      <c r="BO171" s="4" t="s">
        <v>71</v>
      </c>
      <c r="BP171" s="4" t="s">
        <v>73</v>
      </c>
      <c r="BQ171" s="4" t="s">
        <v>71</v>
      </c>
      <c r="BR171" s="4" t="s">
        <v>71</v>
      </c>
      <c r="BS171" s="4" t="s">
        <v>71</v>
      </c>
      <c r="BT171" s="4" t="s">
        <v>71</v>
      </c>
      <c r="BU171" s="4" t="s">
        <v>71</v>
      </c>
      <c r="BV171" s="4" t="s">
        <v>70</v>
      </c>
      <c r="BW171" s="4" t="s">
        <v>70</v>
      </c>
      <c r="BX171" s="4" t="s">
        <v>71</v>
      </c>
    </row>
    <row r="172" spans="1:76">
      <c r="A172" s="4" t="s">
        <v>321</v>
      </c>
      <c r="B172" s="4" t="s">
        <v>327</v>
      </c>
      <c r="C172" s="4" t="s">
        <v>191</v>
      </c>
      <c r="D172" s="4" t="s">
        <v>328</v>
      </c>
      <c r="E172" s="4" t="s">
        <v>70</v>
      </c>
      <c r="F172" s="4" t="s">
        <v>71</v>
      </c>
      <c r="G172" s="4" t="s">
        <v>71</v>
      </c>
      <c r="H172" s="4" t="s">
        <v>73</v>
      </c>
      <c r="I172" s="4" t="s">
        <v>70</v>
      </c>
      <c r="J172" s="4" t="s">
        <v>70</v>
      </c>
      <c r="K172" s="4" t="s">
        <v>70</v>
      </c>
      <c r="L172" s="4" t="s">
        <v>72</v>
      </c>
      <c r="M172" s="4" t="s">
        <v>70</v>
      </c>
      <c r="N172" s="4" t="s">
        <v>70</v>
      </c>
      <c r="O172" s="4" t="s">
        <v>71</v>
      </c>
      <c r="P172" s="4" t="s">
        <v>73</v>
      </c>
      <c r="Q172" s="4" t="s">
        <v>70</v>
      </c>
      <c r="R172" s="4" t="s">
        <v>73</v>
      </c>
      <c r="S172" s="4" t="s">
        <v>70</v>
      </c>
      <c r="T172" s="10" t="s">
        <v>77</v>
      </c>
      <c r="U172" s="4" t="s">
        <v>70</v>
      </c>
      <c r="V172" s="4" t="s">
        <v>70</v>
      </c>
      <c r="W172" s="4" t="s">
        <v>70</v>
      </c>
      <c r="X172" s="4" t="s">
        <v>71</v>
      </c>
      <c r="Y172" s="4" t="s">
        <v>72</v>
      </c>
      <c r="Z172" s="4" t="s">
        <v>72</v>
      </c>
      <c r="AA172" s="4" t="s">
        <v>72</v>
      </c>
      <c r="AB172" s="4" t="s">
        <v>70</v>
      </c>
      <c r="AC172" s="4" t="s">
        <v>71</v>
      </c>
      <c r="AD172" s="4" t="s">
        <v>70</v>
      </c>
      <c r="AE172" s="4" t="s">
        <v>70</v>
      </c>
      <c r="AF172" s="4" t="s">
        <v>71</v>
      </c>
      <c r="AG172" s="4" t="s">
        <v>70</v>
      </c>
      <c r="AH172" s="4" t="s">
        <v>70</v>
      </c>
      <c r="AI172" s="4" t="s">
        <v>73</v>
      </c>
      <c r="AJ172" s="4" t="s">
        <v>71</v>
      </c>
      <c r="AK172" s="4" t="s">
        <v>72</v>
      </c>
      <c r="AL172" s="4" t="s">
        <v>71</v>
      </c>
      <c r="AM172" s="4" t="s">
        <v>72</v>
      </c>
      <c r="AN172" s="4" t="s">
        <v>73</v>
      </c>
      <c r="AO172" s="4" t="s">
        <v>70</v>
      </c>
      <c r="AP172" s="4" t="s">
        <v>73</v>
      </c>
      <c r="AQ172" s="4" t="s">
        <v>72</v>
      </c>
      <c r="AR172" s="4" t="s">
        <v>71</v>
      </c>
      <c r="AS172" s="4" t="s">
        <v>71</v>
      </c>
      <c r="AT172" s="4" t="s">
        <v>70</v>
      </c>
      <c r="AU172" s="4" t="s">
        <v>71</v>
      </c>
      <c r="AV172" s="4" t="s">
        <v>72</v>
      </c>
      <c r="AW172" s="4" t="s">
        <v>72</v>
      </c>
      <c r="AX172" s="4" t="s">
        <v>72</v>
      </c>
      <c r="AY172" s="4" t="s">
        <v>73</v>
      </c>
      <c r="AZ172" s="4" t="s">
        <v>71</v>
      </c>
      <c r="BA172" s="4" t="s">
        <v>71</v>
      </c>
      <c r="BB172" s="4" t="s">
        <v>71</v>
      </c>
      <c r="BC172" s="4" t="s">
        <v>71</v>
      </c>
      <c r="BD172" s="4" t="s">
        <v>70</v>
      </c>
      <c r="BE172" s="4" t="s">
        <v>70</v>
      </c>
      <c r="BF172" s="4" t="s">
        <v>72</v>
      </c>
      <c r="BG172" s="4" t="s">
        <v>72</v>
      </c>
      <c r="BH172" s="4" t="s">
        <v>71</v>
      </c>
      <c r="BI172" s="4" t="s">
        <v>70</v>
      </c>
      <c r="BJ172" s="4" t="s">
        <v>73</v>
      </c>
      <c r="BK172" s="4" t="s">
        <v>73</v>
      </c>
      <c r="BL172" s="4" t="s">
        <v>72</v>
      </c>
      <c r="BM172" s="4" t="s">
        <v>71</v>
      </c>
      <c r="BN172" s="4" t="s">
        <v>71</v>
      </c>
      <c r="BO172" s="4" t="s">
        <v>70</v>
      </c>
      <c r="BP172" s="4" t="s">
        <v>70</v>
      </c>
      <c r="BQ172" s="4" t="s">
        <v>70</v>
      </c>
      <c r="BR172" s="4" t="s">
        <v>71</v>
      </c>
      <c r="BS172" s="4" t="s">
        <v>71</v>
      </c>
      <c r="BT172" s="4" t="s">
        <v>71</v>
      </c>
      <c r="BU172" s="4" t="s">
        <v>72</v>
      </c>
      <c r="BV172" s="4" t="s">
        <v>70</v>
      </c>
      <c r="BW172" s="4" t="s">
        <v>70</v>
      </c>
      <c r="BX172" s="4" t="s">
        <v>71</v>
      </c>
    </row>
    <row r="173" spans="1:76">
      <c r="A173" s="4" t="s">
        <v>321</v>
      </c>
      <c r="B173" s="4" t="s">
        <v>329</v>
      </c>
      <c r="C173" s="4" t="s">
        <v>191</v>
      </c>
      <c r="D173" s="4" t="s">
        <v>314</v>
      </c>
      <c r="E173" s="4" t="s">
        <v>70</v>
      </c>
      <c r="F173" s="4" t="s">
        <v>71</v>
      </c>
      <c r="G173" s="4" t="s">
        <v>71</v>
      </c>
      <c r="H173" s="4" t="s">
        <v>73</v>
      </c>
      <c r="I173" s="4" t="s">
        <v>70</v>
      </c>
      <c r="J173" s="4" t="s">
        <v>70</v>
      </c>
      <c r="K173" s="4" t="s">
        <v>70</v>
      </c>
      <c r="L173" s="4" t="s">
        <v>72</v>
      </c>
      <c r="M173" s="4" t="s">
        <v>70</v>
      </c>
      <c r="N173" s="4" t="s">
        <v>70</v>
      </c>
      <c r="O173" s="4" t="s">
        <v>71</v>
      </c>
      <c r="P173" s="4" t="s">
        <v>73</v>
      </c>
      <c r="Q173" s="4" t="s">
        <v>70</v>
      </c>
      <c r="R173" s="4" t="s">
        <v>73</v>
      </c>
      <c r="S173" s="4" t="s">
        <v>70</v>
      </c>
      <c r="T173" s="10" t="s">
        <v>77</v>
      </c>
      <c r="U173" s="4" t="s">
        <v>70</v>
      </c>
      <c r="V173" s="4" t="s">
        <v>70</v>
      </c>
      <c r="W173" s="4" t="s">
        <v>70</v>
      </c>
      <c r="X173" s="4" t="s">
        <v>71</v>
      </c>
      <c r="Y173" s="4" t="s">
        <v>72</v>
      </c>
      <c r="Z173" s="4" t="s">
        <v>72</v>
      </c>
      <c r="AA173" s="4" t="s">
        <v>72</v>
      </c>
      <c r="AB173" s="4" t="s">
        <v>70</v>
      </c>
      <c r="AC173" s="4" t="s">
        <v>71</v>
      </c>
      <c r="AD173" s="4" t="s">
        <v>70</v>
      </c>
      <c r="AE173" s="4" t="s">
        <v>70</v>
      </c>
      <c r="AF173" s="4" t="s">
        <v>71</v>
      </c>
      <c r="AG173" s="4" t="s">
        <v>70</v>
      </c>
      <c r="AH173" s="4" t="s">
        <v>70</v>
      </c>
      <c r="AI173" s="4" t="s">
        <v>73</v>
      </c>
      <c r="AJ173" s="4" t="s">
        <v>71</v>
      </c>
      <c r="AK173" s="4" t="s">
        <v>72</v>
      </c>
      <c r="AL173" s="4" t="s">
        <v>72</v>
      </c>
      <c r="AM173" s="4" t="s">
        <v>71</v>
      </c>
      <c r="AN173" s="4" t="s">
        <v>73</v>
      </c>
      <c r="AO173" s="4" t="s">
        <v>70</v>
      </c>
      <c r="AP173" s="4" t="s">
        <v>73</v>
      </c>
      <c r="AQ173" s="4" t="s">
        <v>72</v>
      </c>
      <c r="AR173" s="4" t="s">
        <v>71</v>
      </c>
      <c r="AS173" s="4" t="s">
        <v>71</v>
      </c>
      <c r="AT173" s="4" t="s">
        <v>70</v>
      </c>
      <c r="AU173" s="4" t="s">
        <v>71</v>
      </c>
      <c r="AV173" s="4" t="s">
        <v>72</v>
      </c>
      <c r="AW173" s="4" t="s">
        <v>72</v>
      </c>
      <c r="AX173" s="4" t="s">
        <v>72</v>
      </c>
      <c r="AY173" s="4" t="s">
        <v>73</v>
      </c>
      <c r="AZ173" s="4" t="s">
        <v>71</v>
      </c>
      <c r="BA173" s="4" t="s">
        <v>71</v>
      </c>
      <c r="BB173" s="4" t="s">
        <v>71</v>
      </c>
      <c r="BC173" s="4" t="s">
        <v>71</v>
      </c>
      <c r="BD173" s="4" t="s">
        <v>70</v>
      </c>
      <c r="BE173" s="4" t="s">
        <v>70</v>
      </c>
      <c r="BF173" s="4" t="s">
        <v>72</v>
      </c>
      <c r="BG173" s="4" t="s">
        <v>72</v>
      </c>
      <c r="BH173" s="4" t="s">
        <v>71</v>
      </c>
      <c r="BI173" s="4" t="s">
        <v>70</v>
      </c>
      <c r="BJ173" s="4" t="s">
        <v>73</v>
      </c>
      <c r="BK173" s="4" t="s">
        <v>73</v>
      </c>
      <c r="BL173" s="4" t="s">
        <v>72</v>
      </c>
      <c r="BM173" s="4" t="s">
        <v>71</v>
      </c>
      <c r="BN173" s="4" t="s">
        <v>71</v>
      </c>
      <c r="BO173" s="4" t="s">
        <v>70</v>
      </c>
      <c r="BP173" s="4" t="s">
        <v>70</v>
      </c>
      <c r="BQ173" s="4" t="s">
        <v>70</v>
      </c>
      <c r="BR173" s="4" t="s">
        <v>71</v>
      </c>
      <c r="BS173" s="4" t="s">
        <v>71</v>
      </c>
      <c r="BT173" s="4" t="s">
        <v>71</v>
      </c>
      <c r="BU173" s="4" t="s">
        <v>72</v>
      </c>
      <c r="BV173" s="4" t="s">
        <v>70</v>
      </c>
      <c r="BW173" s="4" t="s">
        <v>70</v>
      </c>
      <c r="BX173" s="4" t="s">
        <v>71</v>
      </c>
    </row>
    <row r="174" spans="1:76">
      <c r="A174" s="4" t="s">
        <v>330</v>
      </c>
      <c r="B174" s="4" t="s">
        <v>331</v>
      </c>
      <c r="C174" s="4" t="s">
        <v>191</v>
      </c>
      <c r="D174" s="4" t="s">
        <v>80</v>
      </c>
      <c r="E174" s="4" t="s">
        <v>70</v>
      </c>
      <c r="F174" s="4" t="s">
        <v>71</v>
      </c>
      <c r="G174" s="4" t="s">
        <v>71</v>
      </c>
      <c r="H174" s="4" t="s">
        <v>73</v>
      </c>
      <c r="I174" s="4" t="s">
        <v>73</v>
      </c>
      <c r="J174" s="4" t="s">
        <v>70</v>
      </c>
      <c r="K174" s="4" t="s">
        <v>70</v>
      </c>
      <c r="L174" s="4" t="s">
        <v>72</v>
      </c>
      <c r="M174" s="4" t="s">
        <v>70</v>
      </c>
      <c r="N174" s="4" t="s">
        <v>70</v>
      </c>
      <c r="O174" s="4" t="s">
        <v>71</v>
      </c>
      <c r="P174" s="4" t="s">
        <v>73</v>
      </c>
      <c r="Q174" s="4" t="s">
        <v>70</v>
      </c>
      <c r="R174" s="4" t="s">
        <v>73</v>
      </c>
      <c r="S174" s="4" t="s">
        <v>70</v>
      </c>
      <c r="T174" s="4" t="s">
        <v>72</v>
      </c>
      <c r="U174" s="4" t="s">
        <v>72</v>
      </c>
      <c r="V174" s="4" t="s">
        <v>70</v>
      </c>
      <c r="W174" s="4" t="s">
        <v>70</v>
      </c>
      <c r="X174" s="4" t="s">
        <v>71</v>
      </c>
      <c r="Y174" s="4" t="s">
        <v>73</v>
      </c>
      <c r="Z174" s="4" t="s">
        <v>73</v>
      </c>
      <c r="AA174" s="4" t="s">
        <v>71</v>
      </c>
      <c r="AB174" s="4" t="s">
        <v>70</v>
      </c>
      <c r="AC174" s="4" t="s">
        <v>71</v>
      </c>
      <c r="AD174" s="4" t="s">
        <v>73</v>
      </c>
      <c r="AE174" s="4" t="s">
        <v>72</v>
      </c>
      <c r="AF174" s="4" t="s">
        <v>71</v>
      </c>
      <c r="AG174" s="4" t="s">
        <v>71</v>
      </c>
      <c r="AH174" s="4" t="s">
        <v>70</v>
      </c>
      <c r="AI174" s="4" t="s">
        <v>71</v>
      </c>
      <c r="AJ174" s="4" t="s">
        <v>71</v>
      </c>
      <c r="AK174" s="4" t="s">
        <v>72</v>
      </c>
      <c r="AL174" s="4" t="s">
        <v>70</v>
      </c>
      <c r="AM174" s="4" t="s">
        <v>71</v>
      </c>
      <c r="AN174" s="4" t="s">
        <v>73</v>
      </c>
      <c r="AO174" s="4" t="s">
        <v>70</v>
      </c>
      <c r="AP174" s="4" t="s">
        <v>73</v>
      </c>
      <c r="AQ174" s="4" t="s">
        <v>70</v>
      </c>
      <c r="AR174" s="4" t="s">
        <v>71</v>
      </c>
      <c r="AS174" s="4" t="s">
        <v>70</v>
      </c>
      <c r="AT174" s="4" t="s">
        <v>70</v>
      </c>
      <c r="AU174" s="4" t="s">
        <v>73</v>
      </c>
      <c r="AV174" s="4" t="s">
        <v>73</v>
      </c>
      <c r="AW174" s="4" t="s">
        <v>71</v>
      </c>
      <c r="AX174" s="4" t="s">
        <v>71</v>
      </c>
      <c r="AY174" s="4" t="s">
        <v>71</v>
      </c>
      <c r="AZ174" s="4" t="s">
        <v>71</v>
      </c>
      <c r="BA174" s="4" t="s">
        <v>70</v>
      </c>
      <c r="BB174" s="4" t="s">
        <v>71</v>
      </c>
      <c r="BC174" s="4" t="s">
        <v>71</v>
      </c>
      <c r="BD174" s="4" t="s">
        <v>70</v>
      </c>
      <c r="BE174" s="4" t="s">
        <v>70</v>
      </c>
      <c r="BF174" s="4" t="s">
        <v>72</v>
      </c>
      <c r="BG174" s="4" t="s">
        <v>72</v>
      </c>
      <c r="BH174" s="4" t="s">
        <v>71</v>
      </c>
      <c r="BI174" s="4" t="s">
        <v>73</v>
      </c>
      <c r="BJ174" s="4" t="s">
        <v>73</v>
      </c>
      <c r="BK174" s="4" t="s">
        <v>73</v>
      </c>
      <c r="BL174" s="4" t="s">
        <v>72</v>
      </c>
      <c r="BM174" s="4" t="s">
        <v>71</v>
      </c>
      <c r="BN174" s="4" t="s">
        <v>71</v>
      </c>
      <c r="BO174" s="4" t="s">
        <v>70</v>
      </c>
      <c r="BP174" s="4" t="s">
        <v>70</v>
      </c>
      <c r="BQ174" s="4" t="s">
        <v>71</v>
      </c>
      <c r="BR174" s="4" t="s">
        <v>71</v>
      </c>
      <c r="BS174" s="4" t="s">
        <v>71</v>
      </c>
      <c r="BT174" s="4" t="s">
        <v>72</v>
      </c>
      <c r="BU174" s="4" t="s">
        <v>72</v>
      </c>
      <c r="BV174" s="4" t="s">
        <v>70</v>
      </c>
      <c r="BW174" s="4" t="s">
        <v>70</v>
      </c>
      <c r="BX174" s="4" t="s">
        <v>71</v>
      </c>
    </row>
    <row r="175" spans="1:76">
      <c r="A175" s="4" t="s">
        <v>332</v>
      </c>
      <c r="B175" s="4" t="s">
        <v>333</v>
      </c>
      <c r="C175" s="4" t="s">
        <v>112</v>
      </c>
      <c r="D175" s="4" t="s">
        <v>115</v>
      </c>
      <c r="E175" s="4" t="s">
        <v>70</v>
      </c>
      <c r="F175" s="4" t="s">
        <v>71</v>
      </c>
      <c r="G175" s="4" t="s">
        <v>70</v>
      </c>
      <c r="H175" s="4" t="s">
        <v>70</v>
      </c>
      <c r="I175" s="4" t="s">
        <v>71</v>
      </c>
      <c r="J175" s="4" t="s">
        <v>70</v>
      </c>
      <c r="K175" s="4" t="s">
        <v>72</v>
      </c>
      <c r="L175" s="4" t="s">
        <v>72</v>
      </c>
      <c r="M175" s="4" t="s">
        <v>73</v>
      </c>
      <c r="N175" s="4" t="s">
        <v>70</v>
      </c>
      <c r="O175" s="4" t="s">
        <v>72</v>
      </c>
      <c r="P175" s="4" t="s">
        <v>71</v>
      </c>
      <c r="Q175" s="4" t="s">
        <v>71</v>
      </c>
      <c r="R175" s="4" t="s">
        <v>73</v>
      </c>
      <c r="S175" s="4" t="s">
        <v>72</v>
      </c>
      <c r="T175" s="4" t="s">
        <v>71</v>
      </c>
      <c r="U175" s="4" t="s">
        <v>72</v>
      </c>
      <c r="V175" s="4" t="s">
        <v>70</v>
      </c>
      <c r="W175" s="4" t="s">
        <v>70</v>
      </c>
      <c r="X175" s="4" t="s">
        <v>72</v>
      </c>
      <c r="Y175" s="4" t="s">
        <v>73</v>
      </c>
      <c r="Z175" s="4" t="s">
        <v>73</v>
      </c>
      <c r="AA175" s="4" t="s">
        <v>70</v>
      </c>
      <c r="AB175" s="4" t="s">
        <v>73</v>
      </c>
      <c r="AC175" s="4" t="s">
        <v>71</v>
      </c>
      <c r="AD175" s="4" t="s">
        <v>73</v>
      </c>
      <c r="AE175" s="4" t="s">
        <v>71</v>
      </c>
      <c r="AF175" s="4" t="s">
        <v>72</v>
      </c>
      <c r="AG175" s="4" t="s">
        <v>70</v>
      </c>
      <c r="AH175" s="4" t="s">
        <v>70</v>
      </c>
      <c r="AI175" s="4" t="s">
        <v>71</v>
      </c>
      <c r="AJ175" s="4" t="s">
        <v>71</v>
      </c>
      <c r="AK175" s="4" t="s">
        <v>72</v>
      </c>
      <c r="AL175" s="4" t="s">
        <v>70</v>
      </c>
      <c r="AM175" s="4" t="s">
        <v>71</v>
      </c>
      <c r="AN175" s="4" t="s">
        <v>71</v>
      </c>
      <c r="AO175" s="4" t="s">
        <v>73</v>
      </c>
      <c r="AP175" s="4" t="s">
        <v>71</v>
      </c>
      <c r="AQ175" s="4" t="s">
        <v>70</v>
      </c>
      <c r="AR175" s="4" t="s">
        <v>71</v>
      </c>
      <c r="AS175" s="4" t="s">
        <v>71</v>
      </c>
      <c r="AT175" s="4" t="s">
        <v>73</v>
      </c>
      <c r="AU175" s="4" t="s">
        <v>70</v>
      </c>
      <c r="AV175" s="4" t="s">
        <v>71</v>
      </c>
      <c r="AW175" s="4" t="s">
        <v>70</v>
      </c>
      <c r="AX175" s="10" t="s">
        <v>77</v>
      </c>
      <c r="AY175" s="4" t="s">
        <v>72</v>
      </c>
      <c r="AZ175" s="4" t="s">
        <v>71</v>
      </c>
      <c r="BA175" s="4" t="s">
        <v>71</v>
      </c>
      <c r="BB175" s="4" t="s">
        <v>71</v>
      </c>
      <c r="BC175" s="4" t="s">
        <v>70</v>
      </c>
      <c r="BD175" s="4" t="s">
        <v>70</v>
      </c>
      <c r="BE175" s="4" t="s">
        <v>70</v>
      </c>
      <c r="BF175" s="4" t="s">
        <v>72</v>
      </c>
      <c r="BG175" s="4" t="s">
        <v>72</v>
      </c>
      <c r="BH175" s="4" t="s">
        <v>71</v>
      </c>
      <c r="BI175" s="4" t="s">
        <v>73</v>
      </c>
      <c r="BJ175" s="4" t="s">
        <v>73</v>
      </c>
      <c r="BK175" s="4" t="s">
        <v>73</v>
      </c>
      <c r="BL175" s="4" t="s">
        <v>72</v>
      </c>
      <c r="BM175" s="4" t="s">
        <v>71</v>
      </c>
      <c r="BN175" s="4" t="s">
        <v>71</v>
      </c>
      <c r="BO175" s="4" t="s">
        <v>71</v>
      </c>
      <c r="BP175" s="4" t="s">
        <v>70</v>
      </c>
      <c r="BQ175" s="4" t="s">
        <v>70</v>
      </c>
      <c r="BR175" s="4" t="s">
        <v>73</v>
      </c>
      <c r="BS175" s="4" t="s">
        <v>71</v>
      </c>
      <c r="BT175" s="4" t="s">
        <v>70</v>
      </c>
      <c r="BU175" s="4" t="s">
        <v>71</v>
      </c>
      <c r="BV175" s="4" t="s">
        <v>71</v>
      </c>
      <c r="BW175" s="4" t="s">
        <v>70</v>
      </c>
      <c r="BX175" s="4" t="s">
        <v>71</v>
      </c>
    </row>
    <row r="176" spans="1:76">
      <c r="A176" s="4" t="s">
        <v>334</v>
      </c>
      <c r="B176" s="4" t="s">
        <v>335</v>
      </c>
      <c r="C176" s="4" t="s">
        <v>117</v>
      </c>
      <c r="D176" s="4" t="s">
        <v>88</v>
      </c>
      <c r="E176" s="4" t="s">
        <v>73</v>
      </c>
      <c r="F176" s="4" t="s">
        <v>70</v>
      </c>
      <c r="G176" s="4" t="s">
        <v>71</v>
      </c>
      <c r="H176" s="4" t="s">
        <v>70</v>
      </c>
      <c r="I176" s="4" t="s">
        <v>70</v>
      </c>
      <c r="J176" s="4" t="s">
        <v>70</v>
      </c>
      <c r="K176" s="4" t="s">
        <v>73</v>
      </c>
      <c r="L176" s="4" t="s">
        <v>72</v>
      </c>
      <c r="M176" s="4" t="s">
        <v>70</v>
      </c>
      <c r="N176" s="4" t="s">
        <v>70</v>
      </c>
      <c r="O176" s="4" t="s">
        <v>70</v>
      </c>
      <c r="P176" s="4" t="s">
        <v>73</v>
      </c>
      <c r="Q176" s="4" t="s">
        <v>72</v>
      </c>
      <c r="R176" s="4" t="s">
        <v>73</v>
      </c>
      <c r="S176" s="4" t="s">
        <v>70</v>
      </c>
      <c r="T176" s="4" t="s">
        <v>71</v>
      </c>
      <c r="U176" s="4" t="s">
        <v>71</v>
      </c>
      <c r="V176" s="4" t="s">
        <v>70</v>
      </c>
      <c r="W176" s="4" t="s">
        <v>70</v>
      </c>
      <c r="X176" s="4" t="s">
        <v>73</v>
      </c>
      <c r="Y176" s="4" t="s">
        <v>73</v>
      </c>
      <c r="Z176" s="4" t="s">
        <v>72</v>
      </c>
      <c r="AA176" s="4" t="s">
        <v>72</v>
      </c>
      <c r="AB176" s="4" t="s">
        <v>71</v>
      </c>
      <c r="AC176" s="4" t="s">
        <v>71</v>
      </c>
      <c r="AD176" s="4" t="s">
        <v>70</v>
      </c>
      <c r="AE176" s="4" t="s">
        <v>70</v>
      </c>
      <c r="AF176" s="4" t="s">
        <v>71</v>
      </c>
      <c r="AG176" s="4" t="s">
        <v>70</v>
      </c>
      <c r="AH176" s="4" t="s">
        <v>70</v>
      </c>
      <c r="AI176" s="4" t="s">
        <v>70</v>
      </c>
      <c r="AJ176" s="4" t="s">
        <v>71</v>
      </c>
      <c r="AK176" s="4" t="s">
        <v>72</v>
      </c>
      <c r="AL176" s="4" t="s">
        <v>71</v>
      </c>
      <c r="AM176" s="4" t="s">
        <v>73</v>
      </c>
      <c r="AN176" s="4" t="s">
        <v>72</v>
      </c>
      <c r="AO176" s="4" t="s">
        <v>73</v>
      </c>
      <c r="AP176" s="4" t="s">
        <v>73</v>
      </c>
      <c r="AQ176" s="4" t="s">
        <v>71</v>
      </c>
      <c r="AR176" s="4" t="s">
        <v>71</v>
      </c>
      <c r="AS176" s="4" t="s">
        <v>71</v>
      </c>
      <c r="AT176" s="4" t="s">
        <v>70</v>
      </c>
      <c r="AU176" s="4" t="s">
        <v>71</v>
      </c>
      <c r="AV176" s="4" t="s">
        <v>73</v>
      </c>
      <c r="AW176" s="4" t="s">
        <v>70</v>
      </c>
      <c r="AX176" s="4" t="s">
        <v>73</v>
      </c>
      <c r="AY176" s="4" t="s">
        <v>72</v>
      </c>
      <c r="AZ176" s="4" t="s">
        <v>71</v>
      </c>
      <c r="BA176" s="4" t="s">
        <v>73</v>
      </c>
      <c r="BB176" s="4" t="s">
        <v>70</v>
      </c>
      <c r="BC176" s="4" t="s">
        <v>72</v>
      </c>
      <c r="BD176" s="4" t="s">
        <v>73</v>
      </c>
      <c r="BE176" s="4" t="s">
        <v>70</v>
      </c>
      <c r="BF176" s="4" t="s">
        <v>73</v>
      </c>
      <c r="BG176" s="4" t="s">
        <v>72</v>
      </c>
      <c r="BH176" s="4" t="s">
        <v>71</v>
      </c>
      <c r="BI176" s="4" t="s">
        <v>73</v>
      </c>
      <c r="BJ176" s="4" t="s">
        <v>73</v>
      </c>
      <c r="BK176" s="4" t="s">
        <v>73</v>
      </c>
      <c r="BL176" s="4" t="s">
        <v>72</v>
      </c>
      <c r="BM176" s="4" t="s">
        <v>71</v>
      </c>
      <c r="BN176" s="4" t="s">
        <v>72</v>
      </c>
      <c r="BO176" s="4" t="s">
        <v>73</v>
      </c>
      <c r="BP176" s="4" t="s">
        <v>71</v>
      </c>
      <c r="BQ176" s="4" t="s">
        <v>72</v>
      </c>
      <c r="BR176" s="4" t="s">
        <v>72</v>
      </c>
      <c r="BS176" s="4" t="s">
        <v>71</v>
      </c>
      <c r="BT176" s="4" t="s">
        <v>71</v>
      </c>
      <c r="BU176" s="4" t="s">
        <v>71</v>
      </c>
      <c r="BV176" s="4" t="s">
        <v>70</v>
      </c>
      <c r="BW176" s="4" t="s">
        <v>71</v>
      </c>
      <c r="BX176" s="4" t="s">
        <v>72</v>
      </c>
    </row>
    <row r="177" spans="1:76">
      <c r="A177" s="4" t="s">
        <v>336</v>
      </c>
      <c r="B177" s="4" t="s">
        <v>337</v>
      </c>
      <c r="C177" s="4" t="s">
        <v>117</v>
      </c>
      <c r="D177" s="4" t="s">
        <v>88</v>
      </c>
      <c r="E177" s="4" t="s">
        <v>73</v>
      </c>
      <c r="F177" s="4" t="s">
        <v>70</v>
      </c>
      <c r="G177" s="4" t="s">
        <v>71</v>
      </c>
      <c r="H177" s="4" t="s">
        <v>70</v>
      </c>
      <c r="I177" s="4" t="s">
        <v>70</v>
      </c>
      <c r="J177" s="4" t="s">
        <v>71</v>
      </c>
      <c r="K177" s="4" t="s">
        <v>70</v>
      </c>
      <c r="L177" s="4" t="s">
        <v>72</v>
      </c>
      <c r="M177" s="4" t="s">
        <v>73</v>
      </c>
      <c r="N177" s="4" t="s">
        <v>70</v>
      </c>
      <c r="O177" s="4" t="s">
        <v>70</v>
      </c>
      <c r="P177" s="4" t="s">
        <v>70</v>
      </c>
      <c r="Q177" s="4" t="s">
        <v>73</v>
      </c>
      <c r="R177" s="4" t="s">
        <v>73</v>
      </c>
      <c r="S177" s="4" t="s">
        <v>71</v>
      </c>
      <c r="T177" s="4" t="s">
        <v>72</v>
      </c>
      <c r="U177" s="4" t="s">
        <v>70</v>
      </c>
      <c r="V177" s="4" t="s">
        <v>70</v>
      </c>
      <c r="W177" s="4" t="s">
        <v>70</v>
      </c>
      <c r="X177" s="4" t="s">
        <v>73</v>
      </c>
      <c r="Y177" s="4" t="s">
        <v>73</v>
      </c>
      <c r="Z177" s="4" t="s">
        <v>72</v>
      </c>
      <c r="AA177" s="4" t="s">
        <v>71</v>
      </c>
      <c r="AB177" s="4" t="s">
        <v>71</v>
      </c>
      <c r="AC177" s="4" t="s">
        <v>71</v>
      </c>
      <c r="AD177" s="4" t="s">
        <v>70</v>
      </c>
      <c r="AE177" s="4" t="s">
        <v>71</v>
      </c>
      <c r="AF177" s="4" t="s">
        <v>73</v>
      </c>
      <c r="AG177" s="4" t="s">
        <v>70</v>
      </c>
      <c r="AH177" s="4" t="s">
        <v>70</v>
      </c>
      <c r="AI177" s="4" t="s">
        <v>70</v>
      </c>
      <c r="AJ177" s="4" t="s">
        <v>71</v>
      </c>
      <c r="AK177" s="4" t="s">
        <v>72</v>
      </c>
      <c r="AL177" s="4" t="s">
        <v>71</v>
      </c>
      <c r="AM177" s="4" t="s">
        <v>73</v>
      </c>
      <c r="AN177" s="4" t="s">
        <v>72</v>
      </c>
      <c r="AO177" s="4" t="s">
        <v>73</v>
      </c>
      <c r="AP177" s="4" t="s">
        <v>73</v>
      </c>
      <c r="AQ177" s="4" t="s">
        <v>71</v>
      </c>
      <c r="AR177" s="4" t="s">
        <v>71</v>
      </c>
      <c r="AS177" s="4" t="s">
        <v>71</v>
      </c>
      <c r="AT177" s="4" t="s">
        <v>72</v>
      </c>
      <c r="AU177" s="4" t="s">
        <v>70</v>
      </c>
      <c r="AV177" s="4" t="s">
        <v>73</v>
      </c>
      <c r="AW177" s="4" t="s">
        <v>70</v>
      </c>
      <c r="AX177" s="4" t="s">
        <v>70</v>
      </c>
      <c r="AY177" s="4" t="s">
        <v>72</v>
      </c>
      <c r="AZ177" s="4" t="s">
        <v>71</v>
      </c>
      <c r="BA177" s="4" t="s">
        <v>71</v>
      </c>
      <c r="BB177" s="4" t="s">
        <v>71</v>
      </c>
      <c r="BC177" s="4" t="s">
        <v>72</v>
      </c>
      <c r="BD177" s="4" t="s">
        <v>70</v>
      </c>
      <c r="BE177" s="4" t="s">
        <v>70</v>
      </c>
      <c r="BF177" s="4" t="s">
        <v>72</v>
      </c>
      <c r="BG177" s="4" t="s">
        <v>72</v>
      </c>
      <c r="BH177" s="4" t="s">
        <v>71</v>
      </c>
      <c r="BI177" s="4" t="s">
        <v>73</v>
      </c>
      <c r="BJ177" s="4" t="s">
        <v>73</v>
      </c>
      <c r="BK177" s="4" t="s">
        <v>73</v>
      </c>
      <c r="BL177" s="4" t="s">
        <v>72</v>
      </c>
      <c r="BM177" s="4" t="s">
        <v>71</v>
      </c>
      <c r="BN177" s="4" t="s">
        <v>71</v>
      </c>
      <c r="BO177" s="4" t="s">
        <v>73</v>
      </c>
      <c r="BP177" s="4" t="s">
        <v>70</v>
      </c>
      <c r="BQ177" s="4" t="s">
        <v>70</v>
      </c>
      <c r="BR177" s="4" t="s">
        <v>71</v>
      </c>
      <c r="BS177" s="4" t="s">
        <v>70</v>
      </c>
      <c r="BT177" s="4" t="s">
        <v>71</v>
      </c>
      <c r="BU177" s="4" t="s">
        <v>71</v>
      </c>
      <c r="BV177" s="4" t="s">
        <v>70</v>
      </c>
      <c r="BW177" s="4" t="s">
        <v>71</v>
      </c>
      <c r="BX177" s="4" t="s">
        <v>72</v>
      </c>
    </row>
    <row r="178" spans="1:76">
      <c r="A178" s="4" t="s">
        <v>338</v>
      </c>
      <c r="B178" s="4" t="s">
        <v>339</v>
      </c>
      <c r="C178" s="4" t="s">
        <v>340</v>
      </c>
      <c r="D178" s="4" t="s">
        <v>328</v>
      </c>
      <c r="E178" s="4" t="s">
        <v>70</v>
      </c>
      <c r="F178" s="4" t="s">
        <v>70</v>
      </c>
      <c r="G178" s="4" t="s">
        <v>73</v>
      </c>
      <c r="H178" s="4" t="s">
        <v>73</v>
      </c>
      <c r="I178" s="4" t="s">
        <v>73</v>
      </c>
      <c r="J178" s="4" t="s">
        <v>71</v>
      </c>
      <c r="K178" s="4" t="s">
        <v>71</v>
      </c>
      <c r="L178" s="4" t="s">
        <v>72</v>
      </c>
      <c r="M178" s="10" t="s">
        <v>77</v>
      </c>
      <c r="N178" s="4" t="s">
        <v>70</v>
      </c>
      <c r="O178" s="4" t="s">
        <v>73</v>
      </c>
      <c r="P178" s="4" t="s">
        <v>72</v>
      </c>
      <c r="Q178" s="4" t="s">
        <v>71</v>
      </c>
      <c r="R178" s="4" t="s">
        <v>73</v>
      </c>
      <c r="S178" s="4" t="s">
        <v>72</v>
      </c>
      <c r="T178" s="10" t="s">
        <v>77</v>
      </c>
      <c r="U178" s="10" t="s">
        <v>77</v>
      </c>
      <c r="V178" s="4" t="s">
        <v>70</v>
      </c>
      <c r="W178" s="4" t="s">
        <v>72</v>
      </c>
      <c r="X178" s="10" t="s">
        <v>77</v>
      </c>
      <c r="Y178" s="4" t="s">
        <v>73</v>
      </c>
      <c r="Z178" s="4" t="s">
        <v>70</v>
      </c>
      <c r="AA178" s="4" t="s">
        <v>73</v>
      </c>
      <c r="AB178" s="4" t="s">
        <v>72</v>
      </c>
      <c r="AC178" s="4" t="s">
        <v>71</v>
      </c>
      <c r="AD178" s="4" t="s">
        <v>70</v>
      </c>
      <c r="AE178" s="4" t="s">
        <v>73</v>
      </c>
      <c r="AF178" s="4" t="s">
        <v>73</v>
      </c>
      <c r="AG178" s="4" t="s">
        <v>72</v>
      </c>
      <c r="AH178" s="4" t="s">
        <v>70</v>
      </c>
      <c r="AI178" s="4" t="s">
        <v>70</v>
      </c>
      <c r="AJ178" s="4" t="s">
        <v>71</v>
      </c>
      <c r="AK178" s="4" t="s">
        <v>72</v>
      </c>
      <c r="AL178" s="4" t="s">
        <v>71</v>
      </c>
      <c r="AM178" s="4" t="s">
        <v>72</v>
      </c>
      <c r="AN178" s="4" t="s">
        <v>73</v>
      </c>
      <c r="AO178" s="4" t="s">
        <v>73</v>
      </c>
      <c r="AP178" s="4" t="s">
        <v>73</v>
      </c>
      <c r="AQ178" s="4" t="s">
        <v>71</v>
      </c>
      <c r="AR178" s="4" t="s">
        <v>71</v>
      </c>
      <c r="AS178" s="4" t="s">
        <v>70</v>
      </c>
      <c r="AT178" s="4" t="s">
        <v>72</v>
      </c>
      <c r="AU178" s="4" t="s">
        <v>72</v>
      </c>
      <c r="AV178" s="4" t="s">
        <v>71</v>
      </c>
      <c r="AW178" s="10" t="s">
        <v>77</v>
      </c>
      <c r="AX178" s="10" t="s">
        <v>77</v>
      </c>
      <c r="AY178" s="4" t="s">
        <v>73</v>
      </c>
      <c r="AZ178" s="4" t="s">
        <v>70</v>
      </c>
      <c r="BA178" s="4" t="s">
        <v>71</v>
      </c>
      <c r="BB178" s="4" t="s">
        <v>71</v>
      </c>
      <c r="BC178" s="4" t="s">
        <v>70</v>
      </c>
      <c r="BD178" s="4" t="s">
        <v>70</v>
      </c>
      <c r="BE178" s="4" t="s">
        <v>70</v>
      </c>
      <c r="BF178" s="4" t="s">
        <v>72</v>
      </c>
      <c r="BG178" s="4" t="s">
        <v>72</v>
      </c>
      <c r="BH178" s="4" t="s">
        <v>73</v>
      </c>
      <c r="BI178" s="4" t="s">
        <v>70</v>
      </c>
      <c r="BJ178" s="4" t="s">
        <v>73</v>
      </c>
      <c r="BK178" s="4" t="s">
        <v>72</v>
      </c>
      <c r="BL178" s="4" t="s">
        <v>72</v>
      </c>
      <c r="BM178" s="4" t="s">
        <v>71</v>
      </c>
      <c r="BN178" s="4" t="s">
        <v>71</v>
      </c>
      <c r="BO178" s="4" t="s">
        <v>71</v>
      </c>
      <c r="BP178" s="4" t="s">
        <v>70</v>
      </c>
      <c r="BQ178" s="4" t="s">
        <v>70</v>
      </c>
      <c r="BR178" s="4" t="s">
        <v>70</v>
      </c>
      <c r="BS178" s="4" t="s">
        <v>70</v>
      </c>
      <c r="BT178" s="4" t="s">
        <v>72</v>
      </c>
      <c r="BU178" s="4" t="s">
        <v>72</v>
      </c>
      <c r="BV178" s="4" t="s">
        <v>72</v>
      </c>
      <c r="BW178" s="4" t="s">
        <v>71</v>
      </c>
      <c r="BX178" s="4" t="s">
        <v>71</v>
      </c>
    </row>
    <row r="179" spans="1:76">
      <c r="A179" s="4" t="s">
        <v>341</v>
      </c>
      <c r="B179" s="4" t="s">
        <v>342</v>
      </c>
      <c r="C179" s="4" t="s">
        <v>158</v>
      </c>
      <c r="D179" s="4" t="s">
        <v>343</v>
      </c>
      <c r="E179" s="4" t="s">
        <v>70</v>
      </c>
      <c r="F179" s="4" t="s">
        <v>71</v>
      </c>
      <c r="G179" s="4" t="s">
        <v>71</v>
      </c>
      <c r="H179" s="4" t="s">
        <v>71</v>
      </c>
      <c r="I179" s="4" t="s">
        <v>71</v>
      </c>
      <c r="J179" s="4" t="s">
        <v>71</v>
      </c>
      <c r="K179" s="4" t="s">
        <v>70</v>
      </c>
      <c r="L179" s="4" t="s">
        <v>72</v>
      </c>
      <c r="M179" s="4" t="s">
        <v>70</v>
      </c>
      <c r="N179" s="4" t="s">
        <v>70</v>
      </c>
      <c r="O179" s="4" t="s">
        <v>72</v>
      </c>
      <c r="P179" s="4" t="s">
        <v>70</v>
      </c>
      <c r="Q179" s="4" t="s">
        <v>72</v>
      </c>
      <c r="R179" s="4" t="s">
        <v>73</v>
      </c>
      <c r="S179" s="4" t="s">
        <v>70</v>
      </c>
      <c r="T179" s="4" t="s">
        <v>71</v>
      </c>
      <c r="U179" s="4" t="s">
        <v>71</v>
      </c>
      <c r="V179" s="4" t="s">
        <v>70</v>
      </c>
      <c r="W179" s="4" t="s">
        <v>70</v>
      </c>
      <c r="X179" s="4" t="s">
        <v>72</v>
      </c>
      <c r="Y179" s="4" t="s">
        <v>73</v>
      </c>
      <c r="Z179" s="4" t="s">
        <v>70</v>
      </c>
      <c r="AA179" s="4" t="s">
        <v>71</v>
      </c>
      <c r="AB179" s="4" t="s">
        <v>73</v>
      </c>
      <c r="AC179" s="4" t="s">
        <v>72</v>
      </c>
      <c r="AD179" s="4" t="s">
        <v>73</v>
      </c>
      <c r="AE179" s="4" t="s">
        <v>71</v>
      </c>
      <c r="AF179" s="4" t="s">
        <v>70</v>
      </c>
      <c r="AG179" s="4" t="s">
        <v>70</v>
      </c>
      <c r="AH179" s="4" t="s">
        <v>70</v>
      </c>
      <c r="AI179" s="4" t="s">
        <v>70</v>
      </c>
      <c r="AJ179" s="4" t="s">
        <v>72</v>
      </c>
      <c r="AK179" s="4" t="s">
        <v>72</v>
      </c>
      <c r="AL179" s="4" t="s">
        <v>71</v>
      </c>
      <c r="AM179" s="4" t="s">
        <v>72</v>
      </c>
      <c r="AN179" s="4" t="s">
        <v>71</v>
      </c>
      <c r="AO179" s="4" t="s">
        <v>70</v>
      </c>
      <c r="AP179" s="4" t="s">
        <v>72</v>
      </c>
      <c r="AQ179" s="4" t="s">
        <v>71</v>
      </c>
      <c r="AR179" s="4" t="s">
        <v>71</v>
      </c>
      <c r="AS179" s="4" t="s">
        <v>71</v>
      </c>
      <c r="AT179" s="4" t="s">
        <v>71</v>
      </c>
      <c r="AU179" s="4" t="s">
        <v>70</v>
      </c>
      <c r="AV179" s="4" t="s">
        <v>72</v>
      </c>
      <c r="AW179" s="4" t="s">
        <v>70</v>
      </c>
      <c r="AX179" s="10" t="s">
        <v>77</v>
      </c>
      <c r="AY179" s="4" t="s">
        <v>73</v>
      </c>
      <c r="AZ179" s="4" t="s">
        <v>71</v>
      </c>
      <c r="BA179" s="4" t="s">
        <v>71</v>
      </c>
      <c r="BB179" s="4" t="s">
        <v>71</v>
      </c>
      <c r="BC179" s="4" t="s">
        <v>70</v>
      </c>
      <c r="BD179" s="4" t="s">
        <v>70</v>
      </c>
      <c r="BE179" s="4" t="s">
        <v>70</v>
      </c>
      <c r="BF179" s="4" t="s">
        <v>72</v>
      </c>
      <c r="BG179" s="4" t="s">
        <v>72</v>
      </c>
      <c r="BH179" s="4" t="s">
        <v>71</v>
      </c>
      <c r="BI179" s="4" t="s">
        <v>73</v>
      </c>
      <c r="BJ179" s="4" t="s">
        <v>73</v>
      </c>
      <c r="BK179" s="4" t="s">
        <v>73</v>
      </c>
      <c r="BL179" s="4" t="s">
        <v>72</v>
      </c>
      <c r="BM179" s="4" t="s">
        <v>71</v>
      </c>
      <c r="BN179" s="4" t="s">
        <v>71</v>
      </c>
      <c r="BO179" s="4" t="s">
        <v>71</v>
      </c>
      <c r="BP179" s="4" t="s">
        <v>70</v>
      </c>
      <c r="BQ179" s="4" t="s">
        <v>70</v>
      </c>
      <c r="BR179" s="4" t="s">
        <v>71</v>
      </c>
      <c r="BS179" s="4" t="s">
        <v>70</v>
      </c>
      <c r="BT179" s="4" t="s">
        <v>70</v>
      </c>
      <c r="BU179" s="4" t="s">
        <v>70</v>
      </c>
      <c r="BV179" s="4" t="s">
        <v>70</v>
      </c>
      <c r="BW179" s="4" t="s">
        <v>70</v>
      </c>
      <c r="BX179" s="4" t="s">
        <v>71</v>
      </c>
    </row>
    <row r="180" spans="1:76">
      <c r="A180" s="4" t="s">
        <v>341</v>
      </c>
      <c r="B180" s="4" t="s">
        <v>344</v>
      </c>
      <c r="C180" s="4" t="s">
        <v>117</v>
      </c>
      <c r="D180" s="4" t="s">
        <v>88</v>
      </c>
      <c r="E180" s="4" t="s">
        <v>71</v>
      </c>
      <c r="F180" s="4" t="s">
        <v>70</v>
      </c>
      <c r="G180" s="4" t="s">
        <v>71</v>
      </c>
      <c r="H180" s="4" t="s">
        <v>70</v>
      </c>
      <c r="I180" s="4" t="s">
        <v>70</v>
      </c>
      <c r="J180" s="4" t="s">
        <v>70</v>
      </c>
      <c r="K180" s="4" t="s">
        <v>70</v>
      </c>
      <c r="L180" s="4" t="s">
        <v>72</v>
      </c>
      <c r="M180" s="4" t="s">
        <v>70</v>
      </c>
      <c r="N180" s="4" t="s">
        <v>70</v>
      </c>
      <c r="O180" s="4" t="s">
        <v>70</v>
      </c>
      <c r="P180" s="4" t="s">
        <v>70</v>
      </c>
      <c r="Q180" s="4" t="s">
        <v>71</v>
      </c>
      <c r="R180" s="4" t="s">
        <v>73</v>
      </c>
      <c r="S180" s="4" t="s">
        <v>70</v>
      </c>
      <c r="T180" s="4" t="s">
        <v>71</v>
      </c>
      <c r="U180" s="4" t="s">
        <v>71</v>
      </c>
      <c r="V180" s="4" t="s">
        <v>70</v>
      </c>
      <c r="W180" s="4" t="s">
        <v>70</v>
      </c>
      <c r="X180" s="4" t="s">
        <v>73</v>
      </c>
      <c r="Y180" s="4" t="s">
        <v>72</v>
      </c>
      <c r="Z180" s="4" t="s">
        <v>70</v>
      </c>
      <c r="AA180" s="4" t="s">
        <v>71</v>
      </c>
      <c r="AB180" s="4" t="s">
        <v>71</v>
      </c>
      <c r="AC180" s="4" t="s">
        <v>71</v>
      </c>
      <c r="AD180" s="4" t="s">
        <v>70</v>
      </c>
      <c r="AE180" s="4" t="s">
        <v>70</v>
      </c>
      <c r="AF180" s="4" t="s">
        <v>70</v>
      </c>
      <c r="AG180" s="4" t="s">
        <v>70</v>
      </c>
      <c r="AH180" s="4" t="s">
        <v>70</v>
      </c>
      <c r="AI180" s="4" t="s">
        <v>70</v>
      </c>
      <c r="AJ180" s="4" t="s">
        <v>71</v>
      </c>
      <c r="AK180" s="4" t="s">
        <v>72</v>
      </c>
      <c r="AL180" s="4" t="s">
        <v>71</v>
      </c>
      <c r="AM180" s="4" t="s">
        <v>73</v>
      </c>
      <c r="AN180" s="4" t="s">
        <v>72</v>
      </c>
      <c r="AO180" s="4" t="s">
        <v>73</v>
      </c>
      <c r="AP180" s="4" t="s">
        <v>73</v>
      </c>
      <c r="AQ180" s="4" t="s">
        <v>71</v>
      </c>
      <c r="AR180" s="4" t="s">
        <v>71</v>
      </c>
      <c r="AS180" s="4" t="s">
        <v>71</v>
      </c>
      <c r="AT180" s="4" t="s">
        <v>71</v>
      </c>
      <c r="AU180" s="4" t="s">
        <v>71</v>
      </c>
      <c r="AV180" s="4" t="s">
        <v>73</v>
      </c>
      <c r="AW180" s="4" t="s">
        <v>70</v>
      </c>
      <c r="AX180" s="4" t="s">
        <v>70</v>
      </c>
      <c r="AY180" s="4" t="s">
        <v>72</v>
      </c>
      <c r="AZ180" s="4" t="s">
        <v>71</v>
      </c>
      <c r="BA180" s="4" t="s">
        <v>71</v>
      </c>
      <c r="BB180" s="4" t="s">
        <v>71</v>
      </c>
      <c r="BC180" s="4" t="s">
        <v>71</v>
      </c>
      <c r="BD180" s="4" t="s">
        <v>70</v>
      </c>
      <c r="BE180" s="4" t="s">
        <v>70</v>
      </c>
      <c r="BF180" s="4" t="s">
        <v>72</v>
      </c>
      <c r="BG180" s="4" t="s">
        <v>72</v>
      </c>
      <c r="BH180" s="4" t="s">
        <v>71</v>
      </c>
      <c r="BI180" s="4" t="s">
        <v>73</v>
      </c>
      <c r="BJ180" s="4" t="s">
        <v>73</v>
      </c>
      <c r="BK180" s="4" t="s">
        <v>73</v>
      </c>
      <c r="BL180" s="4" t="s">
        <v>72</v>
      </c>
      <c r="BM180" s="4" t="s">
        <v>71</v>
      </c>
      <c r="BN180" s="4" t="s">
        <v>71</v>
      </c>
      <c r="BO180" s="4" t="s">
        <v>70</v>
      </c>
      <c r="BP180" s="4" t="s">
        <v>70</v>
      </c>
      <c r="BQ180" s="4" t="s">
        <v>70</v>
      </c>
      <c r="BR180" s="4" t="s">
        <v>71</v>
      </c>
      <c r="BS180" s="4" t="s">
        <v>71</v>
      </c>
      <c r="BT180" s="4" t="s">
        <v>71</v>
      </c>
      <c r="BU180" s="4" t="s">
        <v>71</v>
      </c>
      <c r="BV180" s="4" t="s">
        <v>70</v>
      </c>
      <c r="BW180" s="4" t="s">
        <v>71</v>
      </c>
      <c r="BX180" s="4" t="s">
        <v>70</v>
      </c>
    </row>
    <row r="181" spans="1:76">
      <c r="A181" s="4" t="s">
        <v>341</v>
      </c>
      <c r="B181" s="4" t="s">
        <v>345</v>
      </c>
      <c r="C181" s="4" t="s">
        <v>211</v>
      </c>
      <c r="D181" s="4" t="s">
        <v>212</v>
      </c>
      <c r="E181" s="4" t="s">
        <v>70</v>
      </c>
      <c r="F181" s="4" t="s">
        <v>70</v>
      </c>
      <c r="G181" s="4" t="s">
        <v>70</v>
      </c>
      <c r="H181" s="4" t="s">
        <v>70</v>
      </c>
      <c r="I181" s="4" t="s">
        <v>71</v>
      </c>
      <c r="J181" s="4" t="s">
        <v>71</v>
      </c>
      <c r="K181" s="4" t="s">
        <v>70</v>
      </c>
      <c r="L181" s="4" t="s">
        <v>72</v>
      </c>
      <c r="M181" s="4" t="s">
        <v>73</v>
      </c>
      <c r="N181" s="4" t="s">
        <v>70</v>
      </c>
      <c r="O181" s="4" t="s">
        <v>71</v>
      </c>
      <c r="P181" s="4" t="s">
        <v>72</v>
      </c>
      <c r="Q181" s="4" t="s">
        <v>71</v>
      </c>
      <c r="R181" s="4" t="s">
        <v>73</v>
      </c>
      <c r="S181" s="4" t="s">
        <v>70</v>
      </c>
      <c r="T181" s="4" t="s">
        <v>71</v>
      </c>
      <c r="U181" s="4" t="s">
        <v>71</v>
      </c>
      <c r="V181" s="4" t="s">
        <v>70</v>
      </c>
      <c r="W181" s="4" t="s">
        <v>70</v>
      </c>
      <c r="X181" s="4" t="s">
        <v>71</v>
      </c>
      <c r="Y181" s="4" t="s">
        <v>73</v>
      </c>
      <c r="Z181" s="4" t="s">
        <v>70</v>
      </c>
      <c r="AA181" s="4" t="s">
        <v>73</v>
      </c>
      <c r="AB181" s="4" t="s">
        <v>70</v>
      </c>
      <c r="AC181" s="4" t="s">
        <v>71</v>
      </c>
      <c r="AD181" s="4" t="s">
        <v>70</v>
      </c>
      <c r="AE181" s="4" t="s">
        <v>70</v>
      </c>
      <c r="AF181" s="4" t="s">
        <v>71</v>
      </c>
      <c r="AG181" s="4" t="s">
        <v>70</v>
      </c>
      <c r="AH181" s="4" t="s">
        <v>70</v>
      </c>
      <c r="AI181" s="4" t="s">
        <v>70</v>
      </c>
      <c r="AJ181" s="4" t="s">
        <v>71</v>
      </c>
      <c r="AK181" s="4" t="s">
        <v>72</v>
      </c>
      <c r="AL181" s="4" t="s">
        <v>71</v>
      </c>
      <c r="AM181" s="4" t="s">
        <v>71</v>
      </c>
      <c r="AN181" s="4" t="s">
        <v>73</v>
      </c>
      <c r="AO181" s="4" t="s">
        <v>70</v>
      </c>
      <c r="AP181" s="4" t="s">
        <v>73</v>
      </c>
      <c r="AQ181" s="4" t="s">
        <v>71</v>
      </c>
      <c r="AR181" s="4" t="s">
        <v>71</v>
      </c>
      <c r="AS181" s="4" t="s">
        <v>71</v>
      </c>
      <c r="AT181" s="4" t="s">
        <v>70</v>
      </c>
      <c r="AU181" s="4" t="s">
        <v>72</v>
      </c>
      <c r="AV181" s="4" t="s">
        <v>73</v>
      </c>
      <c r="AW181" s="4" t="s">
        <v>70</v>
      </c>
      <c r="AX181" s="4" t="s">
        <v>70</v>
      </c>
      <c r="AY181" s="4" t="s">
        <v>72</v>
      </c>
      <c r="AZ181" s="4" t="s">
        <v>71</v>
      </c>
      <c r="BA181" s="4" t="s">
        <v>70</v>
      </c>
      <c r="BB181" s="4" t="s">
        <v>70</v>
      </c>
      <c r="BC181" s="4" t="s">
        <v>70</v>
      </c>
      <c r="BD181" s="4" t="s">
        <v>70</v>
      </c>
      <c r="BE181" s="4" t="s">
        <v>70</v>
      </c>
      <c r="BF181" s="4" t="s">
        <v>72</v>
      </c>
      <c r="BG181" s="4" t="s">
        <v>72</v>
      </c>
      <c r="BH181" s="4" t="s">
        <v>71</v>
      </c>
      <c r="BI181" s="4" t="s">
        <v>70</v>
      </c>
      <c r="BJ181" s="4" t="s">
        <v>73</v>
      </c>
      <c r="BK181" s="4" t="s">
        <v>73</v>
      </c>
      <c r="BL181" s="4" t="s">
        <v>72</v>
      </c>
      <c r="BM181" s="4" t="s">
        <v>71</v>
      </c>
      <c r="BN181" s="4" t="s">
        <v>71</v>
      </c>
      <c r="BO181" s="4" t="s">
        <v>71</v>
      </c>
      <c r="BP181" s="4" t="s">
        <v>71</v>
      </c>
      <c r="BQ181" s="4" t="s">
        <v>71</v>
      </c>
      <c r="BR181" s="4" t="s">
        <v>71</v>
      </c>
      <c r="BS181" s="4" t="s">
        <v>70</v>
      </c>
      <c r="BT181" s="4" t="s">
        <v>70</v>
      </c>
      <c r="BU181" s="4" t="s">
        <v>71</v>
      </c>
      <c r="BV181" s="4" t="s">
        <v>71</v>
      </c>
      <c r="BW181" s="4" t="s">
        <v>71</v>
      </c>
      <c r="BX181" s="4" t="s">
        <v>71</v>
      </c>
    </row>
    <row r="182" spans="1:76">
      <c r="A182" s="4" t="s">
        <v>341</v>
      </c>
      <c r="B182" s="4" t="s">
        <v>346</v>
      </c>
      <c r="C182" s="4" t="s">
        <v>168</v>
      </c>
      <c r="D182" s="4" t="s">
        <v>83</v>
      </c>
      <c r="E182" s="4" t="s">
        <v>70</v>
      </c>
      <c r="F182" s="4" t="s">
        <v>70</v>
      </c>
      <c r="G182" s="4" t="s">
        <v>70</v>
      </c>
      <c r="H182" s="4" t="s">
        <v>71</v>
      </c>
      <c r="I182" s="4" t="s">
        <v>71</v>
      </c>
      <c r="J182" s="4" t="s">
        <v>70</v>
      </c>
      <c r="K182" s="4" t="s">
        <v>70</v>
      </c>
      <c r="L182" s="4" t="s">
        <v>72</v>
      </c>
      <c r="M182" s="4" t="s">
        <v>70</v>
      </c>
      <c r="N182" s="4" t="s">
        <v>70</v>
      </c>
      <c r="O182" s="4" t="s">
        <v>71</v>
      </c>
      <c r="P182" s="4" t="s">
        <v>72</v>
      </c>
      <c r="Q182" s="4" t="s">
        <v>71</v>
      </c>
      <c r="R182" s="4" t="s">
        <v>73</v>
      </c>
      <c r="S182" s="4" t="s">
        <v>70</v>
      </c>
      <c r="T182" s="4" t="s">
        <v>71</v>
      </c>
      <c r="U182" s="4" t="s">
        <v>71</v>
      </c>
      <c r="V182" s="4" t="s">
        <v>70</v>
      </c>
      <c r="W182" s="4" t="s">
        <v>70</v>
      </c>
      <c r="X182" s="4" t="s">
        <v>72</v>
      </c>
      <c r="Y182" s="4" t="s">
        <v>73</v>
      </c>
      <c r="Z182" s="4" t="s">
        <v>70</v>
      </c>
      <c r="AA182" s="4" t="s">
        <v>73</v>
      </c>
      <c r="AB182" s="4" t="s">
        <v>70</v>
      </c>
      <c r="AC182" s="4" t="s">
        <v>71</v>
      </c>
      <c r="AD182" s="4" t="s">
        <v>70</v>
      </c>
      <c r="AE182" s="4" t="s">
        <v>70</v>
      </c>
      <c r="AF182" s="4" t="s">
        <v>71</v>
      </c>
      <c r="AG182" s="4" t="s">
        <v>70</v>
      </c>
      <c r="AH182" s="4" t="s">
        <v>70</v>
      </c>
      <c r="AI182" s="4" t="s">
        <v>70</v>
      </c>
      <c r="AJ182" s="4" t="s">
        <v>71</v>
      </c>
      <c r="AK182" s="4" t="s">
        <v>72</v>
      </c>
      <c r="AL182" s="4" t="s">
        <v>71</v>
      </c>
      <c r="AM182" s="4" t="s">
        <v>72</v>
      </c>
      <c r="AN182" s="4" t="s">
        <v>72</v>
      </c>
      <c r="AO182" s="4" t="s">
        <v>73</v>
      </c>
      <c r="AP182" s="4" t="s">
        <v>73</v>
      </c>
      <c r="AQ182" s="4" t="s">
        <v>71</v>
      </c>
      <c r="AR182" s="4" t="s">
        <v>71</v>
      </c>
      <c r="AS182" s="4" t="s">
        <v>71</v>
      </c>
      <c r="AT182" s="4" t="s">
        <v>70</v>
      </c>
      <c r="AU182" s="4" t="s">
        <v>71</v>
      </c>
      <c r="AV182" s="4" t="s">
        <v>73</v>
      </c>
      <c r="AW182" s="4" t="s">
        <v>70</v>
      </c>
      <c r="AX182" s="4" t="s">
        <v>70</v>
      </c>
      <c r="AY182" s="4" t="s">
        <v>72</v>
      </c>
      <c r="AZ182" s="4" t="s">
        <v>71</v>
      </c>
      <c r="BA182" s="4" t="s">
        <v>71</v>
      </c>
      <c r="BB182" s="4" t="s">
        <v>70</v>
      </c>
      <c r="BC182" s="4" t="s">
        <v>70</v>
      </c>
      <c r="BD182" s="4" t="s">
        <v>70</v>
      </c>
      <c r="BE182" s="4" t="s">
        <v>70</v>
      </c>
      <c r="BF182" s="4" t="s">
        <v>72</v>
      </c>
      <c r="BG182" s="4" t="s">
        <v>72</v>
      </c>
      <c r="BH182" s="4" t="s">
        <v>71</v>
      </c>
      <c r="BI182" s="4" t="s">
        <v>70</v>
      </c>
      <c r="BJ182" s="4" t="s">
        <v>73</v>
      </c>
      <c r="BK182" s="4" t="s">
        <v>73</v>
      </c>
      <c r="BL182" s="4" t="s">
        <v>72</v>
      </c>
      <c r="BM182" s="4" t="s">
        <v>71</v>
      </c>
      <c r="BN182" s="4" t="s">
        <v>71</v>
      </c>
      <c r="BO182" s="4" t="s">
        <v>71</v>
      </c>
      <c r="BP182" s="4" t="s">
        <v>71</v>
      </c>
      <c r="BQ182" s="4" t="s">
        <v>70</v>
      </c>
      <c r="BR182" s="4" t="s">
        <v>71</v>
      </c>
      <c r="BS182" s="4" t="s">
        <v>71</v>
      </c>
      <c r="BT182" s="4" t="s">
        <v>70</v>
      </c>
      <c r="BU182" s="4" t="s">
        <v>70</v>
      </c>
      <c r="BV182" s="4" t="s">
        <v>71</v>
      </c>
      <c r="BW182" s="4" t="s">
        <v>71</v>
      </c>
      <c r="BX182" s="4" t="s">
        <v>71</v>
      </c>
    </row>
    <row r="183" spans="1:76">
      <c r="A183" s="4" t="s">
        <v>341</v>
      </c>
      <c r="B183" s="4" t="s">
        <v>347</v>
      </c>
      <c r="C183" s="4" t="s">
        <v>109</v>
      </c>
      <c r="D183" s="4" t="s">
        <v>230</v>
      </c>
      <c r="E183" s="4" t="s">
        <v>73</v>
      </c>
      <c r="F183" s="4" t="s">
        <v>70</v>
      </c>
      <c r="G183" s="4" t="s">
        <v>71</v>
      </c>
      <c r="H183" s="4" t="s">
        <v>71</v>
      </c>
      <c r="I183" s="4" t="s">
        <v>71</v>
      </c>
      <c r="J183" s="4" t="s">
        <v>71</v>
      </c>
      <c r="K183" s="4" t="s">
        <v>70</v>
      </c>
      <c r="L183" s="4" t="s">
        <v>72</v>
      </c>
      <c r="M183" s="4" t="s">
        <v>70</v>
      </c>
      <c r="N183" s="4" t="s">
        <v>70</v>
      </c>
      <c r="O183" s="4" t="s">
        <v>72</v>
      </c>
      <c r="P183" s="4" t="s">
        <v>70</v>
      </c>
      <c r="Q183" s="4" t="s">
        <v>72</v>
      </c>
      <c r="R183" s="4" t="s">
        <v>73</v>
      </c>
      <c r="S183" s="4" t="s">
        <v>70</v>
      </c>
      <c r="T183" s="4" t="s">
        <v>71</v>
      </c>
      <c r="U183" s="10" t="s">
        <v>77</v>
      </c>
      <c r="V183" s="4" t="s">
        <v>70</v>
      </c>
      <c r="W183" s="4" t="s">
        <v>70</v>
      </c>
      <c r="X183" s="4" t="s">
        <v>71</v>
      </c>
      <c r="Y183" s="4" t="s">
        <v>73</v>
      </c>
      <c r="Z183" s="4" t="s">
        <v>70</v>
      </c>
      <c r="AA183" s="4" t="s">
        <v>71</v>
      </c>
      <c r="AB183" s="4" t="s">
        <v>73</v>
      </c>
      <c r="AC183" s="4" t="s">
        <v>72</v>
      </c>
      <c r="AD183" s="4" t="s">
        <v>70</v>
      </c>
      <c r="AE183" s="4" t="s">
        <v>71</v>
      </c>
      <c r="AF183" s="4" t="s">
        <v>70</v>
      </c>
      <c r="AG183" s="4" t="s">
        <v>70</v>
      </c>
      <c r="AH183" s="4" t="s">
        <v>70</v>
      </c>
      <c r="AI183" s="4" t="s">
        <v>70</v>
      </c>
      <c r="AJ183" s="4" t="s">
        <v>72</v>
      </c>
      <c r="AK183" s="4" t="s">
        <v>72</v>
      </c>
      <c r="AL183" s="4" t="s">
        <v>72</v>
      </c>
      <c r="AM183" s="4" t="s">
        <v>72</v>
      </c>
      <c r="AN183" s="4" t="s">
        <v>70</v>
      </c>
      <c r="AO183" s="4" t="s">
        <v>70</v>
      </c>
      <c r="AP183" s="4" t="s">
        <v>72</v>
      </c>
      <c r="AQ183" s="4" t="s">
        <v>71</v>
      </c>
      <c r="AR183" s="4" t="s">
        <v>71</v>
      </c>
      <c r="AS183" s="4" t="s">
        <v>71</v>
      </c>
      <c r="AT183" s="4" t="s">
        <v>71</v>
      </c>
      <c r="AU183" s="4" t="s">
        <v>70</v>
      </c>
      <c r="AV183" s="4" t="s">
        <v>72</v>
      </c>
      <c r="AW183" s="4" t="s">
        <v>70</v>
      </c>
      <c r="AX183" s="10" t="s">
        <v>77</v>
      </c>
      <c r="AY183" s="4" t="s">
        <v>73</v>
      </c>
      <c r="AZ183" s="4" t="s">
        <v>71</v>
      </c>
      <c r="BA183" s="4" t="s">
        <v>71</v>
      </c>
      <c r="BB183" s="4" t="s">
        <v>71</v>
      </c>
      <c r="BC183" s="4" t="s">
        <v>71</v>
      </c>
      <c r="BD183" s="4" t="s">
        <v>70</v>
      </c>
      <c r="BE183" s="4" t="s">
        <v>70</v>
      </c>
      <c r="BF183" s="4" t="s">
        <v>72</v>
      </c>
      <c r="BG183" s="4" t="s">
        <v>72</v>
      </c>
      <c r="BH183" s="4" t="s">
        <v>71</v>
      </c>
      <c r="BI183" s="4" t="s">
        <v>70</v>
      </c>
      <c r="BJ183" s="4" t="s">
        <v>73</v>
      </c>
      <c r="BK183" s="4" t="s">
        <v>73</v>
      </c>
      <c r="BL183" s="4" t="s">
        <v>72</v>
      </c>
      <c r="BM183" s="4" t="s">
        <v>71</v>
      </c>
      <c r="BN183" s="4" t="s">
        <v>71</v>
      </c>
      <c r="BO183" s="4" t="s">
        <v>70</v>
      </c>
      <c r="BP183" s="4" t="s">
        <v>70</v>
      </c>
      <c r="BQ183" s="4" t="s">
        <v>70</v>
      </c>
      <c r="BR183" s="4" t="s">
        <v>71</v>
      </c>
      <c r="BS183" s="4" t="s">
        <v>70</v>
      </c>
      <c r="BT183" s="4" t="s">
        <v>70</v>
      </c>
      <c r="BU183" s="4" t="s">
        <v>70</v>
      </c>
      <c r="BV183" s="4" t="s">
        <v>70</v>
      </c>
      <c r="BW183" s="4" t="s">
        <v>71</v>
      </c>
      <c r="BX183" s="4" t="s">
        <v>72</v>
      </c>
    </row>
    <row r="184" spans="1:76">
      <c r="A184" s="4" t="s">
        <v>348</v>
      </c>
      <c r="B184" s="4" t="s">
        <v>349</v>
      </c>
      <c r="C184" s="4" t="s">
        <v>117</v>
      </c>
      <c r="D184" s="4" t="s">
        <v>88</v>
      </c>
      <c r="E184" s="4" t="s">
        <v>70</v>
      </c>
      <c r="F184" s="4" t="s">
        <v>70</v>
      </c>
      <c r="G184" s="4" t="s">
        <v>70</v>
      </c>
      <c r="H184" s="4" t="s">
        <v>71</v>
      </c>
      <c r="I184" s="4" t="s">
        <v>71</v>
      </c>
      <c r="J184" s="4" t="s">
        <v>71</v>
      </c>
      <c r="K184" s="4" t="s">
        <v>72</v>
      </c>
      <c r="L184" s="4" t="s">
        <v>72</v>
      </c>
      <c r="M184" s="4" t="s">
        <v>73</v>
      </c>
      <c r="N184" s="4" t="s">
        <v>70</v>
      </c>
      <c r="O184" s="4" t="s">
        <v>71</v>
      </c>
      <c r="P184" s="4" t="s">
        <v>72</v>
      </c>
      <c r="Q184" s="4" t="s">
        <v>72</v>
      </c>
      <c r="R184" s="4" t="s">
        <v>73</v>
      </c>
      <c r="S184" s="4" t="s">
        <v>70</v>
      </c>
      <c r="T184" s="4" t="s">
        <v>72</v>
      </c>
      <c r="U184" s="4" t="s">
        <v>71</v>
      </c>
      <c r="V184" s="4" t="s">
        <v>70</v>
      </c>
      <c r="W184" s="4" t="s">
        <v>70</v>
      </c>
      <c r="X184" s="4" t="s">
        <v>72</v>
      </c>
      <c r="Y184" s="4" t="s">
        <v>72</v>
      </c>
      <c r="Z184" s="4" t="s">
        <v>73</v>
      </c>
      <c r="AA184" s="4" t="s">
        <v>73</v>
      </c>
      <c r="AB184" s="4" t="s">
        <v>70</v>
      </c>
      <c r="AC184" s="4" t="s">
        <v>71</v>
      </c>
      <c r="AD184" s="4" t="s">
        <v>70</v>
      </c>
      <c r="AE184" s="4" t="s">
        <v>73</v>
      </c>
      <c r="AF184" s="4" t="s">
        <v>72</v>
      </c>
      <c r="AG184" s="4" t="s">
        <v>71</v>
      </c>
      <c r="AH184" s="4" t="s">
        <v>70</v>
      </c>
      <c r="AI184" s="4" t="s">
        <v>70</v>
      </c>
      <c r="AJ184" s="4" t="s">
        <v>71</v>
      </c>
      <c r="AK184" s="4" t="s">
        <v>72</v>
      </c>
      <c r="AL184" s="4" t="s">
        <v>71</v>
      </c>
      <c r="AM184" s="4" t="s">
        <v>73</v>
      </c>
      <c r="AN184" s="4" t="s">
        <v>72</v>
      </c>
      <c r="AO184" s="4" t="s">
        <v>73</v>
      </c>
      <c r="AP184" s="4" t="s">
        <v>73</v>
      </c>
      <c r="AQ184" s="4" t="s">
        <v>71</v>
      </c>
      <c r="AR184" s="4" t="s">
        <v>71</v>
      </c>
      <c r="AS184" s="4" t="s">
        <v>70</v>
      </c>
      <c r="AT184" s="4" t="s">
        <v>73</v>
      </c>
      <c r="AU184" s="4" t="s">
        <v>72</v>
      </c>
      <c r="AV184" s="4" t="s">
        <v>72</v>
      </c>
      <c r="AW184" s="4" t="s">
        <v>70</v>
      </c>
      <c r="AX184" s="4" t="s">
        <v>73</v>
      </c>
      <c r="AY184" s="4" t="s">
        <v>70</v>
      </c>
      <c r="AZ184" s="4" t="s">
        <v>71</v>
      </c>
      <c r="BA184" s="4" t="s">
        <v>70</v>
      </c>
      <c r="BB184" s="4" t="s">
        <v>71</v>
      </c>
      <c r="BC184" s="4" t="s">
        <v>72</v>
      </c>
      <c r="BD184" s="4" t="s">
        <v>70</v>
      </c>
      <c r="BE184" s="4" t="s">
        <v>70</v>
      </c>
      <c r="BF184" s="4" t="s">
        <v>72</v>
      </c>
      <c r="BG184" s="4" t="s">
        <v>72</v>
      </c>
      <c r="BH184" s="4" t="s">
        <v>71</v>
      </c>
      <c r="BI184" s="4" t="s">
        <v>73</v>
      </c>
      <c r="BJ184" s="4" t="s">
        <v>73</v>
      </c>
      <c r="BK184" s="4" t="s">
        <v>73</v>
      </c>
      <c r="BL184" s="4" t="s">
        <v>72</v>
      </c>
      <c r="BM184" s="4" t="s">
        <v>71</v>
      </c>
      <c r="BN184" s="4" t="s">
        <v>71</v>
      </c>
      <c r="BO184" s="4" t="s">
        <v>70</v>
      </c>
      <c r="BP184" s="4" t="s">
        <v>70</v>
      </c>
      <c r="BQ184" s="4" t="s">
        <v>71</v>
      </c>
      <c r="BR184" s="4" t="s">
        <v>73</v>
      </c>
      <c r="BS184" s="4" t="s">
        <v>70</v>
      </c>
      <c r="BT184" s="4" t="s">
        <v>70</v>
      </c>
      <c r="BU184" s="4" t="s">
        <v>70</v>
      </c>
      <c r="BV184" s="4" t="s">
        <v>71</v>
      </c>
      <c r="BW184" s="4" t="s">
        <v>71</v>
      </c>
      <c r="BX184" s="4" t="s">
        <v>71</v>
      </c>
    </row>
    <row r="185" spans="1:76">
      <c r="A185" s="4" t="s">
        <v>350</v>
      </c>
      <c r="B185" s="4" t="s">
        <v>351</v>
      </c>
      <c r="C185" s="4" t="s">
        <v>129</v>
      </c>
      <c r="D185" s="4" t="s">
        <v>177</v>
      </c>
      <c r="E185" s="4" t="s">
        <v>70</v>
      </c>
      <c r="F185" s="4" t="s">
        <v>70</v>
      </c>
      <c r="G185" s="4" t="s">
        <v>70</v>
      </c>
      <c r="H185" s="4" t="s">
        <v>71</v>
      </c>
      <c r="I185" s="4" t="s">
        <v>71</v>
      </c>
      <c r="J185" s="4" t="s">
        <v>73</v>
      </c>
      <c r="K185" s="4" t="s">
        <v>70</v>
      </c>
      <c r="L185" s="4" t="s">
        <v>72</v>
      </c>
      <c r="M185" s="4" t="s">
        <v>71</v>
      </c>
      <c r="N185" s="4" t="s">
        <v>70</v>
      </c>
      <c r="O185" s="4" t="s">
        <v>72</v>
      </c>
      <c r="P185" s="4" t="s">
        <v>71</v>
      </c>
      <c r="Q185" s="4" t="s">
        <v>72</v>
      </c>
      <c r="R185" s="4" t="s">
        <v>73</v>
      </c>
      <c r="S185" s="4" t="s">
        <v>70</v>
      </c>
      <c r="T185" s="4" t="s">
        <v>71</v>
      </c>
      <c r="U185" s="4" t="s">
        <v>71</v>
      </c>
      <c r="V185" s="4" t="s">
        <v>70</v>
      </c>
      <c r="W185" s="4" t="s">
        <v>70</v>
      </c>
      <c r="X185" s="4" t="s">
        <v>72</v>
      </c>
      <c r="Y185" s="4" t="s">
        <v>73</v>
      </c>
      <c r="Z185" s="4" t="s">
        <v>70</v>
      </c>
      <c r="AA185" s="4" t="s">
        <v>70</v>
      </c>
      <c r="AB185" s="4" t="s">
        <v>73</v>
      </c>
      <c r="AC185" s="4" t="s">
        <v>71</v>
      </c>
      <c r="AD185" s="4" t="s">
        <v>70</v>
      </c>
      <c r="AE185" s="4" t="s">
        <v>71</v>
      </c>
      <c r="AF185" s="4" t="s">
        <v>71</v>
      </c>
      <c r="AG185" s="4" t="s">
        <v>70</v>
      </c>
      <c r="AH185" s="4" t="s">
        <v>71</v>
      </c>
      <c r="AI185" s="4" t="s">
        <v>71</v>
      </c>
      <c r="AJ185" s="4" t="s">
        <v>71</v>
      </c>
      <c r="AK185" s="4" t="s">
        <v>72</v>
      </c>
      <c r="AL185" s="4" t="s">
        <v>72</v>
      </c>
      <c r="AM185" s="4" t="s">
        <v>73</v>
      </c>
      <c r="AN185" s="4" t="s">
        <v>71</v>
      </c>
      <c r="AO185" s="4" t="s">
        <v>73</v>
      </c>
      <c r="AP185" s="4" t="s">
        <v>73</v>
      </c>
      <c r="AQ185" s="4" t="s">
        <v>70</v>
      </c>
      <c r="AR185" s="4" t="s">
        <v>70</v>
      </c>
      <c r="AS185" s="4" t="s">
        <v>71</v>
      </c>
      <c r="AT185" s="4" t="s">
        <v>70</v>
      </c>
      <c r="AU185" s="4" t="s">
        <v>70</v>
      </c>
      <c r="AV185" s="4" t="s">
        <v>73</v>
      </c>
      <c r="AW185" s="4" t="s">
        <v>70</v>
      </c>
      <c r="AX185" s="4" t="s">
        <v>70</v>
      </c>
      <c r="AY185" s="4" t="s">
        <v>72</v>
      </c>
      <c r="AZ185" s="4" t="s">
        <v>71</v>
      </c>
      <c r="BA185" s="4" t="s">
        <v>71</v>
      </c>
      <c r="BB185" s="4" t="s">
        <v>72</v>
      </c>
      <c r="BC185" s="4" t="s">
        <v>70</v>
      </c>
      <c r="BD185" s="4" t="s">
        <v>70</v>
      </c>
      <c r="BE185" s="4" t="s">
        <v>70</v>
      </c>
      <c r="BF185" s="4" t="s">
        <v>72</v>
      </c>
      <c r="BG185" s="4" t="s">
        <v>72</v>
      </c>
      <c r="BH185" s="4" t="s">
        <v>71</v>
      </c>
      <c r="BI185" s="4" t="s">
        <v>73</v>
      </c>
      <c r="BJ185" s="4" t="s">
        <v>73</v>
      </c>
      <c r="BK185" s="4" t="s">
        <v>70</v>
      </c>
      <c r="BL185" s="4" t="s">
        <v>72</v>
      </c>
      <c r="BM185" s="4" t="s">
        <v>71</v>
      </c>
      <c r="BN185" s="4" t="s">
        <v>71</v>
      </c>
      <c r="BO185" s="4" t="s">
        <v>71</v>
      </c>
      <c r="BP185" s="4" t="s">
        <v>73</v>
      </c>
      <c r="BQ185" s="4" t="s">
        <v>70</v>
      </c>
      <c r="BR185" s="4" t="s">
        <v>71</v>
      </c>
      <c r="BS185" s="4" t="s">
        <v>70</v>
      </c>
      <c r="BT185" s="4" t="s">
        <v>70</v>
      </c>
      <c r="BU185" s="4" t="s">
        <v>70</v>
      </c>
      <c r="BV185" s="4" t="s">
        <v>71</v>
      </c>
      <c r="BW185" s="4" t="s">
        <v>71</v>
      </c>
      <c r="BX185" s="4" t="s">
        <v>71</v>
      </c>
    </row>
    <row r="186" spans="1:76">
      <c r="A186" s="4" t="s">
        <v>350</v>
      </c>
      <c r="B186" s="4" t="s">
        <v>352</v>
      </c>
      <c r="C186" s="4" t="s">
        <v>129</v>
      </c>
      <c r="D186" s="4" t="s">
        <v>130</v>
      </c>
      <c r="E186" s="4" t="s">
        <v>70</v>
      </c>
      <c r="F186" s="4" t="s">
        <v>70</v>
      </c>
      <c r="G186" s="4" t="s">
        <v>70</v>
      </c>
      <c r="H186" s="4" t="s">
        <v>71</v>
      </c>
      <c r="I186" s="4" t="s">
        <v>71</v>
      </c>
      <c r="J186" s="4" t="s">
        <v>73</v>
      </c>
      <c r="K186" s="4" t="s">
        <v>70</v>
      </c>
      <c r="L186" s="4" t="s">
        <v>72</v>
      </c>
      <c r="M186" s="4" t="s">
        <v>71</v>
      </c>
      <c r="N186" s="4" t="s">
        <v>70</v>
      </c>
      <c r="O186" s="4" t="s">
        <v>72</v>
      </c>
      <c r="P186" s="4" t="s">
        <v>71</v>
      </c>
      <c r="Q186" s="4" t="s">
        <v>72</v>
      </c>
      <c r="R186" s="4" t="s">
        <v>73</v>
      </c>
      <c r="S186" s="4" t="s">
        <v>70</v>
      </c>
      <c r="T186" s="4" t="s">
        <v>71</v>
      </c>
      <c r="U186" s="4" t="s">
        <v>71</v>
      </c>
      <c r="V186" s="4" t="s">
        <v>70</v>
      </c>
      <c r="W186" s="4" t="s">
        <v>70</v>
      </c>
      <c r="X186" s="4" t="s">
        <v>72</v>
      </c>
      <c r="Y186" s="4" t="s">
        <v>73</v>
      </c>
      <c r="Z186" s="4" t="s">
        <v>70</v>
      </c>
      <c r="AA186" s="4" t="s">
        <v>70</v>
      </c>
      <c r="AB186" s="4" t="s">
        <v>73</v>
      </c>
      <c r="AC186" s="4" t="s">
        <v>71</v>
      </c>
      <c r="AD186" s="4" t="s">
        <v>70</v>
      </c>
      <c r="AE186" s="4" t="s">
        <v>71</v>
      </c>
      <c r="AF186" s="4" t="s">
        <v>71</v>
      </c>
      <c r="AG186" s="4" t="s">
        <v>70</v>
      </c>
      <c r="AH186" s="4" t="s">
        <v>71</v>
      </c>
      <c r="AI186" s="4" t="s">
        <v>71</v>
      </c>
      <c r="AJ186" s="4" t="s">
        <v>71</v>
      </c>
      <c r="AK186" s="4" t="s">
        <v>72</v>
      </c>
      <c r="AL186" s="4" t="s">
        <v>70</v>
      </c>
      <c r="AM186" s="4" t="s">
        <v>73</v>
      </c>
      <c r="AN186" s="4" t="s">
        <v>71</v>
      </c>
      <c r="AO186" s="4" t="s">
        <v>70</v>
      </c>
      <c r="AP186" s="4" t="s">
        <v>71</v>
      </c>
      <c r="AQ186" s="4" t="s">
        <v>70</v>
      </c>
      <c r="AR186" s="4" t="s">
        <v>70</v>
      </c>
      <c r="AS186" s="4" t="s">
        <v>71</v>
      </c>
      <c r="AT186" s="4" t="s">
        <v>70</v>
      </c>
      <c r="AU186" s="4" t="s">
        <v>70</v>
      </c>
      <c r="AV186" s="4" t="s">
        <v>73</v>
      </c>
      <c r="AW186" s="4" t="s">
        <v>70</v>
      </c>
      <c r="AX186" s="4" t="s">
        <v>70</v>
      </c>
      <c r="AY186" s="4" t="s">
        <v>72</v>
      </c>
      <c r="AZ186" s="4" t="s">
        <v>71</v>
      </c>
      <c r="BA186" s="4" t="s">
        <v>71</v>
      </c>
      <c r="BB186" s="4" t="s">
        <v>72</v>
      </c>
      <c r="BC186" s="4" t="s">
        <v>70</v>
      </c>
      <c r="BD186" s="4" t="s">
        <v>70</v>
      </c>
      <c r="BE186" s="4" t="s">
        <v>70</v>
      </c>
      <c r="BF186" s="4" t="s">
        <v>72</v>
      </c>
      <c r="BG186" s="4" t="s">
        <v>72</v>
      </c>
      <c r="BH186" s="4" t="s">
        <v>71</v>
      </c>
      <c r="BI186" s="4" t="s">
        <v>73</v>
      </c>
      <c r="BJ186" s="4" t="s">
        <v>73</v>
      </c>
      <c r="BK186" s="4" t="s">
        <v>70</v>
      </c>
      <c r="BL186" s="4" t="s">
        <v>72</v>
      </c>
      <c r="BM186" s="4" t="s">
        <v>71</v>
      </c>
      <c r="BN186" s="4" t="s">
        <v>71</v>
      </c>
      <c r="BO186" s="4" t="s">
        <v>71</v>
      </c>
      <c r="BP186" s="4" t="s">
        <v>73</v>
      </c>
      <c r="BQ186" s="4" t="s">
        <v>70</v>
      </c>
      <c r="BR186" s="4" t="s">
        <v>71</v>
      </c>
      <c r="BS186" s="4" t="s">
        <v>70</v>
      </c>
      <c r="BT186" s="4" t="s">
        <v>70</v>
      </c>
      <c r="BU186" s="4" t="s">
        <v>70</v>
      </c>
      <c r="BV186" s="4" t="s">
        <v>71</v>
      </c>
      <c r="BW186" s="4" t="s">
        <v>71</v>
      </c>
      <c r="BX186" s="4" t="s">
        <v>71</v>
      </c>
    </row>
    <row r="187" spans="1:76">
      <c r="A187" s="4" t="s">
        <v>353</v>
      </c>
      <c r="B187" s="4" t="s">
        <v>354</v>
      </c>
      <c r="C187" s="4" t="s">
        <v>211</v>
      </c>
      <c r="D187" s="4" t="s">
        <v>212</v>
      </c>
      <c r="E187" s="4" t="s">
        <v>70</v>
      </c>
      <c r="F187" s="4" t="s">
        <v>70</v>
      </c>
      <c r="G187" s="4" t="s">
        <v>70</v>
      </c>
      <c r="H187" s="4" t="s">
        <v>70</v>
      </c>
      <c r="I187" s="4" t="s">
        <v>70</v>
      </c>
      <c r="J187" s="4" t="s">
        <v>71</v>
      </c>
      <c r="K187" s="4" t="s">
        <v>70</v>
      </c>
      <c r="L187" s="4" t="s">
        <v>72</v>
      </c>
      <c r="M187" s="4" t="s">
        <v>70</v>
      </c>
      <c r="N187" s="4" t="s">
        <v>70</v>
      </c>
      <c r="O187" s="4" t="s">
        <v>72</v>
      </c>
      <c r="P187" s="4" t="s">
        <v>70</v>
      </c>
      <c r="Q187" s="4" t="s">
        <v>72</v>
      </c>
      <c r="R187" s="4" t="s">
        <v>73</v>
      </c>
      <c r="S187" s="4" t="s">
        <v>70</v>
      </c>
      <c r="T187" s="4" t="s">
        <v>71</v>
      </c>
      <c r="U187" s="4" t="s">
        <v>71</v>
      </c>
      <c r="V187" s="4" t="s">
        <v>70</v>
      </c>
      <c r="W187" s="4" t="s">
        <v>70</v>
      </c>
      <c r="X187" s="4" t="s">
        <v>72</v>
      </c>
      <c r="Y187" s="4" t="s">
        <v>73</v>
      </c>
      <c r="Z187" s="4" t="s">
        <v>72</v>
      </c>
      <c r="AA187" s="4" t="s">
        <v>71</v>
      </c>
      <c r="AB187" s="4" t="s">
        <v>73</v>
      </c>
      <c r="AC187" s="4" t="s">
        <v>72</v>
      </c>
      <c r="AD187" s="4" t="s">
        <v>71</v>
      </c>
      <c r="AE187" s="4" t="s">
        <v>70</v>
      </c>
      <c r="AF187" s="4" t="s">
        <v>71</v>
      </c>
      <c r="AG187" s="4" t="s">
        <v>70</v>
      </c>
      <c r="AH187" s="4" t="s">
        <v>70</v>
      </c>
      <c r="AI187" s="4" t="s">
        <v>70</v>
      </c>
      <c r="AJ187" s="4" t="s">
        <v>71</v>
      </c>
      <c r="AK187" s="4" t="s">
        <v>72</v>
      </c>
      <c r="AL187" s="4" t="s">
        <v>71</v>
      </c>
      <c r="AM187" s="4" t="s">
        <v>71</v>
      </c>
      <c r="AN187" s="4" t="s">
        <v>73</v>
      </c>
      <c r="AO187" s="4" t="s">
        <v>70</v>
      </c>
      <c r="AP187" s="4" t="s">
        <v>73</v>
      </c>
      <c r="AQ187" s="4" t="s">
        <v>71</v>
      </c>
      <c r="AR187" s="4" t="s">
        <v>71</v>
      </c>
      <c r="AS187" s="4" t="s">
        <v>71</v>
      </c>
      <c r="AT187" s="4" t="s">
        <v>70</v>
      </c>
      <c r="AU187" s="4" t="s">
        <v>71</v>
      </c>
      <c r="AV187" s="4" t="s">
        <v>70</v>
      </c>
      <c r="AW187" s="4" t="s">
        <v>70</v>
      </c>
      <c r="AX187" s="10" t="s">
        <v>77</v>
      </c>
      <c r="AY187" s="4" t="s">
        <v>73</v>
      </c>
      <c r="AZ187" s="4" t="s">
        <v>71</v>
      </c>
      <c r="BA187" s="4" t="s">
        <v>71</v>
      </c>
      <c r="BB187" s="4" t="s">
        <v>70</v>
      </c>
      <c r="BC187" s="4" t="s">
        <v>70</v>
      </c>
      <c r="BD187" s="4" t="s">
        <v>70</v>
      </c>
      <c r="BE187" s="4" t="s">
        <v>70</v>
      </c>
      <c r="BF187" s="4" t="s">
        <v>72</v>
      </c>
      <c r="BG187" s="4" t="s">
        <v>72</v>
      </c>
      <c r="BH187" s="4" t="s">
        <v>71</v>
      </c>
      <c r="BI187" s="4" t="s">
        <v>73</v>
      </c>
      <c r="BJ187" s="4" t="s">
        <v>73</v>
      </c>
      <c r="BK187" s="4" t="s">
        <v>73</v>
      </c>
      <c r="BL187" s="4" t="s">
        <v>72</v>
      </c>
      <c r="BM187" s="4" t="s">
        <v>71</v>
      </c>
      <c r="BN187" s="4" t="s">
        <v>71</v>
      </c>
      <c r="BO187" s="4" t="s">
        <v>71</v>
      </c>
      <c r="BP187" s="4" t="s">
        <v>71</v>
      </c>
      <c r="BQ187" s="4" t="s">
        <v>70</v>
      </c>
      <c r="BR187" s="4" t="s">
        <v>71</v>
      </c>
      <c r="BS187" s="4" t="s">
        <v>70</v>
      </c>
      <c r="BT187" s="4" t="s">
        <v>71</v>
      </c>
      <c r="BU187" s="4" t="s">
        <v>71</v>
      </c>
      <c r="BV187" s="4" t="s">
        <v>71</v>
      </c>
      <c r="BW187" s="4" t="s">
        <v>71</v>
      </c>
      <c r="BX187" s="4" t="s">
        <v>71</v>
      </c>
    </row>
    <row r="188" spans="1:76">
      <c r="A188" s="4" t="s">
        <v>355</v>
      </c>
      <c r="B188" s="4" t="s">
        <v>356</v>
      </c>
      <c r="C188" s="4" t="s">
        <v>103</v>
      </c>
      <c r="D188" s="4" t="s">
        <v>136</v>
      </c>
      <c r="E188" s="4" t="s">
        <v>70</v>
      </c>
      <c r="F188" s="4" t="s">
        <v>70</v>
      </c>
      <c r="G188" s="4" t="s">
        <v>70</v>
      </c>
      <c r="H188" s="4" t="s">
        <v>70</v>
      </c>
      <c r="I188" s="4" t="s">
        <v>70</v>
      </c>
      <c r="J188" s="4" t="s">
        <v>72</v>
      </c>
      <c r="K188" s="4" t="s">
        <v>70</v>
      </c>
      <c r="L188" s="4" t="s">
        <v>72</v>
      </c>
      <c r="M188" s="4" t="s">
        <v>73</v>
      </c>
      <c r="N188" s="4" t="s">
        <v>70</v>
      </c>
      <c r="O188" s="4" t="s">
        <v>71</v>
      </c>
      <c r="P188" s="4" t="s">
        <v>72</v>
      </c>
      <c r="Q188" s="4" t="s">
        <v>71</v>
      </c>
      <c r="R188" s="4" t="s">
        <v>73</v>
      </c>
      <c r="S188" s="4" t="s">
        <v>70</v>
      </c>
      <c r="T188" s="10" t="s">
        <v>77</v>
      </c>
      <c r="U188" s="4" t="s">
        <v>72</v>
      </c>
      <c r="V188" s="4" t="s">
        <v>70</v>
      </c>
      <c r="W188" s="4" t="s">
        <v>70</v>
      </c>
      <c r="X188" s="4" t="s">
        <v>72</v>
      </c>
      <c r="Y188" s="4" t="s">
        <v>73</v>
      </c>
      <c r="Z188" s="4" t="s">
        <v>70</v>
      </c>
      <c r="AA188" s="4" t="s">
        <v>73</v>
      </c>
      <c r="AB188" s="4" t="s">
        <v>70</v>
      </c>
      <c r="AC188" s="4" t="s">
        <v>71</v>
      </c>
      <c r="AD188" s="4" t="s">
        <v>70</v>
      </c>
      <c r="AE188" s="4" t="s">
        <v>71</v>
      </c>
      <c r="AF188" s="4" t="s">
        <v>73</v>
      </c>
      <c r="AG188" s="4" t="s">
        <v>72</v>
      </c>
      <c r="AH188" s="4" t="s">
        <v>70</v>
      </c>
      <c r="AI188" s="4" t="s">
        <v>71</v>
      </c>
      <c r="AJ188" s="4" t="s">
        <v>72</v>
      </c>
      <c r="AK188" s="4" t="s">
        <v>72</v>
      </c>
      <c r="AL188" s="4" t="s">
        <v>72</v>
      </c>
      <c r="AM188" s="4" t="s">
        <v>70</v>
      </c>
      <c r="AN188" s="4" t="s">
        <v>71</v>
      </c>
      <c r="AO188" s="4" t="s">
        <v>73</v>
      </c>
      <c r="AP188" s="4" t="s">
        <v>72</v>
      </c>
      <c r="AQ188" s="4" t="s">
        <v>70</v>
      </c>
      <c r="AR188" s="4" t="s">
        <v>72</v>
      </c>
      <c r="AS188" s="4" t="s">
        <v>73</v>
      </c>
      <c r="AT188" s="4" t="s">
        <v>72</v>
      </c>
      <c r="AU188" s="4" t="s">
        <v>70</v>
      </c>
      <c r="AV188" s="4" t="s">
        <v>73</v>
      </c>
      <c r="AW188" s="4" t="s">
        <v>70</v>
      </c>
      <c r="AX188" s="4" t="s">
        <v>70</v>
      </c>
      <c r="AY188" s="4" t="s">
        <v>71</v>
      </c>
      <c r="AZ188" s="4" t="s">
        <v>71</v>
      </c>
      <c r="BA188" s="4" t="s">
        <v>72</v>
      </c>
      <c r="BB188" s="4" t="s">
        <v>71</v>
      </c>
      <c r="BC188" s="4" t="s">
        <v>70</v>
      </c>
      <c r="BD188" s="4" t="s">
        <v>70</v>
      </c>
      <c r="BE188" s="4" t="s">
        <v>72</v>
      </c>
      <c r="BF188" s="4" t="s">
        <v>72</v>
      </c>
      <c r="BG188" s="4" t="s">
        <v>71</v>
      </c>
      <c r="BH188" s="4" t="s">
        <v>70</v>
      </c>
      <c r="BI188" s="4" t="s">
        <v>73</v>
      </c>
      <c r="BJ188" s="4" t="s">
        <v>72</v>
      </c>
      <c r="BK188" s="4" t="s">
        <v>71</v>
      </c>
      <c r="BL188" s="4" t="s">
        <v>71</v>
      </c>
      <c r="BM188" s="4" t="s">
        <v>71</v>
      </c>
      <c r="BN188" s="4" t="s">
        <v>71</v>
      </c>
      <c r="BO188" s="4" t="s">
        <v>70</v>
      </c>
      <c r="BP188" s="4" t="s">
        <v>73</v>
      </c>
      <c r="BQ188" s="10" t="s">
        <v>77</v>
      </c>
      <c r="BR188" s="4" t="s">
        <v>71</v>
      </c>
      <c r="BS188" s="4" t="s">
        <v>73</v>
      </c>
      <c r="BT188" s="4" t="s">
        <v>71</v>
      </c>
      <c r="BU188" s="4" t="s">
        <v>71</v>
      </c>
      <c r="BV188" s="4" t="s">
        <v>72</v>
      </c>
      <c r="BW188" s="4" t="s">
        <v>71</v>
      </c>
      <c r="BX188" s="4" t="s">
        <v>71</v>
      </c>
    </row>
    <row r="189" spans="1:76">
      <c r="A189" s="4" t="s">
        <v>355</v>
      </c>
      <c r="B189" s="4" t="s">
        <v>357</v>
      </c>
      <c r="C189" s="4" t="s">
        <v>103</v>
      </c>
      <c r="D189" s="4" t="s">
        <v>136</v>
      </c>
      <c r="E189" s="4" t="s">
        <v>70</v>
      </c>
      <c r="F189" s="4" t="s">
        <v>70</v>
      </c>
      <c r="G189" s="4" t="s">
        <v>70</v>
      </c>
      <c r="H189" s="4" t="s">
        <v>70</v>
      </c>
      <c r="I189" s="4" t="s">
        <v>70</v>
      </c>
      <c r="J189" s="4" t="s">
        <v>72</v>
      </c>
      <c r="K189" s="4" t="s">
        <v>70</v>
      </c>
      <c r="L189" s="4" t="s">
        <v>72</v>
      </c>
      <c r="M189" s="4" t="s">
        <v>73</v>
      </c>
      <c r="N189" s="4" t="s">
        <v>70</v>
      </c>
      <c r="O189" s="4" t="s">
        <v>71</v>
      </c>
      <c r="P189" s="4" t="s">
        <v>72</v>
      </c>
      <c r="Q189" s="4" t="s">
        <v>71</v>
      </c>
      <c r="R189" s="4" t="s">
        <v>73</v>
      </c>
      <c r="S189" s="4" t="s">
        <v>70</v>
      </c>
      <c r="T189" s="10" t="s">
        <v>77</v>
      </c>
      <c r="U189" s="4" t="s">
        <v>72</v>
      </c>
      <c r="V189" s="4" t="s">
        <v>70</v>
      </c>
      <c r="W189" s="4" t="s">
        <v>70</v>
      </c>
      <c r="X189" s="4" t="s">
        <v>72</v>
      </c>
      <c r="Y189" s="4" t="s">
        <v>73</v>
      </c>
      <c r="Z189" s="4" t="s">
        <v>70</v>
      </c>
      <c r="AA189" s="4" t="s">
        <v>73</v>
      </c>
      <c r="AB189" s="4" t="s">
        <v>70</v>
      </c>
      <c r="AC189" s="4" t="s">
        <v>71</v>
      </c>
      <c r="AD189" s="4" t="s">
        <v>70</v>
      </c>
      <c r="AE189" s="4" t="s">
        <v>71</v>
      </c>
      <c r="AF189" s="4" t="s">
        <v>73</v>
      </c>
      <c r="AG189" s="4" t="s">
        <v>72</v>
      </c>
      <c r="AH189" s="4" t="s">
        <v>70</v>
      </c>
      <c r="AI189" s="4" t="s">
        <v>71</v>
      </c>
      <c r="AJ189" s="4" t="s">
        <v>72</v>
      </c>
      <c r="AK189" s="4" t="s">
        <v>72</v>
      </c>
      <c r="AL189" s="4" t="s">
        <v>72</v>
      </c>
      <c r="AM189" s="4" t="s">
        <v>70</v>
      </c>
      <c r="AN189" s="4" t="s">
        <v>71</v>
      </c>
      <c r="AO189" s="4" t="s">
        <v>73</v>
      </c>
      <c r="AP189" s="4" t="s">
        <v>72</v>
      </c>
      <c r="AQ189" s="4" t="s">
        <v>70</v>
      </c>
      <c r="AR189" s="4" t="s">
        <v>72</v>
      </c>
      <c r="AS189" s="4" t="s">
        <v>73</v>
      </c>
      <c r="AT189" s="4" t="s">
        <v>72</v>
      </c>
      <c r="AU189" s="4" t="s">
        <v>70</v>
      </c>
      <c r="AV189" s="4" t="s">
        <v>73</v>
      </c>
      <c r="AW189" s="4" t="s">
        <v>70</v>
      </c>
      <c r="AX189" s="4" t="s">
        <v>70</v>
      </c>
      <c r="AY189" s="4" t="s">
        <v>71</v>
      </c>
      <c r="AZ189" s="4" t="s">
        <v>71</v>
      </c>
      <c r="BA189" s="4" t="s">
        <v>72</v>
      </c>
      <c r="BB189" s="4" t="s">
        <v>71</v>
      </c>
      <c r="BC189" s="4" t="s">
        <v>70</v>
      </c>
      <c r="BD189" s="4" t="s">
        <v>70</v>
      </c>
      <c r="BE189" s="4" t="s">
        <v>70</v>
      </c>
      <c r="BF189" s="4" t="s">
        <v>72</v>
      </c>
      <c r="BG189" s="4" t="s">
        <v>72</v>
      </c>
      <c r="BH189" s="4" t="s">
        <v>71</v>
      </c>
      <c r="BI189" s="4" t="s">
        <v>70</v>
      </c>
      <c r="BJ189" s="4" t="s">
        <v>73</v>
      </c>
      <c r="BK189" s="4" t="s">
        <v>72</v>
      </c>
      <c r="BL189" s="4" t="s">
        <v>71</v>
      </c>
      <c r="BM189" s="4" t="s">
        <v>71</v>
      </c>
      <c r="BN189" s="4" t="s">
        <v>71</v>
      </c>
      <c r="BO189" s="4" t="s">
        <v>71</v>
      </c>
      <c r="BP189" s="4" t="s">
        <v>70</v>
      </c>
      <c r="BQ189" s="4" t="s">
        <v>73</v>
      </c>
      <c r="BR189" s="4" t="s">
        <v>71</v>
      </c>
      <c r="BS189" s="4" t="s">
        <v>73</v>
      </c>
      <c r="BT189" s="4" t="s">
        <v>71</v>
      </c>
      <c r="BU189" s="4" t="s">
        <v>71</v>
      </c>
      <c r="BV189" s="4" t="s">
        <v>72</v>
      </c>
      <c r="BW189" s="4" t="s">
        <v>71</v>
      </c>
      <c r="BX189" s="4" t="s">
        <v>71</v>
      </c>
    </row>
    <row r="190" spans="1:76">
      <c r="A190" s="4" t="s">
        <v>355</v>
      </c>
      <c r="B190" s="4" t="s">
        <v>358</v>
      </c>
      <c r="C190" s="4" t="s">
        <v>191</v>
      </c>
      <c r="D190" s="4" t="s">
        <v>80</v>
      </c>
      <c r="E190" s="4" t="s">
        <v>70</v>
      </c>
      <c r="F190" s="4" t="s">
        <v>70</v>
      </c>
      <c r="G190" s="4" t="s">
        <v>70</v>
      </c>
      <c r="H190" s="4" t="s">
        <v>70</v>
      </c>
      <c r="I190" s="4" t="s">
        <v>73</v>
      </c>
      <c r="J190" s="4" t="s">
        <v>72</v>
      </c>
      <c r="K190" s="4" t="s">
        <v>70</v>
      </c>
      <c r="L190" s="4" t="s">
        <v>72</v>
      </c>
      <c r="M190" s="4" t="s">
        <v>73</v>
      </c>
      <c r="N190" s="4" t="s">
        <v>70</v>
      </c>
      <c r="O190" s="4" t="s">
        <v>71</v>
      </c>
      <c r="P190" s="4" t="s">
        <v>72</v>
      </c>
      <c r="Q190" s="4" t="s">
        <v>71</v>
      </c>
      <c r="R190" s="4" t="s">
        <v>73</v>
      </c>
      <c r="S190" s="4" t="s">
        <v>70</v>
      </c>
      <c r="T190" s="10" t="s">
        <v>77</v>
      </c>
      <c r="U190" s="4" t="s">
        <v>72</v>
      </c>
      <c r="V190" s="4" t="s">
        <v>70</v>
      </c>
      <c r="W190" s="4" t="s">
        <v>70</v>
      </c>
      <c r="X190" s="4" t="s">
        <v>72</v>
      </c>
      <c r="Y190" s="4" t="s">
        <v>73</v>
      </c>
      <c r="Z190" s="4" t="s">
        <v>70</v>
      </c>
      <c r="AA190" s="4" t="s">
        <v>73</v>
      </c>
      <c r="AB190" s="4" t="s">
        <v>70</v>
      </c>
      <c r="AC190" s="4" t="s">
        <v>71</v>
      </c>
      <c r="AD190" s="4" t="s">
        <v>70</v>
      </c>
      <c r="AE190" s="4" t="s">
        <v>71</v>
      </c>
      <c r="AF190" s="4" t="s">
        <v>70</v>
      </c>
      <c r="AG190" s="4" t="s">
        <v>71</v>
      </c>
      <c r="AH190" s="4" t="s">
        <v>70</v>
      </c>
      <c r="AI190" s="4" t="s">
        <v>71</v>
      </c>
      <c r="AJ190" s="4" t="s">
        <v>72</v>
      </c>
      <c r="AK190" s="4" t="s">
        <v>72</v>
      </c>
      <c r="AL190" s="4" t="s">
        <v>71</v>
      </c>
      <c r="AM190" s="4" t="s">
        <v>70</v>
      </c>
      <c r="AN190" s="4" t="s">
        <v>71</v>
      </c>
      <c r="AO190" s="4" t="s">
        <v>73</v>
      </c>
      <c r="AP190" s="4" t="s">
        <v>72</v>
      </c>
      <c r="AQ190" s="4" t="s">
        <v>70</v>
      </c>
      <c r="AR190" s="4" t="s">
        <v>72</v>
      </c>
      <c r="AS190" s="4" t="s">
        <v>70</v>
      </c>
      <c r="AT190" s="4" t="s">
        <v>72</v>
      </c>
      <c r="AU190" s="4" t="s">
        <v>70</v>
      </c>
      <c r="AV190" s="4" t="s">
        <v>73</v>
      </c>
      <c r="AW190" s="4" t="s">
        <v>70</v>
      </c>
      <c r="AX190" s="4" t="s">
        <v>70</v>
      </c>
      <c r="AY190" s="4" t="s">
        <v>72</v>
      </c>
      <c r="AZ190" s="4" t="s">
        <v>71</v>
      </c>
      <c r="BA190" s="4" t="s">
        <v>71</v>
      </c>
      <c r="BB190" s="4" t="s">
        <v>71</v>
      </c>
      <c r="BC190" s="4" t="s">
        <v>70</v>
      </c>
      <c r="BD190" s="4" t="s">
        <v>70</v>
      </c>
      <c r="BE190" s="4" t="s">
        <v>70</v>
      </c>
      <c r="BF190" s="4" t="s">
        <v>72</v>
      </c>
      <c r="BG190" s="4" t="s">
        <v>72</v>
      </c>
      <c r="BH190" s="4" t="s">
        <v>71</v>
      </c>
      <c r="BI190" s="4" t="s">
        <v>73</v>
      </c>
      <c r="BJ190" s="4" t="s">
        <v>73</v>
      </c>
      <c r="BK190" s="4" t="s">
        <v>72</v>
      </c>
      <c r="BL190" s="4" t="s">
        <v>71</v>
      </c>
      <c r="BM190" s="4" t="s">
        <v>71</v>
      </c>
      <c r="BN190" s="4" t="s">
        <v>71</v>
      </c>
      <c r="BO190" s="4" t="s">
        <v>71</v>
      </c>
      <c r="BP190" s="4" t="s">
        <v>70</v>
      </c>
      <c r="BQ190" s="4" t="s">
        <v>70</v>
      </c>
      <c r="BR190" s="4" t="s">
        <v>71</v>
      </c>
      <c r="BS190" s="4" t="s">
        <v>73</v>
      </c>
      <c r="BT190" s="4" t="s">
        <v>72</v>
      </c>
      <c r="BU190" s="4" t="s">
        <v>71</v>
      </c>
      <c r="BV190" s="4" t="s">
        <v>72</v>
      </c>
      <c r="BW190" s="4" t="s">
        <v>71</v>
      </c>
      <c r="BX190" s="4" t="s">
        <v>71</v>
      </c>
    </row>
    <row r="191" spans="1:76">
      <c r="A191" s="4" t="s">
        <v>355</v>
      </c>
      <c r="B191" s="4" t="s">
        <v>359</v>
      </c>
      <c r="C191" s="4" t="s">
        <v>156</v>
      </c>
      <c r="D191" s="4" t="s">
        <v>76</v>
      </c>
      <c r="E191" s="4" t="s">
        <v>72</v>
      </c>
      <c r="F191" s="4" t="s">
        <v>71</v>
      </c>
      <c r="G191" s="4" t="s">
        <v>71</v>
      </c>
      <c r="H191" s="4" t="s">
        <v>72</v>
      </c>
      <c r="I191" s="4" t="s">
        <v>71</v>
      </c>
      <c r="J191" s="4" t="s">
        <v>70</v>
      </c>
      <c r="K191" s="4" t="s">
        <v>72</v>
      </c>
      <c r="L191" s="4" t="s">
        <v>72</v>
      </c>
      <c r="M191" s="4" t="s">
        <v>73</v>
      </c>
      <c r="N191" s="4" t="s">
        <v>70</v>
      </c>
      <c r="O191" s="4" t="s">
        <v>72</v>
      </c>
      <c r="P191" s="4" t="s">
        <v>73</v>
      </c>
      <c r="Q191" s="4" t="s">
        <v>72</v>
      </c>
      <c r="R191" s="4" t="s">
        <v>73</v>
      </c>
      <c r="S191" s="4" t="s">
        <v>70</v>
      </c>
      <c r="T191" s="10" t="s">
        <v>77</v>
      </c>
      <c r="U191" s="4" t="s">
        <v>72</v>
      </c>
      <c r="V191" s="4" t="s">
        <v>70</v>
      </c>
      <c r="W191" s="4" t="s">
        <v>70</v>
      </c>
      <c r="X191" s="4" t="s">
        <v>72</v>
      </c>
      <c r="Y191" s="4" t="s">
        <v>72</v>
      </c>
      <c r="Z191" s="4" t="s">
        <v>70</v>
      </c>
      <c r="AA191" s="4" t="s">
        <v>72</v>
      </c>
      <c r="AB191" s="4" t="s">
        <v>73</v>
      </c>
      <c r="AC191" s="4" t="s">
        <v>72</v>
      </c>
      <c r="AD191" s="4" t="s">
        <v>71</v>
      </c>
      <c r="AE191" s="4" t="s">
        <v>71</v>
      </c>
      <c r="AF191" s="4" t="s">
        <v>71</v>
      </c>
      <c r="AG191" s="4" t="s">
        <v>71</v>
      </c>
      <c r="AH191" s="4" t="s">
        <v>70</v>
      </c>
      <c r="AI191" s="4" t="s">
        <v>71</v>
      </c>
      <c r="AJ191" s="4" t="s">
        <v>71</v>
      </c>
      <c r="AK191" s="4" t="s">
        <v>72</v>
      </c>
      <c r="AL191" s="4" t="s">
        <v>70</v>
      </c>
      <c r="AM191" s="4" t="s">
        <v>72</v>
      </c>
      <c r="AN191" s="4" t="s">
        <v>71</v>
      </c>
      <c r="AO191" s="4" t="s">
        <v>73</v>
      </c>
      <c r="AP191" s="4" t="s">
        <v>71</v>
      </c>
      <c r="AQ191" s="4" t="s">
        <v>70</v>
      </c>
      <c r="AR191" s="4" t="s">
        <v>71</v>
      </c>
      <c r="AS191" s="4" t="s">
        <v>70</v>
      </c>
      <c r="AT191" s="4" t="s">
        <v>70</v>
      </c>
      <c r="AU191" s="4" t="s">
        <v>70</v>
      </c>
      <c r="AV191" s="4" t="s">
        <v>73</v>
      </c>
      <c r="AW191" s="4" t="s">
        <v>70</v>
      </c>
      <c r="AX191" s="10" t="s">
        <v>77</v>
      </c>
      <c r="AY191" s="4" t="s">
        <v>73</v>
      </c>
      <c r="AZ191" s="4" t="s">
        <v>71</v>
      </c>
      <c r="BA191" s="4" t="s">
        <v>71</v>
      </c>
      <c r="BB191" s="4" t="s">
        <v>70</v>
      </c>
      <c r="BC191" s="4" t="s">
        <v>70</v>
      </c>
      <c r="BD191" s="4" t="s">
        <v>70</v>
      </c>
      <c r="BE191" s="4" t="s">
        <v>70</v>
      </c>
      <c r="BF191" s="4" t="s">
        <v>72</v>
      </c>
      <c r="BG191" s="4" t="s">
        <v>72</v>
      </c>
      <c r="BH191" s="4" t="s">
        <v>71</v>
      </c>
      <c r="BI191" s="4" t="s">
        <v>73</v>
      </c>
      <c r="BJ191" s="4" t="s">
        <v>73</v>
      </c>
      <c r="BK191" s="4" t="s">
        <v>72</v>
      </c>
      <c r="BL191" s="4" t="s">
        <v>72</v>
      </c>
      <c r="BM191" s="4" t="s">
        <v>71</v>
      </c>
      <c r="BN191" s="4" t="s">
        <v>71</v>
      </c>
      <c r="BO191" s="4" t="s">
        <v>71</v>
      </c>
      <c r="BP191" s="4" t="s">
        <v>71</v>
      </c>
      <c r="BQ191" s="4" t="s">
        <v>70</v>
      </c>
      <c r="BR191" s="4" t="s">
        <v>73</v>
      </c>
      <c r="BS191" s="4" t="s">
        <v>71</v>
      </c>
      <c r="BT191" s="4" t="s">
        <v>70</v>
      </c>
      <c r="BU191" s="4" t="s">
        <v>70</v>
      </c>
      <c r="BV191" s="4" t="s">
        <v>70</v>
      </c>
      <c r="BW191" s="4" t="s">
        <v>70</v>
      </c>
      <c r="BX191" s="4" t="s">
        <v>73</v>
      </c>
    </row>
    <row r="192" spans="1:76">
      <c r="A192" s="4" t="s">
        <v>355</v>
      </c>
      <c r="B192" s="4" t="s">
        <v>360</v>
      </c>
      <c r="C192" s="4" t="s">
        <v>158</v>
      </c>
      <c r="D192" s="4" t="s">
        <v>159</v>
      </c>
      <c r="E192" s="4" t="s">
        <v>72</v>
      </c>
      <c r="F192" s="4" t="s">
        <v>71</v>
      </c>
      <c r="G192" s="4" t="s">
        <v>71</v>
      </c>
      <c r="H192" s="4" t="s">
        <v>71</v>
      </c>
      <c r="I192" s="4" t="s">
        <v>73</v>
      </c>
      <c r="J192" s="4" t="s">
        <v>72</v>
      </c>
      <c r="K192" s="4" t="s">
        <v>73</v>
      </c>
      <c r="L192" s="4" t="s">
        <v>72</v>
      </c>
      <c r="M192" s="4" t="s">
        <v>70</v>
      </c>
      <c r="N192" s="4" t="s">
        <v>70</v>
      </c>
      <c r="O192" s="4" t="s">
        <v>72</v>
      </c>
      <c r="P192" s="4" t="s">
        <v>71</v>
      </c>
      <c r="Q192" s="4" t="s">
        <v>72</v>
      </c>
      <c r="R192" s="4" t="s">
        <v>73</v>
      </c>
      <c r="S192" s="4" t="s">
        <v>70</v>
      </c>
      <c r="T192" s="10" t="s">
        <v>77</v>
      </c>
      <c r="U192" s="4" t="s">
        <v>71</v>
      </c>
      <c r="V192" s="4" t="s">
        <v>70</v>
      </c>
      <c r="W192" s="4" t="s">
        <v>70</v>
      </c>
      <c r="X192" s="4" t="s">
        <v>72</v>
      </c>
      <c r="Y192" s="4" t="s">
        <v>73</v>
      </c>
      <c r="Z192" s="4" t="s">
        <v>70</v>
      </c>
      <c r="AA192" s="4" t="s">
        <v>70</v>
      </c>
      <c r="AB192" s="4" t="s">
        <v>73</v>
      </c>
      <c r="AC192" s="4" t="s">
        <v>72</v>
      </c>
      <c r="AD192" s="4" t="s">
        <v>72</v>
      </c>
      <c r="AE192" s="4" t="s">
        <v>71</v>
      </c>
      <c r="AF192" s="4" t="s">
        <v>71</v>
      </c>
      <c r="AG192" s="4" t="s">
        <v>72</v>
      </c>
      <c r="AH192" s="4" t="s">
        <v>70</v>
      </c>
      <c r="AI192" s="4" t="s">
        <v>70</v>
      </c>
      <c r="AJ192" s="4" t="s">
        <v>72</v>
      </c>
      <c r="AK192" s="4" t="s">
        <v>72</v>
      </c>
      <c r="AL192" s="4" t="s">
        <v>72</v>
      </c>
      <c r="AM192" s="4" t="s">
        <v>72</v>
      </c>
      <c r="AN192" s="4" t="s">
        <v>71</v>
      </c>
      <c r="AO192" s="4" t="s">
        <v>73</v>
      </c>
      <c r="AP192" s="4" t="s">
        <v>71</v>
      </c>
      <c r="AQ192" s="4" t="s">
        <v>71</v>
      </c>
      <c r="AR192" s="4" t="s">
        <v>71</v>
      </c>
      <c r="AS192" s="4" t="s">
        <v>73</v>
      </c>
      <c r="AT192" s="4" t="s">
        <v>70</v>
      </c>
      <c r="AU192" s="4" t="s">
        <v>70</v>
      </c>
      <c r="AV192" s="4" t="s">
        <v>72</v>
      </c>
      <c r="AW192" s="4" t="s">
        <v>70</v>
      </c>
      <c r="AX192" s="10" t="s">
        <v>77</v>
      </c>
      <c r="AY192" s="4" t="s">
        <v>70</v>
      </c>
      <c r="AZ192" s="4" t="s">
        <v>71</v>
      </c>
      <c r="BA192" s="4" t="s">
        <v>71</v>
      </c>
      <c r="BB192" s="4" t="s">
        <v>71</v>
      </c>
      <c r="BC192" s="4" t="s">
        <v>70</v>
      </c>
      <c r="BD192" s="4" t="s">
        <v>70</v>
      </c>
      <c r="BE192" s="4" t="s">
        <v>70</v>
      </c>
      <c r="BF192" s="4" t="s">
        <v>72</v>
      </c>
      <c r="BG192" s="4" t="s">
        <v>72</v>
      </c>
      <c r="BH192" s="4" t="s">
        <v>71</v>
      </c>
      <c r="BI192" s="4" t="s">
        <v>70</v>
      </c>
      <c r="BJ192" s="4" t="s">
        <v>73</v>
      </c>
      <c r="BK192" s="4" t="s">
        <v>71</v>
      </c>
      <c r="BL192" s="4" t="s">
        <v>72</v>
      </c>
      <c r="BM192" s="4" t="s">
        <v>71</v>
      </c>
      <c r="BN192" s="4" t="s">
        <v>71</v>
      </c>
      <c r="BO192" s="4" t="s">
        <v>71</v>
      </c>
      <c r="BP192" s="4" t="s">
        <v>70</v>
      </c>
      <c r="BQ192" s="4" t="s">
        <v>70</v>
      </c>
      <c r="BR192" s="4" t="s">
        <v>72</v>
      </c>
      <c r="BS192" s="4" t="s">
        <v>73</v>
      </c>
      <c r="BT192" s="4" t="s">
        <v>72</v>
      </c>
      <c r="BU192" s="4" t="s">
        <v>70</v>
      </c>
      <c r="BV192" s="4" t="s">
        <v>70</v>
      </c>
      <c r="BW192" s="4" t="s">
        <v>70</v>
      </c>
      <c r="BX192" s="4" t="s">
        <v>73</v>
      </c>
    </row>
    <row r="193" spans="1:76">
      <c r="A193" s="4" t="s">
        <v>355</v>
      </c>
      <c r="B193" s="4" t="s">
        <v>361</v>
      </c>
      <c r="C193" s="4" t="s">
        <v>141</v>
      </c>
      <c r="D193" s="4" t="s">
        <v>142</v>
      </c>
      <c r="E193" s="4" t="s">
        <v>70</v>
      </c>
      <c r="F193" s="4" t="s">
        <v>71</v>
      </c>
      <c r="G193" s="4" t="s">
        <v>71</v>
      </c>
      <c r="H193" s="4" t="s">
        <v>70</v>
      </c>
      <c r="I193" s="4" t="s">
        <v>73</v>
      </c>
      <c r="J193" s="4" t="s">
        <v>73</v>
      </c>
      <c r="K193" s="4" t="s">
        <v>73</v>
      </c>
      <c r="L193" s="4" t="s">
        <v>72</v>
      </c>
      <c r="M193" s="4" t="s">
        <v>73</v>
      </c>
      <c r="N193" s="4" t="s">
        <v>70</v>
      </c>
      <c r="O193" s="4" t="s">
        <v>71</v>
      </c>
      <c r="P193" s="4" t="s">
        <v>72</v>
      </c>
      <c r="Q193" s="4" t="s">
        <v>71</v>
      </c>
      <c r="R193" s="4" t="s">
        <v>73</v>
      </c>
      <c r="S193" s="4" t="s">
        <v>70</v>
      </c>
      <c r="T193" s="4" t="s">
        <v>72</v>
      </c>
      <c r="U193" s="4" t="s">
        <v>72</v>
      </c>
      <c r="V193" s="4" t="s">
        <v>70</v>
      </c>
      <c r="W193" s="4" t="s">
        <v>70</v>
      </c>
      <c r="X193" s="4" t="s">
        <v>70</v>
      </c>
      <c r="Y193" s="4" t="s">
        <v>73</v>
      </c>
      <c r="Z193" s="4" t="s">
        <v>70</v>
      </c>
      <c r="AA193" s="4" t="s">
        <v>73</v>
      </c>
      <c r="AB193" s="4" t="s">
        <v>70</v>
      </c>
      <c r="AC193" s="4" t="s">
        <v>71</v>
      </c>
      <c r="AD193" s="4" t="s">
        <v>70</v>
      </c>
      <c r="AE193" s="4" t="s">
        <v>72</v>
      </c>
      <c r="AF193" s="4" t="s">
        <v>72</v>
      </c>
      <c r="AG193" s="4" t="s">
        <v>73</v>
      </c>
      <c r="AH193" s="4" t="s">
        <v>70</v>
      </c>
      <c r="AI193" s="4" t="s">
        <v>73</v>
      </c>
      <c r="AJ193" s="4" t="s">
        <v>71</v>
      </c>
      <c r="AK193" s="4" t="s">
        <v>72</v>
      </c>
      <c r="AL193" s="4" t="s">
        <v>70</v>
      </c>
      <c r="AM193" s="4" t="s">
        <v>73</v>
      </c>
      <c r="AN193" s="4" t="s">
        <v>73</v>
      </c>
      <c r="AO193" s="4" t="s">
        <v>70</v>
      </c>
      <c r="AP193" s="4" t="s">
        <v>73</v>
      </c>
      <c r="AQ193" s="4" t="s">
        <v>72</v>
      </c>
      <c r="AR193" s="4" t="s">
        <v>71</v>
      </c>
      <c r="AS193" s="4" t="s">
        <v>72</v>
      </c>
      <c r="AT193" s="4" t="s">
        <v>73</v>
      </c>
      <c r="AU193" s="4" t="s">
        <v>73</v>
      </c>
      <c r="AV193" s="4" t="s">
        <v>73</v>
      </c>
      <c r="AW193" s="4" t="s">
        <v>70</v>
      </c>
      <c r="AX193" s="4" t="s">
        <v>70</v>
      </c>
      <c r="AY193" s="4" t="s">
        <v>72</v>
      </c>
      <c r="AZ193" s="4" t="s">
        <v>71</v>
      </c>
      <c r="BA193" s="4" t="s">
        <v>71</v>
      </c>
      <c r="BB193" s="4" t="s">
        <v>71</v>
      </c>
      <c r="BC193" s="4" t="s">
        <v>72</v>
      </c>
      <c r="BD193" s="4" t="s">
        <v>70</v>
      </c>
      <c r="BE193" s="4" t="s">
        <v>70</v>
      </c>
      <c r="BF193" s="4" t="s">
        <v>72</v>
      </c>
      <c r="BG193" s="4" t="s">
        <v>72</v>
      </c>
      <c r="BH193" s="4" t="s">
        <v>71</v>
      </c>
      <c r="BI193" s="4" t="s">
        <v>73</v>
      </c>
      <c r="BJ193" s="4" t="s">
        <v>73</v>
      </c>
      <c r="BK193" s="4" t="s">
        <v>72</v>
      </c>
      <c r="BL193" s="4" t="s">
        <v>71</v>
      </c>
      <c r="BM193" s="4" t="s">
        <v>71</v>
      </c>
      <c r="BN193" s="4" t="s">
        <v>71</v>
      </c>
      <c r="BO193" s="4" t="s">
        <v>70</v>
      </c>
      <c r="BP193" s="4" t="s">
        <v>70</v>
      </c>
      <c r="BQ193" s="4" t="s">
        <v>70</v>
      </c>
      <c r="BR193" s="4" t="s">
        <v>72</v>
      </c>
      <c r="BS193" s="4" t="s">
        <v>72</v>
      </c>
      <c r="BT193" s="4" t="s">
        <v>72</v>
      </c>
      <c r="BU193" s="4" t="s">
        <v>71</v>
      </c>
      <c r="BV193" s="4" t="s">
        <v>70</v>
      </c>
      <c r="BW193" s="4" t="s">
        <v>70</v>
      </c>
      <c r="BX193" s="4" t="s">
        <v>71</v>
      </c>
    </row>
    <row r="194" spans="1:76">
      <c r="A194" s="4" t="s">
        <v>355</v>
      </c>
      <c r="B194" s="4" t="s">
        <v>362</v>
      </c>
      <c r="C194" s="4" t="s">
        <v>161</v>
      </c>
      <c r="D194" s="4" t="s">
        <v>162</v>
      </c>
      <c r="E194" s="4" t="s">
        <v>70</v>
      </c>
      <c r="F194" s="4" t="s">
        <v>71</v>
      </c>
      <c r="G194" s="4" t="s">
        <v>71</v>
      </c>
      <c r="H194" s="4" t="s">
        <v>70</v>
      </c>
      <c r="I194" s="4" t="s">
        <v>72</v>
      </c>
      <c r="J194" s="4" t="s">
        <v>70</v>
      </c>
      <c r="K194" s="4" t="s">
        <v>73</v>
      </c>
      <c r="L194" s="4" t="s">
        <v>72</v>
      </c>
      <c r="M194" s="4" t="s">
        <v>71</v>
      </c>
      <c r="N194" s="4" t="s">
        <v>70</v>
      </c>
      <c r="O194" s="4" t="s">
        <v>72</v>
      </c>
      <c r="P194" s="4" t="s">
        <v>73</v>
      </c>
      <c r="Q194" s="4" t="s">
        <v>72</v>
      </c>
      <c r="R194" s="4" t="s">
        <v>73</v>
      </c>
      <c r="S194" s="4" t="s">
        <v>70</v>
      </c>
      <c r="T194" s="10" t="s">
        <v>77</v>
      </c>
      <c r="U194" s="4" t="s">
        <v>72</v>
      </c>
      <c r="V194" s="4" t="s">
        <v>70</v>
      </c>
      <c r="W194" s="4" t="s">
        <v>70</v>
      </c>
      <c r="X194" s="4" t="s">
        <v>72</v>
      </c>
      <c r="Y194" s="4" t="s">
        <v>73</v>
      </c>
      <c r="Z194" s="4" t="s">
        <v>70</v>
      </c>
      <c r="AA194" s="4" t="s">
        <v>72</v>
      </c>
      <c r="AB194" s="4" t="s">
        <v>73</v>
      </c>
      <c r="AC194" s="4" t="s">
        <v>71</v>
      </c>
      <c r="AD194" s="4" t="s">
        <v>72</v>
      </c>
      <c r="AE194" s="4" t="s">
        <v>71</v>
      </c>
      <c r="AF194" s="4" t="s">
        <v>72</v>
      </c>
      <c r="AG194" s="4" t="s">
        <v>70</v>
      </c>
      <c r="AH194" s="4" t="s">
        <v>71</v>
      </c>
      <c r="AI194" s="4" t="s">
        <v>70</v>
      </c>
      <c r="AJ194" s="4" t="s">
        <v>72</v>
      </c>
      <c r="AK194" s="4" t="s">
        <v>72</v>
      </c>
      <c r="AL194" s="4" t="s">
        <v>70</v>
      </c>
      <c r="AM194" s="4" t="s">
        <v>72</v>
      </c>
      <c r="AN194" s="4" t="s">
        <v>70</v>
      </c>
      <c r="AO194" s="4" t="s">
        <v>70</v>
      </c>
      <c r="AP194" s="4" t="s">
        <v>71</v>
      </c>
      <c r="AQ194" s="4" t="s">
        <v>71</v>
      </c>
      <c r="AR194" s="4" t="s">
        <v>70</v>
      </c>
      <c r="AS194" s="4" t="s">
        <v>71</v>
      </c>
      <c r="AT194" s="4" t="s">
        <v>73</v>
      </c>
      <c r="AU194" s="4" t="s">
        <v>70</v>
      </c>
      <c r="AV194" s="4" t="s">
        <v>71</v>
      </c>
      <c r="AW194" s="4" t="s">
        <v>73</v>
      </c>
      <c r="AX194" s="10" t="s">
        <v>77</v>
      </c>
      <c r="AY194" s="4" t="s">
        <v>73</v>
      </c>
      <c r="AZ194" s="4" t="s">
        <v>71</v>
      </c>
      <c r="BA194" s="4" t="s">
        <v>71</v>
      </c>
      <c r="BB194" s="4" t="s">
        <v>72</v>
      </c>
      <c r="BC194" s="4" t="s">
        <v>71</v>
      </c>
      <c r="BD194" s="4" t="s">
        <v>70</v>
      </c>
      <c r="BE194" s="4" t="s">
        <v>70</v>
      </c>
      <c r="BF194" s="4" t="s">
        <v>72</v>
      </c>
      <c r="BG194" s="4" t="s">
        <v>72</v>
      </c>
      <c r="BH194" s="4" t="s">
        <v>71</v>
      </c>
      <c r="BI194" s="4" t="s">
        <v>70</v>
      </c>
      <c r="BJ194" s="4" t="s">
        <v>73</v>
      </c>
      <c r="BK194" s="4" t="s">
        <v>73</v>
      </c>
      <c r="BL194" s="4" t="s">
        <v>72</v>
      </c>
      <c r="BM194" s="4" t="s">
        <v>71</v>
      </c>
      <c r="BN194" s="4" t="s">
        <v>71</v>
      </c>
      <c r="BO194" s="4" t="s">
        <v>70</v>
      </c>
      <c r="BP194" s="4" t="s">
        <v>73</v>
      </c>
      <c r="BQ194" s="4" t="s">
        <v>70</v>
      </c>
      <c r="BR194" s="4" t="s">
        <v>72</v>
      </c>
      <c r="BS194" s="4" t="s">
        <v>71</v>
      </c>
      <c r="BT194" s="4" t="s">
        <v>73</v>
      </c>
      <c r="BU194" s="4" t="s">
        <v>71</v>
      </c>
      <c r="BV194" s="4" t="s">
        <v>70</v>
      </c>
      <c r="BW194" s="4" t="s">
        <v>70</v>
      </c>
      <c r="BX194" s="4" t="s">
        <v>71</v>
      </c>
    </row>
    <row r="195" spans="1:76">
      <c r="A195" s="4" t="s">
        <v>355</v>
      </c>
      <c r="B195" s="4" t="s">
        <v>363</v>
      </c>
      <c r="C195" s="4" t="s">
        <v>117</v>
      </c>
      <c r="D195" s="4" t="s">
        <v>166</v>
      </c>
      <c r="E195" s="4" t="s">
        <v>70</v>
      </c>
      <c r="F195" s="4" t="s">
        <v>71</v>
      </c>
      <c r="G195" s="4" t="s">
        <v>72</v>
      </c>
      <c r="H195" s="4" t="s">
        <v>71</v>
      </c>
      <c r="I195" s="4" t="s">
        <v>71</v>
      </c>
      <c r="J195" s="4" t="s">
        <v>73</v>
      </c>
      <c r="K195" s="4" t="s">
        <v>70</v>
      </c>
      <c r="L195" s="4" t="s">
        <v>72</v>
      </c>
      <c r="M195" s="4" t="s">
        <v>70</v>
      </c>
      <c r="N195" s="4" t="s">
        <v>70</v>
      </c>
      <c r="O195" s="4" t="s">
        <v>71</v>
      </c>
      <c r="P195" s="4" t="s">
        <v>70</v>
      </c>
      <c r="Q195" s="4" t="s">
        <v>71</v>
      </c>
      <c r="R195" s="4" t="s">
        <v>73</v>
      </c>
      <c r="S195" s="4" t="s">
        <v>73</v>
      </c>
      <c r="T195" s="4" t="s">
        <v>72</v>
      </c>
      <c r="U195" s="4" t="s">
        <v>71</v>
      </c>
      <c r="V195" s="4" t="s">
        <v>70</v>
      </c>
      <c r="W195" s="4" t="s">
        <v>70</v>
      </c>
      <c r="X195" s="4" t="s">
        <v>72</v>
      </c>
      <c r="Y195" s="4" t="s">
        <v>73</v>
      </c>
      <c r="Z195" s="4" t="s">
        <v>70</v>
      </c>
      <c r="AA195" s="4" t="s">
        <v>71</v>
      </c>
      <c r="AB195" s="4" t="s">
        <v>70</v>
      </c>
      <c r="AC195" s="4" t="s">
        <v>71</v>
      </c>
      <c r="AD195" s="4" t="s">
        <v>70</v>
      </c>
      <c r="AE195" s="4" t="s">
        <v>71</v>
      </c>
      <c r="AF195" s="4" t="s">
        <v>70</v>
      </c>
      <c r="AG195" s="4" t="s">
        <v>70</v>
      </c>
      <c r="AH195" s="4" t="s">
        <v>72</v>
      </c>
      <c r="AI195" s="4" t="s">
        <v>73</v>
      </c>
      <c r="AJ195" s="4" t="s">
        <v>71</v>
      </c>
      <c r="AK195" s="4" t="s">
        <v>72</v>
      </c>
      <c r="AL195" s="4" t="s">
        <v>72</v>
      </c>
      <c r="AM195" s="4" t="s">
        <v>73</v>
      </c>
      <c r="AN195" s="4" t="s">
        <v>72</v>
      </c>
      <c r="AO195" s="4" t="s">
        <v>73</v>
      </c>
      <c r="AP195" s="4" t="s">
        <v>73</v>
      </c>
      <c r="AQ195" s="4" t="s">
        <v>72</v>
      </c>
      <c r="AR195" s="4" t="s">
        <v>70</v>
      </c>
      <c r="AS195" s="4" t="s">
        <v>71</v>
      </c>
      <c r="AT195" s="4" t="s">
        <v>71</v>
      </c>
      <c r="AU195" s="4" t="s">
        <v>70</v>
      </c>
      <c r="AV195" s="4" t="s">
        <v>73</v>
      </c>
      <c r="AW195" s="4" t="s">
        <v>70</v>
      </c>
      <c r="AX195" s="4" t="s">
        <v>70</v>
      </c>
      <c r="AY195" s="4" t="s">
        <v>72</v>
      </c>
      <c r="AZ195" s="4" t="s">
        <v>72</v>
      </c>
      <c r="BA195" s="4" t="s">
        <v>70</v>
      </c>
      <c r="BB195" s="4" t="s">
        <v>72</v>
      </c>
      <c r="BC195" s="4" t="s">
        <v>70</v>
      </c>
      <c r="BD195" s="4" t="s">
        <v>73</v>
      </c>
      <c r="BE195" s="4" t="s">
        <v>70</v>
      </c>
      <c r="BF195" s="4" t="s">
        <v>72</v>
      </c>
      <c r="BG195" s="4" t="s">
        <v>72</v>
      </c>
      <c r="BH195" s="4" t="s">
        <v>71</v>
      </c>
      <c r="BI195" s="4" t="s">
        <v>70</v>
      </c>
      <c r="BJ195" s="4" t="s">
        <v>73</v>
      </c>
      <c r="BK195" s="4" t="s">
        <v>72</v>
      </c>
      <c r="BL195" s="4" t="s">
        <v>71</v>
      </c>
      <c r="BM195" s="4" t="s">
        <v>71</v>
      </c>
      <c r="BN195" s="4" t="s">
        <v>72</v>
      </c>
      <c r="BO195" s="4" t="s">
        <v>71</v>
      </c>
      <c r="BP195" s="4" t="s">
        <v>73</v>
      </c>
      <c r="BQ195" s="4" t="s">
        <v>71</v>
      </c>
      <c r="BR195" s="4" t="s">
        <v>71</v>
      </c>
      <c r="BS195" s="4" t="s">
        <v>72</v>
      </c>
      <c r="BT195" s="4" t="s">
        <v>70</v>
      </c>
      <c r="BU195" s="4" t="s">
        <v>70</v>
      </c>
      <c r="BV195" s="4" t="s">
        <v>73</v>
      </c>
      <c r="BW195" s="4" t="s">
        <v>70</v>
      </c>
      <c r="BX195" s="4" t="s">
        <v>71</v>
      </c>
    </row>
    <row r="196" spans="1:76">
      <c r="A196" s="4" t="s">
        <v>355</v>
      </c>
      <c r="B196" s="4" t="s">
        <v>364</v>
      </c>
      <c r="C196" s="4" t="s">
        <v>117</v>
      </c>
      <c r="D196" s="4" t="s">
        <v>164</v>
      </c>
      <c r="E196" s="4" t="s">
        <v>70</v>
      </c>
      <c r="F196" s="4" t="s">
        <v>70</v>
      </c>
      <c r="G196" s="4" t="s">
        <v>71</v>
      </c>
      <c r="H196" s="4" t="s">
        <v>71</v>
      </c>
      <c r="I196" s="4" t="s">
        <v>70</v>
      </c>
      <c r="J196" s="4" t="s">
        <v>70</v>
      </c>
      <c r="K196" s="4" t="s">
        <v>72</v>
      </c>
      <c r="L196" s="4" t="s">
        <v>72</v>
      </c>
      <c r="M196" s="4" t="s">
        <v>73</v>
      </c>
      <c r="N196" s="4" t="s">
        <v>70</v>
      </c>
      <c r="O196" s="4" t="s">
        <v>71</v>
      </c>
      <c r="P196" s="4" t="s">
        <v>72</v>
      </c>
      <c r="Q196" s="4" t="s">
        <v>71</v>
      </c>
      <c r="R196" s="4" t="s">
        <v>73</v>
      </c>
      <c r="S196" s="4" t="s">
        <v>70</v>
      </c>
      <c r="T196" s="4" t="s">
        <v>72</v>
      </c>
      <c r="U196" s="4" t="s">
        <v>72</v>
      </c>
      <c r="V196" s="4" t="s">
        <v>70</v>
      </c>
      <c r="W196" s="4" t="s">
        <v>70</v>
      </c>
      <c r="X196" s="4" t="s">
        <v>72</v>
      </c>
      <c r="Y196" s="4" t="s">
        <v>73</v>
      </c>
      <c r="Z196" s="4" t="s">
        <v>70</v>
      </c>
      <c r="AA196" s="4" t="s">
        <v>73</v>
      </c>
      <c r="AB196" s="4" t="s">
        <v>70</v>
      </c>
      <c r="AC196" s="4" t="s">
        <v>71</v>
      </c>
      <c r="AD196" s="4" t="s">
        <v>70</v>
      </c>
      <c r="AE196" s="4" t="s">
        <v>72</v>
      </c>
      <c r="AF196" s="4" t="s">
        <v>70</v>
      </c>
      <c r="AG196" s="4" t="s">
        <v>70</v>
      </c>
      <c r="AH196" s="4" t="s">
        <v>72</v>
      </c>
      <c r="AI196" s="4" t="s">
        <v>70</v>
      </c>
      <c r="AJ196" s="4" t="s">
        <v>71</v>
      </c>
      <c r="AK196" s="4" t="s">
        <v>72</v>
      </c>
      <c r="AL196" s="4" t="s">
        <v>73</v>
      </c>
      <c r="AM196" s="4" t="s">
        <v>73</v>
      </c>
      <c r="AN196" s="4" t="s">
        <v>72</v>
      </c>
      <c r="AO196" s="4" t="s">
        <v>73</v>
      </c>
      <c r="AP196" s="4" t="s">
        <v>73</v>
      </c>
      <c r="AQ196" s="4" t="s">
        <v>71</v>
      </c>
      <c r="AR196" s="4" t="s">
        <v>70</v>
      </c>
      <c r="AS196" s="4" t="s">
        <v>71</v>
      </c>
      <c r="AT196" s="4" t="s">
        <v>71</v>
      </c>
      <c r="AU196" s="4" t="s">
        <v>73</v>
      </c>
      <c r="AV196" s="4" t="s">
        <v>73</v>
      </c>
      <c r="AW196" s="4" t="s">
        <v>70</v>
      </c>
      <c r="AX196" s="4" t="s">
        <v>70</v>
      </c>
      <c r="AY196" s="4" t="s">
        <v>72</v>
      </c>
      <c r="AZ196" s="4" t="s">
        <v>71</v>
      </c>
      <c r="BA196" s="4" t="s">
        <v>70</v>
      </c>
      <c r="BB196" s="4" t="s">
        <v>71</v>
      </c>
      <c r="BC196" s="4" t="s">
        <v>70</v>
      </c>
      <c r="BD196" s="4" t="s">
        <v>70</v>
      </c>
      <c r="BE196" s="4" t="s">
        <v>70</v>
      </c>
      <c r="BF196" s="4" t="s">
        <v>72</v>
      </c>
      <c r="BG196" s="4" t="s">
        <v>72</v>
      </c>
      <c r="BH196" s="4" t="s">
        <v>71</v>
      </c>
      <c r="BI196" s="4" t="s">
        <v>70</v>
      </c>
      <c r="BJ196" s="4" t="s">
        <v>73</v>
      </c>
      <c r="BK196" s="4" t="s">
        <v>73</v>
      </c>
      <c r="BL196" s="4" t="s">
        <v>71</v>
      </c>
      <c r="BM196" s="4" t="s">
        <v>71</v>
      </c>
      <c r="BN196" s="4" t="s">
        <v>71</v>
      </c>
      <c r="BO196" s="4" t="s">
        <v>71</v>
      </c>
      <c r="BP196" s="4" t="s">
        <v>70</v>
      </c>
      <c r="BQ196" s="4" t="s">
        <v>72</v>
      </c>
      <c r="BR196" s="4" t="s">
        <v>73</v>
      </c>
      <c r="BS196" s="4" t="s">
        <v>71</v>
      </c>
      <c r="BT196" s="4" t="s">
        <v>70</v>
      </c>
      <c r="BU196" s="4" t="s">
        <v>70</v>
      </c>
      <c r="BV196" s="4" t="s">
        <v>70</v>
      </c>
      <c r="BW196" s="4" t="s">
        <v>71</v>
      </c>
      <c r="BX196" s="4" t="s">
        <v>71</v>
      </c>
    </row>
    <row r="197" spans="1:76">
      <c r="A197" s="4" t="s">
        <v>355</v>
      </c>
      <c r="B197" s="4" t="s">
        <v>365</v>
      </c>
      <c r="C197" s="4" t="s">
        <v>168</v>
      </c>
      <c r="D197" s="4" t="s">
        <v>85</v>
      </c>
      <c r="E197" s="4" t="s">
        <v>70</v>
      </c>
      <c r="F197" s="4" t="s">
        <v>71</v>
      </c>
      <c r="G197" s="4" t="s">
        <v>71</v>
      </c>
      <c r="H197" s="4" t="s">
        <v>71</v>
      </c>
      <c r="I197" s="4" t="s">
        <v>70</v>
      </c>
      <c r="J197" s="4" t="s">
        <v>70</v>
      </c>
      <c r="K197" s="4" t="s">
        <v>73</v>
      </c>
      <c r="L197" s="4" t="s">
        <v>72</v>
      </c>
      <c r="M197" s="4" t="s">
        <v>73</v>
      </c>
      <c r="N197" s="4" t="s">
        <v>70</v>
      </c>
      <c r="O197" s="4" t="s">
        <v>71</v>
      </c>
      <c r="P197" s="4" t="s">
        <v>72</v>
      </c>
      <c r="Q197" s="4" t="s">
        <v>71</v>
      </c>
      <c r="R197" s="4" t="s">
        <v>73</v>
      </c>
      <c r="S197" s="4" t="s">
        <v>70</v>
      </c>
      <c r="T197" s="4" t="s">
        <v>72</v>
      </c>
      <c r="U197" s="4" t="s">
        <v>71</v>
      </c>
      <c r="V197" s="4" t="s">
        <v>70</v>
      </c>
      <c r="W197" s="4" t="s">
        <v>70</v>
      </c>
      <c r="X197" s="4" t="s">
        <v>72</v>
      </c>
      <c r="Y197" s="4" t="s">
        <v>73</v>
      </c>
      <c r="Z197" s="4" t="s">
        <v>70</v>
      </c>
      <c r="AA197" s="4" t="s">
        <v>73</v>
      </c>
      <c r="AB197" s="4" t="s">
        <v>70</v>
      </c>
      <c r="AC197" s="4" t="s">
        <v>71</v>
      </c>
      <c r="AD197" s="4" t="s">
        <v>73</v>
      </c>
      <c r="AE197" s="4" t="s">
        <v>72</v>
      </c>
      <c r="AF197" s="4" t="s">
        <v>71</v>
      </c>
      <c r="AG197" s="4" t="s">
        <v>73</v>
      </c>
      <c r="AH197" s="4" t="s">
        <v>70</v>
      </c>
      <c r="AI197" s="4" t="s">
        <v>73</v>
      </c>
      <c r="AJ197" s="4" t="s">
        <v>71</v>
      </c>
      <c r="AK197" s="4" t="s">
        <v>72</v>
      </c>
      <c r="AL197" s="4" t="s">
        <v>72</v>
      </c>
      <c r="AM197" s="4" t="s">
        <v>72</v>
      </c>
      <c r="AN197" s="4" t="s">
        <v>72</v>
      </c>
      <c r="AO197" s="4" t="s">
        <v>73</v>
      </c>
      <c r="AP197" s="4" t="s">
        <v>73</v>
      </c>
      <c r="AQ197" s="4" t="s">
        <v>72</v>
      </c>
      <c r="AR197" s="4" t="s">
        <v>71</v>
      </c>
      <c r="AS197" s="4" t="s">
        <v>72</v>
      </c>
      <c r="AT197" s="4" t="s">
        <v>70</v>
      </c>
      <c r="AU197" s="4" t="s">
        <v>73</v>
      </c>
      <c r="AV197" s="4" t="s">
        <v>70</v>
      </c>
      <c r="AW197" s="4" t="s">
        <v>70</v>
      </c>
      <c r="AX197" s="4" t="s">
        <v>70</v>
      </c>
      <c r="AY197" s="4" t="s">
        <v>72</v>
      </c>
      <c r="AZ197" s="4" t="s">
        <v>71</v>
      </c>
      <c r="BA197" s="4" t="s">
        <v>71</v>
      </c>
      <c r="BB197" s="4" t="s">
        <v>73</v>
      </c>
      <c r="BC197" s="4" t="s">
        <v>70</v>
      </c>
      <c r="BD197" s="4" t="s">
        <v>70</v>
      </c>
      <c r="BE197" s="4" t="s">
        <v>70</v>
      </c>
      <c r="BF197" s="4" t="s">
        <v>72</v>
      </c>
      <c r="BG197" s="4" t="s">
        <v>72</v>
      </c>
      <c r="BH197" s="4" t="s">
        <v>71</v>
      </c>
      <c r="BI197" s="4" t="s">
        <v>73</v>
      </c>
      <c r="BJ197" s="4" t="s">
        <v>73</v>
      </c>
      <c r="BK197" s="4" t="s">
        <v>70</v>
      </c>
      <c r="BL197" s="4" t="s">
        <v>72</v>
      </c>
      <c r="BM197" s="4" t="s">
        <v>71</v>
      </c>
      <c r="BN197" s="4" t="s">
        <v>71</v>
      </c>
      <c r="BO197" s="4" t="s">
        <v>71</v>
      </c>
      <c r="BP197" s="4" t="s">
        <v>72</v>
      </c>
      <c r="BQ197" s="4" t="s">
        <v>70</v>
      </c>
      <c r="BR197" s="4" t="s">
        <v>72</v>
      </c>
      <c r="BS197" s="4" t="s">
        <v>72</v>
      </c>
      <c r="BT197" s="4" t="s">
        <v>71</v>
      </c>
      <c r="BU197" s="4" t="s">
        <v>70</v>
      </c>
      <c r="BV197" s="4" t="s">
        <v>70</v>
      </c>
      <c r="BW197" s="4" t="s">
        <v>70</v>
      </c>
      <c r="BX197" s="4" t="s">
        <v>71</v>
      </c>
    </row>
    <row r="198" spans="1:76">
      <c r="A198" s="4" t="s">
        <v>355</v>
      </c>
      <c r="B198" s="4" t="s">
        <v>366</v>
      </c>
      <c r="C198" s="4" t="s">
        <v>168</v>
      </c>
      <c r="D198" s="4" t="s">
        <v>83</v>
      </c>
      <c r="E198" s="4" t="s">
        <v>70</v>
      </c>
      <c r="F198" s="4" t="s">
        <v>71</v>
      </c>
      <c r="G198" s="4" t="s">
        <v>71</v>
      </c>
      <c r="H198" s="4" t="s">
        <v>71</v>
      </c>
      <c r="I198" s="4" t="s">
        <v>70</v>
      </c>
      <c r="J198" s="4" t="s">
        <v>70</v>
      </c>
      <c r="K198" s="4" t="s">
        <v>71</v>
      </c>
      <c r="L198" s="4" t="s">
        <v>72</v>
      </c>
      <c r="M198" s="4" t="s">
        <v>73</v>
      </c>
      <c r="N198" s="4" t="s">
        <v>70</v>
      </c>
      <c r="O198" s="4" t="s">
        <v>71</v>
      </c>
      <c r="P198" s="4" t="s">
        <v>72</v>
      </c>
      <c r="Q198" s="4" t="s">
        <v>71</v>
      </c>
      <c r="R198" s="4" t="s">
        <v>73</v>
      </c>
      <c r="S198" s="4" t="s">
        <v>70</v>
      </c>
      <c r="T198" s="4" t="s">
        <v>72</v>
      </c>
      <c r="U198" s="4" t="s">
        <v>71</v>
      </c>
      <c r="V198" s="4" t="s">
        <v>70</v>
      </c>
      <c r="W198" s="4" t="s">
        <v>70</v>
      </c>
      <c r="X198" s="4" t="s">
        <v>72</v>
      </c>
      <c r="Y198" s="4" t="s">
        <v>73</v>
      </c>
      <c r="Z198" s="4" t="s">
        <v>70</v>
      </c>
      <c r="AA198" s="4" t="s">
        <v>73</v>
      </c>
      <c r="AB198" s="4" t="s">
        <v>70</v>
      </c>
      <c r="AC198" s="4" t="s">
        <v>71</v>
      </c>
      <c r="AD198" s="4" t="s">
        <v>73</v>
      </c>
      <c r="AE198" s="4" t="s">
        <v>72</v>
      </c>
      <c r="AF198" s="4" t="s">
        <v>70</v>
      </c>
      <c r="AG198" s="4" t="s">
        <v>70</v>
      </c>
      <c r="AH198" s="4" t="s">
        <v>70</v>
      </c>
      <c r="AI198" s="4" t="s">
        <v>73</v>
      </c>
      <c r="AJ198" s="4" t="s">
        <v>71</v>
      </c>
      <c r="AK198" s="4" t="s">
        <v>72</v>
      </c>
      <c r="AL198" s="4" t="s">
        <v>71</v>
      </c>
      <c r="AM198" s="4" t="s">
        <v>72</v>
      </c>
      <c r="AN198" s="4" t="s">
        <v>72</v>
      </c>
      <c r="AO198" s="4" t="s">
        <v>73</v>
      </c>
      <c r="AP198" s="4" t="s">
        <v>73</v>
      </c>
      <c r="AQ198" s="4" t="s">
        <v>72</v>
      </c>
      <c r="AR198" s="4" t="s">
        <v>71</v>
      </c>
      <c r="AS198" s="4" t="s">
        <v>72</v>
      </c>
      <c r="AT198" s="4" t="s">
        <v>71</v>
      </c>
      <c r="AU198" s="4" t="s">
        <v>73</v>
      </c>
      <c r="AV198" s="4" t="s">
        <v>70</v>
      </c>
      <c r="AW198" s="4" t="s">
        <v>70</v>
      </c>
      <c r="AX198" s="4" t="s">
        <v>70</v>
      </c>
      <c r="AY198" s="4" t="s">
        <v>72</v>
      </c>
      <c r="AZ198" s="4" t="s">
        <v>71</v>
      </c>
      <c r="BA198" s="4" t="s">
        <v>70</v>
      </c>
      <c r="BB198" s="4" t="s">
        <v>72</v>
      </c>
      <c r="BC198" s="4" t="s">
        <v>70</v>
      </c>
      <c r="BD198" s="4" t="s">
        <v>70</v>
      </c>
      <c r="BE198" s="4" t="s">
        <v>70</v>
      </c>
      <c r="BF198" s="4" t="s">
        <v>72</v>
      </c>
      <c r="BG198" s="4" t="s">
        <v>72</v>
      </c>
      <c r="BH198" s="4" t="s">
        <v>71</v>
      </c>
      <c r="BI198" s="4" t="s">
        <v>70</v>
      </c>
      <c r="BJ198" s="4" t="s">
        <v>73</v>
      </c>
      <c r="BK198" s="4" t="s">
        <v>70</v>
      </c>
      <c r="BL198" s="4" t="s">
        <v>71</v>
      </c>
      <c r="BM198" s="4" t="s">
        <v>71</v>
      </c>
      <c r="BN198" s="4" t="s">
        <v>71</v>
      </c>
      <c r="BO198" s="4" t="s">
        <v>71</v>
      </c>
      <c r="BP198" s="4" t="s">
        <v>73</v>
      </c>
      <c r="BQ198" s="4" t="s">
        <v>71</v>
      </c>
      <c r="BR198" s="4" t="s">
        <v>71</v>
      </c>
      <c r="BS198" s="4" t="s">
        <v>72</v>
      </c>
      <c r="BT198" s="4" t="s">
        <v>72</v>
      </c>
      <c r="BU198" s="4" t="s">
        <v>70</v>
      </c>
      <c r="BV198" s="4" t="s">
        <v>70</v>
      </c>
      <c r="BW198" s="4" t="s">
        <v>70</v>
      </c>
      <c r="BX198" s="4" t="s">
        <v>71</v>
      </c>
    </row>
    <row r="199" spans="1:76">
      <c r="A199" s="4" t="s">
        <v>355</v>
      </c>
      <c r="B199" s="4" t="s">
        <v>367</v>
      </c>
      <c r="C199" s="4" t="s">
        <v>152</v>
      </c>
      <c r="D199" s="4" t="s">
        <v>153</v>
      </c>
      <c r="E199" s="4" t="s">
        <v>70</v>
      </c>
      <c r="F199" s="4" t="s">
        <v>72</v>
      </c>
      <c r="G199" s="4" t="s">
        <v>71</v>
      </c>
      <c r="H199" s="4" t="s">
        <v>72</v>
      </c>
      <c r="I199" s="4" t="s">
        <v>71</v>
      </c>
      <c r="J199" s="4" t="s">
        <v>72</v>
      </c>
      <c r="K199" s="4" t="s">
        <v>70</v>
      </c>
      <c r="L199" s="4" t="s">
        <v>72</v>
      </c>
      <c r="M199" s="4" t="s">
        <v>70</v>
      </c>
      <c r="N199" s="4" t="s">
        <v>70</v>
      </c>
      <c r="O199" s="4" t="s">
        <v>71</v>
      </c>
      <c r="P199" s="4" t="s">
        <v>70</v>
      </c>
      <c r="Q199" s="4" t="s">
        <v>71</v>
      </c>
      <c r="R199" s="4" t="s">
        <v>73</v>
      </c>
      <c r="S199" s="4" t="s">
        <v>73</v>
      </c>
      <c r="T199" s="4" t="s">
        <v>72</v>
      </c>
      <c r="U199" s="4" t="s">
        <v>71</v>
      </c>
      <c r="V199" s="4" t="s">
        <v>70</v>
      </c>
      <c r="W199" s="4" t="s">
        <v>70</v>
      </c>
      <c r="X199" s="4" t="s">
        <v>72</v>
      </c>
      <c r="Y199" s="4" t="s">
        <v>73</v>
      </c>
      <c r="Z199" s="4" t="s">
        <v>70</v>
      </c>
      <c r="AA199" s="4" t="s">
        <v>71</v>
      </c>
      <c r="AB199" s="4" t="s">
        <v>70</v>
      </c>
      <c r="AC199" s="4" t="s">
        <v>71</v>
      </c>
      <c r="AD199" s="4" t="s">
        <v>70</v>
      </c>
      <c r="AE199" s="4" t="s">
        <v>72</v>
      </c>
      <c r="AF199" s="4" t="s">
        <v>72</v>
      </c>
      <c r="AG199" s="4" t="s">
        <v>71</v>
      </c>
      <c r="AH199" s="4" t="s">
        <v>70</v>
      </c>
      <c r="AI199" s="4" t="s">
        <v>70</v>
      </c>
      <c r="AJ199" s="4" t="s">
        <v>71</v>
      </c>
      <c r="AK199" s="4" t="s">
        <v>72</v>
      </c>
      <c r="AL199" s="4" t="s">
        <v>70</v>
      </c>
      <c r="AM199" s="4" t="s">
        <v>72</v>
      </c>
      <c r="AN199" s="4" t="s">
        <v>72</v>
      </c>
      <c r="AO199" s="4" t="s">
        <v>73</v>
      </c>
      <c r="AP199" s="4" t="s">
        <v>73</v>
      </c>
      <c r="AQ199" s="4" t="s">
        <v>71</v>
      </c>
      <c r="AR199" s="4" t="s">
        <v>71</v>
      </c>
      <c r="AS199" s="4" t="s">
        <v>70</v>
      </c>
      <c r="AT199" s="4" t="s">
        <v>73</v>
      </c>
      <c r="AU199" s="4" t="s">
        <v>73</v>
      </c>
      <c r="AV199" s="4" t="s">
        <v>73</v>
      </c>
      <c r="AW199" s="4" t="s">
        <v>70</v>
      </c>
      <c r="AX199" s="4" t="s">
        <v>70</v>
      </c>
      <c r="AY199" s="4" t="s">
        <v>72</v>
      </c>
      <c r="AZ199" s="4" t="s">
        <v>72</v>
      </c>
      <c r="BA199" s="4" t="s">
        <v>70</v>
      </c>
      <c r="BB199" s="4" t="s">
        <v>70</v>
      </c>
      <c r="BC199" s="4" t="s">
        <v>72</v>
      </c>
      <c r="BD199" s="4" t="s">
        <v>70</v>
      </c>
      <c r="BE199" s="4" t="s">
        <v>70</v>
      </c>
      <c r="BF199" s="4" t="s">
        <v>72</v>
      </c>
      <c r="BG199" s="4" t="s">
        <v>72</v>
      </c>
      <c r="BH199" s="4" t="s">
        <v>71</v>
      </c>
      <c r="BI199" s="4" t="s">
        <v>70</v>
      </c>
      <c r="BJ199" s="4" t="s">
        <v>73</v>
      </c>
      <c r="BK199" s="4" t="s">
        <v>70</v>
      </c>
      <c r="BL199" s="4" t="s">
        <v>71</v>
      </c>
      <c r="BM199" s="4" t="s">
        <v>71</v>
      </c>
      <c r="BN199" s="4" t="s">
        <v>71</v>
      </c>
      <c r="BO199" s="4" t="s">
        <v>73</v>
      </c>
      <c r="BP199" s="4" t="s">
        <v>71</v>
      </c>
      <c r="BQ199" s="4" t="s">
        <v>71</v>
      </c>
      <c r="BR199" s="4" t="s">
        <v>71</v>
      </c>
      <c r="BS199" s="4" t="s">
        <v>73</v>
      </c>
      <c r="BT199" s="4" t="s">
        <v>70</v>
      </c>
      <c r="BU199" s="4" t="s">
        <v>70</v>
      </c>
      <c r="BV199" s="4" t="s">
        <v>70</v>
      </c>
      <c r="BW199" s="4" t="s">
        <v>73</v>
      </c>
      <c r="BX199" s="4" t="s">
        <v>71</v>
      </c>
    </row>
    <row r="200" spans="1:76">
      <c r="A200" s="4" t="s">
        <v>355</v>
      </c>
      <c r="B200" s="4" t="s">
        <v>368</v>
      </c>
      <c r="C200" s="4" t="s">
        <v>122</v>
      </c>
      <c r="D200" s="4" t="s">
        <v>369</v>
      </c>
      <c r="E200" s="4" t="s">
        <v>70</v>
      </c>
      <c r="F200" s="4" t="s">
        <v>70</v>
      </c>
      <c r="G200" s="4" t="s">
        <v>71</v>
      </c>
      <c r="H200" s="4" t="s">
        <v>71</v>
      </c>
      <c r="I200" s="4" t="s">
        <v>70</v>
      </c>
      <c r="J200" s="4" t="s">
        <v>70</v>
      </c>
      <c r="K200" s="4" t="s">
        <v>72</v>
      </c>
      <c r="L200" s="4" t="s">
        <v>72</v>
      </c>
      <c r="M200" s="4" t="s">
        <v>73</v>
      </c>
      <c r="N200" s="4" t="s">
        <v>70</v>
      </c>
      <c r="O200" s="4" t="s">
        <v>71</v>
      </c>
      <c r="P200" s="4" t="s">
        <v>72</v>
      </c>
      <c r="Q200" s="4" t="s">
        <v>71</v>
      </c>
      <c r="R200" s="4" t="s">
        <v>73</v>
      </c>
      <c r="S200" s="4" t="s">
        <v>70</v>
      </c>
      <c r="T200" s="4" t="s">
        <v>72</v>
      </c>
      <c r="U200" s="4" t="s">
        <v>72</v>
      </c>
      <c r="V200" s="4" t="s">
        <v>70</v>
      </c>
      <c r="W200" s="4" t="s">
        <v>70</v>
      </c>
      <c r="X200" s="4" t="s">
        <v>72</v>
      </c>
      <c r="Y200" s="4" t="s">
        <v>73</v>
      </c>
      <c r="Z200" s="4" t="s">
        <v>70</v>
      </c>
      <c r="AA200" s="4" t="s">
        <v>73</v>
      </c>
      <c r="AB200" s="4" t="s">
        <v>70</v>
      </c>
      <c r="AC200" s="4" t="s">
        <v>71</v>
      </c>
      <c r="AD200" s="4" t="s">
        <v>70</v>
      </c>
      <c r="AE200" s="4" t="s">
        <v>72</v>
      </c>
      <c r="AF200" s="4" t="s">
        <v>70</v>
      </c>
      <c r="AG200" s="4" t="s">
        <v>71</v>
      </c>
      <c r="AH200" s="4" t="s">
        <v>72</v>
      </c>
      <c r="AI200" s="4" t="s">
        <v>70</v>
      </c>
      <c r="AJ200" s="4" t="s">
        <v>71</v>
      </c>
      <c r="AK200" s="4" t="s">
        <v>72</v>
      </c>
      <c r="AL200" s="4" t="s">
        <v>73</v>
      </c>
      <c r="AM200" s="4" t="s">
        <v>71</v>
      </c>
      <c r="AN200" s="4" t="s">
        <v>72</v>
      </c>
      <c r="AO200" s="4" t="s">
        <v>73</v>
      </c>
      <c r="AP200" s="4" t="s">
        <v>73</v>
      </c>
      <c r="AQ200" s="4" t="s">
        <v>72</v>
      </c>
      <c r="AR200" s="4" t="s">
        <v>70</v>
      </c>
      <c r="AS200" s="4" t="s">
        <v>71</v>
      </c>
      <c r="AT200" s="4" t="s">
        <v>71</v>
      </c>
      <c r="AU200" s="4" t="s">
        <v>73</v>
      </c>
      <c r="AV200" s="4" t="s">
        <v>70</v>
      </c>
      <c r="AW200" s="4" t="s">
        <v>70</v>
      </c>
      <c r="AX200" s="4" t="s">
        <v>70</v>
      </c>
      <c r="AY200" s="4" t="s">
        <v>72</v>
      </c>
      <c r="AZ200" s="4" t="s">
        <v>71</v>
      </c>
      <c r="BA200" s="4" t="s">
        <v>70</v>
      </c>
      <c r="BB200" s="4" t="s">
        <v>73</v>
      </c>
      <c r="BC200" s="4" t="s">
        <v>70</v>
      </c>
      <c r="BD200" s="4" t="s">
        <v>70</v>
      </c>
      <c r="BE200" s="4" t="s">
        <v>72</v>
      </c>
      <c r="BF200" s="4" t="s">
        <v>72</v>
      </c>
      <c r="BG200" s="4" t="s">
        <v>72</v>
      </c>
      <c r="BH200" s="4" t="s">
        <v>71</v>
      </c>
      <c r="BI200" s="4" t="s">
        <v>70</v>
      </c>
      <c r="BJ200" s="4" t="s">
        <v>73</v>
      </c>
      <c r="BK200" s="4" t="s">
        <v>72</v>
      </c>
      <c r="BL200" s="4" t="s">
        <v>71</v>
      </c>
      <c r="BM200" s="4" t="s">
        <v>71</v>
      </c>
      <c r="BN200" s="4" t="s">
        <v>71</v>
      </c>
      <c r="BO200" s="4" t="s">
        <v>71</v>
      </c>
      <c r="BP200" s="4" t="s">
        <v>70</v>
      </c>
      <c r="BQ200" s="4" t="s">
        <v>72</v>
      </c>
      <c r="BR200" s="4" t="s">
        <v>73</v>
      </c>
      <c r="BS200" s="4" t="s">
        <v>71</v>
      </c>
      <c r="BT200" s="4" t="s">
        <v>70</v>
      </c>
      <c r="BU200" s="4" t="s">
        <v>70</v>
      </c>
      <c r="BV200" s="4" t="s">
        <v>70</v>
      </c>
      <c r="BW200" s="4" t="s">
        <v>71</v>
      </c>
      <c r="BX200" s="4" t="s">
        <v>71</v>
      </c>
    </row>
    <row r="201" spans="1:76">
      <c r="A201" s="4" t="s">
        <v>355</v>
      </c>
      <c r="B201" s="4" t="s">
        <v>370</v>
      </c>
      <c r="C201" s="4" t="s">
        <v>125</v>
      </c>
      <c r="D201" s="4" t="s">
        <v>97</v>
      </c>
      <c r="E201" s="4" t="s">
        <v>70</v>
      </c>
      <c r="F201" s="4" t="s">
        <v>70</v>
      </c>
      <c r="G201" s="4" t="s">
        <v>71</v>
      </c>
      <c r="H201" s="4" t="s">
        <v>73</v>
      </c>
      <c r="I201" s="4" t="s">
        <v>70</v>
      </c>
      <c r="J201" s="4" t="s">
        <v>73</v>
      </c>
      <c r="K201" s="4" t="s">
        <v>70</v>
      </c>
      <c r="L201" s="4" t="s">
        <v>72</v>
      </c>
      <c r="M201" s="4" t="s">
        <v>70</v>
      </c>
      <c r="N201" s="4" t="s">
        <v>70</v>
      </c>
      <c r="O201" s="4" t="s">
        <v>72</v>
      </c>
      <c r="P201" s="4" t="s">
        <v>70</v>
      </c>
      <c r="Q201" s="4" t="s">
        <v>71</v>
      </c>
      <c r="R201" s="4" t="s">
        <v>73</v>
      </c>
      <c r="S201" s="4" t="s">
        <v>70</v>
      </c>
      <c r="T201" s="10" t="s">
        <v>77</v>
      </c>
      <c r="U201" s="4" t="s">
        <v>71</v>
      </c>
      <c r="V201" s="4" t="s">
        <v>70</v>
      </c>
      <c r="W201" s="4" t="s">
        <v>70</v>
      </c>
      <c r="X201" s="4" t="s">
        <v>73</v>
      </c>
      <c r="Y201" s="4" t="s">
        <v>73</v>
      </c>
      <c r="Z201" s="4" t="s">
        <v>70</v>
      </c>
      <c r="AA201" s="4" t="s">
        <v>71</v>
      </c>
      <c r="AB201" s="4" t="s">
        <v>70</v>
      </c>
      <c r="AC201" s="4" t="s">
        <v>72</v>
      </c>
      <c r="AD201" s="4" t="s">
        <v>70</v>
      </c>
      <c r="AE201" s="4" t="s">
        <v>71</v>
      </c>
      <c r="AF201" s="4" t="s">
        <v>72</v>
      </c>
      <c r="AG201" s="4" t="s">
        <v>70</v>
      </c>
      <c r="AH201" s="4" t="s">
        <v>70</v>
      </c>
      <c r="AI201" s="4" t="s">
        <v>70</v>
      </c>
      <c r="AJ201" s="4" t="s">
        <v>71</v>
      </c>
      <c r="AK201" s="4" t="s">
        <v>71</v>
      </c>
      <c r="AL201" s="4" t="s">
        <v>71</v>
      </c>
      <c r="AM201" s="4" t="s">
        <v>70</v>
      </c>
      <c r="AN201" s="4" t="s">
        <v>72</v>
      </c>
      <c r="AO201" s="4" t="s">
        <v>73</v>
      </c>
      <c r="AP201" s="4" t="s">
        <v>73</v>
      </c>
      <c r="AQ201" s="4" t="s">
        <v>71</v>
      </c>
      <c r="AR201" s="4" t="s">
        <v>71</v>
      </c>
      <c r="AS201" s="4" t="s">
        <v>71</v>
      </c>
      <c r="AT201" s="4" t="s">
        <v>73</v>
      </c>
      <c r="AU201" s="4" t="s">
        <v>70</v>
      </c>
      <c r="AV201" s="4" t="s">
        <v>73</v>
      </c>
      <c r="AW201" s="4" t="s">
        <v>70</v>
      </c>
      <c r="AX201" s="4" t="s">
        <v>70</v>
      </c>
      <c r="AY201" s="4" t="s">
        <v>72</v>
      </c>
      <c r="AZ201" s="4" t="s">
        <v>71</v>
      </c>
      <c r="BA201" s="4" t="s">
        <v>73</v>
      </c>
      <c r="BB201" s="4" t="s">
        <v>73</v>
      </c>
      <c r="BC201" s="4" t="s">
        <v>72</v>
      </c>
      <c r="BD201" s="4" t="s">
        <v>70</v>
      </c>
      <c r="BE201" s="4" t="s">
        <v>70</v>
      </c>
      <c r="BF201" s="4" t="s">
        <v>73</v>
      </c>
      <c r="BG201" s="4" t="s">
        <v>72</v>
      </c>
      <c r="BH201" s="4" t="s">
        <v>71</v>
      </c>
      <c r="BI201" s="4" t="s">
        <v>70</v>
      </c>
      <c r="BJ201" s="4" t="s">
        <v>73</v>
      </c>
      <c r="BK201" s="4" t="s">
        <v>73</v>
      </c>
      <c r="BL201" s="4" t="s">
        <v>70</v>
      </c>
      <c r="BM201" s="4" t="s">
        <v>71</v>
      </c>
      <c r="BN201" s="4" t="s">
        <v>71</v>
      </c>
      <c r="BO201" s="4" t="s">
        <v>73</v>
      </c>
      <c r="BP201" s="4" t="s">
        <v>72</v>
      </c>
      <c r="BQ201" s="4" t="s">
        <v>71</v>
      </c>
      <c r="BR201" s="4" t="s">
        <v>71</v>
      </c>
      <c r="BS201" s="4" t="s">
        <v>72</v>
      </c>
      <c r="BT201" s="4" t="s">
        <v>72</v>
      </c>
      <c r="BU201" s="4" t="s">
        <v>70</v>
      </c>
      <c r="BV201" s="4" t="s">
        <v>70</v>
      </c>
      <c r="BW201" s="4" t="s">
        <v>71</v>
      </c>
      <c r="BX201" s="4" t="s">
        <v>72</v>
      </c>
    </row>
    <row r="202" spans="1:76">
      <c r="A202" s="4" t="s">
        <v>355</v>
      </c>
      <c r="B202" s="4" t="s">
        <v>371</v>
      </c>
      <c r="C202" s="4" t="s">
        <v>125</v>
      </c>
      <c r="D202" s="4" t="s">
        <v>173</v>
      </c>
      <c r="E202" s="4" t="s">
        <v>70</v>
      </c>
      <c r="F202" s="4" t="s">
        <v>71</v>
      </c>
      <c r="G202" s="4" t="s">
        <v>72</v>
      </c>
      <c r="H202" s="4" t="s">
        <v>71</v>
      </c>
      <c r="I202" s="4" t="s">
        <v>72</v>
      </c>
      <c r="J202" s="4" t="s">
        <v>72</v>
      </c>
      <c r="K202" s="4" t="s">
        <v>70</v>
      </c>
      <c r="L202" s="4" t="s">
        <v>72</v>
      </c>
      <c r="M202" s="4" t="s">
        <v>73</v>
      </c>
      <c r="N202" s="4" t="s">
        <v>70</v>
      </c>
      <c r="O202" s="4" t="s">
        <v>71</v>
      </c>
      <c r="P202" s="4" t="s">
        <v>72</v>
      </c>
      <c r="Q202" s="4" t="s">
        <v>71</v>
      </c>
      <c r="R202" s="4" t="s">
        <v>73</v>
      </c>
      <c r="S202" s="4" t="s">
        <v>70</v>
      </c>
      <c r="T202" s="10" t="s">
        <v>77</v>
      </c>
      <c r="U202" s="4" t="s">
        <v>72</v>
      </c>
      <c r="V202" s="4" t="s">
        <v>70</v>
      </c>
      <c r="W202" s="4" t="s">
        <v>70</v>
      </c>
      <c r="X202" s="4" t="s">
        <v>72</v>
      </c>
      <c r="Y202" s="4" t="s">
        <v>73</v>
      </c>
      <c r="Z202" s="4" t="s">
        <v>70</v>
      </c>
      <c r="AA202" s="4" t="s">
        <v>73</v>
      </c>
      <c r="AB202" s="4" t="s">
        <v>70</v>
      </c>
      <c r="AC202" s="4" t="s">
        <v>71</v>
      </c>
      <c r="AD202" s="4" t="s">
        <v>70</v>
      </c>
      <c r="AE202" s="4" t="s">
        <v>71</v>
      </c>
      <c r="AF202" s="4" t="s">
        <v>72</v>
      </c>
      <c r="AG202" s="4" t="s">
        <v>72</v>
      </c>
      <c r="AH202" s="4" t="s">
        <v>70</v>
      </c>
      <c r="AI202" s="4" t="s">
        <v>71</v>
      </c>
      <c r="AJ202" s="4" t="s">
        <v>71</v>
      </c>
      <c r="AK202" s="4" t="s">
        <v>72</v>
      </c>
      <c r="AL202" s="4" t="s">
        <v>73</v>
      </c>
      <c r="AM202" s="4" t="s">
        <v>70</v>
      </c>
      <c r="AN202" s="4" t="s">
        <v>72</v>
      </c>
      <c r="AO202" s="4" t="s">
        <v>73</v>
      </c>
      <c r="AP202" s="4" t="s">
        <v>73</v>
      </c>
      <c r="AQ202" s="4" t="s">
        <v>70</v>
      </c>
      <c r="AR202" s="4" t="s">
        <v>71</v>
      </c>
      <c r="AS202" s="4" t="s">
        <v>73</v>
      </c>
      <c r="AT202" s="4" t="s">
        <v>73</v>
      </c>
      <c r="AU202" s="4" t="s">
        <v>70</v>
      </c>
      <c r="AV202" s="4" t="s">
        <v>73</v>
      </c>
      <c r="AW202" s="4" t="s">
        <v>70</v>
      </c>
      <c r="AX202" s="4" t="s">
        <v>70</v>
      </c>
      <c r="AY202" s="4" t="s">
        <v>71</v>
      </c>
      <c r="AZ202" s="4" t="s">
        <v>71</v>
      </c>
      <c r="BA202" s="4" t="s">
        <v>71</v>
      </c>
      <c r="BB202" s="4" t="s">
        <v>73</v>
      </c>
      <c r="BC202" s="4" t="s">
        <v>70</v>
      </c>
      <c r="BD202" s="4" t="s">
        <v>72</v>
      </c>
      <c r="BE202" s="4" t="s">
        <v>70</v>
      </c>
      <c r="BF202" s="4" t="s">
        <v>72</v>
      </c>
      <c r="BG202" s="4" t="s">
        <v>72</v>
      </c>
      <c r="BH202" s="4" t="s">
        <v>71</v>
      </c>
      <c r="BI202" s="4" t="s">
        <v>73</v>
      </c>
      <c r="BJ202" s="4" t="s">
        <v>73</v>
      </c>
      <c r="BK202" s="4" t="s">
        <v>70</v>
      </c>
      <c r="BL202" s="4" t="s">
        <v>72</v>
      </c>
      <c r="BM202" s="4" t="s">
        <v>71</v>
      </c>
      <c r="BN202" s="4" t="s">
        <v>73</v>
      </c>
      <c r="BO202" s="4" t="s">
        <v>71</v>
      </c>
      <c r="BP202" s="4" t="s">
        <v>72</v>
      </c>
      <c r="BQ202" s="4" t="s">
        <v>70</v>
      </c>
      <c r="BR202" s="4" t="s">
        <v>71</v>
      </c>
      <c r="BS202" s="4" t="s">
        <v>72</v>
      </c>
      <c r="BT202" s="4" t="s">
        <v>70</v>
      </c>
      <c r="BU202" s="4" t="s">
        <v>70</v>
      </c>
      <c r="BV202" s="4" t="s">
        <v>73</v>
      </c>
      <c r="BW202" s="4" t="s">
        <v>70</v>
      </c>
      <c r="BX202" s="4" t="s">
        <v>71</v>
      </c>
    </row>
    <row r="203" spans="1:7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row>
    <row r="204" spans="1:7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row>
    <row r="205" spans="1:76" ht="15.75">
      <c r="A205" s="2" t="s">
        <v>372</v>
      </c>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row>
    <row r="206" spans="1:76">
      <c r="A206" s="4" t="s">
        <v>373</v>
      </c>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row>
    <row r="207" spans="1:76">
      <c r="A207" s="4"/>
      <c r="B207" s="4"/>
      <c r="C207" s="4"/>
      <c r="D207" s="5" t="s">
        <v>374</v>
      </c>
      <c r="E207" s="11">
        <v>1</v>
      </c>
      <c r="F207" s="11">
        <v>2</v>
      </c>
      <c r="G207" s="11">
        <v>3</v>
      </c>
      <c r="H207" s="11">
        <v>4</v>
      </c>
      <c r="I207" s="11">
        <v>5</v>
      </c>
      <c r="J207" s="11">
        <v>6</v>
      </c>
      <c r="K207" s="11">
        <v>7</v>
      </c>
      <c r="L207" s="11">
        <v>8</v>
      </c>
      <c r="M207" s="11">
        <v>9</v>
      </c>
      <c r="N207" s="11">
        <v>10</v>
      </c>
      <c r="O207" s="11">
        <v>11</v>
      </c>
      <c r="P207" s="11">
        <v>12</v>
      </c>
      <c r="Q207" s="11">
        <v>13</v>
      </c>
      <c r="R207" s="11">
        <v>14</v>
      </c>
      <c r="S207" s="11">
        <v>15</v>
      </c>
      <c r="T207" s="11">
        <v>16</v>
      </c>
      <c r="U207" s="11">
        <v>17</v>
      </c>
      <c r="V207" s="11">
        <v>18</v>
      </c>
      <c r="W207" s="11">
        <v>19</v>
      </c>
      <c r="X207" s="11">
        <v>20</v>
      </c>
      <c r="Y207" s="11">
        <v>21</v>
      </c>
      <c r="Z207" s="11">
        <v>22</v>
      </c>
      <c r="AA207" s="11">
        <v>23</v>
      </c>
      <c r="AB207" s="11">
        <v>24</v>
      </c>
      <c r="AC207" s="11">
        <v>25</v>
      </c>
      <c r="AD207" s="11">
        <v>26</v>
      </c>
      <c r="AE207" s="11">
        <v>27</v>
      </c>
      <c r="AF207" s="11">
        <v>28</v>
      </c>
      <c r="AG207" s="11">
        <v>29</v>
      </c>
      <c r="AH207" s="11">
        <v>30</v>
      </c>
      <c r="AI207" s="11">
        <v>31</v>
      </c>
      <c r="AJ207" s="11">
        <v>32</v>
      </c>
      <c r="AK207" s="11">
        <v>33</v>
      </c>
      <c r="AL207" s="11">
        <v>34</v>
      </c>
      <c r="AM207" s="11">
        <v>35</v>
      </c>
      <c r="AN207" s="11">
        <v>36</v>
      </c>
      <c r="AO207" s="11">
        <v>37</v>
      </c>
      <c r="AP207" s="11">
        <v>38</v>
      </c>
      <c r="AQ207" s="11">
        <v>39</v>
      </c>
      <c r="AR207" s="11">
        <v>40</v>
      </c>
      <c r="AS207" s="11">
        <v>41</v>
      </c>
      <c r="AT207" s="11">
        <v>42</v>
      </c>
      <c r="AU207" s="11">
        <v>43</v>
      </c>
      <c r="AV207" s="11">
        <v>44</v>
      </c>
      <c r="AW207" s="11">
        <v>45</v>
      </c>
      <c r="AX207" s="11">
        <v>46</v>
      </c>
      <c r="AY207" s="11">
        <v>47</v>
      </c>
      <c r="AZ207" s="11">
        <v>48</v>
      </c>
      <c r="BA207" s="11">
        <v>49</v>
      </c>
      <c r="BB207" s="11">
        <v>50</v>
      </c>
      <c r="BC207" s="11">
        <v>51</v>
      </c>
      <c r="BD207" s="11">
        <v>52</v>
      </c>
      <c r="BE207" s="11">
        <v>53</v>
      </c>
      <c r="BF207" s="11">
        <v>54</v>
      </c>
      <c r="BG207" s="11">
        <v>55</v>
      </c>
      <c r="BH207" s="11">
        <v>56</v>
      </c>
      <c r="BI207" s="11">
        <v>57</v>
      </c>
      <c r="BJ207" s="11">
        <v>58</v>
      </c>
      <c r="BK207" s="11">
        <v>59</v>
      </c>
      <c r="BL207" s="11">
        <v>60</v>
      </c>
      <c r="BM207" s="11">
        <v>61</v>
      </c>
      <c r="BN207" s="11">
        <v>62</v>
      </c>
      <c r="BO207" s="11">
        <v>63</v>
      </c>
      <c r="BP207" s="11">
        <v>64</v>
      </c>
      <c r="BQ207" s="11">
        <v>65</v>
      </c>
      <c r="BR207" s="11">
        <v>66</v>
      </c>
      <c r="BS207" s="11">
        <v>67</v>
      </c>
      <c r="BT207" s="11">
        <v>68</v>
      </c>
      <c r="BU207" s="11">
        <v>69</v>
      </c>
      <c r="BV207" s="11">
        <v>70</v>
      </c>
      <c r="BW207" s="11">
        <v>71</v>
      </c>
      <c r="BX207" s="11">
        <v>72</v>
      </c>
    </row>
    <row r="208" spans="1:76">
      <c r="A208" s="4"/>
      <c r="B208" s="4"/>
      <c r="C208" s="4"/>
      <c r="D208" s="5" t="s">
        <v>73</v>
      </c>
      <c r="E208" s="12">
        <v>13</v>
      </c>
      <c r="F208" s="12">
        <v>6</v>
      </c>
      <c r="G208" s="12">
        <v>14</v>
      </c>
      <c r="H208" s="12">
        <v>16</v>
      </c>
      <c r="I208" s="12">
        <v>31</v>
      </c>
      <c r="J208" s="12">
        <v>34</v>
      </c>
      <c r="K208" s="12">
        <v>48</v>
      </c>
      <c r="L208" s="12">
        <v>1</v>
      </c>
      <c r="M208" s="12">
        <v>131</v>
      </c>
      <c r="N208" s="12">
        <v>0</v>
      </c>
      <c r="O208" s="12">
        <v>7</v>
      </c>
      <c r="P208" s="12">
        <v>13</v>
      </c>
      <c r="Q208" s="12">
        <v>13</v>
      </c>
      <c r="R208" s="12">
        <v>198</v>
      </c>
      <c r="S208" s="12">
        <v>33</v>
      </c>
      <c r="T208" s="12">
        <v>3</v>
      </c>
      <c r="U208" s="12">
        <v>12</v>
      </c>
      <c r="V208" s="12">
        <v>1</v>
      </c>
      <c r="W208" s="12">
        <v>1</v>
      </c>
      <c r="X208" s="12">
        <v>17</v>
      </c>
      <c r="Y208" s="12">
        <v>179</v>
      </c>
      <c r="Z208" s="12">
        <v>41</v>
      </c>
      <c r="AA208" s="12">
        <v>121</v>
      </c>
      <c r="AB208" s="12">
        <v>37</v>
      </c>
      <c r="AC208" s="12">
        <v>1</v>
      </c>
      <c r="AD208" s="12">
        <v>84</v>
      </c>
      <c r="AE208" s="12">
        <v>24</v>
      </c>
      <c r="AF208" s="12">
        <v>24</v>
      </c>
      <c r="AG208" s="12">
        <v>32</v>
      </c>
      <c r="AH208" s="12">
        <v>0</v>
      </c>
      <c r="AI208" s="12">
        <v>54</v>
      </c>
      <c r="AJ208" s="12">
        <v>6</v>
      </c>
      <c r="AK208" s="12">
        <v>1</v>
      </c>
      <c r="AL208" s="12">
        <v>9</v>
      </c>
      <c r="AM208" s="12">
        <v>62</v>
      </c>
      <c r="AN208" s="12">
        <v>43</v>
      </c>
      <c r="AO208" s="12">
        <v>151</v>
      </c>
      <c r="AP208" s="12">
        <v>147</v>
      </c>
      <c r="AQ208" s="12">
        <v>18</v>
      </c>
      <c r="AR208" s="12">
        <v>1</v>
      </c>
      <c r="AS208" s="12">
        <v>54</v>
      </c>
      <c r="AT208" s="12">
        <v>49</v>
      </c>
      <c r="AU208" s="12">
        <v>45</v>
      </c>
      <c r="AV208" s="12">
        <v>100</v>
      </c>
      <c r="AW208" s="12">
        <v>15</v>
      </c>
      <c r="AX208" s="12">
        <v>16</v>
      </c>
      <c r="AY208" s="12">
        <v>26</v>
      </c>
      <c r="AZ208" s="12">
        <v>1</v>
      </c>
      <c r="BA208" s="12">
        <v>31</v>
      </c>
      <c r="BB208" s="12">
        <v>23</v>
      </c>
      <c r="BC208" s="12">
        <v>28</v>
      </c>
      <c r="BD208" s="12">
        <v>26</v>
      </c>
      <c r="BE208" s="12">
        <v>1</v>
      </c>
      <c r="BF208" s="12">
        <v>2</v>
      </c>
      <c r="BG208" s="12">
        <v>1</v>
      </c>
      <c r="BH208" s="12">
        <v>2</v>
      </c>
      <c r="BI208" s="12">
        <v>77</v>
      </c>
      <c r="BJ208" s="12">
        <v>198</v>
      </c>
      <c r="BK208" s="12">
        <v>91</v>
      </c>
      <c r="BL208" s="12">
        <v>1</v>
      </c>
      <c r="BM208" s="12">
        <v>0</v>
      </c>
      <c r="BN208" s="12">
        <v>3</v>
      </c>
      <c r="BO208" s="12">
        <v>23</v>
      </c>
      <c r="BP208" s="12">
        <v>33</v>
      </c>
      <c r="BQ208" s="12">
        <v>9</v>
      </c>
      <c r="BR208" s="12">
        <v>43</v>
      </c>
      <c r="BS208" s="12">
        <v>42</v>
      </c>
      <c r="BT208" s="12">
        <v>15</v>
      </c>
      <c r="BU208" s="12">
        <v>25</v>
      </c>
      <c r="BV208" s="12">
        <v>23</v>
      </c>
      <c r="BW208" s="12">
        <v>5</v>
      </c>
      <c r="BX208" s="12">
        <v>16</v>
      </c>
    </row>
    <row r="209" spans="1:76">
      <c r="A209" s="4"/>
      <c r="B209" s="4"/>
      <c r="C209" s="4"/>
      <c r="D209" s="5" t="s">
        <v>71</v>
      </c>
      <c r="E209" s="12">
        <v>22</v>
      </c>
      <c r="F209" s="12">
        <v>82</v>
      </c>
      <c r="G209" s="12">
        <v>77</v>
      </c>
      <c r="H209" s="12">
        <v>61</v>
      </c>
      <c r="I209" s="12">
        <v>79</v>
      </c>
      <c r="J209" s="12">
        <v>65</v>
      </c>
      <c r="K209" s="12">
        <v>3</v>
      </c>
      <c r="L209" s="12">
        <v>0</v>
      </c>
      <c r="M209" s="12">
        <v>7</v>
      </c>
      <c r="N209" s="12">
        <v>8</v>
      </c>
      <c r="O209" s="12">
        <v>147</v>
      </c>
      <c r="P209" s="12">
        <v>29</v>
      </c>
      <c r="Q209" s="12">
        <v>130</v>
      </c>
      <c r="R209" s="12">
        <v>1</v>
      </c>
      <c r="S209" s="12">
        <v>2</v>
      </c>
      <c r="T209" s="12">
        <v>48</v>
      </c>
      <c r="U209" s="12">
        <v>63</v>
      </c>
      <c r="V209" s="12">
        <v>0</v>
      </c>
      <c r="W209" s="12">
        <v>0</v>
      </c>
      <c r="X209" s="12">
        <v>45</v>
      </c>
      <c r="Y209" s="12">
        <v>4</v>
      </c>
      <c r="Z209" s="12">
        <v>0</v>
      </c>
      <c r="AA209" s="12">
        <v>38</v>
      </c>
      <c r="AB209" s="12">
        <v>6</v>
      </c>
      <c r="AC209" s="12">
        <v>178</v>
      </c>
      <c r="AD209" s="12">
        <v>5</v>
      </c>
      <c r="AE209" s="12">
        <v>93</v>
      </c>
      <c r="AF209" s="12">
        <v>103</v>
      </c>
      <c r="AG209" s="12">
        <v>36</v>
      </c>
      <c r="AH209" s="12">
        <v>43</v>
      </c>
      <c r="AI209" s="12">
        <v>72</v>
      </c>
      <c r="AJ209" s="12">
        <v>135</v>
      </c>
      <c r="AK209" s="12">
        <v>1</v>
      </c>
      <c r="AL209" s="12">
        <v>66</v>
      </c>
      <c r="AM209" s="12">
        <v>46</v>
      </c>
      <c r="AN209" s="12">
        <v>53</v>
      </c>
      <c r="AO209" s="12">
        <v>1</v>
      </c>
      <c r="AP209" s="12">
        <v>29</v>
      </c>
      <c r="AQ209" s="12">
        <v>51</v>
      </c>
      <c r="AR209" s="12">
        <v>143</v>
      </c>
      <c r="AS209" s="12">
        <v>77</v>
      </c>
      <c r="AT209" s="12">
        <v>20</v>
      </c>
      <c r="AU209" s="12">
        <v>23</v>
      </c>
      <c r="AV209" s="12">
        <v>31</v>
      </c>
      <c r="AW209" s="12">
        <v>5</v>
      </c>
      <c r="AX209" s="12">
        <v>4</v>
      </c>
      <c r="AY209" s="12">
        <v>23</v>
      </c>
      <c r="AZ209" s="12">
        <v>168</v>
      </c>
      <c r="BA209" s="12">
        <v>57</v>
      </c>
      <c r="BB209" s="12">
        <v>87</v>
      </c>
      <c r="BC209" s="12">
        <v>41</v>
      </c>
      <c r="BD209" s="12">
        <v>2</v>
      </c>
      <c r="BE209" s="12">
        <v>1</v>
      </c>
      <c r="BF209" s="12">
        <v>0</v>
      </c>
      <c r="BG209" s="12">
        <v>1</v>
      </c>
      <c r="BH209" s="12">
        <v>196</v>
      </c>
      <c r="BI209" s="12">
        <v>0</v>
      </c>
      <c r="BJ209" s="12">
        <v>1</v>
      </c>
      <c r="BK209" s="12">
        <v>12</v>
      </c>
      <c r="BL209" s="12">
        <v>40</v>
      </c>
      <c r="BM209" s="12">
        <v>198</v>
      </c>
      <c r="BN209" s="12">
        <v>169</v>
      </c>
      <c r="BO209" s="12">
        <v>97</v>
      </c>
      <c r="BP209" s="12">
        <v>42</v>
      </c>
      <c r="BQ209" s="12">
        <v>63</v>
      </c>
      <c r="BR209" s="12">
        <v>105</v>
      </c>
      <c r="BS209" s="12">
        <v>45</v>
      </c>
      <c r="BT209" s="12">
        <v>62</v>
      </c>
      <c r="BU209" s="12">
        <v>88</v>
      </c>
      <c r="BV209" s="12">
        <v>72</v>
      </c>
      <c r="BW209" s="12">
        <v>104</v>
      </c>
      <c r="BX209" s="12">
        <v>145</v>
      </c>
    </row>
    <row r="210" spans="1:76">
      <c r="A210" s="4"/>
      <c r="B210" s="4"/>
      <c r="C210" s="4"/>
      <c r="D210" s="5" t="s">
        <v>70</v>
      </c>
      <c r="E210" s="12">
        <v>152</v>
      </c>
      <c r="F210" s="12">
        <v>106</v>
      </c>
      <c r="G210" s="12">
        <v>86</v>
      </c>
      <c r="H210" s="12">
        <v>89</v>
      </c>
      <c r="I210" s="12">
        <v>69</v>
      </c>
      <c r="J210" s="12">
        <v>48</v>
      </c>
      <c r="K210" s="12">
        <v>105</v>
      </c>
      <c r="L210" s="12">
        <v>1</v>
      </c>
      <c r="M210" s="12">
        <v>61</v>
      </c>
      <c r="N210" s="12">
        <v>192</v>
      </c>
      <c r="O210" s="12">
        <v>6</v>
      </c>
      <c r="P210" s="12">
        <v>38</v>
      </c>
      <c r="Q210" s="12">
        <v>19</v>
      </c>
      <c r="R210" s="12">
        <v>1</v>
      </c>
      <c r="S210" s="12">
        <v>162</v>
      </c>
      <c r="T210" s="12">
        <v>3</v>
      </c>
      <c r="U210" s="12">
        <v>8</v>
      </c>
      <c r="V210" s="12">
        <v>199</v>
      </c>
      <c r="W210" s="12">
        <v>197</v>
      </c>
      <c r="X210" s="12">
        <v>18</v>
      </c>
      <c r="Y210" s="12">
        <v>7</v>
      </c>
      <c r="Z210" s="12">
        <v>145</v>
      </c>
      <c r="AA210" s="12">
        <v>29</v>
      </c>
      <c r="AB210" s="12">
        <v>150</v>
      </c>
      <c r="AC210" s="12">
        <v>7</v>
      </c>
      <c r="AD210" s="12">
        <v>100</v>
      </c>
      <c r="AE210" s="12">
        <v>31</v>
      </c>
      <c r="AF210" s="12">
        <v>22</v>
      </c>
      <c r="AG210" s="12">
        <v>77</v>
      </c>
      <c r="AH210" s="12">
        <v>150</v>
      </c>
      <c r="AI210" s="12">
        <v>55</v>
      </c>
      <c r="AJ210" s="12">
        <v>0</v>
      </c>
      <c r="AK210" s="12">
        <v>0</v>
      </c>
      <c r="AL210" s="12">
        <v>67</v>
      </c>
      <c r="AM210" s="12">
        <v>51</v>
      </c>
      <c r="AN210" s="12">
        <v>32</v>
      </c>
      <c r="AO210" s="12">
        <v>48</v>
      </c>
      <c r="AP210" s="12">
        <v>1</v>
      </c>
      <c r="AQ210" s="12">
        <v>72</v>
      </c>
      <c r="AR210" s="12">
        <v>48</v>
      </c>
      <c r="AS210" s="12">
        <v>36</v>
      </c>
      <c r="AT210" s="12">
        <v>105</v>
      </c>
      <c r="AU210" s="12">
        <v>100</v>
      </c>
      <c r="AV210" s="12">
        <v>46</v>
      </c>
      <c r="AW210" s="12">
        <v>150</v>
      </c>
      <c r="AX210" s="12">
        <v>137</v>
      </c>
      <c r="AY210" s="12">
        <v>16</v>
      </c>
      <c r="AZ210" s="12">
        <v>2</v>
      </c>
      <c r="BA210" s="12">
        <v>101</v>
      </c>
      <c r="BB210" s="12">
        <v>54</v>
      </c>
      <c r="BC210" s="12">
        <v>99</v>
      </c>
      <c r="BD210" s="12">
        <v>168</v>
      </c>
      <c r="BE210" s="12">
        <v>196</v>
      </c>
      <c r="BF210" s="12">
        <v>0</v>
      </c>
      <c r="BG210" s="12">
        <v>1</v>
      </c>
      <c r="BH210" s="12">
        <v>1</v>
      </c>
      <c r="BI210" s="12">
        <v>121</v>
      </c>
      <c r="BJ210" s="12">
        <v>0</v>
      </c>
      <c r="BK210" s="12">
        <v>47</v>
      </c>
      <c r="BL210" s="12">
        <v>2</v>
      </c>
      <c r="BM210" s="12">
        <v>1</v>
      </c>
      <c r="BN210" s="12">
        <v>2</v>
      </c>
      <c r="BO210" s="12">
        <v>48</v>
      </c>
      <c r="BP210" s="12">
        <v>92</v>
      </c>
      <c r="BQ210" s="12">
        <v>57</v>
      </c>
      <c r="BR210" s="12">
        <v>2</v>
      </c>
      <c r="BS210" s="12">
        <v>75</v>
      </c>
      <c r="BT210" s="12">
        <v>87</v>
      </c>
      <c r="BU210" s="12">
        <v>70</v>
      </c>
      <c r="BV210" s="12">
        <v>75</v>
      </c>
      <c r="BW210" s="12">
        <v>82</v>
      </c>
      <c r="BX210" s="12">
        <v>18</v>
      </c>
    </row>
    <row r="211" spans="1:76">
      <c r="A211" s="4"/>
      <c r="B211" s="4"/>
      <c r="C211" s="4"/>
      <c r="D211" s="5" t="s">
        <v>72</v>
      </c>
      <c r="E211" s="12">
        <v>13</v>
      </c>
      <c r="F211" s="12">
        <v>6</v>
      </c>
      <c r="G211" s="12">
        <v>23</v>
      </c>
      <c r="H211" s="12">
        <v>34</v>
      </c>
      <c r="I211" s="12">
        <v>21</v>
      </c>
      <c r="J211" s="12">
        <v>53</v>
      </c>
      <c r="K211" s="12">
        <v>44</v>
      </c>
      <c r="L211" s="12">
        <v>198</v>
      </c>
      <c r="M211" s="12">
        <v>0</v>
      </c>
      <c r="N211" s="12">
        <v>0</v>
      </c>
      <c r="O211" s="12">
        <v>40</v>
      </c>
      <c r="P211" s="12">
        <v>120</v>
      </c>
      <c r="Q211" s="12">
        <v>38</v>
      </c>
      <c r="R211" s="12">
        <v>0</v>
      </c>
      <c r="S211" s="12">
        <v>2</v>
      </c>
      <c r="T211" s="12">
        <v>79</v>
      </c>
      <c r="U211" s="12">
        <v>114</v>
      </c>
      <c r="V211" s="12">
        <v>0</v>
      </c>
      <c r="W211" s="12">
        <v>2</v>
      </c>
      <c r="X211" s="12">
        <v>119</v>
      </c>
      <c r="Y211" s="12">
        <v>10</v>
      </c>
      <c r="Z211" s="12">
        <v>14</v>
      </c>
      <c r="AA211" s="12">
        <v>12</v>
      </c>
      <c r="AB211" s="12">
        <v>7</v>
      </c>
      <c r="AC211" s="12">
        <v>14</v>
      </c>
      <c r="AD211" s="12">
        <v>11</v>
      </c>
      <c r="AE211" s="12">
        <v>52</v>
      </c>
      <c r="AF211" s="12">
        <v>51</v>
      </c>
      <c r="AG211" s="12">
        <v>55</v>
      </c>
      <c r="AH211" s="12">
        <v>7</v>
      </c>
      <c r="AI211" s="12">
        <v>19</v>
      </c>
      <c r="AJ211" s="12">
        <v>59</v>
      </c>
      <c r="AK211" s="12">
        <v>198</v>
      </c>
      <c r="AL211" s="12">
        <v>58</v>
      </c>
      <c r="AM211" s="12">
        <v>41</v>
      </c>
      <c r="AN211" s="12">
        <v>72</v>
      </c>
      <c r="AO211" s="12">
        <v>0</v>
      </c>
      <c r="AP211" s="12">
        <v>23</v>
      </c>
      <c r="AQ211" s="12">
        <v>59</v>
      </c>
      <c r="AR211" s="12">
        <v>8</v>
      </c>
      <c r="AS211" s="12">
        <v>33</v>
      </c>
      <c r="AT211" s="12">
        <v>26</v>
      </c>
      <c r="AU211" s="12">
        <v>32</v>
      </c>
      <c r="AV211" s="12">
        <v>23</v>
      </c>
      <c r="AW211" s="12">
        <v>28</v>
      </c>
      <c r="AX211" s="12">
        <v>12</v>
      </c>
      <c r="AY211" s="12">
        <v>135</v>
      </c>
      <c r="AZ211" s="12">
        <v>29</v>
      </c>
      <c r="BA211" s="12">
        <v>11</v>
      </c>
      <c r="BB211" s="12">
        <v>36</v>
      </c>
      <c r="BC211" s="12">
        <v>31</v>
      </c>
      <c r="BD211" s="12">
        <v>4</v>
      </c>
      <c r="BE211" s="12">
        <v>2</v>
      </c>
      <c r="BF211" s="12">
        <v>198</v>
      </c>
      <c r="BG211" s="12">
        <v>197</v>
      </c>
      <c r="BH211" s="12">
        <v>1</v>
      </c>
      <c r="BI211" s="12">
        <v>1</v>
      </c>
      <c r="BJ211" s="12">
        <v>1</v>
      </c>
      <c r="BK211" s="12">
        <v>50</v>
      </c>
      <c r="BL211" s="12">
        <v>157</v>
      </c>
      <c r="BM211" s="12">
        <v>1</v>
      </c>
      <c r="BN211" s="12">
        <v>26</v>
      </c>
      <c r="BO211" s="12">
        <v>32</v>
      </c>
      <c r="BP211" s="12">
        <v>33</v>
      </c>
      <c r="BQ211" s="12">
        <v>70</v>
      </c>
      <c r="BR211" s="12">
        <v>50</v>
      </c>
      <c r="BS211" s="12">
        <v>38</v>
      </c>
      <c r="BT211" s="12">
        <v>36</v>
      </c>
      <c r="BU211" s="12">
        <v>17</v>
      </c>
      <c r="BV211" s="12">
        <v>30</v>
      </c>
      <c r="BW211" s="12">
        <v>9</v>
      </c>
      <c r="BX211" s="12">
        <v>21</v>
      </c>
    </row>
    <row r="212" spans="1:76">
      <c r="A212" s="4"/>
      <c r="B212" s="4"/>
      <c r="C212" s="4"/>
      <c r="D212" s="5" t="s">
        <v>375</v>
      </c>
      <c r="E212" s="12">
        <v>0</v>
      </c>
      <c r="F212" s="12">
        <v>0</v>
      </c>
      <c r="G212" s="12">
        <v>0</v>
      </c>
      <c r="H212" s="12">
        <v>0</v>
      </c>
      <c r="I212" s="12">
        <v>0</v>
      </c>
      <c r="J212" s="12">
        <v>0</v>
      </c>
      <c r="K212" s="12">
        <v>0</v>
      </c>
      <c r="L212" s="12">
        <v>0</v>
      </c>
      <c r="M212" s="12">
        <v>1</v>
      </c>
      <c r="N212" s="12">
        <v>0</v>
      </c>
      <c r="O212" s="12">
        <v>0</v>
      </c>
      <c r="P212" s="12">
        <v>0</v>
      </c>
      <c r="Q212" s="12">
        <v>0</v>
      </c>
      <c r="R212" s="12">
        <v>0</v>
      </c>
      <c r="S212" s="12">
        <v>1</v>
      </c>
      <c r="T212" s="12">
        <v>67</v>
      </c>
      <c r="U212" s="12">
        <v>3</v>
      </c>
      <c r="V212" s="12">
        <v>0</v>
      </c>
      <c r="W212" s="12">
        <v>0</v>
      </c>
      <c r="X212" s="12">
        <v>1</v>
      </c>
      <c r="Y212" s="12">
        <v>0</v>
      </c>
      <c r="Z212" s="12">
        <v>0</v>
      </c>
      <c r="AA212" s="12">
        <v>0</v>
      </c>
      <c r="AB212" s="12">
        <v>0</v>
      </c>
      <c r="AC212" s="12">
        <v>0</v>
      </c>
      <c r="AD212" s="12">
        <v>0</v>
      </c>
      <c r="AE212" s="12">
        <v>0</v>
      </c>
      <c r="AF212" s="12">
        <v>0</v>
      </c>
      <c r="AG212" s="12">
        <v>0</v>
      </c>
      <c r="AH212" s="12">
        <v>0</v>
      </c>
      <c r="AI212" s="12">
        <v>0</v>
      </c>
      <c r="AJ212" s="12">
        <v>0</v>
      </c>
      <c r="AK212" s="12">
        <v>0</v>
      </c>
      <c r="AL212" s="12">
        <v>0</v>
      </c>
      <c r="AM212" s="12">
        <v>0</v>
      </c>
      <c r="AN212" s="12">
        <v>0</v>
      </c>
      <c r="AO212" s="12">
        <v>0</v>
      </c>
      <c r="AP212" s="12">
        <v>0</v>
      </c>
      <c r="AQ212" s="12">
        <v>0</v>
      </c>
      <c r="AR212" s="12">
        <v>0</v>
      </c>
      <c r="AS212" s="12">
        <v>0</v>
      </c>
      <c r="AT212" s="12">
        <v>0</v>
      </c>
      <c r="AU212" s="12">
        <v>0</v>
      </c>
      <c r="AV212" s="12">
        <v>0</v>
      </c>
      <c r="AW212" s="12">
        <v>2</v>
      </c>
      <c r="AX212" s="12">
        <v>31</v>
      </c>
      <c r="AY212" s="12">
        <v>0</v>
      </c>
      <c r="AZ212" s="12">
        <v>0</v>
      </c>
      <c r="BA212" s="12">
        <v>0</v>
      </c>
      <c r="BB212" s="12">
        <v>0</v>
      </c>
      <c r="BC212" s="12">
        <v>1</v>
      </c>
      <c r="BD212" s="12">
        <v>0</v>
      </c>
      <c r="BE212" s="12">
        <v>0</v>
      </c>
      <c r="BF212" s="12">
        <v>0</v>
      </c>
      <c r="BG212" s="12">
        <v>0</v>
      </c>
      <c r="BH212" s="12">
        <v>0</v>
      </c>
      <c r="BI212" s="12">
        <v>1</v>
      </c>
      <c r="BJ212" s="12">
        <v>0</v>
      </c>
      <c r="BK212" s="12">
        <v>0</v>
      </c>
      <c r="BL212" s="12">
        <v>0</v>
      </c>
      <c r="BM212" s="12">
        <v>0</v>
      </c>
      <c r="BN212" s="12">
        <v>0</v>
      </c>
      <c r="BO212" s="12">
        <v>0</v>
      </c>
      <c r="BP212" s="12">
        <v>0</v>
      </c>
      <c r="BQ212" s="12">
        <v>1</v>
      </c>
      <c r="BR212" s="12">
        <v>0</v>
      </c>
      <c r="BS212" s="12">
        <v>0</v>
      </c>
      <c r="BT212" s="12">
        <v>0</v>
      </c>
      <c r="BU212" s="12">
        <v>0</v>
      </c>
      <c r="BV212" s="12">
        <v>0</v>
      </c>
      <c r="BW212" s="12">
        <v>0</v>
      </c>
      <c r="BX212" s="12">
        <v>0</v>
      </c>
    </row>
    <row r="213" spans="1:76">
      <c r="A213" s="4"/>
      <c r="B213" s="4"/>
      <c r="C213" s="4"/>
      <c r="D213" s="5" t="s">
        <v>376</v>
      </c>
      <c r="E213" s="4">
        <f t="shared" ref="E213:AJ213" si="0">SUM(E208:E211)</f>
        <v>200</v>
      </c>
      <c r="F213" s="4">
        <f t="shared" si="0"/>
        <v>200</v>
      </c>
      <c r="G213" s="4">
        <f t="shared" si="0"/>
        <v>200</v>
      </c>
      <c r="H213" s="4">
        <f t="shared" si="0"/>
        <v>200</v>
      </c>
      <c r="I213" s="4">
        <f t="shared" si="0"/>
        <v>200</v>
      </c>
      <c r="J213" s="4">
        <f t="shared" si="0"/>
        <v>200</v>
      </c>
      <c r="K213" s="4">
        <f t="shared" si="0"/>
        <v>200</v>
      </c>
      <c r="L213" s="4">
        <f t="shared" si="0"/>
        <v>200</v>
      </c>
      <c r="M213" s="4">
        <f t="shared" si="0"/>
        <v>199</v>
      </c>
      <c r="N213" s="4">
        <f t="shared" si="0"/>
        <v>200</v>
      </c>
      <c r="O213" s="4">
        <f t="shared" si="0"/>
        <v>200</v>
      </c>
      <c r="P213" s="4">
        <f t="shared" si="0"/>
        <v>200</v>
      </c>
      <c r="Q213" s="4">
        <f t="shared" si="0"/>
        <v>200</v>
      </c>
      <c r="R213" s="4">
        <f t="shared" si="0"/>
        <v>200</v>
      </c>
      <c r="S213" s="4">
        <f t="shared" si="0"/>
        <v>199</v>
      </c>
      <c r="T213" s="4">
        <f t="shared" si="0"/>
        <v>133</v>
      </c>
      <c r="U213" s="4">
        <f t="shared" si="0"/>
        <v>197</v>
      </c>
      <c r="V213" s="4">
        <f t="shared" si="0"/>
        <v>200</v>
      </c>
      <c r="W213" s="4">
        <f t="shared" si="0"/>
        <v>200</v>
      </c>
      <c r="X213" s="4">
        <f t="shared" si="0"/>
        <v>199</v>
      </c>
      <c r="Y213" s="4">
        <f t="shared" si="0"/>
        <v>200</v>
      </c>
      <c r="Z213" s="4">
        <f t="shared" si="0"/>
        <v>200</v>
      </c>
      <c r="AA213" s="4">
        <f t="shared" si="0"/>
        <v>200</v>
      </c>
      <c r="AB213" s="4">
        <f t="shared" si="0"/>
        <v>200</v>
      </c>
      <c r="AC213" s="4">
        <f t="shared" si="0"/>
        <v>200</v>
      </c>
      <c r="AD213" s="4">
        <f t="shared" si="0"/>
        <v>200</v>
      </c>
      <c r="AE213" s="4">
        <f t="shared" si="0"/>
        <v>200</v>
      </c>
      <c r="AF213" s="4">
        <f t="shared" si="0"/>
        <v>200</v>
      </c>
      <c r="AG213" s="4">
        <f t="shared" si="0"/>
        <v>200</v>
      </c>
      <c r="AH213" s="4">
        <f t="shared" si="0"/>
        <v>200</v>
      </c>
      <c r="AI213" s="4">
        <f t="shared" si="0"/>
        <v>200</v>
      </c>
      <c r="AJ213" s="4">
        <f t="shared" si="0"/>
        <v>200</v>
      </c>
      <c r="AK213" s="4">
        <f t="shared" ref="AK213:BP213" si="1">SUM(AK208:AK211)</f>
        <v>200</v>
      </c>
      <c r="AL213" s="4">
        <f t="shared" si="1"/>
        <v>200</v>
      </c>
      <c r="AM213" s="4">
        <f t="shared" si="1"/>
        <v>200</v>
      </c>
      <c r="AN213" s="4">
        <f t="shared" si="1"/>
        <v>200</v>
      </c>
      <c r="AO213" s="4">
        <f t="shared" si="1"/>
        <v>200</v>
      </c>
      <c r="AP213" s="4">
        <f t="shared" si="1"/>
        <v>200</v>
      </c>
      <c r="AQ213" s="4">
        <f t="shared" si="1"/>
        <v>200</v>
      </c>
      <c r="AR213" s="4">
        <f t="shared" si="1"/>
        <v>200</v>
      </c>
      <c r="AS213" s="4">
        <f t="shared" si="1"/>
        <v>200</v>
      </c>
      <c r="AT213" s="4">
        <f t="shared" si="1"/>
        <v>200</v>
      </c>
      <c r="AU213" s="4">
        <f t="shared" si="1"/>
        <v>200</v>
      </c>
      <c r="AV213" s="4">
        <f t="shared" si="1"/>
        <v>200</v>
      </c>
      <c r="AW213" s="4">
        <f t="shared" si="1"/>
        <v>198</v>
      </c>
      <c r="AX213" s="4">
        <f t="shared" si="1"/>
        <v>169</v>
      </c>
      <c r="AY213" s="4">
        <f t="shared" si="1"/>
        <v>200</v>
      </c>
      <c r="AZ213" s="4">
        <f t="shared" si="1"/>
        <v>200</v>
      </c>
      <c r="BA213" s="4">
        <f t="shared" si="1"/>
        <v>200</v>
      </c>
      <c r="BB213" s="4">
        <f t="shared" si="1"/>
        <v>200</v>
      </c>
      <c r="BC213" s="4">
        <f t="shared" si="1"/>
        <v>199</v>
      </c>
      <c r="BD213" s="4">
        <f t="shared" si="1"/>
        <v>200</v>
      </c>
      <c r="BE213" s="4">
        <f t="shared" si="1"/>
        <v>200</v>
      </c>
      <c r="BF213" s="4">
        <f t="shared" si="1"/>
        <v>200</v>
      </c>
      <c r="BG213" s="4">
        <f t="shared" si="1"/>
        <v>200</v>
      </c>
      <c r="BH213" s="4">
        <f t="shared" si="1"/>
        <v>200</v>
      </c>
      <c r="BI213" s="4">
        <f t="shared" si="1"/>
        <v>199</v>
      </c>
      <c r="BJ213" s="4">
        <f t="shared" si="1"/>
        <v>200</v>
      </c>
      <c r="BK213" s="4">
        <f t="shared" si="1"/>
        <v>200</v>
      </c>
      <c r="BL213" s="4">
        <f t="shared" si="1"/>
        <v>200</v>
      </c>
      <c r="BM213" s="4">
        <f t="shared" si="1"/>
        <v>200</v>
      </c>
      <c r="BN213" s="4">
        <f t="shared" si="1"/>
        <v>200</v>
      </c>
      <c r="BO213" s="4">
        <f t="shared" si="1"/>
        <v>200</v>
      </c>
      <c r="BP213" s="4">
        <f t="shared" si="1"/>
        <v>200</v>
      </c>
      <c r="BQ213" s="4">
        <f t="shared" ref="BQ213:BX213" si="2">SUM(BQ208:BQ211)</f>
        <v>199</v>
      </c>
      <c r="BR213" s="4">
        <f t="shared" si="2"/>
        <v>200</v>
      </c>
      <c r="BS213" s="4">
        <f t="shared" si="2"/>
        <v>200</v>
      </c>
      <c r="BT213" s="4">
        <f t="shared" si="2"/>
        <v>200</v>
      </c>
      <c r="BU213" s="4">
        <f t="shared" si="2"/>
        <v>200</v>
      </c>
      <c r="BV213" s="4">
        <f t="shared" si="2"/>
        <v>200</v>
      </c>
      <c r="BW213" s="4">
        <f t="shared" si="2"/>
        <v>200</v>
      </c>
      <c r="BX213" s="4">
        <f t="shared" si="2"/>
        <v>200</v>
      </c>
    </row>
    <row r="214" spans="1:76">
      <c r="A214" s="4"/>
      <c r="B214" s="4"/>
      <c r="C214" s="4"/>
      <c r="D214" s="5" t="s">
        <v>377</v>
      </c>
      <c r="E214" s="4">
        <f t="shared" ref="E214:AJ214" si="3">E212+E213</f>
        <v>200</v>
      </c>
      <c r="F214" s="4">
        <f t="shared" si="3"/>
        <v>200</v>
      </c>
      <c r="G214" s="4">
        <f t="shared" si="3"/>
        <v>200</v>
      </c>
      <c r="H214" s="4">
        <f t="shared" si="3"/>
        <v>200</v>
      </c>
      <c r="I214" s="4">
        <f t="shared" si="3"/>
        <v>200</v>
      </c>
      <c r="J214" s="4">
        <f t="shared" si="3"/>
        <v>200</v>
      </c>
      <c r="K214" s="4">
        <f t="shared" si="3"/>
        <v>200</v>
      </c>
      <c r="L214" s="4">
        <f t="shared" si="3"/>
        <v>200</v>
      </c>
      <c r="M214" s="4">
        <f t="shared" si="3"/>
        <v>200</v>
      </c>
      <c r="N214" s="4">
        <f t="shared" si="3"/>
        <v>200</v>
      </c>
      <c r="O214" s="4">
        <f t="shared" si="3"/>
        <v>200</v>
      </c>
      <c r="P214" s="4">
        <f t="shared" si="3"/>
        <v>200</v>
      </c>
      <c r="Q214" s="4">
        <f t="shared" si="3"/>
        <v>200</v>
      </c>
      <c r="R214" s="4">
        <f t="shared" si="3"/>
        <v>200</v>
      </c>
      <c r="S214" s="4">
        <f t="shared" si="3"/>
        <v>200</v>
      </c>
      <c r="T214" s="4">
        <f t="shared" si="3"/>
        <v>200</v>
      </c>
      <c r="U214" s="4">
        <f t="shared" si="3"/>
        <v>200</v>
      </c>
      <c r="V214" s="4">
        <f t="shared" si="3"/>
        <v>200</v>
      </c>
      <c r="W214" s="4">
        <f t="shared" si="3"/>
        <v>200</v>
      </c>
      <c r="X214" s="4">
        <f t="shared" si="3"/>
        <v>200</v>
      </c>
      <c r="Y214" s="4">
        <f t="shared" si="3"/>
        <v>200</v>
      </c>
      <c r="Z214" s="4">
        <f t="shared" si="3"/>
        <v>200</v>
      </c>
      <c r="AA214" s="4">
        <f t="shared" si="3"/>
        <v>200</v>
      </c>
      <c r="AB214" s="4">
        <f t="shared" si="3"/>
        <v>200</v>
      </c>
      <c r="AC214" s="4">
        <f t="shared" si="3"/>
        <v>200</v>
      </c>
      <c r="AD214" s="4">
        <f t="shared" si="3"/>
        <v>200</v>
      </c>
      <c r="AE214" s="4">
        <f t="shared" si="3"/>
        <v>200</v>
      </c>
      <c r="AF214" s="4">
        <f t="shared" si="3"/>
        <v>200</v>
      </c>
      <c r="AG214" s="4">
        <f t="shared" si="3"/>
        <v>200</v>
      </c>
      <c r="AH214" s="4">
        <f t="shared" si="3"/>
        <v>200</v>
      </c>
      <c r="AI214" s="4">
        <f t="shared" si="3"/>
        <v>200</v>
      </c>
      <c r="AJ214" s="4">
        <f t="shared" si="3"/>
        <v>200</v>
      </c>
      <c r="AK214" s="4">
        <f t="shared" ref="AK214:BP214" si="4">AK212+AK213</f>
        <v>200</v>
      </c>
      <c r="AL214" s="4">
        <f t="shared" si="4"/>
        <v>200</v>
      </c>
      <c r="AM214" s="4">
        <f t="shared" si="4"/>
        <v>200</v>
      </c>
      <c r="AN214" s="4">
        <f t="shared" si="4"/>
        <v>200</v>
      </c>
      <c r="AO214" s="4">
        <f t="shared" si="4"/>
        <v>200</v>
      </c>
      <c r="AP214" s="4">
        <f t="shared" si="4"/>
        <v>200</v>
      </c>
      <c r="AQ214" s="4">
        <f t="shared" si="4"/>
        <v>200</v>
      </c>
      <c r="AR214" s="4">
        <f t="shared" si="4"/>
        <v>200</v>
      </c>
      <c r="AS214" s="4">
        <f t="shared" si="4"/>
        <v>200</v>
      </c>
      <c r="AT214" s="4">
        <f t="shared" si="4"/>
        <v>200</v>
      </c>
      <c r="AU214" s="4">
        <f t="shared" si="4"/>
        <v>200</v>
      </c>
      <c r="AV214" s="4">
        <f t="shared" si="4"/>
        <v>200</v>
      </c>
      <c r="AW214" s="4">
        <f t="shared" si="4"/>
        <v>200</v>
      </c>
      <c r="AX214" s="4">
        <f t="shared" si="4"/>
        <v>200</v>
      </c>
      <c r="AY214" s="4">
        <f t="shared" si="4"/>
        <v>200</v>
      </c>
      <c r="AZ214" s="4">
        <f t="shared" si="4"/>
        <v>200</v>
      </c>
      <c r="BA214" s="4">
        <f t="shared" si="4"/>
        <v>200</v>
      </c>
      <c r="BB214" s="4">
        <f t="shared" si="4"/>
        <v>200</v>
      </c>
      <c r="BC214" s="4">
        <f t="shared" si="4"/>
        <v>200</v>
      </c>
      <c r="BD214" s="4">
        <f t="shared" si="4"/>
        <v>200</v>
      </c>
      <c r="BE214" s="4">
        <f t="shared" si="4"/>
        <v>200</v>
      </c>
      <c r="BF214" s="4">
        <f t="shared" si="4"/>
        <v>200</v>
      </c>
      <c r="BG214" s="4">
        <f t="shared" si="4"/>
        <v>200</v>
      </c>
      <c r="BH214" s="4">
        <f t="shared" si="4"/>
        <v>200</v>
      </c>
      <c r="BI214" s="4">
        <f t="shared" si="4"/>
        <v>200</v>
      </c>
      <c r="BJ214" s="4">
        <f t="shared" si="4"/>
        <v>200</v>
      </c>
      <c r="BK214" s="4">
        <f t="shared" si="4"/>
        <v>200</v>
      </c>
      <c r="BL214" s="4">
        <f t="shared" si="4"/>
        <v>200</v>
      </c>
      <c r="BM214" s="4">
        <f t="shared" si="4"/>
        <v>200</v>
      </c>
      <c r="BN214" s="4">
        <f t="shared" si="4"/>
        <v>200</v>
      </c>
      <c r="BO214" s="4">
        <f t="shared" si="4"/>
        <v>200</v>
      </c>
      <c r="BP214" s="4">
        <f t="shared" si="4"/>
        <v>200</v>
      </c>
      <c r="BQ214" s="4">
        <f t="shared" ref="BQ214:CV214" si="5">BQ212+BQ213</f>
        <v>200</v>
      </c>
      <c r="BR214" s="4">
        <f t="shared" si="5"/>
        <v>200</v>
      </c>
      <c r="BS214" s="4">
        <f t="shared" si="5"/>
        <v>200</v>
      </c>
      <c r="BT214" s="4">
        <f t="shared" si="5"/>
        <v>200</v>
      </c>
      <c r="BU214" s="4">
        <f t="shared" si="5"/>
        <v>200</v>
      </c>
      <c r="BV214" s="4">
        <f t="shared" si="5"/>
        <v>200</v>
      </c>
      <c r="BW214" s="4">
        <f t="shared" si="5"/>
        <v>200</v>
      </c>
      <c r="BX214" s="4">
        <f t="shared" si="5"/>
        <v>200</v>
      </c>
    </row>
    <row r="215" spans="1:76">
      <c r="A215" s="4"/>
      <c r="B215" s="4"/>
      <c r="C215" s="4"/>
      <c r="D215" s="5" t="s">
        <v>378</v>
      </c>
      <c r="E215" s="4" t="s">
        <v>70</v>
      </c>
      <c r="F215" s="4" t="s">
        <v>70</v>
      </c>
      <c r="G215" s="4" t="s">
        <v>70</v>
      </c>
      <c r="H215" s="4" t="s">
        <v>70</v>
      </c>
      <c r="I215" s="4" t="s">
        <v>71</v>
      </c>
      <c r="J215" s="4" t="s">
        <v>71</v>
      </c>
      <c r="K215" s="4" t="s">
        <v>70</v>
      </c>
      <c r="L215" s="4" t="s">
        <v>72</v>
      </c>
      <c r="M215" s="4" t="s">
        <v>73</v>
      </c>
      <c r="N215" s="4" t="s">
        <v>70</v>
      </c>
      <c r="O215" s="4" t="s">
        <v>71</v>
      </c>
      <c r="P215" s="4" t="s">
        <v>72</v>
      </c>
      <c r="Q215" s="4" t="s">
        <v>71</v>
      </c>
      <c r="R215" s="4" t="s">
        <v>73</v>
      </c>
      <c r="S215" s="4" t="s">
        <v>70</v>
      </c>
      <c r="T215" s="4" t="s">
        <v>72</v>
      </c>
      <c r="U215" s="4" t="s">
        <v>72</v>
      </c>
      <c r="V215" s="4" t="s">
        <v>70</v>
      </c>
      <c r="W215" s="4" t="s">
        <v>70</v>
      </c>
      <c r="X215" s="4" t="s">
        <v>72</v>
      </c>
      <c r="Y215" s="4" t="s">
        <v>73</v>
      </c>
      <c r="Z215" s="4" t="s">
        <v>70</v>
      </c>
      <c r="AA215" s="4" t="s">
        <v>73</v>
      </c>
      <c r="AB215" s="4" t="s">
        <v>70</v>
      </c>
      <c r="AC215" s="4" t="s">
        <v>71</v>
      </c>
      <c r="AD215" s="4" t="s">
        <v>70</v>
      </c>
      <c r="AE215" s="4" t="s">
        <v>71</v>
      </c>
      <c r="AF215" s="4" t="s">
        <v>71</v>
      </c>
      <c r="AG215" s="4" t="s">
        <v>70</v>
      </c>
      <c r="AH215" s="4" t="s">
        <v>70</v>
      </c>
      <c r="AI215" s="4" t="s">
        <v>71</v>
      </c>
      <c r="AJ215" s="4" t="s">
        <v>71</v>
      </c>
      <c r="AK215" s="4" t="s">
        <v>72</v>
      </c>
      <c r="AL215" s="4" t="s">
        <v>70</v>
      </c>
      <c r="AM215" s="4" t="s">
        <v>73</v>
      </c>
      <c r="AN215" s="4" t="s">
        <v>72</v>
      </c>
      <c r="AO215" s="4" t="s">
        <v>73</v>
      </c>
      <c r="AP215" s="4" t="s">
        <v>73</v>
      </c>
      <c r="AQ215" s="4" t="s">
        <v>70</v>
      </c>
      <c r="AR215" s="4" t="s">
        <v>71</v>
      </c>
      <c r="AS215" s="4" t="s">
        <v>71</v>
      </c>
      <c r="AT215" s="4" t="s">
        <v>70</v>
      </c>
      <c r="AU215" s="4" t="s">
        <v>70</v>
      </c>
      <c r="AV215" s="4" t="s">
        <v>73</v>
      </c>
      <c r="AW215" s="4" t="s">
        <v>70</v>
      </c>
      <c r="AX215" s="4" t="s">
        <v>70</v>
      </c>
      <c r="AY215" s="4" t="s">
        <v>72</v>
      </c>
      <c r="AZ215" s="4" t="s">
        <v>71</v>
      </c>
      <c r="BA215" s="4" t="s">
        <v>70</v>
      </c>
      <c r="BB215" s="4" t="s">
        <v>71</v>
      </c>
      <c r="BC215" s="4" t="s">
        <v>70</v>
      </c>
      <c r="BD215" s="4" t="s">
        <v>70</v>
      </c>
      <c r="BE215" s="4" t="s">
        <v>70</v>
      </c>
      <c r="BF215" s="4" t="s">
        <v>72</v>
      </c>
      <c r="BG215" s="4" t="s">
        <v>72</v>
      </c>
      <c r="BH215" s="4" t="s">
        <v>71</v>
      </c>
      <c r="BI215" s="4" t="s">
        <v>70</v>
      </c>
      <c r="BJ215" s="4" t="s">
        <v>73</v>
      </c>
      <c r="BK215" s="4" t="s">
        <v>73</v>
      </c>
      <c r="BL215" s="4" t="s">
        <v>72</v>
      </c>
      <c r="BM215" s="4" t="s">
        <v>71</v>
      </c>
      <c r="BN215" s="4" t="s">
        <v>71</v>
      </c>
      <c r="BO215" s="4" t="s">
        <v>71</v>
      </c>
      <c r="BP215" s="4" t="s">
        <v>70</v>
      </c>
      <c r="BQ215" s="4" t="s">
        <v>72</v>
      </c>
      <c r="BR215" s="4" t="s">
        <v>71</v>
      </c>
      <c r="BS215" s="4" t="s">
        <v>70</v>
      </c>
      <c r="BT215" s="4" t="s">
        <v>70</v>
      </c>
      <c r="BU215" s="4" t="s">
        <v>71</v>
      </c>
      <c r="BV215" s="4" t="s">
        <v>70</v>
      </c>
      <c r="BW215" s="4" t="s">
        <v>71</v>
      </c>
      <c r="BX215" s="4" t="s">
        <v>71</v>
      </c>
    </row>
    <row r="216" spans="1:76">
      <c r="A216" s="4"/>
      <c r="B216" s="4"/>
      <c r="C216" s="4"/>
      <c r="D216" s="5" t="s">
        <v>379</v>
      </c>
      <c r="E216" s="13">
        <f t="shared" ref="E216:AJ216" si="6">MAX(E208:E211)/E213</f>
        <v>0.76</v>
      </c>
      <c r="F216" s="13">
        <f t="shared" si="6"/>
        <v>0.53</v>
      </c>
      <c r="G216" s="13">
        <f t="shared" si="6"/>
        <v>0.43</v>
      </c>
      <c r="H216" s="13">
        <f t="shared" si="6"/>
        <v>0.44500000000000001</v>
      </c>
      <c r="I216" s="13">
        <f t="shared" si="6"/>
        <v>0.39500000000000002</v>
      </c>
      <c r="J216" s="13">
        <f t="shared" si="6"/>
        <v>0.32500000000000001</v>
      </c>
      <c r="K216" s="13">
        <f t="shared" si="6"/>
        <v>0.52500000000000002</v>
      </c>
      <c r="L216" s="13">
        <f t="shared" si="6"/>
        <v>0.99</v>
      </c>
      <c r="M216" s="13">
        <f t="shared" si="6"/>
        <v>0.65829145728643212</v>
      </c>
      <c r="N216" s="13">
        <f t="shared" si="6"/>
        <v>0.96</v>
      </c>
      <c r="O216" s="13">
        <f t="shared" si="6"/>
        <v>0.73499999999999999</v>
      </c>
      <c r="P216" s="13">
        <f t="shared" si="6"/>
        <v>0.6</v>
      </c>
      <c r="Q216" s="13">
        <f t="shared" si="6"/>
        <v>0.65</v>
      </c>
      <c r="R216" s="13">
        <f t="shared" si="6"/>
        <v>0.99</v>
      </c>
      <c r="S216" s="13">
        <f t="shared" si="6"/>
        <v>0.81407035175879394</v>
      </c>
      <c r="T216" s="13">
        <f t="shared" si="6"/>
        <v>0.59398496240601506</v>
      </c>
      <c r="U216" s="13">
        <f t="shared" si="6"/>
        <v>0.57868020304568524</v>
      </c>
      <c r="V216" s="13">
        <f t="shared" si="6"/>
        <v>0.995</v>
      </c>
      <c r="W216" s="13">
        <f t="shared" si="6"/>
        <v>0.98499999999999999</v>
      </c>
      <c r="X216" s="13">
        <f t="shared" si="6"/>
        <v>0.59798994974874375</v>
      </c>
      <c r="Y216" s="13">
        <f t="shared" si="6"/>
        <v>0.89500000000000002</v>
      </c>
      <c r="Z216" s="13">
        <f t="shared" si="6"/>
        <v>0.72499999999999998</v>
      </c>
      <c r="AA216" s="13">
        <f t="shared" si="6"/>
        <v>0.60499999999999998</v>
      </c>
      <c r="AB216" s="13">
        <f t="shared" si="6"/>
        <v>0.75</v>
      </c>
      <c r="AC216" s="13">
        <f t="shared" si="6"/>
        <v>0.89</v>
      </c>
      <c r="AD216" s="13">
        <f t="shared" si="6"/>
        <v>0.5</v>
      </c>
      <c r="AE216" s="13">
        <f t="shared" si="6"/>
        <v>0.46500000000000002</v>
      </c>
      <c r="AF216" s="13">
        <f t="shared" si="6"/>
        <v>0.51500000000000001</v>
      </c>
      <c r="AG216" s="13">
        <f t="shared" si="6"/>
        <v>0.38500000000000001</v>
      </c>
      <c r="AH216" s="13">
        <f t="shared" si="6"/>
        <v>0.75</v>
      </c>
      <c r="AI216" s="13">
        <f t="shared" si="6"/>
        <v>0.36</v>
      </c>
      <c r="AJ216" s="13">
        <f t="shared" si="6"/>
        <v>0.67500000000000004</v>
      </c>
      <c r="AK216" s="13">
        <f t="shared" ref="AK216:BP216" si="7">MAX(AK208:AK211)/AK213</f>
        <v>0.99</v>
      </c>
      <c r="AL216" s="13">
        <f t="shared" si="7"/>
        <v>0.33500000000000002</v>
      </c>
      <c r="AM216" s="13">
        <f t="shared" si="7"/>
        <v>0.31</v>
      </c>
      <c r="AN216" s="13">
        <f t="shared" si="7"/>
        <v>0.36</v>
      </c>
      <c r="AO216" s="13">
        <f t="shared" si="7"/>
        <v>0.755</v>
      </c>
      <c r="AP216" s="13">
        <f t="shared" si="7"/>
        <v>0.73499999999999999</v>
      </c>
      <c r="AQ216" s="13">
        <f t="shared" si="7"/>
        <v>0.36</v>
      </c>
      <c r="AR216" s="13">
        <f t="shared" si="7"/>
        <v>0.71499999999999997</v>
      </c>
      <c r="AS216" s="13">
        <f t="shared" si="7"/>
        <v>0.38500000000000001</v>
      </c>
      <c r="AT216" s="13">
        <f t="shared" si="7"/>
        <v>0.52500000000000002</v>
      </c>
      <c r="AU216" s="13">
        <f t="shared" si="7"/>
        <v>0.5</v>
      </c>
      <c r="AV216" s="13">
        <f t="shared" si="7"/>
        <v>0.5</v>
      </c>
      <c r="AW216" s="13">
        <f t="shared" si="7"/>
        <v>0.75757575757575757</v>
      </c>
      <c r="AX216" s="13">
        <f t="shared" si="7"/>
        <v>0.81065088757396453</v>
      </c>
      <c r="AY216" s="13">
        <f t="shared" si="7"/>
        <v>0.67500000000000004</v>
      </c>
      <c r="AZ216" s="13">
        <f t="shared" si="7"/>
        <v>0.84</v>
      </c>
      <c r="BA216" s="13">
        <f t="shared" si="7"/>
        <v>0.505</v>
      </c>
      <c r="BB216" s="13">
        <f t="shared" si="7"/>
        <v>0.435</v>
      </c>
      <c r="BC216" s="13">
        <f t="shared" si="7"/>
        <v>0.49748743718592964</v>
      </c>
      <c r="BD216" s="13">
        <f t="shared" si="7"/>
        <v>0.84</v>
      </c>
      <c r="BE216" s="13">
        <f t="shared" si="7"/>
        <v>0.98</v>
      </c>
      <c r="BF216" s="13">
        <f t="shared" si="7"/>
        <v>0.99</v>
      </c>
      <c r="BG216" s="13">
        <f t="shared" si="7"/>
        <v>0.98499999999999999</v>
      </c>
      <c r="BH216" s="13">
        <f t="shared" si="7"/>
        <v>0.98</v>
      </c>
      <c r="BI216" s="13">
        <f t="shared" si="7"/>
        <v>0.60804020100502509</v>
      </c>
      <c r="BJ216" s="13">
        <f t="shared" si="7"/>
        <v>0.99</v>
      </c>
      <c r="BK216" s="13">
        <f t="shared" si="7"/>
        <v>0.45500000000000002</v>
      </c>
      <c r="BL216" s="13">
        <f t="shared" si="7"/>
        <v>0.78500000000000003</v>
      </c>
      <c r="BM216" s="13">
        <f t="shared" si="7"/>
        <v>0.99</v>
      </c>
      <c r="BN216" s="13">
        <f t="shared" si="7"/>
        <v>0.84499999999999997</v>
      </c>
      <c r="BO216" s="13">
        <f t="shared" si="7"/>
        <v>0.48499999999999999</v>
      </c>
      <c r="BP216" s="13">
        <f t="shared" si="7"/>
        <v>0.46</v>
      </c>
      <c r="BQ216" s="13">
        <f t="shared" ref="BQ216:BX216" si="8">MAX(BQ208:BQ211)/BQ213</f>
        <v>0.35175879396984927</v>
      </c>
      <c r="BR216" s="13">
        <f t="shared" si="8"/>
        <v>0.52500000000000002</v>
      </c>
      <c r="BS216" s="13">
        <f t="shared" si="8"/>
        <v>0.375</v>
      </c>
      <c r="BT216" s="13">
        <f t="shared" si="8"/>
        <v>0.435</v>
      </c>
      <c r="BU216" s="13">
        <f t="shared" si="8"/>
        <v>0.44</v>
      </c>
      <c r="BV216" s="13">
        <f t="shared" si="8"/>
        <v>0.375</v>
      </c>
      <c r="BW216" s="13">
        <f t="shared" si="8"/>
        <v>0.52</v>
      </c>
      <c r="BX216" s="13">
        <f t="shared" si="8"/>
        <v>0.72499999999999998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dimension ref="A1:H73"/>
  <sheetViews>
    <sheetView workbookViewId="0"/>
  </sheetViews>
  <sheetFormatPr defaultColWidth="8.7109375" defaultRowHeight="15"/>
  <cols>
    <col min="1" max="1" width="10" customWidth="1"/>
    <col min="2" max="5" width="8" customWidth="1"/>
    <col min="6" max="7" width="12" customWidth="1"/>
    <col min="8" max="8" width="18" customWidth="1"/>
  </cols>
  <sheetData>
    <row r="1" spans="1:8">
      <c r="A1" s="9" t="s">
        <v>374</v>
      </c>
      <c r="B1" s="9" t="s">
        <v>73</v>
      </c>
      <c r="C1" s="9" t="s">
        <v>71</v>
      </c>
      <c r="D1" s="9" t="s">
        <v>70</v>
      </c>
      <c r="E1" s="9" t="s">
        <v>72</v>
      </c>
      <c r="F1" s="9" t="s">
        <v>375</v>
      </c>
      <c r="G1" s="9" t="s">
        <v>376</v>
      </c>
      <c r="H1" s="9" t="s">
        <v>380</v>
      </c>
    </row>
    <row r="2" spans="1:8">
      <c r="A2" s="4">
        <v>1</v>
      </c>
      <c r="B2" s="4">
        <f>'Database + Frequency'!E208</f>
        <v>13</v>
      </c>
      <c r="C2" s="4">
        <f>'Database + Frequency'!E209</f>
        <v>22</v>
      </c>
      <c r="D2" s="4">
        <f>'Database + Frequency'!E210</f>
        <v>152</v>
      </c>
      <c r="E2" s="4">
        <f>'Database + Frequency'!E211</f>
        <v>13</v>
      </c>
      <c r="F2" s="4">
        <f>'Database + Frequency'!E212</f>
        <v>0</v>
      </c>
      <c r="G2" s="4">
        <f t="shared" ref="G2:G33" si="0">SUM(B2:E2)</f>
        <v>200</v>
      </c>
      <c r="H2" s="4">
        <f t="shared" ref="H2:H33" si="1">F2+G2</f>
        <v>200</v>
      </c>
    </row>
    <row r="3" spans="1:8">
      <c r="A3" s="4">
        <v>2</v>
      </c>
      <c r="B3" s="4">
        <f>'Database + Frequency'!F208</f>
        <v>6</v>
      </c>
      <c r="C3" s="4">
        <f>'Database + Frequency'!F209</f>
        <v>82</v>
      </c>
      <c r="D3" s="4">
        <f>'Database + Frequency'!F210</f>
        <v>106</v>
      </c>
      <c r="E3" s="4">
        <f>'Database + Frequency'!F211</f>
        <v>6</v>
      </c>
      <c r="F3" s="4">
        <f>'Database + Frequency'!F212</f>
        <v>0</v>
      </c>
      <c r="G3" s="4">
        <f t="shared" si="0"/>
        <v>200</v>
      </c>
      <c r="H3" s="4">
        <f t="shared" si="1"/>
        <v>200</v>
      </c>
    </row>
    <row r="4" spans="1:8">
      <c r="A4" s="4">
        <v>3</v>
      </c>
      <c r="B4" s="4">
        <f>'Database + Frequency'!G208</f>
        <v>14</v>
      </c>
      <c r="C4" s="4">
        <f>'Database + Frequency'!G209</f>
        <v>77</v>
      </c>
      <c r="D4" s="4">
        <f>'Database + Frequency'!G210</f>
        <v>86</v>
      </c>
      <c r="E4" s="4">
        <f>'Database + Frequency'!G211</f>
        <v>23</v>
      </c>
      <c r="F4" s="4">
        <f>'Database + Frequency'!G212</f>
        <v>0</v>
      </c>
      <c r="G4" s="4">
        <f t="shared" si="0"/>
        <v>200</v>
      </c>
      <c r="H4" s="4">
        <f t="shared" si="1"/>
        <v>200</v>
      </c>
    </row>
    <row r="5" spans="1:8">
      <c r="A5" s="4">
        <v>4</v>
      </c>
      <c r="B5" s="4">
        <f>'Database + Frequency'!H208</f>
        <v>16</v>
      </c>
      <c r="C5" s="4">
        <f>'Database + Frequency'!H209</f>
        <v>61</v>
      </c>
      <c r="D5" s="4">
        <f>'Database + Frequency'!H210</f>
        <v>89</v>
      </c>
      <c r="E5" s="4">
        <f>'Database + Frequency'!H211</f>
        <v>34</v>
      </c>
      <c r="F5" s="4">
        <f>'Database + Frequency'!H212</f>
        <v>0</v>
      </c>
      <c r="G5" s="4">
        <f t="shared" si="0"/>
        <v>200</v>
      </c>
      <c r="H5" s="4">
        <f t="shared" si="1"/>
        <v>200</v>
      </c>
    </row>
    <row r="6" spans="1:8">
      <c r="A6" s="4">
        <v>5</v>
      </c>
      <c r="B6" s="4">
        <f>'Database + Frequency'!I208</f>
        <v>31</v>
      </c>
      <c r="C6" s="4">
        <f>'Database + Frequency'!I209</f>
        <v>79</v>
      </c>
      <c r="D6" s="4">
        <f>'Database + Frequency'!I210</f>
        <v>69</v>
      </c>
      <c r="E6" s="4">
        <f>'Database + Frequency'!I211</f>
        <v>21</v>
      </c>
      <c r="F6" s="4">
        <f>'Database + Frequency'!I212</f>
        <v>0</v>
      </c>
      <c r="G6" s="4">
        <f t="shared" si="0"/>
        <v>200</v>
      </c>
      <c r="H6" s="4">
        <f t="shared" si="1"/>
        <v>200</v>
      </c>
    </row>
    <row r="7" spans="1:8">
      <c r="A7" s="4">
        <v>6</v>
      </c>
      <c r="B7" s="4">
        <f>'Database + Frequency'!J208</f>
        <v>34</v>
      </c>
      <c r="C7" s="4">
        <f>'Database + Frequency'!J209</f>
        <v>65</v>
      </c>
      <c r="D7" s="4">
        <f>'Database + Frequency'!J210</f>
        <v>48</v>
      </c>
      <c r="E7" s="4">
        <f>'Database + Frequency'!J211</f>
        <v>53</v>
      </c>
      <c r="F7" s="4">
        <f>'Database + Frequency'!J212</f>
        <v>0</v>
      </c>
      <c r="G7" s="4">
        <f t="shared" si="0"/>
        <v>200</v>
      </c>
      <c r="H7" s="4">
        <f t="shared" si="1"/>
        <v>200</v>
      </c>
    </row>
    <row r="8" spans="1:8">
      <c r="A8" s="4">
        <v>7</v>
      </c>
      <c r="B8" s="4">
        <f>'Database + Frequency'!K208</f>
        <v>48</v>
      </c>
      <c r="C8" s="4">
        <f>'Database + Frequency'!K209</f>
        <v>3</v>
      </c>
      <c r="D8" s="4">
        <f>'Database + Frequency'!K210</f>
        <v>105</v>
      </c>
      <c r="E8" s="4">
        <f>'Database + Frequency'!K211</f>
        <v>44</v>
      </c>
      <c r="F8" s="4">
        <f>'Database + Frequency'!K212</f>
        <v>0</v>
      </c>
      <c r="G8" s="4">
        <f t="shared" si="0"/>
        <v>200</v>
      </c>
      <c r="H8" s="4">
        <f t="shared" si="1"/>
        <v>200</v>
      </c>
    </row>
    <row r="9" spans="1:8">
      <c r="A9" s="4">
        <v>8</v>
      </c>
      <c r="B9" s="4">
        <f>'Database + Frequency'!L208</f>
        <v>1</v>
      </c>
      <c r="C9" s="4">
        <f>'Database + Frequency'!L209</f>
        <v>0</v>
      </c>
      <c r="D9" s="4">
        <f>'Database + Frequency'!L210</f>
        <v>1</v>
      </c>
      <c r="E9" s="4">
        <f>'Database + Frequency'!L211</f>
        <v>198</v>
      </c>
      <c r="F9" s="4">
        <f>'Database + Frequency'!L212</f>
        <v>0</v>
      </c>
      <c r="G9" s="4">
        <f t="shared" si="0"/>
        <v>200</v>
      </c>
      <c r="H9" s="4">
        <f t="shared" si="1"/>
        <v>200</v>
      </c>
    </row>
    <row r="10" spans="1:8">
      <c r="A10" s="4">
        <v>9</v>
      </c>
      <c r="B10" s="4">
        <f>'Database + Frequency'!M208</f>
        <v>131</v>
      </c>
      <c r="C10" s="4">
        <f>'Database + Frequency'!M209</f>
        <v>7</v>
      </c>
      <c r="D10" s="4">
        <f>'Database + Frequency'!M210</f>
        <v>61</v>
      </c>
      <c r="E10" s="4">
        <f>'Database + Frequency'!M211</f>
        <v>0</v>
      </c>
      <c r="F10" s="4">
        <f>'Database + Frequency'!M212</f>
        <v>1</v>
      </c>
      <c r="G10" s="4">
        <f t="shared" si="0"/>
        <v>199</v>
      </c>
      <c r="H10" s="4">
        <f t="shared" si="1"/>
        <v>200</v>
      </c>
    </row>
    <row r="11" spans="1:8">
      <c r="A11" s="4">
        <v>10</v>
      </c>
      <c r="B11" s="4">
        <f>'Database + Frequency'!N208</f>
        <v>0</v>
      </c>
      <c r="C11" s="4">
        <f>'Database + Frequency'!N209</f>
        <v>8</v>
      </c>
      <c r="D11" s="4">
        <f>'Database + Frequency'!N210</f>
        <v>192</v>
      </c>
      <c r="E11" s="4">
        <f>'Database + Frequency'!N211</f>
        <v>0</v>
      </c>
      <c r="F11" s="4">
        <f>'Database + Frequency'!N212</f>
        <v>0</v>
      </c>
      <c r="G11" s="4">
        <f t="shared" si="0"/>
        <v>200</v>
      </c>
      <c r="H11" s="4">
        <f t="shared" si="1"/>
        <v>200</v>
      </c>
    </row>
    <row r="12" spans="1:8">
      <c r="A12" s="4">
        <v>11</v>
      </c>
      <c r="B12" s="4">
        <f>'Database + Frequency'!O208</f>
        <v>7</v>
      </c>
      <c r="C12" s="4">
        <f>'Database + Frequency'!O209</f>
        <v>147</v>
      </c>
      <c r="D12" s="4">
        <f>'Database + Frequency'!O210</f>
        <v>6</v>
      </c>
      <c r="E12" s="4">
        <f>'Database + Frequency'!O211</f>
        <v>40</v>
      </c>
      <c r="F12" s="4">
        <f>'Database + Frequency'!O212</f>
        <v>0</v>
      </c>
      <c r="G12" s="4">
        <f t="shared" si="0"/>
        <v>200</v>
      </c>
      <c r="H12" s="4">
        <f t="shared" si="1"/>
        <v>200</v>
      </c>
    </row>
    <row r="13" spans="1:8">
      <c r="A13" s="4">
        <v>12</v>
      </c>
      <c r="B13" s="4">
        <f>'Database + Frequency'!P208</f>
        <v>13</v>
      </c>
      <c r="C13" s="4">
        <f>'Database + Frequency'!P209</f>
        <v>29</v>
      </c>
      <c r="D13" s="4">
        <f>'Database + Frequency'!P210</f>
        <v>38</v>
      </c>
      <c r="E13" s="4">
        <f>'Database + Frequency'!P211</f>
        <v>120</v>
      </c>
      <c r="F13" s="4">
        <f>'Database + Frequency'!P212</f>
        <v>0</v>
      </c>
      <c r="G13" s="4">
        <f t="shared" si="0"/>
        <v>200</v>
      </c>
      <c r="H13" s="4">
        <f t="shared" si="1"/>
        <v>200</v>
      </c>
    </row>
    <row r="14" spans="1:8">
      <c r="A14" s="4">
        <v>13</v>
      </c>
      <c r="B14" s="4">
        <f>'Database + Frequency'!Q208</f>
        <v>13</v>
      </c>
      <c r="C14" s="4">
        <f>'Database + Frequency'!Q209</f>
        <v>130</v>
      </c>
      <c r="D14" s="4">
        <f>'Database + Frequency'!Q210</f>
        <v>19</v>
      </c>
      <c r="E14" s="4">
        <f>'Database + Frequency'!Q211</f>
        <v>38</v>
      </c>
      <c r="F14" s="4">
        <f>'Database + Frequency'!Q212</f>
        <v>0</v>
      </c>
      <c r="G14" s="4">
        <f t="shared" si="0"/>
        <v>200</v>
      </c>
      <c r="H14" s="4">
        <f t="shared" si="1"/>
        <v>200</v>
      </c>
    </row>
    <row r="15" spans="1:8">
      <c r="A15" s="4">
        <v>14</v>
      </c>
      <c r="B15" s="4">
        <f>'Database + Frequency'!R208</f>
        <v>198</v>
      </c>
      <c r="C15" s="4">
        <f>'Database + Frequency'!R209</f>
        <v>1</v>
      </c>
      <c r="D15" s="4">
        <f>'Database + Frequency'!R210</f>
        <v>1</v>
      </c>
      <c r="E15" s="4">
        <f>'Database + Frequency'!R211</f>
        <v>0</v>
      </c>
      <c r="F15" s="4">
        <f>'Database + Frequency'!R212</f>
        <v>0</v>
      </c>
      <c r="G15" s="4">
        <f t="shared" si="0"/>
        <v>200</v>
      </c>
      <c r="H15" s="4">
        <f t="shared" si="1"/>
        <v>200</v>
      </c>
    </row>
    <row r="16" spans="1:8">
      <c r="A16" s="4">
        <v>15</v>
      </c>
      <c r="B16" s="4">
        <f>'Database + Frequency'!S208</f>
        <v>33</v>
      </c>
      <c r="C16" s="4">
        <f>'Database + Frequency'!S209</f>
        <v>2</v>
      </c>
      <c r="D16" s="4">
        <f>'Database + Frequency'!S210</f>
        <v>162</v>
      </c>
      <c r="E16" s="4">
        <f>'Database + Frequency'!S211</f>
        <v>2</v>
      </c>
      <c r="F16" s="4">
        <f>'Database + Frequency'!S212</f>
        <v>1</v>
      </c>
      <c r="G16" s="4">
        <f t="shared" si="0"/>
        <v>199</v>
      </c>
      <c r="H16" s="4">
        <f t="shared" si="1"/>
        <v>200</v>
      </c>
    </row>
    <row r="17" spans="1:8">
      <c r="A17" s="4">
        <v>16</v>
      </c>
      <c r="B17" s="4">
        <f>'Database + Frequency'!T208</f>
        <v>3</v>
      </c>
      <c r="C17" s="4">
        <f>'Database + Frequency'!T209</f>
        <v>48</v>
      </c>
      <c r="D17" s="4">
        <f>'Database + Frequency'!T210</f>
        <v>3</v>
      </c>
      <c r="E17" s="4">
        <f>'Database + Frequency'!T211</f>
        <v>79</v>
      </c>
      <c r="F17" s="4">
        <f>'Database + Frequency'!T212</f>
        <v>67</v>
      </c>
      <c r="G17" s="4">
        <f t="shared" si="0"/>
        <v>133</v>
      </c>
      <c r="H17" s="4">
        <f t="shared" si="1"/>
        <v>200</v>
      </c>
    </row>
    <row r="18" spans="1:8">
      <c r="A18" s="4">
        <v>17</v>
      </c>
      <c r="B18" s="4">
        <f>'Database + Frequency'!U208</f>
        <v>12</v>
      </c>
      <c r="C18" s="4">
        <f>'Database + Frequency'!U209</f>
        <v>63</v>
      </c>
      <c r="D18" s="4">
        <f>'Database + Frequency'!U210</f>
        <v>8</v>
      </c>
      <c r="E18" s="4">
        <f>'Database + Frequency'!U211</f>
        <v>114</v>
      </c>
      <c r="F18" s="4">
        <f>'Database + Frequency'!U212</f>
        <v>3</v>
      </c>
      <c r="G18" s="4">
        <f t="shared" si="0"/>
        <v>197</v>
      </c>
      <c r="H18" s="4">
        <f t="shared" si="1"/>
        <v>200</v>
      </c>
    </row>
    <row r="19" spans="1:8">
      <c r="A19" s="4">
        <v>18</v>
      </c>
      <c r="B19" s="4">
        <f>'Database + Frequency'!V208</f>
        <v>1</v>
      </c>
      <c r="C19" s="4">
        <f>'Database + Frequency'!V209</f>
        <v>0</v>
      </c>
      <c r="D19" s="4">
        <f>'Database + Frequency'!V210</f>
        <v>199</v>
      </c>
      <c r="E19" s="4">
        <f>'Database + Frequency'!V211</f>
        <v>0</v>
      </c>
      <c r="F19" s="4">
        <f>'Database + Frequency'!V212</f>
        <v>0</v>
      </c>
      <c r="G19" s="4">
        <f t="shared" si="0"/>
        <v>200</v>
      </c>
      <c r="H19" s="4">
        <f t="shared" si="1"/>
        <v>200</v>
      </c>
    </row>
    <row r="20" spans="1:8">
      <c r="A20" s="4">
        <v>19</v>
      </c>
      <c r="B20" s="4">
        <f>'Database + Frequency'!W208</f>
        <v>1</v>
      </c>
      <c r="C20" s="4">
        <f>'Database + Frequency'!W209</f>
        <v>0</v>
      </c>
      <c r="D20" s="4">
        <f>'Database + Frequency'!W210</f>
        <v>197</v>
      </c>
      <c r="E20" s="4">
        <f>'Database + Frequency'!W211</f>
        <v>2</v>
      </c>
      <c r="F20" s="4">
        <f>'Database + Frequency'!W212</f>
        <v>0</v>
      </c>
      <c r="G20" s="4">
        <f t="shared" si="0"/>
        <v>200</v>
      </c>
      <c r="H20" s="4">
        <f t="shared" si="1"/>
        <v>200</v>
      </c>
    </row>
    <row r="21" spans="1:8">
      <c r="A21" s="4">
        <v>20</v>
      </c>
      <c r="B21" s="4">
        <f>'Database + Frequency'!X208</f>
        <v>17</v>
      </c>
      <c r="C21" s="4">
        <f>'Database + Frequency'!X209</f>
        <v>45</v>
      </c>
      <c r="D21" s="4">
        <f>'Database + Frequency'!X210</f>
        <v>18</v>
      </c>
      <c r="E21" s="4">
        <f>'Database + Frequency'!X211</f>
        <v>119</v>
      </c>
      <c r="F21" s="4">
        <f>'Database + Frequency'!X212</f>
        <v>1</v>
      </c>
      <c r="G21" s="4">
        <f t="shared" si="0"/>
        <v>199</v>
      </c>
      <c r="H21" s="4">
        <f t="shared" si="1"/>
        <v>200</v>
      </c>
    </row>
    <row r="22" spans="1:8">
      <c r="A22" s="4">
        <v>21</v>
      </c>
      <c r="B22" s="4">
        <f>'Database + Frequency'!Y208</f>
        <v>179</v>
      </c>
      <c r="C22" s="4">
        <f>'Database + Frequency'!Y209</f>
        <v>4</v>
      </c>
      <c r="D22" s="4">
        <f>'Database + Frequency'!Y210</f>
        <v>7</v>
      </c>
      <c r="E22" s="4">
        <f>'Database + Frequency'!Y211</f>
        <v>10</v>
      </c>
      <c r="F22" s="4">
        <f>'Database + Frequency'!Y212</f>
        <v>0</v>
      </c>
      <c r="G22" s="4">
        <f t="shared" si="0"/>
        <v>200</v>
      </c>
      <c r="H22" s="4">
        <f t="shared" si="1"/>
        <v>200</v>
      </c>
    </row>
    <row r="23" spans="1:8">
      <c r="A23" s="4">
        <v>22</v>
      </c>
      <c r="B23" s="4">
        <f>'Database + Frequency'!Z208</f>
        <v>41</v>
      </c>
      <c r="C23" s="4">
        <f>'Database + Frequency'!Z209</f>
        <v>0</v>
      </c>
      <c r="D23" s="4">
        <f>'Database + Frequency'!Z210</f>
        <v>145</v>
      </c>
      <c r="E23" s="4">
        <f>'Database + Frequency'!Z211</f>
        <v>14</v>
      </c>
      <c r="F23" s="4">
        <f>'Database + Frequency'!Z212</f>
        <v>0</v>
      </c>
      <c r="G23" s="4">
        <f t="shared" si="0"/>
        <v>200</v>
      </c>
      <c r="H23" s="4">
        <f t="shared" si="1"/>
        <v>200</v>
      </c>
    </row>
    <row r="24" spans="1:8">
      <c r="A24" s="4">
        <v>23</v>
      </c>
      <c r="B24" s="4">
        <f>'Database + Frequency'!AA208</f>
        <v>121</v>
      </c>
      <c r="C24" s="4">
        <f>'Database + Frequency'!AA209</f>
        <v>38</v>
      </c>
      <c r="D24" s="4">
        <f>'Database + Frequency'!AA210</f>
        <v>29</v>
      </c>
      <c r="E24" s="4">
        <f>'Database + Frequency'!AA211</f>
        <v>12</v>
      </c>
      <c r="F24" s="4">
        <f>'Database + Frequency'!AA212</f>
        <v>0</v>
      </c>
      <c r="G24" s="4">
        <f t="shared" si="0"/>
        <v>200</v>
      </c>
      <c r="H24" s="4">
        <f t="shared" si="1"/>
        <v>200</v>
      </c>
    </row>
    <row r="25" spans="1:8">
      <c r="A25" s="4">
        <v>24</v>
      </c>
      <c r="B25" s="4">
        <f>'Database + Frequency'!AB208</f>
        <v>37</v>
      </c>
      <c r="C25" s="4">
        <f>'Database + Frequency'!AB209</f>
        <v>6</v>
      </c>
      <c r="D25" s="4">
        <f>'Database + Frequency'!AB210</f>
        <v>150</v>
      </c>
      <c r="E25" s="4">
        <f>'Database + Frequency'!AB211</f>
        <v>7</v>
      </c>
      <c r="F25" s="4">
        <f>'Database + Frequency'!AB212</f>
        <v>0</v>
      </c>
      <c r="G25" s="4">
        <f t="shared" si="0"/>
        <v>200</v>
      </c>
      <c r="H25" s="4">
        <f t="shared" si="1"/>
        <v>200</v>
      </c>
    </row>
    <row r="26" spans="1:8">
      <c r="A26" s="4">
        <v>25</v>
      </c>
      <c r="B26" s="4">
        <f>'Database + Frequency'!AC208</f>
        <v>1</v>
      </c>
      <c r="C26" s="4">
        <f>'Database + Frequency'!AC209</f>
        <v>178</v>
      </c>
      <c r="D26" s="4">
        <f>'Database + Frequency'!AC210</f>
        <v>7</v>
      </c>
      <c r="E26" s="4">
        <f>'Database + Frequency'!AC211</f>
        <v>14</v>
      </c>
      <c r="F26" s="4">
        <f>'Database + Frequency'!AC212</f>
        <v>0</v>
      </c>
      <c r="G26" s="4">
        <f t="shared" si="0"/>
        <v>200</v>
      </c>
      <c r="H26" s="4">
        <f t="shared" si="1"/>
        <v>200</v>
      </c>
    </row>
    <row r="27" spans="1:8">
      <c r="A27" s="4">
        <v>26</v>
      </c>
      <c r="B27" s="4">
        <f>'Database + Frequency'!AD208</f>
        <v>84</v>
      </c>
      <c r="C27" s="4">
        <f>'Database + Frequency'!AD209</f>
        <v>5</v>
      </c>
      <c r="D27" s="4">
        <f>'Database + Frequency'!AD210</f>
        <v>100</v>
      </c>
      <c r="E27" s="4">
        <f>'Database + Frequency'!AD211</f>
        <v>11</v>
      </c>
      <c r="F27" s="4">
        <f>'Database + Frequency'!AD212</f>
        <v>0</v>
      </c>
      <c r="G27" s="4">
        <f t="shared" si="0"/>
        <v>200</v>
      </c>
      <c r="H27" s="4">
        <f t="shared" si="1"/>
        <v>200</v>
      </c>
    </row>
    <row r="28" spans="1:8">
      <c r="A28" s="4">
        <v>27</v>
      </c>
      <c r="B28" s="4">
        <f>'Database + Frequency'!AE208</f>
        <v>24</v>
      </c>
      <c r="C28" s="4">
        <f>'Database + Frequency'!AE209</f>
        <v>93</v>
      </c>
      <c r="D28" s="4">
        <f>'Database + Frequency'!AE210</f>
        <v>31</v>
      </c>
      <c r="E28" s="4">
        <f>'Database + Frequency'!AE211</f>
        <v>52</v>
      </c>
      <c r="F28" s="4">
        <f>'Database + Frequency'!AE212</f>
        <v>0</v>
      </c>
      <c r="G28" s="4">
        <f t="shared" si="0"/>
        <v>200</v>
      </c>
      <c r="H28" s="4">
        <f t="shared" si="1"/>
        <v>200</v>
      </c>
    </row>
    <row r="29" spans="1:8">
      <c r="A29" s="4">
        <v>28</v>
      </c>
      <c r="B29" s="4">
        <f>'Database + Frequency'!AF208</f>
        <v>24</v>
      </c>
      <c r="C29" s="4">
        <f>'Database + Frequency'!AF209</f>
        <v>103</v>
      </c>
      <c r="D29" s="4">
        <f>'Database + Frequency'!AF210</f>
        <v>22</v>
      </c>
      <c r="E29" s="4">
        <f>'Database + Frequency'!AF211</f>
        <v>51</v>
      </c>
      <c r="F29" s="4">
        <f>'Database + Frequency'!AF212</f>
        <v>0</v>
      </c>
      <c r="G29" s="4">
        <f t="shared" si="0"/>
        <v>200</v>
      </c>
      <c r="H29" s="4">
        <f t="shared" si="1"/>
        <v>200</v>
      </c>
    </row>
    <row r="30" spans="1:8">
      <c r="A30" s="4">
        <v>29</v>
      </c>
      <c r="B30" s="4">
        <f>'Database + Frequency'!AG208</f>
        <v>32</v>
      </c>
      <c r="C30" s="4">
        <f>'Database + Frequency'!AG209</f>
        <v>36</v>
      </c>
      <c r="D30" s="4">
        <f>'Database + Frequency'!AG210</f>
        <v>77</v>
      </c>
      <c r="E30" s="4">
        <f>'Database + Frequency'!AG211</f>
        <v>55</v>
      </c>
      <c r="F30" s="4">
        <f>'Database + Frequency'!AG212</f>
        <v>0</v>
      </c>
      <c r="G30" s="4">
        <f t="shared" si="0"/>
        <v>200</v>
      </c>
      <c r="H30" s="4">
        <f t="shared" si="1"/>
        <v>200</v>
      </c>
    </row>
    <row r="31" spans="1:8">
      <c r="A31" s="4">
        <v>30</v>
      </c>
      <c r="B31" s="4">
        <f>'Database + Frequency'!AH208</f>
        <v>0</v>
      </c>
      <c r="C31" s="4">
        <f>'Database + Frequency'!AH209</f>
        <v>43</v>
      </c>
      <c r="D31" s="4">
        <f>'Database + Frequency'!AH210</f>
        <v>150</v>
      </c>
      <c r="E31" s="4">
        <f>'Database + Frequency'!AH211</f>
        <v>7</v>
      </c>
      <c r="F31" s="4">
        <f>'Database + Frequency'!AH212</f>
        <v>0</v>
      </c>
      <c r="G31" s="4">
        <f t="shared" si="0"/>
        <v>200</v>
      </c>
      <c r="H31" s="4">
        <f t="shared" si="1"/>
        <v>200</v>
      </c>
    </row>
    <row r="32" spans="1:8">
      <c r="A32" s="4">
        <v>31</v>
      </c>
      <c r="B32" s="4">
        <f>'Database + Frequency'!AI208</f>
        <v>54</v>
      </c>
      <c r="C32" s="4">
        <f>'Database + Frequency'!AI209</f>
        <v>72</v>
      </c>
      <c r="D32" s="4">
        <f>'Database + Frequency'!AI210</f>
        <v>55</v>
      </c>
      <c r="E32" s="4">
        <f>'Database + Frequency'!AI211</f>
        <v>19</v>
      </c>
      <c r="F32" s="4">
        <f>'Database + Frequency'!AI212</f>
        <v>0</v>
      </c>
      <c r="G32" s="4">
        <f t="shared" si="0"/>
        <v>200</v>
      </c>
      <c r="H32" s="4">
        <f t="shared" si="1"/>
        <v>200</v>
      </c>
    </row>
    <row r="33" spans="1:8">
      <c r="A33" s="4">
        <v>32</v>
      </c>
      <c r="B33" s="4">
        <f>'Database + Frequency'!AJ208</f>
        <v>6</v>
      </c>
      <c r="C33" s="4">
        <f>'Database + Frequency'!AJ209</f>
        <v>135</v>
      </c>
      <c r="D33" s="4">
        <f>'Database + Frequency'!AJ210</f>
        <v>0</v>
      </c>
      <c r="E33" s="4">
        <f>'Database + Frequency'!AJ211</f>
        <v>59</v>
      </c>
      <c r="F33" s="4">
        <f>'Database + Frequency'!AJ212</f>
        <v>0</v>
      </c>
      <c r="G33" s="4">
        <f t="shared" si="0"/>
        <v>200</v>
      </c>
      <c r="H33" s="4">
        <f t="shared" si="1"/>
        <v>200</v>
      </c>
    </row>
    <row r="34" spans="1:8">
      <c r="A34" s="4">
        <v>33</v>
      </c>
      <c r="B34" s="4">
        <f>'Database + Frequency'!AK208</f>
        <v>1</v>
      </c>
      <c r="C34" s="4">
        <f>'Database + Frequency'!AK209</f>
        <v>1</v>
      </c>
      <c r="D34" s="4">
        <f>'Database + Frequency'!AK210</f>
        <v>0</v>
      </c>
      <c r="E34" s="4">
        <f>'Database + Frequency'!AK211</f>
        <v>198</v>
      </c>
      <c r="F34" s="4">
        <f>'Database + Frequency'!AK212</f>
        <v>0</v>
      </c>
      <c r="G34" s="4">
        <f t="shared" ref="G34:G65" si="2">SUM(B34:E34)</f>
        <v>200</v>
      </c>
      <c r="H34" s="4">
        <f t="shared" ref="H34:H65" si="3">F34+G34</f>
        <v>200</v>
      </c>
    </row>
    <row r="35" spans="1:8">
      <c r="A35" s="4">
        <v>34</v>
      </c>
      <c r="B35" s="4">
        <f>'Database + Frequency'!AL208</f>
        <v>9</v>
      </c>
      <c r="C35" s="4">
        <f>'Database + Frequency'!AL209</f>
        <v>66</v>
      </c>
      <c r="D35" s="4">
        <f>'Database + Frequency'!AL210</f>
        <v>67</v>
      </c>
      <c r="E35" s="4">
        <f>'Database + Frequency'!AL211</f>
        <v>58</v>
      </c>
      <c r="F35" s="4">
        <f>'Database + Frequency'!AL212</f>
        <v>0</v>
      </c>
      <c r="G35" s="4">
        <f t="shared" si="2"/>
        <v>200</v>
      </c>
      <c r="H35" s="4">
        <f t="shared" si="3"/>
        <v>200</v>
      </c>
    </row>
    <row r="36" spans="1:8">
      <c r="A36" s="4">
        <v>35</v>
      </c>
      <c r="B36" s="4">
        <f>'Database + Frequency'!AM208</f>
        <v>62</v>
      </c>
      <c r="C36" s="4">
        <f>'Database + Frequency'!AM209</f>
        <v>46</v>
      </c>
      <c r="D36" s="4">
        <f>'Database + Frequency'!AM210</f>
        <v>51</v>
      </c>
      <c r="E36" s="4">
        <f>'Database + Frequency'!AM211</f>
        <v>41</v>
      </c>
      <c r="F36" s="4">
        <f>'Database + Frequency'!AM212</f>
        <v>0</v>
      </c>
      <c r="G36" s="4">
        <f t="shared" si="2"/>
        <v>200</v>
      </c>
      <c r="H36" s="4">
        <f t="shared" si="3"/>
        <v>200</v>
      </c>
    </row>
    <row r="37" spans="1:8">
      <c r="A37" s="4">
        <v>36</v>
      </c>
      <c r="B37" s="4">
        <f>'Database + Frequency'!AN208</f>
        <v>43</v>
      </c>
      <c r="C37" s="4">
        <f>'Database + Frequency'!AN209</f>
        <v>53</v>
      </c>
      <c r="D37" s="4">
        <f>'Database + Frequency'!AN210</f>
        <v>32</v>
      </c>
      <c r="E37" s="4">
        <f>'Database + Frequency'!AN211</f>
        <v>72</v>
      </c>
      <c r="F37" s="4">
        <f>'Database + Frequency'!AN212</f>
        <v>0</v>
      </c>
      <c r="G37" s="4">
        <f t="shared" si="2"/>
        <v>200</v>
      </c>
      <c r="H37" s="4">
        <f t="shared" si="3"/>
        <v>200</v>
      </c>
    </row>
    <row r="38" spans="1:8">
      <c r="A38" s="4">
        <v>37</v>
      </c>
      <c r="B38" s="4">
        <f>'Database + Frequency'!AO208</f>
        <v>151</v>
      </c>
      <c r="C38" s="4">
        <f>'Database + Frequency'!AO209</f>
        <v>1</v>
      </c>
      <c r="D38" s="4">
        <f>'Database + Frequency'!AO210</f>
        <v>48</v>
      </c>
      <c r="E38" s="4">
        <f>'Database + Frequency'!AO211</f>
        <v>0</v>
      </c>
      <c r="F38" s="4">
        <f>'Database + Frequency'!AO212</f>
        <v>0</v>
      </c>
      <c r="G38" s="4">
        <f t="shared" si="2"/>
        <v>200</v>
      </c>
      <c r="H38" s="4">
        <f t="shared" si="3"/>
        <v>200</v>
      </c>
    </row>
    <row r="39" spans="1:8">
      <c r="A39" s="4">
        <v>38</v>
      </c>
      <c r="B39" s="4">
        <f>'Database + Frequency'!AP208</f>
        <v>147</v>
      </c>
      <c r="C39" s="4">
        <f>'Database + Frequency'!AP209</f>
        <v>29</v>
      </c>
      <c r="D39" s="4">
        <f>'Database + Frequency'!AP210</f>
        <v>1</v>
      </c>
      <c r="E39" s="4">
        <f>'Database + Frequency'!AP211</f>
        <v>23</v>
      </c>
      <c r="F39" s="4">
        <f>'Database + Frequency'!AP212</f>
        <v>0</v>
      </c>
      <c r="G39" s="4">
        <f t="shared" si="2"/>
        <v>200</v>
      </c>
      <c r="H39" s="4">
        <f t="shared" si="3"/>
        <v>200</v>
      </c>
    </row>
    <row r="40" spans="1:8">
      <c r="A40" s="4">
        <v>39</v>
      </c>
      <c r="B40" s="4">
        <f>'Database + Frequency'!AQ208</f>
        <v>18</v>
      </c>
      <c r="C40" s="4">
        <f>'Database + Frequency'!AQ209</f>
        <v>51</v>
      </c>
      <c r="D40" s="4">
        <f>'Database + Frequency'!AQ210</f>
        <v>72</v>
      </c>
      <c r="E40" s="4">
        <f>'Database + Frequency'!AQ211</f>
        <v>59</v>
      </c>
      <c r="F40" s="4">
        <f>'Database + Frequency'!AQ212</f>
        <v>0</v>
      </c>
      <c r="G40" s="4">
        <f t="shared" si="2"/>
        <v>200</v>
      </c>
      <c r="H40" s="4">
        <f t="shared" si="3"/>
        <v>200</v>
      </c>
    </row>
    <row r="41" spans="1:8">
      <c r="A41" s="4">
        <v>40</v>
      </c>
      <c r="B41" s="4">
        <f>'Database + Frequency'!AR208</f>
        <v>1</v>
      </c>
      <c r="C41" s="4">
        <f>'Database + Frequency'!AR209</f>
        <v>143</v>
      </c>
      <c r="D41" s="4">
        <f>'Database + Frequency'!AR210</f>
        <v>48</v>
      </c>
      <c r="E41" s="4">
        <f>'Database + Frequency'!AR211</f>
        <v>8</v>
      </c>
      <c r="F41" s="4">
        <f>'Database + Frequency'!AR212</f>
        <v>0</v>
      </c>
      <c r="G41" s="4">
        <f t="shared" si="2"/>
        <v>200</v>
      </c>
      <c r="H41" s="4">
        <f t="shared" si="3"/>
        <v>200</v>
      </c>
    </row>
    <row r="42" spans="1:8">
      <c r="A42" s="4">
        <v>41</v>
      </c>
      <c r="B42" s="4">
        <f>'Database + Frequency'!AS208</f>
        <v>54</v>
      </c>
      <c r="C42" s="4">
        <f>'Database + Frequency'!AS209</f>
        <v>77</v>
      </c>
      <c r="D42" s="4">
        <f>'Database + Frequency'!AS210</f>
        <v>36</v>
      </c>
      <c r="E42" s="4">
        <f>'Database + Frequency'!AS211</f>
        <v>33</v>
      </c>
      <c r="F42" s="4">
        <f>'Database + Frequency'!AS212</f>
        <v>0</v>
      </c>
      <c r="G42" s="4">
        <f t="shared" si="2"/>
        <v>200</v>
      </c>
      <c r="H42" s="4">
        <f t="shared" si="3"/>
        <v>200</v>
      </c>
    </row>
    <row r="43" spans="1:8">
      <c r="A43" s="4">
        <v>42</v>
      </c>
      <c r="B43" s="4">
        <f>'Database + Frequency'!AT208</f>
        <v>49</v>
      </c>
      <c r="C43" s="4">
        <f>'Database + Frequency'!AT209</f>
        <v>20</v>
      </c>
      <c r="D43" s="4">
        <f>'Database + Frequency'!AT210</f>
        <v>105</v>
      </c>
      <c r="E43" s="4">
        <f>'Database + Frequency'!AT211</f>
        <v>26</v>
      </c>
      <c r="F43" s="4">
        <f>'Database + Frequency'!AT212</f>
        <v>0</v>
      </c>
      <c r="G43" s="4">
        <f t="shared" si="2"/>
        <v>200</v>
      </c>
      <c r="H43" s="4">
        <f t="shared" si="3"/>
        <v>200</v>
      </c>
    </row>
    <row r="44" spans="1:8">
      <c r="A44" s="4">
        <v>43</v>
      </c>
      <c r="B44" s="4">
        <f>'Database + Frequency'!AU208</f>
        <v>45</v>
      </c>
      <c r="C44" s="4">
        <f>'Database + Frequency'!AU209</f>
        <v>23</v>
      </c>
      <c r="D44" s="4">
        <f>'Database + Frequency'!AU210</f>
        <v>100</v>
      </c>
      <c r="E44" s="4">
        <f>'Database + Frequency'!AU211</f>
        <v>32</v>
      </c>
      <c r="F44" s="4">
        <f>'Database + Frequency'!AU212</f>
        <v>0</v>
      </c>
      <c r="G44" s="4">
        <f t="shared" si="2"/>
        <v>200</v>
      </c>
      <c r="H44" s="4">
        <f t="shared" si="3"/>
        <v>200</v>
      </c>
    </row>
    <row r="45" spans="1:8">
      <c r="A45" s="4">
        <v>44</v>
      </c>
      <c r="B45" s="4">
        <f>'Database + Frequency'!AV208</f>
        <v>100</v>
      </c>
      <c r="C45" s="4">
        <f>'Database + Frequency'!AV209</f>
        <v>31</v>
      </c>
      <c r="D45" s="4">
        <f>'Database + Frequency'!AV210</f>
        <v>46</v>
      </c>
      <c r="E45" s="4">
        <f>'Database + Frequency'!AV211</f>
        <v>23</v>
      </c>
      <c r="F45" s="4">
        <f>'Database + Frequency'!AV212</f>
        <v>0</v>
      </c>
      <c r="G45" s="4">
        <f t="shared" si="2"/>
        <v>200</v>
      </c>
      <c r="H45" s="4">
        <f t="shared" si="3"/>
        <v>200</v>
      </c>
    </row>
    <row r="46" spans="1:8">
      <c r="A46" s="4">
        <v>45</v>
      </c>
      <c r="B46" s="4">
        <f>'Database + Frequency'!AW208</f>
        <v>15</v>
      </c>
      <c r="C46" s="4">
        <f>'Database + Frequency'!AW209</f>
        <v>5</v>
      </c>
      <c r="D46" s="4">
        <f>'Database + Frequency'!AW210</f>
        <v>150</v>
      </c>
      <c r="E46" s="4">
        <f>'Database + Frequency'!AW211</f>
        <v>28</v>
      </c>
      <c r="F46" s="4">
        <f>'Database + Frequency'!AW212</f>
        <v>2</v>
      </c>
      <c r="G46" s="4">
        <f t="shared" si="2"/>
        <v>198</v>
      </c>
      <c r="H46" s="4">
        <f t="shared" si="3"/>
        <v>200</v>
      </c>
    </row>
    <row r="47" spans="1:8">
      <c r="A47" s="4">
        <v>46</v>
      </c>
      <c r="B47" s="4">
        <f>'Database + Frequency'!AX208</f>
        <v>16</v>
      </c>
      <c r="C47" s="4">
        <f>'Database + Frequency'!AX209</f>
        <v>4</v>
      </c>
      <c r="D47" s="4">
        <f>'Database + Frequency'!AX210</f>
        <v>137</v>
      </c>
      <c r="E47" s="4">
        <f>'Database + Frequency'!AX211</f>
        <v>12</v>
      </c>
      <c r="F47" s="4">
        <f>'Database + Frequency'!AX212</f>
        <v>31</v>
      </c>
      <c r="G47" s="4">
        <f t="shared" si="2"/>
        <v>169</v>
      </c>
      <c r="H47" s="4">
        <f t="shared" si="3"/>
        <v>200</v>
      </c>
    </row>
    <row r="48" spans="1:8">
      <c r="A48" s="4">
        <v>47</v>
      </c>
      <c r="B48" s="4">
        <f>'Database + Frequency'!AY208</f>
        <v>26</v>
      </c>
      <c r="C48" s="4">
        <f>'Database + Frequency'!AY209</f>
        <v>23</v>
      </c>
      <c r="D48" s="4">
        <f>'Database + Frequency'!AY210</f>
        <v>16</v>
      </c>
      <c r="E48" s="4">
        <f>'Database + Frequency'!AY211</f>
        <v>135</v>
      </c>
      <c r="F48" s="4">
        <f>'Database + Frequency'!AY212</f>
        <v>0</v>
      </c>
      <c r="G48" s="4">
        <f t="shared" si="2"/>
        <v>200</v>
      </c>
      <c r="H48" s="4">
        <f t="shared" si="3"/>
        <v>200</v>
      </c>
    </row>
    <row r="49" spans="1:8">
      <c r="A49" s="4">
        <v>48</v>
      </c>
      <c r="B49" s="4">
        <f>'Database + Frequency'!AZ208</f>
        <v>1</v>
      </c>
      <c r="C49" s="4">
        <f>'Database + Frequency'!AZ209</f>
        <v>168</v>
      </c>
      <c r="D49" s="4">
        <f>'Database + Frequency'!AZ210</f>
        <v>2</v>
      </c>
      <c r="E49" s="4">
        <f>'Database + Frequency'!AZ211</f>
        <v>29</v>
      </c>
      <c r="F49" s="4">
        <f>'Database + Frequency'!AZ212</f>
        <v>0</v>
      </c>
      <c r="G49" s="4">
        <f t="shared" si="2"/>
        <v>200</v>
      </c>
      <c r="H49" s="4">
        <f t="shared" si="3"/>
        <v>200</v>
      </c>
    </row>
    <row r="50" spans="1:8">
      <c r="A50" s="4">
        <v>49</v>
      </c>
      <c r="B50" s="4">
        <f>'Database + Frequency'!BA208</f>
        <v>31</v>
      </c>
      <c r="C50" s="4">
        <f>'Database + Frequency'!BA209</f>
        <v>57</v>
      </c>
      <c r="D50" s="4">
        <f>'Database + Frequency'!BA210</f>
        <v>101</v>
      </c>
      <c r="E50" s="4">
        <f>'Database + Frequency'!BA211</f>
        <v>11</v>
      </c>
      <c r="F50" s="4">
        <f>'Database + Frequency'!BA212</f>
        <v>0</v>
      </c>
      <c r="G50" s="4">
        <f t="shared" si="2"/>
        <v>200</v>
      </c>
      <c r="H50" s="4">
        <f t="shared" si="3"/>
        <v>200</v>
      </c>
    </row>
    <row r="51" spans="1:8">
      <c r="A51" s="4">
        <v>50</v>
      </c>
      <c r="B51" s="4">
        <f>'Database + Frequency'!BB208</f>
        <v>23</v>
      </c>
      <c r="C51" s="4">
        <f>'Database + Frequency'!BB209</f>
        <v>87</v>
      </c>
      <c r="D51" s="4">
        <f>'Database + Frequency'!BB210</f>
        <v>54</v>
      </c>
      <c r="E51" s="4">
        <f>'Database + Frequency'!BB211</f>
        <v>36</v>
      </c>
      <c r="F51" s="4">
        <f>'Database + Frequency'!BB212</f>
        <v>0</v>
      </c>
      <c r="G51" s="4">
        <f t="shared" si="2"/>
        <v>200</v>
      </c>
      <c r="H51" s="4">
        <f t="shared" si="3"/>
        <v>200</v>
      </c>
    </row>
    <row r="52" spans="1:8">
      <c r="A52" s="4">
        <v>51</v>
      </c>
      <c r="B52" s="4">
        <f>'Database + Frequency'!BC208</f>
        <v>28</v>
      </c>
      <c r="C52" s="4">
        <f>'Database + Frequency'!BC209</f>
        <v>41</v>
      </c>
      <c r="D52" s="4">
        <f>'Database + Frequency'!BC210</f>
        <v>99</v>
      </c>
      <c r="E52" s="4">
        <f>'Database + Frequency'!BC211</f>
        <v>31</v>
      </c>
      <c r="F52" s="4">
        <f>'Database + Frequency'!BC212</f>
        <v>1</v>
      </c>
      <c r="G52" s="4">
        <f t="shared" si="2"/>
        <v>199</v>
      </c>
      <c r="H52" s="4">
        <f t="shared" si="3"/>
        <v>200</v>
      </c>
    </row>
    <row r="53" spans="1:8">
      <c r="A53" s="4">
        <v>52</v>
      </c>
      <c r="B53" s="4">
        <f>'Database + Frequency'!BD208</f>
        <v>26</v>
      </c>
      <c r="C53" s="4">
        <f>'Database + Frequency'!BD209</f>
        <v>2</v>
      </c>
      <c r="D53" s="4">
        <f>'Database + Frequency'!BD210</f>
        <v>168</v>
      </c>
      <c r="E53" s="4">
        <f>'Database + Frequency'!BD211</f>
        <v>4</v>
      </c>
      <c r="F53" s="4">
        <f>'Database + Frequency'!BD212</f>
        <v>0</v>
      </c>
      <c r="G53" s="4">
        <f t="shared" si="2"/>
        <v>200</v>
      </c>
      <c r="H53" s="4">
        <f t="shared" si="3"/>
        <v>200</v>
      </c>
    </row>
    <row r="54" spans="1:8">
      <c r="A54" s="4">
        <v>53</v>
      </c>
      <c r="B54" s="4">
        <f>'Database + Frequency'!BE208</f>
        <v>1</v>
      </c>
      <c r="C54" s="4">
        <f>'Database + Frequency'!BE209</f>
        <v>1</v>
      </c>
      <c r="D54" s="4">
        <f>'Database + Frequency'!BE210</f>
        <v>196</v>
      </c>
      <c r="E54" s="4">
        <f>'Database + Frequency'!BE211</f>
        <v>2</v>
      </c>
      <c r="F54" s="4">
        <f>'Database + Frequency'!BE212</f>
        <v>0</v>
      </c>
      <c r="G54" s="4">
        <f t="shared" si="2"/>
        <v>200</v>
      </c>
      <c r="H54" s="4">
        <f t="shared" si="3"/>
        <v>200</v>
      </c>
    </row>
    <row r="55" spans="1:8">
      <c r="A55" s="4">
        <v>54</v>
      </c>
      <c r="B55" s="4">
        <f>'Database + Frequency'!BF208</f>
        <v>2</v>
      </c>
      <c r="C55" s="4">
        <f>'Database + Frequency'!BF209</f>
        <v>0</v>
      </c>
      <c r="D55" s="4">
        <f>'Database + Frequency'!BF210</f>
        <v>0</v>
      </c>
      <c r="E55" s="4">
        <f>'Database + Frequency'!BF211</f>
        <v>198</v>
      </c>
      <c r="F55" s="4">
        <f>'Database + Frequency'!BF212</f>
        <v>0</v>
      </c>
      <c r="G55" s="4">
        <f t="shared" si="2"/>
        <v>200</v>
      </c>
      <c r="H55" s="4">
        <f t="shared" si="3"/>
        <v>200</v>
      </c>
    </row>
    <row r="56" spans="1:8">
      <c r="A56" s="4">
        <v>55</v>
      </c>
      <c r="B56" s="4">
        <f>'Database + Frequency'!BG208</f>
        <v>1</v>
      </c>
      <c r="C56" s="4">
        <f>'Database + Frequency'!BG209</f>
        <v>1</v>
      </c>
      <c r="D56" s="4">
        <f>'Database + Frequency'!BG210</f>
        <v>1</v>
      </c>
      <c r="E56" s="4">
        <f>'Database + Frequency'!BG211</f>
        <v>197</v>
      </c>
      <c r="F56" s="4">
        <f>'Database + Frequency'!BG212</f>
        <v>0</v>
      </c>
      <c r="G56" s="4">
        <f t="shared" si="2"/>
        <v>200</v>
      </c>
      <c r="H56" s="4">
        <f t="shared" si="3"/>
        <v>200</v>
      </c>
    </row>
    <row r="57" spans="1:8">
      <c r="A57" s="4">
        <v>56</v>
      </c>
      <c r="B57" s="4">
        <f>'Database + Frequency'!BH208</f>
        <v>2</v>
      </c>
      <c r="C57" s="4">
        <f>'Database + Frequency'!BH209</f>
        <v>196</v>
      </c>
      <c r="D57" s="4">
        <f>'Database + Frequency'!BH210</f>
        <v>1</v>
      </c>
      <c r="E57" s="4">
        <f>'Database + Frequency'!BH211</f>
        <v>1</v>
      </c>
      <c r="F57" s="4">
        <f>'Database + Frequency'!BH212</f>
        <v>0</v>
      </c>
      <c r="G57" s="4">
        <f t="shared" si="2"/>
        <v>200</v>
      </c>
      <c r="H57" s="4">
        <f t="shared" si="3"/>
        <v>200</v>
      </c>
    </row>
    <row r="58" spans="1:8">
      <c r="A58" s="4">
        <v>57</v>
      </c>
      <c r="B58" s="4">
        <f>'Database + Frequency'!BI208</f>
        <v>77</v>
      </c>
      <c r="C58" s="4">
        <f>'Database + Frequency'!BI209</f>
        <v>0</v>
      </c>
      <c r="D58" s="4">
        <f>'Database + Frequency'!BI210</f>
        <v>121</v>
      </c>
      <c r="E58" s="4">
        <f>'Database + Frequency'!BI211</f>
        <v>1</v>
      </c>
      <c r="F58" s="4">
        <f>'Database + Frequency'!BI212</f>
        <v>1</v>
      </c>
      <c r="G58" s="4">
        <f t="shared" si="2"/>
        <v>199</v>
      </c>
      <c r="H58" s="4">
        <f t="shared" si="3"/>
        <v>200</v>
      </c>
    </row>
    <row r="59" spans="1:8">
      <c r="A59" s="4">
        <v>58</v>
      </c>
      <c r="B59" s="4">
        <f>'Database + Frequency'!BJ208</f>
        <v>198</v>
      </c>
      <c r="C59" s="4">
        <f>'Database + Frequency'!BJ209</f>
        <v>1</v>
      </c>
      <c r="D59" s="4">
        <f>'Database + Frequency'!BJ210</f>
        <v>0</v>
      </c>
      <c r="E59" s="4">
        <f>'Database + Frequency'!BJ211</f>
        <v>1</v>
      </c>
      <c r="F59" s="4">
        <f>'Database + Frequency'!BJ212</f>
        <v>0</v>
      </c>
      <c r="G59" s="4">
        <f t="shared" si="2"/>
        <v>200</v>
      </c>
      <c r="H59" s="4">
        <f t="shared" si="3"/>
        <v>200</v>
      </c>
    </row>
    <row r="60" spans="1:8">
      <c r="A60" s="4">
        <v>59</v>
      </c>
      <c r="B60" s="4">
        <f>'Database + Frequency'!BK208</f>
        <v>91</v>
      </c>
      <c r="C60" s="4">
        <f>'Database + Frequency'!BK209</f>
        <v>12</v>
      </c>
      <c r="D60" s="4">
        <f>'Database + Frequency'!BK210</f>
        <v>47</v>
      </c>
      <c r="E60" s="4">
        <f>'Database + Frequency'!BK211</f>
        <v>50</v>
      </c>
      <c r="F60" s="4">
        <f>'Database + Frequency'!BK212</f>
        <v>0</v>
      </c>
      <c r="G60" s="4">
        <f t="shared" si="2"/>
        <v>200</v>
      </c>
      <c r="H60" s="4">
        <f t="shared" si="3"/>
        <v>200</v>
      </c>
    </row>
    <row r="61" spans="1:8">
      <c r="A61" s="4">
        <v>60</v>
      </c>
      <c r="B61" s="4">
        <f>'Database + Frequency'!BL208</f>
        <v>1</v>
      </c>
      <c r="C61" s="4">
        <f>'Database + Frequency'!BL209</f>
        <v>40</v>
      </c>
      <c r="D61" s="4">
        <f>'Database + Frequency'!BL210</f>
        <v>2</v>
      </c>
      <c r="E61" s="4">
        <f>'Database + Frequency'!BL211</f>
        <v>157</v>
      </c>
      <c r="F61" s="4">
        <f>'Database + Frequency'!BL212</f>
        <v>0</v>
      </c>
      <c r="G61" s="4">
        <f t="shared" si="2"/>
        <v>200</v>
      </c>
      <c r="H61" s="4">
        <f t="shared" si="3"/>
        <v>200</v>
      </c>
    </row>
    <row r="62" spans="1:8">
      <c r="A62" s="4">
        <v>61</v>
      </c>
      <c r="B62" s="4">
        <f>'Database + Frequency'!BM208</f>
        <v>0</v>
      </c>
      <c r="C62" s="4">
        <f>'Database + Frequency'!BM209</f>
        <v>198</v>
      </c>
      <c r="D62" s="4">
        <f>'Database + Frequency'!BM210</f>
        <v>1</v>
      </c>
      <c r="E62" s="4">
        <f>'Database + Frequency'!BM211</f>
        <v>1</v>
      </c>
      <c r="F62" s="4">
        <f>'Database + Frequency'!BM212</f>
        <v>0</v>
      </c>
      <c r="G62" s="4">
        <f t="shared" si="2"/>
        <v>200</v>
      </c>
      <c r="H62" s="4">
        <f t="shared" si="3"/>
        <v>200</v>
      </c>
    </row>
    <row r="63" spans="1:8">
      <c r="A63" s="4">
        <v>62</v>
      </c>
      <c r="B63" s="4">
        <f>'Database + Frequency'!BN208</f>
        <v>3</v>
      </c>
      <c r="C63" s="4">
        <f>'Database + Frequency'!BN209</f>
        <v>169</v>
      </c>
      <c r="D63" s="4">
        <f>'Database + Frequency'!BN210</f>
        <v>2</v>
      </c>
      <c r="E63" s="4">
        <f>'Database + Frequency'!BN211</f>
        <v>26</v>
      </c>
      <c r="F63" s="4">
        <f>'Database + Frequency'!BN212</f>
        <v>0</v>
      </c>
      <c r="G63" s="4">
        <f t="shared" si="2"/>
        <v>200</v>
      </c>
      <c r="H63" s="4">
        <f t="shared" si="3"/>
        <v>200</v>
      </c>
    </row>
    <row r="64" spans="1:8">
      <c r="A64" s="4">
        <v>63</v>
      </c>
      <c r="B64" s="4">
        <f>'Database + Frequency'!BO208</f>
        <v>23</v>
      </c>
      <c r="C64" s="4">
        <f>'Database + Frequency'!BO209</f>
        <v>97</v>
      </c>
      <c r="D64" s="4">
        <f>'Database + Frequency'!BO210</f>
        <v>48</v>
      </c>
      <c r="E64" s="4">
        <f>'Database + Frequency'!BO211</f>
        <v>32</v>
      </c>
      <c r="F64" s="4">
        <f>'Database + Frequency'!BO212</f>
        <v>0</v>
      </c>
      <c r="G64" s="4">
        <f t="shared" si="2"/>
        <v>200</v>
      </c>
      <c r="H64" s="4">
        <f t="shared" si="3"/>
        <v>200</v>
      </c>
    </row>
    <row r="65" spans="1:8">
      <c r="A65" s="4">
        <v>64</v>
      </c>
      <c r="B65" s="4">
        <f>'Database + Frequency'!BP208</f>
        <v>33</v>
      </c>
      <c r="C65" s="4">
        <f>'Database + Frequency'!BP209</f>
        <v>42</v>
      </c>
      <c r="D65" s="4">
        <f>'Database + Frequency'!BP210</f>
        <v>92</v>
      </c>
      <c r="E65" s="4">
        <f>'Database + Frequency'!BP211</f>
        <v>33</v>
      </c>
      <c r="F65" s="4">
        <f>'Database + Frequency'!BP212</f>
        <v>0</v>
      </c>
      <c r="G65" s="4">
        <f t="shared" si="2"/>
        <v>200</v>
      </c>
      <c r="H65" s="4">
        <f t="shared" si="3"/>
        <v>200</v>
      </c>
    </row>
    <row r="66" spans="1:8">
      <c r="A66" s="4">
        <v>65</v>
      </c>
      <c r="B66" s="4">
        <f>'Database + Frequency'!BQ208</f>
        <v>9</v>
      </c>
      <c r="C66" s="4">
        <f>'Database + Frequency'!BQ209</f>
        <v>63</v>
      </c>
      <c r="D66" s="4">
        <f>'Database + Frequency'!BQ210</f>
        <v>57</v>
      </c>
      <c r="E66" s="4">
        <f>'Database + Frequency'!BQ211</f>
        <v>70</v>
      </c>
      <c r="F66" s="4">
        <f>'Database + Frequency'!BQ212</f>
        <v>1</v>
      </c>
      <c r="G66" s="4">
        <f t="shared" ref="G66:G73" si="4">SUM(B66:E66)</f>
        <v>199</v>
      </c>
      <c r="H66" s="4">
        <f t="shared" ref="H66:H97" si="5">F66+G66</f>
        <v>200</v>
      </c>
    </row>
    <row r="67" spans="1:8">
      <c r="A67" s="4">
        <v>66</v>
      </c>
      <c r="B67" s="4">
        <f>'Database + Frequency'!BR208</f>
        <v>43</v>
      </c>
      <c r="C67" s="4">
        <f>'Database + Frequency'!BR209</f>
        <v>105</v>
      </c>
      <c r="D67" s="4">
        <f>'Database + Frequency'!BR210</f>
        <v>2</v>
      </c>
      <c r="E67" s="4">
        <f>'Database + Frequency'!BR211</f>
        <v>50</v>
      </c>
      <c r="F67" s="4">
        <f>'Database + Frequency'!BR212</f>
        <v>0</v>
      </c>
      <c r="G67" s="4">
        <f t="shared" si="4"/>
        <v>200</v>
      </c>
      <c r="H67" s="4">
        <f t="shared" si="5"/>
        <v>200</v>
      </c>
    </row>
    <row r="68" spans="1:8">
      <c r="A68" s="4">
        <v>67</v>
      </c>
      <c r="B68" s="4">
        <f>'Database + Frequency'!BS208</f>
        <v>42</v>
      </c>
      <c r="C68" s="4">
        <f>'Database + Frequency'!BS209</f>
        <v>45</v>
      </c>
      <c r="D68" s="4">
        <f>'Database + Frequency'!BS210</f>
        <v>75</v>
      </c>
      <c r="E68" s="4">
        <f>'Database + Frequency'!BS211</f>
        <v>38</v>
      </c>
      <c r="F68" s="4">
        <f>'Database + Frequency'!BS212</f>
        <v>0</v>
      </c>
      <c r="G68" s="4">
        <f t="shared" si="4"/>
        <v>200</v>
      </c>
      <c r="H68" s="4">
        <f t="shared" si="5"/>
        <v>200</v>
      </c>
    </row>
    <row r="69" spans="1:8">
      <c r="A69" s="4">
        <v>68</v>
      </c>
      <c r="B69" s="4">
        <f>'Database + Frequency'!BT208</f>
        <v>15</v>
      </c>
      <c r="C69" s="4">
        <f>'Database + Frequency'!BT209</f>
        <v>62</v>
      </c>
      <c r="D69" s="4">
        <f>'Database + Frequency'!BT210</f>
        <v>87</v>
      </c>
      <c r="E69" s="4">
        <f>'Database + Frequency'!BT211</f>
        <v>36</v>
      </c>
      <c r="F69" s="4">
        <f>'Database + Frequency'!BT212</f>
        <v>0</v>
      </c>
      <c r="G69" s="4">
        <f t="shared" si="4"/>
        <v>200</v>
      </c>
      <c r="H69" s="4">
        <f t="shared" si="5"/>
        <v>200</v>
      </c>
    </row>
    <row r="70" spans="1:8">
      <c r="A70" s="4">
        <v>69</v>
      </c>
      <c r="B70" s="4">
        <f>'Database + Frequency'!BU208</f>
        <v>25</v>
      </c>
      <c r="C70" s="4">
        <f>'Database + Frequency'!BU209</f>
        <v>88</v>
      </c>
      <c r="D70" s="4">
        <f>'Database + Frequency'!BU210</f>
        <v>70</v>
      </c>
      <c r="E70" s="4">
        <f>'Database + Frequency'!BU211</f>
        <v>17</v>
      </c>
      <c r="F70" s="4">
        <f>'Database + Frequency'!BU212</f>
        <v>0</v>
      </c>
      <c r="G70" s="4">
        <f t="shared" si="4"/>
        <v>200</v>
      </c>
      <c r="H70" s="4">
        <f t="shared" si="5"/>
        <v>200</v>
      </c>
    </row>
    <row r="71" spans="1:8">
      <c r="A71" s="4">
        <v>70</v>
      </c>
      <c r="B71" s="4">
        <f>'Database + Frequency'!BV208</f>
        <v>23</v>
      </c>
      <c r="C71" s="4">
        <f>'Database + Frequency'!BV209</f>
        <v>72</v>
      </c>
      <c r="D71" s="4">
        <f>'Database + Frequency'!BV210</f>
        <v>75</v>
      </c>
      <c r="E71" s="4">
        <f>'Database + Frequency'!BV211</f>
        <v>30</v>
      </c>
      <c r="F71" s="4">
        <f>'Database + Frequency'!BV212</f>
        <v>0</v>
      </c>
      <c r="G71" s="4">
        <f t="shared" si="4"/>
        <v>200</v>
      </c>
      <c r="H71" s="4">
        <f t="shared" si="5"/>
        <v>200</v>
      </c>
    </row>
    <row r="72" spans="1:8">
      <c r="A72" s="4">
        <v>71</v>
      </c>
      <c r="B72" s="4">
        <f>'Database + Frequency'!BW208</f>
        <v>5</v>
      </c>
      <c r="C72" s="4">
        <f>'Database + Frequency'!BW209</f>
        <v>104</v>
      </c>
      <c r="D72" s="4">
        <f>'Database + Frequency'!BW210</f>
        <v>82</v>
      </c>
      <c r="E72" s="4">
        <f>'Database + Frequency'!BW211</f>
        <v>9</v>
      </c>
      <c r="F72" s="4">
        <f>'Database + Frequency'!BW212</f>
        <v>0</v>
      </c>
      <c r="G72" s="4">
        <f t="shared" si="4"/>
        <v>200</v>
      </c>
      <c r="H72" s="4">
        <f t="shared" si="5"/>
        <v>200</v>
      </c>
    </row>
    <row r="73" spans="1:8">
      <c r="A73" s="4">
        <v>72</v>
      </c>
      <c r="B73" s="4">
        <f>'Database + Frequency'!BX208</f>
        <v>16</v>
      </c>
      <c r="C73" s="4">
        <f>'Database + Frequency'!BX209</f>
        <v>145</v>
      </c>
      <c r="D73" s="4">
        <f>'Database + Frequency'!BX210</f>
        <v>18</v>
      </c>
      <c r="E73" s="4">
        <f>'Database + Frequency'!BX211</f>
        <v>21</v>
      </c>
      <c r="F73" s="4">
        <f>'Database + Frequency'!BX212</f>
        <v>0</v>
      </c>
      <c r="G73" s="4">
        <f t="shared" si="4"/>
        <v>200</v>
      </c>
      <c r="H73" s="4">
        <f t="shared" si="5"/>
        <v>200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dimension ref="A1:D27"/>
  <sheetViews>
    <sheetView workbookViewId="0"/>
  </sheetViews>
  <sheetFormatPr defaultColWidth="8.7109375" defaultRowHeight="15"/>
  <cols>
    <col min="1" max="2" width="10" customWidth="1"/>
    <col min="3" max="3" width="20" customWidth="1"/>
    <col min="4" max="4" width="18" customWidth="1"/>
  </cols>
  <sheetData>
    <row r="1" spans="1:4" ht="15.75">
      <c r="A1" s="2" t="s">
        <v>381</v>
      </c>
      <c r="B1" s="4"/>
      <c r="C1" s="4"/>
      <c r="D1" s="4"/>
    </row>
    <row r="2" spans="1:4">
      <c r="A2" s="4"/>
      <c r="B2" s="4"/>
      <c r="C2" s="4"/>
      <c r="D2" s="4"/>
    </row>
    <row r="3" spans="1:4" ht="26.25">
      <c r="A3" s="9" t="s">
        <v>382</v>
      </c>
      <c r="B3" s="9" t="s">
        <v>383</v>
      </c>
      <c r="C3" s="9" t="s">
        <v>384</v>
      </c>
      <c r="D3" s="4"/>
    </row>
    <row r="4" spans="1:4">
      <c r="A4" s="4" t="s">
        <v>73</v>
      </c>
      <c r="B4" s="4">
        <f>SUM('Frequency 1-72'!B2:B73)</f>
        <v>2651</v>
      </c>
      <c r="C4" s="14">
        <f>B4/$B$8</f>
        <v>0.18550136449513679</v>
      </c>
      <c r="D4" s="4"/>
    </row>
    <row r="5" spans="1:4">
      <c r="A5" s="4" t="s">
        <v>71</v>
      </c>
      <c r="B5" s="4">
        <f>SUM('Frequency 1-72'!C2:C73)</f>
        <v>3951</v>
      </c>
      <c r="C5" s="14">
        <f>B5/$B$8</f>
        <v>0.27646770694842909</v>
      </c>
      <c r="D5" s="4"/>
    </row>
    <row r="6" spans="1:4">
      <c r="A6" s="4" t="s">
        <v>70</v>
      </c>
      <c r="B6" s="4">
        <f>SUM('Frequency 1-72'!D2:D73)</f>
        <v>4643</v>
      </c>
      <c r="C6" s="14">
        <f>B6/$B$8</f>
        <v>0.32488979077741237</v>
      </c>
      <c r="D6" s="4"/>
    </row>
    <row r="7" spans="1:4">
      <c r="A7" s="4" t="s">
        <v>72</v>
      </c>
      <c r="B7" s="4">
        <f>SUM('Frequency 1-72'!E2:E73)</f>
        <v>3046</v>
      </c>
      <c r="C7" s="14">
        <f>B7/$B$8</f>
        <v>0.21314113777902177</v>
      </c>
      <c r="D7" s="4"/>
    </row>
    <row r="8" spans="1:4">
      <c r="A8" s="5" t="s">
        <v>385</v>
      </c>
      <c r="B8" s="5">
        <f>SUM(B4:B7)</f>
        <v>14291</v>
      </c>
      <c r="C8" s="4"/>
      <c r="D8" s="4"/>
    </row>
    <row r="9" spans="1:4">
      <c r="A9" s="5" t="s">
        <v>386</v>
      </c>
      <c r="B9" s="15">
        <f>(B5+B6)/B8</f>
        <v>0.60135749772584146</v>
      </c>
      <c r="C9" s="4"/>
      <c r="D9" s="4"/>
    </row>
    <row r="10" spans="1:4">
      <c r="A10" s="4"/>
      <c r="B10" s="4"/>
      <c r="C10" s="4"/>
      <c r="D10" s="4"/>
    </row>
    <row r="11" spans="1:4">
      <c r="A11" s="9" t="s">
        <v>387</v>
      </c>
      <c r="B11" s="9" t="s">
        <v>388</v>
      </c>
      <c r="C11" s="9" t="s">
        <v>389</v>
      </c>
      <c r="D11" s="9" t="s">
        <v>390</v>
      </c>
    </row>
    <row r="12" spans="1:4">
      <c r="A12" s="4" t="s">
        <v>73</v>
      </c>
      <c r="B12" s="4" t="s">
        <v>73</v>
      </c>
      <c r="C12" s="4">
        <f>SUMIFS('Transition Stepwise'!$F$2:$F$1137,'Transition Stepwise'!$C$2:$C$1137,A12,'Transition Stepwise'!$D$2:$D$1137,B12)</f>
        <v>573</v>
      </c>
      <c r="D12" s="14">
        <f t="shared" ref="D12:D27" si="0">(C12+1)/(SUMIF($A$12:$A$27,A12,$C$12:$C$27)+4*1)</f>
        <v>0.21958684009181331</v>
      </c>
    </row>
    <row r="13" spans="1:4">
      <c r="A13" s="4" t="s">
        <v>73</v>
      </c>
      <c r="B13" s="4" t="s">
        <v>71</v>
      </c>
      <c r="C13" s="4">
        <f>SUMIFS('Transition Stepwise'!$F$2:$F$1137,'Transition Stepwise'!$C$2:$C$1137,A13,'Transition Stepwise'!$D$2:$D$1137,B13)</f>
        <v>418</v>
      </c>
      <c r="D13" s="14">
        <f t="shared" si="0"/>
        <v>0.16029074215761285</v>
      </c>
    </row>
    <row r="14" spans="1:4">
      <c r="A14" s="4" t="s">
        <v>73</v>
      </c>
      <c r="B14" s="4" t="s">
        <v>70</v>
      </c>
      <c r="C14" s="4">
        <f>SUMIFS('Transition Stepwise'!$F$2:$F$1137,'Transition Stepwise'!$C$2:$C$1137,A14,'Transition Stepwise'!$D$2:$D$1137,B14)</f>
        <v>1109</v>
      </c>
      <c r="D14" s="14">
        <f t="shared" si="0"/>
        <v>0.42463657230298391</v>
      </c>
    </row>
    <row r="15" spans="1:4">
      <c r="A15" s="4" t="s">
        <v>73</v>
      </c>
      <c r="B15" s="4" t="s">
        <v>72</v>
      </c>
      <c r="C15" s="4">
        <f>SUMIFS('Transition Stepwise'!$F$2:$F$1137,'Transition Stepwise'!$C$2:$C$1137,A15,'Transition Stepwise'!$D$2:$D$1137,B15)</f>
        <v>510</v>
      </c>
      <c r="D15" s="14">
        <f t="shared" si="0"/>
        <v>0.1954858454475899</v>
      </c>
    </row>
    <row r="16" spans="1:4">
      <c r="A16" s="4" t="s">
        <v>71</v>
      </c>
      <c r="B16" s="4" t="s">
        <v>73</v>
      </c>
      <c r="C16" s="4">
        <f>SUMIFS('Transition Stepwise'!$F$2:$F$1137,'Transition Stepwise'!$C$2:$C$1137,A16,'Transition Stepwise'!$D$2:$D$1137,B16)</f>
        <v>742</v>
      </c>
      <c r="D16" s="14">
        <f t="shared" si="0"/>
        <v>0.19516679800367745</v>
      </c>
    </row>
    <row r="17" spans="1:4">
      <c r="A17" s="4" t="s">
        <v>71</v>
      </c>
      <c r="B17" s="4" t="s">
        <v>71</v>
      </c>
      <c r="C17" s="4">
        <f>SUMIFS('Transition Stepwise'!$F$2:$F$1137,'Transition Stepwise'!$C$2:$C$1137,A17,'Transition Stepwise'!$D$2:$D$1137,B17)</f>
        <v>1186</v>
      </c>
      <c r="D17" s="14">
        <f t="shared" si="0"/>
        <v>0.3117940635671132</v>
      </c>
    </row>
    <row r="18" spans="1:4">
      <c r="A18" s="4" t="s">
        <v>71</v>
      </c>
      <c r="B18" s="4" t="s">
        <v>70</v>
      </c>
      <c r="C18" s="4">
        <f>SUMIFS('Transition Stepwise'!$F$2:$F$1137,'Transition Stepwise'!$C$2:$C$1137,A18,'Transition Stepwise'!$D$2:$D$1137,B18)</f>
        <v>1128</v>
      </c>
      <c r="D18" s="14">
        <f t="shared" si="0"/>
        <v>0.29655897031783557</v>
      </c>
    </row>
    <row r="19" spans="1:4">
      <c r="A19" s="4" t="s">
        <v>71</v>
      </c>
      <c r="B19" s="4" t="s">
        <v>72</v>
      </c>
      <c r="C19" s="4">
        <f>SUMIFS('Transition Stepwise'!$F$2:$F$1137,'Transition Stepwise'!$C$2:$C$1137,A19,'Transition Stepwise'!$D$2:$D$1137,B19)</f>
        <v>747</v>
      </c>
      <c r="D19" s="14">
        <f t="shared" si="0"/>
        <v>0.19648016811137378</v>
      </c>
    </row>
    <row r="20" spans="1:4">
      <c r="A20" s="4" t="s">
        <v>70</v>
      </c>
      <c r="B20" s="4" t="s">
        <v>73</v>
      </c>
      <c r="C20" s="4">
        <f>SUMIFS('Transition Stepwise'!$F$2:$F$1137,'Transition Stepwise'!$C$2:$C$1137,A20,'Transition Stepwise'!$D$2:$D$1137,B20)</f>
        <v>751</v>
      </c>
      <c r="D20" s="14">
        <f t="shared" si="0"/>
        <v>0.16476774758983348</v>
      </c>
    </row>
    <row r="21" spans="1:4">
      <c r="A21" s="4" t="s">
        <v>70</v>
      </c>
      <c r="B21" s="4" t="s">
        <v>71</v>
      </c>
      <c r="C21" s="4">
        <f>SUMIFS('Transition Stepwise'!$F$2:$F$1137,'Transition Stepwise'!$C$2:$C$1137,A21,'Transition Stepwise'!$D$2:$D$1137,B21)</f>
        <v>1167</v>
      </c>
      <c r="D21" s="14">
        <f t="shared" si="0"/>
        <v>0.25591586327782645</v>
      </c>
    </row>
    <row r="22" spans="1:4">
      <c r="A22" s="4" t="s">
        <v>70</v>
      </c>
      <c r="B22" s="4" t="s">
        <v>70</v>
      </c>
      <c r="C22" s="4">
        <f>SUMIFS('Transition Stepwise'!$F$2:$F$1137,'Transition Stepwise'!$C$2:$C$1137,A22,'Transition Stepwise'!$D$2:$D$1137,B22)</f>
        <v>1571</v>
      </c>
      <c r="D22" s="14">
        <f t="shared" si="0"/>
        <v>0.34443470639789658</v>
      </c>
    </row>
    <row r="23" spans="1:4">
      <c r="A23" s="4" t="s">
        <v>70</v>
      </c>
      <c r="B23" s="4" t="s">
        <v>72</v>
      </c>
      <c r="C23" s="4">
        <f>SUMIFS('Transition Stepwise'!$F$2:$F$1137,'Transition Stepwise'!$C$2:$C$1137,A23,'Transition Stepwise'!$D$2:$D$1137,B23)</f>
        <v>1071</v>
      </c>
      <c r="D23" s="14">
        <f t="shared" si="0"/>
        <v>0.23488168273444346</v>
      </c>
    </row>
    <row r="24" spans="1:4">
      <c r="A24" s="4" t="s">
        <v>72</v>
      </c>
      <c r="B24" s="4" t="s">
        <v>73</v>
      </c>
      <c r="C24" s="4">
        <f>SUMIFS('Transition Stepwise'!$F$2:$F$1137,'Transition Stepwise'!$C$2:$C$1137,A24,'Transition Stepwise'!$D$2:$D$1137,B24)</f>
        <v>546</v>
      </c>
      <c r="D24" s="14">
        <f t="shared" si="0"/>
        <v>0.18130593304607226</v>
      </c>
    </row>
    <row r="25" spans="1:4">
      <c r="A25" s="4" t="s">
        <v>72</v>
      </c>
      <c r="B25" s="4" t="s">
        <v>71</v>
      </c>
      <c r="C25" s="4">
        <f>SUMIFS('Transition Stepwise'!$F$2:$F$1137,'Transition Stepwise'!$C$2:$C$1137,A25,'Transition Stepwise'!$D$2:$D$1137,B25)</f>
        <v>1136</v>
      </c>
      <c r="D25" s="14">
        <f t="shared" si="0"/>
        <v>0.37686443486907523</v>
      </c>
    </row>
    <row r="26" spans="1:4">
      <c r="A26" s="4" t="s">
        <v>72</v>
      </c>
      <c r="B26" s="4" t="s">
        <v>70</v>
      </c>
      <c r="C26" s="4">
        <f>SUMIFS('Transition Stepwise'!$F$2:$F$1137,'Transition Stepwise'!$C$2:$C$1137,A26,'Transition Stepwise'!$D$2:$D$1137,B26)</f>
        <v>666</v>
      </c>
      <c r="D26" s="14">
        <f t="shared" si="0"/>
        <v>0.22108054358634405</v>
      </c>
    </row>
    <row r="27" spans="1:4">
      <c r="A27" s="4" t="s">
        <v>72</v>
      </c>
      <c r="B27" s="4" t="s">
        <v>72</v>
      </c>
      <c r="C27" s="4">
        <f>SUMIFS('Transition Stepwise'!$F$2:$F$1137,'Transition Stepwise'!$C$2:$C$1137,A27,'Transition Stepwise'!$D$2:$D$1137,B27)</f>
        <v>665</v>
      </c>
      <c r="D27" s="14">
        <f t="shared" si="0"/>
        <v>0.22074908849850844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dimension ref="A1:E33"/>
  <sheetViews>
    <sheetView workbookViewId="0"/>
  </sheetViews>
  <sheetFormatPr defaultColWidth="8.7109375" defaultRowHeight="15"/>
  <cols>
    <col min="1" max="1" width="8" customWidth="1"/>
    <col min="2" max="2" width="26" customWidth="1"/>
    <col min="3" max="3" width="56" customWidth="1"/>
    <col min="4" max="4" width="48" customWidth="1"/>
    <col min="5" max="5" width="30" customWidth="1"/>
  </cols>
  <sheetData>
    <row r="1" spans="1:5" ht="15.75">
      <c r="A1" s="2" t="s">
        <v>391</v>
      </c>
      <c r="B1" s="4"/>
      <c r="C1" s="4"/>
      <c r="D1" s="4"/>
      <c r="E1" s="4"/>
    </row>
    <row r="2" spans="1:5">
      <c r="A2" s="4" t="s">
        <v>392</v>
      </c>
      <c r="B2" s="4"/>
      <c r="C2" s="4"/>
      <c r="D2" s="4"/>
      <c r="E2" s="4"/>
    </row>
    <row r="3" spans="1:5">
      <c r="A3" s="4"/>
      <c r="B3" s="4"/>
      <c r="C3" s="4"/>
      <c r="D3" s="4"/>
      <c r="E3" s="4"/>
    </row>
    <row r="4" spans="1:5" ht="26.25">
      <c r="A4" s="9" t="s">
        <v>393</v>
      </c>
      <c r="B4" s="9" t="s">
        <v>394</v>
      </c>
      <c r="C4" s="9" t="s">
        <v>395</v>
      </c>
      <c r="D4" s="9" t="s">
        <v>396</v>
      </c>
      <c r="E4" s="9" t="s">
        <v>397</v>
      </c>
    </row>
    <row r="5" spans="1:5">
      <c r="A5" s="4">
        <v>1</v>
      </c>
      <c r="B5" s="4" t="s">
        <v>398</v>
      </c>
      <c r="C5" s="3" t="s">
        <v>399</v>
      </c>
      <c r="D5" s="3" t="s">
        <v>400</v>
      </c>
      <c r="E5" s="4" t="s">
        <v>401</v>
      </c>
    </row>
    <row r="6" spans="1:5">
      <c r="A6" s="4">
        <v>2</v>
      </c>
      <c r="B6" s="4" t="s">
        <v>376</v>
      </c>
      <c r="C6" s="3" t="s">
        <v>402</v>
      </c>
      <c r="D6" s="3" t="s">
        <v>403</v>
      </c>
      <c r="E6" s="4" t="s">
        <v>404</v>
      </c>
    </row>
    <row r="7" spans="1:5">
      <c r="A7" s="4">
        <v>3</v>
      </c>
      <c r="B7" s="4" t="s">
        <v>405</v>
      </c>
      <c r="C7" s="3" t="s">
        <v>406</v>
      </c>
      <c r="D7" s="3" t="s">
        <v>407</v>
      </c>
      <c r="E7" s="4" t="s">
        <v>408</v>
      </c>
    </row>
    <row r="8" spans="1:5">
      <c r="A8" s="4">
        <v>4</v>
      </c>
      <c r="B8" s="4" t="s">
        <v>409</v>
      </c>
      <c r="C8" s="3" t="s">
        <v>410</v>
      </c>
      <c r="D8" s="3" t="s">
        <v>411</v>
      </c>
      <c r="E8" s="4" t="s">
        <v>412</v>
      </c>
    </row>
    <row r="9" spans="1:5">
      <c r="A9" s="4">
        <v>5</v>
      </c>
      <c r="B9" s="4" t="s">
        <v>413</v>
      </c>
      <c r="C9" s="3" t="s">
        <v>414</v>
      </c>
      <c r="D9" s="3" t="s">
        <v>415</v>
      </c>
      <c r="E9" s="4" t="s">
        <v>416</v>
      </c>
    </row>
    <row r="10" spans="1:5">
      <c r="A10" s="4">
        <v>6</v>
      </c>
      <c r="B10" s="4" t="s">
        <v>417</v>
      </c>
      <c r="C10" s="3" t="s">
        <v>418</v>
      </c>
      <c r="D10" s="3" t="s">
        <v>419</v>
      </c>
      <c r="E10" s="4" t="s">
        <v>420</v>
      </c>
    </row>
    <row r="11" spans="1:5">
      <c r="A11" s="4">
        <v>7</v>
      </c>
      <c r="B11" s="4" t="s">
        <v>421</v>
      </c>
      <c r="C11" s="3" t="s">
        <v>422</v>
      </c>
      <c r="D11" s="3" t="s">
        <v>400</v>
      </c>
      <c r="E11" s="4" t="s">
        <v>423</v>
      </c>
    </row>
    <row r="12" spans="1:5">
      <c r="A12" s="4">
        <v>8</v>
      </c>
      <c r="B12" s="4" t="s">
        <v>424</v>
      </c>
      <c r="C12" s="3" t="s">
        <v>425</v>
      </c>
      <c r="D12" s="3" t="s">
        <v>426</v>
      </c>
      <c r="E12" s="4" t="s">
        <v>427</v>
      </c>
    </row>
    <row r="13" spans="1:5">
      <c r="A13" s="4">
        <v>9</v>
      </c>
      <c r="B13" s="4" t="s">
        <v>428</v>
      </c>
      <c r="C13" s="3" t="s">
        <v>429</v>
      </c>
      <c r="D13" s="3" t="s">
        <v>430</v>
      </c>
      <c r="E13" s="4" t="s">
        <v>431</v>
      </c>
    </row>
    <row r="14" spans="1:5">
      <c r="A14" s="4">
        <v>10</v>
      </c>
      <c r="B14" s="4" t="s">
        <v>432</v>
      </c>
      <c r="C14" s="3" t="s">
        <v>433</v>
      </c>
      <c r="D14" s="3" t="s">
        <v>434</v>
      </c>
      <c r="E14" s="4" t="s">
        <v>435</v>
      </c>
    </row>
    <row r="15" spans="1:5">
      <c r="A15" s="4">
        <v>11</v>
      </c>
      <c r="B15" s="4" t="s">
        <v>436</v>
      </c>
      <c r="C15" s="3" t="s">
        <v>437</v>
      </c>
      <c r="D15" s="3" t="s">
        <v>438</v>
      </c>
      <c r="E15" s="4" t="s">
        <v>439</v>
      </c>
    </row>
    <row r="16" spans="1:5" ht="25.5">
      <c r="A16" s="4">
        <v>12</v>
      </c>
      <c r="B16" s="4" t="s">
        <v>440</v>
      </c>
      <c r="C16" s="3" t="s">
        <v>441</v>
      </c>
      <c r="D16" s="3" t="s">
        <v>442</v>
      </c>
      <c r="E16" s="4" t="s">
        <v>443</v>
      </c>
    </row>
    <row r="17" spans="1:5">
      <c r="A17" s="4">
        <v>13</v>
      </c>
      <c r="B17" s="4" t="s">
        <v>444</v>
      </c>
      <c r="C17" s="3" t="s">
        <v>445</v>
      </c>
      <c r="D17" s="3" t="s">
        <v>446</v>
      </c>
      <c r="E17" s="4" t="s">
        <v>447</v>
      </c>
    </row>
    <row r="18" spans="1:5">
      <c r="A18" s="4">
        <v>14</v>
      </c>
      <c r="B18" s="4" t="s">
        <v>448</v>
      </c>
      <c r="C18" s="3" t="s">
        <v>449</v>
      </c>
      <c r="D18" s="3" t="s">
        <v>450</v>
      </c>
      <c r="E18" s="4" t="s">
        <v>451</v>
      </c>
    </row>
    <row r="19" spans="1:5">
      <c r="A19" s="4">
        <v>15</v>
      </c>
      <c r="B19" s="4" t="s">
        <v>452</v>
      </c>
      <c r="C19" s="3" t="s">
        <v>453</v>
      </c>
      <c r="D19" s="3" t="s">
        <v>454</v>
      </c>
      <c r="E19" s="4" t="s">
        <v>455</v>
      </c>
    </row>
    <row r="20" spans="1:5">
      <c r="A20" s="4">
        <v>16</v>
      </c>
      <c r="B20" s="4" t="s">
        <v>456</v>
      </c>
      <c r="C20" s="3" t="s">
        <v>457</v>
      </c>
      <c r="D20" s="3" t="s">
        <v>458</v>
      </c>
      <c r="E20" s="4" t="s">
        <v>455</v>
      </c>
    </row>
    <row r="21" spans="1:5">
      <c r="A21" s="4">
        <v>17</v>
      </c>
      <c r="B21" s="4" t="s">
        <v>459</v>
      </c>
      <c r="C21" s="3" t="s">
        <v>460</v>
      </c>
      <c r="D21" s="3" t="s">
        <v>461</v>
      </c>
      <c r="E21" s="4" t="s">
        <v>455</v>
      </c>
    </row>
    <row r="22" spans="1:5">
      <c r="A22" s="4">
        <v>18</v>
      </c>
      <c r="B22" s="4" t="s">
        <v>462</v>
      </c>
      <c r="C22" s="3" t="s">
        <v>463</v>
      </c>
      <c r="D22" s="3" t="s">
        <v>464</v>
      </c>
      <c r="E22" s="4" t="s">
        <v>465</v>
      </c>
    </row>
    <row r="23" spans="1:5">
      <c r="A23" s="4">
        <v>19</v>
      </c>
      <c r="B23" s="4" t="s">
        <v>466</v>
      </c>
      <c r="C23" s="3" t="s">
        <v>467</v>
      </c>
      <c r="D23" s="3" t="s">
        <v>468</v>
      </c>
      <c r="E23" s="4" t="s">
        <v>465</v>
      </c>
    </row>
    <row r="24" spans="1:5">
      <c r="A24" s="4">
        <v>20</v>
      </c>
      <c r="B24" s="4" t="s">
        <v>469</v>
      </c>
      <c r="C24" s="3" t="s">
        <v>470</v>
      </c>
      <c r="D24" s="3" t="s">
        <v>471</v>
      </c>
      <c r="E24" s="4" t="s">
        <v>472</v>
      </c>
    </row>
    <row r="25" spans="1:5">
      <c r="A25" s="4">
        <v>21</v>
      </c>
      <c r="B25" s="4" t="s">
        <v>473</v>
      </c>
      <c r="C25" s="3" t="s">
        <v>474</v>
      </c>
      <c r="D25" s="3" t="s">
        <v>475</v>
      </c>
      <c r="E25" s="4" t="s">
        <v>472</v>
      </c>
    </row>
    <row r="26" spans="1:5" ht="25.5">
      <c r="A26" s="4">
        <v>22</v>
      </c>
      <c r="B26" s="4" t="s">
        <v>476</v>
      </c>
      <c r="C26" s="3" t="s">
        <v>477</v>
      </c>
      <c r="D26" s="3" t="s">
        <v>478</v>
      </c>
      <c r="E26" s="4" t="s">
        <v>479</v>
      </c>
    </row>
    <row r="27" spans="1:5">
      <c r="A27" s="4">
        <v>23</v>
      </c>
      <c r="B27" s="4" t="s">
        <v>480</v>
      </c>
      <c r="C27" s="3" t="s">
        <v>481</v>
      </c>
      <c r="D27" s="3" t="s">
        <v>482</v>
      </c>
      <c r="E27" s="4" t="s">
        <v>483</v>
      </c>
    </row>
    <row r="28" spans="1:5">
      <c r="A28" s="4">
        <v>24</v>
      </c>
      <c r="B28" s="4" t="s">
        <v>484</v>
      </c>
      <c r="C28" s="3" t="s">
        <v>485</v>
      </c>
      <c r="D28" s="3" t="s">
        <v>482</v>
      </c>
      <c r="E28" s="4" t="s">
        <v>479</v>
      </c>
    </row>
    <row r="29" spans="1:5">
      <c r="A29" s="4">
        <v>25</v>
      </c>
      <c r="B29" s="4" t="s">
        <v>486</v>
      </c>
      <c r="C29" s="3" t="s">
        <v>487</v>
      </c>
      <c r="D29" s="3" t="s">
        <v>488</v>
      </c>
      <c r="E29" s="4" t="s">
        <v>479</v>
      </c>
    </row>
    <row r="30" spans="1:5">
      <c r="A30" s="4">
        <v>26</v>
      </c>
      <c r="B30" s="4" t="s">
        <v>489</v>
      </c>
      <c r="C30" s="3" t="s">
        <v>490</v>
      </c>
      <c r="D30" s="3" t="s">
        <v>468</v>
      </c>
      <c r="E30" s="4" t="s">
        <v>491</v>
      </c>
    </row>
    <row r="31" spans="1:5">
      <c r="A31" s="4"/>
      <c r="B31" s="4"/>
      <c r="C31" s="4"/>
      <c r="D31" s="4"/>
      <c r="E31" s="4"/>
    </row>
    <row r="32" spans="1:5">
      <c r="A32" s="4"/>
      <c r="B32" s="4"/>
      <c r="C32" s="4"/>
      <c r="D32" s="4"/>
      <c r="E32" s="4"/>
    </row>
    <row r="33" spans="1:5">
      <c r="A33" s="4" t="s">
        <v>492</v>
      </c>
      <c r="B33" s="4"/>
      <c r="C33" s="4"/>
      <c r="D33" s="4"/>
      <c r="E33" s="4"/>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dimension ref="A1:L289"/>
  <sheetViews>
    <sheetView workbookViewId="0"/>
  </sheetViews>
  <sheetFormatPr defaultColWidth="8.7109375" defaultRowHeight="15"/>
  <cols>
    <col min="1" max="1" width="10" customWidth="1"/>
    <col min="2" max="2" width="8" customWidth="1"/>
    <col min="3" max="4" width="12" customWidth="1"/>
    <col min="5" max="5" width="10" customWidth="1"/>
    <col min="6" max="6" width="8" customWidth="1"/>
    <col min="7" max="7" width="14" customWidth="1"/>
    <col min="8" max="8" width="16" customWidth="1"/>
    <col min="9" max="9" width="10" customWidth="1"/>
    <col min="10" max="10" width="12" customWidth="1"/>
    <col min="11" max="11" width="24" customWidth="1"/>
    <col min="12" max="12" width="12" customWidth="1"/>
  </cols>
  <sheetData>
    <row r="1" spans="1:12">
      <c r="A1" s="9" t="s">
        <v>374</v>
      </c>
      <c r="B1" s="9" t="s">
        <v>382</v>
      </c>
      <c r="C1" s="9" t="s">
        <v>493</v>
      </c>
      <c r="D1" s="9" t="s">
        <v>494</v>
      </c>
      <c r="E1" s="9" t="s">
        <v>495</v>
      </c>
      <c r="F1" s="9" t="s">
        <v>496</v>
      </c>
      <c r="G1" s="9" t="s">
        <v>497</v>
      </c>
      <c r="H1" s="9" t="s">
        <v>498</v>
      </c>
      <c r="I1" s="9" t="s">
        <v>499</v>
      </c>
      <c r="J1" s="9" t="s">
        <v>500</v>
      </c>
      <c r="K1" s="9" t="s">
        <v>501</v>
      </c>
      <c r="L1" s="9" t="s">
        <v>502</v>
      </c>
    </row>
    <row r="2" spans="1:12">
      <c r="A2" s="4">
        <v>1</v>
      </c>
      <c r="B2" s="4" t="s">
        <v>73</v>
      </c>
      <c r="C2" s="4" t="str">
        <f t="shared" ref="C2:C65" si="0">A2&amp;"|"&amp;B2</f>
        <v>1|A</v>
      </c>
      <c r="D2" s="4">
        <f>INDEX('Frequency 1-72'!$B$2:$E$73,A2,MATCH(B2,{"A","C","G","U"},0))</f>
        <v>13</v>
      </c>
      <c r="E2" s="4">
        <f>'Frequency 1-72'!G2</f>
        <v>200</v>
      </c>
      <c r="F2" s="12">
        <v>1</v>
      </c>
      <c r="G2" s="14">
        <f t="shared" ref="G2:G65" si="1">IF(E2=0,"",D2/E2)</f>
        <v>6.5000000000000002E-2</v>
      </c>
      <c r="H2" s="14">
        <f t="shared" ref="H2:H65" si="2">I2/J2</f>
        <v>6.8627450980392163E-2</v>
      </c>
      <c r="I2" s="4">
        <f t="shared" ref="I2:I65" si="3">D2+F2</f>
        <v>14</v>
      </c>
      <c r="J2" s="4">
        <f t="shared" ref="J2:J65" si="4">E2+4*F2</f>
        <v>204</v>
      </c>
      <c r="K2" s="4" t="s">
        <v>503</v>
      </c>
      <c r="L2" s="4">
        <f t="shared" ref="L2:L65" si="5">ROUND(SUMIF($A$2:$A$289,A2,$H$2:$H$289),9)</f>
        <v>1</v>
      </c>
    </row>
    <row r="3" spans="1:12">
      <c r="A3" s="4">
        <v>1</v>
      </c>
      <c r="B3" s="4" t="s">
        <v>71</v>
      </c>
      <c r="C3" s="4" t="str">
        <f t="shared" si="0"/>
        <v>1|C</v>
      </c>
      <c r="D3" s="4">
        <f>INDEX('Frequency 1-72'!$B$2:$E$73,A3,MATCH(B3,{"A","C","G","U"},0))</f>
        <v>22</v>
      </c>
      <c r="E3" s="4">
        <f>'Frequency 1-72'!G2</f>
        <v>200</v>
      </c>
      <c r="F3" s="12">
        <v>1</v>
      </c>
      <c r="G3" s="14">
        <f t="shared" si="1"/>
        <v>0.11</v>
      </c>
      <c r="H3" s="14">
        <f t="shared" si="2"/>
        <v>0.11274509803921569</v>
      </c>
      <c r="I3" s="4">
        <f t="shared" si="3"/>
        <v>23</v>
      </c>
      <c r="J3" s="4">
        <f t="shared" si="4"/>
        <v>204</v>
      </c>
      <c r="K3" s="4" t="s">
        <v>503</v>
      </c>
      <c r="L3" s="4">
        <f t="shared" si="5"/>
        <v>1</v>
      </c>
    </row>
    <row r="4" spans="1:12">
      <c r="A4" s="4">
        <v>1</v>
      </c>
      <c r="B4" s="4" t="s">
        <v>70</v>
      </c>
      <c r="C4" s="4" t="str">
        <f t="shared" si="0"/>
        <v>1|G</v>
      </c>
      <c r="D4" s="4">
        <f>INDEX('Frequency 1-72'!$B$2:$E$73,A4,MATCH(B4,{"A","C","G","U"},0))</f>
        <v>152</v>
      </c>
      <c r="E4" s="4">
        <f>'Frequency 1-72'!G2</f>
        <v>200</v>
      </c>
      <c r="F4" s="12">
        <v>1</v>
      </c>
      <c r="G4" s="14">
        <f t="shared" si="1"/>
        <v>0.76</v>
      </c>
      <c r="H4" s="14">
        <f t="shared" si="2"/>
        <v>0.75</v>
      </c>
      <c r="I4" s="4">
        <f t="shared" si="3"/>
        <v>153</v>
      </c>
      <c r="J4" s="4">
        <f t="shared" si="4"/>
        <v>204</v>
      </c>
      <c r="K4" s="4" t="s">
        <v>503</v>
      </c>
      <c r="L4" s="4">
        <f t="shared" si="5"/>
        <v>1</v>
      </c>
    </row>
    <row r="5" spans="1:12">
      <c r="A5" s="4">
        <v>1</v>
      </c>
      <c r="B5" s="4" t="s">
        <v>72</v>
      </c>
      <c r="C5" s="4" t="str">
        <f t="shared" si="0"/>
        <v>1|U</v>
      </c>
      <c r="D5" s="4">
        <f>INDEX('Frequency 1-72'!$B$2:$E$73,A5,MATCH(B5,{"A","C","G","U"},0))</f>
        <v>13</v>
      </c>
      <c r="E5" s="4">
        <f>'Frequency 1-72'!G2</f>
        <v>200</v>
      </c>
      <c r="F5" s="12">
        <v>1</v>
      </c>
      <c r="G5" s="14">
        <f t="shared" si="1"/>
        <v>6.5000000000000002E-2</v>
      </c>
      <c r="H5" s="14">
        <f t="shared" si="2"/>
        <v>6.8627450980392163E-2</v>
      </c>
      <c r="I5" s="4">
        <f t="shared" si="3"/>
        <v>14</v>
      </c>
      <c r="J5" s="4">
        <f t="shared" si="4"/>
        <v>204</v>
      </c>
      <c r="K5" s="4" t="s">
        <v>503</v>
      </c>
      <c r="L5" s="4">
        <f t="shared" si="5"/>
        <v>1</v>
      </c>
    </row>
    <row r="6" spans="1:12">
      <c r="A6" s="4">
        <v>2</v>
      </c>
      <c r="B6" s="4" t="s">
        <v>73</v>
      </c>
      <c r="C6" s="4" t="str">
        <f t="shared" si="0"/>
        <v>2|A</v>
      </c>
      <c r="D6" s="4">
        <f>INDEX('Frequency 1-72'!$B$2:$E$73,A6,MATCH(B6,{"A","C","G","U"},0))</f>
        <v>6</v>
      </c>
      <c r="E6" s="4">
        <f>'Frequency 1-72'!G3</f>
        <v>200</v>
      </c>
      <c r="F6" s="12">
        <v>1</v>
      </c>
      <c r="G6" s="14">
        <f t="shared" si="1"/>
        <v>0.03</v>
      </c>
      <c r="H6" s="14">
        <f t="shared" si="2"/>
        <v>3.4313725490196081E-2</v>
      </c>
      <c r="I6" s="4">
        <f t="shared" si="3"/>
        <v>7</v>
      </c>
      <c r="J6" s="4">
        <f t="shared" si="4"/>
        <v>204</v>
      </c>
      <c r="K6" s="4" t="s">
        <v>503</v>
      </c>
      <c r="L6" s="4">
        <f t="shared" si="5"/>
        <v>1</v>
      </c>
    </row>
    <row r="7" spans="1:12">
      <c r="A7" s="4">
        <v>2</v>
      </c>
      <c r="B7" s="4" t="s">
        <v>71</v>
      </c>
      <c r="C7" s="4" t="str">
        <f t="shared" si="0"/>
        <v>2|C</v>
      </c>
      <c r="D7" s="4">
        <f>INDEX('Frequency 1-72'!$B$2:$E$73,A7,MATCH(B7,{"A","C","G","U"},0))</f>
        <v>82</v>
      </c>
      <c r="E7" s="4">
        <f>'Frequency 1-72'!G3</f>
        <v>200</v>
      </c>
      <c r="F7" s="12">
        <v>1</v>
      </c>
      <c r="G7" s="14">
        <f t="shared" si="1"/>
        <v>0.41</v>
      </c>
      <c r="H7" s="14">
        <f t="shared" si="2"/>
        <v>0.40686274509803921</v>
      </c>
      <c r="I7" s="4">
        <f t="shared" si="3"/>
        <v>83</v>
      </c>
      <c r="J7" s="4">
        <f t="shared" si="4"/>
        <v>204</v>
      </c>
      <c r="K7" s="4" t="s">
        <v>503</v>
      </c>
      <c r="L7" s="4">
        <f t="shared" si="5"/>
        <v>1</v>
      </c>
    </row>
    <row r="8" spans="1:12">
      <c r="A8" s="4">
        <v>2</v>
      </c>
      <c r="B8" s="4" t="s">
        <v>70</v>
      </c>
      <c r="C8" s="4" t="str">
        <f t="shared" si="0"/>
        <v>2|G</v>
      </c>
      <c r="D8" s="4">
        <f>INDEX('Frequency 1-72'!$B$2:$E$73,A8,MATCH(B8,{"A","C","G","U"},0))</f>
        <v>106</v>
      </c>
      <c r="E8" s="4">
        <f>'Frequency 1-72'!G3</f>
        <v>200</v>
      </c>
      <c r="F8" s="12">
        <v>1</v>
      </c>
      <c r="G8" s="14">
        <f t="shared" si="1"/>
        <v>0.53</v>
      </c>
      <c r="H8" s="14">
        <f t="shared" si="2"/>
        <v>0.52450980392156865</v>
      </c>
      <c r="I8" s="4">
        <f t="shared" si="3"/>
        <v>107</v>
      </c>
      <c r="J8" s="4">
        <f t="shared" si="4"/>
        <v>204</v>
      </c>
      <c r="K8" s="4" t="s">
        <v>503</v>
      </c>
      <c r="L8" s="4">
        <f t="shared" si="5"/>
        <v>1</v>
      </c>
    </row>
    <row r="9" spans="1:12">
      <c r="A9" s="4">
        <v>2</v>
      </c>
      <c r="B9" s="4" t="s">
        <v>72</v>
      </c>
      <c r="C9" s="4" t="str">
        <f t="shared" si="0"/>
        <v>2|U</v>
      </c>
      <c r="D9" s="4">
        <f>INDEX('Frequency 1-72'!$B$2:$E$73,A9,MATCH(B9,{"A","C","G","U"},0))</f>
        <v>6</v>
      </c>
      <c r="E9" s="4">
        <f>'Frequency 1-72'!G3</f>
        <v>200</v>
      </c>
      <c r="F9" s="12">
        <v>1</v>
      </c>
      <c r="G9" s="14">
        <f t="shared" si="1"/>
        <v>0.03</v>
      </c>
      <c r="H9" s="14">
        <f t="shared" si="2"/>
        <v>3.4313725490196081E-2</v>
      </c>
      <c r="I9" s="4">
        <f t="shared" si="3"/>
        <v>7</v>
      </c>
      <c r="J9" s="4">
        <f t="shared" si="4"/>
        <v>204</v>
      </c>
      <c r="K9" s="4" t="s">
        <v>503</v>
      </c>
      <c r="L9" s="4">
        <f t="shared" si="5"/>
        <v>1</v>
      </c>
    </row>
    <row r="10" spans="1:12">
      <c r="A10" s="4">
        <v>3</v>
      </c>
      <c r="B10" s="4" t="s">
        <v>73</v>
      </c>
      <c r="C10" s="4" t="str">
        <f t="shared" si="0"/>
        <v>3|A</v>
      </c>
      <c r="D10" s="4">
        <f>INDEX('Frequency 1-72'!$B$2:$E$73,A10,MATCH(B10,{"A","C","G","U"},0))</f>
        <v>14</v>
      </c>
      <c r="E10" s="4">
        <f>'Frequency 1-72'!G4</f>
        <v>200</v>
      </c>
      <c r="F10" s="12">
        <v>1</v>
      </c>
      <c r="G10" s="14">
        <f t="shared" si="1"/>
        <v>7.0000000000000007E-2</v>
      </c>
      <c r="H10" s="14">
        <f t="shared" si="2"/>
        <v>7.3529411764705885E-2</v>
      </c>
      <c r="I10" s="4">
        <f t="shared" si="3"/>
        <v>15</v>
      </c>
      <c r="J10" s="4">
        <f t="shared" si="4"/>
        <v>204</v>
      </c>
      <c r="K10" s="4" t="s">
        <v>503</v>
      </c>
      <c r="L10" s="4">
        <f t="shared" si="5"/>
        <v>1</v>
      </c>
    </row>
    <row r="11" spans="1:12">
      <c r="A11" s="4">
        <v>3</v>
      </c>
      <c r="B11" s="4" t="s">
        <v>71</v>
      </c>
      <c r="C11" s="4" t="str">
        <f t="shared" si="0"/>
        <v>3|C</v>
      </c>
      <c r="D11" s="4">
        <f>INDEX('Frequency 1-72'!$B$2:$E$73,A11,MATCH(B11,{"A","C","G","U"},0))</f>
        <v>77</v>
      </c>
      <c r="E11" s="4">
        <f>'Frequency 1-72'!G4</f>
        <v>200</v>
      </c>
      <c r="F11" s="12">
        <v>1</v>
      </c>
      <c r="G11" s="14">
        <f t="shared" si="1"/>
        <v>0.38500000000000001</v>
      </c>
      <c r="H11" s="14">
        <f t="shared" si="2"/>
        <v>0.38235294117647056</v>
      </c>
      <c r="I11" s="4">
        <f t="shared" si="3"/>
        <v>78</v>
      </c>
      <c r="J11" s="4">
        <f t="shared" si="4"/>
        <v>204</v>
      </c>
      <c r="K11" s="4" t="s">
        <v>503</v>
      </c>
      <c r="L11" s="4">
        <f t="shared" si="5"/>
        <v>1</v>
      </c>
    </row>
    <row r="12" spans="1:12">
      <c r="A12" s="4">
        <v>3</v>
      </c>
      <c r="B12" s="4" t="s">
        <v>70</v>
      </c>
      <c r="C12" s="4" t="str">
        <f t="shared" si="0"/>
        <v>3|G</v>
      </c>
      <c r="D12" s="4">
        <f>INDEX('Frequency 1-72'!$B$2:$E$73,A12,MATCH(B12,{"A","C","G","U"},0))</f>
        <v>86</v>
      </c>
      <c r="E12" s="4">
        <f>'Frequency 1-72'!G4</f>
        <v>200</v>
      </c>
      <c r="F12" s="12">
        <v>1</v>
      </c>
      <c r="G12" s="14">
        <f t="shared" si="1"/>
        <v>0.43</v>
      </c>
      <c r="H12" s="14">
        <f t="shared" si="2"/>
        <v>0.4264705882352941</v>
      </c>
      <c r="I12" s="4">
        <f t="shared" si="3"/>
        <v>87</v>
      </c>
      <c r="J12" s="4">
        <f t="shared" si="4"/>
        <v>204</v>
      </c>
      <c r="K12" s="4" t="s">
        <v>503</v>
      </c>
      <c r="L12" s="4">
        <f t="shared" si="5"/>
        <v>1</v>
      </c>
    </row>
    <row r="13" spans="1:12">
      <c r="A13" s="4">
        <v>3</v>
      </c>
      <c r="B13" s="4" t="s">
        <v>72</v>
      </c>
      <c r="C13" s="4" t="str">
        <f t="shared" si="0"/>
        <v>3|U</v>
      </c>
      <c r="D13" s="4">
        <f>INDEX('Frequency 1-72'!$B$2:$E$73,A13,MATCH(B13,{"A","C","G","U"},0))</f>
        <v>23</v>
      </c>
      <c r="E13" s="4">
        <f>'Frequency 1-72'!G4</f>
        <v>200</v>
      </c>
      <c r="F13" s="12">
        <v>1</v>
      </c>
      <c r="G13" s="14">
        <f t="shared" si="1"/>
        <v>0.115</v>
      </c>
      <c r="H13" s="14">
        <f t="shared" si="2"/>
        <v>0.11764705882352941</v>
      </c>
      <c r="I13" s="4">
        <f t="shared" si="3"/>
        <v>24</v>
      </c>
      <c r="J13" s="4">
        <f t="shared" si="4"/>
        <v>204</v>
      </c>
      <c r="K13" s="4" t="s">
        <v>503</v>
      </c>
      <c r="L13" s="4">
        <f t="shared" si="5"/>
        <v>1</v>
      </c>
    </row>
    <row r="14" spans="1:12">
      <c r="A14" s="4">
        <v>4</v>
      </c>
      <c r="B14" s="4" t="s">
        <v>73</v>
      </c>
      <c r="C14" s="4" t="str">
        <f t="shared" si="0"/>
        <v>4|A</v>
      </c>
      <c r="D14" s="4">
        <f>INDEX('Frequency 1-72'!$B$2:$E$73,A14,MATCH(B14,{"A","C","G","U"},0))</f>
        <v>16</v>
      </c>
      <c r="E14" s="4">
        <f>'Frequency 1-72'!G5</f>
        <v>200</v>
      </c>
      <c r="F14" s="12">
        <v>1</v>
      </c>
      <c r="G14" s="14">
        <f t="shared" si="1"/>
        <v>0.08</v>
      </c>
      <c r="H14" s="14">
        <f t="shared" si="2"/>
        <v>8.3333333333333329E-2</v>
      </c>
      <c r="I14" s="4">
        <f t="shared" si="3"/>
        <v>17</v>
      </c>
      <c r="J14" s="4">
        <f t="shared" si="4"/>
        <v>204</v>
      </c>
      <c r="K14" s="4" t="s">
        <v>503</v>
      </c>
      <c r="L14" s="4">
        <f t="shared" si="5"/>
        <v>1</v>
      </c>
    </row>
    <row r="15" spans="1:12">
      <c r="A15" s="4">
        <v>4</v>
      </c>
      <c r="B15" s="4" t="s">
        <v>71</v>
      </c>
      <c r="C15" s="4" t="str">
        <f t="shared" si="0"/>
        <v>4|C</v>
      </c>
      <c r="D15" s="4">
        <f>INDEX('Frequency 1-72'!$B$2:$E$73,A15,MATCH(B15,{"A","C","G","U"},0))</f>
        <v>61</v>
      </c>
      <c r="E15" s="4">
        <f>'Frequency 1-72'!G5</f>
        <v>200</v>
      </c>
      <c r="F15" s="12">
        <v>1</v>
      </c>
      <c r="G15" s="14">
        <f t="shared" si="1"/>
        <v>0.30499999999999999</v>
      </c>
      <c r="H15" s="14">
        <f t="shared" si="2"/>
        <v>0.30392156862745096</v>
      </c>
      <c r="I15" s="4">
        <f t="shared" si="3"/>
        <v>62</v>
      </c>
      <c r="J15" s="4">
        <f t="shared" si="4"/>
        <v>204</v>
      </c>
      <c r="K15" s="4" t="s">
        <v>503</v>
      </c>
      <c r="L15" s="4">
        <f t="shared" si="5"/>
        <v>1</v>
      </c>
    </row>
    <row r="16" spans="1:12">
      <c r="A16" s="4">
        <v>4</v>
      </c>
      <c r="B16" s="4" t="s">
        <v>70</v>
      </c>
      <c r="C16" s="4" t="str">
        <f t="shared" si="0"/>
        <v>4|G</v>
      </c>
      <c r="D16" s="4">
        <f>INDEX('Frequency 1-72'!$B$2:$E$73,A16,MATCH(B16,{"A","C","G","U"},0))</f>
        <v>89</v>
      </c>
      <c r="E16" s="4">
        <f>'Frequency 1-72'!G5</f>
        <v>200</v>
      </c>
      <c r="F16" s="12">
        <v>1</v>
      </c>
      <c r="G16" s="14">
        <f t="shared" si="1"/>
        <v>0.44500000000000001</v>
      </c>
      <c r="H16" s="14">
        <f t="shared" si="2"/>
        <v>0.44117647058823528</v>
      </c>
      <c r="I16" s="4">
        <f t="shared" si="3"/>
        <v>90</v>
      </c>
      <c r="J16" s="4">
        <f t="shared" si="4"/>
        <v>204</v>
      </c>
      <c r="K16" s="4" t="s">
        <v>503</v>
      </c>
      <c r="L16" s="4">
        <f t="shared" si="5"/>
        <v>1</v>
      </c>
    </row>
    <row r="17" spans="1:12">
      <c r="A17" s="4">
        <v>4</v>
      </c>
      <c r="B17" s="4" t="s">
        <v>72</v>
      </c>
      <c r="C17" s="4" t="str">
        <f t="shared" si="0"/>
        <v>4|U</v>
      </c>
      <c r="D17" s="4">
        <f>INDEX('Frequency 1-72'!$B$2:$E$73,A17,MATCH(B17,{"A","C","G","U"},0))</f>
        <v>34</v>
      </c>
      <c r="E17" s="4">
        <f>'Frequency 1-72'!G5</f>
        <v>200</v>
      </c>
      <c r="F17" s="12">
        <v>1</v>
      </c>
      <c r="G17" s="14">
        <f t="shared" si="1"/>
        <v>0.17</v>
      </c>
      <c r="H17" s="14">
        <f t="shared" si="2"/>
        <v>0.17156862745098039</v>
      </c>
      <c r="I17" s="4">
        <f t="shared" si="3"/>
        <v>35</v>
      </c>
      <c r="J17" s="4">
        <f t="shared" si="4"/>
        <v>204</v>
      </c>
      <c r="K17" s="4" t="s">
        <v>503</v>
      </c>
      <c r="L17" s="4">
        <f t="shared" si="5"/>
        <v>1</v>
      </c>
    </row>
    <row r="18" spans="1:12">
      <c r="A18" s="4">
        <v>5</v>
      </c>
      <c r="B18" s="4" t="s">
        <v>73</v>
      </c>
      <c r="C18" s="4" t="str">
        <f t="shared" si="0"/>
        <v>5|A</v>
      </c>
      <c r="D18" s="4">
        <f>INDEX('Frequency 1-72'!$B$2:$E$73,A18,MATCH(B18,{"A","C","G","U"},0))</f>
        <v>31</v>
      </c>
      <c r="E18" s="4">
        <f>'Frequency 1-72'!G6</f>
        <v>200</v>
      </c>
      <c r="F18" s="12">
        <v>1</v>
      </c>
      <c r="G18" s="14">
        <f t="shared" si="1"/>
        <v>0.155</v>
      </c>
      <c r="H18" s="14">
        <f t="shared" si="2"/>
        <v>0.15686274509803921</v>
      </c>
      <c r="I18" s="4">
        <f t="shared" si="3"/>
        <v>32</v>
      </c>
      <c r="J18" s="4">
        <f t="shared" si="4"/>
        <v>204</v>
      </c>
      <c r="K18" s="4" t="s">
        <v>503</v>
      </c>
      <c r="L18" s="4">
        <f t="shared" si="5"/>
        <v>1</v>
      </c>
    </row>
    <row r="19" spans="1:12">
      <c r="A19" s="4">
        <v>5</v>
      </c>
      <c r="B19" s="4" t="s">
        <v>71</v>
      </c>
      <c r="C19" s="4" t="str">
        <f t="shared" si="0"/>
        <v>5|C</v>
      </c>
      <c r="D19" s="4">
        <f>INDEX('Frequency 1-72'!$B$2:$E$73,A19,MATCH(B19,{"A","C","G","U"},0))</f>
        <v>79</v>
      </c>
      <c r="E19" s="4">
        <f>'Frequency 1-72'!G6</f>
        <v>200</v>
      </c>
      <c r="F19" s="12">
        <v>1</v>
      </c>
      <c r="G19" s="14">
        <f t="shared" si="1"/>
        <v>0.39500000000000002</v>
      </c>
      <c r="H19" s="14">
        <f t="shared" si="2"/>
        <v>0.39215686274509803</v>
      </c>
      <c r="I19" s="4">
        <f t="shared" si="3"/>
        <v>80</v>
      </c>
      <c r="J19" s="4">
        <f t="shared" si="4"/>
        <v>204</v>
      </c>
      <c r="K19" s="4" t="s">
        <v>503</v>
      </c>
      <c r="L19" s="4">
        <f t="shared" si="5"/>
        <v>1</v>
      </c>
    </row>
    <row r="20" spans="1:12">
      <c r="A20" s="4">
        <v>5</v>
      </c>
      <c r="B20" s="4" t="s">
        <v>70</v>
      </c>
      <c r="C20" s="4" t="str">
        <f t="shared" si="0"/>
        <v>5|G</v>
      </c>
      <c r="D20" s="4">
        <f>INDEX('Frequency 1-72'!$B$2:$E$73,A20,MATCH(B20,{"A","C","G","U"},0))</f>
        <v>69</v>
      </c>
      <c r="E20" s="4">
        <f>'Frequency 1-72'!G6</f>
        <v>200</v>
      </c>
      <c r="F20" s="12">
        <v>1</v>
      </c>
      <c r="G20" s="14">
        <f t="shared" si="1"/>
        <v>0.34499999999999997</v>
      </c>
      <c r="H20" s="14">
        <f t="shared" si="2"/>
        <v>0.34313725490196079</v>
      </c>
      <c r="I20" s="4">
        <f t="shared" si="3"/>
        <v>70</v>
      </c>
      <c r="J20" s="4">
        <f t="shared" si="4"/>
        <v>204</v>
      </c>
      <c r="K20" s="4" t="s">
        <v>503</v>
      </c>
      <c r="L20" s="4">
        <f t="shared" si="5"/>
        <v>1</v>
      </c>
    </row>
    <row r="21" spans="1:12">
      <c r="A21" s="4">
        <v>5</v>
      </c>
      <c r="B21" s="4" t="s">
        <v>72</v>
      </c>
      <c r="C21" s="4" t="str">
        <f t="shared" si="0"/>
        <v>5|U</v>
      </c>
      <c r="D21" s="4">
        <f>INDEX('Frequency 1-72'!$B$2:$E$73,A21,MATCH(B21,{"A","C","G","U"},0))</f>
        <v>21</v>
      </c>
      <c r="E21" s="4">
        <f>'Frequency 1-72'!G6</f>
        <v>200</v>
      </c>
      <c r="F21" s="12">
        <v>1</v>
      </c>
      <c r="G21" s="14">
        <f t="shared" si="1"/>
        <v>0.105</v>
      </c>
      <c r="H21" s="14">
        <f t="shared" si="2"/>
        <v>0.10784313725490197</v>
      </c>
      <c r="I21" s="4">
        <f t="shared" si="3"/>
        <v>22</v>
      </c>
      <c r="J21" s="4">
        <f t="shared" si="4"/>
        <v>204</v>
      </c>
      <c r="K21" s="4" t="s">
        <v>503</v>
      </c>
      <c r="L21" s="4">
        <f t="shared" si="5"/>
        <v>1</v>
      </c>
    </row>
    <row r="22" spans="1:12">
      <c r="A22" s="4">
        <v>6</v>
      </c>
      <c r="B22" s="4" t="s">
        <v>73</v>
      </c>
      <c r="C22" s="4" t="str">
        <f t="shared" si="0"/>
        <v>6|A</v>
      </c>
      <c r="D22" s="4">
        <f>INDEX('Frequency 1-72'!$B$2:$E$73,A22,MATCH(B22,{"A","C","G","U"},0))</f>
        <v>34</v>
      </c>
      <c r="E22" s="4">
        <f>'Frequency 1-72'!G7</f>
        <v>200</v>
      </c>
      <c r="F22" s="12">
        <v>1</v>
      </c>
      <c r="G22" s="14">
        <f t="shared" si="1"/>
        <v>0.17</v>
      </c>
      <c r="H22" s="14">
        <f t="shared" si="2"/>
        <v>0.17156862745098039</v>
      </c>
      <c r="I22" s="4">
        <f t="shared" si="3"/>
        <v>35</v>
      </c>
      <c r="J22" s="4">
        <f t="shared" si="4"/>
        <v>204</v>
      </c>
      <c r="K22" s="4" t="s">
        <v>503</v>
      </c>
      <c r="L22" s="4">
        <f t="shared" si="5"/>
        <v>1</v>
      </c>
    </row>
    <row r="23" spans="1:12">
      <c r="A23" s="4">
        <v>6</v>
      </c>
      <c r="B23" s="4" t="s">
        <v>71</v>
      </c>
      <c r="C23" s="4" t="str">
        <f t="shared" si="0"/>
        <v>6|C</v>
      </c>
      <c r="D23" s="4">
        <f>INDEX('Frequency 1-72'!$B$2:$E$73,A23,MATCH(B23,{"A","C","G","U"},0))</f>
        <v>65</v>
      </c>
      <c r="E23" s="4">
        <f>'Frequency 1-72'!G7</f>
        <v>200</v>
      </c>
      <c r="F23" s="12">
        <v>1</v>
      </c>
      <c r="G23" s="14">
        <f t="shared" si="1"/>
        <v>0.32500000000000001</v>
      </c>
      <c r="H23" s="14">
        <f t="shared" si="2"/>
        <v>0.3235294117647059</v>
      </c>
      <c r="I23" s="4">
        <f t="shared" si="3"/>
        <v>66</v>
      </c>
      <c r="J23" s="4">
        <f t="shared" si="4"/>
        <v>204</v>
      </c>
      <c r="K23" s="4" t="s">
        <v>503</v>
      </c>
      <c r="L23" s="4">
        <f t="shared" si="5"/>
        <v>1</v>
      </c>
    </row>
    <row r="24" spans="1:12">
      <c r="A24" s="4">
        <v>6</v>
      </c>
      <c r="B24" s="4" t="s">
        <v>70</v>
      </c>
      <c r="C24" s="4" t="str">
        <f t="shared" si="0"/>
        <v>6|G</v>
      </c>
      <c r="D24" s="4">
        <f>INDEX('Frequency 1-72'!$B$2:$E$73,A24,MATCH(B24,{"A","C","G","U"},0))</f>
        <v>48</v>
      </c>
      <c r="E24" s="4">
        <f>'Frequency 1-72'!G7</f>
        <v>200</v>
      </c>
      <c r="F24" s="12">
        <v>1</v>
      </c>
      <c r="G24" s="14">
        <f t="shared" si="1"/>
        <v>0.24</v>
      </c>
      <c r="H24" s="14">
        <f t="shared" si="2"/>
        <v>0.24019607843137256</v>
      </c>
      <c r="I24" s="4">
        <f t="shared" si="3"/>
        <v>49</v>
      </c>
      <c r="J24" s="4">
        <f t="shared" si="4"/>
        <v>204</v>
      </c>
      <c r="K24" s="4" t="s">
        <v>503</v>
      </c>
      <c r="L24" s="4">
        <f t="shared" si="5"/>
        <v>1</v>
      </c>
    </row>
    <row r="25" spans="1:12">
      <c r="A25" s="4">
        <v>6</v>
      </c>
      <c r="B25" s="4" t="s">
        <v>72</v>
      </c>
      <c r="C25" s="4" t="str">
        <f t="shared" si="0"/>
        <v>6|U</v>
      </c>
      <c r="D25" s="4">
        <f>INDEX('Frequency 1-72'!$B$2:$E$73,A25,MATCH(B25,{"A","C","G","U"},0))</f>
        <v>53</v>
      </c>
      <c r="E25" s="4">
        <f>'Frequency 1-72'!G7</f>
        <v>200</v>
      </c>
      <c r="F25" s="12">
        <v>1</v>
      </c>
      <c r="G25" s="14">
        <f t="shared" si="1"/>
        <v>0.26500000000000001</v>
      </c>
      <c r="H25" s="14">
        <f t="shared" si="2"/>
        <v>0.26470588235294118</v>
      </c>
      <c r="I25" s="4">
        <f t="shared" si="3"/>
        <v>54</v>
      </c>
      <c r="J25" s="4">
        <f t="shared" si="4"/>
        <v>204</v>
      </c>
      <c r="K25" s="4" t="s">
        <v>503</v>
      </c>
      <c r="L25" s="4">
        <f t="shared" si="5"/>
        <v>1</v>
      </c>
    </row>
    <row r="26" spans="1:12">
      <c r="A26" s="4">
        <v>7</v>
      </c>
      <c r="B26" s="4" t="s">
        <v>73</v>
      </c>
      <c r="C26" s="4" t="str">
        <f t="shared" si="0"/>
        <v>7|A</v>
      </c>
      <c r="D26" s="4">
        <f>INDEX('Frequency 1-72'!$B$2:$E$73,A26,MATCH(B26,{"A","C","G","U"},0))</f>
        <v>48</v>
      </c>
      <c r="E26" s="4">
        <f>'Frequency 1-72'!G8</f>
        <v>200</v>
      </c>
      <c r="F26" s="12">
        <v>1</v>
      </c>
      <c r="G26" s="14">
        <f t="shared" si="1"/>
        <v>0.24</v>
      </c>
      <c r="H26" s="14">
        <f t="shared" si="2"/>
        <v>0.24019607843137256</v>
      </c>
      <c r="I26" s="4">
        <f t="shared" si="3"/>
        <v>49</v>
      </c>
      <c r="J26" s="4">
        <f t="shared" si="4"/>
        <v>204</v>
      </c>
      <c r="K26" s="4" t="s">
        <v>503</v>
      </c>
      <c r="L26" s="4">
        <f t="shared" si="5"/>
        <v>1</v>
      </c>
    </row>
    <row r="27" spans="1:12">
      <c r="A27" s="4">
        <v>7</v>
      </c>
      <c r="B27" s="4" t="s">
        <v>71</v>
      </c>
      <c r="C27" s="4" t="str">
        <f t="shared" si="0"/>
        <v>7|C</v>
      </c>
      <c r="D27" s="4">
        <f>INDEX('Frequency 1-72'!$B$2:$E$73,A27,MATCH(B27,{"A","C","G","U"},0))</f>
        <v>3</v>
      </c>
      <c r="E27" s="4">
        <f>'Frequency 1-72'!G8</f>
        <v>200</v>
      </c>
      <c r="F27" s="12">
        <v>1</v>
      </c>
      <c r="G27" s="14">
        <f t="shared" si="1"/>
        <v>1.4999999999999999E-2</v>
      </c>
      <c r="H27" s="14">
        <f t="shared" si="2"/>
        <v>1.9607843137254902E-2</v>
      </c>
      <c r="I27" s="4">
        <f t="shared" si="3"/>
        <v>4</v>
      </c>
      <c r="J27" s="4">
        <f t="shared" si="4"/>
        <v>204</v>
      </c>
      <c r="K27" s="4" t="s">
        <v>503</v>
      </c>
      <c r="L27" s="4">
        <f t="shared" si="5"/>
        <v>1</v>
      </c>
    </row>
    <row r="28" spans="1:12">
      <c r="A28" s="4">
        <v>7</v>
      </c>
      <c r="B28" s="4" t="s">
        <v>70</v>
      </c>
      <c r="C28" s="4" t="str">
        <f t="shared" si="0"/>
        <v>7|G</v>
      </c>
      <c r="D28" s="4">
        <f>INDEX('Frequency 1-72'!$B$2:$E$73,A28,MATCH(B28,{"A","C","G","U"},0))</f>
        <v>105</v>
      </c>
      <c r="E28" s="4">
        <f>'Frequency 1-72'!G8</f>
        <v>200</v>
      </c>
      <c r="F28" s="12">
        <v>1</v>
      </c>
      <c r="G28" s="14">
        <f t="shared" si="1"/>
        <v>0.52500000000000002</v>
      </c>
      <c r="H28" s="14">
        <f t="shared" si="2"/>
        <v>0.51960784313725494</v>
      </c>
      <c r="I28" s="4">
        <f t="shared" si="3"/>
        <v>106</v>
      </c>
      <c r="J28" s="4">
        <f t="shared" si="4"/>
        <v>204</v>
      </c>
      <c r="K28" s="4" t="s">
        <v>503</v>
      </c>
      <c r="L28" s="4">
        <f t="shared" si="5"/>
        <v>1</v>
      </c>
    </row>
    <row r="29" spans="1:12">
      <c r="A29" s="4">
        <v>7</v>
      </c>
      <c r="B29" s="4" t="s">
        <v>72</v>
      </c>
      <c r="C29" s="4" t="str">
        <f t="shared" si="0"/>
        <v>7|U</v>
      </c>
      <c r="D29" s="4">
        <f>INDEX('Frequency 1-72'!$B$2:$E$73,A29,MATCH(B29,{"A","C","G","U"},0))</f>
        <v>44</v>
      </c>
      <c r="E29" s="4">
        <f>'Frequency 1-72'!G8</f>
        <v>200</v>
      </c>
      <c r="F29" s="12">
        <v>1</v>
      </c>
      <c r="G29" s="14">
        <f t="shared" si="1"/>
        <v>0.22</v>
      </c>
      <c r="H29" s="14">
        <f t="shared" si="2"/>
        <v>0.22058823529411764</v>
      </c>
      <c r="I29" s="4">
        <f t="shared" si="3"/>
        <v>45</v>
      </c>
      <c r="J29" s="4">
        <f t="shared" si="4"/>
        <v>204</v>
      </c>
      <c r="K29" s="4" t="s">
        <v>503</v>
      </c>
      <c r="L29" s="4">
        <f t="shared" si="5"/>
        <v>1</v>
      </c>
    </row>
    <row r="30" spans="1:12">
      <c r="A30" s="4">
        <v>8</v>
      </c>
      <c r="B30" s="4" t="s">
        <v>73</v>
      </c>
      <c r="C30" s="4" t="str">
        <f t="shared" si="0"/>
        <v>8|A</v>
      </c>
      <c r="D30" s="4">
        <f>INDEX('Frequency 1-72'!$B$2:$E$73,A30,MATCH(B30,{"A","C","G","U"},0))</f>
        <v>1</v>
      </c>
      <c r="E30" s="4">
        <f>'Frequency 1-72'!G9</f>
        <v>200</v>
      </c>
      <c r="F30" s="12">
        <v>1</v>
      </c>
      <c r="G30" s="14">
        <f t="shared" si="1"/>
        <v>5.0000000000000001E-3</v>
      </c>
      <c r="H30" s="14">
        <f t="shared" si="2"/>
        <v>9.8039215686274508E-3</v>
      </c>
      <c r="I30" s="4">
        <f t="shared" si="3"/>
        <v>2</v>
      </c>
      <c r="J30" s="4">
        <f t="shared" si="4"/>
        <v>204</v>
      </c>
      <c r="K30" s="4" t="s">
        <v>503</v>
      </c>
      <c r="L30" s="4">
        <f t="shared" si="5"/>
        <v>1</v>
      </c>
    </row>
    <row r="31" spans="1:12">
      <c r="A31" s="4">
        <v>8</v>
      </c>
      <c r="B31" s="4" t="s">
        <v>71</v>
      </c>
      <c r="C31" s="4" t="str">
        <f t="shared" si="0"/>
        <v>8|C</v>
      </c>
      <c r="D31" s="4">
        <f>INDEX('Frequency 1-72'!$B$2:$E$73,A31,MATCH(B31,{"A","C","G","U"},0))</f>
        <v>0</v>
      </c>
      <c r="E31" s="4">
        <f>'Frequency 1-72'!G9</f>
        <v>200</v>
      </c>
      <c r="F31" s="12">
        <v>1</v>
      </c>
      <c r="G31" s="14">
        <f t="shared" si="1"/>
        <v>0</v>
      </c>
      <c r="H31" s="14">
        <f t="shared" si="2"/>
        <v>4.9019607843137254E-3</v>
      </c>
      <c r="I31" s="4">
        <f t="shared" si="3"/>
        <v>1</v>
      </c>
      <c r="J31" s="4">
        <f t="shared" si="4"/>
        <v>204</v>
      </c>
      <c r="K31" s="4" t="s">
        <v>503</v>
      </c>
      <c r="L31" s="4">
        <f t="shared" si="5"/>
        <v>1</v>
      </c>
    </row>
    <row r="32" spans="1:12">
      <c r="A32" s="4">
        <v>8</v>
      </c>
      <c r="B32" s="4" t="s">
        <v>70</v>
      </c>
      <c r="C32" s="4" t="str">
        <f t="shared" si="0"/>
        <v>8|G</v>
      </c>
      <c r="D32" s="4">
        <f>INDEX('Frequency 1-72'!$B$2:$E$73,A32,MATCH(B32,{"A","C","G","U"},0))</f>
        <v>1</v>
      </c>
      <c r="E32" s="4">
        <f>'Frequency 1-72'!G9</f>
        <v>200</v>
      </c>
      <c r="F32" s="12">
        <v>1</v>
      </c>
      <c r="G32" s="14">
        <f t="shared" si="1"/>
        <v>5.0000000000000001E-3</v>
      </c>
      <c r="H32" s="14">
        <f t="shared" si="2"/>
        <v>9.8039215686274508E-3</v>
      </c>
      <c r="I32" s="4">
        <f t="shared" si="3"/>
        <v>2</v>
      </c>
      <c r="J32" s="4">
        <f t="shared" si="4"/>
        <v>204</v>
      </c>
      <c r="K32" s="4" t="s">
        <v>503</v>
      </c>
      <c r="L32" s="4">
        <f t="shared" si="5"/>
        <v>1</v>
      </c>
    </row>
    <row r="33" spans="1:12">
      <c r="A33" s="4">
        <v>8</v>
      </c>
      <c r="B33" s="4" t="s">
        <v>72</v>
      </c>
      <c r="C33" s="4" t="str">
        <f t="shared" si="0"/>
        <v>8|U</v>
      </c>
      <c r="D33" s="4">
        <f>INDEX('Frequency 1-72'!$B$2:$E$73,A33,MATCH(B33,{"A","C","G","U"},0))</f>
        <v>198</v>
      </c>
      <c r="E33" s="4">
        <f>'Frequency 1-72'!G9</f>
        <v>200</v>
      </c>
      <c r="F33" s="12">
        <v>1</v>
      </c>
      <c r="G33" s="14">
        <f t="shared" si="1"/>
        <v>0.99</v>
      </c>
      <c r="H33" s="14">
        <f t="shared" si="2"/>
        <v>0.97549019607843135</v>
      </c>
      <c r="I33" s="4">
        <f t="shared" si="3"/>
        <v>199</v>
      </c>
      <c r="J33" s="4">
        <f t="shared" si="4"/>
        <v>204</v>
      </c>
      <c r="K33" s="4" t="s">
        <v>503</v>
      </c>
      <c r="L33" s="4">
        <f t="shared" si="5"/>
        <v>1</v>
      </c>
    </row>
    <row r="34" spans="1:12">
      <c r="A34" s="4">
        <v>9</v>
      </c>
      <c r="B34" s="4" t="s">
        <v>73</v>
      </c>
      <c r="C34" s="4" t="str">
        <f t="shared" si="0"/>
        <v>9|A</v>
      </c>
      <c r="D34" s="4">
        <f>INDEX('Frequency 1-72'!$B$2:$E$73,A34,MATCH(B34,{"A","C","G","U"},0))</f>
        <v>131</v>
      </c>
      <c r="E34" s="4">
        <f>'Frequency 1-72'!G10</f>
        <v>199</v>
      </c>
      <c r="F34" s="12">
        <v>1</v>
      </c>
      <c r="G34" s="14">
        <f t="shared" si="1"/>
        <v>0.65829145728643212</v>
      </c>
      <c r="H34" s="14">
        <f t="shared" si="2"/>
        <v>0.65024630541871919</v>
      </c>
      <c r="I34" s="4">
        <f t="shared" si="3"/>
        <v>132</v>
      </c>
      <c r="J34" s="4">
        <f t="shared" si="4"/>
        <v>203</v>
      </c>
      <c r="K34" s="4" t="s">
        <v>503</v>
      </c>
      <c r="L34" s="4">
        <f t="shared" si="5"/>
        <v>1</v>
      </c>
    </row>
    <row r="35" spans="1:12">
      <c r="A35" s="4">
        <v>9</v>
      </c>
      <c r="B35" s="4" t="s">
        <v>71</v>
      </c>
      <c r="C35" s="4" t="str">
        <f t="shared" si="0"/>
        <v>9|C</v>
      </c>
      <c r="D35" s="4">
        <f>INDEX('Frequency 1-72'!$B$2:$E$73,A35,MATCH(B35,{"A","C","G","U"},0))</f>
        <v>7</v>
      </c>
      <c r="E35" s="4">
        <f>'Frequency 1-72'!G10</f>
        <v>199</v>
      </c>
      <c r="F35" s="12">
        <v>1</v>
      </c>
      <c r="G35" s="14">
        <f t="shared" si="1"/>
        <v>3.5175879396984924E-2</v>
      </c>
      <c r="H35" s="14">
        <f t="shared" si="2"/>
        <v>3.9408866995073892E-2</v>
      </c>
      <c r="I35" s="4">
        <f t="shared" si="3"/>
        <v>8</v>
      </c>
      <c r="J35" s="4">
        <f t="shared" si="4"/>
        <v>203</v>
      </c>
      <c r="K35" s="4" t="s">
        <v>503</v>
      </c>
      <c r="L35" s="4">
        <f t="shared" si="5"/>
        <v>1</v>
      </c>
    </row>
    <row r="36" spans="1:12">
      <c r="A36" s="4">
        <v>9</v>
      </c>
      <c r="B36" s="4" t="s">
        <v>70</v>
      </c>
      <c r="C36" s="4" t="str">
        <f t="shared" si="0"/>
        <v>9|G</v>
      </c>
      <c r="D36" s="4">
        <f>INDEX('Frequency 1-72'!$B$2:$E$73,A36,MATCH(B36,{"A","C","G","U"},0))</f>
        <v>61</v>
      </c>
      <c r="E36" s="4">
        <f>'Frequency 1-72'!G10</f>
        <v>199</v>
      </c>
      <c r="F36" s="12">
        <v>1</v>
      </c>
      <c r="G36" s="14">
        <f t="shared" si="1"/>
        <v>0.30653266331658291</v>
      </c>
      <c r="H36" s="14">
        <f t="shared" si="2"/>
        <v>0.30541871921182268</v>
      </c>
      <c r="I36" s="4">
        <f t="shared" si="3"/>
        <v>62</v>
      </c>
      <c r="J36" s="4">
        <f t="shared" si="4"/>
        <v>203</v>
      </c>
      <c r="K36" s="4" t="s">
        <v>503</v>
      </c>
      <c r="L36" s="4">
        <f t="shared" si="5"/>
        <v>1</v>
      </c>
    </row>
    <row r="37" spans="1:12">
      <c r="A37" s="4">
        <v>9</v>
      </c>
      <c r="B37" s="4" t="s">
        <v>72</v>
      </c>
      <c r="C37" s="4" t="str">
        <f t="shared" si="0"/>
        <v>9|U</v>
      </c>
      <c r="D37" s="4">
        <f>INDEX('Frequency 1-72'!$B$2:$E$73,A37,MATCH(B37,{"A","C","G","U"},0))</f>
        <v>0</v>
      </c>
      <c r="E37" s="4">
        <f>'Frequency 1-72'!G10</f>
        <v>199</v>
      </c>
      <c r="F37" s="12">
        <v>1</v>
      </c>
      <c r="G37" s="14">
        <f t="shared" si="1"/>
        <v>0</v>
      </c>
      <c r="H37" s="14">
        <f t="shared" si="2"/>
        <v>4.9261083743842365E-3</v>
      </c>
      <c r="I37" s="4">
        <f t="shared" si="3"/>
        <v>1</v>
      </c>
      <c r="J37" s="4">
        <f t="shared" si="4"/>
        <v>203</v>
      </c>
      <c r="K37" s="4" t="s">
        <v>503</v>
      </c>
      <c r="L37" s="4">
        <f t="shared" si="5"/>
        <v>1</v>
      </c>
    </row>
    <row r="38" spans="1:12">
      <c r="A38" s="4">
        <v>10</v>
      </c>
      <c r="B38" s="4" t="s">
        <v>73</v>
      </c>
      <c r="C38" s="4" t="str">
        <f t="shared" si="0"/>
        <v>10|A</v>
      </c>
      <c r="D38" s="4">
        <f>INDEX('Frequency 1-72'!$B$2:$E$73,A38,MATCH(B38,{"A","C","G","U"},0))</f>
        <v>0</v>
      </c>
      <c r="E38" s="4">
        <f>'Frequency 1-72'!G11</f>
        <v>200</v>
      </c>
      <c r="F38" s="12">
        <v>1</v>
      </c>
      <c r="G38" s="14">
        <f t="shared" si="1"/>
        <v>0</v>
      </c>
      <c r="H38" s="14">
        <f t="shared" si="2"/>
        <v>4.9019607843137254E-3</v>
      </c>
      <c r="I38" s="4">
        <f t="shared" si="3"/>
        <v>1</v>
      </c>
      <c r="J38" s="4">
        <f t="shared" si="4"/>
        <v>204</v>
      </c>
      <c r="K38" s="4" t="s">
        <v>503</v>
      </c>
      <c r="L38" s="4">
        <f t="shared" si="5"/>
        <v>1</v>
      </c>
    </row>
    <row r="39" spans="1:12">
      <c r="A39" s="4">
        <v>10</v>
      </c>
      <c r="B39" s="4" t="s">
        <v>71</v>
      </c>
      <c r="C39" s="4" t="str">
        <f t="shared" si="0"/>
        <v>10|C</v>
      </c>
      <c r="D39" s="4">
        <f>INDEX('Frequency 1-72'!$B$2:$E$73,A39,MATCH(B39,{"A","C","G","U"},0))</f>
        <v>8</v>
      </c>
      <c r="E39" s="4">
        <f>'Frequency 1-72'!G11</f>
        <v>200</v>
      </c>
      <c r="F39" s="12">
        <v>1</v>
      </c>
      <c r="G39" s="14">
        <f t="shared" si="1"/>
        <v>0.04</v>
      </c>
      <c r="H39" s="14">
        <f t="shared" si="2"/>
        <v>4.4117647058823532E-2</v>
      </c>
      <c r="I39" s="4">
        <f t="shared" si="3"/>
        <v>9</v>
      </c>
      <c r="J39" s="4">
        <f t="shared" si="4"/>
        <v>204</v>
      </c>
      <c r="K39" s="4" t="s">
        <v>503</v>
      </c>
      <c r="L39" s="4">
        <f t="shared" si="5"/>
        <v>1</v>
      </c>
    </row>
    <row r="40" spans="1:12">
      <c r="A40" s="4">
        <v>10</v>
      </c>
      <c r="B40" s="4" t="s">
        <v>70</v>
      </c>
      <c r="C40" s="4" t="str">
        <f t="shared" si="0"/>
        <v>10|G</v>
      </c>
      <c r="D40" s="4">
        <f>INDEX('Frequency 1-72'!$B$2:$E$73,A40,MATCH(B40,{"A","C","G","U"},0))</f>
        <v>192</v>
      </c>
      <c r="E40" s="4">
        <f>'Frequency 1-72'!G11</f>
        <v>200</v>
      </c>
      <c r="F40" s="12">
        <v>1</v>
      </c>
      <c r="G40" s="14">
        <f t="shared" si="1"/>
        <v>0.96</v>
      </c>
      <c r="H40" s="14">
        <f t="shared" si="2"/>
        <v>0.94607843137254899</v>
      </c>
      <c r="I40" s="4">
        <f t="shared" si="3"/>
        <v>193</v>
      </c>
      <c r="J40" s="4">
        <f t="shared" si="4"/>
        <v>204</v>
      </c>
      <c r="K40" s="4" t="s">
        <v>503</v>
      </c>
      <c r="L40" s="4">
        <f t="shared" si="5"/>
        <v>1</v>
      </c>
    </row>
    <row r="41" spans="1:12">
      <c r="A41" s="4">
        <v>10</v>
      </c>
      <c r="B41" s="4" t="s">
        <v>72</v>
      </c>
      <c r="C41" s="4" t="str">
        <f t="shared" si="0"/>
        <v>10|U</v>
      </c>
      <c r="D41" s="4">
        <f>INDEX('Frequency 1-72'!$B$2:$E$73,A41,MATCH(B41,{"A","C","G","U"},0))</f>
        <v>0</v>
      </c>
      <c r="E41" s="4">
        <f>'Frequency 1-72'!G11</f>
        <v>200</v>
      </c>
      <c r="F41" s="12">
        <v>1</v>
      </c>
      <c r="G41" s="14">
        <f t="shared" si="1"/>
        <v>0</v>
      </c>
      <c r="H41" s="14">
        <f t="shared" si="2"/>
        <v>4.9019607843137254E-3</v>
      </c>
      <c r="I41" s="4">
        <f t="shared" si="3"/>
        <v>1</v>
      </c>
      <c r="J41" s="4">
        <f t="shared" si="4"/>
        <v>204</v>
      </c>
      <c r="K41" s="4" t="s">
        <v>503</v>
      </c>
      <c r="L41" s="4">
        <f t="shared" si="5"/>
        <v>1</v>
      </c>
    </row>
    <row r="42" spans="1:12">
      <c r="A42" s="4">
        <v>11</v>
      </c>
      <c r="B42" s="4" t="s">
        <v>73</v>
      </c>
      <c r="C42" s="4" t="str">
        <f t="shared" si="0"/>
        <v>11|A</v>
      </c>
      <c r="D42" s="4">
        <f>INDEX('Frequency 1-72'!$B$2:$E$73,A42,MATCH(B42,{"A","C","G","U"},0))</f>
        <v>7</v>
      </c>
      <c r="E42" s="4">
        <f>'Frequency 1-72'!G12</f>
        <v>200</v>
      </c>
      <c r="F42" s="12">
        <v>1</v>
      </c>
      <c r="G42" s="14">
        <f t="shared" si="1"/>
        <v>3.5000000000000003E-2</v>
      </c>
      <c r="H42" s="14">
        <f t="shared" si="2"/>
        <v>3.9215686274509803E-2</v>
      </c>
      <c r="I42" s="4">
        <f t="shared" si="3"/>
        <v>8</v>
      </c>
      <c r="J42" s="4">
        <f t="shared" si="4"/>
        <v>204</v>
      </c>
      <c r="K42" s="4" t="s">
        <v>503</v>
      </c>
      <c r="L42" s="4">
        <f t="shared" si="5"/>
        <v>1</v>
      </c>
    </row>
    <row r="43" spans="1:12">
      <c r="A43" s="4">
        <v>11</v>
      </c>
      <c r="B43" s="4" t="s">
        <v>71</v>
      </c>
      <c r="C43" s="4" t="str">
        <f t="shared" si="0"/>
        <v>11|C</v>
      </c>
      <c r="D43" s="4">
        <f>INDEX('Frequency 1-72'!$B$2:$E$73,A43,MATCH(B43,{"A","C","G","U"},0))</f>
        <v>147</v>
      </c>
      <c r="E43" s="4">
        <f>'Frequency 1-72'!G12</f>
        <v>200</v>
      </c>
      <c r="F43" s="12">
        <v>1</v>
      </c>
      <c r="G43" s="14">
        <f t="shared" si="1"/>
        <v>0.73499999999999999</v>
      </c>
      <c r="H43" s="14">
        <f t="shared" si="2"/>
        <v>0.72549019607843135</v>
      </c>
      <c r="I43" s="4">
        <f t="shared" si="3"/>
        <v>148</v>
      </c>
      <c r="J43" s="4">
        <f t="shared" si="4"/>
        <v>204</v>
      </c>
      <c r="K43" s="4" t="s">
        <v>503</v>
      </c>
      <c r="L43" s="4">
        <f t="shared" si="5"/>
        <v>1</v>
      </c>
    </row>
    <row r="44" spans="1:12">
      <c r="A44" s="4">
        <v>11</v>
      </c>
      <c r="B44" s="4" t="s">
        <v>70</v>
      </c>
      <c r="C44" s="4" t="str">
        <f t="shared" si="0"/>
        <v>11|G</v>
      </c>
      <c r="D44" s="4">
        <f>INDEX('Frequency 1-72'!$B$2:$E$73,A44,MATCH(B44,{"A","C","G","U"},0))</f>
        <v>6</v>
      </c>
      <c r="E44" s="4">
        <f>'Frequency 1-72'!G12</f>
        <v>200</v>
      </c>
      <c r="F44" s="12">
        <v>1</v>
      </c>
      <c r="G44" s="14">
        <f t="shared" si="1"/>
        <v>0.03</v>
      </c>
      <c r="H44" s="14">
        <f t="shared" si="2"/>
        <v>3.4313725490196081E-2</v>
      </c>
      <c r="I44" s="4">
        <f t="shared" si="3"/>
        <v>7</v>
      </c>
      <c r="J44" s="4">
        <f t="shared" si="4"/>
        <v>204</v>
      </c>
      <c r="K44" s="4" t="s">
        <v>503</v>
      </c>
      <c r="L44" s="4">
        <f t="shared" si="5"/>
        <v>1</v>
      </c>
    </row>
    <row r="45" spans="1:12">
      <c r="A45" s="4">
        <v>11</v>
      </c>
      <c r="B45" s="4" t="s">
        <v>72</v>
      </c>
      <c r="C45" s="4" t="str">
        <f t="shared" si="0"/>
        <v>11|U</v>
      </c>
      <c r="D45" s="4">
        <f>INDEX('Frequency 1-72'!$B$2:$E$73,A45,MATCH(B45,{"A","C","G","U"},0))</f>
        <v>40</v>
      </c>
      <c r="E45" s="4">
        <f>'Frequency 1-72'!G12</f>
        <v>200</v>
      </c>
      <c r="F45" s="12">
        <v>1</v>
      </c>
      <c r="G45" s="14">
        <f t="shared" si="1"/>
        <v>0.2</v>
      </c>
      <c r="H45" s="14">
        <f t="shared" si="2"/>
        <v>0.20098039215686275</v>
      </c>
      <c r="I45" s="4">
        <f t="shared" si="3"/>
        <v>41</v>
      </c>
      <c r="J45" s="4">
        <f t="shared" si="4"/>
        <v>204</v>
      </c>
      <c r="K45" s="4" t="s">
        <v>503</v>
      </c>
      <c r="L45" s="4">
        <f t="shared" si="5"/>
        <v>1</v>
      </c>
    </row>
    <row r="46" spans="1:12">
      <c r="A46" s="4">
        <v>12</v>
      </c>
      <c r="B46" s="4" t="s">
        <v>73</v>
      </c>
      <c r="C46" s="4" t="str">
        <f t="shared" si="0"/>
        <v>12|A</v>
      </c>
      <c r="D46" s="4">
        <f>INDEX('Frequency 1-72'!$B$2:$E$73,A46,MATCH(B46,{"A","C","G","U"},0))</f>
        <v>13</v>
      </c>
      <c r="E46" s="4">
        <f>'Frequency 1-72'!G13</f>
        <v>200</v>
      </c>
      <c r="F46" s="12">
        <v>1</v>
      </c>
      <c r="G46" s="14">
        <f t="shared" si="1"/>
        <v>6.5000000000000002E-2</v>
      </c>
      <c r="H46" s="14">
        <f t="shared" si="2"/>
        <v>6.8627450980392163E-2</v>
      </c>
      <c r="I46" s="4">
        <f t="shared" si="3"/>
        <v>14</v>
      </c>
      <c r="J46" s="4">
        <f t="shared" si="4"/>
        <v>204</v>
      </c>
      <c r="K46" s="4" t="s">
        <v>503</v>
      </c>
      <c r="L46" s="4">
        <f t="shared" si="5"/>
        <v>1</v>
      </c>
    </row>
    <row r="47" spans="1:12">
      <c r="A47" s="4">
        <v>12</v>
      </c>
      <c r="B47" s="4" t="s">
        <v>71</v>
      </c>
      <c r="C47" s="4" t="str">
        <f t="shared" si="0"/>
        <v>12|C</v>
      </c>
      <c r="D47" s="4">
        <f>INDEX('Frequency 1-72'!$B$2:$E$73,A47,MATCH(B47,{"A","C","G","U"},0))</f>
        <v>29</v>
      </c>
      <c r="E47" s="4">
        <f>'Frequency 1-72'!G13</f>
        <v>200</v>
      </c>
      <c r="F47" s="12">
        <v>1</v>
      </c>
      <c r="G47" s="14">
        <f t="shared" si="1"/>
        <v>0.14499999999999999</v>
      </c>
      <c r="H47" s="14">
        <f t="shared" si="2"/>
        <v>0.14705882352941177</v>
      </c>
      <c r="I47" s="4">
        <f t="shared" si="3"/>
        <v>30</v>
      </c>
      <c r="J47" s="4">
        <f t="shared" si="4"/>
        <v>204</v>
      </c>
      <c r="K47" s="4" t="s">
        <v>503</v>
      </c>
      <c r="L47" s="4">
        <f t="shared" si="5"/>
        <v>1</v>
      </c>
    </row>
    <row r="48" spans="1:12">
      <c r="A48" s="4">
        <v>12</v>
      </c>
      <c r="B48" s="4" t="s">
        <v>70</v>
      </c>
      <c r="C48" s="4" t="str">
        <f t="shared" si="0"/>
        <v>12|G</v>
      </c>
      <c r="D48" s="4">
        <f>INDEX('Frequency 1-72'!$B$2:$E$73,A48,MATCH(B48,{"A","C","G","U"},0))</f>
        <v>38</v>
      </c>
      <c r="E48" s="4">
        <f>'Frequency 1-72'!G13</f>
        <v>200</v>
      </c>
      <c r="F48" s="12">
        <v>1</v>
      </c>
      <c r="G48" s="14">
        <f t="shared" si="1"/>
        <v>0.19</v>
      </c>
      <c r="H48" s="14">
        <f t="shared" si="2"/>
        <v>0.19117647058823528</v>
      </c>
      <c r="I48" s="4">
        <f t="shared" si="3"/>
        <v>39</v>
      </c>
      <c r="J48" s="4">
        <f t="shared" si="4"/>
        <v>204</v>
      </c>
      <c r="K48" s="4" t="s">
        <v>503</v>
      </c>
      <c r="L48" s="4">
        <f t="shared" si="5"/>
        <v>1</v>
      </c>
    </row>
    <row r="49" spans="1:12">
      <c r="A49" s="4">
        <v>12</v>
      </c>
      <c r="B49" s="4" t="s">
        <v>72</v>
      </c>
      <c r="C49" s="4" t="str">
        <f t="shared" si="0"/>
        <v>12|U</v>
      </c>
      <c r="D49" s="4">
        <f>INDEX('Frequency 1-72'!$B$2:$E$73,A49,MATCH(B49,{"A","C","G","U"},0))</f>
        <v>120</v>
      </c>
      <c r="E49" s="4">
        <f>'Frequency 1-72'!G13</f>
        <v>200</v>
      </c>
      <c r="F49" s="12">
        <v>1</v>
      </c>
      <c r="G49" s="14">
        <f t="shared" si="1"/>
        <v>0.6</v>
      </c>
      <c r="H49" s="14">
        <f t="shared" si="2"/>
        <v>0.59313725490196079</v>
      </c>
      <c r="I49" s="4">
        <f t="shared" si="3"/>
        <v>121</v>
      </c>
      <c r="J49" s="4">
        <f t="shared" si="4"/>
        <v>204</v>
      </c>
      <c r="K49" s="4" t="s">
        <v>503</v>
      </c>
      <c r="L49" s="4">
        <f t="shared" si="5"/>
        <v>1</v>
      </c>
    </row>
    <row r="50" spans="1:12">
      <c r="A50" s="4">
        <v>13</v>
      </c>
      <c r="B50" s="4" t="s">
        <v>73</v>
      </c>
      <c r="C50" s="4" t="str">
        <f t="shared" si="0"/>
        <v>13|A</v>
      </c>
      <c r="D50" s="4">
        <f>INDEX('Frequency 1-72'!$B$2:$E$73,A50,MATCH(B50,{"A","C","G","U"},0))</f>
        <v>13</v>
      </c>
      <c r="E50" s="4">
        <f>'Frequency 1-72'!G14</f>
        <v>200</v>
      </c>
      <c r="F50" s="12">
        <v>1</v>
      </c>
      <c r="G50" s="14">
        <f t="shared" si="1"/>
        <v>6.5000000000000002E-2</v>
      </c>
      <c r="H50" s="14">
        <f t="shared" si="2"/>
        <v>6.8627450980392163E-2</v>
      </c>
      <c r="I50" s="4">
        <f t="shared" si="3"/>
        <v>14</v>
      </c>
      <c r="J50" s="4">
        <f t="shared" si="4"/>
        <v>204</v>
      </c>
      <c r="K50" s="4" t="s">
        <v>503</v>
      </c>
      <c r="L50" s="4">
        <f t="shared" si="5"/>
        <v>1</v>
      </c>
    </row>
    <row r="51" spans="1:12">
      <c r="A51" s="4">
        <v>13</v>
      </c>
      <c r="B51" s="4" t="s">
        <v>71</v>
      </c>
      <c r="C51" s="4" t="str">
        <f t="shared" si="0"/>
        <v>13|C</v>
      </c>
      <c r="D51" s="4">
        <f>INDEX('Frequency 1-72'!$B$2:$E$73,A51,MATCH(B51,{"A","C","G","U"},0))</f>
        <v>130</v>
      </c>
      <c r="E51" s="4">
        <f>'Frequency 1-72'!G14</f>
        <v>200</v>
      </c>
      <c r="F51" s="12">
        <v>1</v>
      </c>
      <c r="G51" s="14">
        <f t="shared" si="1"/>
        <v>0.65</v>
      </c>
      <c r="H51" s="14">
        <f t="shared" si="2"/>
        <v>0.64215686274509809</v>
      </c>
      <c r="I51" s="4">
        <f t="shared" si="3"/>
        <v>131</v>
      </c>
      <c r="J51" s="4">
        <f t="shared" si="4"/>
        <v>204</v>
      </c>
      <c r="K51" s="4" t="s">
        <v>503</v>
      </c>
      <c r="L51" s="4">
        <f t="shared" si="5"/>
        <v>1</v>
      </c>
    </row>
    <row r="52" spans="1:12">
      <c r="A52" s="4">
        <v>13</v>
      </c>
      <c r="B52" s="4" t="s">
        <v>70</v>
      </c>
      <c r="C52" s="4" t="str">
        <f t="shared" si="0"/>
        <v>13|G</v>
      </c>
      <c r="D52" s="4">
        <f>INDEX('Frequency 1-72'!$B$2:$E$73,A52,MATCH(B52,{"A","C","G","U"},0))</f>
        <v>19</v>
      </c>
      <c r="E52" s="4">
        <f>'Frequency 1-72'!G14</f>
        <v>200</v>
      </c>
      <c r="F52" s="12">
        <v>1</v>
      </c>
      <c r="G52" s="14">
        <f t="shared" si="1"/>
        <v>9.5000000000000001E-2</v>
      </c>
      <c r="H52" s="14">
        <f t="shared" si="2"/>
        <v>9.8039215686274508E-2</v>
      </c>
      <c r="I52" s="4">
        <f t="shared" si="3"/>
        <v>20</v>
      </c>
      <c r="J52" s="4">
        <f t="shared" si="4"/>
        <v>204</v>
      </c>
      <c r="K52" s="4" t="s">
        <v>503</v>
      </c>
      <c r="L52" s="4">
        <f t="shared" si="5"/>
        <v>1</v>
      </c>
    </row>
    <row r="53" spans="1:12">
      <c r="A53" s="4">
        <v>13</v>
      </c>
      <c r="B53" s="4" t="s">
        <v>72</v>
      </c>
      <c r="C53" s="4" t="str">
        <f t="shared" si="0"/>
        <v>13|U</v>
      </c>
      <c r="D53" s="4">
        <f>INDEX('Frequency 1-72'!$B$2:$E$73,A53,MATCH(B53,{"A","C","G","U"},0))</f>
        <v>38</v>
      </c>
      <c r="E53" s="4">
        <f>'Frequency 1-72'!G14</f>
        <v>200</v>
      </c>
      <c r="F53" s="12">
        <v>1</v>
      </c>
      <c r="G53" s="14">
        <f t="shared" si="1"/>
        <v>0.19</v>
      </c>
      <c r="H53" s="14">
        <f t="shared" si="2"/>
        <v>0.19117647058823528</v>
      </c>
      <c r="I53" s="4">
        <f t="shared" si="3"/>
        <v>39</v>
      </c>
      <c r="J53" s="4">
        <f t="shared" si="4"/>
        <v>204</v>
      </c>
      <c r="K53" s="4" t="s">
        <v>503</v>
      </c>
      <c r="L53" s="4">
        <f t="shared" si="5"/>
        <v>1</v>
      </c>
    </row>
    <row r="54" spans="1:12">
      <c r="A54" s="4">
        <v>14</v>
      </c>
      <c r="B54" s="4" t="s">
        <v>73</v>
      </c>
      <c r="C54" s="4" t="str">
        <f t="shared" si="0"/>
        <v>14|A</v>
      </c>
      <c r="D54" s="4">
        <f>INDEX('Frequency 1-72'!$B$2:$E$73,A54,MATCH(B54,{"A","C","G","U"},0))</f>
        <v>198</v>
      </c>
      <c r="E54" s="4">
        <f>'Frequency 1-72'!G15</f>
        <v>200</v>
      </c>
      <c r="F54" s="12">
        <v>1</v>
      </c>
      <c r="G54" s="14">
        <f t="shared" si="1"/>
        <v>0.99</v>
      </c>
      <c r="H54" s="14">
        <f t="shared" si="2"/>
        <v>0.97549019607843135</v>
      </c>
      <c r="I54" s="4">
        <f t="shared" si="3"/>
        <v>199</v>
      </c>
      <c r="J54" s="4">
        <f t="shared" si="4"/>
        <v>204</v>
      </c>
      <c r="K54" s="4" t="s">
        <v>503</v>
      </c>
      <c r="L54" s="4">
        <f t="shared" si="5"/>
        <v>1</v>
      </c>
    </row>
    <row r="55" spans="1:12">
      <c r="A55" s="4">
        <v>14</v>
      </c>
      <c r="B55" s="4" t="s">
        <v>71</v>
      </c>
      <c r="C55" s="4" t="str">
        <f t="shared" si="0"/>
        <v>14|C</v>
      </c>
      <c r="D55" s="4">
        <f>INDEX('Frequency 1-72'!$B$2:$E$73,A55,MATCH(B55,{"A","C","G","U"},0))</f>
        <v>1</v>
      </c>
      <c r="E55" s="4">
        <f>'Frequency 1-72'!G15</f>
        <v>200</v>
      </c>
      <c r="F55" s="12">
        <v>1</v>
      </c>
      <c r="G55" s="14">
        <f t="shared" si="1"/>
        <v>5.0000000000000001E-3</v>
      </c>
      <c r="H55" s="14">
        <f t="shared" si="2"/>
        <v>9.8039215686274508E-3</v>
      </c>
      <c r="I55" s="4">
        <f t="shared" si="3"/>
        <v>2</v>
      </c>
      <c r="J55" s="4">
        <f t="shared" si="4"/>
        <v>204</v>
      </c>
      <c r="K55" s="4" t="s">
        <v>503</v>
      </c>
      <c r="L55" s="4">
        <f t="shared" si="5"/>
        <v>1</v>
      </c>
    </row>
    <row r="56" spans="1:12">
      <c r="A56" s="4">
        <v>14</v>
      </c>
      <c r="B56" s="4" t="s">
        <v>70</v>
      </c>
      <c r="C56" s="4" t="str">
        <f t="shared" si="0"/>
        <v>14|G</v>
      </c>
      <c r="D56" s="4">
        <f>INDEX('Frequency 1-72'!$B$2:$E$73,A56,MATCH(B56,{"A","C","G","U"},0))</f>
        <v>1</v>
      </c>
      <c r="E56" s="4">
        <f>'Frequency 1-72'!G15</f>
        <v>200</v>
      </c>
      <c r="F56" s="12">
        <v>1</v>
      </c>
      <c r="G56" s="14">
        <f t="shared" si="1"/>
        <v>5.0000000000000001E-3</v>
      </c>
      <c r="H56" s="14">
        <f t="shared" si="2"/>
        <v>9.8039215686274508E-3</v>
      </c>
      <c r="I56" s="4">
        <f t="shared" si="3"/>
        <v>2</v>
      </c>
      <c r="J56" s="4">
        <f t="shared" si="4"/>
        <v>204</v>
      </c>
      <c r="K56" s="4" t="s">
        <v>503</v>
      </c>
      <c r="L56" s="4">
        <f t="shared" si="5"/>
        <v>1</v>
      </c>
    </row>
    <row r="57" spans="1:12">
      <c r="A57" s="4">
        <v>14</v>
      </c>
      <c r="B57" s="4" t="s">
        <v>72</v>
      </c>
      <c r="C57" s="4" t="str">
        <f t="shared" si="0"/>
        <v>14|U</v>
      </c>
      <c r="D57" s="4">
        <f>INDEX('Frequency 1-72'!$B$2:$E$73,A57,MATCH(B57,{"A","C","G","U"},0))</f>
        <v>0</v>
      </c>
      <c r="E57" s="4">
        <f>'Frequency 1-72'!G15</f>
        <v>200</v>
      </c>
      <c r="F57" s="12">
        <v>1</v>
      </c>
      <c r="G57" s="14">
        <f t="shared" si="1"/>
        <v>0</v>
      </c>
      <c r="H57" s="14">
        <f t="shared" si="2"/>
        <v>4.9019607843137254E-3</v>
      </c>
      <c r="I57" s="4">
        <f t="shared" si="3"/>
        <v>1</v>
      </c>
      <c r="J57" s="4">
        <f t="shared" si="4"/>
        <v>204</v>
      </c>
      <c r="K57" s="4" t="s">
        <v>503</v>
      </c>
      <c r="L57" s="4">
        <f t="shared" si="5"/>
        <v>1</v>
      </c>
    </row>
    <row r="58" spans="1:12">
      <c r="A58" s="4">
        <v>15</v>
      </c>
      <c r="B58" s="4" t="s">
        <v>73</v>
      </c>
      <c r="C58" s="4" t="str">
        <f t="shared" si="0"/>
        <v>15|A</v>
      </c>
      <c r="D58" s="4">
        <f>INDEX('Frequency 1-72'!$B$2:$E$73,A58,MATCH(B58,{"A","C","G","U"},0))</f>
        <v>33</v>
      </c>
      <c r="E58" s="4">
        <f>'Frequency 1-72'!G16</f>
        <v>199</v>
      </c>
      <c r="F58" s="12">
        <v>1</v>
      </c>
      <c r="G58" s="14">
        <f t="shared" si="1"/>
        <v>0.16582914572864321</v>
      </c>
      <c r="H58" s="14">
        <f t="shared" si="2"/>
        <v>0.16748768472906403</v>
      </c>
      <c r="I58" s="4">
        <f t="shared" si="3"/>
        <v>34</v>
      </c>
      <c r="J58" s="4">
        <f t="shared" si="4"/>
        <v>203</v>
      </c>
      <c r="K58" s="4" t="s">
        <v>503</v>
      </c>
      <c r="L58" s="4">
        <f t="shared" si="5"/>
        <v>1</v>
      </c>
    </row>
    <row r="59" spans="1:12">
      <c r="A59" s="4">
        <v>15</v>
      </c>
      <c r="B59" s="4" t="s">
        <v>71</v>
      </c>
      <c r="C59" s="4" t="str">
        <f t="shared" si="0"/>
        <v>15|C</v>
      </c>
      <c r="D59" s="4">
        <f>INDEX('Frequency 1-72'!$B$2:$E$73,A59,MATCH(B59,{"A","C","G","U"},0))</f>
        <v>2</v>
      </c>
      <c r="E59" s="4">
        <f>'Frequency 1-72'!G16</f>
        <v>199</v>
      </c>
      <c r="F59" s="12">
        <v>1</v>
      </c>
      <c r="G59" s="14">
        <f t="shared" si="1"/>
        <v>1.0050251256281407E-2</v>
      </c>
      <c r="H59" s="14">
        <f t="shared" si="2"/>
        <v>1.4778325123152709E-2</v>
      </c>
      <c r="I59" s="4">
        <f t="shared" si="3"/>
        <v>3</v>
      </c>
      <c r="J59" s="4">
        <f t="shared" si="4"/>
        <v>203</v>
      </c>
      <c r="K59" s="4" t="s">
        <v>503</v>
      </c>
      <c r="L59" s="4">
        <f t="shared" si="5"/>
        <v>1</v>
      </c>
    </row>
    <row r="60" spans="1:12">
      <c r="A60" s="4">
        <v>15</v>
      </c>
      <c r="B60" s="4" t="s">
        <v>70</v>
      </c>
      <c r="C60" s="4" t="str">
        <f t="shared" si="0"/>
        <v>15|G</v>
      </c>
      <c r="D60" s="4">
        <f>INDEX('Frequency 1-72'!$B$2:$E$73,A60,MATCH(B60,{"A","C","G","U"},0))</f>
        <v>162</v>
      </c>
      <c r="E60" s="4">
        <f>'Frequency 1-72'!G16</f>
        <v>199</v>
      </c>
      <c r="F60" s="12">
        <v>1</v>
      </c>
      <c r="G60" s="14">
        <f t="shared" si="1"/>
        <v>0.81407035175879394</v>
      </c>
      <c r="H60" s="14">
        <f t="shared" si="2"/>
        <v>0.80295566502463056</v>
      </c>
      <c r="I60" s="4">
        <f t="shared" si="3"/>
        <v>163</v>
      </c>
      <c r="J60" s="4">
        <f t="shared" si="4"/>
        <v>203</v>
      </c>
      <c r="K60" s="4" t="s">
        <v>503</v>
      </c>
      <c r="L60" s="4">
        <f t="shared" si="5"/>
        <v>1</v>
      </c>
    </row>
    <row r="61" spans="1:12">
      <c r="A61" s="4">
        <v>15</v>
      </c>
      <c r="B61" s="4" t="s">
        <v>72</v>
      </c>
      <c r="C61" s="4" t="str">
        <f t="shared" si="0"/>
        <v>15|U</v>
      </c>
      <c r="D61" s="4">
        <f>INDEX('Frequency 1-72'!$B$2:$E$73,A61,MATCH(B61,{"A","C","G","U"},0))</f>
        <v>2</v>
      </c>
      <c r="E61" s="4">
        <f>'Frequency 1-72'!G16</f>
        <v>199</v>
      </c>
      <c r="F61" s="12">
        <v>1</v>
      </c>
      <c r="G61" s="14">
        <f t="shared" si="1"/>
        <v>1.0050251256281407E-2</v>
      </c>
      <c r="H61" s="14">
        <f t="shared" si="2"/>
        <v>1.4778325123152709E-2</v>
      </c>
      <c r="I61" s="4">
        <f t="shared" si="3"/>
        <v>3</v>
      </c>
      <c r="J61" s="4">
        <f t="shared" si="4"/>
        <v>203</v>
      </c>
      <c r="K61" s="4" t="s">
        <v>503</v>
      </c>
      <c r="L61" s="4">
        <f t="shared" si="5"/>
        <v>1</v>
      </c>
    </row>
    <row r="62" spans="1:12">
      <c r="A62" s="4">
        <v>16</v>
      </c>
      <c r="B62" s="4" t="s">
        <v>73</v>
      </c>
      <c r="C62" s="4" t="str">
        <f t="shared" si="0"/>
        <v>16|A</v>
      </c>
      <c r="D62" s="4">
        <f>INDEX('Frequency 1-72'!$B$2:$E$73,A62,MATCH(B62,{"A","C","G","U"},0))</f>
        <v>3</v>
      </c>
      <c r="E62" s="4">
        <f>'Frequency 1-72'!G17</f>
        <v>133</v>
      </c>
      <c r="F62" s="12">
        <v>1</v>
      </c>
      <c r="G62" s="14">
        <f t="shared" si="1"/>
        <v>2.2556390977443608E-2</v>
      </c>
      <c r="H62" s="14">
        <f t="shared" si="2"/>
        <v>2.9197080291970802E-2</v>
      </c>
      <c r="I62" s="4">
        <f t="shared" si="3"/>
        <v>4</v>
      </c>
      <c r="J62" s="4">
        <f t="shared" si="4"/>
        <v>137</v>
      </c>
      <c r="K62" s="4" t="s">
        <v>503</v>
      </c>
      <c r="L62" s="4">
        <f t="shared" si="5"/>
        <v>1</v>
      </c>
    </row>
    <row r="63" spans="1:12">
      <c r="A63" s="4">
        <v>16</v>
      </c>
      <c r="B63" s="4" t="s">
        <v>71</v>
      </c>
      <c r="C63" s="4" t="str">
        <f t="shared" si="0"/>
        <v>16|C</v>
      </c>
      <c r="D63" s="4">
        <f>INDEX('Frequency 1-72'!$B$2:$E$73,A63,MATCH(B63,{"A","C","G","U"},0))</f>
        <v>48</v>
      </c>
      <c r="E63" s="4">
        <f>'Frequency 1-72'!G17</f>
        <v>133</v>
      </c>
      <c r="F63" s="12">
        <v>1</v>
      </c>
      <c r="G63" s="14">
        <f t="shared" si="1"/>
        <v>0.36090225563909772</v>
      </c>
      <c r="H63" s="14">
        <f t="shared" si="2"/>
        <v>0.35766423357664234</v>
      </c>
      <c r="I63" s="4">
        <f t="shared" si="3"/>
        <v>49</v>
      </c>
      <c r="J63" s="4">
        <f t="shared" si="4"/>
        <v>137</v>
      </c>
      <c r="K63" s="4" t="s">
        <v>503</v>
      </c>
      <c r="L63" s="4">
        <f t="shared" si="5"/>
        <v>1</v>
      </c>
    </row>
    <row r="64" spans="1:12">
      <c r="A64" s="4">
        <v>16</v>
      </c>
      <c r="B64" s="4" t="s">
        <v>70</v>
      </c>
      <c r="C64" s="4" t="str">
        <f t="shared" si="0"/>
        <v>16|G</v>
      </c>
      <c r="D64" s="4">
        <f>INDEX('Frequency 1-72'!$B$2:$E$73,A64,MATCH(B64,{"A","C","G","U"},0))</f>
        <v>3</v>
      </c>
      <c r="E64" s="4">
        <f>'Frequency 1-72'!G17</f>
        <v>133</v>
      </c>
      <c r="F64" s="12">
        <v>1</v>
      </c>
      <c r="G64" s="14">
        <f t="shared" si="1"/>
        <v>2.2556390977443608E-2</v>
      </c>
      <c r="H64" s="14">
        <f t="shared" si="2"/>
        <v>2.9197080291970802E-2</v>
      </c>
      <c r="I64" s="4">
        <f t="shared" si="3"/>
        <v>4</v>
      </c>
      <c r="J64" s="4">
        <f t="shared" si="4"/>
        <v>137</v>
      </c>
      <c r="K64" s="4" t="s">
        <v>503</v>
      </c>
      <c r="L64" s="4">
        <f t="shared" si="5"/>
        <v>1</v>
      </c>
    </row>
    <row r="65" spans="1:12">
      <c r="A65" s="4">
        <v>16</v>
      </c>
      <c r="B65" s="4" t="s">
        <v>72</v>
      </c>
      <c r="C65" s="4" t="str">
        <f t="shared" si="0"/>
        <v>16|U</v>
      </c>
      <c r="D65" s="4">
        <f>INDEX('Frequency 1-72'!$B$2:$E$73,A65,MATCH(B65,{"A","C","G","U"},0))</f>
        <v>79</v>
      </c>
      <c r="E65" s="4">
        <f>'Frequency 1-72'!G17</f>
        <v>133</v>
      </c>
      <c r="F65" s="12">
        <v>1</v>
      </c>
      <c r="G65" s="14">
        <f t="shared" si="1"/>
        <v>0.59398496240601506</v>
      </c>
      <c r="H65" s="14">
        <f t="shared" si="2"/>
        <v>0.58394160583941601</v>
      </c>
      <c r="I65" s="4">
        <f t="shared" si="3"/>
        <v>80</v>
      </c>
      <c r="J65" s="4">
        <f t="shared" si="4"/>
        <v>137</v>
      </c>
      <c r="K65" s="4" t="s">
        <v>503</v>
      </c>
      <c r="L65" s="4">
        <f t="shared" si="5"/>
        <v>1</v>
      </c>
    </row>
    <row r="66" spans="1:12">
      <c r="A66" s="4">
        <v>17</v>
      </c>
      <c r="B66" s="4" t="s">
        <v>73</v>
      </c>
      <c r="C66" s="4" t="str">
        <f t="shared" ref="C66:C129" si="6">A66&amp;"|"&amp;B66</f>
        <v>17|A</v>
      </c>
      <c r="D66" s="4">
        <f>INDEX('Frequency 1-72'!$B$2:$E$73,A66,MATCH(B66,{"A","C","G","U"},0))</f>
        <v>12</v>
      </c>
      <c r="E66" s="4">
        <f>'Frequency 1-72'!G18</f>
        <v>197</v>
      </c>
      <c r="F66" s="12">
        <v>1</v>
      </c>
      <c r="G66" s="14">
        <f t="shared" ref="G66:G129" si="7">IF(E66=0,"",D66/E66)</f>
        <v>6.0913705583756347E-2</v>
      </c>
      <c r="H66" s="14">
        <f t="shared" ref="H66:H129" si="8">I66/J66</f>
        <v>6.4676616915422883E-2</v>
      </c>
      <c r="I66" s="4">
        <f t="shared" ref="I66:I129" si="9">D66+F66</f>
        <v>13</v>
      </c>
      <c r="J66" s="4">
        <f t="shared" ref="J66:J129" si="10">E66+4*F66</f>
        <v>201</v>
      </c>
      <c r="K66" s="4" t="s">
        <v>503</v>
      </c>
      <c r="L66" s="4">
        <f t="shared" ref="L66:L129" si="11">ROUND(SUMIF($A$2:$A$289,A66,$H$2:$H$289),9)</f>
        <v>1</v>
      </c>
    </row>
    <row r="67" spans="1:12">
      <c r="A67" s="4">
        <v>17</v>
      </c>
      <c r="B67" s="4" t="s">
        <v>71</v>
      </c>
      <c r="C67" s="4" t="str">
        <f t="shared" si="6"/>
        <v>17|C</v>
      </c>
      <c r="D67" s="4">
        <f>INDEX('Frequency 1-72'!$B$2:$E$73,A67,MATCH(B67,{"A","C","G","U"},0))</f>
        <v>63</v>
      </c>
      <c r="E67" s="4">
        <f>'Frequency 1-72'!G18</f>
        <v>197</v>
      </c>
      <c r="F67" s="12">
        <v>1</v>
      </c>
      <c r="G67" s="14">
        <f t="shared" si="7"/>
        <v>0.31979695431472083</v>
      </c>
      <c r="H67" s="14">
        <f t="shared" si="8"/>
        <v>0.31840796019900497</v>
      </c>
      <c r="I67" s="4">
        <f t="shared" si="9"/>
        <v>64</v>
      </c>
      <c r="J67" s="4">
        <f t="shared" si="10"/>
        <v>201</v>
      </c>
      <c r="K67" s="4" t="s">
        <v>503</v>
      </c>
      <c r="L67" s="4">
        <f t="shared" si="11"/>
        <v>1</v>
      </c>
    </row>
    <row r="68" spans="1:12">
      <c r="A68" s="4">
        <v>17</v>
      </c>
      <c r="B68" s="4" t="s">
        <v>70</v>
      </c>
      <c r="C68" s="4" t="str">
        <f t="shared" si="6"/>
        <v>17|G</v>
      </c>
      <c r="D68" s="4">
        <f>INDEX('Frequency 1-72'!$B$2:$E$73,A68,MATCH(B68,{"A","C","G","U"},0))</f>
        <v>8</v>
      </c>
      <c r="E68" s="4">
        <f>'Frequency 1-72'!G18</f>
        <v>197</v>
      </c>
      <c r="F68" s="12">
        <v>1</v>
      </c>
      <c r="G68" s="14">
        <f t="shared" si="7"/>
        <v>4.060913705583756E-2</v>
      </c>
      <c r="H68" s="14">
        <f t="shared" si="8"/>
        <v>4.4776119402985072E-2</v>
      </c>
      <c r="I68" s="4">
        <f t="shared" si="9"/>
        <v>9</v>
      </c>
      <c r="J68" s="4">
        <f t="shared" si="10"/>
        <v>201</v>
      </c>
      <c r="K68" s="4" t="s">
        <v>503</v>
      </c>
      <c r="L68" s="4">
        <f t="shared" si="11"/>
        <v>1</v>
      </c>
    </row>
    <row r="69" spans="1:12">
      <c r="A69" s="4">
        <v>17</v>
      </c>
      <c r="B69" s="4" t="s">
        <v>72</v>
      </c>
      <c r="C69" s="4" t="str">
        <f t="shared" si="6"/>
        <v>17|U</v>
      </c>
      <c r="D69" s="4">
        <f>INDEX('Frequency 1-72'!$B$2:$E$73,A69,MATCH(B69,{"A","C","G","U"},0))</f>
        <v>114</v>
      </c>
      <c r="E69" s="4">
        <f>'Frequency 1-72'!G18</f>
        <v>197</v>
      </c>
      <c r="F69" s="12">
        <v>1</v>
      </c>
      <c r="G69" s="14">
        <f t="shared" si="7"/>
        <v>0.57868020304568524</v>
      </c>
      <c r="H69" s="14">
        <f t="shared" si="8"/>
        <v>0.57213930348258701</v>
      </c>
      <c r="I69" s="4">
        <f t="shared" si="9"/>
        <v>115</v>
      </c>
      <c r="J69" s="4">
        <f t="shared" si="10"/>
        <v>201</v>
      </c>
      <c r="K69" s="4" t="s">
        <v>503</v>
      </c>
      <c r="L69" s="4">
        <f t="shared" si="11"/>
        <v>1</v>
      </c>
    </row>
    <row r="70" spans="1:12">
      <c r="A70" s="4">
        <v>18</v>
      </c>
      <c r="B70" s="4" t="s">
        <v>73</v>
      </c>
      <c r="C70" s="4" t="str">
        <f t="shared" si="6"/>
        <v>18|A</v>
      </c>
      <c r="D70" s="4">
        <f>INDEX('Frequency 1-72'!$B$2:$E$73,A70,MATCH(B70,{"A","C","G","U"},0))</f>
        <v>1</v>
      </c>
      <c r="E70" s="4">
        <f>'Frequency 1-72'!G19</f>
        <v>200</v>
      </c>
      <c r="F70" s="12">
        <v>1</v>
      </c>
      <c r="G70" s="14">
        <f t="shared" si="7"/>
        <v>5.0000000000000001E-3</v>
      </c>
      <c r="H70" s="14">
        <f t="shared" si="8"/>
        <v>9.8039215686274508E-3</v>
      </c>
      <c r="I70" s="4">
        <f t="shared" si="9"/>
        <v>2</v>
      </c>
      <c r="J70" s="4">
        <f t="shared" si="10"/>
        <v>204</v>
      </c>
      <c r="K70" s="4" t="s">
        <v>503</v>
      </c>
      <c r="L70" s="4">
        <f t="shared" si="11"/>
        <v>1</v>
      </c>
    </row>
    <row r="71" spans="1:12">
      <c r="A71" s="4">
        <v>18</v>
      </c>
      <c r="B71" s="4" t="s">
        <v>71</v>
      </c>
      <c r="C71" s="4" t="str">
        <f t="shared" si="6"/>
        <v>18|C</v>
      </c>
      <c r="D71" s="4">
        <f>INDEX('Frequency 1-72'!$B$2:$E$73,A71,MATCH(B71,{"A","C","G","U"},0))</f>
        <v>0</v>
      </c>
      <c r="E71" s="4">
        <f>'Frequency 1-72'!G19</f>
        <v>200</v>
      </c>
      <c r="F71" s="12">
        <v>1</v>
      </c>
      <c r="G71" s="14">
        <f t="shared" si="7"/>
        <v>0</v>
      </c>
      <c r="H71" s="14">
        <f t="shared" si="8"/>
        <v>4.9019607843137254E-3</v>
      </c>
      <c r="I71" s="4">
        <f t="shared" si="9"/>
        <v>1</v>
      </c>
      <c r="J71" s="4">
        <f t="shared" si="10"/>
        <v>204</v>
      </c>
      <c r="K71" s="4" t="s">
        <v>503</v>
      </c>
      <c r="L71" s="4">
        <f t="shared" si="11"/>
        <v>1</v>
      </c>
    </row>
    <row r="72" spans="1:12">
      <c r="A72" s="4">
        <v>18</v>
      </c>
      <c r="B72" s="4" t="s">
        <v>70</v>
      </c>
      <c r="C72" s="4" t="str">
        <f t="shared" si="6"/>
        <v>18|G</v>
      </c>
      <c r="D72" s="4">
        <f>INDEX('Frequency 1-72'!$B$2:$E$73,A72,MATCH(B72,{"A","C","G","U"},0))</f>
        <v>199</v>
      </c>
      <c r="E72" s="4">
        <f>'Frequency 1-72'!G19</f>
        <v>200</v>
      </c>
      <c r="F72" s="12">
        <v>1</v>
      </c>
      <c r="G72" s="14">
        <f t="shared" si="7"/>
        <v>0.995</v>
      </c>
      <c r="H72" s="14">
        <f t="shared" si="8"/>
        <v>0.98039215686274506</v>
      </c>
      <c r="I72" s="4">
        <f t="shared" si="9"/>
        <v>200</v>
      </c>
      <c r="J72" s="4">
        <f t="shared" si="10"/>
        <v>204</v>
      </c>
      <c r="K72" s="4" t="s">
        <v>503</v>
      </c>
      <c r="L72" s="4">
        <f t="shared" si="11"/>
        <v>1</v>
      </c>
    </row>
    <row r="73" spans="1:12">
      <c r="A73" s="4">
        <v>18</v>
      </c>
      <c r="B73" s="4" t="s">
        <v>72</v>
      </c>
      <c r="C73" s="4" t="str">
        <f t="shared" si="6"/>
        <v>18|U</v>
      </c>
      <c r="D73" s="4">
        <f>INDEX('Frequency 1-72'!$B$2:$E$73,A73,MATCH(B73,{"A","C","G","U"},0))</f>
        <v>0</v>
      </c>
      <c r="E73" s="4">
        <f>'Frequency 1-72'!G19</f>
        <v>200</v>
      </c>
      <c r="F73" s="12">
        <v>1</v>
      </c>
      <c r="G73" s="14">
        <f t="shared" si="7"/>
        <v>0</v>
      </c>
      <c r="H73" s="14">
        <f t="shared" si="8"/>
        <v>4.9019607843137254E-3</v>
      </c>
      <c r="I73" s="4">
        <f t="shared" si="9"/>
        <v>1</v>
      </c>
      <c r="J73" s="4">
        <f t="shared" si="10"/>
        <v>204</v>
      </c>
      <c r="K73" s="4" t="s">
        <v>503</v>
      </c>
      <c r="L73" s="4">
        <f t="shared" si="11"/>
        <v>1</v>
      </c>
    </row>
    <row r="74" spans="1:12">
      <c r="A74" s="4">
        <v>19</v>
      </c>
      <c r="B74" s="4" t="s">
        <v>73</v>
      </c>
      <c r="C74" s="4" t="str">
        <f t="shared" si="6"/>
        <v>19|A</v>
      </c>
      <c r="D74" s="4">
        <f>INDEX('Frequency 1-72'!$B$2:$E$73,A74,MATCH(B74,{"A","C","G","U"},0))</f>
        <v>1</v>
      </c>
      <c r="E74" s="4">
        <f>'Frequency 1-72'!G20</f>
        <v>200</v>
      </c>
      <c r="F74" s="12">
        <v>1</v>
      </c>
      <c r="G74" s="14">
        <f t="shared" si="7"/>
        <v>5.0000000000000001E-3</v>
      </c>
      <c r="H74" s="14">
        <f t="shared" si="8"/>
        <v>9.8039215686274508E-3</v>
      </c>
      <c r="I74" s="4">
        <f t="shared" si="9"/>
        <v>2</v>
      </c>
      <c r="J74" s="4">
        <f t="shared" si="10"/>
        <v>204</v>
      </c>
      <c r="K74" s="4" t="s">
        <v>503</v>
      </c>
      <c r="L74" s="4">
        <f t="shared" si="11"/>
        <v>1</v>
      </c>
    </row>
    <row r="75" spans="1:12">
      <c r="A75" s="4">
        <v>19</v>
      </c>
      <c r="B75" s="4" t="s">
        <v>71</v>
      </c>
      <c r="C75" s="4" t="str">
        <f t="shared" si="6"/>
        <v>19|C</v>
      </c>
      <c r="D75" s="4">
        <f>INDEX('Frequency 1-72'!$B$2:$E$73,A75,MATCH(B75,{"A","C","G","U"},0))</f>
        <v>0</v>
      </c>
      <c r="E75" s="4">
        <f>'Frequency 1-72'!G20</f>
        <v>200</v>
      </c>
      <c r="F75" s="12">
        <v>1</v>
      </c>
      <c r="G75" s="14">
        <f t="shared" si="7"/>
        <v>0</v>
      </c>
      <c r="H75" s="14">
        <f t="shared" si="8"/>
        <v>4.9019607843137254E-3</v>
      </c>
      <c r="I75" s="4">
        <f t="shared" si="9"/>
        <v>1</v>
      </c>
      <c r="J75" s="4">
        <f t="shared" si="10"/>
        <v>204</v>
      </c>
      <c r="K75" s="4" t="s">
        <v>503</v>
      </c>
      <c r="L75" s="4">
        <f t="shared" si="11"/>
        <v>1</v>
      </c>
    </row>
    <row r="76" spans="1:12">
      <c r="A76" s="4">
        <v>19</v>
      </c>
      <c r="B76" s="4" t="s">
        <v>70</v>
      </c>
      <c r="C76" s="4" t="str">
        <f t="shared" si="6"/>
        <v>19|G</v>
      </c>
      <c r="D76" s="4">
        <f>INDEX('Frequency 1-72'!$B$2:$E$73,A76,MATCH(B76,{"A","C","G","U"},0))</f>
        <v>197</v>
      </c>
      <c r="E76" s="4">
        <f>'Frequency 1-72'!G20</f>
        <v>200</v>
      </c>
      <c r="F76" s="12">
        <v>1</v>
      </c>
      <c r="G76" s="14">
        <f t="shared" si="7"/>
        <v>0.98499999999999999</v>
      </c>
      <c r="H76" s="14">
        <f t="shared" si="8"/>
        <v>0.97058823529411764</v>
      </c>
      <c r="I76" s="4">
        <f t="shared" si="9"/>
        <v>198</v>
      </c>
      <c r="J76" s="4">
        <f t="shared" si="10"/>
        <v>204</v>
      </c>
      <c r="K76" s="4" t="s">
        <v>503</v>
      </c>
      <c r="L76" s="4">
        <f t="shared" si="11"/>
        <v>1</v>
      </c>
    </row>
    <row r="77" spans="1:12">
      <c r="A77" s="4">
        <v>19</v>
      </c>
      <c r="B77" s="4" t="s">
        <v>72</v>
      </c>
      <c r="C77" s="4" t="str">
        <f t="shared" si="6"/>
        <v>19|U</v>
      </c>
      <c r="D77" s="4">
        <f>INDEX('Frequency 1-72'!$B$2:$E$73,A77,MATCH(B77,{"A","C","G","U"},0))</f>
        <v>2</v>
      </c>
      <c r="E77" s="4">
        <f>'Frequency 1-72'!G20</f>
        <v>200</v>
      </c>
      <c r="F77" s="12">
        <v>1</v>
      </c>
      <c r="G77" s="14">
        <f t="shared" si="7"/>
        <v>0.01</v>
      </c>
      <c r="H77" s="14">
        <f t="shared" si="8"/>
        <v>1.4705882352941176E-2</v>
      </c>
      <c r="I77" s="4">
        <f t="shared" si="9"/>
        <v>3</v>
      </c>
      <c r="J77" s="4">
        <f t="shared" si="10"/>
        <v>204</v>
      </c>
      <c r="K77" s="4" t="s">
        <v>503</v>
      </c>
      <c r="L77" s="4">
        <f t="shared" si="11"/>
        <v>1</v>
      </c>
    </row>
    <row r="78" spans="1:12">
      <c r="A78" s="4">
        <v>20</v>
      </c>
      <c r="B78" s="4" t="s">
        <v>73</v>
      </c>
      <c r="C78" s="4" t="str">
        <f t="shared" si="6"/>
        <v>20|A</v>
      </c>
      <c r="D78" s="4">
        <f>INDEX('Frequency 1-72'!$B$2:$E$73,A78,MATCH(B78,{"A","C","G","U"},0))</f>
        <v>17</v>
      </c>
      <c r="E78" s="4">
        <f>'Frequency 1-72'!G21</f>
        <v>199</v>
      </c>
      <c r="F78" s="12">
        <v>1</v>
      </c>
      <c r="G78" s="14">
        <f t="shared" si="7"/>
        <v>8.5427135678391955E-2</v>
      </c>
      <c r="H78" s="14">
        <f t="shared" si="8"/>
        <v>8.8669950738916259E-2</v>
      </c>
      <c r="I78" s="4">
        <f t="shared" si="9"/>
        <v>18</v>
      </c>
      <c r="J78" s="4">
        <f t="shared" si="10"/>
        <v>203</v>
      </c>
      <c r="K78" s="4" t="s">
        <v>503</v>
      </c>
      <c r="L78" s="4">
        <f t="shared" si="11"/>
        <v>1</v>
      </c>
    </row>
    <row r="79" spans="1:12">
      <c r="A79" s="4">
        <v>20</v>
      </c>
      <c r="B79" s="4" t="s">
        <v>71</v>
      </c>
      <c r="C79" s="4" t="str">
        <f t="shared" si="6"/>
        <v>20|C</v>
      </c>
      <c r="D79" s="4">
        <f>INDEX('Frequency 1-72'!$B$2:$E$73,A79,MATCH(B79,{"A","C","G","U"},0))</f>
        <v>45</v>
      </c>
      <c r="E79" s="4">
        <f>'Frequency 1-72'!G21</f>
        <v>199</v>
      </c>
      <c r="F79" s="12">
        <v>1</v>
      </c>
      <c r="G79" s="14">
        <f t="shared" si="7"/>
        <v>0.22613065326633167</v>
      </c>
      <c r="H79" s="14">
        <f t="shared" si="8"/>
        <v>0.22660098522167488</v>
      </c>
      <c r="I79" s="4">
        <f t="shared" si="9"/>
        <v>46</v>
      </c>
      <c r="J79" s="4">
        <f t="shared" si="10"/>
        <v>203</v>
      </c>
      <c r="K79" s="4" t="s">
        <v>503</v>
      </c>
      <c r="L79" s="4">
        <f t="shared" si="11"/>
        <v>1</v>
      </c>
    </row>
    <row r="80" spans="1:12">
      <c r="A80" s="4">
        <v>20</v>
      </c>
      <c r="B80" s="4" t="s">
        <v>70</v>
      </c>
      <c r="C80" s="4" t="str">
        <f t="shared" si="6"/>
        <v>20|G</v>
      </c>
      <c r="D80" s="4">
        <f>INDEX('Frequency 1-72'!$B$2:$E$73,A80,MATCH(B80,{"A","C","G","U"},0))</f>
        <v>18</v>
      </c>
      <c r="E80" s="4">
        <f>'Frequency 1-72'!G21</f>
        <v>199</v>
      </c>
      <c r="F80" s="12">
        <v>1</v>
      </c>
      <c r="G80" s="14">
        <f t="shared" si="7"/>
        <v>9.0452261306532666E-2</v>
      </c>
      <c r="H80" s="14">
        <f t="shared" si="8"/>
        <v>9.3596059113300489E-2</v>
      </c>
      <c r="I80" s="4">
        <f t="shared" si="9"/>
        <v>19</v>
      </c>
      <c r="J80" s="4">
        <f t="shared" si="10"/>
        <v>203</v>
      </c>
      <c r="K80" s="4" t="s">
        <v>503</v>
      </c>
      <c r="L80" s="4">
        <f t="shared" si="11"/>
        <v>1</v>
      </c>
    </row>
    <row r="81" spans="1:12">
      <c r="A81" s="4">
        <v>20</v>
      </c>
      <c r="B81" s="4" t="s">
        <v>72</v>
      </c>
      <c r="C81" s="4" t="str">
        <f t="shared" si="6"/>
        <v>20|U</v>
      </c>
      <c r="D81" s="4">
        <f>INDEX('Frequency 1-72'!$B$2:$E$73,A81,MATCH(B81,{"A","C","G","U"},0))</f>
        <v>119</v>
      </c>
      <c r="E81" s="4">
        <f>'Frequency 1-72'!G21</f>
        <v>199</v>
      </c>
      <c r="F81" s="12">
        <v>1</v>
      </c>
      <c r="G81" s="14">
        <f t="shared" si="7"/>
        <v>0.59798994974874375</v>
      </c>
      <c r="H81" s="14">
        <f t="shared" si="8"/>
        <v>0.59113300492610843</v>
      </c>
      <c r="I81" s="4">
        <f t="shared" si="9"/>
        <v>120</v>
      </c>
      <c r="J81" s="4">
        <f t="shared" si="10"/>
        <v>203</v>
      </c>
      <c r="K81" s="4" t="s">
        <v>503</v>
      </c>
      <c r="L81" s="4">
        <f t="shared" si="11"/>
        <v>1</v>
      </c>
    </row>
    <row r="82" spans="1:12">
      <c r="A82" s="4">
        <v>21</v>
      </c>
      <c r="B82" s="4" t="s">
        <v>73</v>
      </c>
      <c r="C82" s="4" t="str">
        <f t="shared" si="6"/>
        <v>21|A</v>
      </c>
      <c r="D82" s="4">
        <f>INDEX('Frequency 1-72'!$B$2:$E$73,A82,MATCH(B82,{"A","C","G","U"},0))</f>
        <v>179</v>
      </c>
      <c r="E82" s="4">
        <f>'Frequency 1-72'!G22</f>
        <v>200</v>
      </c>
      <c r="F82" s="12">
        <v>1</v>
      </c>
      <c r="G82" s="14">
        <f t="shared" si="7"/>
        <v>0.89500000000000002</v>
      </c>
      <c r="H82" s="14">
        <f t="shared" si="8"/>
        <v>0.88235294117647056</v>
      </c>
      <c r="I82" s="4">
        <f t="shared" si="9"/>
        <v>180</v>
      </c>
      <c r="J82" s="4">
        <f t="shared" si="10"/>
        <v>204</v>
      </c>
      <c r="K82" s="4" t="s">
        <v>503</v>
      </c>
      <c r="L82" s="4">
        <f t="shared" si="11"/>
        <v>1</v>
      </c>
    </row>
    <row r="83" spans="1:12">
      <c r="A83" s="4">
        <v>21</v>
      </c>
      <c r="B83" s="4" t="s">
        <v>71</v>
      </c>
      <c r="C83" s="4" t="str">
        <f t="shared" si="6"/>
        <v>21|C</v>
      </c>
      <c r="D83" s="4">
        <f>INDEX('Frequency 1-72'!$B$2:$E$73,A83,MATCH(B83,{"A","C","G","U"},0))</f>
        <v>4</v>
      </c>
      <c r="E83" s="4">
        <f>'Frequency 1-72'!G22</f>
        <v>200</v>
      </c>
      <c r="F83" s="12">
        <v>1</v>
      </c>
      <c r="G83" s="14">
        <f t="shared" si="7"/>
        <v>0.02</v>
      </c>
      <c r="H83" s="14">
        <f t="shared" si="8"/>
        <v>2.4509803921568627E-2</v>
      </c>
      <c r="I83" s="4">
        <f t="shared" si="9"/>
        <v>5</v>
      </c>
      <c r="J83" s="4">
        <f t="shared" si="10"/>
        <v>204</v>
      </c>
      <c r="K83" s="4" t="s">
        <v>503</v>
      </c>
      <c r="L83" s="4">
        <f t="shared" si="11"/>
        <v>1</v>
      </c>
    </row>
    <row r="84" spans="1:12">
      <c r="A84" s="4">
        <v>21</v>
      </c>
      <c r="B84" s="4" t="s">
        <v>70</v>
      </c>
      <c r="C84" s="4" t="str">
        <f t="shared" si="6"/>
        <v>21|G</v>
      </c>
      <c r="D84" s="4">
        <f>INDEX('Frequency 1-72'!$B$2:$E$73,A84,MATCH(B84,{"A","C","G","U"},0))</f>
        <v>7</v>
      </c>
      <c r="E84" s="4">
        <f>'Frequency 1-72'!G22</f>
        <v>200</v>
      </c>
      <c r="F84" s="12">
        <v>1</v>
      </c>
      <c r="G84" s="14">
        <f t="shared" si="7"/>
        <v>3.5000000000000003E-2</v>
      </c>
      <c r="H84" s="14">
        <f t="shared" si="8"/>
        <v>3.9215686274509803E-2</v>
      </c>
      <c r="I84" s="4">
        <f t="shared" si="9"/>
        <v>8</v>
      </c>
      <c r="J84" s="4">
        <f t="shared" si="10"/>
        <v>204</v>
      </c>
      <c r="K84" s="4" t="s">
        <v>503</v>
      </c>
      <c r="L84" s="4">
        <f t="shared" si="11"/>
        <v>1</v>
      </c>
    </row>
    <row r="85" spans="1:12">
      <c r="A85" s="4">
        <v>21</v>
      </c>
      <c r="B85" s="4" t="s">
        <v>72</v>
      </c>
      <c r="C85" s="4" t="str">
        <f t="shared" si="6"/>
        <v>21|U</v>
      </c>
      <c r="D85" s="4">
        <f>INDEX('Frequency 1-72'!$B$2:$E$73,A85,MATCH(B85,{"A","C","G","U"},0))</f>
        <v>10</v>
      </c>
      <c r="E85" s="4">
        <f>'Frequency 1-72'!G22</f>
        <v>200</v>
      </c>
      <c r="F85" s="12">
        <v>1</v>
      </c>
      <c r="G85" s="14">
        <f t="shared" si="7"/>
        <v>0.05</v>
      </c>
      <c r="H85" s="14">
        <f t="shared" si="8"/>
        <v>5.3921568627450983E-2</v>
      </c>
      <c r="I85" s="4">
        <f t="shared" si="9"/>
        <v>11</v>
      </c>
      <c r="J85" s="4">
        <f t="shared" si="10"/>
        <v>204</v>
      </c>
      <c r="K85" s="4" t="s">
        <v>503</v>
      </c>
      <c r="L85" s="4">
        <f t="shared" si="11"/>
        <v>1</v>
      </c>
    </row>
    <row r="86" spans="1:12">
      <c r="A86" s="4">
        <v>22</v>
      </c>
      <c r="B86" s="4" t="s">
        <v>73</v>
      </c>
      <c r="C86" s="4" t="str">
        <f t="shared" si="6"/>
        <v>22|A</v>
      </c>
      <c r="D86" s="4">
        <f>INDEX('Frequency 1-72'!$B$2:$E$73,A86,MATCH(B86,{"A","C","G","U"},0))</f>
        <v>41</v>
      </c>
      <c r="E86" s="4">
        <f>'Frequency 1-72'!G23</f>
        <v>200</v>
      </c>
      <c r="F86" s="12">
        <v>1</v>
      </c>
      <c r="G86" s="14">
        <f t="shared" si="7"/>
        <v>0.20499999999999999</v>
      </c>
      <c r="H86" s="14">
        <f t="shared" si="8"/>
        <v>0.20588235294117646</v>
      </c>
      <c r="I86" s="4">
        <f t="shared" si="9"/>
        <v>42</v>
      </c>
      <c r="J86" s="4">
        <f t="shared" si="10"/>
        <v>204</v>
      </c>
      <c r="K86" s="4" t="s">
        <v>503</v>
      </c>
      <c r="L86" s="4">
        <f t="shared" si="11"/>
        <v>1</v>
      </c>
    </row>
    <row r="87" spans="1:12">
      <c r="A87" s="4">
        <v>22</v>
      </c>
      <c r="B87" s="4" t="s">
        <v>71</v>
      </c>
      <c r="C87" s="4" t="str">
        <f t="shared" si="6"/>
        <v>22|C</v>
      </c>
      <c r="D87" s="4">
        <f>INDEX('Frequency 1-72'!$B$2:$E$73,A87,MATCH(B87,{"A","C","G","U"},0))</f>
        <v>0</v>
      </c>
      <c r="E87" s="4">
        <f>'Frequency 1-72'!G23</f>
        <v>200</v>
      </c>
      <c r="F87" s="12">
        <v>1</v>
      </c>
      <c r="G87" s="14">
        <f t="shared" si="7"/>
        <v>0</v>
      </c>
      <c r="H87" s="14">
        <f t="shared" si="8"/>
        <v>4.9019607843137254E-3</v>
      </c>
      <c r="I87" s="4">
        <f t="shared" si="9"/>
        <v>1</v>
      </c>
      <c r="J87" s="4">
        <f t="shared" si="10"/>
        <v>204</v>
      </c>
      <c r="K87" s="4" t="s">
        <v>503</v>
      </c>
      <c r="L87" s="4">
        <f t="shared" si="11"/>
        <v>1</v>
      </c>
    </row>
    <row r="88" spans="1:12">
      <c r="A88" s="4">
        <v>22</v>
      </c>
      <c r="B88" s="4" t="s">
        <v>70</v>
      </c>
      <c r="C88" s="4" t="str">
        <f t="shared" si="6"/>
        <v>22|G</v>
      </c>
      <c r="D88" s="4">
        <f>INDEX('Frequency 1-72'!$B$2:$E$73,A88,MATCH(B88,{"A","C","G","U"},0))</f>
        <v>145</v>
      </c>
      <c r="E88" s="4">
        <f>'Frequency 1-72'!G23</f>
        <v>200</v>
      </c>
      <c r="F88" s="12">
        <v>1</v>
      </c>
      <c r="G88" s="14">
        <f t="shared" si="7"/>
        <v>0.72499999999999998</v>
      </c>
      <c r="H88" s="14">
        <f t="shared" si="8"/>
        <v>0.71568627450980393</v>
      </c>
      <c r="I88" s="4">
        <f t="shared" si="9"/>
        <v>146</v>
      </c>
      <c r="J88" s="4">
        <f t="shared" si="10"/>
        <v>204</v>
      </c>
      <c r="K88" s="4" t="s">
        <v>503</v>
      </c>
      <c r="L88" s="4">
        <f t="shared" si="11"/>
        <v>1</v>
      </c>
    </row>
    <row r="89" spans="1:12">
      <c r="A89" s="4">
        <v>22</v>
      </c>
      <c r="B89" s="4" t="s">
        <v>72</v>
      </c>
      <c r="C89" s="4" t="str">
        <f t="shared" si="6"/>
        <v>22|U</v>
      </c>
      <c r="D89" s="4">
        <f>INDEX('Frequency 1-72'!$B$2:$E$73,A89,MATCH(B89,{"A","C","G","U"},0))</f>
        <v>14</v>
      </c>
      <c r="E89" s="4">
        <f>'Frequency 1-72'!G23</f>
        <v>200</v>
      </c>
      <c r="F89" s="12">
        <v>1</v>
      </c>
      <c r="G89" s="14">
        <f t="shared" si="7"/>
        <v>7.0000000000000007E-2</v>
      </c>
      <c r="H89" s="14">
        <f t="shared" si="8"/>
        <v>7.3529411764705885E-2</v>
      </c>
      <c r="I89" s="4">
        <f t="shared" si="9"/>
        <v>15</v>
      </c>
      <c r="J89" s="4">
        <f t="shared" si="10"/>
        <v>204</v>
      </c>
      <c r="K89" s="4" t="s">
        <v>503</v>
      </c>
      <c r="L89" s="4">
        <f t="shared" si="11"/>
        <v>1</v>
      </c>
    </row>
    <row r="90" spans="1:12">
      <c r="A90" s="4">
        <v>23</v>
      </c>
      <c r="B90" s="4" t="s">
        <v>73</v>
      </c>
      <c r="C90" s="4" t="str">
        <f t="shared" si="6"/>
        <v>23|A</v>
      </c>
      <c r="D90" s="4">
        <f>INDEX('Frequency 1-72'!$B$2:$E$73,A90,MATCH(B90,{"A","C","G","U"},0))</f>
        <v>121</v>
      </c>
      <c r="E90" s="4">
        <f>'Frequency 1-72'!G24</f>
        <v>200</v>
      </c>
      <c r="F90" s="12">
        <v>1</v>
      </c>
      <c r="G90" s="14">
        <f t="shared" si="7"/>
        <v>0.60499999999999998</v>
      </c>
      <c r="H90" s="14">
        <f t="shared" si="8"/>
        <v>0.59803921568627449</v>
      </c>
      <c r="I90" s="4">
        <f t="shared" si="9"/>
        <v>122</v>
      </c>
      <c r="J90" s="4">
        <f t="shared" si="10"/>
        <v>204</v>
      </c>
      <c r="K90" s="4" t="s">
        <v>503</v>
      </c>
      <c r="L90" s="4">
        <f t="shared" si="11"/>
        <v>1</v>
      </c>
    </row>
    <row r="91" spans="1:12">
      <c r="A91" s="4">
        <v>23</v>
      </c>
      <c r="B91" s="4" t="s">
        <v>71</v>
      </c>
      <c r="C91" s="4" t="str">
        <f t="shared" si="6"/>
        <v>23|C</v>
      </c>
      <c r="D91" s="4">
        <f>INDEX('Frequency 1-72'!$B$2:$E$73,A91,MATCH(B91,{"A","C","G","U"},0))</f>
        <v>38</v>
      </c>
      <c r="E91" s="4">
        <f>'Frequency 1-72'!G24</f>
        <v>200</v>
      </c>
      <c r="F91" s="12">
        <v>1</v>
      </c>
      <c r="G91" s="14">
        <f t="shared" si="7"/>
        <v>0.19</v>
      </c>
      <c r="H91" s="14">
        <f t="shared" si="8"/>
        <v>0.19117647058823528</v>
      </c>
      <c r="I91" s="4">
        <f t="shared" si="9"/>
        <v>39</v>
      </c>
      <c r="J91" s="4">
        <f t="shared" si="10"/>
        <v>204</v>
      </c>
      <c r="K91" s="4" t="s">
        <v>503</v>
      </c>
      <c r="L91" s="4">
        <f t="shared" si="11"/>
        <v>1</v>
      </c>
    </row>
    <row r="92" spans="1:12">
      <c r="A92" s="4">
        <v>23</v>
      </c>
      <c r="B92" s="4" t="s">
        <v>70</v>
      </c>
      <c r="C92" s="4" t="str">
        <f t="shared" si="6"/>
        <v>23|G</v>
      </c>
      <c r="D92" s="4">
        <f>INDEX('Frequency 1-72'!$B$2:$E$73,A92,MATCH(B92,{"A","C","G","U"},0))</f>
        <v>29</v>
      </c>
      <c r="E92" s="4">
        <f>'Frequency 1-72'!G24</f>
        <v>200</v>
      </c>
      <c r="F92" s="12">
        <v>1</v>
      </c>
      <c r="G92" s="14">
        <f t="shared" si="7"/>
        <v>0.14499999999999999</v>
      </c>
      <c r="H92" s="14">
        <f t="shared" si="8"/>
        <v>0.14705882352941177</v>
      </c>
      <c r="I92" s="4">
        <f t="shared" si="9"/>
        <v>30</v>
      </c>
      <c r="J92" s="4">
        <f t="shared" si="10"/>
        <v>204</v>
      </c>
      <c r="K92" s="4" t="s">
        <v>503</v>
      </c>
      <c r="L92" s="4">
        <f t="shared" si="11"/>
        <v>1</v>
      </c>
    </row>
    <row r="93" spans="1:12">
      <c r="A93" s="4">
        <v>23</v>
      </c>
      <c r="B93" s="4" t="s">
        <v>72</v>
      </c>
      <c r="C93" s="4" t="str">
        <f t="shared" si="6"/>
        <v>23|U</v>
      </c>
      <c r="D93" s="4">
        <f>INDEX('Frequency 1-72'!$B$2:$E$73,A93,MATCH(B93,{"A","C","G","U"},0))</f>
        <v>12</v>
      </c>
      <c r="E93" s="4">
        <f>'Frequency 1-72'!G24</f>
        <v>200</v>
      </c>
      <c r="F93" s="12">
        <v>1</v>
      </c>
      <c r="G93" s="14">
        <f t="shared" si="7"/>
        <v>0.06</v>
      </c>
      <c r="H93" s="14">
        <f t="shared" si="8"/>
        <v>6.3725490196078427E-2</v>
      </c>
      <c r="I93" s="4">
        <f t="shared" si="9"/>
        <v>13</v>
      </c>
      <c r="J93" s="4">
        <f t="shared" si="10"/>
        <v>204</v>
      </c>
      <c r="K93" s="4" t="s">
        <v>503</v>
      </c>
      <c r="L93" s="4">
        <f t="shared" si="11"/>
        <v>1</v>
      </c>
    </row>
    <row r="94" spans="1:12">
      <c r="A94" s="4">
        <v>24</v>
      </c>
      <c r="B94" s="4" t="s">
        <v>73</v>
      </c>
      <c r="C94" s="4" t="str">
        <f t="shared" si="6"/>
        <v>24|A</v>
      </c>
      <c r="D94" s="4">
        <f>INDEX('Frequency 1-72'!$B$2:$E$73,A94,MATCH(B94,{"A","C","G","U"},0))</f>
        <v>37</v>
      </c>
      <c r="E94" s="4">
        <f>'Frequency 1-72'!G25</f>
        <v>200</v>
      </c>
      <c r="F94" s="12">
        <v>1</v>
      </c>
      <c r="G94" s="14">
        <f t="shared" si="7"/>
        <v>0.185</v>
      </c>
      <c r="H94" s="14">
        <f t="shared" si="8"/>
        <v>0.18627450980392157</v>
      </c>
      <c r="I94" s="4">
        <f t="shared" si="9"/>
        <v>38</v>
      </c>
      <c r="J94" s="4">
        <f t="shared" si="10"/>
        <v>204</v>
      </c>
      <c r="K94" s="4" t="s">
        <v>503</v>
      </c>
      <c r="L94" s="4">
        <f t="shared" si="11"/>
        <v>1</v>
      </c>
    </row>
    <row r="95" spans="1:12">
      <c r="A95" s="4">
        <v>24</v>
      </c>
      <c r="B95" s="4" t="s">
        <v>71</v>
      </c>
      <c r="C95" s="4" t="str">
        <f t="shared" si="6"/>
        <v>24|C</v>
      </c>
      <c r="D95" s="4">
        <f>INDEX('Frequency 1-72'!$B$2:$E$73,A95,MATCH(B95,{"A","C","G","U"},0))</f>
        <v>6</v>
      </c>
      <c r="E95" s="4">
        <f>'Frequency 1-72'!G25</f>
        <v>200</v>
      </c>
      <c r="F95" s="12">
        <v>1</v>
      </c>
      <c r="G95" s="14">
        <f t="shared" si="7"/>
        <v>0.03</v>
      </c>
      <c r="H95" s="14">
        <f t="shared" si="8"/>
        <v>3.4313725490196081E-2</v>
      </c>
      <c r="I95" s="4">
        <f t="shared" si="9"/>
        <v>7</v>
      </c>
      <c r="J95" s="4">
        <f t="shared" si="10"/>
        <v>204</v>
      </c>
      <c r="K95" s="4" t="s">
        <v>503</v>
      </c>
      <c r="L95" s="4">
        <f t="shared" si="11"/>
        <v>1</v>
      </c>
    </row>
    <row r="96" spans="1:12">
      <c r="A96" s="4">
        <v>24</v>
      </c>
      <c r="B96" s="4" t="s">
        <v>70</v>
      </c>
      <c r="C96" s="4" t="str">
        <f t="shared" si="6"/>
        <v>24|G</v>
      </c>
      <c r="D96" s="4">
        <f>INDEX('Frequency 1-72'!$B$2:$E$73,A96,MATCH(B96,{"A","C","G","U"},0))</f>
        <v>150</v>
      </c>
      <c r="E96" s="4">
        <f>'Frequency 1-72'!G25</f>
        <v>200</v>
      </c>
      <c r="F96" s="12">
        <v>1</v>
      </c>
      <c r="G96" s="14">
        <f t="shared" si="7"/>
        <v>0.75</v>
      </c>
      <c r="H96" s="14">
        <f t="shared" si="8"/>
        <v>0.74019607843137258</v>
      </c>
      <c r="I96" s="4">
        <f t="shared" si="9"/>
        <v>151</v>
      </c>
      <c r="J96" s="4">
        <f t="shared" si="10"/>
        <v>204</v>
      </c>
      <c r="K96" s="4" t="s">
        <v>503</v>
      </c>
      <c r="L96" s="4">
        <f t="shared" si="11"/>
        <v>1</v>
      </c>
    </row>
    <row r="97" spans="1:12">
      <c r="A97" s="4">
        <v>24</v>
      </c>
      <c r="B97" s="4" t="s">
        <v>72</v>
      </c>
      <c r="C97" s="4" t="str">
        <f t="shared" si="6"/>
        <v>24|U</v>
      </c>
      <c r="D97" s="4">
        <f>INDEX('Frequency 1-72'!$B$2:$E$73,A97,MATCH(B97,{"A","C","G","U"},0))</f>
        <v>7</v>
      </c>
      <c r="E97" s="4">
        <f>'Frequency 1-72'!G25</f>
        <v>200</v>
      </c>
      <c r="F97" s="12">
        <v>1</v>
      </c>
      <c r="G97" s="14">
        <f t="shared" si="7"/>
        <v>3.5000000000000003E-2</v>
      </c>
      <c r="H97" s="14">
        <f t="shared" si="8"/>
        <v>3.9215686274509803E-2</v>
      </c>
      <c r="I97" s="4">
        <f t="shared" si="9"/>
        <v>8</v>
      </c>
      <c r="J97" s="4">
        <f t="shared" si="10"/>
        <v>204</v>
      </c>
      <c r="K97" s="4" t="s">
        <v>503</v>
      </c>
      <c r="L97" s="4">
        <f t="shared" si="11"/>
        <v>1</v>
      </c>
    </row>
    <row r="98" spans="1:12">
      <c r="A98" s="4">
        <v>25</v>
      </c>
      <c r="B98" s="4" t="s">
        <v>73</v>
      </c>
      <c r="C98" s="4" t="str">
        <f t="shared" si="6"/>
        <v>25|A</v>
      </c>
      <c r="D98" s="4">
        <f>INDEX('Frequency 1-72'!$B$2:$E$73,A98,MATCH(B98,{"A","C","G","U"},0))</f>
        <v>1</v>
      </c>
      <c r="E98" s="4">
        <f>'Frequency 1-72'!G26</f>
        <v>200</v>
      </c>
      <c r="F98" s="12">
        <v>1</v>
      </c>
      <c r="G98" s="14">
        <f t="shared" si="7"/>
        <v>5.0000000000000001E-3</v>
      </c>
      <c r="H98" s="14">
        <f t="shared" si="8"/>
        <v>9.8039215686274508E-3</v>
      </c>
      <c r="I98" s="4">
        <f t="shared" si="9"/>
        <v>2</v>
      </c>
      <c r="J98" s="4">
        <f t="shared" si="10"/>
        <v>204</v>
      </c>
      <c r="K98" s="4" t="s">
        <v>503</v>
      </c>
      <c r="L98" s="4">
        <f t="shared" si="11"/>
        <v>1</v>
      </c>
    </row>
    <row r="99" spans="1:12">
      <c r="A99" s="4">
        <v>25</v>
      </c>
      <c r="B99" s="4" t="s">
        <v>71</v>
      </c>
      <c r="C99" s="4" t="str">
        <f t="shared" si="6"/>
        <v>25|C</v>
      </c>
      <c r="D99" s="4">
        <f>INDEX('Frequency 1-72'!$B$2:$E$73,A99,MATCH(B99,{"A","C","G","U"},0))</f>
        <v>178</v>
      </c>
      <c r="E99" s="4">
        <f>'Frequency 1-72'!G26</f>
        <v>200</v>
      </c>
      <c r="F99" s="12">
        <v>1</v>
      </c>
      <c r="G99" s="14">
        <f t="shared" si="7"/>
        <v>0.89</v>
      </c>
      <c r="H99" s="14">
        <f t="shared" si="8"/>
        <v>0.87745098039215685</v>
      </c>
      <c r="I99" s="4">
        <f t="shared" si="9"/>
        <v>179</v>
      </c>
      <c r="J99" s="4">
        <f t="shared" si="10"/>
        <v>204</v>
      </c>
      <c r="K99" s="4" t="s">
        <v>503</v>
      </c>
      <c r="L99" s="4">
        <f t="shared" si="11"/>
        <v>1</v>
      </c>
    </row>
    <row r="100" spans="1:12">
      <c r="A100" s="4">
        <v>25</v>
      </c>
      <c r="B100" s="4" t="s">
        <v>70</v>
      </c>
      <c r="C100" s="4" t="str">
        <f t="shared" si="6"/>
        <v>25|G</v>
      </c>
      <c r="D100" s="4">
        <f>INDEX('Frequency 1-72'!$B$2:$E$73,A100,MATCH(B100,{"A","C","G","U"},0))</f>
        <v>7</v>
      </c>
      <c r="E100" s="4">
        <f>'Frequency 1-72'!G26</f>
        <v>200</v>
      </c>
      <c r="F100" s="12">
        <v>1</v>
      </c>
      <c r="G100" s="14">
        <f t="shared" si="7"/>
        <v>3.5000000000000003E-2</v>
      </c>
      <c r="H100" s="14">
        <f t="shared" si="8"/>
        <v>3.9215686274509803E-2</v>
      </c>
      <c r="I100" s="4">
        <f t="shared" si="9"/>
        <v>8</v>
      </c>
      <c r="J100" s="4">
        <f t="shared" si="10"/>
        <v>204</v>
      </c>
      <c r="K100" s="4" t="s">
        <v>503</v>
      </c>
      <c r="L100" s="4">
        <f t="shared" si="11"/>
        <v>1</v>
      </c>
    </row>
    <row r="101" spans="1:12">
      <c r="A101" s="4">
        <v>25</v>
      </c>
      <c r="B101" s="4" t="s">
        <v>72</v>
      </c>
      <c r="C101" s="4" t="str">
        <f t="shared" si="6"/>
        <v>25|U</v>
      </c>
      <c r="D101" s="4">
        <f>INDEX('Frequency 1-72'!$B$2:$E$73,A101,MATCH(B101,{"A","C","G","U"},0))</f>
        <v>14</v>
      </c>
      <c r="E101" s="4">
        <f>'Frequency 1-72'!G26</f>
        <v>200</v>
      </c>
      <c r="F101" s="12">
        <v>1</v>
      </c>
      <c r="G101" s="14">
        <f t="shared" si="7"/>
        <v>7.0000000000000007E-2</v>
      </c>
      <c r="H101" s="14">
        <f t="shared" si="8"/>
        <v>7.3529411764705885E-2</v>
      </c>
      <c r="I101" s="4">
        <f t="shared" si="9"/>
        <v>15</v>
      </c>
      <c r="J101" s="4">
        <f t="shared" si="10"/>
        <v>204</v>
      </c>
      <c r="K101" s="4" t="s">
        <v>503</v>
      </c>
      <c r="L101" s="4">
        <f t="shared" si="11"/>
        <v>1</v>
      </c>
    </row>
    <row r="102" spans="1:12">
      <c r="A102" s="4">
        <v>26</v>
      </c>
      <c r="B102" s="4" t="s">
        <v>73</v>
      </c>
      <c r="C102" s="4" t="str">
        <f t="shared" si="6"/>
        <v>26|A</v>
      </c>
      <c r="D102" s="4">
        <f>INDEX('Frequency 1-72'!$B$2:$E$73,A102,MATCH(B102,{"A","C","G","U"},0))</f>
        <v>84</v>
      </c>
      <c r="E102" s="4">
        <f>'Frequency 1-72'!G27</f>
        <v>200</v>
      </c>
      <c r="F102" s="12">
        <v>1</v>
      </c>
      <c r="G102" s="14">
        <f t="shared" si="7"/>
        <v>0.42</v>
      </c>
      <c r="H102" s="14">
        <f t="shared" si="8"/>
        <v>0.41666666666666669</v>
      </c>
      <c r="I102" s="4">
        <f t="shared" si="9"/>
        <v>85</v>
      </c>
      <c r="J102" s="4">
        <f t="shared" si="10"/>
        <v>204</v>
      </c>
      <c r="K102" s="4" t="s">
        <v>503</v>
      </c>
      <c r="L102" s="4">
        <f t="shared" si="11"/>
        <v>1</v>
      </c>
    </row>
    <row r="103" spans="1:12">
      <c r="A103" s="4">
        <v>26</v>
      </c>
      <c r="B103" s="4" t="s">
        <v>71</v>
      </c>
      <c r="C103" s="4" t="str">
        <f t="shared" si="6"/>
        <v>26|C</v>
      </c>
      <c r="D103" s="4">
        <f>INDEX('Frequency 1-72'!$B$2:$E$73,A103,MATCH(B103,{"A","C","G","U"},0))</f>
        <v>5</v>
      </c>
      <c r="E103" s="4">
        <f>'Frequency 1-72'!G27</f>
        <v>200</v>
      </c>
      <c r="F103" s="12">
        <v>1</v>
      </c>
      <c r="G103" s="14">
        <f t="shared" si="7"/>
        <v>2.5000000000000001E-2</v>
      </c>
      <c r="H103" s="14">
        <f t="shared" si="8"/>
        <v>2.9411764705882353E-2</v>
      </c>
      <c r="I103" s="4">
        <f t="shared" si="9"/>
        <v>6</v>
      </c>
      <c r="J103" s="4">
        <f t="shared" si="10"/>
        <v>204</v>
      </c>
      <c r="K103" s="4" t="s">
        <v>503</v>
      </c>
      <c r="L103" s="4">
        <f t="shared" si="11"/>
        <v>1</v>
      </c>
    </row>
    <row r="104" spans="1:12">
      <c r="A104" s="4">
        <v>26</v>
      </c>
      <c r="B104" s="4" t="s">
        <v>70</v>
      </c>
      <c r="C104" s="4" t="str">
        <f t="shared" si="6"/>
        <v>26|G</v>
      </c>
      <c r="D104" s="4">
        <f>INDEX('Frequency 1-72'!$B$2:$E$73,A104,MATCH(B104,{"A","C","G","U"},0))</f>
        <v>100</v>
      </c>
      <c r="E104" s="4">
        <f>'Frequency 1-72'!G27</f>
        <v>200</v>
      </c>
      <c r="F104" s="12">
        <v>1</v>
      </c>
      <c r="G104" s="14">
        <f t="shared" si="7"/>
        <v>0.5</v>
      </c>
      <c r="H104" s="14">
        <f t="shared" si="8"/>
        <v>0.49509803921568629</v>
      </c>
      <c r="I104" s="4">
        <f t="shared" si="9"/>
        <v>101</v>
      </c>
      <c r="J104" s="4">
        <f t="shared" si="10"/>
        <v>204</v>
      </c>
      <c r="K104" s="4" t="s">
        <v>503</v>
      </c>
      <c r="L104" s="4">
        <f t="shared" si="11"/>
        <v>1</v>
      </c>
    </row>
    <row r="105" spans="1:12">
      <c r="A105" s="4">
        <v>26</v>
      </c>
      <c r="B105" s="4" t="s">
        <v>72</v>
      </c>
      <c r="C105" s="4" t="str">
        <f t="shared" si="6"/>
        <v>26|U</v>
      </c>
      <c r="D105" s="4">
        <f>INDEX('Frequency 1-72'!$B$2:$E$73,A105,MATCH(B105,{"A","C","G","U"},0))</f>
        <v>11</v>
      </c>
      <c r="E105" s="4">
        <f>'Frequency 1-72'!G27</f>
        <v>200</v>
      </c>
      <c r="F105" s="12">
        <v>1</v>
      </c>
      <c r="G105" s="14">
        <f t="shared" si="7"/>
        <v>5.5E-2</v>
      </c>
      <c r="H105" s="14">
        <f t="shared" si="8"/>
        <v>5.8823529411764705E-2</v>
      </c>
      <c r="I105" s="4">
        <f t="shared" si="9"/>
        <v>12</v>
      </c>
      <c r="J105" s="4">
        <f t="shared" si="10"/>
        <v>204</v>
      </c>
      <c r="K105" s="4" t="s">
        <v>503</v>
      </c>
      <c r="L105" s="4">
        <f t="shared" si="11"/>
        <v>1</v>
      </c>
    </row>
    <row r="106" spans="1:12">
      <c r="A106" s="4">
        <v>27</v>
      </c>
      <c r="B106" s="4" t="s">
        <v>73</v>
      </c>
      <c r="C106" s="4" t="str">
        <f t="shared" si="6"/>
        <v>27|A</v>
      </c>
      <c r="D106" s="4">
        <f>INDEX('Frequency 1-72'!$B$2:$E$73,A106,MATCH(B106,{"A","C","G","U"},0))</f>
        <v>24</v>
      </c>
      <c r="E106" s="4">
        <f>'Frequency 1-72'!G28</f>
        <v>200</v>
      </c>
      <c r="F106" s="12">
        <v>1</v>
      </c>
      <c r="G106" s="14">
        <f t="shared" si="7"/>
        <v>0.12</v>
      </c>
      <c r="H106" s="14">
        <f t="shared" si="8"/>
        <v>0.12254901960784313</v>
      </c>
      <c r="I106" s="4">
        <f t="shared" si="9"/>
        <v>25</v>
      </c>
      <c r="J106" s="4">
        <f t="shared" si="10"/>
        <v>204</v>
      </c>
      <c r="K106" s="4" t="s">
        <v>503</v>
      </c>
      <c r="L106" s="4">
        <f t="shared" si="11"/>
        <v>1</v>
      </c>
    </row>
    <row r="107" spans="1:12">
      <c r="A107" s="4">
        <v>27</v>
      </c>
      <c r="B107" s="4" t="s">
        <v>71</v>
      </c>
      <c r="C107" s="4" t="str">
        <f t="shared" si="6"/>
        <v>27|C</v>
      </c>
      <c r="D107" s="4">
        <f>INDEX('Frequency 1-72'!$B$2:$E$73,A107,MATCH(B107,{"A","C","G","U"},0))</f>
        <v>93</v>
      </c>
      <c r="E107" s="4">
        <f>'Frequency 1-72'!G28</f>
        <v>200</v>
      </c>
      <c r="F107" s="12">
        <v>1</v>
      </c>
      <c r="G107" s="14">
        <f t="shared" si="7"/>
        <v>0.46500000000000002</v>
      </c>
      <c r="H107" s="14">
        <f t="shared" si="8"/>
        <v>0.46078431372549017</v>
      </c>
      <c r="I107" s="4">
        <f t="shared" si="9"/>
        <v>94</v>
      </c>
      <c r="J107" s="4">
        <f t="shared" si="10"/>
        <v>204</v>
      </c>
      <c r="K107" s="4" t="s">
        <v>503</v>
      </c>
      <c r="L107" s="4">
        <f t="shared" si="11"/>
        <v>1</v>
      </c>
    </row>
    <row r="108" spans="1:12">
      <c r="A108" s="4">
        <v>27</v>
      </c>
      <c r="B108" s="4" t="s">
        <v>70</v>
      </c>
      <c r="C108" s="4" t="str">
        <f t="shared" si="6"/>
        <v>27|G</v>
      </c>
      <c r="D108" s="4">
        <f>INDEX('Frequency 1-72'!$B$2:$E$73,A108,MATCH(B108,{"A","C","G","U"},0))</f>
        <v>31</v>
      </c>
      <c r="E108" s="4">
        <f>'Frequency 1-72'!G28</f>
        <v>200</v>
      </c>
      <c r="F108" s="12">
        <v>1</v>
      </c>
      <c r="G108" s="14">
        <f t="shared" si="7"/>
        <v>0.155</v>
      </c>
      <c r="H108" s="14">
        <f t="shared" si="8"/>
        <v>0.15686274509803921</v>
      </c>
      <c r="I108" s="4">
        <f t="shared" si="9"/>
        <v>32</v>
      </c>
      <c r="J108" s="4">
        <f t="shared" si="10"/>
        <v>204</v>
      </c>
      <c r="K108" s="4" t="s">
        <v>503</v>
      </c>
      <c r="L108" s="4">
        <f t="shared" si="11"/>
        <v>1</v>
      </c>
    </row>
    <row r="109" spans="1:12">
      <c r="A109" s="4">
        <v>27</v>
      </c>
      <c r="B109" s="4" t="s">
        <v>72</v>
      </c>
      <c r="C109" s="4" t="str">
        <f t="shared" si="6"/>
        <v>27|U</v>
      </c>
      <c r="D109" s="4">
        <f>INDEX('Frequency 1-72'!$B$2:$E$73,A109,MATCH(B109,{"A","C","G","U"},0))</f>
        <v>52</v>
      </c>
      <c r="E109" s="4">
        <f>'Frequency 1-72'!G28</f>
        <v>200</v>
      </c>
      <c r="F109" s="12">
        <v>1</v>
      </c>
      <c r="G109" s="14">
        <f t="shared" si="7"/>
        <v>0.26</v>
      </c>
      <c r="H109" s="14">
        <f t="shared" si="8"/>
        <v>0.25980392156862747</v>
      </c>
      <c r="I109" s="4">
        <f t="shared" si="9"/>
        <v>53</v>
      </c>
      <c r="J109" s="4">
        <f t="shared" si="10"/>
        <v>204</v>
      </c>
      <c r="K109" s="4" t="s">
        <v>503</v>
      </c>
      <c r="L109" s="4">
        <f t="shared" si="11"/>
        <v>1</v>
      </c>
    </row>
    <row r="110" spans="1:12">
      <c r="A110" s="4">
        <v>28</v>
      </c>
      <c r="B110" s="4" t="s">
        <v>73</v>
      </c>
      <c r="C110" s="4" t="str">
        <f t="shared" si="6"/>
        <v>28|A</v>
      </c>
      <c r="D110" s="4">
        <f>INDEX('Frequency 1-72'!$B$2:$E$73,A110,MATCH(B110,{"A","C","G","U"},0))</f>
        <v>24</v>
      </c>
      <c r="E110" s="4">
        <f>'Frequency 1-72'!G29</f>
        <v>200</v>
      </c>
      <c r="F110" s="12">
        <v>1</v>
      </c>
      <c r="G110" s="14">
        <f t="shared" si="7"/>
        <v>0.12</v>
      </c>
      <c r="H110" s="14">
        <f t="shared" si="8"/>
        <v>0.12254901960784313</v>
      </c>
      <c r="I110" s="4">
        <f t="shared" si="9"/>
        <v>25</v>
      </c>
      <c r="J110" s="4">
        <f t="shared" si="10"/>
        <v>204</v>
      </c>
      <c r="K110" s="4" t="s">
        <v>503</v>
      </c>
      <c r="L110" s="4">
        <f t="shared" si="11"/>
        <v>1</v>
      </c>
    </row>
    <row r="111" spans="1:12">
      <c r="A111" s="4">
        <v>28</v>
      </c>
      <c r="B111" s="4" t="s">
        <v>71</v>
      </c>
      <c r="C111" s="4" t="str">
        <f t="shared" si="6"/>
        <v>28|C</v>
      </c>
      <c r="D111" s="4">
        <f>INDEX('Frequency 1-72'!$B$2:$E$73,A111,MATCH(B111,{"A","C","G","U"},0))</f>
        <v>103</v>
      </c>
      <c r="E111" s="4">
        <f>'Frequency 1-72'!G29</f>
        <v>200</v>
      </c>
      <c r="F111" s="12">
        <v>1</v>
      </c>
      <c r="G111" s="14">
        <f t="shared" si="7"/>
        <v>0.51500000000000001</v>
      </c>
      <c r="H111" s="14">
        <f t="shared" si="8"/>
        <v>0.50980392156862742</v>
      </c>
      <c r="I111" s="4">
        <f t="shared" si="9"/>
        <v>104</v>
      </c>
      <c r="J111" s="4">
        <f t="shared" si="10"/>
        <v>204</v>
      </c>
      <c r="K111" s="4" t="s">
        <v>503</v>
      </c>
      <c r="L111" s="4">
        <f t="shared" si="11"/>
        <v>1</v>
      </c>
    </row>
    <row r="112" spans="1:12">
      <c r="A112" s="4">
        <v>28</v>
      </c>
      <c r="B112" s="4" t="s">
        <v>70</v>
      </c>
      <c r="C112" s="4" t="str">
        <f t="shared" si="6"/>
        <v>28|G</v>
      </c>
      <c r="D112" s="4">
        <f>INDEX('Frequency 1-72'!$B$2:$E$73,A112,MATCH(B112,{"A","C","G","U"},0))</f>
        <v>22</v>
      </c>
      <c r="E112" s="4">
        <f>'Frequency 1-72'!G29</f>
        <v>200</v>
      </c>
      <c r="F112" s="12">
        <v>1</v>
      </c>
      <c r="G112" s="14">
        <f t="shared" si="7"/>
        <v>0.11</v>
      </c>
      <c r="H112" s="14">
        <f t="shared" si="8"/>
        <v>0.11274509803921569</v>
      </c>
      <c r="I112" s="4">
        <f t="shared" si="9"/>
        <v>23</v>
      </c>
      <c r="J112" s="4">
        <f t="shared" si="10"/>
        <v>204</v>
      </c>
      <c r="K112" s="4" t="s">
        <v>503</v>
      </c>
      <c r="L112" s="4">
        <f t="shared" si="11"/>
        <v>1</v>
      </c>
    </row>
    <row r="113" spans="1:12">
      <c r="A113" s="4">
        <v>28</v>
      </c>
      <c r="B113" s="4" t="s">
        <v>72</v>
      </c>
      <c r="C113" s="4" t="str">
        <f t="shared" si="6"/>
        <v>28|U</v>
      </c>
      <c r="D113" s="4">
        <f>INDEX('Frequency 1-72'!$B$2:$E$73,A113,MATCH(B113,{"A","C","G","U"},0))</f>
        <v>51</v>
      </c>
      <c r="E113" s="4">
        <f>'Frequency 1-72'!G29</f>
        <v>200</v>
      </c>
      <c r="F113" s="12">
        <v>1</v>
      </c>
      <c r="G113" s="14">
        <f t="shared" si="7"/>
        <v>0.255</v>
      </c>
      <c r="H113" s="14">
        <f t="shared" si="8"/>
        <v>0.25490196078431371</v>
      </c>
      <c r="I113" s="4">
        <f t="shared" si="9"/>
        <v>52</v>
      </c>
      <c r="J113" s="4">
        <f t="shared" si="10"/>
        <v>204</v>
      </c>
      <c r="K113" s="4" t="s">
        <v>503</v>
      </c>
      <c r="L113" s="4">
        <f t="shared" si="11"/>
        <v>1</v>
      </c>
    </row>
    <row r="114" spans="1:12">
      <c r="A114" s="4">
        <v>29</v>
      </c>
      <c r="B114" s="4" t="s">
        <v>73</v>
      </c>
      <c r="C114" s="4" t="str">
        <f t="shared" si="6"/>
        <v>29|A</v>
      </c>
      <c r="D114" s="4">
        <f>INDEX('Frequency 1-72'!$B$2:$E$73,A114,MATCH(B114,{"A","C","G","U"},0))</f>
        <v>32</v>
      </c>
      <c r="E114" s="4">
        <f>'Frequency 1-72'!G30</f>
        <v>200</v>
      </c>
      <c r="F114" s="12">
        <v>1</v>
      </c>
      <c r="G114" s="14">
        <f t="shared" si="7"/>
        <v>0.16</v>
      </c>
      <c r="H114" s="14">
        <f t="shared" si="8"/>
        <v>0.16176470588235295</v>
      </c>
      <c r="I114" s="4">
        <f t="shared" si="9"/>
        <v>33</v>
      </c>
      <c r="J114" s="4">
        <f t="shared" si="10"/>
        <v>204</v>
      </c>
      <c r="K114" s="4" t="s">
        <v>503</v>
      </c>
      <c r="L114" s="4">
        <f t="shared" si="11"/>
        <v>1</v>
      </c>
    </row>
    <row r="115" spans="1:12">
      <c r="A115" s="4">
        <v>29</v>
      </c>
      <c r="B115" s="4" t="s">
        <v>71</v>
      </c>
      <c r="C115" s="4" t="str">
        <f t="shared" si="6"/>
        <v>29|C</v>
      </c>
      <c r="D115" s="4">
        <f>INDEX('Frequency 1-72'!$B$2:$E$73,A115,MATCH(B115,{"A","C","G","U"},0))</f>
        <v>36</v>
      </c>
      <c r="E115" s="4">
        <f>'Frequency 1-72'!G30</f>
        <v>200</v>
      </c>
      <c r="F115" s="12">
        <v>1</v>
      </c>
      <c r="G115" s="14">
        <f t="shared" si="7"/>
        <v>0.18</v>
      </c>
      <c r="H115" s="14">
        <f t="shared" si="8"/>
        <v>0.18137254901960784</v>
      </c>
      <c r="I115" s="4">
        <f t="shared" si="9"/>
        <v>37</v>
      </c>
      <c r="J115" s="4">
        <f t="shared" si="10"/>
        <v>204</v>
      </c>
      <c r="K115" s="4" t="s">
        <v>503</v>
      </c>
      <c r="L115" s="4">
        <f t="shared" si="11"/>
        <v>1</v>
      </c>
    </row>
    <row r="116" spans="1:12">
      <c r="A116" s="4">
        <v>29</v>
      </c>
      <c r="B116" s="4" t="s">
        <v>70</v>
      </c>
      <c r="C116" s="4" t="str">
        <f t="shared" si="6"/>
        <v>29|G</v>
      </c>
      <c r="D116" s="4">
        <f>INDEX('Frequency 1-72'!$B$2:$E$73,A116,MATCH(B116,{"A","C","G","U"},0))</f>
        <v>77</v>
      </c>
      <c r="E116" s="4">
        <f>'Frequency 1-72'!G30</f>
        <v>200</v>
      </c>
      <c r="F116" s="12">
        <v>1</v>
      </c>
      <c r="G116" s="14">
        <f t="shared" si="7"/>
        <v>0.38500000000000001</v>
      </c>
      <c r="H116" s="14">
        <f t="shared" si="8"/>
        <v>0.38235294117647056</v>
      </c>
      <c r="I116" s="4">
        <f t="shared" si="9"/>
        <v>78</v>
      </c>
      <c r="J116" s="4">
        <f t="shared" si="10"/>
        <v>204</v>
      </c>
      <c r="K116" s="4" t="s">
        <v>503</v>
      </c>
      <c r="L116" s="4">
        <f t="shared" si="11"/>
        <v>1</v>
      </c>
    </row>
    <row r="117" spans="1:12">
      <c r="A117" s="4">
        <v>29</v>
      </c>
      <c r="B117" s="4" t="s">
        <v>72</v>
      </c>
      <c r="C117" s="4" t="str">
        <f t="shared" si="6"/>
        <v>29|U</v>
      </c>
      <c r="D117" s="4">
        <f>INDEX('Frequency 1-72'!$B$2:$E$73,A117,MATCH(B117,{"A","C","G","U"},0))</f>
        <v>55</v>
      </c>
      <c r="E117" s="4">
        <f>'Frequency 1-72'!G30</f>
        <v>200</v>
      </c>
      <c r="F117" s="12">
        <v>1</v>
      </c>
      <c r="G117" s="14">
        <f t="shared" si="7"/>
        <v>0.27500000000000002</v>
      </c>
      <c r="H117" s="14">
        <f t="shared" si="8"/>
        <v>0.27450980392156865</v>
      </c>
      <c r="I117" s="4">
        <f t="shared" si="9"/>
        <v>56</v>
      </c>
      <c r="J117" s="4">
        <f t="shared" si="10"/>
        <v>204</v>
      </c>
      <c r="K117" s="4" t="s">
        <v>503</v>
      </c>
      <c r="L117" s="4">
        <f t="shared" si="11"/>
        <v>1</v>
      </c>
    </row>
    <row r="118" spans="1:12">
      <c r="A118" s="4">
        <v>30</v>
      </c>
      <c r="B118" s="4" t="s">
        <v>73</v>
      </c>
      <c r="C118" s="4" t="str">
        <f t="shared" si="6"/>
        <v>30|A</v>
      </c>
      <c r="D118" s="4">
        <f>INDEX('Frequency 1-72'!$B$2:$E$73,A118,MATCH(B118,{"A","C","G","U"},0))</f>
        <v>0</v>
      </c>
      <c r="E118" s="4">
        <f>'Frequency 1-72'!G31</f>
        <v>200</v>
      </c>
      <c r="F118" s="12">
        <v>1</v>
      </c>
      <c r="G118" s="14">
        <f t="shared" si="7"/>
        <v>0</v>
      </c>
      <c r="H118" s="14">
        <f t="shared" si="8"/>
        <v>4.9019607843137254E-3</v>
      </c>
      <c r="I118" s="4">
        <f t="shared" si="9"/>
        <v>1</v>
      </c>
      <c r="J118" s="4">
        <f t="shared" si="10"/>
        <v>204</v>
      </c>
      <c r="K118" s="4" t="s">
        <v>503</v>
      </c>
      <c r="L118" s="4">
        <f t="shared" si="11"/>
        <v>1</v>
      </c>
    </row>
    <row r="119" spans="1:12">
      <c r="A119" s="4">
        <v>30</v>
      </c>
      <c r="B119" s="4" t="s">
        <v>71</v>
      </c>
      <c r="C119" s="4" t="str">
        <f t="shared" si="6"/>
        <v>30|C</v>
      </c>
      <c r="D119" s="4">
        <f>INDEX('Frequency 1-72'!$B$2:$E$73,A119,MATCH(B119,{"A","C","G","U"},0))</f>
        <v>43</v>
      </c>
      <c r="E119" s="4">
        <f>'Frequency 1-72'!G31</f>
        <v>200</v>
      </c>
      <c r="F119" s="12">
        <v>1</v>
      </c>
      <c r="G119" s="14">
        <f t="shared" si="7"/>
        <v>0.215</v>
      </c>
      <c r="H119" s="14">
        <f t="shared" si="8"/>
        <v>0.21568627450980393</v>
      </c>
      <c r="I119" s="4">
        <f t="shared" si="9"/>
        <v>44</v>
      </c>
      <c r="J119" s="4">
        <f t="shared" si="10"/>
        <v>204</v>
      </c>
      <c r="K119" s="4" t="s">
        <v>503</v>
      </c>
      <c r="L119" s="4">
        <f t="shared" si="11"/>
        <v>1</v>
      </c>
    </row>
    <row r="120" spans="1:12">
      <c r="A120" s="4">
        <v>30</v>
      </c>
      <c r="B120" s="4" t="s">
        <v>70</v>
      </c>
      <c r="C120" s="4" t="str">
        <f t="shared" si="6"/>
        <v>30|G</v>
      </c>
      <c r="D120" s="4">
        <f>INDEX('Frequency 1-72'!$B$2:$E$73,A120,MATCH(B120,{"A","C","G","U"},0))</f>
        <v>150</v>
      </c>
      <c r="E120" s="4">
        <f>'Frequency 1-72'!G31</f>
        <v>200</v>
      </c>
      <c r="F120" s="12">
        <v>1</v>
      </c>
      <c r="G120" s="14">
        <f t="shared" si="7"/>
        <v>0.75</v>
      </c>
      <c r="H120" s="14">
        <f t="shared" si="8"/>
        <v>0.74019607843137258</v>
      </c>
      <c r="I120" s="4">
        <f t="shared" si="9"/>
        <v>151</v>
      </c>
      <c r="J120" s="4">
        <f t="shared" si="10"/>
        <v>204</v>
      </c>
      <c r="K120" s="4" t="s">
        <v>503</v>
      </c>
      <c r="L120" s="4">
        <f t="shared" si="11"/>
        <v>1</v>
      </c>
    </row>
    <row r="121" spans="1:12">
      <c r="A121" s="4">
        <v>30</v>
      </c>
      <c r="B121" s="4" t="s">
        <v>72</v>
      </c>
      <c r="C121" s="4" t="str">
        <f t="shared" si="6"/>
        <v>30|U</v>
      </c>
      <c r="D121" s="4">
        <f>INDEX('Frequency 1-72'!$B$2:$E$73,A121,MATCH(B121,{"A","C","G","U"},0))</f>
        <v>7</v>
      </c>
      <c r="E121" s="4">
        <f>'Frequency 1-72'!G31</f>
        <v>200</v>
      </c>
      <c r="F121" s="12">
        <v>1</v>
      </c>
      <c r="G121" s="14">
        <f t="shared" si="7"/>
        <v>3.5000000000000003E-2</v>
      </c>
      <c r="H121" s="14">
        <f t="shared" si="8"/>
        <v>3.9215686274509803E-2</v>
      </c>
      <c r="I121" s="4">
        <f t="shared" si="9"/>
        <v>8</v>
      </c>
      <c r="J121" s="4">
        <f t="shared" si="10"/>
        <v>204</v>
      </c>
      <c r="K121" s="4" t="s">
        <v>503</v>
      </c>
      <c r="L121" s="4">
        <f t="shared" si="11"/>
        <v>1</v>
      </c>
    </row>
    <row r="122" spans="1:12">
      <c r="A122" s="4">
        <v>31</v>
      </c>
      <c r="B122" s="4" t="s">
        <v>73</v>
      </c>
      <c r="C122" s="4" t="str">
        <f t="shared" si="6"/>
        <v>31|A</v>
      </c>
      <c r="D122" s="4">
        <f>INDEX('Frequency 1-72'!$B$2:$E$73,A122,MATCH(B122,{"A","C","G","U"},0))</f>
        <v>54</v>
      </c>
      <c r="E122" s="4">
        <f>'Frequency 1-72'!G32</f>
        <v>200</v>
      </c>
      <c r="F122" s="12">
        <v>1</v>
      </c>
      <c r="G122" s="14">
        <f t="shared" si="7"/>
        <v>0.27</v>
      </c>
      <c r="H122" s="14">
        <f t="shared" si="8"/>
        <v>0.26960784313725489</v>
      </c>
      <c r="I122" s="4">
        <f t="shared" si="9"/>
        <v>55</v>
      </c>
      <c r="J122" s="4">
        <f t="shared" si="10"/>
        <v>204</v>
      </c>
      <c r="K122" s="4" t="s">
        <v>503</v>
      </c>
      <c r="L122" s="4">
        <f t="shared" si="11"/>
        <v>1</v>
      </c>
    </row>
    <row r="123" spans="1:12">
      <c r="A123" s="4">
        <v>31</v>
      </c>
      <c r="B123" s="4" t="s">
        <v>71</v>
      </c>
      <c r="C123" s="4" t="str">
        <f t="shared" si="6"/>
        <v>31|C</v>
      </c>
      <c r="D123" s="4">
        <f>INDEX('Frequency 1-72'!$B$2:$E$73,A123,MATCH(B123,{"A","C","G","U"},0))</f>
        <v>72</v>
      </c>
      <c r="E123" s="4">
        <f>'Frequency 1-72'!G32</f>
        <v>200</v>
      </c>
      <c r="F123" s="12">
        <v>1</v>
      </c>
      <c r="G123" s="14">
        <f t="shared" si="7"/>
        <v>0.36</v>
      </c>
      <c r="H123" s="14">
        <f t="shared" si="8"/>
        <v>0.35784313725490197</v>
      </c>
      <c r="I123" s="4">
        <f t="shared" si="9"/>
        <v>73</v>
      </c>
      <c r="J123" s="4">
        <f t="shared" si="10"/>
        <v>204</v>
      </c>
      <c r="K123" s="4" t="s">
        <v>503</v>
      </c>
      <c r="L123" s="4">
        <f t="shared" si="11"/>
        <v>1</v>
      </c>
    </row>
    <row r="124" spans="1:12">
      <c r="A124" s="4">
        <v>31</v>
      </c>
      <c r="B124" s="4" t="s">
        <v>70</v>
      </c>
      <c r="C124" s="4" t="str">
        <f t="shared" si="6"/>
        <v>31|G</v>
      </c>
      <c r="D124" s="4">
        <f>INDEX('Frequency 1-72'!$B$2:$E$73,A124,MATCH(B124,{"A","C","G","U"},0))</f>
        <v>55</v>
      </c>
      <c r="E124" s="4">
        <f>'Frequency 1-72'!G32</f>
        <v>200</v>
      </c>
      <c r="F124" s="12">
        <v>1</v>
      </c>
      <c r="G124" s="14">
        <f t="shared" si="7"/>
        <v>0.27500000000000002</v>
      </c>
      <c r="H124" s="14">
        <f t="shared" si="8"/>
        <v>0.27450980392156865</v>
      </c>
      <c r="I124" s="4">
        <f t="shared" si="9"/>
        <v>56</v>
      </c>
      <c r="J124" s="4">
        <f t="shared" si="10"/>
        <v>204</v>
      </c>
      <c r="K124" s="4" t="s">
        <v>503</v>
      </c>
      <c r="L124" s="4">
        <f t="shared" si="11"/>
        <v>1</v>
      </c>
    </row>
    <row r="125" spans="1:12">
      <c r="A125" s="4">
        <v>31</v>
      </c>
      <c r="B125" s="4" t="s">
        <v>72</v>
      </c>
      <c r="C125" s="4" t="str">
        <f t="shared" si="6"/>
        <v>31|U</v>
      </c>
      <c r="D125" s="4">
        <f>INDEX('Frequency 1-72'!$B$2:$E$73,A125,MATCH(B125,{"A","C","G","U"},0))</f>
        <v>19</v>
      </c>
      <c r="E125" s="4">
        <f>'Frequency 1-72'!G32</f>
        <v>200</v>
      </c>
      <c r="F125" s="12">
        <v>1</v>
      </c>
      <c r="G125" s="14">
        <f t="shared" si="7"/>
        <v>9.5000000000000001E-2</v>
      </c>
      <c r="H125" s="14">
        <f t="shared" si="8"/>
        <v>9.8039215686274508E-2</v>
      </c>
      <c r="I125" s="4">
        <f t="shared" si="9"/>
        <v>20</v>
      </c>
      <c r="J125" s="4">
        <f t="shared" si="10"/>
        <v>204</v>
      </c>
      <c r="K125" s="4" t="s">
        <v>503</v>
      </c>
      <c r="L125" s="4">
        <f t="shared" si="11"/>
        <v>1</v>
      </c>
    </row>
    <row r="126" spans="1:12">
      <c r="A126" s="4">
        <v>32</v>
      </c>
      <c r="B126" s="4" t="s">
        <v>73</v>
      </c>
      <c r="C126" s="4" t="str">
        <f t="shared" si="6"/>
        <v>32|A</v>
      </c>
      <c r="D126" s="4">
        <f>INDEX('Frequency 1-72'!$B$2:$E$73,A126,MATCH(B126,{"A","C","G","U"},0))</f>
        <v>6</v>
      </c>
      <c r="E126" s="4">
        <f>'Frequency 1-72'!G33</f>
        <v>200</v>
      </c>
      <c r="F126" s="12">
        <v>1</v>
      </c>
      <c r="G126" s="14">
        <f t="shared" si="7"/>
        <v>0.03</v>
      </c>
      <c r="H126" s="14">
        <f t="shared" si="8"/>
        <v>3.4313725490196081E-2</v>
      </c>
      <c r="I126" s="4">
        <f t="shared" si="9"/>
        <v>7</v>
      </c>
      <c r="J126" s="4">
        <f t="shared" si="10"/>
        <v>204</v>
      </c>
      <c r="K126" s="4" t="s">
        <v>503</v>
      </c>
      <c r="L126" s="4">
        <f t="shared" si="11"/>
        <v>1</v>
      </c>
    </row>
    <row r="127" spans="1:12">
      <c r="A127" s="4">
        <v>32</v>
      </c>
      <c r="B127" s="4" t="s">
        <v>71</v>
      </c>
      <c r="C127" s="4" t="str">
        <f t="shared" si="6"/>
        <v>32|C</v>
      </c>
      <c r="D127" s="4">
        <f>INDEX('Frequency 1-72'!$B$2:$E$73,A127,MATCH(B127,{"A","C","G","U"},0))</f>
        <v>135</v>
      </c>
      <c r="E127" s="4">
        <f>'Frequency 1-72'!G33</f>
        <v>200</v>
      </c>
      <c r="F127" s="12">
        <v>1</v>
      </c>
      <c r="G127" s="14">
        <f t="shared" si="7"/>
        <v>0.67500000000000004</v>
      </c>
      <c r="H127" s="14">
        <f t="shared" si="8"/>
        <v>0.66666666666666663</v>
      </c>
      <c r="I127" s="4">
        <f t="shared" si="9"/>
        <v>136</v>
      </c>
      <c r="J127" s="4">
        <f t="shared" si="10"/>
        <v>204</v>
      </c>
      <c r="K127" s="4" t="s">
        <v>503</v>
      </c>
      <c r="L127" s="4">
        <f t="shared" si="11"/>
        <v>1</v>
      </c>
    </row>
    <row r="128" spans="1:12">
      <c r="A128" s="4">
        <v>32</v>
      </c>
      <c r="B128" s="4" t="s">
        <v>70</v>
      </c>
      <c r="C128" s="4" t="str">
        <f t="shared" si="6"/>
        <v>32|G</v>
      </c>
      <c r="D128" s="4">
        <f>INDEX('Frequency 1-72'!$B$2:$E$73,A128,MATCH(B128,{"A","C","G","U"},0))</f>
        <v>0</v>
      </c>
      <c r="E128" s="4">
        <f>'Frequency 1-72'!G33</f>
        <v>200</v>
      </c>
      <c r="F128" s="12">
        <v>1</v>
      </c>
      <c r="G128" s="14">
        <f t="shared" si="7"/>
        <v>0</v>
      </c>
      <c r="H128" s="14">
        <f t="shared" si="8"/>
        <v>4.9019607843137254E-3</v>
      </c>
      <c r="I128" s="4">
        <f t="shared" si="9"/>
        <v>1</v>
      </c>
      <c r="J128" s="4">
        <f t="shared" si="10"/>
        <v>204</v>
      </c>
      <c r="K128" s="4" t="s">
        <v>503</v>
      </c>
      <c r="L128" s="4">
        <f t="shared" si="11"/>
        <v>1</v>
      </c>
    </row>
    <row r="129" spans="1:12">
      <c r="A129" s="4">
        <v>32</v>
      </c>
      <c r="B129" s="4" t="s">
        <v>72</v>
      </c>
      <c r="C129" s="4" t="str">
        <f t="shared" si="6"/>
        <v>32|U</v>
      </c>
      <c r="D129" s="4">
        <f>INDEX('Frequency 1-72'!$B$2:$E$73,A129,MATCH(B129,{"A","C","G","U"},0))</f>
        <v>59</v>
      </c>
      <c r="E129" s="4">
        <f>'Frequency 1-72'!G33</f>
        <v>200</v>
      </c>
      <c r="F129" s="12">
        <v>1</v>
      </c>
      <c r="G129" s="14">
        <f t="shared" si="7"/>
        <v>0.29499999999999998</v>
      </c>
      <c r="H129" s="14">
        <f t="shared" si="8"/>
        <v>0.29411764705882354</v>
      </c>
      <c r="I129" s="4">
        <f t="shared" si="9"/>
        <v>60</v>
      </c>
      <c r="J129" s="4">
        <f t="shared" si="10"/>
        <v>204</v>
      </c>
      <c r="K129" s="4" t="s">
        <v>503</v>
      </c>
      <c r="L129" s="4">
        <f t="shared" si="11"/>
        <v>1</v>
      </c>
    </row>
    <row r="130" spans="1:12">
      <c r="A130" s="4">
        <v>33</v>
      </c>
      <c r="B130" s="4" t="s">
        <v>73</v>
      </c>
      <c r="C130" s="4" t="str">
        <f t="shared" ref="C130:C193" si="12">A130&amp;"|"&amp;B130</f>
        <v>33|A</v>
      </c>
      <c r="D130" s="4">
        <f>INDEX('Frequency 1-72'!$B$2:$E$73,A130,MATCH(B130,{"A","C","G","U"},0))</f>
        <v>1</v>
      </c>
      <c r="E130" s="4">
        <f>'Frequency 1-72'!G34</f>
        <v>200</v>
      </c>
      <c r="F130" s="12">
        <v>1</v>
      </c>
      <c r="G130" s="14">
        <f t="shared" ref="G130:G193" si="13">IF(E130=0,"",D130/E130)</f>
        <v>5.0000000000000001E-3</v>
      </c>
      <c r="H130" s="14">
        <f t="shared" ref="H130:H193" si="14">I130/J130</f>
        <v>9.8039215686274508E-3</v>
      </c>
      <c r="I130" s="4">
        <f t="shared" ref="I130:I193" si="15">D130+F130</f>
        <v>2</v>
      </c>
      <c r="J130" s="4">
        <f t="shared" ref="J130:J193" si="16">E130+4*F130</f>
        <v>204</v>
      </c>
      <c r="K130" s="4" t="s">
        <v>503</v>
      </c>
      <c r="L130" s="4">
        <f t="shared" ref="L130:L193" si="17">ROUND(SUMIF($A$2:$A$289,A130,$H$2:$H$289),9)</f>
        <v>1</v>
      </c>
    </row>
    <row r="131" spans="1:12">
      <c r="A131" s="4">
        <v>33</v>
      </c>
      <c r="B131" s="4" t="s">
        <v>71</v>
      </c>
      <c r="C131" s="4" t="str">
        <f t="shared" si="12"/>
        <v>33|C</v>
      </c>
      <c r="D131" s="4">
        <f>INDEX('Frequency 1-72'!$B$2:$E$73,A131,MATCH(B131,{"A","C","G","U"},0))</f>
        <v>1</v>
      </c>
      <c r="E131" s="4">
        <f>'Frequency 1-72'!G34</f>
        <v>200</v>
      </c>
      <c r="F131" s="12">
        <v>1</v>
      </c>
      <c r="G131" s="14">
        <f t="shared" si="13"/>
        <v>5.0000000000000001E-3</v>
      </c>
      <c r="H131" s="14">
        <f t="shared" si="14"/>
        <v>9.8039215686274508E-3</v>
      </c>
      <c r="I131" s="4">
        <f t="shared" si="15"/>
        <v>2</v>
      </c>
      <c r="J131" s="4">
        <f t="shared" si="16"/>
        <v>204</v>
      </c>
      <c r="K131" s="4" t="s">
        <v>503</v>
      </c>
      <c r="L131" s="4">
        <f t="shared" si="17"/>
        <v>1</v>
      </c>
    </row>
    <row r="132" spans="1:12">
      <c r="A132" s="4">
        <v>33</v>
      </c>
      <c r="B132" s="4" t="s">
        <v>70</v>
      </c>
      <c r="C132" s="4" t="str">
        <f t="shared" si="12"/>
        <v>33|G</v>
      </c>
      <c r="D132" s="4">
        <f>INDEX('Frequency 1-72'!$B$2:$E$73,A132,MATCH(B132,{"A","C","G","U"},0))</f>
        <v>0</v>
      </c>
      <c r="E132" s="4">
        <f>'Frequency 1-72'!G34</f>
        <v>200</v>
      </c>
      <c r="F132" s="12">
        <v>1</v>
      </c>
      <c r="G132" s="14">
        <f t="shared" si="13"/>
        <v>0</v>
      </c>
      <c r="H132" s="14">
        <f t="shared" si="14"/>
        <v>4.9019607843137254E-3</v>
      </c>
      <c r="I132" s="4">
        <f t="shared" si="15"/>
        <v>1</v>
      </c>
      <c r="J132" s="4">
        <f t="shared" si="16"/>
        <v>204</v>
      </c>
      <c r="K132" s="4" t="s">
        <v>503</v>
      </c>
      <c r="L132" s="4">
        <f t="shared" si="17"/>
        <v>1</v>
      </c>
    </row>
    <row r="133" spans="1:12">
      <c r="A133" s="4">
        <v>33</v>
      </c>
      <c r="B133" s="4" t="s">
        <v>72</v>
      </c>
      <c r="C133" s="4" t="str">
        <f t="shared" si="12"/>
        <v>33|U</v>
      </c>
      <c r="D133" s="4">
        <f>INDEX('Frequency 1-72'!$B$2:$E$73,A133,MATCH(B133,{"A","C","G","U"},0))</f>
        <v>198</v>
      </c>
      <c r="E133" s="4">
        <f>'Frequency 1-72'!G34</f>
        <v>200</v>
      </c>
      <c r="F133" s="12">
        <v>1</v>
      </c>
      <c r="G133" s="14">
        <f t="shared" si="13"/>
        <v>0.99</v>
      </c>
      <c r="H133" s="14">
        <f t="shared" si="14"/>
        <v>0.97549019607843135</v>
      </c>
      <c r="I133" s="4">
        <f t="shared" si="15"/>
        <v>199</v>
      </c>
      <c r="J133" s="4">
        <f t="shared" si="16"/>
        <v>204</v>
      </c>
      <c r="K133" s="4" t="s">
        <v>503</v>
      </c>
      <c r="L133" s="4">
        <f t="shared" si="17"/>
        <v>1</v>
      </c>
    </row>
    <row r="134" spans="1:12">
      <c r="A134" s="4">
        <v>34</v>
      </c>
      <c r="B134" s="4" t="s">
        <v>73</v>
      </c>
      <c r="C134" s="4" t="str">
        <f t="shared" si="12"/>
        <v>34|A</v>
      </c>
      <c r="D134" s="4">
        <f>INDEX('Frequency 1-72'!$B$2:$E$73,A134,MATCH(B134,{"A","C","G","U"},0))</f>
        <v>9</v>
      </c>
      <c r="E134" s="4">
        <f>'Frequency 1-72'!G35</f>
        <v>200</v>
      </c>
      <c r="F134" s="12">
        <v>1</v>
      </c>
      <c r="G134" s="14">
        <f t="shared" si="13"/>
        <v>4.4999999999999998E-2</v>
      </c>
      <c r="H134" s="14">
        <f t="shared" si="14"/>
        <v>4.9019607843137254E-2</v>
      </c>
      <c r="I134" s="4">
        <f t="shared" si="15"/>
        <v>10</v>
      </c>
      <c r="J134" s="4">
        <f t="shared" si="16"/>
        <v>204</v>
      </c>
      <c r="K134" s="4" t="s">
        <v>503</v>
      </c>
      <c r="L134" s="4">
        <f t="shared" si="17"/>
        <v>1</v>
      </c>
    </row>
    <row r="135" spans="1:12">
      <c r="A135" s="4">
        <v>34</v>
      </c>
      <c r="B135" s="4" t="s">
        <v>71</v>
      </c>
      <c r="C135" s="4" t="str">
        <f t="shared" si="12"/>
        <v>34|C</v>
      </c>
      <c r="D135" s="4">
        <f>INDEX('Frequency 1-72'!$B$2:$E$73,A135,MATCH(B135,{"A","C","G","U"},0))</f>
        <v>66</v>
      </c>
      <c r="E135" s="4">
        <f>'Frequency 1-72'!G35</f>
        <v>200</v>
      </c>
      <c r="F135" s="12">
        <v>1</v>
      </c>
      <c r="G135" s="14">
        <f t="shared" si="13"/>
        <v>0.33</v>
      </c>
      <c r="H135" s="14">
        <f t="shared" si="14"/>
        <v>0.32843137254901961</v>
      </c>
      <c r="I135" s="4">
        <f t="shared" si="15"/>
        <v>67</v>
      </c>
      <c r="J135" s="4">
        <f t="shared" si="16"/>
        <v>204</v>
      </c>
      <c r="K135" s="4" t="s">
        <v>503</v>
      </c>
      <c r="L135" s="4">
        <f t="shared" si="17"/>
        <v>1</v>
      </c>
    </row>
    <row r="136" spans="1:12">
      <c r="A136" s="4">
        <v>34</v>
      </c>
      <c r="B136" s="4" t="s">
        <v>70</v>
      </c>
      <c r="C136" s="4" t="str">
        <f t="shared" si="12"/>
        <v>34|G</v>
      </c>
      <c r="D136" s="4">
        <f>INDEX('Frequency 1-72'!$B$2:$E$73,A136,MATCH(B136,{"A","C","G","U"},0))</f>
        <v>67</v>
      </c>
      <c r="E136" s="4">
        <f>'Frequency 1-72'!G35</f>
        <v>200</v>
      </c>
      <c r="F136" s="12">
        <v>1</v>
      </c>
      <c r="G136" s="14">
        <f t="shared" si="13"/>
        <v>0.33500000000000002</v>
      </c>
      <c r="H136" s="14">
        <f t="shared" si="14"/>
        <v>0.33333333333333331</v>
      </c>
      <c r="I136" s="4">
        <f t="shared" si="15"/>
        <v>68</v>
      </c>
      <c r="J136" s="4">
        <f t="shared" si="16"/>
        <v>204</v>
      </c>
      <c r="K136" s="4" t="s">
        <v>503</v>
      </c>
      <c r="L136" s="4">
        <f t="shared" si="17"/>
        <v>1</v>
      </c>
    </row>
    <row r="137" spans="1:12">
      <c r="A137" s="4">
        <v>34</v>
      </c>
      <c r="B137" s="4" t="s">
        <v>72</v>
      </c>
      <c r="C137" s="4" t="str">
        <f t="shared" si="12"/>
        <v>34|U</v>
      </c>
      <c r="D137" s="4">
        <f>INDEX('Frequency 1-72'!$B$2:$E$73,A137,MATCH(B137,{"A","C","G","U"},0))</f>
        <v>58</v>
      </c>
      <c r="E137" s="4">
        <f>'Frequency 1-72'!G35</f>
        <v>200</v>
      </c>
      <c r="F137" s="12">
        <v>1</v>
      </c>
      <c r="G137" s="14">
        <f t="shared" si="13"/>
        <v>0.28999999999999998</v>
      </c>
      <c r="H137" s="14">
        <f t="shared" si="14"/>
        <v>0.28921568627450983</v>
      </c>
      <c r="I137" s="4">
        <f t="shared" si="15"/>
        <v>59</v>
      </c>
      <c r="J137" s="4">
        <f t="shared" si="16"/>
        <v>204</v>
      </c>
      <c r="K137" s="4" t="s">
        <v>503</v>
      </c>
      <c r="L137" s="4">
        <f t="shared" si="17"/>
        <v>1</v>
      </c>
    </row>
    <row r="138" spans="1:12">
      <c r="A138" s="4">
        <v>35</v>
      </c>
      <c r="B138" s="4" t="s">
        <v>73</v>
      </c>
      <c r="C138" s="4" t="str">
        <f t="shared" si="12"/>
        <v>35|A</v>
      </c>
      <c r="D138" s="4">
        <f>INDEX('Frequency 1-72'!$B$2:$E$73,A138,MATCH(B138,{"A","C","G","U"},0))</f>
        <v>62</v>
      </c>
      <c r="E138" s="4">
        <f>'Frequency 1-72'!G36</f>
        <v>200</v>
      </c>
      <c r="F138" s="12">
        <v>1</v>
      </c>
      <c r="G138" s="14">
        <f t="shared" si="13"/>
        <v>0.31</v>
      </c>
      <c r="H138" s="14">
        <f t="shared" si="14"/>
        <v>0.30882352941176472</v>
      </c>
      <c r="I138" s="4">
        <f t="shared" si="15"/>
        <v>63</v>
      </c>
      <c r="J138" s="4">
        <f t="shared" si="16"/>
        <v>204</v>
      </c>
      <c r="K138" s="4" t="s">
        <v>503</v>
      </c>
      <c r="L138" s="4">
        <f t="shared" si="17"/>
        <v>1</v>
      </c>
    </row>
    <row r="139" spans="1:12">
      <c r="A139" s="4">
        <v>35</v>
      </c>
      <c r="B139" s="4" t="s">
        <v>71</v>
      </c>
      <c r="C139" s="4" t="str">
        <f t="shared" si="12"/>
        <v>35|C</v>
      </c>
      <c r="D139" s="4">
        <f>INDEX('Frequency 1-72'!$B$2:$E$73,A139,MATCH(B139,{"A","C","G","U"},0))</f>
        <v>46</v>
      </c>
      <c r="E139" s="4">
        <f>'Frequency 1-72'!G36</f>
        <v>200</v>
      </c>
      <c r="F139" s="12">
        <v>1</v>
      </c>
      <c r="G139" s="14">
        <f t="shared" si="13"/>
        <v>0.23</v>
      </c>
      <c r="H139" s="14">
        <f t="shared" si="14"/>
        <v>0.23039215686274508</v>
      </c>
      <c r="I139" s="4">
        <f t="shared" si="15"/>
        <v>47</v>
      </c>
      <c r="J139" s="4">
        <f t="shared" si="16"/>
        <v>204</v>
      </c>
      <c r="K139" s="4" t="s">
        <v>503</v>
      </c>
      <c r="L139" s="4">
        <f t="shared" si="17"/>
        <v>1</v>
      </c>
    </row>
    <row r="140" spans="1:12">
      <c r="A140" s="4">
        <v>35</v>
      </c>
      <c r="B140" s="4" t="s">
        <v>70</v>
      </c>
      <c r="C140" s="4" t="str">
        <f t="shared" si="12"/>
        <v>35|G</v>
      </c>
      <c r="D140" s="4">
        <f>INDEX('Frequency 1-72'!$B$2:$E$73,A140,MATCH(B140,{"A","C","G","U"},0))</f>
        <v>51</v>
      </c>
      <c r="E140" s="4">
        <f>'Frequency 1-72'!G36</f>
        <v>200</v>
      </c>
      <c r="F140" s="12">
        <v>1</v>
      </c>
      <c r="G140" s="14">
        <f t="shared" si="13"/>
        <v>0.255</v>
      </c>
      <c r="H140" s="14">
        <f t="shared" si="14"/>
        <v>0.25490196078431371</v>
      </c>
      <c r="I140" s="4">
        <f t="shared" si="15"/>
        <v>52</v>
      </c>
      <c r="J140" s="4">
        <f t="shared" si="16"/>
        <v>204</v>
      </c>
      <c r="K140" s="4" t="s">
        <v>503</v>
      </c>
      <c r="L140" s="4">
        <f t="shared" si="17"/>
        <v>1</v>
      </c>
    </row>
    <row r="141" spans="1:12">
      <c r="A141" s="4">
        <v>35</v>
      </c>
      <c r="B141" s="4" t="s">
        <v>72</v>
      </c>
      <c r="C141" s="4" t="str">
        <f t="shared" si="12"/>
        <v>35|U</v>
      </c>
      <c r="D141" s="4">
        <f>INDEX('Frequency 1-72'!$B$2:$E$73,A141,MATCH(B141,{"A","C","G","U"},0))</f>
        <v>41</v>
      </c>
      <c r="E141" s="4">
        <f>'Frequency 1-72'!G36</f>
        <v>200</v>
      </c>
      <c r="F141" s="12">
        <v>1</v>
      </c>
      <c r="G141" s="14">
        <f t="shared" si="13"/>
        <v>0.20499999999999999</v>
      </c>
      <c r="H141" s="14">
        <f t="shared" si="14"/>
        <v>0.20588235294117646</v>
      </c>
      <c r="I141" s="4">
        <f t="shared" si="15"/>
        <v>42</v>
      </c>
      <c r="J141" s="4">
        <f t="shared" si="16"/>
        <v>204</v>
      </c>
      <c r="K141" s="4" t="s">
        <v>503</v>
      </c>
      <c r="L141" s="4">
        <f t="shared" si="17"/>
        <v>1</v>
      </c>
    </row>
    <row r="142" spans="1:12">
      <c r="A142" s="4">
        <v>36</v>
      </c>
      <c r="B142" s="4" t="s">
        <v>73</v>
      </c>
      <c r="C142" s="4" t="str">
        <f t="shared" si="12"/>
        <v>36|A</v>
      </c>
      <c r="D142" s="4">
        <f>INDEX('Frequency 1-72'!$B$2:$E$73,A142,MATCH(B142,{"A","C","G","U"},0))</f>
        <v>43</v>
      </c>
      <c r="E142" s="4">
        <f>'Frequency 1-72'!G37</f>
        <v>200</v>
      </c>
      <c r="F142" s="12">
        <v>1</v>
      </c>
      <c r="G142" s="14">
        <f t="shared" si="13"/>
        <v>0.215</v>
      </c>
      <c r="H142" s="14">
        <f t="shared" si="14"/>
        <v>0.21568627450980393</v>
      </c>
      <c r="I142" s="4">
        <f t="shared" si="15"/>
        <v>44</v>
      </c>
      <c r="J142" s="4">
        <f t="shared" si="16"/>
        <v>204</v>
      </c>
      <c r="K142" s="4" t="s">
        <v>503</v>
      </c>
      <c r="L142" s="4">
        <f t="shared" si="17"/>
        <v>1</v>
      </c>
    </row>
    <row r="143" spans="1:12">
      <c r="A143" s="4">
        <v>36</v>
      </c>
      <c r="B143" s="4" t="s">
        <v>71</v>
      </c>
      <c r="C143" s="4" t="str">
        <f t="shared" si="12"/>
        <v>36|C</v>
      </c>
      <c r="D143" s="4">
        <f>INDEX('Frequency 1-72'!$B$2:$E$73,A143,MATCH(B143,{"A","C","G","U"},0))</f>
        <v>53</v>
      </c>
      <c r="E143" s="4">
        <f>'Frequency 1-72'!G37</f>
        <v>200</v>
      </c>
      <c r="F143" s="12">
        <v>1</v>
      </c>
      <c r="G143" s="14">
        <f t="shared" si="13"/>
        <v>0.26500000000000001</v>
      </c>
      <c r="H143" s="14">
        <f t="shared" si="14"/>
        <v>0.26470588235294118</v>
      </c>
      <c r="I143" s="4">
        <f t="shared" si="15"/>
        <v>54</v>
      </c>
      <c r="J143" s="4">
        <f t="shared" si="16"/>
        <v>204</v>
      </c>
      <c r="K143" s="4" t="s">
        <v>503</v>
      </c>
      <c r="L143" s="4">
        <f t="shared" si="17"/>
        <v>1</v>
      </c>
    </row>
    <row r="144" spans="1:12">
      <c r="A144" s="4">
        <v>36</v>
      </c>
      <c r="B144" s="4" t="s">
        <v>70</v>
      </c>
      <c r="C144" s="4" t="str">
        <f t="shared" si="12"/>
        <v>36|G</v>
      </c>
      <c r="D144" s="4">
        <f>INDEX('Frequency 1-72'!$B$2:$E$73,A144,MATCH(B144,{"A","C","G","U"},0))</f>
        <v>32</v>
      </c>
      <c r="E144" s="4">
        <f>'Frequency 1-72'!G37</f>
        <v>200</v>
      </c>
      <c r="F144" s="12">
        <v>1</v>
      </c>
      <c r="G144" s="14">
        <f t="shared" si="13"/>
        <v>0.16</v>
      </c>
      <c r="H144" s="14">
        <f t="shared" si="14"/>
        <v>0.16176470588235295</v>
      </c>
      <c r="I144" s="4">
        <f t="shared" si="15"/>
        <v>33</v>
      </c>
      <c r="J144" s="4">
        <f t="shared" si="16"/>
        <v>204</v>
      </c>
      <c r="K144" s="4" t="s">
        <v>503</v>
      </c>
      <c r="L144" s="4">
        <f t="shared" si="17"/>
        <v>1</v>
      </c>
    </row>
    <row r="145" spans="1:12">
      <c r="A145" s="4">
        <v>36</v>
      </c>
      <c r="B145" s="4" t="s">
        <v>72</v>
      </c>
      <c r="C145" s="4" t="str">
        <f t="shared" si="12"/>
        <v>36|U</v>
      </c>
      <c r="D145" s="4">
        <f>INDEX('Frequency 1-72'!$B$2:$E$73,A145,MATCH(B145,{"A","C","G","U"},0))</f>
        <v>72</v>
      </c>
      <c r="E145" s="4">
        <f>'Frequency 1-72'!G37</f>
        <v>200</v>
      </c>
      <c r="F145" s="12">
        <v>1</v>
      </c>
      <c r="G145" s="14">
        <f t="shared" si="13"/>
        <v>0.36</v>
      </c>
      <c r="H145" s="14">
        <f t="shared" si="14"/>
        <v>0.35784313725490197</v>
      </c>
      <c r="I145" s="4">
        <f t="shared" si="15"/>
        <v>73</v>
      </c>
      <c r="J145" s="4">
        <f t="shared" si="16"/>
        <v>204</v>
      </c>
      <c r="K145" s="4" t="s">
        <v>503</v>
      </c>
      <c r="L145" s="4">
        <f t="shared" si="17"/>
        <v>1</v>
      </c>
    </row>
    <row r="146" spans="1:12">
      <c r="A146" s="4">
        <v>37</v>
      </c>
      <c r="B146" s="4" t="s">
        <v>73</v>
      </c>
      <c r="C146" s="4" t="str">
        <f t="shared" si="12"/>
        <v>37|A</v>
      </c>
      <c r="D146" s="4">
        <f>INDEX('Frequency 1-72'!$B$2:$E$73,A146,MATCH(B146,{"A","C","G","U"},0))</f>
        <v>151</v>
      </c>
      <c r="E146" s="4">
        <f>'Frequency 1-72'!G38</f>
        <v>200</v>
      </c>
      <c r="F146" s="12">
        <v>1</v>
      </c>
      <c r="G146" s="14">
        <f t="shared" si="13"/>
        <v>0.755</v>
      </c>
      <c r="H146" s="14">
        <f t="shared" si="14"/>
        <v>0.74509803921568629</v>
      </c>
      <c r="I146" s="4">
        <f t="shared" si="15"/>
        <v>152</v>
      </c>
      <c r="J146" s="4">
        <f t="shared" si="16"/>
        <v>204</v>
      </c>
      <c r="K146" s="4" t="s">
        <v>503</v>
      </c>
      <c r="L146" s="4">
        <f t="shared" si="17"/>
        <v>1</v>
      </c>
    </row>
    <row r="147" spans="1:12">
      <c r="A147" s="4">
        <v>37</v>
      </c>
      <c r="B147" s="4" t="s">
        <v>71</v>
      </c>
      <c r="C147" s="4" t="str">
        <f t="shared" si="12"/>
        <v>37|C</v>
      </c>
      <c r="D147" s="4">
        <f>INDEX('Frequency 1-72'!$B$2:$E$73,A147,MATCH(B147,{"A","C","G","U"},0))</f>
        <v>1</v>
      </c>
      <c r="E147" s="4">
        <f>'Frequency 1-72'!G38</f>
        <v>200</v>
      </c>
      <c r="F147" s="12">
        <v>1</v>
      </c>
      <c r="G147" s="14">
        <f t="shared" si="13"/>
        <v>5.0000000000000001E-3</v>
      </c>
      <c r="H147" s="14">
        <f t="shared" si="14"/>
        <v>9.8039215686274508E-3</v>
      </c>
      <c r="I147" s="4">
        <f t="shared" si="15"/>
        <v>2</v>
      </c>
      <c r="J147" s="4">
        <f t="shared" si="16"/>
        <v>204</v>
      </c>
      <c r="K147" s="4" t="s">
        <v>503</v>
      </c>
      <c r="L147" s="4">
        <f t="shared" si="17"/>
        <v>1</v>
      </c>
    </row>
    <row r="148" spans="1:12">
      <c r="A148" s="4">
        <v>37</v>
      </c>
      <c r="B148" s="4" t="s">
        <v>70</v>
      </c>
      <c r="C148" s="4" t="str">
        <f t="shared" si="12"/>
        <v>37|G</v>
      </c>
      <c r="D148" s="4">
        <f>INDEX('Frequency 1-72'!$B$2:$E$73,A148,MATCH(B148,{"A","C","G","U"},0))</f>
        <v>48</v>
      </c>
      <c r="E148" s="4">
        <f>'Frequency 1-72'!G38</f>
        <v>200</v>
      </c>
      <c r="F148" s="12">
        <v>1</v>
      </c>
      <c r="G148" s="14">
        <f t="shared" si="13"/>
        <v>0.24</v>
      </c>
      <c r="H148" s="14">
        <f t="shared" si="14"/>
        <v>0.24019607843137256</v>
      </c>
      <c r="I148" s="4">
        <f t="shared" si="15"/>
        <v>49</v>
      </c>
      <c r="J148" s="4">
        <f t="shared" si="16"/>
        <v>204</v>
      </c>
      <c r="K148" s="4" t="s">
        <v>503</v>
      </c>
      <c r="L148" s="4">
        <f t="shared" si="17"/>
        <v>1</v>
      </c>
    </row>
    <row r="149" spans="1:12">
      <c r="A149" s="4">
        <v>37</v>
      </c>
      <c r="B149" s="4" t="s">
        <v>72</v>
      </c>
      <c r="C149" s="4" t="str">
        <f t="shared" si="12"/>
        <v>37|U</v>
      </c>
      <c r="D149" s="4">
        <f>INDEX('Frequency 1-72'!$B$2:$E$73,A149,MATCH(B149,{"A","C","G","U"},0))</f>
        <v>0</v>
      </c>
      <c r="E149" s="4">
        <f>'Frequency 1-72'!G38</f>
        <v>200</v>
      </c>
      <c r="F149" s="12">
        <v>1</v>
      </c>
      <c r="G149" s="14">
        <f t="shared" si="13"/>
        <v>0</v>
      </c>
      <c r="H149" s="14">
        <f t="shared" si="14"/>
        <v>4.9019607843137254E-3</v>
      </c>
      <c r="I149" s="4">
        <f t="shared" si="15"/>
        <v>1</v>
      </c>
      <c r="J149" s="4">
        <f t="shared" si="16"/>
        <v>204</v>
      </c>
      <c r="K149" s="4" t="s">
        <v>503</v>
      </c>
      <c r="L149" s="4">
        <f t="shared" si="17"/>
        <v>1</v>
      </c>
    </row>
    <row r="150" spans="1:12">
      <c r="A150" s="4">
        <v>38</v>
      </c>
      <c r="B150" s="4" t="s">
        <v>73</v>
      </c>
      <c r="C150" s="4" t="str">
        <f t="shared" si="12"/>
        <v>38|A</v>
      </c>
      <c r="D150" s="4">
        <f>INDEX('Frequency 1-72'!$B$2:$E$73,A150,MATCH(B150,{"A","C","G","U"},0))</f>
        <v>147</v>
      </c>
      <c r="E150" s="4">
        <f>'Frequency 1-72'!G39</f>
        <v>200</v>
      </c>
      <c r="F150" s="12">
        <v>1</v>
      </c>
      <c r="G150" s="14">
        <f t="shared" si="13"/>
        <v>0.73499999999999999</v>
      </c>
      <c r="H150" s="14">
        <f t="shared" si="14"/>
        <v>0.72549019607843135</v>
      </c>
      <c r="I150" s="4">
        <f t="shared" si="15"/>
        <v>148</v>
      </c>
      <c r="J150" s="4">
        <f t="shared" si="16"/>
        <v>204</v>
      </c>
      <c r="K150" s="4" t="s">
        <v>503</v>
      </c>
      <c r="L150" s="4">
        <f t="shared" si="17"/>
        <v>1</v>
      </c>
    </row>
    <row r="151" spans="1:12">
      <c r="A151" s="4">
        <v>38</v>
      </c>
      <c r="B151" s="4" t="s">
        <v>71</v>
      </c>
      <c r="C151" s="4" t="str">
        <f t="shared" si="12"/>
        <v>38|C</v>
      </c>
      <c r="D151" s="4">
        <f>INDEX('Frequency 1-72'!$B$2:$E$73,A151,MATCH(B151,{"A","C","G","U"},0))</f>
        <v>29</v>
      </c>
      <c r="E151" s="4">
        <f>'Frequency 1-72'!G39</f>
        <v>200</v>
      </c>
      <c r="F151" s="12">
        <v>1</v>
      </c>
      <c r="G151" s="14">
        <f t="shared" si="13"/>
        <v>0.14499999999999999</v>
      </c>
      <c r="H151" s="14">
        <f t="shared" si="14"/>
        <v>0.14705882352941177</v>
      </c>
      <c r="I151" s="4">
        <f t="shared" si="15"/>
        <v>30</v>
      </c>
      <c r="J151" s="4">
        <f t="shared" si="16"/>
        <v>204</v>
      </c>
      <c r="K151" s="4" t="s">
        <v>503</v>
      </c>
      <c r="L151" s="4">
        <f t="shared" si="17"/>
        <v>1</v>
      </c>
    </row>
    <row r="152" spans="1:12">
      <c r="A152" s="4">
        <v>38</v>
      </c>
      <c r="B152" s="4" t="s">
        <v>70</v>
      </c>
      <c r="C152" s="4" t="str">
        <f t="shared" si="12"/>
        <v>38|G</v>
      </c>
      <c r="D152" s="4">
        <f>INDEX('Frequency 1-72'!$B$2:$E$73,A152,MATCH(B152,{"A","C","G","U"},0))</f>
        <v>1</v>
      </c>
      <c r="E152" s="4">
        <f>'Frequency 1-72'!G39</f>
        <v>200</v>
      </c>
      <c r="F152" s="12">
        <v>1</v>
      </c>
      <c r="G152" s="14">
        <f t="shared" si="13"/>
        <v>5.0000000000000001E-3</v>
      </c>
      <c r="H152" s="14">
        <f t="shared" si="14"/>
        <v>9.8039215686274508E-3</v>
      </c>
      <c r="I152" s="4">
        <f t="shared" si="15"/>
        <v>2</v>
      </c>
      <c r="J152" s="4">
        <f t="shared" si="16"/>
        <v>204</v>
      </c>
      <c r="K152" s="4" t="s">
        <v>503</v>
      </c>
      <c r="L152" s="4">
        <f t="shared" si="17"/>
        <v>1</v>
      </c>
    </row>
    <row r="153" spans="1:12">
      <c r="A153" s="4">
        <v>38</v>
      </c>
      <c r="B153" s="4" t="s">
        <v>72</v>
      </c>
      <c r="C153" s="4" t="str">
        <f t="shared" si="12"/>
        <v>38|U</v>
      </c>
      <c r="D153" s="4">
        <f>INDEX('Frequency 1-72'!$B$2:$E$73,A153,MATCH(B153,{"A","C","G","U"},0))</f>
        <v>23</v>
      </c>
      <c r="E153" s="4">
        <f>'Frequency 1-72'!G39</f>
        <v>200</v>
      </c>
      <c r="F153" s="12">
        <v>1</v>
      </c>
      <c r="G153" s="14">
        <f t="shared" si="13"/>
        <v>0.115</v>
      </c>
      <c r="H153" s="14">
        <f t="shared" si="14"/>
        <v>0.11764705882352941</v>
      </c>
      <c r="I153" s="4">
        <f t="shared" si="15"/>
        <v>24</v>
      </c>
      <c r="J153" s="4">
        <f t="shared" si="16"/>
        <v>204</v>
      </c>
      <c r="K153" s="4" t="s">
        <v>503</v>
      </c>
      <c r="L153" s="4">
        <f t="shared" si="17"/>
        <v>1</v>
      </c>
    </row>
    <row r="154" spans="1:12">
      <c r="A154" s="4">
        <v>39</v>
      </c>
      <c r="B154" s="4" t="s">
        <v>73</v>
      </c>
      <c r="C154" s="4" t="str">
        <f t="shared" si="12"/>
        <v>39|A</v>
      </c>
      <c r="D154" s="4">
        <f>INDEX('Frequency 1-72'!$B$2:$E$73,A154,MATCH(B154,{"A","C","G","U"},0))</f>
        <v>18</v>
      </c>
      <c r="E154" s="4">
        <f>'Frequency 1-72'!G40</f>
        <v>200</v>
      </c>
      <c r="F154" s="12">
        <v>1</v>
      </c>
      <c r="G154" s="14">
        <f t="shared" si="13"/>
        <v>0.09</v>
      </c>
      <c r="H154" s="14">
        <f t="shared" si="14"/>
        <v>9.3137254901960786E-2</v>
      </c>
      <c r="I154" s="4">
        <f t="shared" si="15"/>
        <v>19</v>
      </c>
      <c r="J154" s="4">
        <f t="shared" si="16"/>
        <v>204</v>
      </c>
      <c r="K154" s="4" t="s">
        <v>503</v>
      </c>
      <c r="L154" s="4">
        <f t="shared" si="17"/>
        <v>1</v>
      </c>
    </row>
    <row r="155" spans="1:12">
      <c r="A155" s="4">
        <v>39</v>
      </c>
      <c r="B155" s="4" t="s">
        <v>71</v>
      </c>
      <c r="C155" s="4" t="str">
        <f t="shared" si="12"/>
        <v>39|C</v>
      </c>
      <c r="D155" s="4">
        <f>INDEX('Frequency 1-72'!$B$2:$E$73,A155,MATCH(B155,{"A","C","G","U"},0))</f>
        <v>51</v>
      </c>
      <c r="E155" s="4">
        <f>'Frequency 1-72'!G40</f>
        <v>200</v>
      </c>
      <c r="F155" s="12">
        <v>1</v>
      </c>
      <c r="G155" s="14">
        <f t="shared" si="13"/>
        <v>0.255</v>
      </c>
      <c r="H155" s="14">
        <f t="shared" si="14"/>
        <v>0.25490196078431371</v>
      </c>
      <c r="I155" s="4">
        <f t="shared" si="15"/>
        <v>52</v>
      </c>
      <c r="J155" s="4">
        <f t="shared" si="16"/>
        <v>204</v>
      </c>
      <c r="K155" s="4" t="s">
        <v>503</v>
      </c>
      <c r="L155" s="4">
        <f t="shared" si="17"/>
        <v>1</v>
      </c>
    </row>
    <row r="156" spans="1:12">
      <c r="A156" s="4">
        <v>39</v>
      </c>
      <c r="B156" s="4" t="s">
        <v>70</v>
      </c>
      <c r="C156" s="4" t="str">
        <f t="shared" si="12"/>
        <v>39|G</v>
      </c>
      <c r="D156" s="4">
        <f>INDEX('Frequency 1-72'!$B$2:$E$73,A156,MATCH(B156,{"A","C","G","U"},0))</f>
        <v>72</v>
      </c>
      <c r="E156" s="4">
        <f>'Frequency 1-72'!G40</f>
        <v>200</v>
      </c>
      <c r="F156" s="12">
        <v>1</v>
      </c>
      <c r="G156" s="14">
        <f t="shared" si="13"/>
        <v>0.36</v>
      </c>
      <c r="H156" s="14">
        <f t="shared" si="14"/>
        <v>0.35784313725490197</v>
      </c>
      <c r="I156" s="4">
        <f t="shared" si="15"/>
        <v>73</v>
      </c>
      <c r="J156" s="4">
        <f t="shared" si="16"/>
        <v>204</v>
      </c>
      <c r="K156" s="4" t="s">
        <v>503</v>
      </c>
      <c r="L156" s="4">
        <f t="shared" si="17"/>
        <v>1</v>
      </c>
    </row>
    <row r="157" spans="1:12">
      <c r="A157" s="4">
        <v>39</v>
      </c>
      <c r="B157" s="4" t="s">
        <v>72</v>
      </c>
      <c r="C157" s="4" t="str">
        <f t="shared" si="12"/>
        <v>39|U</v>
      </c>
      <c r="D157" s="4">
        <f>INDEX('Frequency 1-72'!$B$2:$E$73,A157,MATCH(B157,{"A","C","G","U"},0))</f>
        <v>59</v>
      </c>
      <c r="E157" s="4">
        <f>'Frequency 1-72'!G40</f>
        <v>200</v>
      </c>
      <c r="F157" s="12">
        <v>1</v>
      </c>
      <c r="G157" s="14">
        <f t="shared" si="13"/>
        <v>0.29499999999999998</v>
      </c>
      <c r="H157" s="14">
        <f t="shared" si="14"/>
        <v>0.29411764705882354</v>
      </c>
      <c r="I157" s="4">
        <f t="shared" si="15"/>
        <v>60</v>
      </c>
      <c r="J157" s="4">
        <f t="shared" si="16"/>
        <v>204</v>
      </c>
      <c r="K157" s="4" t="s">
        <v>503</v>
      </c>
      <c r="L157" s="4">
        <f t="shared" si="17"/>
        <v>1</v>
      </c>
    </row>
    <row r="158" spans="1:12">
      <c r="A158" s="4">
        <v>40</v>
      </c>
      <c r="B158" s="4" t="s">
        <v>73</v>
      </c>
      <c r="C158" s="4" t="str">
        <f t="shared" si="12"/>
        <v>40|A</v>
      </c>
      <c r="D158" s="4">
        <f>INDEX('Frequency 1-72'!$B$2:$E$73,A158,MATCH(B158,{"A","C","G","U"},0))</f>
        <v>1</v>
      </c>
      <c r="E158" s="4">
        <f>'Frequency 1-72'!G41</f>
        <v>200</v>
      </c>
      <c r="F158" s="12">
        <v>1</v>
      </c>
      <c r="G158" s="14">
        <f t="shared" si="13"/>
        <v>5.0000000000000001E-3</v>
      </c>
      <c r="H158" s="14">
        <f t="shared" si="14"/>
        <v>9.8039215686274508E-3</v>
      </c>
      <c r="I158" s="4">
        <f t="shared" si="15"/>
        <v>2</v>
      </c>
      <c r="J158" s="4">
        <f t="shared" si="16"/>
        <v>204</v>
      </c>
      <c r="K158" s="4" t="s">
        <v>503</v>
      </c>
      <c r="L158" s="4">
        <f t="shared" si="17"/>
        <v>1</v>
      </c>
    </row>
    <row r="159" spans="1:12">
      <c r="A159" s="4">
        <v>40</v>
      </c>
      <c r="B159" s="4" t="s">
        <v>71</v>
      </c>
      <c r="C159" s="4" t="str">
        <f t="shared" si="12"/>
        <v>40|C</v>
      </c>
      <c r="D159" s="4">
        <f>INDEX('Frequency 1-72'!$B$2:$E$73,A159,MATCH(B159,{"A","C","G","U"},0))</f>
        <v>143</v>
      </c>
      <c r="E159" s="4">
        <f>'Frequency 1-72'!G41</f>
        <v>200</v>
      </c>
      <c r="F159" s="12">
        <v>1</v>
      </c>
      <c r="G159" s="14">
        <f t="shared" si="13"/>
        <v>0.71499999999999997</v>
      </c>
      <c r="H159" s="14">
        <f t="shared" si="14"/>
        <v>0.70588235294117652</v>
      </c>
      <c r="I159" s="4">
        <f t="shared" si="15"/>
        <v>144</v>
      </c>
      <c r="J159" s="4">
        <f t="shared" si="16"/>
        <v>204</v>
      </c>
      <c r="K159" s="4" t="s">
        <v>503</v>
      </c>
      <c r="L159" s="4">
        <f t="shared" si="17"/>
        <v>1</v>
      </c>
    </row>
    <row r="160" spans="1:12">
      <c r="A160" s="4">
        <v>40</v>
      </c>
      <c r="B160" s="4" t="s">
        <v>70</v>
      </c>
      <c r="C160" s="4" t="str">
        <f t="shared" si="12"/>
        <v>40|G</v>
      </c>
      <c r="D160" s="4">
        <f>INDEX('Frequency 1-72'!$B$2:$E$73,A160,MATCH(B160,{"A","C","G","U"},0))</f>
        <v>48</v>
      </c>
      <c r="E160" s="4">
        <f>'Frequency 1-72'!G41</f>
        <v>200</v>
      </c>
      <c r="F160" s="12">
        <v>1</v>
      </c>
      <c r="G160" s="14">
        <f t="shared" si="13"/>
        <v>0.24</v>
      </c>
      <c r="H160" s="14">
        <f t="shared" si="14"/>
        <v>0.24019607843137256</v>
      </c>
      <c r="I160" s="4">
        <f t="shared" si="15"/>
        <v>49</v>
      </c>
      <c r="J160" s="4">
        <f t="shared" si="16"/>
        <v>204</v>
      </c>
      <c r="K160" s="4" t="s">
        <v>503</v>
      </c>
      <c r="L160" s="4">
        <f t="shared" si="17"/>
        <v>1</v>
      </c>
    </row>
    <row r="161" spans="1:12">
      <c r="A161" s="4">
        <v>40</v>
      </c>
      <c r="B161" s="4" t="s">
        <v>72</v>
      </c>
      <c r="C161" s="4" t="str">
        <f t="shared" si="12"/>
        <v>40|U</v>
      </c>
      <c r="D161" s="4">
        <f>INDEX('Frequency 1-72'!$B$2:$E$73,A161,MATCH(B161,{"A","C","G","U"},0))</f>
        <v>8</v>
      </c>
      <c r="E161" s="4">
        <f>'Frequency 1-72'!G41</f>
        <v>200</v>
      </c>
      <c r="F161" s="12">
        <v>1</v>
      </c>
      <c r="G161" s="14">
        <f t="shared" si="13"/>
        <v>0.04</v>
      </c>
      <c r="H161" s="14">
        <f t="shared" si="14"/>
        <v>4.4117647058823532E-2</v>
      </c>
      <c r="I161" s="4">
        <f t="shared" si="15"/>
        <v>9</v>
      </c>
      <c r="J161" s="4">
        <f t="shared" si="16"/>
        <v>204</v>
      </c>
      <c r="K161" s="4" t="s">
        <v>503</v>
      </c>
      <c r="L161" s="4">
        <f t="shared" si="17"/>
        <v>1</v>
      </c>
    </row>
    <row r="162" spans="1:12">
      <c r="A162" s="4">
        <v>41</v>
      </c>
      <c r="B162" s="4" t="s">
        <v>73</v>
      </c>
      <c r="C162" s="4" t="str">
        <f t="shared" si="12"/>
        <v>41|A</v>
      </c>
      <c r="D162" s="4">
        <f>INDEX('Frequency 1-72'!$B$2:$E$73,A162,MATCH(B162,{"A","C","G","U"},0))</f>
        <v>54</v>
      </c>
      <c r="E162" s="4">
        <f>'Frequency 1-72'!G42</f>
        <v>200</v>
      </c>
      <c r="F162" s="12">
        <v>1</v>
      </c>
      <c r="G162" s="14">
        <f t="shared" si="13"/>
        <v>0.27</v>
      </c>
      <c r="H162" s="14">
        <f t="shared" si="14"/>
        <v>0.26960784313725489</v>
      </c>
      <c r="I162" s="4">
        <f t="shared" si="15"/>
        <v>55</v>
      </c>
      <c r="J162" s="4">
        <f t="shared" si="16"/>
        <v>204</v>
      </c>
      <c r="K162" s="4" t="s">
        <v>503</v>
      </c>
      <c r="L162" s="4">
        <f t="shared" si="17"/>
        <v>1</v>
      </c>
    </row>
    <row r="163" spans="1:12">
      <c r="A163" s="4">
        <v>41</v>
      </c>
      <c r="B163" s="4" t="s">
        <v>71</v>
      </c>
      <c r="C163" s="4" t="str">
        <f t="shared" si="12"/>
        <v>41|C</v>
      </c>
      <c r="D163" s="4">
        <f>INDEX('Frequency 1-72'!$B$2:$E$73,A163,MATCH(B163,{"A","C","G","U"},0))</f>
        <v>77</v>
      </c>
      <c r="E163" s="4">
        <f>'Frequency 1-72'!G42</f>
        <v>200</v>
      </c>
      <c r="F163" s="12">
        <v>1</v>
      </c>
      <c r="G163" s="14">
        <f t="shared" si="13"/>
        <v>0.38500000000000001</v>
      </c>
      <c r="H163" s="14">
        <f t="shared" si="14"/>
        <v>0.38235294117647056</v>
      </c>
      <c r="I163" s="4">
        <f t="shared" si="15"/>
        <v>78</v>
      </c>
      <c r="J163" s="4">
        <f t="shared" si="16"/>
        <v>204</v>
      </c>
      <c r="K163" s="4" t="s">
        <v>503</v>
      </c>
      <c r="L163" s="4">
        <f t="shared" si="17"/>
        <v>1</v>
      </c>
    </row>
    <row r="164" spans="1:12">
      <c r="A164" s="4">
        <v>41</v>
      </c>
      <c r="B164" s="4" t="s">
        <v>70</v>
      </c>
      <c r="C164" s="4" t="str">
        <f t="shared" si="12"/>
        <v>41|G</v>
      </c>
      <c r="D164" s="4">
        <f>INDEX('Frequency 1-72'!$B$2:$E$73,A164,MATCH(B164,{"A","C","G","U"},0))</f>
        <v>36</v>
      </c>
      <c r="E164" s="4">
        <f>'Frequency 1-72'!G42</f>
        <v>200</v>
      </c>
      <c r="F164" s="12">
        <v>1</v>
      </c>
      <c r="G164" s="14">
        <f t="shared" si="13"/>
        <v>0.18</v>
      </c>
      <c r="H164" s="14">
        <f t="shared" si="14"/>
        <v>0.18137254901960784</v>
      </c>
      <c r="I164" s="4">
        <f t="shared" si="15"/>
        <v>37</v>
      </c>
      <c r="J164" s="4">
        <f t="shared" si="16"/>
        <v>204</v>
      </c>
      <c r="K164" s="4" t="s">
        <v>503</v>
      </c>
      <c r="L164" s="4">
        <f t="shared" si="17"/>
        <v>1</v>
      </c>
    </row>
    <row r="165" spans="1:12">
      <c r="A165" s="4">
        <v>41</v>
      </c>
      <c r="B165" s="4" t="s">
        <v>72</v>
      </c>
      <c r="C165" s="4" t="str">
        <f t="shared" si="12"/>
        <v>41|U</v>
      </c>
      <c r="D165" s="4">
        <f>INDEX('Frequency 1-72'!$B$2:$E$73,A165,MATCH(B165,{"A","C","G","U"},0))</f>
        <v>33</v>
      </c>
      <c r="E165" s="4">
        <f>'Frequency 1-72'!G42</f>
        <v>200</v>
      </c>
      <c r="F165" s="12">
        <v>1</v>
      </c>
      <c r="G165" s="14">
        <f t="shared" si="13"/>
        <v>0.16500000000000001</v>
      </c>
      <c r="H165" s="14">
        <f t="shared" si="14"/>
        <v>0.16666666666666666</v>
      </c>
      <c r="I165" s="4">
        <f t="shared" si="15"/>
        <v>34</v>
      </c>
      <c r="J165" s="4">
        <f t="shared" si="16"/>
        <v>204</v>
      </c>
      <c r="K165" s="4" t="s">
        <v>503</v>
      </c>
      <c r="L165" s="4">
        <f t="shared" si="17"/>
        <v>1</v>
      </c>
    </row>
    <row r="166" spans="1:12">
      <c r="A166" s="4">
        <v>42</v>
      </c>
      <c r="B166" s="4" t="s">
        <v>73</v>
      </c>
      <c r="C166" s="4" t="str">
        <f t="shared" si="12"/>
        <v>42|A</v>
      </c>
      <c r="D166" s="4">
        <f>INDEX('Frequency 1-72'!$B$2:$E$73,A166,MATCH(B166,{"A","C","G","U"},0))</f>
        <v>49</v>
      </c>
      <c r="E166" s="4">
        <f>'Frequency 1-72'!G43</f>
        <v>200</v>
      </c>
      <c r="F166" s="12">
        <v>1</v>
      </c>
      <c r="G166" s="14">
        <f t="shared" si="13"/>
        <v>0.245</v>
      </c>
      <c r="H166" s="14">
        <f t="shared" si="14"/>
        <v>0.24509803921568626</v>
      </c>
      <c r="I166" s="4">
        <f t="shared" si="15"/>
        <v>50</v>
      </c>
      <c r="J166" s="4">
        <f t="shared" si="16"/>
        <v>204</v>
      </c>
      <c r="K166" s="4" t="s">
        <v>503</v>
      </c>
      <c r="L166" s="4">
        <f t="shared" si="17"/>
        <v>1</v>
      </c>
    </row>
    <row r="167" spans="1:12">
      <c r="A167" s="4">
        <v>42</v>
      </c>
      <c r="B167" s="4" t="s">
        <v>71</v>
      </c>
      <c r="C167" s="4" t="str">
        <f t="shared" si="12"/>
        <v>42|C</v>
      </c>
      <c r="D167" s="4">
        <f>INDEX('Frequency 1-72'!$B$2:$E$73,A167,MATCH(B167,{"A","C","G","U"},0))</f>
        <v>20</v>
      </c>
      <c r="E167" s="4">
        <f>'Frequency 1-72'!G43</f>
        <v>200</v>
      </c>
      <c r="F167" s="12">
        <v>1</v>
      </c>
      <c r="G167" s="14">
        <f t="shared" si="13"/>
        <v>0.1</v>
      </c>
      <c r="H167" s="14">
        <f t="shared" si="14"/>
        <v>0.10294117647058823</v>
      </c>
      <c r="I167" s="4">
        <f t="shared" si="15"/>
        <v>21</v>
      </c>
      <c r="J167" s="4">
        <f t="shared" si="16"/>
        <v>204</v>
      </c>
      <c r="K167" s="4" t="s">
        <v>503</v>
      </c>
      <c r="L167" s="4">
        <f t="shared" si="17"/>
        <v>1</v>
      </c>
    </row>
    <row r="168" spans="1:12">
      <c r="A168" s="4">
        <v>42</v>
      </c>
      <c r="B168" s="4" t="s">
        <v>70</v>
      </c>
      <c r="C168" s="4" t="str">
        <f t="shared" si="12"/>
        <v>42|G</v>
      </c>
      <c r="D168" s="4">
        <f>INDEX('Frequency 1-72'!$B$2:$E$73,A168,MATCH(B168,{"A","C","G","U"},0))</f>
        <v>105</v>
      </c>
      <c r="E168" s="4">
        <f>'Frequency 1-72'!G43</f>
        <v>200</v>
      </c>
      <c r="F168" s="12">
        <v>1</v>
      </c>
      <c r="G168" s="14">
        <f t="shared" si="13"/>
        <v>0.52500000000000002</v>
      </c>
      <c r="H168" s="14">
        <f t="shared" si="14"/>
        <v>0.51960784313725494</v>
      </c>
      <c r="I168" s="4">
        <f t="shared" si="15"/>
        <v>106</v>
      </c>
      <c r="J168" s="4">
        <f t="shared" si="16"/>
        <v>204</v>
      </c>
      <c r="K168" s="4" t="s">
        <v>503</v>
      </c>
      <c r="L168" s="4">
        <f t="shared" si="17"/>
        <v>1</v>
      </c>
    </row>
    <row r="169" spans="1:12">
      <c r="A169" s="4">
        <v>42</v>
      </c>
      <c r="B169" s="4" t="s">
        <v>72</v>
      </c>
      <c r="C169" s="4" t="str">
        <f t="shared" si="12"/>
        <v>42|U</v>
      </c>
      <c r="D169" s="4">
        <f>INDEX('Frequency 1-72'!$B$2:$E$73,A169,MATCH(B169,{"A","C","G","U"},0))</f>
        <v>26</v>
      </c>
      <c r="E169" s="4">
        <f>'Frequency 1-72'!G43</f>
        <v>200</v>
      </c>
      <c r="F169" s="12">
        <v>1</v>
      </c>
      <c r="G169" s="14">
        <f t="shared" si="13"/>
        <v>0.13</v>
      </c>
      <c r="H169" s="14">
        <f t="shared" si="14"/>
        <v>0.13235294117647059</v>
      </c>
      <c r="I169" s="4">
        <f t="shared" si="15"/>
        <v>27</v>
      </c>
      <c r="J169" s="4">
        <f t="shared" si="16"/>
        <v>204</v>
      </c>
      <c r="K169" s="4" t="s">
        <v>503</v>
      </c>
      <c r="L169" s="4">
        <f t="shared" si="17"/>
        <v>1</v>
      </c>
    </row>
    <row r="170" spans="1:12">
      <c r="A170" s="4">
        <v>43</v>
      </c>
      <c r="B170" s="4" t="s">
        <v>73</v>
      </c>
      <c r="C170" s="4" t="str">
        <f t="shared" si="12"/>
        <v>43|A</v>
      </c>
      <c r="D170" s="4">
        <f>INDEX('Frequency 1-72'!$B$2:$E$73,A170,MATCH(B170,{"A","C","G","U"},0))</f>
        <v>45</v>
      </c>
      <c r="E170" s="4">
        <f>'Frequency 1-72'!G44</f>
        <v>200</v>
      </c>
      <c r="F170" s="12">
        <v>1</v>
      </c>
      <c r="G170" s="14">
        <f t="shared" si="13"/>
        <v>0.22500000000000001</v>
      </c>
      <c r="H170" s="14">
        <f t="shared" si="14"/>
        <v>0.22549019607843138</v>
      </c>
      <c r="I170" s="4">
        <f t="shared" si="15"/>
        <v>46</v>
      </c>
      <c r="J170" s="4">
        <f t="shared" si="16"/>
        <v>204</v>
      </c>
      <c r="K170" s="4" t="s">
        <v>503</v>
      </c>
      <c r="L170" s="4">
        <f t="shared" si="17"/>
        <v>1</v>
      </c>
    </row>
    <row r="171" spans="1:12">
      <c r="A171" s="4">
        <v>43</v>
      </c>
      <c r="B171" s="4" t="s">
        <v>71</v>
      </c>
      <c r="C171" s="4" t="str">
        <f t="shared" si="12"/>
        <v>43|C</v>
      </c>
      <c r="D171" s="4">
        <f>INDEX('Frequency 1-72'!$B$2:$E$73,A171,MATCH(B171,{"A","C","G","U"},0))</f>
        <v>23</v>
      </c>
      <c r="E171" s="4">
        <f>'Frequency 1-72'!G44</f>
        <v>200</v>
      </c>
      <c r="F171" s="12">
        <v>1</v>
      </c>
      <c r="G171" s="14">
        <f t="shared" si="13"/>
        <v>0.115</v>
      </c>
      <c r="H171" s="14">
        <f t="shared" si="14"/>
        <v>0.11764705882352941</v>
      </c>
      <c r="I171" s="4">
        <f t="shared" si="15"/>
        <v>24</v>
      </c>
      <c r="J171" s="4">
        <f t="shared" si="16"/>
        <v>204</v>
      </c>
      <c r="K171" s="4" t="s">
        <v>503</v>
      </c>
      <c r="L171" s="4">
        <f t="shared" si="17"/>
        <v>1</v>
      </c>
    </row>
    <row r="172" spans="1:12">
      <c r="A172" s="4">
        <v>43</v>
      </c>
      <c r="B172" s="4" t="s">
        <v>70</v>
      </c>
      <c r="C172" s="4" t="str">
        <f t="shared" si="12"/>
        <v>43|G</v>
      </c>
      <c r="D172" s="4">
        <f>INDEX('Frequency 1-72'!$B$2:$E$73,A172,MATCH(B172,{"A","C","G","U"},0))</f>
        <v>100</v>
      </c>
      <c r="E172" s="4">
        <f>'Frequency 1-72'!G44</f>
        <v>200</v>
      </c>
      <c r="F172" s="12">
        <v>1</v>
      </c>
      <c r="G172" s="14">
        <f t="shared" si="13"/>
        <v>0.5</v>
      </c>
      <c r="H172" s="14">
        <f t="shared" si="14"/>
        <v>0.49509803921568629</v>
      </c>
      <c r="I172" s="4">
        <f t="shared" si="15"/>
        <v>101</v>
      </c>
      <c r="J172" s="4">
        <f t="shared" si="16"/>
        <v>204</v>
      </c>
      <c r="K172" s="4" t="s">
        <v>503</v>
      </c>
      <c r="L172" s="4">
        <f t="shared" si="17"/>
        <v>1</v>
      </c>
    </row>
    <row r="173" spans="1:12">
      <c r="A173" s="4">
        <v>43</v>
      </c>
      <c r="B173" s="4" t="s">
        <v>72</v>
      </c>
      <c r="C173" s="4" t="str">
        <f t="shared" si="12"/>
        <v>43|U</v>
      </c>
      <c r="D173" s="4">
        <f>INDEX('Frequency 1-72'!$B$2:$E$73,A173,MATCH(B173,{"A","C","G","U"},0))</f>
        <v>32</v>
      </c>
      <c r="E173" s="4">
        <f>'Frequency 1-72'!G44</f>
        <v>200</v>
      </c>
      <c r="F173" s="12">
        <v>1</v>
      </c>
      <c r="G173" s="14">
        <f t="shared" si="13"/>
        <v>0.16</v>
      </c>
      <c r="H173" s="14">
        <f t="shared" si="14"/>
        <v>0.16176470588235295</v>
      </c>
      <c r="I173" s="4">
        <f t="shared" si="15"/>
        <v>33</v>
      </c>
      <c r="J173" s="4">
        <f t="shared" si="16"/>
        <v>204</v>
      </c>
      <c r="K173" s="4" t="s">
        <v>503</v>
      </c>
      <c r="L173" s="4">
        <f t="shared" si="17"/>
        <v>1</v>
      </c>
    </row>
    <row r="174" spans="1:12">
      <c r="A174" s="4">
        <v>44</v>
      </c>
      <c r="B174" s="4" t="s">
        <v>73</v>
      </c>
      <c r="C174" s="4" t="str">
        <f t="shared" si="12"/>
        <v>44|A</v>
      </c>
      <c r="D174" s="4">
        <f>INDEX('Frequency 1-72'!$B$2:$E$73,A174,MATCH(B174,{"A","C","G","U"},0))</f>
        <v>100</v>
      </c>
      <c r="E174" s="4">
        <f>'Frequency 1-72'!G45</f>
        <v>200</v>
      </c>
      <c r="F174" s="12">
        <v>1</v>
      </c>
      <c r="G174" s="14">
        <f t="shared" si="13"/>
        <v>0.5</v>
      </c>
      <c r="H174" s="14">
        <f t="shared" si="14"/>
        <v>0.49509803921568629</v>
      </c>
      <c r="I174" s="4">
        <f t="shared" si="15"/>
        <v>101</v>
      </c>
      <c r="J174" s="4">
        <f t="shared" si="16"/>
        <v>204</v>
      </c>
      <c r="K174" s="4" t="s">
        <v>503</v>
      </c>
      <c r="L174" s="4">
        <f t="shared" si="17"/>
        <v>1</v>
      </c>
    </row>
    <row r="175" spans="1:12">
      <c r="A175" s="4">
        <v>44</v>
      </c>
      <c r="B175" s="4" t="s">
        <v>71</v>
      </c>
      <c r="C175" s="4" t="str">
        <f t="shared" si="12"/>
        <v>44|C</v>
      </c>
      <c r="D175" s="4">
        <f>INDEX('Frequency 1-72'!$B$2:$E$73,A175,MATCH(B175,{"A","C","G","U"},0))</f>
        <v>31</v>
      </c>
      <c r="E175" s="4">
        <f>'Frequency 1-72'!G45</f>
        <v>200</v>
      </c>
      <c r="F175" s="12">
        <v>1</v>
      </c>
      <c r="G175" s="14">
        <f t="shared" si="13"/>
        <v>0.155</v>
      </c>
      <c r="H175" s="14">
        <f t="shared" si="14"/>
        <v>0.15686274509803921</v>
      </c>
      <c r="I175" s="4">
        <f t="shared" si="15"/>
        <v>32</v>
      </c>
      <c r="J175" s="4">
        <f t="shared" si="16"/>
        <v>204</v>
      </c>
      <c r="K175" s="4" t="s">
        <v>503</v>
      </c>
      <c r="L175" s="4">
        <f t="shared" si="17"/>
        <v>1</v>
      </c>
    </row>
    <row r="176" spans="1:12">
      <c r="A176" s="4">
        <v>44</v>
      </c>
      <c r="B176" s="4" t="s">
        <v>70</v>
      </c>
      <c r="C176" s="4" t="str">
        <f t="shared" si="12"/>
        <v>44|G</v>
      </c>
      <c r="D176" s="4">
        <f>INDEX('Frequency 1-72'!$B$2:$E$73,A176,MATCH(B176,{"A","C","G","U"},0))</f>
        <v>46</v>
      </c>
      <c r="E176" s="4">
        <f>'Frequency 1-72'!G45</f>
        <v>200</v>
      </c>
      <c r="F176" s="12">
        <v>1</v>
      </c>
      <c r="G176" s="14">
        <f t="shared" si="13"/>
        <v>0.23</v>
      </c>
      <c r="H176" s="14">
        <f t="shared" si="14"/>
        <v>0.23039215686274508</v>
      </c>
      <c r="I176" s="4">
        <f t="shared" si="15"/>
        <v>47</v>
      </c>
      <c r="J176" s="4">
        <f t="shared" si="16"/>
        <v>204</v>
      </c>
      <c r="K176" s="4" t="s">
        <v>503</v>
      </c>
      <c r="L176" s="4">
        <f t="shared" si="17"/>
        <v>1</v>
      </c>
    </row>
    <row r="177" spans="1:12">
      <c r="A177" s="4">
        <v>44</v>
      </c>
      <c r="B177" s="4" t="s">
        <v>72</v>
      </c>
      <c r="C177" s="4" t="str">
        <f t="shared" si="12"/>
        <v>44|U</v>
      </c>
      <c r="D177" s="4">
        <f>INDEX('Frequency 1-72'!$B$2:$E$73,A177,MATCH(B177,{"A","C","G","U"},0))</f>
        <v>23</v>
      </c>
      <c r="E177" s="4">
        <f>'Frequency 1-72'!G45</f>
        <v>200</v>
      </c>
      <c r="F177" s="12">
        <v>1</v>
      </c>
      <c r="G177" s="14">
        <f t="shared" si="13"/>
        <v>0.115</v>
      </c>
      <c r="H177" s="14">
        <f t="shared" si="14"/>
        <v>0.11764705882352941</v>
      </c>
      <c r="I177" s="4">
        <f t="shared" si="15"/>
        <v>24</v>
      </c>
      <c r="J177" s="4">
        <f t="shared" si="16"/>
        <v>204</v>
      </c>
      <c r="K177" s="4" t="s">
        <v>503</v>
      </c>
      <c r="L177" s="4">
        <f t="shared" si="17"/>
        <v>1</v>
      </c>
    </row>
    <row r="178" spans="1:12">
      <c r="A178" s="4">
        <v>45</v>
      </c>
      <c r="B178" s="4" t="s">
        <v>73</v>
      </c>
      <c r="C178" s="4" t="str">
        <f t="shared" si="12"/>
        <v>45|A</v>
      </c>
      <c r="D178" s="4">
        <f>INDEX('Frequency 1-72'!$B$2:$E$73,A178,MATCH(B178,{"A","C","G","U"},0))</f>
        <v>15</v>
      </c>
      <c r="E178" s="4">
        <f>'Frequency 1-72'!G46</f>
        <v>198</v>
      </c>
      <c r="F178" s="12">
        <v>1</v>
      </c>
      <c r="G178" s="14">
        <f t="shared" si="13"/>
        <v>7.575757575757576E-2</v>
      </c>
      <c r="H178" s="14">
        <f t="shared" si="14"/>
        <v>7.9207920792079209E-2</v>
      </c>
      <c r="I178" s="4">
        <f t="shared" si="15"/>
        <v>16</v>
      </c>
      <c r="J178" s="4">
        <f t="shared" si="16"/>
        <v>202</v>
      </c>
      <c r="K178" s="4" t="s">
        <v>503</v>
      </c>
      <c r="L178" s="4">
        <f t="shared" si="17"/>
        <v>1</v>
      </c>
    </row>
    <row r="179" spans="1:12">
      <c r="A179" s="4">
        <v>45</v>
      </c>
      <c r="B179" s="4" t="s">
        <v>71</v>
      </c>
      <c r="C179" s="4" t="str">
        <f t="shared" si="12"/>
        <v>45|C</v>
      </c>
      <c r="D179" s="4">
        <f>INDEX('Frequency 1-72'!$B$2:$E$73,A179,MATCH(B179,{"A","C","G","U"},0))</f>
        <v>5</v>
      </c>
      <c r="E179" s="4">
        <f>'Frequency 1-72'!G46</f>
        <v>198</v>
      </c>
      <c r="F179" s="12">
        <v>1</v>
      </c>
      <c r="G179" s="14">
        <f t="shared" si="13"/>
        <v>2.5252525252525252E-2</v>
      </c>
      <c r="H179" s="14">
        <f t="shared" si="14"/>
        <v>2.9702970297029702E-2</v>
      </c>
      <c r="I179" s="4">
        <f t="shared" si="15"/>
        <v>6</v>
      </c>
      <c r="J179" s="4">
        <f t="shared" si="16"/>
        <v>202</v>
      </c>
      <c r="K179" s="4" t="s">
        <v>503</v>
      </c>
      <c r="L179" s="4">
        <f t="shared" si="17"/>
        <v>1</v>
      </c>
    </row>
    <row r="180" spans="1:12">
      <c r="A180" s="4">
        <v>45</v>
      </c>
      <c r="B180" s="4" t="s">
        <v>70</v>
      </c>
      <c r="C180" s="4" t="str">
        <f t="shared" si="12"/>
        <v>45|G</v>
      </c>
      <c r="D180" s="4">
        <f>INDEX('Frequency 1-72'!$B$2:$E$73,A180,MATCH(B180,{"A","C","G","U"},0))</f>
        <v>150</v>
      </c>
      <c r="E180" s="4">
        <f>'Frequency 1-72'!G46</f>
        <v>198</v>
      </c>
      <c r="F180" s="12">
        <v>1</v>
      </c>
      <c r="G180" s="14">
        <f t="shared" si="13"/>
        <v>0.75757575757575757</v>
      </c>
      <c r="H180" s="14">
        <f t="shared" si="14"/>
        <v>0.74752475247524752</v>
      </c>
      <c r="I180" s="4">
        <f t="shared" si="15"/>
        <v>151</v>
      </c>
      <c r="J180" s="4">
        <f t="shared" si="16"/>
        <v>202</v>
      </c>
      <c r="K180" s="4" t="s">
        <v>503</v>
      </c>
      <c r="L180" s="4">
        <f t="shared" si="17"/>
        <v>1</v>
      </c>
    </row>
    <row r="181" spans="1:12">
      <c r="A181" s="4">
        <v>45</v>
      </c>
      <c r="B181" s="4" t="s">
        <v>72</v>
      </c>
      <c r="C181" s="4" t="str">
        <f t="shared" si="12"/>
        <v>45|U</v>
      </c>
      <c r="D181" s="4">
        <f>INDEX('Frequency 1-72'!$B$2:$E$73,A181,MATCH(B181,{"A","C","G","U"},0))</f>
        <v>28</v>
      </c>
      <c r="E181" s="4">
        <f>'Frequency 1-72'!G46</f>
        <v>198</v>
      </c>
      <c r="F181" s="12">
        <v>1</v>
      </c>
      <c r="G181" s="14">
        <f t="shared" si="13"/>
        <v>0.14141414141414141</v>
      </c>
      <c r="H181" s="14">
        <f t="shared" si="14"/>
        <v>0.14356435643564355</v>
      </c>
      <c r="I181" s="4">
        <f t="shared" si="15"/>
        <v>29</v>
      </c>
      <c r="J181" s="4">
        <f t="shared" si="16"/>
        <v>202</v>
      </c>
      <c r="K181" s="4" t="s">
        <v>503</v>
      </c>
      <c r="L181" s="4">
        <f t="shared" si="17"/>
        <v>1</v>
      </c>
    </row>
    <row r="182" spans="1:12">
      <c r="A182" s="4">
        <v>46</v>
      </c>
      <c r="B182" s="4" t="s">
        <v>73</v>
      </c>
      <c r="C182" s="4" t="str">
        <f t="shared" si="12"/>
        <v>46|A</v>
      </c>
      <c r="D182" s="4">
        <f>INDEX('Frequency 1-72'!$B$2:$E$73,A182,MATCH(B182,{"A","C","G","U"},0))</f>
        <v>16</v>
      </c>
      <c r="E182" s="4">
        <f>'Frequency 1-72'!G47</f>
        <v>169</v>
      </c>
      <c r="F182" s="12">
        <v>1</v>
      </c>
      <c r="G182" s="14">
        <f t="shared" si="13"/>
        <v>9.4674556213017749E-2</v>
      </c>
      <c r="H182" s="14">
        <f t="shared" si="14"/>
        <v>9.8265895953757232E-2</v>
      </c>
      <c r="I182" s="4">
        <f t="shared" si="15"/>
        <v>17</v>
      </c>
      <c r="J182" s="4">
        <f t="shared" si="16"/>
        <v>173</v>
      </c>
      <c r="K182" s="4" t="s">
        <v>503</v>
      </c>
      <c r="L182" s="4">
        <f t="shared" si="17"/>
        <v>1</v>
      </c>
    </row>
    <row r="183" spans="1:12">
      <c r="A183" s="4">
        <v>46</v>
      </c>
      <c r="B183" s="4" t="s">
        <v>71</v>
      </c>
      <c r="C183" s="4" t="str">
        <f t="shared" si="12"/>
        <v>46|C</v>
      </c>
      <c r="D183" s="4">
        <f>INDEX('Frequency 1-72'!$B$2:$E$73,A183,MATCH(B183,{"A","C","G","U"},0))</f>
        <v>4</v>
      </c>
      <c r="E183" s="4">
        <f>'Frequency 1-72'!G47</f>
        <v>169</v>
      </c>
      <c r="F183" s="12">
        <v>1</v>
      </c>
      <c r="G183" s="14">
        <f t="shared" si="13"/>
        <v>2.3668639053254437E-2</v>
      </c>
      <c r="H183" s="14">
        <f t="shared" si="14"/>
        <v>2.8901734104046242E-2</v>
      </c>
      <c r="I183" s="4">
        <f t="shared" si="15"/>
        <v>5</v>
      </c>
      <c r="J183" s="4">
        <f t="shared" si="16"/>
        <v>173</v>
      </c>
      <c r="K183" s="4" t="s">
        <v>503</v>
      </c>
      <c r="L183" s="4">
        <f t="shared" si="17"/>
        <v>1</v>
      </c>
    </row>
    <row r="184" spans="1:12">
      <c r="A184" s="4">
        <v>46</v>
      </c>
      <c r="B184" s="4" t="s">
        <v>70</v>
      </c>
      <c r="C184" s="4" t="str">
        <f t="shared" si="12"/>
        <v>46|G</v>
      </c>
      <c r="D184" s="4">
        <f>INDEX('Frequency 1-72'!$B$2:$E$73,A184,MATCH(B184,{"A","C","G","U"},0))</f>
        <v>137</v>
      </c>
      <c r="E184" s="4">
        <f>'Frequency 1-72'!G47</f>
        <v>169</v>
      </c>
      <c r="F184" s="12">
        <v>1</v>
      </c>
      <c r="G184" s="14">
        <f t="shared" si="13"/>
        <v>0.81065088757396453</v>
      </c>
      <c r="H184" s="14">
        <f t="shared" si="14"/>
        <v>0.79768786127167635</v>
      </c>
      <c r="I184" s="4">
        <f t="shared" si="15"/>
        <v>138</v>
      </c>
      <c r="J184" s="4">
        <f t="shared" si="16"/>
        <v>173</v>
      </c>
      <c r="K184" s="4" t="s">
        <v>503</v>
      </c>
      <c r="L184" s="4">
        <f t="shared" si="17"/>
        <v>1</v>
      </c>
    </row>
    <row r="185" spans="1:12">
      <c r="A185" s="4">
        <v>46</v>
      </c>
      <c r="B185" s="4" t="s">
        <v>72</v>
      </c>
      <c r="C185" s="4" t="str">
        <f t="shared" si="12"/>
        <v>46|U</v>
      </c>
      <c r="D185" s="4">
        <f>INDEX('Frequency 1-72'!$B$2:$E$73,A185,MATCH(B185,{"A","C","G","U"},0))</f>
        <v>12</v>
      </c>
      <c r="E185" s="4">
        <f>'Frequency 1-72'!G47</f>
        <v>169</v>
      </c>
      <c r="F185" s="12">
        <v>1</v>
      </c>
      <c r="G185" s="14">
        <f t="shared" si="13"/>
        <v>7.1005917159763315E-2</v>
      </c>
      <c r="H185" s="14">
        <f t="shared" si="14"/>
        <v>7.5144508670520235E-2</v>
      </c>
      <c r="I185" s="4">
        <f t="shared" si="15"/>
        <v>13</v>
      </c>
      <c r="J185" s="4">
        <f t="shared" si="16"/>
        <v>173</v>
      </c>
      <c r="K185" s="4" t="s">
        <v>503</v>
      </c>
      <c r="L185" s="4">
        <f t="shared" si="17"/>
        <v>1</v>
      </c>
    </row>
    <row r="186" spans="1:12">
      <c r="A186" s="4">
        <v>47</v>
      </c>
      <c r="B186" s="4" t="s">
        <v>73</v>
      </c>
      <c r="C186" s="4" t="str">
        <f t="shared" si="12"/>
        <v>47|A</v>
      </c>
      <c r="D186" s="4">
        <f>INDEX('Frequency 1-72'!$B$2:$E$73,A186,MATCH(B186,{"A","C","G","U"},0))</f>
        <v>26</v>
      </c>
      <c r="E186" s="4">
        <f>'Frequency 1-72'!G48</f>
        <v>200</v>
      </c>
      <c r="F186" s="12">
        <v>1</v>
      </c>
      <c r="G186" s="14">
        <f t="shared" si="13"/>
        <v>0.13</v>
      </c>
      <c r="H186" s="14">
        <f t="shared" si="14"/>
        <v>0.13235294117647059</v>
      </c>
      <c r="I186" s="4">
        <f t="shared" si="15"/>
        <v>27</v>
      </c>
      <c r="J186" s="4">
        <f t="shared" si="16"/>
        <v>204</v>
      </c>
      <c r="K186" s="4" t="s">
        <v>503</v>
      </c>
      <c r="L186" s="4">
        <f t="shared" si="17"/>
        <v>1</v>
      </c>
    </row>
    <row r="187" spans="1:12">
      <c r="A187" s="4">
        <v>47</v>
      </c>
      <c r="B187" s="4" t="s">
        <v>71</v>
      </c>
      <c r="C187" s="4" t="str">
        <f t="shared" si="12"/>
        <v>47|C</v>
      </c>
      <c r="D187" s="4">
        <f>INDEX('Frequency 1-72'!$B$2:$E$73,A187,MATCH(B187,{"A","C","G","U"},0))</f>
        <v>23</v>
      </c>
      <c r="E187" s="4">
        <f>'Frequency 1-72'!G48</f>
        <v>200</v>
      </c>
      <c r="F187" s="12">
        <v>1</v>
      </c>
      <c r="G187" s="14">
        <f t="shared" si="13"/>
        <v>0.115</v>
      </c>
      <c r="H187" s="14">
        <f t="shared" si="14"/>
        <v>0.11764705882352941</v>
      </c>
      <c r="I187" s="4">
        <f t="shared" si="15"/>
        <v>24</v>
      </c>
      <c r="J187" s="4">
        <f t="shared" si="16"/>
        <v>204</v>
      </c>
      <c r="K187" s="4" t="s">
        <v>503</v>
      </c>
      <c r="L187" s="4">
        <f t="shared" si="17"/>
        <v>1</v>
      </c>
    </row>
    <row r="188" spans="1:12">
      <c r="A188" s="4">
        <v>47</v>
      </c>
      <c r="B188" s="4" t="s">
        <v>70</v>
      </c>
      <c r="C188" s="4" t="str">
        <f t="shared" si="12"/>
        <v>47|G</v>
      </c>
      <c r="D188" s="4">
        <f>INDEX('Frequency 1-72'!$B$2:$E$73,A188,MATCH(B188,{"A","C","G","U"},0))</f>
        <v>16</v>
      </c>
      <c r="E188" s="4">
        <f>'Frequency 1-72'!G48</f>
        <v>200</v>
      </c>
      <c r="F188" s="12">
        <v>1</v>
      </c>
      <c r="G188" s="14">
        <f t="shared" si="13"/>
        <v>0.08</v>
      </c>
      <c r="H188" s="14">
        <f t="shared" si="14"/>
        <v>8.3333333333333329E-2</v>
      </c>
      <c r="I188" s="4">
        <f t="shared" si="15"/>
        <v>17</v>
      </c>
      <c r="J188" s="4">
        <f t="shared" si="16"/>
        <v>204</v>
      </c>
      <c r="K188" s="4" t="s">
        <v>503</v>
      </c>
      <c r="L188" s="4">
        <f t="shared" si="17"/>
        <v>1</v>
      </c>
    </row>
    <row r="189" spans="1:12">
      <c r="A189" s="4">
        <v>47</v>
      </c>
      <c r="B189" s="4" t="s">
        <v>72</v>
      </c>
      <c r="C189" s="4" t="str">
        <f t="shared" si="12"/>
        <v>47|U</v>
      </c>
      <c r="D189" s="4">
        <f>INDEX('Frequency 1-72'!$B$2:$E$73,A189,MATCH(B189,{"A","C","G","U"},0))</f>
        <v>135</v>
      </c>
      <c r="E189" s="4">
        <f>'Frequency 1-72'!G48</f>
        <v>200</v>
      </c>
      <c r="F189" s="12">
        <v>1</v>
      </c>
      <c r="G189" s="14">
        <f t="shared" si="13"/>
        <v>0.67500000000000004</v>
      </c>
      <c r="H189" s="14">
        <f t="shared" si="14"/>
        <v>0.66666666666666663</v>
      </c>
      <c r="I189" s="4">
        <f t="shared" si="15"/>
        <v>136</v>
      </c>
      <c r="J189" s="4">
        <f t="shared" si="16"/>
        <v>204</v>
      </c>
      <c r="K189" s="4" t="s">
        <v>503</v>
      </c>
      <c r="L189" s="4">
        <f t="shared" si="17"/>
        <v>1</v>
      </c>
    </row>
    <row r="190" spans="1:12">
      <c r="A190" s="4">
        <v>48</v>
      </c>
      <c r="B190" s="4" t="s">
        <v>73</v>
      </c>
      <c r="C190" s="4" t="str">
        <f t="shared" si="12"/>
        <v>48|A</v>
      </c>
      <c r="D190" s="4">
        <f>INDEX('Frequency 1-72'!$B$2:$E$73,A190,MATCH(B190,{"A","C","G","U"},0))</f>
        <v>1</v>
      </c>
      <c r="E190" s="4">
        <f>'Frequency 1-72'!G49</f>
        <v>200</v>
      </c>
      <c r="F190" s="12">
        <v>1</v>
      </c>
      <c r="G190" s="14">
        <f t="shared" si="13"/>
        <v>5.0000000000000001E-3</v>
      </c>
      <c r="H190" s="14">
        <f t="shared" si="14"/>
        <v>9.8039215686274508E-3</v>
      </c>
      <c r="I190" s="4">
        <f t="shared" si="15"/>
        <v>2</v>
      </c>
      <c r="J190" s="4">
        <f t="shared" si="16"/>
        <v>204</v>
      </c>
      <c r="K190" s="4" t="s">
        <v>503</v>
      </c>
      <c r="L190" s="4">
        <f t="shared" si="17"/>
        <v>1</v>
      </c>
    </row>
    <row r="191" spans="1:12">
      <c r="A191" s="4">
        <v>48</v>
      </c>
      <c r="B191" s="4" t="s">
        <v>71</v>
      </c>
      <c r="C191" s="4" t="str">
        <f t="shared" si="12"/>
        <v>48|C</v>
      </c>
      <c r="D191" s="4">
        <f>INDEX('Frequency 1-72'!$B$2:$E$73,A191,MATCH(B191,{"A","C","G","U"},0))</f>
        <v>168</v>
      </c>
      <c r="E191" s="4">
        <f>'Frequency 1-72'!G49</f>
        <v>200</v>
      </c>
      <c r="F191" s="12">
        <v>1</v>
      </c>
      <c r="G191" s="14">
        <f t="shared" si="13"/>
        <v>0.84</v>
      </c>
      <c r="H191" s="14">
        <f t="shared" si="14"/>
        <v>0.82843137254901966</v>
      </c>
      <c r="I191" s="4">
        <f t="shared" si="15"/>
        <v>169</v>
      </c>
      <c r="J191" s="4">
        <f t="shared" si="16"/>
        <v>204</v>
      </c>
      <c r="K191" s="4" t="s">
        <v>503</v>
      </c>
      <c r="L191" s="4">
        <f t="shared" si="17"/>
        <v>1</v>
      </c>
    </row>
    <row r="192" spans="1:12">
      <c r="A192" s="4">
        <v>48</v>
      </c>
      <c r="B192" s="4" t="s">
        <v>70</v>
      </c>
      <c r="C192" s="4" t="str">
        <f t="shared" si="12"/>
        <v>48|G</v>
      </c>
      <c r="D192" s="4">
        <f>INDEX('Frequency 1-72'!$B$2:$E$73,A192,MATCH(B192,{"A","C","G","U"},0))</f>
        <v>2</v>
      </c>
      <c r="E192" s="4">
        <f>'Frequency 1-72'!G49</f>
        <v>200</v>
      </c>
      <c r="F192" s="12">
        <v>1</v>
      </c>
      <c r="G192" s="14">
        <f t="shared" si="13"/>
        <v>0.01</v>
      </c>
      <c r="H192" s="14">
        <f t="shared" si="14"/>
        <v>1.4705882352941176E-2</v>
      </c>
      <c r="I192" s="4">
        <f t="shared" si="15"/>
        <v>3</v>
      </c>
      <c r="J192" s="4">
        <f t="shared" si="16"/>
        <v>204</v>
      </c>
      <c r="K192" s="4" t="s">
        <v>503</v>
      </c>
      <c r="L192" s="4">
        <f t="shared" si="17"/>
        <v>1</v>
      </c>
    </row>
    <row r="193" spans="1:12">
      <c r="A193" s="4">
        <v>48</v>
      </c>
      <c r="B193" s="4" t="s">
        <v>72</v>
      </c>
      <c r="C193" s="4" t="str">
        <f t="shared" si="12"/>
        <v>48|U</v>
      </c>
      <c r="D193" s="4">
        <f>INDEX('Frequency 1-72'!$B$2:$E$73,A193,MATCH(B193,{"A","C","G","U"},0))</f>
        <v>29</v>
      </c>
      <c r="E193" s="4">
        <f>'Frequency 1-72'!G49</f>
        <v>200</v>
      </c>
      <c r="F193" s="12">
        <v>1</v>
      </c>
      <c r="G193" s="14">
        <f t="shared" si="13"/>
        <v>0.14499999999999999</v>
      </c>
      <c r="H193" s="14">
        <f t="shared" si="14"/>
        <v>0.14705882352941177</v>
      </c>
      <c r="I193" s="4">
        <f t="shared" si="15"/>
        <v>30</v>
      </c>
      <c r="J193" s="4">
        <f t="shared" si="16"/>
        <v>204</v>
      </c>
      <c r="K193" s="4" t="s">
        <v>503</v>
      </c>
      <c r="L193" s="4">
        <f t="shared" si="17"/>
        <v>1</v>
      </c>
    </row>
    <row r="194" spans="1:12">
      <c r="A194" s="4">
        <v>49</v>
      </c>
      <c r="B194" s="4" t="s">
        <v>73</v>
      </c>
      <c r="C194" s="4" t="str">
        <f t="shared" ref="C194:C257" si="18">A194&amp;"|"&amp;B194</f>
        <v>49|A</v>
      </c>
      <c r="D194" s="4">
        <f>INDEX('Frequency 1-72'!$B$2:$E$73,A194,MATCH(B194,{"A","C","G","U"},0))</f>
        <v>31</v>
      </c>
      <c r="E194" s="4">
        <f>'Frequency 1-72'!G50</f>
        <v>200</v>
      </c>
      <c r="F194" s="12">
        <v>1</v>
      </c>
      <c r="G194" s="14">
        <f t="shared" ref="G194:G257" si="19">IF(E194=0,"",D194/E194)</f>
        <v>0.155</v>
      </c>
      <c r="H194" s="14">
        <f t="shared" ref="H194:H257" si="20">I194/J194</f>
        <v>0.15686274509803921</v>
      </c>
      <c r="I194" s="4">
        <f t="shared" ref="I194:I257" si="21">D194+F194</f>
        <v>32</v>
      </c>
      <c r="J194" s="4">
        <f t="shared" ref="J194:J257" si="22">E194+4*F194</f>
        <v>204</v>
      </c>
      <c r="K194" s="4" t="s">
        <v>503</v>
      </c>
      <c r="L194" s="4">
        <f t="shared" ref="L194:L257" si="23">ROUND(SUMIF($A$2:$A$289,A194,$H$2:$H$289),9)</f>
        <v>1</v>
      </c>
    </row>
    <row r="195" spans="1:12">
      <c r="A195" s="4">
        <v>49</v>
      </c>
      <c r="B195" s="4" t="s">
        <v>71</v>
      </c>
      <c r="C195" s="4" t="str">
        <f t="shared" si="18"/>
        <v>49|C</v>
      </c>
      <c r="D195" s="4">
        <f>INDEX('Frequency 1-72'!$B$2:$E$73,A195,MATCH(B195,{"A","C","G","U"},0))</f>
        <v>57</v>
      </c>
      <c r="E195" s="4">
        <f>'Frequency 1-72'!G50</f>
        <v>200</v>
      </c>
      <c r="F195" s="12">
        <v>1</v>
      </c>
      <c r="G195" s="14">
        <f t="shared" si="19"/>
        <v>0.28499999999999998</v>
      </c>
      <c r="H195" s="14">
        <f t="shared" si="20"/>
        <v>0.28431372549019607</v>
      </c>
      <c r="I195" s="4">
        <f t="shared" si="21"/>
        <v>58</v>
      </c>
      <c r="J195" s="4">
        <f t="shared" si="22"/>
        <v>204</v>
      </c>
      <c r="K195" s="4" t="s">
        <v>503</v>
      </c>
      <c r="L195" s="4">
        <f t="shared" si="23"/>
        <v>1</v>
      </c>
    </row>
    <row r="196" spans="1:12">
      <c r="A196" s="4">
        <v>49</v>
      </c>
      <c r="B196" s="4" t="s">
        <v>70</v>
      </c>
      <c r="C196" s="4" t="str">
        <f t="shared" si="18"/>
        <v>49|G</v>
      </c>
      <c r="D196" s="4">
        <f>INDEX('Frequency 1-72'!$B$2:$E$73,A196,MATCH(B196,{"A","C","G","U"},0))</f>
        <v>101</v>
      </c>
      <c r="E196" s="4">
        <f>'Frequency 1-72'!G50</f>
        <v>200</v>
      </c>
      <c r="F196" s="12">
        <v>1</v>
      </c>
      <c r="G196" s="14">
        <f t="shared" si="19"/>
        <v>0.505</v>
      </c>
      <c r="H196" s="14">
        <f t="shared" si="20"/>
        <v>0.5</v>
      </c>
      <c r="I196" s="4">
        <f t="shared" si="21"/>
        <v>102</v>
      </c>
      <c r="J196" s="4">
        <f t="shared" si="22"/>
        <v>204</v>
      </c>
      <c r="K196" s="4" t="s">
        <v>503</v>
      </c>
      <c r="L196" s="4">
        <f t="shared" si="23"/>
        <v>1</v>
      </c>
    </row>
    <row r="197" spans="1:12">
      <c r="A197" s="4">
        <v>49</v>
      </c>
      <c r="B197" s="4" t="s">
        <v>72</v>
      </c>
      <c r="C197" s="4" t="str">
        <f t="shared" si="18"/>
        <v>49|U</v>
      </c>
      <c r="D197" s="4">
        <f>INDEX('Frequency 1-72'!$B$2:$E$73,A197,MATCH(B197,{"A","C","G","U"},0))</f>
        <v>11</v>
      </c>
      <c r="E197" s="4">
        <f>'Frequency 1-72'!G50</f>
        <v>200</v>
      </c>
      <c r="F197" s="12">
        <v>1</v>
      </c>
      <c r="G197" s="14">
        <f t="shared" si="19"/>
        <v>5.5E-2</v>
      </c>
      <c r="H197" s="14">
        <f t="shared" si="20"/>
        <v>5.8823529411764705E-2</v>
      </c>
      <c r="I197" s="4">
        <f t="shared" si="21"/>
        <v>12</v>
      </c>
      <c r="J197" s="4">
        <f t="shared" si="22"/>
        <v>204</v>
      </c>
      <c r="K197" s="4" t="s">
        <v>503</v>
      </c>
      <c r="L197" s="4">
        <f t="shared" si="23"/>
        <v>1</v>
      </c>
    </row>
    <row r="198" spans="1:12">
      <c r="A198" s="4">
        <v>50</v>
      </c>
      <c r="B198" s="4" t="s">
        <v>73</v>
      </c>
      <c r="C198" s="4" t="str">
        <f t="shared" si="18"/>
        <v>50|A</v>
      </c>
      <c r="D198" s="4">
        <f>INDEX('Frequency 1-72'!$B$2:$E$73,A198,MATCH(B198,{"A","C","G","U"},0))</f>
        <v>23</v>
      </c>
      <c r="E198" s="4">
        <f>'Frequency 1-72'!G51</f>
        <v>200</v>
      </c>
      <c r="F198" s="12">
        <v>1</v>
      </c>
      <c r="G198" s="14">
        <f t="shared" si="19"/>
        <v>0.115</v>
      </c>
      <c r="H198" s="14">
        <f t="shared" si="20"/>
        <v>0.11764705882352941</v>
      </c>
      <c r="I198" s="4">
        <f t="shared" si="21"/>
        <v>24</v>
      </c>
      <c r="J198" s="4">
        <f t="shared" si="22"/>
        <v>204</v>
      </c>
      <c r="K198" s="4" t="s">
        <v>503</v>
      </c>
      <c r="L198" s="4">
        <f t="shared" si="23"/>
        <v>1</v>
      </c>
    </row>
    <row r="199" spans="1:12">
      <c r="A199" s="4">
        <v>50</v>
      </c>
      <c r="B199" s="4" t="s">
        <v>71</v>
      </c>
      <c r="C199" s="4" t="str">
        <f t="shared" si="18"/>
        <v>50|C</v>
      </c>
      <c r="D199" s="4">
        <f>INDEX('Frequency 1-72'!$B$2:$E$73,A199,MATCH(B199,{"A","C","G","U"},0))</f>
        <v>87</v>
      </c>
      <c r="E199" s="4">
        <f>'Frequency 1-72'!G51</f>
        <v>200</v>
      </c>
      <c r="F199" s="12">
        <v>1</v>
      </c>
      <c r="G199" s="14">
        <f t="shared" si="19"/>
        <v>0.435</v>
      </c>
      <c r="H199" s="14">
        <f t="shared" si="20"/>
        <v>0.43137254901960786</v>
      </c>
      <c r="I199" s="4">
        <f t="shared" si="21"/>
        <v>88</v>
      </c>
      <c r="J199" s="4">
        <f t="shared" si="22"/>
        <v>204</v>
      </c>
      <c r="K199" s="4" t="s">
        <v>503</v>
      </c>
      <c r="L199" s="4">
        <f t="shared" si="23"/>
        <v>1</v>
      </c>
    </row>
    <row r="200" spans="1:12">
      <c r="A200" s="4">
        <v>50</v>
      </c>
      <c r="B200" s="4" t="s">
        <v>70</v>
      </c>
      <c r="C200" s="4" t="str">
        <f t="shared" si="18"/>
        <v>50|G</v>
      </c>
      <c r="D200" s="4">
        <f>INDEX('Frequency 1-72'!$B$2:$E$73,A200,MATCH(B200,{"A","C","G","U"},0))</f>
        <v>54</v>
      </c>
      <c r="E200" s="4">
        <f>'Frequency 1-72'!G51</f>
        <v>200</v>
      </c>
      <c r="F200" s="12">
        <v>1</v>
      </c>
      <c r="G200" s="14">
        <f t="shared" si="19"/>
        <v>0.27</v>
      </c>
      <c r="H200" s="14">
        <f t="shared" si="20"/>
        <v>0.26960784313725489</v>
      </c>
      <c r="I200" s="4">
        <f t="shared" si="21"/>
        <v>55</v>
      </c>
      <c r="J200" s="4">
        <f t="shared" si="22"/>
        <v>204</v>
      </c>
      <c r="K200" s="4" t="s">
        <v>503</v>
      </c>
      <c r="L200" s="4">
        <f t="shared" si="23"/>
        <v>1</v>
      </c>
    </row>
    <row r="201" spans="1:12">
      <c r="A201" s="4">
        <v>50</v>
      </c>
      <c r="B201" s="4" t="s">
        <v>72</v>
      </c>
      <c r="C201" s="4" t="str">
        <f t="shared" si="18"/>
        <v>50|U</v>
      </c>
      <c r="D201" s="4">
        <f>INDEX('Frequency 1-72'!$B$2:$E$73,A201,MATCH(B201,{"A","C","G","U"},0))</f>
        <v>36</v>
      </c>
      <c r="E201" s="4">
        <f>'Frequency 1-72'!G51</f>
        <v>200</v>
      </c>
      <c r="F201" s="12">
        <v>1</v>
      </c>
      <c r="G201" s="14">
        <f t="shared" si="19"/>
        <v>0.18</v>
      </c>
      <c r="H201" s="14">
        <f t="shared" si="20"/>
        <v>0.18137254901960784</v>
      </c>
      <c r="I201" s="4">
        <f t="shared" si="21"/>
        <v>37</v>
      </c>
      <c r="J201" s="4">
        <f t="shared" si="22"/>
        <v>204</v>
      </c>
      <c r="K201" s="4" t="s">
        <v>503</v>
      </c>
      <c r="L201" s="4">
        <f t="shared" si="23"/>
        <v>1</v>
      </c>
    </row>
    <row r="202" spans="1:12">
      <c r="A202" s="4">
        <v>51</v>
      </c>
      <c r="B202" s="4" t="s">
        <v>73</v>
      </c>
      <c r="C202" s="4" t="str">
        <f t="shared" si="18"/>
        <v>51|A</v>
      </c>
      <c r="D202" s="4">
        <f>INDEX('Frequency 1-72'!$B$2:$E$73,A202,MATCH(B202,{"A","C","G","U"},0))</f>
        <v>28</v>
      </c>
      <c r="E202" s="4">
        <f>'Frequency 1-72'!G52</f>
        <v>199</v>
      </c>
      <c r="F202" s="12">
        <v>1</v>
      </c>
      <c r="G202" s="14">
        <f t="shared" si="19"/>
        <v>0.1407035175879397</v>
      </c>
      <c r="H202" s="14">
        <f t="shared" si="20"/>
        <v>0.14285714285714285</v>
      </c>
      <c r="I202" s="4">
        <f t="shared" si="21"/>
        <v>29</v>
      </c>
      <c r="J202" s="4">
        <f t="shared" si="22"/>
        <v>203</v>
      </c>
      <c r="K202" s="4" t="s">
        <v>503</v>
      </c>
      <c r="L202" s="4">
        <f t="shared" si="23"/>
        <v>1</v>
      </c>
    </row>
    <row r="203" spans="1:12">
      <c r="A203" s="4">
        <v>51</v>
      </c>
      <c r="B203" s="4" t="s">
        <v>71</v>
      </c>
      <c r="C203" s="4" t="str">
        <f t="shared" si="18"/>
        <v>51|C</v>
      </c>
      <c r="D203" s="4">
        <f>INDEX('Frequency 1-72'!$B$2:$E$73,A203,MATCH(B203,{"A","C","G","U"},0))</f>
        <v>41</v>
      </c>
      <c r="E203" s="4">
        <f>'Frequency 1-72'!G52</f>
        <v>199</v>
      </c>
      <c r="F203" s="12">
        <v>1</v>
      </c>
      <c r="G203" s="14">
        <f t="shared" si="19"/>
        <v>0.20603015075376885</v>
      </c>
      <c r="H203" s="14">
        <f t="shared" si="20"/>
        <v>0.20689655172413793</v>
      </c>
      <c r="I203" s="4">
        <f t="shared" si="21"/>
        <v>42</v>
      </c>
      <c r="J203" s="4">
        <f t="shared" si="22"/>
        <v>203</v>
      </c>
      <c r="K203" s="4" t="s">
        <v>503</v>
      </c>
      <c r="L203" s="4">
        <f t="shared" si="23"/>
        <v>1</v>
      </c>
    </row>
    <row r="204" spans="1:12">
      <c r="A204" s="4">
        <v>51</v>
      </c>
      <c r="B204" s="4" t="s">
        <v>70</v>
      </c>
      <c r="C204" s="4" t="str">
        <f t="shared" si="18"/>
        <v>51|G</v>
      </c>
      <c r="D204" s="4">
        <f>INDEX('Frequency 1-72'!$B$2:$E$73,A204,MATCH(B204,{"A","C","G","U"},0))</f>
        <v>99</v>
      </c>
      <c r="E204" s="4">
        <f>'Frequency 1-72'!G52</f>
        <v>199</v>
      </c>
      <c r="F204" s="12">
        <v>1</v>
      </c>
      <c r="G204" s="14">
        <f t="shared" si="19"/>
        <v>0.49748743718592964</v>
      </c>
      <c r="H204" s="14">
        <f t="shared" si="20"/>
        <v>0.49261083743842365</v>
      </c>
      <c r="I204" s="4">
        <f t="shared" si="21"/>
        <v>100</v>
      </c>
      <c r="J204" s="4">
        <f t="shared" si="22"/>
        <v>203</v>
      </c>
      <c r="K204" s="4" t="s">
        <v>503</v>
      </c>
      <c r="L204" s="4">
        <f t="shared" si="23"/>
        <v>1</v>
      </c>
    </row>
    <row r="205" spans="1:12">
      <c r="A205" s="4">
        <v>51</v>
      </c>
      <c r="B205" s="4" t="s">
        <v>72</v>
      </c>
      <c r="C205" s="4" t="str">
        <f t="shared" si="18"/>
        <v>51|U</v>
      </c>
      <c r="D205" s="4">
        <f>INDEX('Frequency 1-72'!$B$2:$E$73,A205,MATCH(B205,{"A","C","G","U"},0))</f>
        <v>31</v>
      </c>
      <c r="E205" s="4">
        <f>'Frequency 1-72'!G52</f>
        <v>199</v>
      </c>
      <c r="F205" s="12">
        <v>1</v>
      </c>
      <c r="G205" s="14">
        <f t="shared" si="19"/>
        <v>0.15577889447236182</v>
      </c>
      <c r="H205" s="14">
        <f t="shared" si="20"/>
        <v>0.15763546798029557</v>
      </c>
      <c r="I205" s="4">
        <f t="shared" si="21"/>
        <v>32</v>
      </c>
      <c r="J205" s="4">
        <f t="shared" si="22"/>
        <v>203</v>
      </c>
      <c r="K205" s="4" t="s">
        <v>503</v>
      </c>
      <c r="L205" s="4">
        <f t="shared" si="23"/>
        <v>1</v>
      </c>
    </row>
    <row r="206" spans="1:12">
      <c r="A206" s="4">
        <v>52</v>
      </c>
      <c r="B206" s="4" t="s">
        <v>73</v>
      </c>
      <c r="C206" s="4" t="str">
        <f t="shared" si="18"/>
        <v>52|A</v>
      </c>
      <c r="D206" s="4">
        <f>INDEX('Frequency 1-72'!$B$2:$E$73,A206,MATCH(B206,{"A","C","G","U"},0))</f>
        <v>26</v>
      </c>
      <c r="E206" s="4">
        <f>'Frequency 1-72'!G53</f>
        <v>200</v>
      </c>
      <c r="F206" s="12">
        <v>1</v>
      </c>
      <c r="G206" s="14">
        <f t="shared" si="19"/>
        <v>0.13</v>
      </c>
      <c r="H206" s="14">
        <f t="shared" si="20"/>
        <v>0.13235294117647059</v>
      </c>
      <c r="I206" s="4">
        <f t="shared" si="21"/>
        <v>27</v>
      </c>
      <c r="J206" s="4">
        <f t="shared" si="22"/>
        <v>204</v>
      </c>
      <c r="K206" s="4" t="s">
        <v>503</v>
      </c>
      <c r="L206" s="4">
        <f t="shared" si="23"/>
        <v>1</v>
      </c>
    </row>
    <row r="207" spans="1:12">
      <c r="A207" s="4">
        <v>52</v>
      </c>
      <c r="B207" s="4" t="s">
        <v>71</v>
      </c>
      <c r="C207" s="4" t="str">
        <f t="shared" si="18"/>
        <v>52|C</v>
      </c>
      <c r="D207" s="4">
        <f>INDEX('Frequency 1-72'!$B$2:$E$73,A207,MATCH(B207,{"A","C","G","U"},0))</f>
        <v>2</v>
      </c>
      <c r="E207" s="4">
        <f>'Frequency 1-72'!G53</f>
        <v>200</v>
      </c>
      <c r="F207" s="12">
        <v>1</v>
      </c>
      <c r="G207" s="14">
        <f t="shared" si="19"/>
        <v>0.01</v>
      </c>
      <c r="H207" s="14">
        <f t="shared" si="20"/>
        <v>1.4705882352941176E-2</v>
      </c>
      <c r="I207" s="4">
        <f t="shared" si="21"/>
        <v>3</v>
      </c>
      <c r="J207" s="4">
        <f t="shared" si="22"/>
        <v>204</v>
      </c>
      <c r="K207" s="4" t="s">
        <v>503</v>
      </c>
      <c r="L207" s="4">
        <f t="shared" si="23"/>
        <v>1</v>
      </c>
    </row>
    <row r="208" spans="1:12">
      <c r="A208" s="4">
        <v>52</v>
      </c>
      <c r="B208" s="4" t="s">
        <v>70</v>
      </c>
      <c r="C208" s="4" t="str">
        <f t="shared" si="18"/>
        <v>52|G</v>
      </c>
      <c r="D208" s="4">
        <f>INDEX('Frequency 1-72'!$B$2:$E$73,A208,MATCH(B208,{"A","C","G","U"},0))</f>
        <v>168</v>
      </c>
      <c r="E208" s="4">
        <f>'Frequency 1-72'!G53</f>
        <v>200</v>
      </c>
      <c r="F208" s="12">
        <v>1</v>
      </c>
      <c r="G208" s="14">
        <f t="shared" si="19"/>
        <v>0.84</v>
      </c>
      <c r="H208" s="14">
        <f t="shared" si="20"/>
        <v>0.82843137254901966</v>
      </c>
      <c r="I208" s="4">
        <f t="shared" si="21"/>
        <v>169</v>
      </c>
      <c r="J208" s="4">
        <f t="shared" si="22"/>
        <v>204</v>
      </c>
      <c r="K208" s="4" t="s">
        <v>503</v>
      </c>
      <c r="L208" s="4">
        <f t="shared" si="23"/>
        <v>1</v>
      </c>
    </row>
    <row r="209" spans="1:12">
      <c r="A209" s="4">
        <v>52</v>
      </c>
      <c r="B209" s="4" t="s">
        <v>72</v>
      </c>
      <c r="C209" s="4" t="str">
        <f t="shared" si="18"/>
        <v>52|U</v>
      </c>
      <c r="D209" s="4">
        <f>INDEX('Frequency 1-72'!$B$2:$E$73,A209,MATCH(B209,{"A","C","G","U"},0))</f>
        <v>4</v>
      </c>
      <c r="E209" s="4">
        <f>'Frequency 1-72'!G53</f>
        <v>200</v>
      </c>
      <c r="F209" s="12">
        <v>1</v>
      </c>
      <c r="G209" s="14">
        <f t="shared" si="19"/>
        <v>0.02</v>
      </c>
      <c r="H209" s="14">
        <f t="shared" si="20"/>
        <v>2.4509803921568627E-2</v>
      </c>
      <c r="I209" s="4">
        <f t="shared" si="21"/>
        <v>5</v>
      </c>
      <c r="J209" s="4">
        <f t="shared" si="22"/>
        <v>204</v>
      </c>
      <c r="K209" s="4" t="s">
        <v>503</v>
      </c>
      <c r="L209" s="4">
        <f t="shared" si="23"/>
        <v>1</v>
      </c>
    </row>
    <row r="210" spans="1:12">
      <c r="A210" s="4">
        <v>53</v>
      </c>
      <c r="B210" s="4" t="s">
        <v>73</v>
      </c>
      <c r="C210" s="4" t="str">
        <f t="shared" si="18"/>
        <v>53|A</v>
      </c>
      <c r="D210" s="4">
        <f>INDEX('Frequency 1-72'!$B$2:$E$73,A210,MATCH(B210,{"A","C","G","U"},0))</f>
        <v>1</v>
      </c>
      <c r="E210" s="4">
        <f>'Frequency 1-72'!G54</f>
        <v>200</v>
      </c>
      <c r="F210" s="12">
        <v>1</v>
      </c>
      <c r="G210" s="14">
        <f t="shared" si="19"/>
        <v>5.0000000000000001E-3</v>
      </c>
      <c r="H210" s="14">
        <f t="shared" si="20"/>
        <v>9.8039215686274508E-3</v>
      </c>
      <c r="I210" s="4">
        <f t="shared" si="21"/>
        <v>2</v>
      </c>
      <c r="J210" s="4">
        <f t="shared" si="22"/>
        <v>204</v>
      </c>
      <c r="K210" s="4" t="s">
        <v>503</v>
      </c>
      <c r="L210" s="4">
        <f t="shared" si="23"/>
        <v>1</v>
      </c>
    </row>
    <row r="211" spans="1:12">
      <c r="A211" s="4">
        <v>53</v>
      </c>
      <c r="B211" s="4" t="s">
        <v>71</v>
      </c>
      <c r="C211" s="4" t="str">
        <f t="shared" si="18"/>
        <v>53|C</v>
      </c>
      <c r="D211" s="4">
        <f>INDEX('Frequency 1-72'!$B$2:$E$73,A211,MATCH(B211,{"A","C","G","U"},0))</f>
        <v>1</v>
      </c>
      <c r="E211" s="4">
        <f>'Frequency 1-72'!G54</f>
        <v>200</v>
      </c>
      <c r="F211" s="12">
        <v>1</v>
      </c>
      <c r="G211" s="14">
        <f t="shared" si="19"/>
        <v>5.0000000000000001E-3</v>
      </c>
      <c r="H211" s="14">
        <f t="shared" si="20"/>
        <v>9.8039215686274508E-3</v>
      </c>
      <c r="I211" s="4">
        <f t="shared" si="21"/>
        <v>2</v>
      </c>
      <c r="J211" s="4">
        <f t="shared" si="22"/>
        <v>204</v>
      </c>
      <c r="K211" s="4" t="s">
        <v>503</v>
      </c>
      <c r="L211" s="4">
        <f t="shared" si="23"/>
        <v>1</v>
      </c>
    </row>
    <row r="212" spans="1:12">
      <c r="A212" s="4">
        <v>53</v>
      </c>
      <c r="B212" s="4" t="s">
        <v>70</v>
      </c>
      <c r="C212" s="4" t="str">
        <f t="shared" si="18"/>
        <v>53|G</v>
      </c>
      <c r="D212" s="4">
        <f>INDEX('Frequency 1-72'!$B$2:$E$73,A212,MATCH(B212,{"A","C","G","U"},0))</f>
        <v>196</v>
      </c>
      <c r="E212" s="4">
        <f>'Frequency 1-72'!G54</f>
        <v>200</v>
      </c>
      <c r="F212" s="12">
        <v>1</v>
      </c>
      <c r="G212" s="14">
        <f t="shared" si="19"/>
        <v>0.98</v>
      </c>
      <c r="H212" s="14">
        <f t="shared" si="20"/>
        <v>0.96568627450980393</v>
      </c>
      <c r="I212" s="4">
        <f t="shared" si="21"/>
        <v>197</v>
      </c>
      <c r="J212" s="4">
        <f t="shared" si="22"/>
        <v>204</v>
      </c>
      <c r="K212" s="4" t="s">
        <v>503</v>
      </c>
      <c r="L212" s="4">
        <f t="shared" si="23"/>
        <v>1</v>
      </c>
    </row>
    <row r="213" spans="1:12">
      <c r="A213" s="4">
        <v>53</v>
      </c>
      <c r="B213" s="4" t="s">
        <v>72</v>
      </c>
      <c r="C213" s="4" t="str">
        <f t="shared" si="18"/>
        <v>53|U</v>
      </c>
      <c r="D213" s="4">
        <f>INDEX('Frequency 1-72'!$B$2:$E$73,A213,MATCH(B213,{"A","C","G","U"},0))</f>
        <v>2</v>
      </c>
      <c r="E213" s="4">
        <f>'Frequency 1-72'!G54</f>
        <v>200</v>
      </c>
      <c r="F213" s="12">
        <v>1</v>
      </c>
      <c r="G213" s="14">
        <f t="shared" si="19"/>
        <v>0.01</v>
      </c>
      <c r="H213" s="14">
        <f t="shared" si="20"/>
        <v>1.4705882352941176E-2</v>
      </c>
      <c r="I213" s="4">
        <f t="shared" si="21"/>
        <v>3</v>
      </c>
      <c r="J213" s="4">
        <f t="shared" si="22"/>
        <v>204</v>
      </c>
      <c r="K213" s="4" t="s">
        <v>503</v>
      </c>
      <c r="L213" s="4">
        <f t="shared" si="23"/>
        <v>1</v>
      </c>
    </row>
    <row r="214" spans="1:12">
      <c r="A214" s="4">
        <v>54</v>
      </c>
      <c r="B214" s="4" t="s">
        <v>73</v>
      </c>
      <c r="C214" s="4" t="str">
        <f t="shared" si="18"/>
        <v>54|A</v>
      </c>
      <c r="D214" s="4">
        <f>INDEX('Frequency 1-72'!$B$2:$E$73,A214,MATCH(B214,{"A","C","G","U"},0))</f>
        <v>2</v>
      </c>
      <c r="E214" s="4">
        <f>'Frequency 1-72'!G55</f>
        <v>200</v>
      </c>
      <c r="F214" s="12">
        <v>1</v>
      </c>
      <c r="G214" s="14">
        <f t="shared" si="19"/>
        <v>0.01</v>
      </c>
      <c r="H214" s="14">
        <f t="shared" si="20"/>
        <v>1.4705882352941176E-2</v>
      </c>
      <c r="I214" s="4">
        <f t="shared" si="21"/>
        <v>3</v>
      </c>
      <c r="J214" s="4">
        <f t="shared" si="22"/>
        <v>204</v>
      </c>
      <c r="K214" s="4" t="s">
        <v>503</v>
      </c>
      <c r="L214" s="4">
        <f t="shared" si="23"/>
        <v>1</v>
      </c>
    </row>
    <row r="215" spans="1:12">
      <c r="A215" s="4">
        <v>54</v>
      </c>
      <c r="B215" s="4" t="s">
        <v>71</v>
      </c>
      <c r="C215" s="4" t="str">
        <f t="shared" si="18"/>
        <v>54|C</v>
      </c>
      <c r="D215" s="4">
        <f>INDEX('Frequency 1-72'!$B$2:$E$73,A215,MATCH(B215,{"A","C","G","U"},0))</f>
        <v>0</v>
      </c>
      <c r="E215" s="4">
        <f>'Frequency 1-72'!G55</f>
        <v>200</v>
      </c>
      <c r="F215" s="12">
        <v>1</v>
      </c>
      <c r="G215" s="14">
        <f t="shared" si="19"/>
        <v>0</v>
      </c>
      <c r="H215" s="14">
        <f t="shared" si="20"/>
        <v>4.9019607843137254E-3</v>
      </c>
      <c r="I215" s="4">
        <f t="shared" si="21"/>
        <v>1</v>
      </c>
      <c r="J215" s="4">
        <f t="shared" si="22"/>
        <v>204</v>
      </c>
      <c r="K215" s="4" t="s">
        <v>503</v>
      </c>
      <c r="L215" s="4">
        <f t="shared" si="23"/>
        <v>1</v>
      </c>
    </row>
    <row r="216" spans="1:12">
      <c r="A216" s="4">
        <v>54</v>
      </c>
      <c r="B216" s="4" t="s">
        <v>70</v>
      </c>
      <c r="C216" s="4" t="str">
        <f t="shared" si="18"/>
        <v>54|G</v>
      </c>
      <c r="D216" s="4">
        <f>INDEX('Frequency 1-72'!$B$2:$E$73,A216,MATCH(B216,{"A","C","G","U"},0))</f>
        <v>0</v>
      </c>
      <c r="E216" s="4">
        <f>'Frequency 1-72'!G55</f>
        <v>200</v>
      </c>
      <c r="F216" s="12">
        <v>1</v>
      </c>
      <c r="G216" s="14">
        <f t="shared" si="19"/>
        <v>0</v>
      </c>
      <c r="H216" s="14">
        <f t="shared" si="20"/>
        <v>4.9019607843137254E-3</v>
      </c>
      <c r="I216" s="4">
        <f t="shared" si="21"/>
        <v>1</v>
      </c>
      <c r="J216" s="4">
        <f t="shared" si="22"/>
        <v>204</v>
      </c>
      <c r="K216" s="4" t="s">
        <v>503</v>
      </c>
      <c r="L216" s="4">
        <f t="shared" si="23"/>
        <v>1</v>
      </c>
    </row>
    <row r="217" spans="1:12">
      <c r="A217" s="4">
        <v>54</v>
      </c>
      <c r="B217" s="4" t="s">
        <v>72</v>
      </c>
      <c r="C217" s="4" t="str">
        <f t="shared" si="18"/>
        <v>54|U</v>
      </c>
      <c r="D217" s="4">
        <f>INDEX('Frequency 1-72'!$B$2:$E$73,A217,MATCH(B217,{"A","C","G","U"},0))</f>
        <v>198</v>
      </c>
      <c r="E217" s="4">
        <f>'Frequency 1-72'!G55</f>
        <v>200</v>
      </c>
      <c r="F217" s="12">
        <v>1</v>
      </c>
      <c r="G217" s="14">
        <f t="shared" si="19"/>
        <v>0.99</v>
      </c>
      <c r="H217" s="14">
        <f t="shared" si="20"/>
        <v>0.97549019607843135</v>
      </c>
      <c r="I217" s="4">
        <f t="shared" si="21"/>
        <v>199</v>
      </c>
      <c r="J217" s="4">
        <f t="shared" si="22"/>
        <v>204</v>
      </c>
      <c r="K217" s="4" t="s">
        <v>503</v>
      </c>
      <c r="L217" s="4">
        <f t="shared" si="23"/>
        <v>1</v>
      </c>
    </row>
    <row r="218" spans="1:12">
      <c r="A218" s="4">
        <v>55</v>
      </c>
      <c r="B218" s="4" t="s">
        <v>73</v>
      </c>
      <c r="C218" s="4" t="str">
        <f t="shared" si="18"/>
        <v>55|A</v>
      </c>
      <c r="D218" s="4">
        <f>INDEX('Frequency 1-72'!$B$2:$E$73,A218,MATCH(B218,{"A","C","G","U"},0))</f>
        <v>1</v>
      </c>
      <c r="E218" s="4">
        <f>'Frequency 1-72'!G56</f>
        <v>200</v>
      </c>
      <c r="F218" s="12">
        <v>1</v>
      </c>
      <c r="G218" s="14">
        <f t="shared" si="19"/>
        <v>5.0000000000000001E-3</v>
      </c>
      <c r="H218" s="14">
        <f t="shared" si="20"/>
        <v>9.8039215686274508E-3</v>
      </c>
      <c r="I218" s="4">
        <f t="shared" si="21"/>
        <v>2</v>
      </c>
      <c r="J218" s="4">
        <f t="shared" si="22"/>
        <v>204</v>
      </c>
      <c r="K218" s="4" t="s">
        <v>503</v>
      </c>
      <c r="L218" s="4">
        <f t="shared" si="23"/>
        <v>1</v>
      </c>
    </row>
    <row r="219" spans="1:12">
      <c r="A219" s="4">
        <v>55</v>
      </c>
      <c r="B219" s="4" t="s">
        <v>71</v>
      </c>
      <c r="C219" s="4" t="str">
        <f t="shared" si="18"/>
        <v>55|C</v>
      </c>
      <c r="D219" s="4">
        <f>INDEX('Frequency 1-72'!$B$2:$E$73,A219,MATCH(B219,{"A","C","G","U"},0))</f>
        <v>1</v>
      </c>
      <c r="E219" s="4">
        <f>'Frequency 1-72'!G56</f>
        <v>200</v>
      </c>
      <c r="F219" s="12">
        <v>1</v>
      </c>
      <c r="G219" s="14">
        <f t="shared" si="19"/>
        <v>5.0000000000000001E-3</v>
      </c>
      <c r="H219" s="14">
        <f t="shared" si="20"/>
        <v>9.8039215686274508E-3</v>
      </c>
      <c r="I219" s="4">
        <f t="shared" si="21"/>
        <v>2</v>
      </c>
      <c r="J219" s="4">
        <f t="shared" si="22"/>
        <v>204</v>
      </c>
      <c r="K219" s="4" t="s">
        <v>503</v>
      </c>
      <c r="L219" s="4">
        <f t="shared" si="23"/>
        <v>1</v>
      </c>
    </row>
    <row r="220" spans="1:12">
      <c r="A220" s="4">
        <v>55</v>
      </c>
      <c r="B220" s="4" t="s">
        <v>70</v>
      </c>
      <c r="C220" s="4" t="str">
        <f t="shared" si="18"/>
        <v>55|G</v>
      </c>
      <c r="D220" s="4">
        <f>INDEX('Frequency 1-72'!$B$2:$E$73,A220,MATCH(B220,{"A","C","G","U"},0))</f>
        <v>1</v>
      </c>
      <c r="E220" s="4">
        <f>'Frequency 1-72'!G56</f>
        <v>200</v>
      </c>
      <c r="F220" s="12">
        <v>1</v>
      </c>
      <c r="G220" s="14">
        <f t="shared" si="19"/>
        <v>5.0000000000000001E-3</v>
      </c>
      <c r="H220" s="14">
        <f t="shared" si="20"/>
        <v>9.8039215686274508E-3</v>
      </c>
      <c r="I220" s="4">
        <f t="shared" si="21"/>
        <v>2</v>
      </c>
      <c r="J220" s="4">
        <f t="shared" si="22"/>
        <v>204</v>
      </c>
      <c r="K220" s="4" t="s">
        <v>503</v>
      </c>
      <c r="L220" s="4">
        <f t="shared" si="23"/>
        <v>1</v>
      </c>
    </row>
    <row r="221" spans="1:12">
      <c r="A221" s="4">
        <v>55</v>
      </c>
      <c r="B221" s="4" t="s">
        <v>72</v>
      </c>
      <c r="C221" s="4" t="str">
        <f t="shared" si="18"/>
        <v>55|U</v>
      </c>
      <c r="D221" s="4">
        <f>INDEX('Frequency 1-72'!$B$2:$E$73,A221,MATCH(B221,{"A","C","G","U"},0))</f>
        <v>197</v>
      </c>
      <c r="E221" s="4">
        <f>'Frequency 1-72'!G56</f>
        <v>200</v>
      </c>
      <c r="F221" s="12">
        <v>1</v>
      </c>
      <c r="G221" s="14">
        <f t="shared" si="19"/>
        <v>0.98499999999999999</v>
      </c>
      <c r="H221" s="14">
        <f t="shared" si="20"/>
        <v>0.97058823529411764</v>
      </c>
      <c r="I221" s="4">
        <f t="shared" si="21"/>
        <v>198</v>
      </c>
      <c r="J221" s="4">
        <f t="shared" si="22"/>
        <v>204</v>
      </c>
      <c r="K221" s="4" t="s">
        <v>503</v>
      </c>
      <c r="L221" s="4">
        <f t="shared" si="23"/>
        <v>1</v>
      </c>
    </row>
    <row r="222" spans="1:12">
      <c r="A222" s="4">
        <v>56</v>
      </c>
      <c r="B222" s="4" t="s">
        <v>73</v>
      </c>
      <c r="C222" s="4" t="str">
        <f t="shared" si="18"/>
        <v>56|A</v>
      </c>
      <c r="D222" s="4">
        <f>INDEX('Frequency 1-72'!$B$2:$E$73,A222,MATCH(B222,{"A","C","G","U"},0))</f>
        <v>2</v>
      </c>
      <c r="E222" s="4">
        <f>'Frequency 1-72'!G57</f>
        <v>200</v>
      </c>
      <c r="F222" s="12">
        <v>1</v>
      </c>
      <c r="G222" s="14">
        <f t="shared" si="19"/>
        <v>0.01</v>
      </c>
      <c r="H222" s="14">
        <f t="shared" si="20"/>
        <v>1.4705882352941176E-2</v>
      </c>
      <c r="I222" s="4">
        <f t="shared" si="21"/>
        <v>3</v>
      </c>
      <c r="J222" s="4">
        <f t="shared" si="22"/>
        <v>204</v>
      </c>
      <c r="K222" s="4" t="s">
        <v>503</v>
      </c>
      <c r="L222" s="4">
        <f t="shared" si="23"/>
        <v>1</v>
      </c>
    </row>
    <row r="223" spans="1:12">
      <c r="A223" s="4">
        <v>56</v>
      </c>
      <c r="B223" s="4" t="s">
        <v>71</v>
      </c>
      <c r="C223" s="4" t="str">
        <f t="shared" si="18"/>
        <v>56|C</v>
      </c>
      <c r="D223" s="4">
        <f>INDEX('Frequency 1-72'!$B$2:$E$73,A223,MATCH(B223,{"A","C","G","U"},0))</f>
        <v>196</v>
      </c>
      <c r="E223" s="4">
        <f>'Frequency 1-72'!G57</f>
        <v>200</v>
      </c>
      <c r="F223" s="12">
        <v>1</v>
      </c>
      <c r="G223" s="14">
        <f t="shared" si="19"/>
        <v>0.98</v>
      </c>
      <c r="H223" s="14">
        <f t="shared" si="20"/>
        <v>0.96568627450980393</v>
      </c>
      <c r="I223" s="4">
        <f t="shared" si="21"/>
        <v>197</v>
      </c>
      <c r="J223" s="4">
        <f t="shared" si="22"/>
        <v>204</v>
      </c>
      <c r="K223" s="4" t="s">
        <v>503</v>
      </c>
      <c r="L223" s="4">
        <f t="shared" si="23"/>
        <v>1</v>
      </c>
    </row>
    <row r="224" spans="1:12">
      <c r="A224" s="4">
        <v>56</v>
      </c>
      <c r="B224" s="4" t="s">
        <v>70</v>
      </c>
      <c r="C224" s="4" t="str">
        <f t="shared" si="18"/>
        <v>56|G</v>
      </c>
      <c r="D224" s="4">
        <f>INDEX('Frequency 1-72'!$B$2:$E$73,A224,MATCH(B224,{"A","C","G","U"},0))</f>
        <v>1</v>
      </c>
      <c r="E224" s="4">
        <f>'Frequency 1-72'!G57</f>
        <v>200</v>
      </c>
      <c r="F224" s="12">
        <v>1</v>
      </c>
      <c r="G224" s="14">
        <f t="shared" si="19"/>
        <v>5.0000000000000001E-3</v>
      </c>
      <c r="H224" s="14">
        <f t="shared" si="20"/>
        <v>9.8039215686274508E-3</v>
      </c>
      <c r="I224" s="4">
        <f t="shared" si="21"/>
        <v>2</v>
      </c>
      <c r="J224" s="4">
        <f t="shared" si="22"/>
        <v>204</v>
      </c>
      <c r="K224" s="4" t="s">
        <v>503</v>
      </c>
      <c r="L224" s="4">
        <f t="shared" si="23"/>
        <v>1</v>
      </c>
    </row>
    <row r="225" spans="1:12">
      <c r="A225" s="4">
        <v>56</v>
      </c>
      <c r="B225" s="4" t="s">
        <v>72</v>
      </c>
      <c r="C225" s="4" t="str">
        <f t="shared" si="18"/>
        <v>56|U</v>
      </c>
      <c r="D225" s="4">
        <f>INDEX('Frequency 1-72'!$B$2:$E$73,A225,MATCH(B225,{"A","C","G","U"},0))</f>
        <v>1</v>
      </c>
      <c r="E225" s="4">
        <f>'Frequency 1-72'!G57</f>
        <v>200</v>
      </c>
      <c r="F225" s="12">
        <v>1</v>
      </c>
      <c r="G225" s="14">
        <f t="shared" si="19"/>
        <v>5.0000000000000001E-3</v>
      </c>
      <c r="H225" s="14">
        <f t="shared" si="20"/>
        <v>9.8039215686274508E-3</v>
      </c>
      <c r="I225" s="4">
        <f t="shared" si="21"/>
        <v>2</v>
      </c>
      <c r="J225" s="4">
        <f t="shared" si="22"/>
        <v>204</v>
      </c>
      <c r="K225" s="4" t="s">
        <v>503</v>
      </c>
      <c r="L225" s="4">
        <f t="shared" si="23"/>
        <v>1</v>
      </c>
    </row>
    <row r="226" spans="1:12">
      <c r="A226" s="4">
        <v>57</v>
      </c>
      <c r="B226" s="4" t="s">
        <v>73</v>
      </c>
      <c r="C226" s="4" t="str">
        <f t="shared" si="18"/>
        <v>57|A</v>
      </c>
      <c r="D226" s="4">
        <f>INDEX('Frequency 1-72'!$B$2:$E$73,A226,MATCH(B226,{"A","C","G","U"},0))</f>
        <v>77</v>
      </c>
      <c r="E226" s="4">
        <f>'Frequency 1-72'!G58</f>
        <v>199</v>
      </c>
      <c r="F226" s="12">
        <v>1</v>
      </c>
      <c r="G226" s="14">
        <f t="shared" si="19"/>
        <v>0.38693467336683418</v>
      </c>
      <c r="H226" s="14">
        <f t="shared" si="20"/>
        <v>0.38423645320197042</v>
      </c>
      <c r="I226" s="4">
        <f t="shared" si="21"/>
        <v>78</v>
      </c>
      <c r="J226" s="4">
        <f t="shared" si="22"/>
        <v>203</v>
      </c>
      <c r="K226" s="4" t="s">
        <v>503</v>
      </c>
      <c r="L226" s="4">
        <f t="shared" si="23"/>
        <v>1</v>
      </c>
    </row>
    <row r="227" spans="1:12">
      <c r="A227" s="4">
        <v>57</v>
      </c>
      <c r="B227" s="4" t="s">
        <v>71</v>
      </c>
      <c r="C227" s="4" t="str">
        <f t="shared" si="18"/>
        <v>57|C</v>
      </c>
      <c r="D227" s="4">
        <f>INDEX('Frequency 1-72'!$B$2:$E$73,A227,MATCH(B227,{"A","C","G","U"},0))</f>
        <v>0</v>
      </c>
      <c r="E227" s="4">
        <f>'Frequency 1-72'!G58</f>
        <v>199</v>
      </c>
      <c r="F227" s="12">
        <v>1</v>
      </c>
      <c r="G227" s="14">
        <f t="shared" si="19"/>
        <v>0</v>
      </c>
      <c r="H227" s="14">
        <f t="shared" si="20"/>
        <v>4.9261083743842365E-3</v>
      </c>
      <c r="I227" s="4">
        <f t="shared" si="21"/>
        <v>1</v>
      </c>
      <c r="J227" s="4">
        <f t="shared" si="22"/>
        <v>203</v>
      </c>
      <c r="K227" s="4" t="s">
        <v>503</v>
      </c>
      <c r="L227" s="4">
        <f t="shared" si="23"/>
        <v>1</v>
      </c>
    </row>
    <row r="228" spans="1:12">
      <c r="A228" s="4">
        <v>57</v>
      </c>
      <c r="B228" s="4" t="s">
        <v>70</v>
      </c>
      <c r="C228" s="4" t="str">
        <f t="shared" si="18"/>
        <v>57|G</v>
      </c>
      <c r="D228" s="4">
        <f>INDEX('Frequency 1-72'!$B$2:$E$73,A228,MATCH(B228,{"A","C","G","U"},0))</f>
        <v>121</v>
      </c>
      <c r="E228" s="4">
        <f>'Frequency 1-72'!G58</f>
        <v>199</v>
      </c>
      <c r="F228" s="12">
        <v>1</v>
      </c>
      <c r="G228" s="14">
        <f t="shared" si="19"/>
        <v>0.60804020100502509</v>
      </c>
      <c r="H228" s="14">
        <f t="shared" si="20"/>
        <v>0.60098522167487689</v>
      </c>
      <c r="I228" s="4">
        <f t="shared" si="21"/>
        <v>122</v>
      </c>
      <c r="J228" s="4">
        <f t="shared" si="22"/>
        <v>203</v>
      </c>
      <c r="K228" s="4" t="s">
        <v>503</v>
      </c>
      <c r="L228" s="4">
        <f t="shared" si="23"/>
        <v>1</v>
      </c>
    </row>
    <row r="229" spans="1:12">
      <c r="A229" s="4">
        <v>57</v>
      </c>
      <c r="B229" s="4" t="s">
        <v>72</v>
      </c>
      <c r="C229" s="4" t="str">
        <f t="shared" si="18"/>
        <v>57|U</v>
      </c>
      <c r="D229" s="4">
        <f>INDEX('Frequency 1-72'!$B$2:$E$73,A229,MATCH(B229,{"A","C","G","U"},0))</f>
        <v>1</v>
      </c>
      <c r="E229" s="4">
        <f>'Frequency 1-72'!G58</f>
        <v>199</v>
      </c>
      <c r="F229" s="12">
        <v>1</v>
      </c>
      <c r="G229" s="14">
        <f t="shared" si="19"/>
        <v>5.0251256281407036E-3</v>
      </c>
      <c r="H229" s="14">
        <f t="shared" si="20"/>
        <v>9.852216748768473E-3</v>
      </c>
      <c r="I229" s="4">
        <f t="shared" si="21"/>
        <v>2</v>
      </c>
      <c r="J229" s="4">
        <f t="shared" si="22"/>
        <v>203</v>
      </c>
      <c r="K229" s="4" t="s">
        <v>503</v>
      </c>
      <c r="L229" s="4">
        <f t="shared" si="23"/>
        <v>1</v>
      </c>
    </row>
    <row r="230" spans="1:12">
      <c r="A230" s="4">
        <v>58</v>
      </c>
      <c r="B230" s="4" t="s">
        <v>73</v>
      </c>
      <c r="C230" s="4" t="str">
        <f t="shared" si="18"/>
        <v>58|A</v>
      </c>
      <c r="D230" s="4">
        <f>INDEX('Frequency 1-72'!$B$2:$E$73,A230,MATCH(B230,{"A","C","G","U"},0))</f>
        <v>198</v>
      </c>
      <c r="E230" s="4">
        <f>'Frequency 1-72'!G59</f>
        <v>200</v>
      </c>
      <c r="F230" s="12">
        <v>1</v>
      </c>
      <c r="G230" s="14">
        <f t="shared" si="19"/>
        <v>0.99</v>
      </c>
      <c r="H230" s="14">
        <f t="shared" si="20"/>
        <v>0.97549019607843135</v>
      </c>
      <c r="I230" s="4">
        <f t="shared" si="21"/>
        <v>199</v>
      </c>
      <c r="J230" s="4">
        <f t="shared" si="22"/>
        <v>204</v>
      </c>
      <c r="K230" s="4" t="s">
        <v>503</v>
      </c>
      <c r="L230" s="4">
        <f t="shared" si="23"/>
        <v>1</v>
      </c>
    </row>
    <row r="231" spans="1:12">
      <c r="A231" s="4">
        <v>58</v>
      </c>
      <c r="B231" s="4" t="s">
        <v>71</v>
      </c>
      <c r="C231" s="4" t="str">
        <f t="shared" si="18"/>
        <v>58|C</v>
      </c>
      <c r="D231" s="4">
        <f>INDEX('Frequency 1-72'!$B$2:$E$73,A231,MATCH(B231,{"A","C","G","U"},0))</f>
        <v>1</v>
      </c>
      <c r="E231" s="4">
        <f>'Frequency 1-72'!G59</f>
        <v>200</v>
      </c>
      <c r="F231" s="12">
        <v>1</v>
      </c>
      <c r="G231" s="14">
        <f t="shared" si="19"/>
        <v>5.0000000000000001E-3</v>
      </c>
      <c r="H231" s="14">
        <f t="shared" si="20"/>
        <v>9.8039215686274508E-3</v>
      </c>
      <c r="I231" s="4">
        <f t="shared" si="21"/>
        <v>2</v>
      </c>
      <c r="J231" s="4">
        <f t="shared" si="22"/>
        <v>204</v>
      </c>
      <c r="K231" s="4" t="s">
        <v>503</v>
      </c>
      <c r="L231" s="4">
        <f t="shared" si="23"/>
        <v>1</v>
      </c>
    </row>
    <row r="232" spans="1:12">
      <c r="A232" s="4">
        <v>58</v>
      </c>
      <c r="B232" s="4" t="s">
        <v>70</v>
      </c>
      <c r="C232" s="4" t="str">
        <f t="shared" si="18"/>
        <v>58|G</v>
      </c>
      <c r="D232" s="4">
        <f>INDEX('Frequency 1-72'!$B$2:$E$73,A232,MATCH(B232,{"A","C","G","U"},0))</f>
        <v>0</v>
      </c>
      <c r="E232" s="4">
        <f>'Frequency 1-72'!G59</f>
        <v>200</v>
      </c>
      <c r="F232" s="12">
        <v>1</v>
      </c>
      <c r="G232" s="14">
        <f t="shared" si="19"/>
        <v>0</v>
      </c>
      <c r="H232" s="14">
        <f t="shared" si="20"/>
        <v>4.9019607843137254E-3</v>
      </c>
      <c r="I232" s="4">
        <f t="shared" si="21"/>
        <v>1</v>
      </c>
      <c r="J232" s="4">
        <f t="shared" si="22"/>
        <v>204</v>
      </c>
      <c r="K232" s="4" t="s">
        <v>503</v>
      </c>
      <c r="L232" s="4">
        <f t="shared" si="23"/>
        <v>1</v>
      </c>
    </row>
    <row r="233" spans="1:12">
      <c r="A233" s="4">
        <v>58</v>
      </c>
      <c r="B233" s="4" t="s">
        <v>72</v>
      </c>
      <c r="C233" s="4" t="str">
        <f t="shared" si="18"/>
        <v>58|U</v>
      </c>
      <c r="D233" s="4">
        <f>INDEX('Frequency 1-72'!$B$2:$E$73,A233,MATCH(B233,{"A","C","G","U"},0))</f>
        <v>1</v>
      </c>
      <c r="E233" s="4">
        <f>'Frequency 1-72'!G59</f>
        <v>200</v>
      </c>
      <c r="F233" s="12">
        <v>1</v>
      </c>
      <c r="G233" s="14">
        <f t="shared" si="19"/>
        <v>5.0000000000000001E-3</v>
      </c>
      <c r="H233" s="14">
        <f t="shared" si="20"/>
        <v>9.8039215686274508E-3</v>
      </c>
      <c r="I233" s="4">
        <f t="shared" si="21"/>
        <v>2</v>
      </c>
      <c r="J233" s="4">
        <f t="shared" si="22"/>
        <v>204</v>
      </c>
      <c r="K233" s="4" t="s">
        <v>503</v>
      </c>
      <c r="L233" s="4">
        <f t="shared" si="23"/>
        <v>1</v>
      </c>
    </row>
    <row r="234" spans="1:12">
      <c r="A234" s="4">
        <v>59</v>
      </c>
      <c r="B234" s="4" t="s">
        <v>73</v>
      </c>
      <c r="C234" s="4" t="str">
        <f t="shared" si="18"/>
        <v>59|A</v>
      </c>
      <c r="D234" s="4">
        <f>INDEX('Frequency 1-72'!$B$2:$E$73,A234,MATCH(B234,{"A","C","G","U"},0))</f>
        <v>91</v>
      </c>
      <c r="E234" s="4">
        <f>'Frequency 1-72'!G60</f>
        <v>200</v>
      </c>
      <c r="F234" s="12">
        <v>1</v>
      </c>
      <c r="G234" s="14">
        <f t="shared" si="19"/>
        <v>0.45500000000000002</v>
      </c>
      <c r="H234" s="14">
        <f t="shared" si="20"/>
        <v>0.45098039215686275</v>
      </c>
      <c r="I234" s="4">
        <f t="shared" si="21"/>
        <v>92</v>
      </c>
      <c r="J234" s="4">
        <f t="shared" si="22"/>
        <v>204</v>
      </c>
      <c r="K234" s="4" t="s">
        <v>503</v>
      </c>
      <c r="L234" s="4">
        <f t="shared" si="23"/>
        <v>1</v>
      </c>
    </row>
    <row r="235" spans="1:12">
      <c r="A235" s="4">
        <v>59</v>
      </c>
      <c r="B235" s="4" t="s">
        <v>71</v>
      </c>
      <c r="C235" s="4" t="str">
        <f t="shared" si="18"/>
        <v>59|C</v>
      </c>
      <c r="D235" s="4">
        <f>INDEX('Frequency 1-72'!$B$2:$E$73,A235,MATCH(B235,{"A","C","G","U"},0))</f>
        <v>12</v>
      </c>
      <c r="E235" s="4">
        <f>'Frequency 1-72'!G60</f>
        <v>200</v>
      </c>
      <c r="F235" s="12">
        <v>1</v>
      </c>
      <c r="G235" s="14">
        <f t="shared" si="19"/>
        <v>0.06</v>
      </c>
      <c r="H235" s="14">
        <f t="shared" si="20"/>
        <v>6.3725490196078427E-2</v>
      </c>
      <c r="I235" s="4">
        <f t="shared" si="21"/>
        <v>13</v>
      </c>
      <c r="J235" s="4">
        <f t="shared" si="22"/>
        <v>204</v>
      </c>
      <c r="K235" s="4" t="s">
        <v>503</v>
      </c>
      <c r="L235" s="4">
        <f t="shared" si="23"/>
        <v>1</v>
      </c>
    </row>
    <row r="236" spans="1:12">
      <c r="A236" s="4">
        <v>59</v>
      </c>
      <c r="B236" s="4" t="s">
        <v>70</v>
      </c>
      <c r="C236" s="4" t="str">
        <f t="shared" si="18"/>
        <v>59|G</v>
      </c>
      <c r="D236" s="4">
        <f>INDEX('Frequency 1-72'!$B$2:$E$73,A236,MATCH(B236,{"A","C","G","U"},0))</f>
        <v>47</v>
      </c>
      <c r="E236" s="4">
        <f>'Frequency 1-72'!G60</f>
        <v>200</v>
      </c>
      <c r="F236" s="12">
        <v>1</v>
      </c>
      <c r="G236" s="14">
        <f t="shared" si="19"/>
        <v>0.23499999999999999</v>
      </c>
      <c r="H236" s="14">
        <f t="shared" si="20"/>
        <v>0.23529411764705882</v>
      </c>
      <c r="I236" s="4">
        <f t="shared" si="21"/>
        <v>48</v>
      </c>
      <c r="J236" s="4">
        <f t="shared" si="22"/>
        <v>204</v>
      </c>
      <c r="K236" s="4" t="s">
        <v>503</v>
      </c>
      <c r="L236" s="4">
        <f t="shared" si="23"/>
        <v>1</v>
      </c>
    </row>
    <row r="237" spans="1:12">
      <c r="A237" s="4">
        <v>59</v>
      </c>
      <c r="B237" s="4" t="s">
        <v>72</v>
      </c>
      <c r="C237" s="4" t="str">
        <f t="shared" si="18"/>
        <v>59|U</v>
      </c>
      <c r="D237" s="4">
        <f>INDEX('Frequency 1-72'!$B$2:$E$73,A237,MATCH(B237,{"A","C","G","U"},0))</f>
        <v>50</v>
      </c>
      <c r="E237" s="4">
        <f>'Frequency 1-72'!G60</f>
        <v>200</v>
      </c>
      <c r="F237" s="12">
        <v>1</v>
      </c>
      <c r="G237" s="14">
        <f t="shared" si="19"/>
        <v>0.25</v>
      </c>
      <c r="H237" s="14">
        <f t="shared" si="20"/>
        <v>0.25</v>
      </c>
      <c r="I237" s="4">
        <f t="shared" si="21"/>
        <v>51</v>
      </c>
      <c r="J237" s="4">
        <f t="shared" si="22"/>
        <v>204</v>
      </c>
      <c r="K237" s="4" t="s">
        <v>503</v>
      </c>
      <c r="L237" s="4">
        <f t="shared" si="23"/>
        <v>1</v>
      </c>
    </row>
    <row r="238" spans="1:12">
      <c r="A238" s="4">
        <v>60</v>
      </c>
      <c r="B238" s="4" t="s">
        <v>73</v>
      </c>
      <c r="C238" s="4" t="str">
        <f t="shared" si="18"/>
        <v>60|A</v>
      </c>
      <c r="D238" s="4">
        <f>INDEX('Frequency 1-72'!$B$2:$E$73,A238,MATCH(B238,{"A","C","G","U"},0))</f>
        <v>1</v>
      </c>
      <c r="E238" s="4">
        <f>'Frequency 1-72'!G61</f>
        <v>200</v>
      </c>
      <c r="F238" s="12">
        <v>1</v>
      </c>
      <c r="G238" s="14">
        <f t="shared" si="19"/>
        <v>5.0000000000000001E-3</v>
      </c>
      <c r="H238" s="14">
        <f t="shared" si="20"/>
        <v>9.8039215686274508E-3</v>
      </c>
      <c r="I238" s="4">
        <f t="shared" si="21"/>
        <v>2</v>
      </c>
      <c r="J238" s="4">
        <f t="shared" si="22"/>
        <v>204</v>
      </c>
      <c r="K238" s="4" t="s">
        <v>503</v>
      </c>
      <c r="L238" s="4">
        <f t="shared" si="23"/>
        <v>1</v>
      </c>
    </row>
    <row r="239" spans="1:12">
      <c r="A239" s="4">
        <v>60</v>
      </c>
      <c r="B239" s="4" t="s">
        <v>71</v>
      </c>
      <c r="C239" s="4" t="str">
        <f t="shared" si="18"/>
        <v>60|C</v>
      </c>
      <c r="D239" s="4">
        <f>INDEX('Frequency 1-72'!$B$2:$E$73,A239,MATCH(B239,{"A","C","G","U"},0))</f>
        <v>40</v>
      </c>
      <c r="E239" s="4">
        <f>'Frequency 1-72'!G61</f>
        <v>200</v>
      </c>
      <c r="F239" s="12">
        <v>1</v>
      </c>
      <c r="G239" s="14">
        <f t="shared" si="19"/>
        <v>0.2</v>
      </c>
      <c r="H239" s="14">
        <f t="shared" si="20"/>
        <v>0.20098039215686275</v>
      </c>
      <c r="I239" s="4">
        <f t="shared" si="21"/>
        <v>41</v>
      </c>
      <c r="J239" s="4">
        <f t="shared" si="22"/>
        <v>204</v>
      </c>
      <c r="K239" s="4" t="s">
        <v>503</v>
      </c>
      <c r="L239" s="4">
        <f t="shared" si="23"/>
        <v>1</v>
      </c>
    </row>
    <row r="240" spans="1:12">
      <c r="A240" s="4">
        <v>60</v>
      </c>
      <c r="B240" s="4" t="s">
        <v>70</v>
      </c>
      <c r="C240" s="4" t="str">
        <f t="shared" si="18"/>
        <v>60|G</v>
      </c>
      <c r="D240" s="4">
        <f>INDEX('Frequency 1-72'!$B$2:$E$73,A240,MATCH(B240,{"A","C","G","U"},0))</f>
        <v>2</v>
      </c>
      <c r="E240" s="4">
        <f>'Frequency 1-72'!G61</f>
        <v>200</v>
      </c>
      <c r="F240" s="12">
        <v>1</v>
      </c>
      <c r="G240" s="14">
        <f t="shared" si="19"/>
        <v>0.01</v>
      </c>
      <c r="H240" s="14">
        <f t="shared" si="20"/>
        <v>1.4705882352941176E-2</v>
      </c>
      <c r="I240" s="4">
        <f t="shared" si="21"/>
        <v>3</v>
      </c>
      <c r="J240" s="4">
        <f t="shared" si="22"/>
        <v>204</v>
      </c>
      <c r="K240" s="4" t="s">
        <v>503</v>
      </c>
      <c r="L240" s="4">
        <f t="shared" si="23"/>
        <v>1</v>
      </c>
    </row>
    <row r="241" spans="1:12">
      <c r="A241" s="4">
        <v>60</v>
      </c>
      <c r="B241" s="4" t="s">
        <v>72</v>
      </c>
      <c r="C241" s="4" t="str">
        <f t="shared" si="18"/>
        <v>60|U</v>
      </c>
      <c r="D241" s="4">
        <f>INDEX('Frequency 1-72'!$B$2:$E$73,A241,MATCH(B241,{"A","C","G","U"},0))</f>
        <v>157</v>
      </c>
      <c r="E241" s="4">
        <f>'Frequency 1-72'!G61</f>
        <v>200</v>
      </c>
      <c r="F241" s="12">
        <v>1</v>
      </c>
      <c r="G241" s="14">
        <f t="shared" si="19"/>
        <v>0.78500000000000003</v>
      </c>
      <c r="H241" s="14">
        <f t="shared" si="20"/>
        <v>0.77450980392156865</v>
      </c>
      <c r="I241" s="4">
        <f t="shared" si="21"/>
        <v>158</v>
      </c>
      <c r="J241" s="4">
        <f t="shared" si="22"/>
        <v>204</v>
      </c>
      <c r="K241" s="4" t="s">
        <v>503</v>
      </c>
      <c r="L241" s="4">
        <f t="shared" si="23"/>
        <v>1</v>
      </c>
    </row>
    <row r="242" spans="1:12">
      <c r="A242" s="4">
        <v>61</v>
      </c>
      <c r="B242" s="4" t="s">
        <v>73</v>
      </c>
      <c r="C242" s="4" t="str">
        <f t="shared" si="18"/>
        <v>61|A</v>
      </c>
      <c r="D242" s="4">
        <f>INDEX('Frequency 1-72'!$B$2:$E$73,A242,MATCH(B242,{"A","C","G","U"},0))</f>
        <v>0</v>
      </c>
      <c r="E242" s="4">
        <f>'Frequency 1-72'!G62</f>
        <v>200</v>
      </c>
      <c r="F242" s="12">
        <v>1</v>
      </c>
      <c r="G242" s="14">
        <f t="shared" si="19"/>
        <v>0</v>
      </c>
      <c r="H242" s="14">
        <f t="shared" si="20"/>
        <v>4.9019607843137254E-3</v>
      </c>
      <c r="I242" s="4">
        <f t="shared" si="21"/>
        <v>1</v>
      </c>
      <c r="J242" s="4">
        <f t="shared" si="22"/>
        <v>204</v>
      </c>
      <c r="K242" s="4" t="s">
        <v>503</v>
      </c>
      <c r="L242" s="4">
        <f t="shared" si="23"/>
        <v>1</v>
      </c>
    </row>
    <row r="243" spans="1:12">
      <c r="A243" s="4">
        <v>61</v>
      </c>
      <c r="B243" s="4" t="s">
        <v>71</v>
      </c>
      <c r="C243" s="4" t="str">
        <f t="shared" si="18"/>
        <v>61|C</v>
      </c>
      <c r="D243" s="4">
        <f>INDEX('Frequency 1-72'!$B$2:$E$73,A243,MATCH(B243,{"A","C","G","U"},0))</f>
        <v>198</v>
      </c>
      <c r="E243" s="4">
        <f>'Frequency 1-72'!G62</f>
        <v>200</v>
      </c>
      <c r="F243" s="12">
        <v>1</v>
      </c>
      <c r="G243" s="14">
        <f t="shared" si="19"/>
        <v>0.99</v>
      </c>
      <c r="H243" s="14">
        <f t="shared" si="20"/>
        <v>0.97549019607843135</v>
      </c>
      <c r="I243" s="4">
        <f t="shared" si="21"/>
        <v>199</v>
      </c>
      <c r="J243" s="4">
        <f t="shared" si="22"/>
        <v>204</v>
      </c>
      <c r="K243" s="4" t="s">
        <v>503</v>
      </c>
      <c r="L243" s="4">
        <f t="shared" si="23"/>
        <v>1</v>
      </c>
    </row>
    <row r="244" spans="1:12">
      <c r="A244" s="4">
        <v>61</v>
      </c>
      <c r="B244" s="4" t="s">
        <v>70</v>
      </c>
      <c r="C244" s="4" t="str">
        <f t="shared" si="18"/>
        <v>61|G</v>
      </c>
      <c r="D244" s="4">
        <f>INDEX('Frequency 1-72'!$B$2:$E$73,A244,MATCH(B244,{"A","C","G","U"},0))</f>
        <v>1</v>
      </c>
      <c r="E244" s="4">
        <f>'Frequency 1-72'!G62</f>
        <v>200</v>
      </c>
      <c r="F244" s="12">
        <v>1</v>
      </c>
      <c r="G244" s="14">
        <f t="shared" si="19"/>
        <v>5.0000000000000001E-3</v>
      </c>
      <c r="H244" s="14">
        <f t="shared" si="20"/>
        <v>9.8039215686274508E-3</v>
      </c>
      <c r="I244" s="4">
        <f t="shared" si="21"/>
        <v>2</v>
      </c>
      <c r="J244" s="4">
        <f t="shared" si="22"/>
        <v>204</v>
      </c>
      <c r="K244" s="4" t="s">
        <v>503</v>
      </c>
      <c r="L244" s="4">
        <f t="shared" si="23"/>
        <v>1</v>
      </c>
    </row>
    <row r="245" spans="1:12">
      <c r="A245" s="4">
        <v>61</v>
      </c>
      <c r="B245" s="4" t="s">
        <v>72</v>
      </c>
      <c r="C245" s="4" t="str">
        <f t="shared" si="18"/>
        <v>61|U</v>
      </c>
      <c r="D245" s="4">
        <f>INDEX('Frequency 1-72'!$B$2:$E$73,A245,MATCH(B245,{"A","C","G","U"},0))</f>
        <v>1</v>
      </c>
      <c r="E245" s="4">
        <f>'Frequency 1-72'!G62</f>
        <v>200</v>
      </c>
      <c r="F245" s="12">
        <v>1</v>
      </c>
      <c r="G245" s="14">
        <f t="shared" si="19"/>
        <v>5.0000000000000001E-3</v>
      </c>
      <c r="H245" s="14">
        <f t="shared" si="20"/>
        <v>9.8039215686274508E-3</v>
      </c>
      <c r="I245" s="4">
        <f t="shared" si="21"/>
        <v>2</v>
      </c>
      <c r="J245" s="4">
        <f t="shared" si="22"/>
        <v>204</v>
      </c>
      <c r="K245" s="4" t="s">
        <v>503</v>
      </c>
      <c r="L245" s="4">
        <f t="shared" si="23"/>
        <v>1</v>
      </c>
    </row>
    <row r="246" spans="1:12">
      <c r="A246" s="4">
        <v>62</v>
      </c>
      <c r="B246" s="4" t="s">
        <v>73</v>
      </c>
      <c r="C246" s="4" t="str">
        <f t="shared" si="18"/>
        <v>62|A</v>
      </c>
      <c r="D246" s="4">
        <f>INDEX('Frequency 1-72'!$B$2:$E$73,A246,MATCH(B246,{"A","C","G","U"},0))</f>
        <v>3</v>
      </c>
      <c r="E246" s="4">
        <f>'Frequency 1-72'!G63</f>
        <v>200</v>
      </c>
      <c r="F246" s="12">
        <v>1</v>
      </c>
      <c r="G246" s="14">
        <f t="shared" si="19"/>
        <v>1.4999999999999999E-2</v>
      </c>
      <c r="H246" s="14">
        <f t="shared" si="20"/>
        <v>1.9607843137254902E-2</v>
      </c>
      <c r="I246" s="4">
        <f t="shared" si="21"/>
        <v>4</v>
      </c>
      <c r="J246" s="4">
        <f t="shared" si="22"/>
        <v>204</v>
      </c>
      <c r="K246" s="4" t="s">
        <v>503</v>
      </c>
      <c r="L246" s="4">
        <f t="shared" si="23"/>
        <v>1</v>
      </c>
    </row>
    <row r="247" spans="1:12">
      <c r="A247" s="4">
        <v>62</v>
      </c>
      <c r="B247" s="4" t="s">
        <v>71</v>
      </c>
      <c r="C247" s="4" t="str">
        <f t="shared" si="18"/>
        <v>62|C</v>
      </c>
      <c r="D247" s="4">
        <f>INDEX('Frequency 1-72'!$B$2:$E$73,A247,MATCH(B247,{"A","C","G","U"},0))</f>
        <v>169</v>
      </c>
      <c r="E247" s="4">
        <f>'Frequency 1-72'!G63</f>
        <v>200</v>
      </c>
      <c r="F247" s="12">
        <v>1</v>
      </c>
      <c r="G247" s="14">
        <f t="shared" si="19"/>
        <v>0.84499999999999997</v>
      </c>
      <c r="H247" s="14">
        <f t="shared" si="20"/>
        <v>0.83333333333333337</v>
      </c>
      <c r="I247" s="4">
        <f t="shared" si="21"/>
        <v>170</v>
      </c>
      <c r="J247" s="4">
        <f t="shared" si="22"/>
        <v>204</v>
      </c>
      <c r="K247" s="4" t="s">
        <v>503</v>
      </c>
      <c r="L247" s="4">
        <f t="shared" si="23"/>
        <v>1</v>
      </c>
    </row>
    <row r="248" spans="1:12">
      <c r="A248" s="4">
        <v>62</v>
      </c>
      <c r="B248" s="4" t="s">
        <v>70</v>
      </c>
      <c r="C248" s="4" t="str">
        <f t="shared" si="18"/>
        <v>62|G</v>
      </c>
      <c r="D248" s="4">
        <f>INDEX('Frequency 1-72'!$B$2:$E$73,A248,MATCH(B248,{"A","C","G","U"},0))</f>
        <v>2</v>
      </c>
      <c r="E248" s="4">
        <f>'Frequency 1-72'!G63</f>
        <v>200</v>
      </c>
      <c r="F248" s="12">
        <v>1</v>
      </c>
      <c r="G248" s="14">
        <f t="shared" si="19"/>
        <v>0.01</v>
      </c>
      <c r="H248" s="14">
        <f t="shared" si="20"/>
        <v>1.4705882352941176E-2</v>
      </c>
      <c r="I248" s="4">
        <f t="shared" si="21"/>
        <v>3</v>
      </c>
      <c r="J248" s="4">
        <f t="shared" si="22"/>
        <v>204</v>
      </c>
      <c r="K248" s="4" t="s">
        <v>503</v>
      </c>
      <c r="L248" s="4">
        <f t="shared" si="23"/>
        <v>1</v>
      </c>
    </row>
    <row r="249" spans="1:12">
      <c r="A249" s="4">
        <v>62</v>
      </c>
      <c r="B249" s="4" t="s">
        <v>72</v>
      </c>
      <c r="C249" s="4" t="str">
        <f t="shared" si="18"/>
        <v>62|U</v>
      </c>
      <c r="D249" s="4">
        <f>INDEX('Frequency 1-72'!$B$2:$E$73,A249,MATCH(B249,{"A","C","G","U"},0))</f>
        <v>26</v>
      </c>
      <c r="E249" s="4">
        <f>'Frequency 1-72'!G63</f>
        <v>200</v>
      </c>
      <c r="F249" s="12">
        <v>1</v>
      </c>
      <c r="G249" s="14">
        <f t="shared" si="19"/>
        <v>0.13</v>
      </c>
      <c r="H249" s="14">
        <f t="shared" si="20"/>
        <v>0.13235294117647059</v>
      </c>
      <c r="I249" s="4">
        <f t="shared" si="21"/>
        <v>27</v>
      </c>
      <c r="J249" s="4">
        <f t="shared" si="22"/>
        <v>204</v>
      </c>
      <c r="K249" s="4" t="s">
        <v>503</v>
      </c>
      <c r="L249" s="4">
        <f t="shared" si="23"/>
        <v>1</v>
      </c>
    </row>
    <row r="250" spans="1:12">
      <c r="A250" s="4">
        <v>63</v>
      </c>
      <c r="B250" s="4" t="s">
        <v>73</v>
      </c>
      <c r="C250" s="4" t="str">
        <f t="shared" si="18"/>
        <v>63|A</v>
      </c>
      <c r="D250" s="4">
        <f>INDEX('Frequency 1-72'!$B$2:$E$73,A250,MATCH(B250,{"A","C","G","U"},0))</f>
        <v>23</v>
      </c>
      <c r="E250" s="4">
        <f>'Frequency 1-72'!G64</f>
        <v>200</v>
      </c>
      <c r="F250" s="12">
        <v>1</v>
      </c>
      <c r="G250" s="14">
        <f t="shared" si="19"/>
        <v>0.115</v>
      </c>
      <c r="H250" s="14">
        <f t="shared" si="20"/>
        <v>0.11764705882352941</v>
      </c>
      <c r="I250" s="4">
        <f t="shared" si="21"/>
        <v>24</v>
      </c>
      <c r="J250" s="4">
        <f t="shared" si="22"/>
        <v>204</v>
      </c>
      <c r="K250" s="4" t="s">
        <v>503</v>
      </c>
      <c r="L250" s="4">
        <f t="shared" si="23"/>
        <v>1</v>
      </c>
    </row>
    <row r="251" spans="1:12">
      <c r="A251" s="4">
        <v>63</v>
      </c>
      <c r="B251" s="4" t="s">
        <v>71</v>
      </c>
      <c r="C251" s="4" t="str">
        <f t="shared" si="18"/>
        <v>63|C</v>
      </c>
      <c r="D251" s="4">
        <f>INDEX('Frequency 1-72'!$B$2:$E$73,A251,MATCH(B251,{"A","C","G","U"},0))</f>
        <v>97</v>
      </c>
      <c r="E251" s="4">
        <f>'Frequency 1-72'!G64</f>
        <v>200</v>
      </c>
      <c r="F251" s="12">
        <v>1</v>
      </c>
      <c r="G251" s="14">
        <f t="shared" si="19"/>
        <v>0.48499999999999999</v>
      </c>
      <c r="H251" s="14">
        <f t="shared" si="20"/>
        <v>0.48039215686274511</v>
      </c>
      <c r="I251" s="4">
        <f t="shared" si="21"/>
        <v>98</v>
      </c>
      <c r="J251" s="4">
        <f t="shared" si="22"/>
        <v>204</v>
      </c>
      <c r="K251" s="4" t="s">
        <v>503</v>
      </c>
      <c r="L251" s="4">
        <f t="shared" si="23"/>
        <v>1</v>
      </c>
    </row>
    <row r="252" spans="1:12">
      <c r="A252" s="4">
        <v>63</v>
      </c>
      <c r="B252" s="4" t="s">
        <v>70</v>
      </c>
      <c r="C252" s="4" t="str">
        <f t="shared" si="18"/>
        <v>63|G</v>
      </c>
      <c r="D252" s="4">
        <f>INDEX('Frequency 1-72'!$B$2:$E$73,A252,MATCH(B252,{"A","C","G","U"},0))</f>
        <v>48</v>
      </c>
      <c r="E252" s="4">
        <f>'Frequency 1-72'!G64</f>
        <v>200</v>
      </c>
      <c r="F252" s="12">
        <v>1</v>
      </c>
      <c r="G252" s="14">
        <f t="shared" si="19"/>
        <v>0.24</v>
      </c>
      <c r="H252" s="14">
        <f t="shared" si="20"/>
        <v>0.24019607843137256</v>
      </c>
      <c r="I252" s="4">
        <f t="shared" si="21"/>
        <v>49</v>
      </c>
      <c r="J252" s="4">
        <f t="shared" si="22"/>
        <v>204</v>
      </c>
      <c r="K252" s="4" t="s">
        <v>503</v>
      </c>
      <c r="L252" s="4">
        <f t="shared" si="23"/>
        <v>1</v>
      </c>
    </row>
    <row r="253" spans="1:12">
      <c r="A253" s="4">
        <v>63</v>
      </c>
      <c r="B253" s="4" t="s">
        <v>72</v>
      </c>
      <c r="C253" s="4" t="str">
        <f t="shared" si="18"/>
        <v>63|U</v>
      </c>
      <c r="D253" s="4">
        <f>INDEX('Frequency 1-72'!$B$2:$E$73,A253,MATCH(B253,{"A","C","G","U"},0))</f>
        <v>32</v>
      </c>
      <c r="E253" s="4">
        <f>'Frequency 1-72'!G64</f>
        <v>200</v>
      </c>
      <c r="F253" s="12">
        <v>1</v>
      </c>
      <c r="G253" s="14">
        <f t="shared" si="19"/>
        <v>0.16</v>
      </c>
      <c r="H253" s="14">
        <f t="shared" si="20"/>
        <v>0.16176470588235295</v>
      </c>
      <c r="I253" s="4">
        <f t="shared" si="21"/>
        <v>33</v>
      </c>
      <c r="J253" s="4">
        <f t="shared" si="22"/>
        <v>204</v>
      </c>
      <c r="K253" s="4" t="s">
        <v>503</v>
      </c>
      <c r="L253" s="4">
        <f t="shared" si="23"/>
        <v>1</v>
      </c>
    </row>
    <row r="254" spans="1:12">
      <c r="A254" s="4">
        <v>64</v>
      </c>
      <c r="B254" s="4" t="s">
        <v>73</v>
      </c>
      <c r="C254" s="4" t="str">
        <f t="shared" si="18"/>
        <v>64|A</v>
      </c>
      <c r="D254" s="4">
        <f>INDEX('Frequency 1-72'!$B$2:$E$73,A254,MATCH(B254,{"A","C","G","U"},0))</f>
        <v>33</v>
      </c>
      <c r="E254" s="4">
        <f>'Frequency 1-72'!G65</f>
        <v>200</v>
      </c>
      <c r="F254" s="12">
        <v>1</v>
      </c>
      <c r="G254" s="14">
        <f t="shared" si="19"/>
        <v>0.16500000000000001</v>
      </c>
      <c r="H254" s="14">
        <f t="shared" si="20"/>
        <v>0.16666666666666666</v>
      </c>
      <c r="I254" s="4">
        <f t="shared" si="21"/>
        <v>34</v>
      </c>
      <c r="J254" s="4">
        <f t="shared" si="22"/>
        <v>204</v>
      </c>
      <c r="K254" s="4" t="s">
        <v>503</v>
      </c>
      <c r="L254" s="4">
        <f t="shared" si="23"/>
        <v>1</v>
      </c>
    </row>
    <row r="255" spans="1:12">
      <c r="A255" s="4">
        <v>64</v>
      </c>
      <c r="B255" s="4" t="s">
        <v>71</v>
      </c>
      <c r="C255" s="4" t="str">
        <f t="shared" si="18"/>
        <v>64|C</v>
      </c>
      <c r="D255" s="4">
        <f>INDEX('Frequency 1-72'!$B$2:$E$73,A255,MATCH(B255,{"A","C","G","U"},0))</f>
        <v>42</v>
      </c>
      <c r="E255" s="4">
        <f>'Frequency 1-72'!G65</f>
        <v>200</v>
      </c>
      <c r="F255" s="12">
        <v>1</v>
      </c>
      <c r="G255" s="14">
        <f t="shared" si="19"/>
        <v>0.21</v>
      </c>
      <c r="H255" s="14">
        <f t="shared" si="20"/>
        <v>0.2107843137254902</v>
      </c>
      <c r="I255" s="4">
        <f t="shared" si="21"/>
        <v>43</v>
      </c>
      <c r="J255" s="4">
        <f t="shared" si="22"/>
        <v>204</v>
      </c>
      <c r="K255" s="4" t="s">
        <v>503</v>
      </c>
      <c r="L255" s="4">
        <f t="shared" si="23"/>
        <v>1</v>
      </c>
    </row>
    <row r="256" spans="1:12">
      <c r="A256" s="4">
        <v>64</v>
      </c>
      <c r="B256" s="4" t="s">
        <v>70</v>
      </c>
      <c r="C256" s="4" t="str">
        <f t="shared" si="18"/>
        <v>64|G</v>
      </c>
      <c r="D256" s="4">
        <f>INDEX('Frequency 1-72'!$B$2:$E$73,A256,MATCH(B256,{"A","C","G","U"},0))</f>
        <v>92</v>
      </c>
      <c r="E256" s="4">
        <f>'Frequency 1-72'!G65</f>
        <v>200</v>
      </c>
      <c r="F256" s="12">
        <v>1</v>
      </c>
      <c r="G256" s="14">
        <f t="shared" si="19"/>
        <v>0.46</v>
      </c>
      <c r="H256" s="14">
        <f t="shared" si="20"/>
        <v>0.45588235294117646</v>
      </c>
      <c r="I256" s="4">
        <f t="shared" si="21"/>
        <v>93</v>
      </c>
      <c r="J256" s="4">
        <f t="shared" si="22"/>
        <v>204</v>
      </c>
      <c r="K256" s="4" t="s">
        <v>503</v>
      </c>
      <c r="L256" s="4">
        <f t="shared" si="23"/>
        <v>1</v>
      </c>
    </row>
    <row r="257" spans="1:12">
      <c r="A257" s="4">
        <v>64</v>
      </c>
      <c r="B257" s="4" t="s">
        <v>72</v>
      </c>
      <c r="C257" s="4" t="str">
        <f t="shared" si="18"/>
        <v>64|U</v>
      </c>
      <c r="D257" s="4">
        <f>INDEX('Frequency 1-72'!$B$2:$E$73,A257,MATCH(B257,{"A","C","G","U"},0))</f>
        <v>33</v>
      </c>
      <c r="E257" s="4">
        <f>'Frequency 1-72'!G65</f>
        <v>200</v>
      </c>
      <c r="F257" s="12">
        <v>1</v>
      </c>
      <c r="G257" s="14">
        <f t="shared" si="19"/>
        <v>0.16500000000000001</v>
      </c>
      <c r="H257" s="14">
        <f t="shared" si="20"/>
        <v>0.16666666666666666</v>
      </c>
      <c r="I257" s="4">
        <f t="shared" si="21"/>
        <v>34</v>
      </c>
      <c r="J257" s="4">
        <f t="shared" si="22"/>
        <v>204</v>
      </c>
      <c r="K257" s="4" t="s">
        <v>503</v>
      </c>
      <c r="L257" s="4">
        <f t="shared" si="23"/>
        <v>1</v>
      </c>
    </row>
    <row r="258" spans="1:12">
      <c r="A258" s="4">
        <v>65</v>
      </c>
      <c r="B258" s="4" t="s">
        <v>73</v>
      </c>
      <c r="C258" s="4" t="str">
        <f t="shared" ref="C258:C321" si="24">A258&amp;"|"&amp;B258</f>
        <v>65|A</v>
      </c>
      <c r="D258" s="4">
        <f>INDEX('Frequency 1-72'!$B$2:$E$73,A258,MATCH(B258,{"A","C","G","U"},0))</f>
        <v>9</v>
      </c>
      <c r="E258" s="4">
        <f>'Frequency 1-72'!G66</f>
        <v>199</v>
      </c>
      <c r="F258" s="12">
        <v>1</v>
      </c>
      <c r="G258" s="14">
        <f t="shared" ref="G258:G289" si="25">IF(E258=0,"",D258/E258)</f>
        <v>4.5226130653266333E-2</v>
      </c>
      <c r="H258" s="14">
        <f t="shared" ref="H258:H321" si="26">I258/J258</f>
        <v>4.9261083743842367E-2</v>
      </c>
      <c r="I258" s="4">
        <f t="shared" ref="I258:I289" si="27">D258+F258</f>
        <v>10</v>
      </c>
      <c r="J258" s="4">
        <f t="shared" ref="J258:J289" si="28">E258+4*F258</f>
        <v>203</v>
      </c>
      <c r="K258" s="4" t="s">
        <v>503</v>
      </c>
      <c r="L258" s="4">
        <f t="shared" ref="L258:L289" si="29">ROUND(SUMIF($A$2:$A$289,A258,$H$2:$H$289),9)</f>
        <v>1</v>
      </c>
    </row>
    <row r="259" spans="1:12">
      <c r="A259" s="4">
        <v>65</v>
      </c>
      <c r="B259" s="4" t="s">
        <v>71</v>
      </c>
      <c r="C259" s="4" t="str">
        <f t="shared" si="24"/>
        <v>65|C</v>
      </c>
      <c r="D259" s="4">
        <f>INDEX('Frequency 1-72'!$B$2:$E$73,A259,MATCH(B259,{"A","C","G","U"},0))</f>
        <v>63</v>
      </c>
      <c r="E259" s="4">
        <f>'Frequency 1-72'!G66</f>
        <v>199</v>
      </c>
      <c r="F259" s="12">
        <v>1</v>
      </c>
      <c r="G259" s="14">
        <f t="shared" si="25"/>
        <v>0.3165829145728643</v>
      </c>
      <c r="H259" s="14">
        <f t="shared" si="26"/>
        <v>0.31527093596059114</v>
      </c>
      <c r="I259" s="4">
        <f t="shared" si="27"/>
        <v>64</v>
      </c>
      <c r="J259" s="4">
        <f t="shared" si="28"/>
        <v>203</v>
      </c>
      <c r="K259" s="4" t="s">
        <v>503</v>
      </c>
      <c r="L259" s="4">
        <f t="shared" si="29"/>
        <v>1</v>
      </c>
    </row>
    <row r="260" spans="1:12">
      <c r="A260" s="4">
        <v>65</v>
      </c>
      <c r="B260" s="4" t="s">
        <v>70</v>
      </c>
      <c r="C260" s="4" t="str">
        <f t="shared" si="24"/>
        <v>65|G</v>
      </c>
      <c r="D260" s="4">
        <f>INDEX('Frequency 1-72'!$B$2:$E$73,A260,MATCH(B260,{"A","C","G","U"},0))</f>
        <v>57</v>
      </c>
      <c r="E260" s="4">
        <f>'Frequency 1-72'!G66</f>
        <v>199</v>
      </c>
      <c r="F260" s="12">
        <v>1</v>
      </c>
      <c r="G260" s="14">
        <f t="shared" si="25"/>
        <v>0.28643216080402012</v>
      </c>
      <c r="H260" s="14">
        <f t="shared" si="26"/>
        <v>0.2857142857142857</v>
      </c>
      <c r="I260" s="4">
        <f t="shared" si="27"/>
        <v>58</v>
      </c>
      <c r="J260" s="4">
        <f t="shared" si="28"/>
        <v>203</v>
      </c>
      <c r="K260" s="4" t="s">
        <v>503</v>
      </c>
      <c r="L260" s="4">
        <f t="shared" si="29"/>
        <v>1</v>
      </c>
    </row>
    <row r="261" spans="1:12">
      <c r="A261" s="4">
        <v>65</v>
      </c>
      <c r="B261" s="4" t="s">
        <v>72</v>
      </c>
      <c r="C261" s="4" t="str">
        <f t="shared" si="24"/>
        <v>65|U</v>
      </c>
      <c r="D261" s="4">
        <f>INDEX('Frequency 1-72'!$B$2:$E$73,A261,MATCH(B261,{"A","C","G","U"},0))</f>
        <v>70</v>
      </c>
      <c r="E261" s="4">
        <f>'Frequency 1-72'!G66</f>
        <v>199</v>
      </c>
      <c r="F261" s="12">
        <v>1</v>
      </c>
      <c r="G261" s="14">
        <f t="shared" si="25"/>
        <v>0.35175879396984927</v>
      </c>
      <c r="H261" s="14">
        <f t="shared" si="26"/>
        <v>0.34975369458128081</v>
      </c>
      <c r="I261" s="4">
        <f t="shared" si="27"/>
        <v>71</v>
      </c>
      <c r="J261" s="4">
        <f t="shared" si="28"/>
        <v>203</v>
      </c>
      <c r="K261" s="4" t="s">
        <v>503</v>
      </c>
      <c r="L261" s="4">
        <f t="shared" si="29"/>
        <v>1</v>
      </c>
    </row>
    <row r="262" spans="1:12">
      <c r="A262" s="4">
        <v>66</v>
      </c>
      <c r="B262" s="4" t="s">
        <v>73</v>
      </c>
      <c r="C262" s="4" t="str">
        <f t="shared" si="24"/>
        <v>66|A</v>
      </c>
      <c r="D262" s="4">
        <f>INDEX('Frequency 1-72'!$B$2:$E$73,A262,MATCH(B262,{"A","C","G","U"},0))</f>
        <v>43</v>
      </c>
      <c r="E262" s="4">
        <f>'Frequency 1-72'!G67</f>
        <v>200</v>
      </c>
      <c r="F262" s="12">
        <v>1</v>
      </c>
      <c r="G262" s="14">
        <f t="shared" si="25"/>
        <v>0.215</v>
      </c>
      <c r="H262" s="14">
        <f t="shared" si="26"/>
        <v>0.21568627450980393</v>
      </c>
      <c r="I262" s="4">
        <f t="shared" si="27"/>
        <v>44</v>
      </c>
      <c r="J262" s="4">
        <f t="shared" si="28"/>
        <v>204</v>
      </c>
      <c r="K262" s="4" t="s">
        <v>503</v>
      </c>
      <c r="L262" s="4">
        <f t="shared" si="29"/>
        <v>1</v>
      </c>
    </row>
    <row r="263" spans="1:12">
      <c r="A263" s="4">
        <v>66</v>
      </c>
      <c r="B263" s="4" t="s">
        <v>71</v>
      </c>
      <c r="C263" s="4" t="str">
        <f t="shared" si="24"/>
        <v>66|C</v>
      </c>
      <c r="D263" s="4">
        <f>INDEX('Frequency 1-72'!$B$2:$E$73,A263,MATCH(B263,{"A","C","G","U"},0))</f>
        <v>105</v>
      </c>
      <c r="E263" s="4">
        <f>'Frequency 1-72'!G67</f>
        <v>200</v>
      </c>
      <c r="F263" s="12">
        <v>1</v>
      </c>
      <c r="G263" s="14">
        <f t="shared" si="25"/>
        <v>0.52500000000000002</v>
      </c>
      <c r="H263" s="14">
        <f t="shared" si="26"/>
        <v>0.51960784313725494</v>
      </c>
      <c r="I263" s="4">
        <f t="shared" si="27"/>
        <v>106</v>
      </c>
      <c r="J263" s="4">
        <f t="shared" si="28"/>
        <v>204</v>
      </c>
      <c r="K263" s="4" t="s">
        <v>503</v>
      </c>
      <c r="L263" s="4">
        <f t="shared" si="29"/>
        <v>1</v>
      </c>
    </row>
    <row r="264" spans="1:12">
      <c r="A264" s="4">
        <v>66</v>
      </c>
      <c r="B264" s="4" t="s">
        <v>70</v>
      </c>
      <c r="C264" s="4" t="str">
        <f t="shared" si="24"/>
        <v>66|G</v>
      </c>
      <c r="D264" s="4">
        <f>INDEX('Frequency 1-72'!$B$2:$E$73,A264,MATCH(B264,{"A","C","G","U"},0))</f>
        <v>2</v>
      </c>
      <c r="E264" s="4">
        <f>'Frequency 1-72'!G67</f>
        <v>200</v>
      </c>
      <c r="F264" s="12">
        <v>1</v>
      </c>
      <c r="G264" s="14">
        <f t="shared" si="25"/>
        <v>0.01</v>
      </c>
      <c r="H264" s="14">
        <f t="shared" si="26"/>
        <v>1.4705882352941176E-2</v>
      </c>
      <c r="I264" s="4">
        <f t="shared" si="27"/>
        <v>3</v>
      </c>
      <c r="J264" s="4">
        <f t="shared" si="28"/>
        <v>204</v>
      </c>
      <c r="K264" s="4" t="s">
        <v>503</v>
      </c>
      <c r="L264" s="4">
        <f t="shared" si="29"/>
        <v>1</v>
      </c>
    </row>
    <row r="265" spans="1:12">
      <c r="A265" s="4">
        <v>66</v>
      </c>
      <c r="B265" s="4" t="s">
        <v>72</v>
      </c>
      <c r="C265" s="4" t="str">
        <f t="shared" si="24"/>
        <v>66|U</v>
      </c>
      <c r="D265" s="4">
        <f>INDEX('Frequency 1-72'!$B$2:$E$73,A265,MATCH(B265,{"A","C","G","U"},0))</f>
        <v>50</v>
      </c>
      <c r="E265" s="4">
        <f>'Frequency 1-72'!G67</f>
        <v>200</v>
      </c>
      <c r="F265" s="12">
        <v>1</v>
      </c>
      <c r="G265" s="14">
        <f t="shared" si="25"/>
        <v>0.25</v>
      </c>
      <c r="H265" s="14">
        <f t="shared" si="26"/>
        <v>0.25</v>
      </c>
      <c r="I265" s="4">
        <f t="shared" si="27"/>
        <v>51</v>
      </c>
      <c r="J265" s="4">
        <f t="shared" si="28"/>
        <v>204</v>
      </c>
      <c r="K265" s="4" t="s">
        <v>503</v>
      </c>
      <c r="L265" s="4">
        <f t="shared" si="29"/>
        <v>1</v>
      </c>
    </row>
    <row r="266" spans="1:12">
      <c r="A266" s="4">
        <v>67</v>
      </c>
      <c r="B266" s="4" t="s">
        <v>73</v>
      </c>
      <c r="C266" s="4" t="str">
        <f t="shared" si="24"/>
        <v>67|A</v>
      </c>
      <c r="D266" s="4">
        <f>INDEX('Frequency 1-72'!$B$2:$E$73,A266,MATCH(B266,{"A","C","G","U"},0))</f>
        <v>42</v>
      </c>
      <c r="E266" s="4">
        <f>'Frequency 1-72'!G68</f>
        <v>200</v>
      </c>
      <c r="F266" s="12">
        <v>1</v>
      </c>
      <c r="G266" s="14">
        <f t="shared" si="25"/>
        <v>0.21</v>
      </c>
      <c r="H266" s="14">
        <f t="shared" si="26"/>
        <v>0.2107843137254902</v>
      </c>
      <c r="I266" s="4">
        <f t="shared" si="27"/>
        <v>43</v>
      </c>
      <c r="J266" s="4">
        <f t="shared" si="28"/>
        <v>204</v>
      </c>
      <c r="K266" s="4" t="s">
        <v>503</v>
      </c>
      <c r="L266" s="4">
        <f t="shared" si="29"/>
        <v>1</v>
      </c>
    </row>
    <row r="267" spans="1:12">
      <c r="A267" s="4">
        <v>67</v>
      </c>
      <c r="B267" s="4" t="s">
        <v>71</v>
      </c>
      <c r="C267" s="4" t="str">
        <f t="shared" si="24"/>
        <v>67|C</v>
      </c>
      <c r="D267" s="4">
        <f>INDEX('Frequency 1-72'!$B$2:$E$73,A267,MATCH(B267,{"A","C","G","U"},0))</f>
        <v>45</v>
      </c>
      <c r="E267" s="4">
        <f>'Frequency 1-72'!G68</f>
        <v>200</v>
      </c>
      <c r="F267" s="12">
        <v>1</v>
      </c>
      <c r="G267" s="14">
        <f t="shared" si="25"/>
        <v>0.22500000000000001</v>
      </c>
      <c r="H267" s="14">
        <f t="shared" si="26"/>
        <v>0.22549019607843138</v>
      </c>
      <c r="I267" s="4">
        <f t="shared" si="27"/>
        <v>46</v>
      </c>
      <c r="J267" s="4">
        <f t="shared" si="28"/>
        <v>204</v>
      </c>
      <c r="K267" s="4" t="s">
        <v>503</v>
      </c>
      <c r="L267" s="4">
        <f t="shared" si="29"/>
        <v>1</v>
      </c>
    </row>
    <row r="268" spans="1:12">
      <c r="A268" s="4">
        <v>67</v>
      </c>
      <c r="B268" s="4" t="s">
        <v>70</v>
      </c>
      <c r="C268" s="4" t="str">
        <f t="shared" si="24"/>
        <v>67|G</v>
      </c>
      <c r="D268" s="4">
        <f>INDEX('Frequency 1-72'!$B$2:$E$73,A268,MATCH(B268,{"A","C","G","U"},0))</f>
        <v>75</v>
      </c>
      <c r="E268" s="4">
        <f>'Frequency 1-72'!G68</f>
        <v>200</v>
      </c>
      <c r="F268" s="12">
        <v>1</v>
      </c>
      <c r="G268" s="14">
        <f t="shared" si="25"/>
        <v>0.375</v>
      </c>
      <c r="H268" s="14">
        <f t="shared" si="26"/>
        <v>0.37254901960784315</v>
      </c>
      <c r="I268" s="4">
        <f t="shared" si="27"/>
        <v>76</v>
      </c>
      <c r="J268" s="4">
        <f t="shared" si="28"/>
        <v>204</v>
      </c>
      <c r="K268" s="4" t="s">
        <v>503</v>
      </c>
      <c r="L268" s="4">
        <f t="shared" si="29"/>
        <v>1</v>
      </c>
    </row>
    <row r="269" spans="1:12">
      <c r="A269" s="4">
        <v>67</v>
      </c>
      <c r="B269" s="4" t="s">
        <v>72</v>
      </c>
      <c r="C269" s="4" t="str">
        <f t="shared" si="24"/>
        <v>67|U</v>
      </c>
      <c r="D269" s="4">
        <f>INDEX('Frequency 1-72'!$B$2:$E$73,A269,MATCH(B269,{"A","C","G","U"},0))</f>
        <v>38</v>
      </c>
      <c r="E269" s="4">
        <f>'Frequency 1-72'!G68</f>
        <v>200</v>
      </c>
      <c r="F269" s="12">
        <v>1</v>
      </c>
      <c r="G269" s="14">
        <f t="shared" si="25"/>
        <v>0.19</v>
      </c>
      <c r="H269" s="14">
        <f t="shared" si="26"/>
        <v>0.19117647058823528</v>
      </c>
      <c r="I269" s="4">
        <f t="shared" si="27"/>
        <v>39</v>
      </c>
      <c r="J269" s="4">
        <f t="shared" si="28"/>
        <v>204</v>
      </c>
      <c r="K269" s="4" t="s">
        <v>503</v>
      </c>
      <c r="L269" s="4">
        <f t="shared" si="29"/>
        <v>1</v>
      </c>
    </row>
    <row r="270" spans="1:12">
      <c r="A270" s="4">
        <v>68</v>
      </c>
      <c r="B270" s="4" t="s">
        <v>73</v>
      </c>
      <c r="C270" s="4" t="str">
        <f t="shared" si="24"/>
        <v>68|A</v>
      </c>
      <c r="D270" s="4">
        <f>INDEX('Frequency 1-72'!$B$2:$E$73,A270,MATCH(B270,{"A","C","G","U"},0))</f>
        <v>15</v>
      </c>
      <c r="E270" s="4">
        <f>'Frequency 1-72'!G69</f>
        <v>200</v>
      </c>
      <c r="F270" s="12">
        <v>1</v>
      </c>
      <c r="G270" s="14">
        <f t="shared" si="25"/>
        <v>7.4999999999999997E-2</v>
      </c>
      <c r="H270" s="14">
        <f t="shared" si="26"/>
        <v>7.8431372549019607E-2</v>
      </c>
      <c r="I270" s="4">
        <f t="shared" si="27"/>
        <v>16</v>
      </c>
      <c r="J270" s="4">
        <f t="shared" si="28"/>
        <v>204</v>
      </c>
      <c r="K270" s="4" t="s">
        <v>503</v>
      </c>
      <c r="L270" s="4">
        <f t="shared" si="29"/>
        <v>1</v>
      </c>
    </row>
    <row r="271" spans="1:12">
      <c r="A271" s="4">
        <v>68</v>
      </c>
      <c r="B271" s="4" t="s">
        <v>71</v>
      </c>
      <c r="C271" s="4" t="str">
        <f t="shared" si="24"/>
        <v>68|C</v>
      </c>
      <c r="D271" s="4">
        <f>INDEX('Frequency 1-72'!$B$2:$E$73,A271,MATCH(B271,{"A","C","G","U"},0))</f>
        <v>62</v>
      </c>
      <c r="E271" s="4">
        <f>'Frequency 1-72'!G69</f>
        <v>200</v>
      </c>
      <c r="F271" s="12">
        <v>1</v>
      </c>
      <c r="G271" s="14">
        <f t="shared" si="25"/>
        <v>0.31</v>
      </c>
      <c r="H271" s="14">
        <f t="shared" si="26"/>
        <v>0.30882352941176472</v>
      </c>
      <c r="I271" s="4">
        <f t="shared" si="27"/>
        <v>63</v>
      </c>
      <c r="J271" s="4">
        <f t="shared" si="28"/>
        <v>204</v>
      </c>
      <c r="K271" s="4" t="s">
        <v>503</v>
      </c>
      <c r="L271" s="4">
        <f t="shared" si="29"/>
        <v>1</v>
      </c>
    </row>
    <row r="272" spans="1:12">
      <c r="A272" s="4">
        <v>68</v>
      </c>
      <c r="B272" s="4" t="s">
        <v>70</v>
      </c>
      <c r="C272" s="4" t="str">
        <f t="shared" si="24"/>
        <v>68|G</v>
      </c>
      <c r="D272" s="4">
        <f>INDEX('Frequency 1-72'!$B$2:$E$73,A272,MATCH(B272,{"A","C","G","U"},0))</f>
        <v>87</v>
      </c>
      <c r="E272" s="4">
        <f>'Frequency 1-72'!G69</f>
        <v>200</v>
      </c>
      <c r="F272" s="12">
        <v>1</v>
      </c>
      <c r="G272" s="14">
        <f t="shared" si="25"/>
        <v>0.435</v>
      </c>
      <c r="H272" s="14">
        <f t="shared" si="26"/>
        <v>0.43137254901960786</v>
      </c>
      <c r="I272" s="4">
        <f t="shared" si="27"/>
        <v>88</v>
      </c>
      <c r="J272" s="4">
        <f t="shared" si="28"/>
        <v>204</v>
      </c>
      <c r="K272" s="4" t="s">
        <v>503</v>
      </c>
      <c r="L272" s="4">
        <f t="shared" si="29"/>
        <v>1</v>
      </c>
    </row>
    <row r="273" spans="1:12">
      <c r="A273" s="4">
        <v>68</v>
      </c>
      <c r="B273" s="4" t="s">
        <v>72</v>
      </c>
      <c r="C273" s="4" t="str">
        <f t="shared" si="24"/>
        <v>68|U</v>
      </c>
      <c r="D273" s="4">
        <f>INDEX('Frequency 1-72'!$B$2:$E$73,A273,MATCH(B273,{"A","C","G","U"},0))</f>
        <v>36</v>
      </c>
      <c r="E273" s="4">
        <f>'Frequency 1-72'!G69</f>
        <v>200</v>
      </c>
      <c r="F273" s="12">
        <v>1</v>
      </c>
      <c r="G273" s="14">
        <f t="shared" si="25"/>
        <v>0.18</v>
      </c>
      <c r="H273" s="14">
        <f t="shared" si="26"/>
        <v>0.18137254901960784</v>
      </c>
      <c r="I273" s="4">
        <f t="shared" si="27"/>
        <v>37</v>
      </c>
      <c r="J273" s="4">
        <f t="shared" si="28"/>
        <v>204</v>
      </c>
      <c r="K273" s="4" t="s">
        <v>503</v>
      </c>
      <c r="L273" s="4">
        <f t="shared" si="29"/>
        <v>1</v>
      </c>
    </row>
    <row r="274" spans="1:12">
      <c r="A274" s="4">
        <v>69</v>
      </c>
      <c r="B274" s="4" t="s">
        <v>73</v>
      </c>
      <c r="C274" s="4" t="str">
        <f t="shared" si="24"/>
        <v>69|A</v>
      </c>
      <c r="D274" s="4">
        <f>INDEX('Frequency 1-72'!$B$2:$E$73,A274,MATCH(B274,{"A","C","G","U"},0))</f>
        <v>25</v>
      </c>
      <c r="E274" s="4">
        <f>'Frequency 1-72'!G70</f>
        <v>200</v>
      </c>
      <c r="F274" s="12">
        <v>1</v>
      </c>
      <c r="G274" s="14">
        <f t="shared" si="25"/>
        <v>0.125</v>
      </c>
      <c r="H274" s="14">
        <f t="shared" si="26"/>
        <v>0.12745098039215685</v>
      </c>
      <c r="I274" s="4">
        <f t="shared" si="27"/>
        <v>26</v>
      </c>
      <c r="J274" s="4">
        <f t="shared" si="28"/>
        <v>204</v>
      </c>
      <c r="K274" s="4" t="s">
        <v>503</v>
      </c>
      <c r="L274" s="4">
        <f t="shared" si="29"/>
        <v>1</v>
      </c>
    </row>
    <row r="275" spans="1:12">
      <c r="A275" s="4">
        <v>69</v>
      </c>
      <c r="B275" s="4" t="s">
        <v>71</v>
      </c>
      <c r="C275" s="4" t="str">
        <f t="shared" si="24"/>
        <v>69|C</v>
      </c>
      <c r="D275" s="4">
        <f>INDEX('Frequency 1-72'!$B$2:$E$73,A275,MATCH(B275,{"A","C","G","U"},0))</f>
        <v>88</v>
      </c>
      <c r="E275" s="4">
        <f>'Frequency 1-72'!G70</f>
        <v>200</v>
      </c>
      <c r="F275" s="12">
        <v>1</v>
      </c>
      <c r="G275" s="14">
        <f t="shared" si="25"/>
        <v>0.44</v>
      </c>
      <c r="H275" s="14">
        <f t="shared" si="26"/>
        <v>0.43627450980392157</v>
      </c>
      <c r="I275" s="4">
        <f t="shared" si="27"/>
        <v>89</v>
      </c>
      <c r="J275" s="4">
        <f t="shared" si="28"/>
        <v>204</v>
      </c>
      <c r="K275" s="4" t="s">
        <v>503</v>
      </c>
      <c r="L275" s="4">
        <f t="shared" si="29"/>
        <v>1</v>
      </c>
    </row>
    <row r="276" spans="1:12">
      <c r="A276" s="4">
        <v>69</v>
      </c>
      <c r="B276" s="4" t="s">
        <v>70</v>
      </c>
      <c r="C276" s="4" t="str">
        <f t="shared" si="24"/>
        <v>69|G</v>
      </c>
      <c r="D276" s="4">
        <f>INDEX('Frequency 1-72'!$B$2:$E$73,A276,MATCH(B276,{"A","C","G","U"},0))</f>
        <v>70</v>
      </c>
      <c r="E276" s="4">
        <f>'Frequency 1-72'!G70</f>
        <v>200</v>
      </c>
      <c r="F276" s="12">
        <v>1</v>
      </c>
      <c r="G276" s="14">
        <f t="shared" si="25"/>
        <v>0.35</v>
      </c>
      <c r="H276" s="14">
        <f t="shared" si="26"/>
        <v>0.34803921568627449</v>
      </c>
      <c r="I276" s="4">
        <f t="shared" si="27"/>
        <v>71</v>
      </c>
      <c r="J276" s="4">
        <f t="shared" si="28"/>
        <v>204</v>
      </c>
      <c r="K276" s="4" t="s">
        <v>503</v>
      </c>
      <c r="L276" s="4">
        <f t="shared" si="29"/>
        <v>1</v>
      </c>
    </row>
    <row r="277" spans="1:12">
      <c r="A277" s="4">
        <v>69</v>
      </c>
      <c r="B277" s="4" t="s">
        <v>72</v>
      </c>
      <c r="C277" s="4" t="str">
        <f t="shared" si="24"/>
        <v>69|U</v>
      </c>
      <c r="D277" s="4">
        <f>INDEX('Frequency 1-72'!$B$2:$E$73,A277,MATCH(B277,{"A","C","G","U"},0))</f>
        <v>17</v>
      </c>
      <c r="E277" s="4">
        <f>'Frequency 1-72'!G70</f>
        <v>200</v>
      </c>
      <c r="F277" s="12">
        <v>1</v>
      </c>
      <c r="G277" s="14">
        <f t="shared" si="25"/>
        <v>8.5000000000000006E-2</v>
      </c>
      <c r="H277" s="14">
        <f t="shared" si="26"/>
        <v>8.8235294117647065E-2</v>
      </c>
      <c r="I277" s="4">
        <f t="shared" si="27"/>
        <v>18</v>
      </c>
      <c r="J277" s="4">
        <f t="shared" si="28"/>
        <v>204</v>
      </c>
      <c r="K277" s="4" t="s">
        <v>503</v>
      </c>
      <c r="L277" s="4">
        <f t="shared" si="29"/>
        <v>1</v>
      </c>
    </row>
    <row r="278" spans="1:12">
      <c r="A278" s="4">
        <v>70</v>
      </c>
      <c r="B278" s="4" t="s">
        <v>73</v>
      </c>
      <c r="C278" s="4" t="str">
        <f t="shared" si="24"/>
        <v>70|A</v>
      </c>
      <c r="D278" s="4">
        <f>INDEX('Frequency 1-72'!$B$2:$E$73,A278,MATCH(B278,{"A","C","G","U"},0))</f>
        <v>23</v>
      </c>
      <c r="E278" s="4">
        <f>'Frequency 1-72'!G71</f>
        <v>200</v>
      </c>
      <c r="F278" s="12">
        <v>1</v>
      </c>
      <c r="G278" s="14">
        <f t="shared" si="25"/>
        <v>0.115</v>
      </c>
      <c r="H278" s="14">
        <f t="shared" si="26"/>
        <v>0.11764705882352941</v>
      </c>
      <c r="I278" s="4">
        <f t="shared" si="27"/>
        <v>24</v>
      </c>
      <c r="J278" s="4">
        <f t="shared" si="28"/>
        <v>204</v>
      </c>
      <c r="K278" s="4" t="s">
        <v>503</v>
      </c>
      <c r="L278" s="4">
        <f t="shared" si="29"/>
        <v>1</v>
      </c>
    </row>
    <row r="279" spans="1:12">
      <c r="A279" s="4">
        <v>70</v>
      </c>
      <c r="B279" s="4" t="s">
        <v>71</v>
      </c>
      <c r="C279" s="4" t="str">
        <f t="shared" si="24"/>
        <v>70|C</v>
      </c>
      <c r="D279" s="4">
        <f>INDEX('Frequency 1-72'!$B$2:$E$73,A279,MATCH(B279,{"A","C","G","U"},0))</f>
        <v>72</v>
      </c>
      <c r="E279" s="4">
        <f>'Frequency 1-72'!G71</f>
        <v>200</v>
      </c>
      <c r="F279" s="12">
        <v>1</v>
      </c>
      <c r="G279" s="14">
        <f t="shared" si="25"/>
        <v>0.36</v>
      </c>
      <c r="H279" s="14">
        <f t="shared" si="26"/>
        <v>0.35784313725490197</v>
      </c>
      <c r="I279" s="4">
        <f t="shared" si="27"/>
        <v>73</v>
      </c>
      <c r="J279" s="4">
        <f t="shared" si="28"/>
        <v>204</v>
      </c>
      <c r="K279" s="4" t="s">
        <v>503</v>
      </c>
      <c r="L279" s="4">
        <f t="shared" si="29"/>
        <v>1</v>
      </c>
    </row>
    <row r="280" spans="1:12">
      <c r="A280" s="4">
        <v>70</v>
      </c>
      <c r="B280" s="4" t="s">
        <v>70</v>
      </c>
      <c r="C280" s="4" t="str">
        <f t="shared" si="24"/>
        <v>70|G</v>
      </c>
      <c r="D280" s="4">
        <f>INDEX('Frequency 1-72'!$B$2:$E$73,A280,MATCH(B280,{"A","C","G","U"},0))</f>
        <v>75</v>
      </c>
      <c r="E280" s="4">
        <f>'Frequency 1-72'!G71</f>
        <v>200</v>
      </c>
      <c r="F280" s="12">
        <v>1</v>
      </c>
      <c r="G280" s="14">
        <f t="shared" si="25"/>
        <v>0.375</v>
      </c>
      <c r="H280" s="14">
        <f t="shared" si="26"/>
        <v>0.37254901960784315</v>
      </c>
      <c r="I280" s="4">
        <f t="shared" si="27"/>
        <v>76</v>
      </c>
      <c r="J280" s="4">
        <f t="shared" si="28"/>
        <v>204</v>
      </c>
      <c r="K280" s="4" t="s">
        <v>503</v>
      </c>
      <c r="L280" s="4">
        <f t="shared" si="29"/>
        <v>1</v>
      </c>
    </row>
    <row r="281" spans="1:12">
      <c r="A281" s="4">
        <v>70</v>
      </c>
      <c r="B281" s="4" t="s">
        <v>72</v>
      </c>
      <c r="C281" s="4" t="str">
        <f t="shared" si="24"/>
        <v>70|U</v>
      </c>
      <c r="D281" s="4">
        <f>INDEX('Frequency 1-72'!$B$2:$E$73,A281,MATCH(B281,{"A","C","G","U"},0))</f>
        <v>30</v>
      </c>
      <c r="E281" s="4">
        <f>'Frequency 1-72'!G71</f>
        <v>200</v>
      </c>
      <c r="F281" s="12">
        <v>1</v>
      </c>
      <c r="G281" s="14">
        <f t="shared" si="25"/>
        <v>0.15</v>
      </c>
      <c r="H281" s="14">
        <f t="shared" si="26"/>
        <v>0.15196078431372548</v>
      </c>
      <c r="I281" s="4">
        <f t="shared" si="27"/>
        <v>31</v>
      </c>
      <c r="J281" s="4">
        <f t="shared" si="28"/>
        <v>204</v>
      </c>
      <c r="K281" s="4" t="s">
        <v>503</v>
      </c>
      <c r="L281" s="4">
        <f t="shared" si="29"/>
        <v>1</v>
      </c>
    </row>
    <row r="282" spans="1:12">
      <c r="A282" s="4">
        <v>71</v>
      </c>
      <c r="B282" s="4" t="s">
        <v>73</v>
      </c>
      <c r="C282" s="4" t="str">
        <f t="shared" si="24"/>
        <v>71|A</v>
      </c>
      <c r="D282" s="4">
        <f>INDEX('Frequency 1-72'!$B$2:$E$73,A282,MATCH(B282,{"A","C","G","U"},0))</f>
        <v>5</v>
      </c>
      <c r="E282" s="4">
        <f>'Frequency 1-72'!G72</f>
        <v>200</v>
      </c>
      <c r="F282" s="12">
        <v>1</v>
      </c>
      <c r="G282" s="14">
        <f t="shared" si="25"/>
        <v>2.5000000000000001E-2</v>
      </c>
      <c r="H282" s="14">
        <f t="shared" si="26"/>
        <v>2.9411764705882353E-2</v>
      </c>
      <c r="I282" s="4">
        <f t="shared" si="27"/>
        <v>6</v>
      </c>
      <c r="J282" s="4">
        <f t="shared" si="28"/>
        <v>204</v>
      </c>
      <c r="K282" s="4" t="s">
        <v>503</v>
      </c>
      <c r="L282" s="4">
        <f t="shared" si="29"/>
        <v>1</v>
      </c>
    </row>
    <row r="283" spans="1:12">
      <c r="A283" s="4">
        <v>71</v>
      </c>
      <c r="B283" s="4" t="s">
        <v>71</v>
      </c>
      <c r="C283" s="4" t="str">
        <f t="shared" si="24"/>
        <v>71|C</v>
      </c>
      <c r="D283" s="4">
        <f>INDEX('Frequency 1-72'!$B$2:$E$73,A283,MATCH(B283,{"A","C","G","U"},0))</f>
        <v>104</v>
      </c>
      <c r="E283" s="4">
        <f>'Frequency 1-72'!G72</f>
        <v>200</v>
      </c>
      <c r="F283" s="12">
        <v>1</v>
      </c>
      <c r="G283" s="14">
        <f t="shared" si="25"/>
        <v>0.52</v>
      </c>
      <c r="H283" s="14">
        <f t="shared" si="26"/>
        <v>0.51470588235294112</v>
      </c>
      <c r="I283" s="4">
        <f t="shared" si="27"/>
        <v>105</v>
      </c>
      <c r="J283" s="4">
        <f t="shared" si="28"/>
        <v>204</v>
      </c>
      <c r="K283" s="4" t="s">
        <v>503</v>
      </c>
      <c r="L283" s="4">
        <f t="shared" si="29"/>
        <v>1</v>
      </c>
    </row>
    <row r="284" spans="1:12">
      <c r="A284" s="4">
        <v>71</v>
      </c>
      <c r="B284" s="4" t="s">
        <v>70</v>
      </c>
      <c r="C284" s="4" t="str">
        <f t="shared" si="24"/>
        <v>71|G</v>
      </c>
      <c r="D284" s="4">
        <f>INDEX('Frequency 1-72'!$B$2:$E$73,A284,MATCH(B284,{"A","C","G","U"},0))</f>
        <v>82</v>
      </c>
      <c r="E284" s="4">
        <f>'Frequency 1-72'!G72</f>
        <v>200</v>
      </c>
      <c r="F284" s="12">
        <v>1</v>
      </c>
      <c r="G284" s="14">
        <f t="shared" si="25"/>
        <v>0.41</v>
      </c>
      <c r="H284" s="14">
        <f t="shared" si="26"/>
        <v>0.40686274509803921</v>
      </c>
      <c r="I284" s="4">
        <f t="shared" si="27"/>
        <v>83</v>
      </c>
      <c r="J284" s="4">
        <f t="shared" si="28"/>
        <v>204</v>
      </c>
      <c r="K284" s="4" t="s">
        <v>503</v>
      </c>
      <c r="L284" s="4">
        <f t="shared" si="29"/>
        <v>1</v>
      </c>
    </row>
    <row r="285" spans="1:12">
      <c r="A285" s="4">
        <v>71</v>
      </c>
      <c r="B285" s="4" t="s">
        <v>72</v>
      </c>
      <c r="C285" s="4" t="str">
        <f t="shared" si="24"/>
        <v>71|U</v>
      </c>
      <c r="D285" s="4">
        <f>INDEX('Frequency 1-72'!$B$2:$E$73,A285,MATCH(B285,{"A","C","G","U"},0))</f>
        <v>9</v>
      </c>
      <c r="E285" s="4">
        <f>'Frequency 1-72'!G72</f>
        <v>200</v>
      </c>
      <c r="F285" s="12">
        <v>1</v>
      </c>
      <c r="G285" s="14">
        <f t="shared" si="25"/>
        <v>4.4999999999999998E-2</v>
      </c>
      <c r="H285" s="14">
        <f t="shared" si="26"/>
        <v>4.9019607843137254E-2</v>
      </c>
      <c r="I285" s="4">
        <f t="shared" si="27"/>
        <v>10</v>
      </c>
      <c r="J285" s="4">
        <f t="shared" si="28"/>
        <v>204</v>
      </c>
      <c r="K285" s="4" t="s">
        <v>503</v>
      </c>
      <c r="L285" s="4">
        <f t="shared" si="29"/>
        <v>1</v>
      </c>
    </row>
    <row r="286" spans="1:12">
      <c r="A286" s="4">
        <v>72</v>
      </c>
      <c r="B286" s="4" t="s">
        <v>73</v>
      </c>
      <c r="C286" s="4" t="str">
        <f t="shared" si="24"/>
        <v>72|A</v>
      </c>
      <c r="D286" s="4">
        <f>INDEX('Frequency 1-72'!$B$2:$E$73,A286,MATCH(B286,{"A","C","G","U"},0))</f>
        <v>16</v>
      </c>
      <c r="E286" s="4">
        <f>'Frequency 1-72'!G73</f>
        <v>200</v>
      </c>
      <c r="F286" s="12">
        <v>1</v>
      </c>
      <c r="G286" s="14">
        <f t="shared" si="25"/>
        <v>0.08</v>
      </c>
      <c r="H286" s="14">
        <f t="shared" si="26"/>
        <v>8.3333333333333329E-2</v>
      </c>
      <c r="I286" s="4">
        <f t="shared" si="27"/>
        <v>17</v>
      </c>
      <c r="J286" s="4">
        <f t="shared" si="28"/>
        <v>204</v>
      </c>
      <c r="K286" s="4" t="s">
        <v>503</v>
      </c>
      <c r="L286" s="4">
        <f t="shared" si="29"/>
        <v>1</v>
      </c>
    </row>
    <row r="287" spans="1:12">
      <c r="A287" s="4">
        <v>72</v>
      </c>
      <c r="B287" s="4" t="s">
        <v>71</v>
      </c>
      <c r="C287" s="4" t="str">
        <f t="shared" si="24"/>
        <v>72|C</v>
      </c>
      <c r="D287" s="4">
        <f>INDEX('Frequency 1-72'!$B$2:$E$73,A287,MATCH(B287,{"A","C","G","U"},0))</f>
        <v>145</v>
      </c>
      <c r="E287" s="4">
        <f>'Frequency 1-72'!G73</f>
        <v>200</v>
      </c>
      <c r="F287" s="12">
        <v>1</v>
      </c>
      <c r="G287" s="14">
        <f t="shared" si="25"/>
        <v>0.72499999999999998</v>
      </c>
      <c r="H287" s="14">
        <f t="shared" si="26"/>
        <v>0.71568627450980393</v>
      </c>
      <c r="I287" s="4">
        <f t="shared" si="27"/>
        <v>146</v>
      </c>
      <c r="J287" s="4">
        <f t="shared" si="28"/>
        <v>204</v>
      </c>
      <c r="K287" s="4" t="s">
        <v>503</v>
      </c>
      <c r="L287" s="4">
        <f t="shared" si="29"/>
        <v>1</v>
      </c>
    </row>
    <row r="288" spans="1:12">
      <c r="A288" s="4">
        <v>72</v>
      </c>
      <c r="B288" s="4" t="s">
        <v>70</v>
      </c>
      <c r="C288" s="4" t="str">
        <f t="shared" si="24"/>
        <v>72|G</v>
      </c>
      <c r="D288" s="4">
        <f>INDEX('Frequency 1-72'!$B$2:$E$73,A288,MATCH(B288,{"A","C","G","U"},0))</f>
        <v>18</v>
      </c>
      <c r="E288" s="4">
        <f>'Frequency 1-72'!G73</f>
        <v>200</v>
      </c>
      <c r="F288" s="12">
        <v>1</v>
      </c>
      <c r="G288" s="14">
        <f t="shared" si="25"/>
        <v>0.09</v>
      </c>
      <c r="H288" s="14">
        <f t="shared" si="26"/>
        <v>9.3137254901960786E-2</v>
      </c>
      <c r="I288" s="4">
        <f t="shared" si="27"/>
        <v>19</v>
      </c>
      <c r="J288" s="4">
        <f t="shared" si="28"/>
        <v>204</v>
      </c>
      <c r="K288" s="4" t="s">
        <v>503</v>
      </c>
      <c r="L288" s="4">
        <f t="shared" si="29"/>
        <v>1</v>
      </c>
    </row>
    <row r="289" spans="1:12">
      <c r="A289" s="4">
        <v>72</v>
      </c>
      <c r="B289" s="4" t="s">
        <v>72</v>
      </c>
      <c r="C289" s="4" t="str">
        <f t="shared" si="24"/>
        <v>72|U</v>
      </c>
      <c r="D289" s="4">
        <f>INDEX('Frequency 1-72'!$B$2:$E$73,A289,MATCH(B289,{"A","C","G","U"},0))</f>
        <v>21</v>
      </c>
      <c r="E289" s="4">
        <f>'Frequency 1-72'!G73</f>
        <v>200</v>
      </c>
      <c r="F289" s="12">
        <v>1</v>
      </c>
      <c r="G289" s="14">
        <f t="shared" si="25"/>
        <v>0.105</v>
      </c>
      <c r="H289" s="14">
        <f t="shared" si="26"/>
        <v>0.10784313725490197</v>
      </c>
      <c r="I289" s="4">
        <f t="shared" si="27"/>
        <v>22</v>
      </c>
      <c r="J289" s="4">
        <f t="shared" si="28"/>
        <v>204</v>
      </c>
      <c r="K289" s="4" t="s">
        <v>503</v>
      </c>
      <c r="L289" s="4">
        <f t="shared" si="29"/>
        <v>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dimension ref="A1:BU15"/>
  <sheetViews>
    <sheetView workbookViewId="0"/>
  </sheetViews>
  <sheetFormatPr defaultColWidth="8.7109375" defaultRowHeight="15"/>
  <cols>
    <col min="1" max="1" width="20" customWidth="1"/>
  </cols>
  <sheetData>
    <row r="1" spans="1:73" ht="15.75">
      <c r="A1" s="2" t="s">
        <v>504</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row>
    <row r="2" spans="1:73">
      <c r="A2" s="11" t="s">
        <v>505</v>
      </c>
      <c r="B2" s="11">
        <v>1</v>
      </c>
      <c r="C2" s="11">
        <v>2</v>
      </c>
      <c r="D2" s="11">
        <v>3</v>
      </c>
      <c r="E2" s="11">
        <v>4</v>
      </c>
      <c r="F2" s="11">
        <v>5</v>
      </c>
      <c r="G2" s="11">
        <v>6</v>
      </c>
      <c r="H2" s="11">
        <v>7</v>
      </c>
      <c r="I2" s="11">
        <v>8</v>
      </c>
      <c r="J2" s="11">
        <v>9</v>
      </c>
      <c r="K2" s="11">
        <v>10</v>
      </c>
      <c r="L2" s="11">
        <v>11</v>
      </c>
      <c r="M2" s="11">
        <v>12</v>
      </c>
      <c r="N2" s="11">
        <v>13</v>
      </c>
      <c r="O2" s="11">
        <v>14</v>
      </c>
      <c r="P2" s="11">
        <v>15</v>
      </c>
      <c r="Q2" s="11">
        <v>16</v>
      </c>
      <c r="R2" s="11">
        <v>17</v>
      </c>
      <c r="S2" s="11">
        <v>18</v>
      </c>
      <c r="T2" s="11">
        <v>19</v>
      </c>
      <c r="U2" s="11">
        <v>20</v>
      </c>
      <c r="V2" s="11">
        <v>21</v>
      </c>
      <c r="W2" s="11">
        <v>22</v>
      </c>
      <c r="X2" s="11">
        <v>23</v>
      </c>
      <c r="Y2" s="11">
        <v>24</v>
      </c>
      <c r="Z2" s="11">
        <v>25</v>
      </c>
      <c r="AA2" s="11">
        <v>26</v>
      </c>
      <c r="AB2" s="11">
        <v>27</v>
      </c>
      <c r="AC2" s="11">
        <v>28</v>
      </c>
      <c r="AD2" s="11">
        <v>29</v>
      </c>
      <c r="AE2" s="11">
        <v>30</v>
      </c>
      <c r="AF2" s="11">
        <v>31</v>
      </c>
      <c r="AG2" s="11">
        <v>32</v>
      </c>
      <c r="AH2" s="11">
        <v>33</v>
      </c>
      <c r="AI2" s="11">
        <v>34</v>
      </c>
      <c r="AJ2" s="11">
        <v>35</v>
      </c>
      <c r="AK2" s="11">
        <v>36</v>
      </c>
      <c r="AL2" s="11">
        <v>37</v>
      </c>
      <c r="AM2" s="11">
        <v>38</v>
      </c>
      <c r="AN2" s="11">
        <v>39</v>
      </c>
      <c r="AO2" s="11">
        <v>40</v>
      </c>
      <c r="AP2" s="11">
        <v>41</v>
      </c>
      <c r="AQ2" s="11">
        <v>42</v>
      </c>
      <c r="AR2" s="11">
        <v>43</v>
      </c>
      <c r="AS2" s="11">
        <v>44</v>
      </c>
      <c r="AT2" s="11">
        <v>45</v>
      </c>
      <c r="AU2" s="11">
        <v>46</v>
      </c>
      <c r="AV2" s="11">
        <v>47</v>
      </c>
      <c r="AW2" s="11">
        <v>48</v>
      </c>
      <c r="AX2" s="11">
        <v>49</v>
      </c>
      <c r="AY2" s="11">
        <v>50</v>
      </c>
      <c r="AZ2" s="11">
        <v>51</v>
      </c>
      <c r="BA2" s="11">
        <v>52</v>
      </c>
      <c r="BB2" s="11">
        <v>53</v>
      </c>
      <c r="BC2" s="11">
        <v>54</v>
      </c>
      <c r="BD2" s="11">
        <v>55</v>
      </c>
      <c r="BE2" s="11">
        <v>56</v>
      </c>
      <c r="BF2" s="11">
        <v>57</v>
      </c>
      <c r="BG2" s="11">
        <v>58</v>
      </c>
      <c r="BH2" s="11">
        <v>59</v>
      </c>
      <c r="BI2" s="11">
        <v>60</v>
      </c>
      <c r="BJ2" s="11">
        <v>61</v>
      </c>
      <c r="BK2" s="11">
        <v>62</v>
      </c>
      <c r="BL2" s="11">
        <v>63</v>
      </c>
      <c r="BM2" s="11">
        <v>64</v>
      </c>
      <c r="BN2" s="11">
        <v>65</v>
      </c>
      <c r="BO2" s="11">
        <v>66</v>
      </c>
      <c r="BP2" s="11">
        <v>67</v>
      </c>
      <c r="BQ2" s="11">
        <v>68</v>
      </c>
      <c r="BR2" s="11">
        <v>69</v>
      </c>
      <c r="BS2" s="11">
        <v>70</v>
      </c>
      <c r="BT2" s="11">
        <v>71</v>
      </c>
      <c r="BU2" s="11">
        <v>72</v>
      </c>
    </row>
    <row r="3" spans="1:73">
      <c r="A3" s="5" t="s">
        <v>73</v>
      </c>
      <c r="B3" s="14">
        <f>INDEX('Emission Stepwise'!$H$2:$H$289,MATCH(1&amp;"|"&amp;$A3,'Emission Stepwise'!$C$2:$C$289,0))</f>
        <v>6.8627450980392163E-2</v>
      </c>
      <c r="C3" s="14">
        <f>INDEX('Emission Stepwise'!$H$2:$H$289,MATCH(2&amp;"|"&amp;$A3,'Emission Stepwise'!$C$2:$C$289,0))</f>
        <v>3.4313725490196081E-2</v>
      </c>
      <c r="D3" s="14">
        <f>INDEX('Emission Stepwise'!$H$2:$H$289,MATCH(3&amp;"|"&amp;$A3,'Emission Stepwise'!$C$2:$C$289,0))</f>
        <v>7.3529411764705885E-2</v>
      </c>
      <c r="E3" s="14">
        <f>INDEX('Emission Stepwise'!$H$2:$H$289,MATCH(4&amp;"|"&amp;$A3,'Emission Stepwise'!$C$2:$C$289,0))</f>
        <v>8.3333333333333329E-2</v>
      </c>
      <c r="F3" s="14">
        <f>INDEX('Emission Stepwise'!$H$2:$H$289,MATCH(5&amp;"|"&amp;$A3,'Emission Stepwise'!$C$2:$C$289,0))</f>
        <v>0.15686274509803921</v>
      </c>
      <c r="G3" s="14">
        <f>INDEX('Emission Stepwise'!$H$2:$H$289,MATCH(6&amp;"|"&amp;$A3,'Emission Stepwise'!$C$2:$C$289,0))</f>
        <v>0.17156862745098039</v>
      </c>
      <c r="H3" s="14">
        <f>INDEX('Emission Stepwise'!$H$2:$H$289,MATCH(7&amp;"|"&amp;$A3,'Emission Stepwise'!$C$2:$C$289,0))</f>
        <v>0.24019607843137256</v>
      </c>
      <c r="I3" s="14">
        <f>INDEX('Emission Stepwise'!$H$2:$H$289,MATCH(8&amp;"|"&amp;$A3,'Emission Stepwise'!$C$2:$C$289,0))</f>
        <v>9.8039215686274508E-3</v>
      </c>
      <c r="J3" s="14">
        <f>INDEX('Emission Stepwise'!$H$2:$H$289,MATCH(9&amp;"|"&amp;$A3,'Emission Stepwise'!$C$2:$C$289,0))</f>
        <v>0.65024630541871919</v>
      </c>
      <c r="K3" s="14">
        <f>INDEX('Emission Stepwise'!$H$2:$H$289,MATCH(10&amp;"|"&amp;$A3,'Emission Stepwise'!$C$2:$C$289,0))</f>
        <v>4.9019607843137254E-3</v>
      </c>
      <c r="L3" s="14">
        <f>INDEX('Emission Stepwise'!$H$2:$H$289,MATCH(11&amp;"|"&amp;$A3,'Emission Stepwise'!$C$2:$C$289,0))</f>
        <v>3.9215686274509803E-2</v>
      </c>
      <c r="M3" s="14">
        <f>INDEX('Emission Stepwise'!$H$2:$H$289,MATCH(12&amp;"|"&amp;$A3,'Emission Stepwise'!$C$2:$C$289,0))</f>
        <v>6.8627450980392163E-2</v>
      </c>
      <c r="N3" s="14">
        <f>INDEX('Emission Stepwise'!$H$2:$H$289,MATCH(13&amp;"|"&amp;$A3,'Emission Stepwise'!$C$2:$C$289,0))</f>
        <v>6.8627450980392163E-2</v>
      </c>
      <c r="O3" s="14">
        <f>INDEX('Emission Stepwise'!$H$2:$H$289,MATCH(14&amp;"|"&amp;$A3,'Emission Stepwise'!$C$2:$C$289,0))</f>
        <v>0.97549019607843135</v>
      </c>
      <c r="P3" s="14">
        <f>INDEX('Emission Stepwise'!$H$2:$H$289,MATCH(15&amp;"|"&amp;$A3,'Emission Stepwise'!$C$2:$C$289,0))</f>
        <v>0.16748768472906403</v>
      </c>
      <c r="Q3" s="14">
        <f>INDEX('Emission Stepwise'!$H$2:$H$289,MATCH(16&amp;"|"&amp;$A3,'Emission Stepwise'!$C$2:$C$289,0))</f>
        <v>2.9197080291970802E-2</v>
      </c>
      <c r="R3" s="14">
        <f>INDEX('Emission Stepwise'!$H$2:$H$289,MATCH(17&amp;"|"&amp;$A3,'Emission Stepwise'!$C$2:$C$289,0))</f>
        <v>6.4676616915422883E-2</v>
      </c>
      <c r="S3" s="14">
        <f>INDEX('Emission Stepwise'!$H$2:$H$289,MATCH(18&amp;"|"&amp;$A3,'Emission Stepwise'!$C$2:$C$289,0))</f>
        <v>9.8039215686274508E-3</v>
      </c>
      <c r="T3" s="14">
        <f>INDEX('Emission Stepwise'!$H$2:$H$289,MATCH(19&amp;"|"&amp;$A3,'Emission Stepwise'!$C$2:$C$289,0))</f>
        <v>9.8039215686274508E-3</v>
      </c>
      <c r="U3" s="14">
        <f>INDEX('Emission Stepwise'!$H$2:$H$289,MATCH(20&amp;"|"&amp;$A3,'Emission Stepwise'!$C$2:$C$289,0))</f>
        <v>8.8669950738916259E-2</v>
      </c>
      <c r="V3" s="14">
        <f>INDEX('Emission Stepwise'!$H$2:$H$289,MATCH(21&amp;"|"&amp;$A3,'Emission Stepwise'!$C$2:$C$289,0))</f>
        <v>0.88235294117647056</v>
      </c>
      <c r="W3" s="14">
        <f>INDEX('Emission Stepwise'!$H$2:$H$289,MATCH(22&amp;"|"&amp;$A3,'Emission Stepwise'!$C$2:$C$289,0))</f>
        <v>0.20588235294117646</v>
      </c>
      <c r="X3" s="14">
        <f>INDEX('Emission Stepwise'!$H$2:$H$289,MATCH(23&amp;"|"&amp;$A3,'Emission Stepwise'!$C$2:$C$289,0))</f>
        <v>0.59803921568627449</v>
      </c>
      <c r="Y3" s="14">
        <f>INDEX('Emission Stepwise'!$H$2:$H$289,MATCH(24&amp;"|"&amp;$A3,'Emission Stepwise'!$C$2:$C$289,0))</f>
        <v>0.18627450980392157</v>
      </c>
      <c r="Z3" s="14">
        <f>INDEX('Emission Stepwise'!$H$2:$H$289,MATCH(25&amp;"|"&amp;$A3,'Emission Stepwise'!$C$2:$C$289,0))</f>
        <v>9.8039215686274508E-3</v>
      </c>
      <c r="AA3" s="14">
        <f>INDEX('Emission Stepwise'!$H$2:$H$289,MATCH(26&amp;"|"&amp;$A3,'Emission Stepwise'!$C$2:$C$289,0))</f>
        <v>0.41666666666666669</v>
      </c>
      <c r="AB3" s="14">
        <f>INDEX('Emission Stepwise'!$H$2:$H$289,MATCH(27&amp;"|"&amp;$A3,'Emission Stepwise'!$C$2:$C$289,0))</f>
        <v>0.12254901960784313</v>
      </c>
      <c r="AC3" s="14">
        <f>INDEX('Emission Stepwise'!$H$2:$H$289,MATCH(28&amp;"|"&amp;$A3,'Emission Stepwise'!$C$2:$C$289,0))</f>
        <v>0.12254901960784313</v>
      </c>
      <c r="AD3" s="14">
        <f>INDEX('Emission Stepwise'!$H$2:$H$289,MATCH(29&amp;"|"&amp;$A3,'Emission Stepwise'!$C$2:$C$289,0))</f>
        <v>0.16176470588235295</v>
      </c>
      <c r="AE3" s="14">
        <f>INDEX('Emission Stepwise'!$H$2:$H$289,MATCH(30&amp;"|"&amp;$A3,'Emission Stepwise'!$C$2:$C$289,0))</f>
        <v>4.9019607843137254E-3</v>
      </c>
      <c r="AF3" s="14">
        <f>INDEX('Emission Stepwise'!$H$2:$H$289,MATCH(31&amp;"|"&amp;$A3,'Emission Stepwise'!$C$2:$C$289,0))</f>
        <v>0.26960784313725489</v>
      </c>
      <c r="AG3" s="14">
        <f>INDEX('Emission Stepwise'!$H$2:$H$289,MATCH(32&amp;"|"&amp;$A3,'Emission Stepwise'!$C$2:$C$289,0))</f>
        <v>3.4313725490196081E-2</v>
      </c>
      <c r="AH3" s="14">
        <f>INDEX('Emission Stepwise'!$H$2:$H$289,MATCH(33&amp;"|"&amp;$A3,'Emission Stepwise'!$C$2:$C$289,0))</f>
        <v>9.8039215686274508E-3</v>
      </c>
      <c r="AI3" s="14">
        <f>INDEX('Emission Stepwise'!$H$2:$H$289,MATCH(34&amp;"|"&amp;$A3,'Emission Stepwise'!$C$2:$C$289,0))</f>
        <v>4.9019607843137254E-2</v>
      </c>
      <c r="AJ3" s="14">
        <f>INDEX('Emission Stepwise'!$H$2:$H$289,MATCH(35&amp;"|"&amp;$A3,'Emission Stepwise'!$C$2:$C$289,0))</f>
        <v>0.30882352941176472</v>
      </c>
      <c r="AK3" s="14">
        <f>INDEX('Emission Stepwise'!$H$2:$H$289,MATCH(36&amp;"|"&amp;$A3,'Emission Stepwise'!$C$2:$C$289,0))</f>
        <v>0.21568627450980393</v>
      </c>
      <c r="AL3" s="14">
        <f>INDEX('Emission Stepwise'!$H$2:$H$289,MATCH(37&amp;"|"&amp;$A3,'Emission Stepwise'!$C$2:$C$289,0))</f>
        <v>0.74509803921568629</v>
      </c>
      <c r="AM3" s="14">
        <f>INDEX('Emission Stepwise'!$H$2:$H$289,MATCH(38&amp;"|"&amp;$A3,'Emission Stepwise'!$C$2:$C$289,0))</f>
        <v>0.72549019607843135</v>
      </c>
      <c r="AN3" s="14">
        <f>INDEX('Emission Stepwise'!$H$2:$H$289,MATCH(39&amp;"|"&amp;$A3,'Emission Stepwise'!$C$2:$C$289,0))</f>
        <v>9.3137254901960786E-2</v>
      </c>
      <c r="AO3" s="14">
        <f>INDEX('Emission Stepwise'!$H$2:$H$289,MATCH(40&amp;"|"&amp;$A3,'Emission Stepwise'!$C$2:$C$289,0))</f>
        <v>9.8039215686274508E-3</v>
      </c>
      <c r="AP3" s="14">
        <f>INDEX('Emission Stepwise'!$H$2:$H$289,MATCH(41&amp;"|"&amp;$A3,'Emission Stepwise'!$C$2:$C$289,0))</f>
        <v>0.26960784313725489</v>
      </c>
      <c r="AQ3" s="14">
        <f>INDEX('Emission Stepwise'!$H$2:$H$289,MATCH(42&amp;"|"&amp;$A3,'Emission Stepwise'!$C$2:$C$289,0))</f>
        <v>0.24509803921568626</v>
      </c>
      <c r="AR3" s="14">
        <f>INDEX('Emission Stepwise'!$H$2:$H$289,MATCH(43&amp;"|"&amp;$A3,'Emission Stepwise'!$C$2:$C$289,0))</f>
        <v>0.22549019607843138</v>
      </c>
      <c r="AS3" s="14">
        <f>INDEX('Emission Stepwise'!$H$2:$H$289,MATCH(44&amp;"|"&amp;$A3,'Emission Stepwise'!$C$2:$C$289,0))</f>
        <v>0.49509803921568629</v>
      </c>
      <c r="AT3" s="14">
        <f>INDEX('Emission Stepwise'!$H$2:$H$289,MATCH(45&amp;"|"&amp;$A3,'Emission Stepwise'!$C$2:$C$289,0))</f>
        <v>7.9207920792079209E-2</v>
      </c>
      <c r="AU3" s="14">
        <f>INDEX('Emission Stepwise'!$H$2:$H$289,MATCH(46&amp;"|"&amp;$A3,'Emission Stepwise'!$C$2:$C$289,0))</f>
        <v>9.8265895953757232E-2</v>
      </c>
      <c r="AV3" s="14">
        <f>INDEX('Emission Stepwise'!$H$2:$H$289,MATCH(47&amp;"|"&amp;$A3,'Emission Stepwise'!$C$2:$C$289,0))</f>
        <v>0.13235294117647059</v>
      </c>
      <c r="AW3" s="14">
        <f>INDEX('Emission Stepwise'!$H$2:$H$289,MATCH(48&amp;"|"&amp;$A3,'Emission Stepwise'!$C$2:$C$289,0))</f>
        <v>9.8039215686274508E-3</v>
      </c>
      <c r="AX3" s="14">
        <f>INDEX('Emission Stepwise'!$H$2:$H$289,MATCH(49&amp;"|"&amp;$A3,'Emission Stepwise'!$C$2:$C$289,0))</f>
        <v>0.15686274509803921</v>
      </c>
      <c r="AY3" s="14">
        <f>INDEX('Emission Stepwise'!$H$2:$H$289,MATCH(50&amp;"|"&amp;$A3,'Emission Stepwise'!$C$2:$C$289,0))</f>
        <v>0.11764705882352941</v>
      </c>
      <c r="AZ3" s="14">
        <f>INDEX('Emission Stepwise'!$H$2:$H$289,MATCH(51&amp;"|"&amp;$A3,'Emission Stepwise'!$C$2:$C$289,0))</f>
        <v>0.14285714285714285</v>
      </c>
      <c r="BA3" s="14">
        <f>INDEX('Emission Stepwise'!$H$2:$H$289,MATCH(52&amp;"|"&amp;$A3,'Emission Stepwise'!$C$2:$C$289,0))</f>
        <v>0.13235294117647059</v>
      </c>
      <c r="BB3" s="14">
        <f>INDEX('Emission Stepwise'!$H$2:$H$289,MATCH(53&amp;"|"&amp;$A3,'Emission Stepwise'!$C$2:$C$289,0))</f>
        <v>9.8039215686274508E-3</v>
      </c>
      <c r="BC3" s="14">
        <f>INDEX('Emission Stepwise'!$H$2:$H$289,MATCH(54&amp;"|"&amp;$A3,'Emission Stepwise'!$C$2:$C$289,0))</f>
        <v>1.4705882352941176E-2</v>
      </c>
      <c r="BD3" s="14">
        <f>INDEX('Emission Stepwise'!$H$2:$H$289,MATCH(55&amp;"|"&amp;$A3,'Emission Stepwise'!$C$2:$C$289,0))</f>
        <v>9.8039215686274508E-3</v>
      </c>
      <c r="BE3" s="14">
        <f>INDEX('Emission Stepwise'!$H$2:$H$289,MATCH(56&amp;"|"&amp;$A3,'Emission Stepwise'!$C$2:$C$289,0))</f>
        <v>1.4705882352941176E-2</v>
      </c>
      <c r="BF3" s="14">
        <f>INDEX('Emission Stepwise'!$H$2:$H$289,MATCH(57&amp;"|"&amp;$A3,'Emission Stepwise'!$C$2:$C$289,0))</f>
        <v>0.38423645320197042</v>
      </c>
      <c r="BG3" s="14">
        <f>INDEX('Emission Stepwise'!$H$2:$H$289,MATCH(58&amp;"|"&amp;$A3,'Emission Stepwise'!$C$2:$C$289,0))</f>
        <v>0.97549019607843135</v>
      </c>
      <c r="BH3" s="14">
        <f>INDEX('Emission Stepwise'!$H$2:$H$289,MATCH(59&amp;"|"&amp;$A3,'Emission Stepwise'!$C$2:$C$289,0))</f>
        <v>0.45098039215686275</v>
      </c>
      <c r="BI3" s="14">
        <f>INDEX('Emission Stepwise'!$H$2:$H$289,MATCH(60&amp;"|"&amp;$A3,'Emission Stepwise'!$C$2:$C$289,0))</f>
        <v>9.8039215686274508E-3</v>
      </c>
      <c r="BJ3" s="14">
        <f>INDEX('Emission Stepwise'!$H$2:$H$289,MATCH(61&amp;"|"&amp;$A3,'Emission Stepwise'!$C$2:$C$289,0))</f>
        <v>4.9019607843137254E-3</v>
      </c>
      <c r="BK3" s="14">
        <f>INDEX('Emission Stepwise'!$H$2:$H$289,MATCH(62&amp;"|"&amp;$A3,'Emission Stepwise'!$C$2:$C$289,0))</f>
        <v>1.9607843137254902E-2</v>
      </c>
      <c r="BL3" s="14">
        <f>INDEX('Emission Stepwise'!$H$2:$H$289,MATCH(63&amp;"|"&amp;$A3,'Emission Stepwise'!$C$2:$C$289,0))</f>
        <v>0.11764705882352941</v>
      </c>
      <c r="BM3" s="14">
        <f>INDEX('Emission Stepwise'!$H$2:$H$289,MATCH(64&amp;"|"&amp;$A3,'Emission Stepwise'!$C$2:$C$289,0))</f>
        <v>0.16666666666666666</v>
      </c>
      <c r="BN3" s="14">
        <f>INDEX('Emission Stepwise'!$H$2:$H$289,MATCH(65&amp;"|"&amp;$A3,'Emission Stepwise'!$C$2:$C$289,0))</f>
        <v>4.9261083743842367E-2</v>
      </c>
      <c r="BO3" s="14">
        <f>INDEX('Emission Stepwise'!$H$2:$H$289,MATCH(66&amp;"|"&amp;$A3,'Emission Stepwise'!$C$2:$C$289,0))</f>
        <v>0.21568627450980393</v>
      </c>
      <c r="BP3" s="14">
        <f>INDEX('Emission Stepwise'!$H$2:$H$289,MATCH(67&amp;"|"&amp;$A3,'Emission Stepwise'!$C$2:$C$289,0))</f>
        <v>0.2107843137254902</v>
      </c>
      <c r="BQ3" s="14">
        <f>INDEX('Emission Stepwise'!$H$2:$H$289,MATCH(68&amp;"|"&amp;$A3,'Emission Stepwise'!$C$2:$C$289,0))</f>
        <v>7.8431372549019607E-2</v>
      </c>
      <c r="BR3" s="14">
        <f>INDEX('Emission Stepwise'!$H$2:$H$289,MATCH(69&amp;"|"&amp;$A3,'Emission Stepwise'!$C$2:$C$289,0))</f>
        <v>0.12745098039215685</v>
      </c>
      <c r="BS3" s="14">
        <f>INDEX('Emission Stepwise'!$H$2:$H$289,MATCH(70&amp;"|"&amp;$A3,'Emission Stepwise'!$C$2:$C$289,0))</f>
        <v>0.11764705882352941</v>
      </c>
      <c r="BT3" s="14">
        <f>INDEX('Emission Stepwise'!$H$2:$H$289,MATCH(71&amp;"|"&amp;$A3,'Emission Stepwise'!$C$2:$C$289,0))</f>
        <v>2.9411764705882353E-2</v>
      </c>
      <c r="BU3" s="14">
        <f>INDEX('Emission Stepwise'!$H$2:$H$289,MATCH(72&amp;"|"&amp;$A3,'Emission Stepwise'!$C$2:$C$289,0))</f>
        <v>8.3333333333333329E-2</v>
      </c>
    </row>
    <row r="4" spans="1:73">
      <c r="A4" s="5" t="s">
        <v>71</v>
      </c>
      <c r="B4" s="14">
        <f>INDEX('Emission Stepwise'!$H$2:$H$289,MATCH(1&amp;"|"&amp;$A4,'Emission Stepwise'!$C$2:$C$289,0))</f>
        <v>0.11274509803921569</v>
      </c>
      <c r="C4" s="14">
        <f>INDEX('Emission Stepwise'!$H$2:$H$289,MATCH(2&amp;"|"&amp;$A4,'Emission Stepwise'!$C$2:$C$289,0))</f>
        <v>0.40686274509803921</v>
      </c>
      <c r="D4" s="14">
        <f>INDEX('Emission Stepwise'!$H$2:$H$289,MATCH(3&amp;"|"&amp;$A4,'Emission Stepwise'!$C$2:$C$289,0))</f>
        <v>0.38235294117647056</v>
      </c>
      <c r="E4" s="14">
        <f>INDEX('Emission Stepwise'!$H$2:$H$289,MATCH(4&amp;"|"&amp;$A4,'Emission Stepwise'!$C$2:$C$289,0))</f>
        <v>0.30392156862745096</v>
      </c>
      <c r="F4" s="14">
        <f>INDEX('Emission Stepwise'!$H$2:$H$289,MATCH(5&amp;"|"&amp;$A4,'Emission Stepwise'!$C$2:$C$289,0))</f>
        <v>0.39215686274509803</v>
      </c>
      <c r="G4" s="14">
        <f>INDEX('Emission Stepwise'!$H$2:$H$289,MATCH(6&amp;"|"&amp;$A4,'Emission Stepwise'!$C$2:$C$289,0))</f>
        <v>0.3235294117647059</v>
      </c>
      <c r="H4" s="14">
        <f>INDEX('Emission Stepwise'!$H$2:$H$289,MATCH(7&amp;"|"&amp;$A4,'Emission Stepwise'!$C$2:$C$289,0))</f>
        <v>1.9607843137254902E-2</v>
      </c>
      <c r="I4" s="14">
        <f>INDEX('Emission Stepwise'!$H$2:$H$289,MATCH(8&amp;"|"&amp;$A4,'Emission Stepwise'!$C$2:$C$289,0))</f>
        <v>4.9019607843137254E-3</v>
      </c>
      <c r="J4" s="14">
        <f>INDEX('Emission Stepwise'!$H$2:$H$289,MATCH(9&amp;"|"&amp;$A4,'Emission Stepwise'!$C$2:$C$289,0))</f>
        <v>3.9408866995073892E-2</v>
      </c>
      <c r="K4" s="14">
        <f>INDEX('Emission Stepwise'!$H$2:$H$289,MATCH(10&amp;"|"&amp;$A4,'Emission Stepwise'!$C$2:$C$289,0))</f>
        <v>4.4117647058823532E-2</v>
      </c>
      <c r="L4" s="14">
        <f>INDEX('Emission Stepwise'!$H$2:$H$289,MATCH(11&amp;"|"&amp;$A4,'Emission Stepwise'!$C$2:$C$289,0))</f>
        <v>0.72549019607843135</v>
      </c>
      <c r="M4" s="14">
        <f>INDEX('Emission Stepwise'!$H$2:$H$289,MATCH(12&amp;"|"&amp;$A4,'Emission Stepwise'!$C$2:$C$289,0))</f>
        <v>0.14705882352941177</v>
      </c>
      <c r="N4" s="14">
        <f>INDEX('Emission Stepwise'!$H$2:$H$289,MATCH(13&amp;"|"&amp;$A4,'Emission Stepwise'!$C$2:$C$289,0))</f>
        <v>0.64215686274509809</v>
      </c>
      <c r="O4" s="14">
        <f>INDEX('Emission Stepwise'!$H$2:$H$289,MATCH(14&amp;"|"&amp;$A4,'Emission Stepwise'!$C$2:$C$289,0))</f>
        <v>9.8039215686274508E-3</v>
      </c>
      <c r="P4" s="14">
        <f>INDEX('Emission Stepwise'!$H$2:$H$289,MATCH(15&amp;"|"&amp;$A4,'Emission Stepwise'!$C$2:$C$289,0))</f>
        <v>1.4778325123152709E-2</v>
      </c>
      <c r="Q4" s="14">
        <f>INDEX('Emission Stepwise'!$H$2:$H$289,MATCH(16&amp;"|"&amp;$A4,'Emission Stepwise'!$C$2:$C$289,0))</f>
        <v>0.35766423357664234</v>
      </c>
      <c r="R4" s="14">
        <f>INDEX('Emission Stepwise'!$H$2:$H$289,MATCH(17&amp;"|"&amp;$A4,'Emission Stepwise'!$C$2:$C$289,0))</f>
        <v>0.31840796019900497</v>
      </c>
      <c r="S4" s="14">
        <f>INDEX('Emission Stepwise'!$H$2:$H$289,MATCH(18&amp;"|"&amp;$A4,'Emission Stepwise'!$C$2:$C$289,0))</f>
        <v>4.9019607843137254E-3</v>
      </c>
      <c r="T4" s="14">
        <f>INDEX('Emission Stepwise'!$H$2:$H$289,MATCH(19&amp;"|"&amp;$A4,'Emission Stepwise'!$C$2:$C$289,0))</f>
        <v>4.9019607843137254E-3</v>
      </c>
      <c r="U4" s="14">
        <f>INDEX('Emission Stepwise'!$H$2:$H$289,MATCH(20&amp;"|"&amp;$A4,'Emission Stepwise'!$C$2:$C$289,0))</f>
        <v>0.22660098522167488</v>
      </c>
      <c r="V4" s="14">
        <f>INDEX('Emission Stepwise'!$H$2:$H$289,MATCH(21&amp;"|"&amp;$A4,'Emission Stepwise'!$C$2:$C$289,0))</f>
        <v>2.4509803921568627E-2</v>
      </c>
      <c r="W4" s="14">
        <f>INDEX('Emission Stepwise'!$H$2:$H$289,MATCH(22&amp;"|"&amp;$A4,'Emission Stepwise'!$C$2:$C$289,0))</f>
        <v>4.9019607843137254E-3</v>
      </c>
      <c r="X4" s="14">
        <f>INDEX('Emission Stepwise'!$H$2:$H$289,MATCH(23&amp;"|"&amp;$A4,'Emission Stepwise'!$C$2:$C$289,0))</f>
        <v>0.19117647058823528</v>
      </c>
      <c r="Y4" s="14">
        <f>INDEX('Emission Stepwise'!$H$2:$H$289,MATCH(24&amp;"|"&amp;$A4,'Emission Stepwise'!$C$2:$C$289,0))</f>
        <v>3.4313725490196081E-2</v>
      </c>
      <c r="Z4" s="14">
        <f>INDEX('Emission Stepwise'!$H$2:$H$289,MATCH(25&amp;"|"&amp;$A4,'Emission Stepwise'!$C$2:$C$289,0))</f>
        <v>0.87745098039215685</v>
      </c>
      <c r="AA4" s="14">
        <f>INDEX('Emission Stepwise'!$H$2:$H$289,MATCH(26&amp;"|"&amp;$A4,'Emission Stepwise'!$C$2:$C$289,0))</f>
        <v>2.9411764705882353E-2</v>
      </c>
      <c r="AB4" s="14">
        <f>INDEX('Emission Stepwise'!$H$2:$H$289,MATCH(27&amp;"|"&amp;$A4,'Emission Stepwise'!$C$2:$C$289,0))</f>
        <v>0.46078431372549017</v>
      </c>
      <c r="AC4" s="14">
        <f>INDEX('Emission Stepwise'!$H$2:$H$289,MATCH(28&amp;"|"&amp;$A4,'Emission Stepwise'!$C$2:$C$289,0))</f>
        <v>0.50980392156862742</v>
      </c>
      <c r="AD4" s="14">
        <f>INDEX('Emission Stepwise'!$H$2:$H$289,MATCH(29&amp;"|"&amp;$A4,'Emission Stepwise'!$C$2:$C$289,0))</f>
        <v>0.18137254901960784</v>
      </c>
      <c r="AE4" s="14">
        <f>INDEX('Emission Stepwise'!$H$2:$H$289,MATCH(30&amp;"|"&amp;$A4,'Emission Stepwise'!$C$2:$C$289,0))</f>
        <v>0.21568627450980393</v>
      </c>
      <c r="AF4" s="14">
        <f>INDEX('Emission Stepwise'!$H$2:$H$289,MATCH(31&amp;"|"&amp;$A4,'Emission Stepwise'!$C$2:$C$289,0))</f>
        <v>0.35784313725490197</v>
      </c>
      <c r="AG4" s="14">
        <f>INDEX('Emission Stepwise'!$H$2:$H$289,MATCH(32&amp;"|"&amp;$A4,'Emission Stepwise'!$C$2:$C$289,0))</f>
        <v>0.66666666666666663</v>
      </c>
      <c r="AH4" s="14">
        <f>INDEX('Emission Stepwise'!$H$2:$H$289,MATCH(33&amp;"|"&amp;$A4,'Emission Stepwise'!$C$2:$C$289,0))</f>
        <v>9.8039215686274508E-3</v>
      </c>
      <c r="AI4" s="14">
        <f>INDEX('Emission Stepwise'!$H$2:$H$289,MATCH(34&amp;"|"&amp;$A4,'Emission Stepwise'!$C$2:$C$289,0))</f>
        <v>0.32843137254901961</v>
      </c>
      <c r="AJ4" s="14">
        <f>INDEX('Emission Stepwise'!$H$2:$H$289,MATCH(35&amp;"|"&amp;$A4,'Emission Stepwise'!$C$2:$C$289,0))</f>
        <v>0.23039215686274508</v>
      </c>
      <c r="AK4" s="14">
        <f>INDEX('Emission Stepwise'!$H$2:$H$289,MATCH(36&amp;"|"&amp;$A4,'Emission Stepwise'!$C$2:$C$289,0))</f>
        <v>0.26470588235294118</v>
      </c>
      <c r="AL4" s="14">
        <f>INDEX('Emission Stepwise'!$H$2:$H$289,MATCH(37&amp;"|"&amp;$A4,'Emission Stepwise'!$C$2:$C$289,0))</f>
        <v>9.8039215686274508E-3</v>
      </c>
      <c r="AM4" s="14">
        <f>INDEX('Emission Stepwise'!$H$2:$H$289,MATCH(38&amp;"|"&amp;$A4,'Emission Stepwise'!$C$2:$C$289,0))</f>
        <v>0.14705882352941177</v>
      </c>
      <c r="AN4" s="14">
        <f>INDEX('Emission Stepwise'!$H$2:$H$289,MATCH(39&amp;"|"&amp;$A4,'Emission Stepwise'!$C$2:$C$289,0))</f>
        <v>0.25490196078431371</v>
      </c>
      <c r="AO4" s="14">
        <f>INDEX('Emission Stepwise'!$H$2:$H$289,MATCH(40&amp;"|"&amp;$A4,'Emission Stepwise'!$C$2:$C$289,0))</f>
        <v>0.70588235294117652</v>
      </c>
      <c r="AP4" s="14">
        <f>INDEX('Emission Stepwise'!$H$2:$H$289,MATCH(41&amp;"|"&amp;$A4,'Emission Stepwise'!$C$2:$C$289,0))</f>
        <v>0.38235294117647056</v>
      </c>
      <c r="AQ4" s="14">
        <f>INDEX('Emission Stepwise'!$H$2:$H$289,MATCH(42&amp;"|"&amp;$A4,'Emission Stepwise'!$C$2:$C$289,0))</f>
        <v>0.10294117647058823</v>
      </c>
      <c r="AR4" s="14">
        <f>INDEX('Emission Stepwise'!$H$2:$H$289,MATCH(43&amp;"|"&amp;$A4,'Emission Stepwise'!$C$2:$C$289,0))</f>
        <v>0.11764705882352941</v>
      </c>
      <c r="AS4" s="14">
        <f>INDEX('Emission Stepwise'!$H$2:$H$289,MATCH(44&amp;"|"&amp;$A4,'Emission Stepwise'!$C$2:$C$289,0))</f>
        <v>0.15686274509803921</v>
      </c>
      <c r="AT4" s="14">
        <f>INDEX('Emission Stepwise'!$H$2:$H$289,MATCH(45&amp;"|"&amp;$A4,'Emission Stepwise'!$C$2:$C$289,0))</f>
        <v>2.9702970297029702E-2</v>
      </c>
      <c r="AU4" s="14">
        <f>INDEX('Emission Stepwise'!$H$2:$H$289,MATCH(46&amp;"|"&amp;$A4,'Emission Stepwise'!$C$2:$C$289,0))</f>
        <v>2.8901734104046242E-2</v>
      </c>
      <c r="AV4" s="14">
        <f>INDEX('Emission Stepwise'!$H$2:$H$289,MATCH(47&amp;"|"&amp;$A4,'Emission Stepwise'!$C$2:$C$289,0))</f>
        <v>0.11764705882352941</v>
      </c>
      <c r="AW4" s="14">
        <f>INDEX('Emission Stepwise'!$H$2:$H$289,MATCH(48&amp;"|"&amp;$A4,'Emission Stepwise'!$C$2:$C$289,0))</f>
        <v>0.82843137254901966</v>
      </c>
      <c r="AX4" s="14">
        <f>INDEX('Emission Stepwise'!$H$2:$H$289,MATCH(49&amp;"|"&amp;$A4,'Emission Stepwise'!$C$2:$C$289,0))</f>
        <v>0.28431372549019607</v>
      </c>
      <c r="AY4" s="14">
        <f>INDEX('Emission Stepwise'!$H$2:$H$289,MATCH(50&amp;"|"&amp;$A4,'Emission Stepwise'!$C$2:$C$289,0))</f>
        <v>0.43137254901960786</v>
      </c>
      <c r="AZ4" s="14">
        <f>INDEX('Emission Stepwise'!$H$2:$H$289,MATCH(51&amp;"|"&amp;$A4,'Emission Stepwise'!$C$2:$C$289,0))</f>
        <v>0.20689655172413793</v>
      </c>
      <c r="BA4" s="14">
        <f>INDEX('Emission Stepwise'!$H$2:$H$289,MATCH(52&amp;"|"&amp;$A4,'Emission Stepwise'!$C$2:$C$289,0))</f>
        <v>1.4705882352941176E-2</v>
      </c>
      <c r="BB4" s="14">
        <f>INDEX('Emission Stepwise'!$H$2:$H$289,MATCH(53&amp;"|"&amp;$A4,'Emission Stepwise'!$C$2:$C$289,0))</f>
        <v>9.8039215686274508E-3</v>
      </c>
      <c r="BC4" s="14">
        <f>INDEX('Emission Stepwise'!$H$2:$H$289,MATCH(54&amp;"|"&amp;$A4,'Emission Stepwise'!$C$2:$C$289,0))</f>
        <v>4.9019607843137254E-3</v>
      </c>
      <c r="BD4" s="14">
        <f>INDEX('Emission Stepwise'!$H$2:$H$289,MATCH(55&amp;"|"&amp;$A4,'Emission Stepwise'!$C$2:$C$289,0))</f>
        <v>9.8039215686274508E-3</v>
      </c>
      <c r="BE4" s="14">
        <f>INDEX('Emission Stepwise'!$H$2:$H$289,MATCH(56&amp;"|"&amp;$A4,'Emission Stepwise'!$C$2:$C$289,0))</f>
        <v>0.96568627450980393</v>
      </c>
      <c r="BF4" s="14">
        <f>INDEX('Emission Stepwise'!$H$2:$H$289,MATCH(57&amp;"|"&amp;$A4,'Emission Stepwise'!$C$2:$C$289,0))</f>
        <v>4.9261083743842365E-3</v>
      </c>
      <c r="BG4" s="14">
        <f>INDEX('Emission Stepwise'!$H$2:$H$289,MATCH(58&amp;"|"&amp;$A4,'Emission Stepwise'!$C$2:$C$289,0))</f>
        <v>9.8039215686274508E-3</v>
      </c>
      <c r="BH4" s="14">
        <f>INDEX('Emission Stepwise'!$H$2:$H$289,MATCH(59&amp;"|"&amp;$A4,'Emission Stepwise'!$C$2:$C$289,0))</f>
        <v>6.3725490196078427E-2</v>
      </c>
      <c r="BI4" s="14">
        <f>INDEX('Emission Stepwise'!$H$2:$H$289,MATCH(60&amp;"|"&amp;$A4,'Emission Stepwise'!$C$2:$C$289,0))</f>
        <v>0.20098039215686275</v>
      </c>
      <c r="BJ4" s="14">
        <f>INDEX('Emission Stepwise'!$H$2:$H$289,MATCH(61&amp;"|"&amp;$A4,'Emission Stepwise'!$C$2:$C$289,0))</f>
        <v>0.97549019607843135</v>
      </c>
      <c r="BK4" s="14">
        <f>INDEX('Emission Stepwise'!$H$2:$H$289,MATCH(62&amp;"|"&amp;$A4,'Emission Stepwise'!$C$2:$C$289,0))</f>
        <v>0.83333333333333337</v>
      </c>
      <c r="BL4" s="14">
        <f>INDEX('Emission Stepwise'!$H$2:$H$289,MATCH(63&amp;"|"&amp;$A4,'Emission Stepwise'!$C$2:$C$289,0))</f>
        <v>0.48039215686274511</v>
      </c>
      <c r="BM4" s="14">
        <f>INDEX('Emission Stepwise'!$H$2:$H$289,MATCH(64&amp;"|"&amp;$A4,'Emission Stepwise'!$C$2:$C$289,0))</f>
        <v>0.2107843137254902</v>
      </c>
      <c r="BN4" s="14">
        <f>INDEX('Emission Stepwise'!$H$2:$H$289,MATCH(65&amp;"|"&amp;$A4,'Emission Stepwise'!$C$2:$C$289,0))</f>
        <v>0.31527093596059114</v>
      </c>
      <c r="BO4" s="14">
        <f>INDEX('Emission Stepwise'!$H$2:$H$289,MATCH(66&amp;"|"&amp;$A4,'Emission Stepwise'!$C$2:$C$289,0))</f>
        <v>0.51960784313725494</v>
      </c>
      <c r="BP4" s="14">
        <f>INDEX('Emission Stepwise'!$H$2:$H$289,MATCH(67&amp;"|"&amp;$A4,'Emission Stepwise'!$C$2:$C$289,0))</f>
        <v>0.22549019607843138</v>
      </c>
      <c r="BQ4" s="14">
        <f>INDEX('Emission Stepwise'!$H$2:$H$289,MATCH(68&amp;"|"&amp;$A4,'Emission Stepwise'!$C$2:$C$289,0))</f>
        <v>0.30882352941176472</v>
      </c>
      <c r="BR4" s="14">
        <f>INDEX('Emission Stepwise'!$H$2:$H$289,MATCH(69&amp;"|"&amp;$A4,'Emission Stepwise'!$C$2:$C$289,0))</f>
        <v>0.43627450980392157</v>
      </c>
      <c r="BS4" s="14">
        <f>INDEX('Emission Stepwise'!$H$2:$H$289,MATCH(70&amp;"|"&amp;$A4,'Emission Stepwise'!$C$2:$C$289,0))</f>
        <v>0.35784313725490197</v>
      </c>
      <c r="BT4" s="14">
        <f>INDEX('Emission Stepwise'!$H$2:$H$289,MATCH(71&amp;"|"&amp;$A4,'Emission Stepwise'!$C$2:$C$289,0))</f>
        <v>0.51470588235294112</v>
      </c>
      <c r="BU4" s="14">
        <f>INDEX('Emission Stepwise'!$H$2:$H$289,MATCH(72&amp;"|"&amp;$A4,'Emission Stepwise'!$C$2:$C$289,0))</f>
        <v>0.71568627450980393</v>
      </c>
    </row>
    <row r="5" spans="1:73">
      <c r="A5" s="5" t="s">
        <v>70</v>
      </c>
      <c r="B5" s="14">
        <f>INDEX('Emission Stepwise'!$H$2:$H$289,MATCH(1&amp;"|"&amp;$A5,'Emission Stepwise'!$C$2:$C$289,0))</f>
        <v>0.75</v>
      </c>
      <c r="C5" s="14">
        <f>INDEX('Emission Stepwise'!$H$2:$H$289,MATCH(2&amp;"|"&amp;$A5,'Emission Stepwise'!$C$2:$C$289,0))</f>
        <v>0.52450980392156865</v>
      </c>
      <c r="D5" s="14">
        <f>INDEX('Emission Stepwise'!$H$2:$H$289,MATCH(3&amp;"|"&amp;$A5,'Emission Stepwise'!$C$2:$C$289,0))</f>
        <v>0.4264705882352941</v>
      </c>
      <c r="E5" s="14">
        <f>INDEX('Emission Stepwise'!$H$2:$H$289,MATCH(4&amp;"|"&amp;$A5,'Emission Stepwise'!$C$2:$C$289,0))</f>
        <v>0.44117647058823528</v>
      </c>
      <c r="F5" s="14">
        <f>INDEX('Emission Stepwise'!$H$2:$H$289,MATCH(5&amp;"|"&amp;$A5,'Emission Stepwise'!$C$2:$C$289,0))</f>
        <v>0.34313725490196079</v>
      </c>
      <c r="G5" s="14">
        <f>INDEX('Emission Stepwise'!$H$2:$H$289,MATCH(6&amp;"|"&amp;$A5,'Emission Stepwise'!$C$2:$C$289,0))</f>
        <v>0.24019607843137256</v>
      </c>
      <c r="H5" s="14">
        <f>INDEX('Emission Stepwise'!$H$2:$H$289,MATCH(7&amp;"|"&amp;$A5,'Emission Stepwise'!$C$2:$C$289,0))</f>
        <v>0.51960784313725494</v>
      </c>
      <c r="I5" s="14">
        <f>INDEX('Emission Stepwise'!$H$2:$H$289,MATCH(8&amp;"|"&amp;$A5,'Emission Stepwise'!$C$2:$C$289,0))</f>
        <v>9.8039215686274508E-3</v>
      </c>
      <c r="J5" s="14">
        <f>INDEX('Emission Stepwise'!$H$2:$H$289,MATCH(9&amp;"|"&amp;$A5,'Emission Stepwise'!$C$2:$C$289,0))</f>
        <v>0.30541871921182268</v>
      </c>
      <c r="K5" s="14">
        <f>INDEX('Emission Stepwise'!$H$2:$H$289,MATCH(10&amp;"|"&amp;$A5,'Emission Stepwise'!$C$2:$C$289,0))</f>
        <v>0.94607843137254899</v>
      </c>
      <c r="L5" s="14">
        <f>INDEX('Emission Stepwise'!$H$2:$H$289,MATCH(11&amp;"|"&amp;$A5,'Emission Stepwise'!$C$2:$C$289,0))</f>
        <v>3.4313725490196081E-2</v>
      </c>
      <c r="M5" s="14">
        <f>INDEX('Emission Stepwise'!$H$2:$H$289,MATCH(12&amp;"|"&amp;$A5,'Emission Stepwise'!$C$2:$C$289,0))</f>
        <v>0.19117647058823528</v>
      </c>
      <c r="N5" s="14">
        <f>INDEX('Emission Stepwise'!$H$2:$H$289,MATCH(13&amp;"|"&amp;$A5,'Emission Stepwise'!$C$2:$C$289,0))</f>
        <v>9.8039215686274508E-2</v>
      </c>
      <c r="O5" s="14">
        <f>INDEX('Emission Stepwise'!$H$2:$H$289,MATCH(14&amp;"|"&amp;$A5,'Emission Stepwise'!$C$2:$C$289,0))</f>
        <v>9.8039215686274508E-3</v>
      </c>
      <c r="P5" s="14">
        <f>INDEX('Emission Stepwise'!$H$2:$H$289,MATCH(15&amp;"|"&amp;$A5,'Emission Stepwise'!$C$2:$C$289,0))</f>
        <v>0.80295566502463056</v>
      </c>
      <c r="Q5" s="14">
        <f>INDEX('Emission Stepwise'!$H$2:$H$289,MATCH(16&amp;"|"&amp;$A5,'Emission Stepwise'!$C$2:$C$289,0))</f>
        <v>2.9197080291970802E-2</v>
      </c>
      <c r="R5" s="14">
        <f>INDEX('Emission Stepwise'!$H$2:$H$289,MATCH(17&amp;"|"&amp;$A5,'Emission Stepwise'!$C$2:$C$289,0))</f>
        <v>4.4776119402985072E-2</v>
      </c>
      <c r="S5" s="14">
        <f>INDEX('Emission Stepwise'!$H$2:$H$289,MATCH(18&amp;"|"&amp;$A5,'Emission Stepwise'!$C$2:$C$289,0))</f>
        <v>0.98039215686274506</v>
      </c>
      <c r="T5" s="14">
        <f>INDEX('Emission Stepwise'!$H$2:$H$289,MATCH(19&amp;"|"&amp;$A5,'Emission Stepwise'!$C$2:$C$289,0))</f>
        <v>0.97058823529411764</v>
      </c>
      <c r="U5" s="14">
        <f>INDEX('Emission Stepwise'!$H$2:$H$289,MATCH(20&amp;"|"&amp;$A5,'Emission Stepwise'!$C$2:$C$289,0))</f>
        <v>9.3596059113300489E-2</v>
      </c>
      <c r="V5" s="14">
        <f>INDEX('Emission Stepwise'!$H$2:$H$289,MATCH(21&amp;"|"&amp;$A5,'Emission Stepwise'!$C$2:$C$289,0))</f>
        <v>3.9215686274509803E-2</v>
      </c>
      <c r="W5" s="14">
        <f>INDEX('Emission Stepwise'!$H$2:$H$289,MATCH(22&amp;"|"&amp;$A5,'Emission Stepwise'!$C$2:$C$289,0))</f>
        <v>0.71568627450980393</v>
      </c>
      <c r="X5" s="14">
        <f>INDEX('Emission Stepwise'!$H$2:$H$289,MATCH(23&amp;"|"&amp;$A5,'Emission Stepwise'!$C$2:$C$289,0))</f>
        <v>0.14705882352941177</v>
      </c>
      <c r="Y5" s="14">
        <f>INDEX('Emission Stepwise'!$H$2:$H$289,MATCH(24&amp;"|"&amp;$A5,'Emission Stepwise'!$C$2:$C$289,0))</f>
        <v>0.74019607843137258</v>
      </c>
      <c r="Z5" s="14">
        <f>INDEX('Emission Stepwise'!$H$2:$H$289,MATCH(25&amp;"|"&amp;$A5,'Emission Stepwise'!$C$2:$C$289,0))</f>
        <v>3.9215686274509803E-2</v>
      </c>
      <c r="AA5" s="14">
        <f>INDEX('Emission Stepwise'!$H$2:$H$289,MATCH(26&amp;"|"&amp;$A5,'Emission Stepwise'!$C$2:$C$289,0))</f>
        <v>0.49509803921568629</v>
      </c>
      <c r="AB5" s="14">
        <f>INDEX('Emission Stepwise'!$H$2:$H$289,MATCH(27&amp;"|"&amp;$A5,'Emission Stepwise'!$C$2:$C$289,0))</f>
        <v>0.15686274509803921</v>
      </c>
      <c r="AC5" s="14">
        <f>INDEX('Emission Stepwise'!$H$2:$H$289,MATCH(28&amp;"|"&amp;$A5,'Emission Stepwise'!$C$2:$C$289,0))</f>
        <v>0.11274509803921569</v>
      </c>
      <c r="AD5" s="14">
        <f>INDEX('Emission Stepwise'!$H$2:$H$289,MATCH(29&amp;"|"&amp;$A5,'Emission Stepwise'!$C$2:$C$289,0))</f>
        <v>0.38235294117647056</v>
      </c>
      <c r="AE5" s="14">
        <f>INDEX('Emission Stepwise'!$H$2:$H$289,MATCH(30&amp;"|"&amp;$A5,'Emission Stepwise'!$C$2:$C$289,0))</f>
        <v>0.74019607843137258</v>
      </c>
      <c r="AF5" s="14">
        <f>INDEX('Emission Stepwise'!$H$2:$H$289,MATCH(31&amp;"|"&amp;$A5,'Emission Stepwise'!$C$2:$C$289,0))</f>
        <v>0.27450980392156865</v>
      </c>
      <c r="AG5" s="14">
        <f>INDEX('Emission Stepwise'!$H$2:$H$289,MATCH(32&amp;"|"&amp;$A5,'Emission Stepwise'!$C$2:$C$289,0))</f>
        <v>4.9019607843137254E-3</v>
      </c>
      <c r="AH5" s="14">
        <f>INDEX('Emission Stepwise'!$H$2:$H$289,MATCH(33&amp;"|"&amp;$A5,'Emission Stepwise'!$C$2:$C$289,0))</f>
        <v>4.9019607843137254E-3</v>
      </c>
      <c r="AI5" s="14">
        <f>INDEX('Emission Stepwise'!$H$2:$H$289,MATCH(34&amp;"|"&amp;$A5,'Emission Stepwise'!$C$2:$C$289,0))</f>
        <v>0.33333333333333331</v>
      </c>
      <c r="AJ5" s="14">
        <f>INDEX('Emission Stepwise'!$H$2:$H$289,MATCH(35&amp;"|"&amp;$A5,'Emission Stepwise'!$C$2:$C$289,0))</f>
        <v>0.25490196078431371</v>
      </c>
      <c r="AK5" s="14">
        <f>INDEX('Emission Stepwise'!$H$2:$H$289,MATCH(36&amp;"|"&amp;$A5,'Emission Stepwise'!$C$2:$C$289,0))</f>
        <v>0.16176470588235295</v>
      </c>
      <c r="AL5" s="14">
        <f>INDEX('Emission Stepwise'!$H$2:$H$289,MATCH(37&amp;"|"&amp;$A5,'Emission Stepwise'!$C$2:$C$289,0))</f>
        <v>0.24019607843137256</v>
      </c>
      <c r="AM5" s="14">
        <f>INDEX('Emission Stepwise'!$H$2:$H$289,MATCH(38&amp;"|"&amp;$A5,'Emission Stepwise'!$C$2:$C$289,0))</f>
        <v>9.8039215686274508E-3</v>
      </c>
      <c r="AN5" s="14">
        <f>INDEX('Emission Stepwise'!$H$2:$H$289,MATCH(39&amp;"|"&amp;$A5,'Emission Stepwise'!$C$2:$C$289,0))</f>
        <v>0.35784313725490197</v>
      </c>
      <c r="AO5" s="14">
        <f>INDEX('Emission Stepwise'!$H$2:$H$289,MATCH(40&amp;"|"&amp;$A5,'Emission Stepwise'!$C$2:$C$289,0))</f>
        <v>0.24019607843137256</v>
      </c>
      <c r="AP5" s="14">
        <f>INDEX('Emission Stepwise'!$H$2:$H$289,MATCH(41&amp;"|"&amp;$A5,'Emission Stepwise'!$C$2:$C$289,0))</f>
        <v>0.18137254901960784</v>
      </c>
      <c r="AQ5" s="14">
        <f>INDEX('Emission Stepwise'!$H$2:$H$289,MATCH(42&amp;"|"&amp;$A5,'Emission Stepwise'!$C$2:$C$289,0))</f>
        <v>0.51960784313725494</v>
      </c>
      <c r="AR5" s="14">
        <f>INDEX('Emission Stepwise'!$H$2:$H$289,MATCH(43&amp;"|"&amp;$A5,'Emission Stepwise'!$C$2:$C$289,0))</f>
        <v>0.49509803921568629</v>
      </c>
      <c r="AS5" s="14">
        <f>INDEX('Emission Stepwise'!$H$2:$H$289,MATCH(44&amp;"|"&amp;$A5,'Emission Stepwise'!$C$2:$C$289,0))</f>
        <v>0.23039215686274508</v>
      </c>
      <c r="AT5" s="14">
        <f>INDEX('Emission Stepwise'!$H$2:$H$289,MATCH(45&amp;"|"&amp;$A5,'Emission Stepwise'!$C$2:$C$289,0))</f>
        <v>0.74752475247524752</v>
      </c>
      <c r="AU5" s="14">
        <f>INDEX('Emission Stepwise'!$H$2:$H$289,MATCH(46&amp;"|"&amp;$A5,'Emission Stepwise'!$C$2:$C$289,0))</f>
        <v>0.79768786127167635</v>
      </c>
      <c r="AV5" s="14">
        <f>INDEX('Emission Stepwise'!$H$2:$H$289,MATCH(47&amp;"|"&amp;$A5,'Emission Stepwise'!$C$2:$C$289,0))</f>
        <v>8.3333333333333329E-2</v>
      </c>
      <c r="AW5" s="14">
        <f>INDEX('Emission Stepwise'!$H$2:$H$289,MATCH(48&amp;"|"&amp;$A5,'Emission Stepwise'!$C$2:$C$289,0))</f>
        <v>1.4705882352941176E-2</v>
      </c>
      <c r="AX5" s="14">
        <f>INDEX('Emission Stepwise'!$H$2:$H$289,MATCH(49&amp;"|"&amp;$A5,'Emission Stepwise'!$C$2:$C$289,0))</f>
        <v>0.5</v>
      </c>
      <c r="AY5" s="14">
        <f>INDEX('Emission Stepwise'!$H$2:$H$289,MATCH(50&amp;"|"&amp;$A5,'Emission Stepwise'!$C$2:$C$289,0))</f>
        <v>0.26960784313725489</v>
      </c>
      <c r="AZ5" s="14">
        <f>INDEX('Emission Stepwise'!$H$2:$H$289,MATCH(51&amp;"|"&amp;$A5,'Emission Stepwise'!$C$2:$C$289,0))</f>
        <v>0.49261083743842365</v>
      </c>
      <c r="BA5" s="14">
        <f>INDEX('Emission Stepwise'!$H$2:$H$289,MATCH(52&amp;"|"&amp;$A5,'Emission Stepwise'!$C$2:$C$289,0))</f>
        <v>0.82843137254901966</v>
      </c>
      <c r="BB5" s="14">
        <f>INDEX('Emission Stepwise'!$H$2:$H$289,MATCH(53&amp;"|"&amp;$A5,'Emission Stepwise'!$C$2:$C$289,0))</f>
        <v>0.96568627450980393</v>
      </c>
      <c r="BC5" s="14">
        <f>INDEX('Emission Stepwise'!$H$2:$H$289,MATCH(54&amp;"|"&amp;$A5,'Emission Stepwise'!$C$2:$C$289,0))</f>
        <v>4.9019607843137254E-3</v>
      </c>
      <c r="BD5" s="14">
        <f>INDEX('Emission Stepwise'!$H$2:$H$289,MATCH(55&amp;"|"&amp;$A5,'Emission Stepwise'!$C$2:$C$289,0))</f>
        <v>9.8039215686274508E-3</v>
      </c>
      <c r="BE5" s="14">
        <f>INDEX('Emission Stepwise'!$H$2:$H$289,MATCH(56&amp;"|"&amp;$A5,'Emission Stepwise'!$C$2:$C$289,0))</f>
        <v>9.8039215686274508E-3</v>
      </c>
      <c r="BF5" s="14">
        <f>INDEX('Emission Stepwise'!$H$2:$H$289,MATCH(57&amp;"|"&amp;$A5,'Emission Stepwise'!$C$2:$C$289,0))</f>
        <v>0.60098522167487689</v>
      </c>
      <c r="BG5" s="14">
        <f>INDEX('Emission Stepwise'!$H$2:$H$289,MATCH(58&amp;"|"&amp;$A5,'Emission Stepwise'!$C$2:$C$289,0))</f>
        <v>4.9019607843137254E-3</v>
      </c>
      <c r="BH5" s="14">
        <f>INDEX('Emission Stepwise'!$H$2:$H$289,MATCH(59&amp;"|"&amp;$A5,'Emission Stepwise'!$C$2:$C$289,0))</f>
        <v>0.23529411764705882</v>
      </c>
      <c r="BI5" s="14">
        <f>INDEX('Emission Stepwise'!$H$2:$H$289,MATCH(60&amp;"|"&amp;$A5,'Emission Stepwise'!$C$2:$C$289,0))</f>
        <v>1.4705882352941176E-2</v>
      </c>
      <c r="BJ5" s="14">
        <f>INDEX('Emission Stepwise'!$H$2:$H$289,MATCH(61&amp;"|"&amp;$A5,'Emission Stepwise'!$C$2:$C$289,0))</f>
        <v>9.8039215686274508E-3</v>
      </c>
      <c r="BK5" s="14">
        <f>INDEX('Emission Stepwise'!$H$2:$H$289,MATCH(62&amp;"|"&amp;$A5,'Emission Stepwise'!$C$2:$C$289,0))</f>
        <v>1.4705882352941176E-2</v>
      </c>
      <c r="BL5" s="14">
        <f>INDEX('Emission Stepwise'!$H$2:$H$289,MATCH(63&amp;"|"&amp;$A5,'Emission Stepwise'!$C$2:$C$289,0))</f>
        <v>0.24019607843137256</v>
      </c>
      <c r="BM5" s="14">
        <f>INDEX('Emission Stepwise'!$H$2:$H$289,MATCH(64&amp;"|"&amp;$A5,'Emission Stepwise'!$C$2:$C$289,0))</f>
        <v>0.45588235294117646</v>
      </c>
      <c r="BN5" s="14">
        <f>INDEX('Emission Stepwise'!$H$2:$H$289,MATCH(65&amp;"|"&amp;$A5,'Emission Stepwise'!$C$2:$C$289,0))</f>
        <v>0.2857142857142857</v>
      </c>
      <c r="BO5" s="14">
        <f>INDEX('Emission Stepwise'!$H$2:$H$289,MATCH(66&amp;"|"&amp;$A5,'Emission Stepwise'!$C$2:$C$289,0))</f>
        <v>1.4705882352941176E-2</v>
      </c>
      <c r="BP5" s="14">
        <f>INDEX('Emission Stepwise'!$H$2:$H$289,MATCH(67&amp;"|"&amp;$A5,'Emission Stepwise'!$C$2:$C$289,0))</f>
        <v>0.37254901960784315</v>
      </c>
      <c r="BQ5" s="14">
        <f>INDEX('Emission Stepwise'!$H$2:$H$289,MATCH(68&amp;"|"&amp;$A5,'Emission Stepwise'!$C$2:$C$289,0))</f>
        <v>0.43137254901960786</v>
      </c>
      <c r="BR5" s="14">
        <f>INDEX('Emission Stepwise'!$H$2:$H$289,MATCH(69&amp;"|"&amp;$A5,'Emission Stepwise'!$C$2:$C$289,0))</f>
        <v>0.34803921568627449</v>
      </c>
      <c r="BS5" s="14">
        <f>INDEX('Emission Stepwise'!$H$2:$H$289,MATCH(70&amp;"|"&amp;$A5,'Emission Stepwise'!$C$2:$C$289,0))</f>
        <v>0.37254901960784315</v>
      </c>
      <c r="BT5" s="14">
        <f>INDEX('Emission Stepwise'!$H$2:$H$289,MATCH(71&amp;"|"&amp;$A5,'Emission Stepwise'!$C$2:$C$289,0))</f>
        <v>0.40686274509803921</v>
      </c>
      <c r="BU5" s="14">
        <f>INDEX('Emission Stepwise'!$H$2:$H$289,MATCH(72&amp;"|"&amp;$A5,'Emission Stepwise'!$C$2:$C$289,0))</f>
        <v>9.3137254901960786E-2</v>
      </c>
    </row>
    <row r="6" spans="1:73">
      <c r="A6" s="5" t="s">
        <v>72</v>
      </c>
      <c r="B6" s="14">
        <f>INDEX('Emission Stepwise'!$H$2:$H$289,MATCH(1&amp;"|"&amp;$A6,'Emission Stepwise'!$C$2:$C$289,0))</f>
        <v>6.8627450980392163E-2</v>
      </c>
      <c r="C6" s="14">
        <f>INDEX('Emission Stepwise'!$H$2:$H$289,MATCH(2&amp;"|"&amp;$A6,'Emission Stepwise'!$C$2:$C$289,0))</f>
        <v>3.4313725490196081E-2</v>
      </c>
      <c r="D6" s="14">
        <f>INDEX('Emission Stepwise'!$H$2:$H$289,MATCH(3&amp;"|"&amp;$A6,'Emission Stepwise'!$C$2:$C$289,0))</f>
        <v>0.11764705882352941</v>
      </c>
      <c r="E6" s="14">
        <f>INDEX('Emission Stepwise'!$H$2:$H$289,MATCH(4&amp;"|"&amp;$A6,'Emission Stepwise'!$C$2:$C$289,0))</f>
        <v>0.17156862745098039</v>
      </c>
      <c r="F6" s="14">
        <f>INDEX('Emission Stepwise'!$H$2:$H$289,MATCH(5&amp;"|"&amp;$A6,'Emission Stepwise'!$C$2:$C$289,0))</f>
        <v>0.10784313725490197</v>
      </c>
      <c r="G6" s="14">
        <f>INDEX('Emission Stepwise'!$H$2:$H$289,MATCH(6&amp;"|"&amp;$A6,'Emission Stepwise'!$C$2:$C$289,0))</f>
        <v>0.26470588235294118</v>
      </c>
      <c r="H6" s="14">
        <f>INDEX('Emission Stepwise'!$H$2:$H$289,MATCH(7&amp;"|"&amp;$A6,'Emission Stepwise'!$C$2:$C$289,0))</f>
        <v>0.22058823529411764</v>
      </c>
      <c r="I6" s="14">
        <f>INDEX('Emission Stepwise'!$H$2:$H$289,MATCH(8&amp;"|"&amp;$A6,'Emission Stepwise'!$C$2:$C$289,0))</f>
        <v>0.97549019607843135</v>
      </c>
      <c r="J6" s="14">
        <f>INDEX('Emission Stepwise'!$H$2:$H$289,MATCH(9&amp;"|"&amp;$A6,'Emission Stepwise'!$C$2:$C$289,0))</f>
        <v>4.9261083743842365E-3</v>
      </c>
      <c r="K6" s="14">
        <f>INDEX('Emission Stepwise'!$H$2:$H$289,MATCH(10&amp;"|"&amp;$A6,'Emission Stepwise'!$C$2:$C$289,0))</f>
        <v>4.9019607843137254E-3</v>
      </c>
      <c r="L6" s="14">
        <f>INDEX('Emission Stepwise'!$H$2:$H$289,MATCH(11&amp;"|"&amp;$A6,'Emission Stepwise'!$C$2:$C$289,0))</f>
        <v>0.20098039215686275</v>
      </c>
      <c r="M6" s="14">
        <f>INDEX('Emission Stepwise'!$H$2:$H$289,MATCH(12&amp;"|"&amp;$A6,'Emission Stepwise'!$C$2:$C$289,0))</f>
        <v>0.59313725490196079</v>
      </c>
      <c r="N6" s="14">
        <f>INDEX('Emission Stepwise'!$H$2:$H$289,MATCH(13&amp;"|"&amp;$A6,'Emission Stepwise'!$C$2:$C$289,0))</f>
        <v>0.19117647058823528</v>
      </c>
      <c r="O6" s="14">
        <f>INDEX('Emission Stepwise'!$H$2:$H$289,MATCH(14&amp;"|"&amp;$A6,'Emission Stepwise'!$C$2:$C$289,0))</f>
        <v>4.9019607843137254E-3</v>
      </c>
      <c r="P6" s="14">
        <f>INDEX('Emission Stepwise'!$H$2:$H$289,MATCH(15&amp;"|"&amp;$A6,'Emission Stepwise'!$C$2:$C$289,0))</f>
        <v>1.4778325123152709E-2</v>
      </c>
      <c r="Q6" s="14">
        <f>INDEX('Emission Stepwise'!$H$2:$H$289,MATCH(16&amp;"|"&amp;$A6,'Emission Stepwise'!$C$2:$C$289,0))</f>
        <v>0.58394160583941601</v>
      </c>
      <c r="R6" s="14">
        <f>INDEX('Emission Stepwise'!$H$2:$H$289,MATCH(17&amp;"|"&amp;$A6,'Emission Stepwise'!$C$2:$C$289,0))</f>
        <v>0.57213930348258701</v>
      </c>
      <c r="S6" s="14">
        <f>INDEX('Emission Stepwise'!$H$2:$H$289,MATCH(18&amp;"|"&amp;$A6,'Emission Stepwise'!$C$2:$C$289,0))</f>
        <v>4.9019607843137254E-3</v>
      </c>
      <c r="T6" s="14">
        <f>INDEX('Emission Stepwise'!$H$2:$H$289,MATCH(19&amp;"|"&amp;$A6,'Emission Stepwise'!$C$2:$C$289,0))</f>
        <v>1.4705882352941176E-2</v>
      </c>
      <c r="U6" s="14">
        <f>INDEX('Emission Stepwise'!$H$2:$H$289,MATCH(20&amp;"|"&amp;$A6,'Emission Stepwise'!$C$2:$C$289,0))</f>
        <v>0.59113300492610843</v>
      </c>
      <c r="V6" s="14">
        <f>INDEX('Emission Stepwise'!$H$2:$H$289,MATCH(21&amp;"|"&amp;$A6,'Emission Stepwise'!$C$2:$C$289,0))</f>
        <v>5.3921568627450983E-2</v>
      </c>
      <c r="W6" s="14">
        <f>INDEX('Emission Stepwise'!$H$2:$H$289,MATCH(22&amp;"|"&amp;$A6,'Emission Stepwise'!$C$2:$C$289,0))</f>
        <v>7.3529411764705885E-2</v>
      </c>
      <c r="X6" s="14">
        <f>INDEX('Emission Stepwise'!$H$2:$H$289,MATCH(23&amp;"|"&amp;$A6,'Emission Stepwise'!$C$2:$C$289,0))</f>
        <v>6.3725490196078427E-2</v>
      </c>
      <c r="Y6" s="14">
        <f>INDEX('Emission Stepwise'!$H$2:$H$289,MATCH(24&amp;"|"&amp;$A6,'Emission Stepwise'!$C$2:$C$289,0))</f>
        <v>3.9215686274509803E-2</v>
      </c>
      <c r="Z6" s="14">
        <f>INDEX('Emission Stepwise'!$H$2:$H$289,MATCH(25&amp;"|"&amp;$A6,'Emission Stepwise'!$C$2:$C$289,0))</f>
        <v>7.3529411764705885E-2</v>
      </c>
      <c r="AA6" s="14">
        <f>INDEX('Emission Stepwise'!$H$2:$H$289,MATCH(26&amp;"|"&amp;$A6,'Emission Stepwise'!$C$2:$C$289,0))</f>
        <v>5.8823529411764705E-2</v>
      </c>
      <c r="AB6" s="14">
        <f>INDEX('Emission Stepwise'!$H$2:$H$289,MATCH(27&amp;"|"&amp;$A6,'Emission Stepwise'!$C$2:$C$289,0))</f>
        <v>0.25980392156862747</v>
      </c>
      <c r="AC6" s="14">
        <f>INDEX('Emission Stepwise'!$H$2:$H$289,MATCH(28&amp;"|"&amp;$A6,'Emission Stepwise'!$C$2:$C$289,0))</f>
        <v>0.25490196078431371</v>
      </c>
      <c r="AD6" s="14">
        <f>INDEX('Emission Stepwise'!$H$2:$H$289,MATCH(29&amp;"|"&amp;$A6,'Emission Stepwise'!$C$2:$C$289,0))</f>
        <v>0.27450980392156865</v>
      </c>
      <c r="AE6" s="14">
        <f>INDEX('Emission Stepwise'!$H$2:$H$289,MATCH(30&amp;"|"&amp;$A6,'Emission Stepwise'!$C$2:$C$289,0))</f>
        <v>3.9215686274509803E-2</v>
      </c>
      <c r="AF6" s="14">
        <f>INDEX('Emission Stepwise'!$H$2:$H$289,MATCH(31&amp;"|"&amp;$A6,'Emission Stepwise'!$C$2:$C$289,0))</f>
        <v>9.8039215686274508E-2</v>
      </c>
      <c r="AG6" s="14">
        <f>INDEX('Emission Stepwise'!$H$2:$H$289,MATCH(32&amp;"|"&amp;$A6,'Emission Stepwise'!$C$2:$C$289,0))</f>
        <v>0.29411764705882354</v>
      </c>
      <c r="AH6" s="14">
        <f>INDEX('Emission Stepwise'!$H$2:$H$289,MATCH(33&amp;"|"&amp;$A6,'Emission Stepwise'!$C$2:$C$289,0))</f>
        <v>0.97549019607843135</v>
      </c>
      <c r="AI6" s="14">
        <f>INDEX('Emission Stepwise'!$H$2:$H$289,MATCH(34&amp;"|"&amp;$A6,'Emission Stepwise'!$C$2:$C$289,0))</f>
        <v>0.28921568627450983</v>
      </c>
      <c r="AJ6" s="14">
        <f>INDEX('Emission Stepwise'!$H$2:$H$289,MATCH(35&amp;"|"&amp;$A6,'Emission Stepwise'!$C$2:$C$289,0))</f>
        <v>0.20588235294117646</v>
      </c>
      <c r="AK6" s="14">
        <f>INDEX('Emission Stepwise'!$H$2:$H$289,MATCH(36&amp;"|"&amp;$A6,'Emission Stepwise'!$C$2:$C$289,0))</f>
        <v>0.35784313725490197</v>
      </c>
      <c r="AL6" s="14">
        <f>INDEX('Emission Stepwise'!$H$2:$H$289,MATCH(37&amp;"|"&amp;$A6,'Emission Stepwise'!$C$2:$C$289,0))</f>
        <v>4.9019607843137254E-3</v>
      </c>
      <c r="AM6" s="14">
        <f>INDEX('Emission Stepwise'!$H$2:$H$289,MATCH(38&amp;"|"&amp;$A6,'Emission Stepwise'!$C$2:$C$289,0))</f>
        <v>0.11764705882352941</v>
      </c>
      <c r="AN6" s="14">
        <f>INDEX('Emission Stepwise'!$H$2:$H$289,MATCH(39&amp;"|"&amp;$A6,'Emission Stepwise'!$C$2:$C$289,0))</f>
        <v>0.29411764705882354</v>
      </c>
      <c r="AO6" s="14">
        <f>INDEX('Emission Stepwise'!$H$2:$H$289,MATCH(40&amp;"|"&amp;$A6,'Emission Stepwise'!$C$2:$C$289,0))</f>
        <v>4.4117647058823532E-2</v>
      </c>
      <c r="AP6" s="14">
        <f>INDEX('Emission Stepwise'!$H$2:$H$289,MATCH(41&amp;"|"&amp;$A6,'Emission Stepwise'!$C$2:$C$289,0))</f>
        <v>0.16666666666666666</v>
      </c>
      <c r="AQ6" s="14">
        <f>INDEX('Emission Stepwise'!$H$2:$H$289,MATCH(42&amp;"|"&amp;$A6,'Emission Stepwise'!$C$2:$C$289,0))</f>
        <v>0.13235294117647059</v>
      </c>
      <c r="AR6" s="14">
        <f>INDEX('Emission Stepwise'!$H$2:$H$289,MATCH(43&amp;"|"&amp;$A6,'Emission Stepwise'!$C$2:$C$289,0))</f>
        <v>0.16176470588235295</v>
      </c>
      <c r="AS6" s="14">
        <f>INDEX('Emission Stepwise'!$H$2:$H$289,MATCH(44&amp;"|"&amp;$A6,'Emission Stepwise'!$C$2:$C$289,0))</f>
        <v>0.11764705882352941</v>
      </c>
      <c r="AT6" s="14">
        <f>INDEX('Emission Stepwise'!$H$2:$H$289,MATCH(45&amp;"|"&amp;$A6,'Emission Stepwise'!$C$2:$C$289,0))</f>
        <v>0.14356435643564355</v>
      </c>
      <c r="AU6" s="14">
        <f>INDEX('Emission Stepwise'!$H$2:$H$289,MATCH(46&amp;"|"&amp;$A6,'Emission Stepwise'!$C$2:$C$289,0))</f>
        <v>7.5144508670520235E-2</v>
      </c>
      <c r="AV6" s="14">
        <f>INDEX('Emission Stepwise'!$H$2:$H$289,MATCH(47&amp;"|"&amp;$A6,'Emission Stepwise'!$C$2:$C$289,0))</f>
        <v>0.66666666666666663</v>
      </c>
      <c r="AW6" s="14">
        <f>INDEX('Emission Stepwise'!$H$2:$H$289,MATCH(48&amp;"|"&amp;$A6,'Emission Stepwise'!$C$2:$C$289,0))</f>
        <v>0.14705882352941177</v>
      </c>
      <c r="AX6" s="14">
        <f>INDEX('Emission Stepwise'!$H$2:$H$289,MATCH(49&amp;"|"&amp;$A6,'Emission Stepwise'!$C$2:$C$289,0))</f>
        <v>5.8823529411764705E-2</v>
      </c>
      <c r="AY6" s="14">
        <f>INDEX('Emission Stepwise'!$H$2:$H$289,MATCH(50&amp;"|"&amp;$A6,'Emission Stepwise'!$C$2:$C$289,0))</f>
        <v>0.18137254901960784</v>
      </c>
      <c r="AZ6" s="14">
        <f>INDEX('Emission Stepwise'!$H$2:$H$289,MATCH(51&amp;"|"&amp;$A6,'Emission Stepwise'!$C$2:$C$289,0))</f>
        <v>0.15763546798029557</v>
      </c>
      <c r="BA6" s="14">
        <f>INDEX('Emission Stepwise'!$H$2:$H$289,MATCH(52&amp;"|"&amp;$A6,'Emission Stepwise'!$C$2:$C$289,0))</f>
        <v>2.4509803921568627E-2</v>
      </c>
      <c r="BB6" s="14">
        <f>INDEX('Emission Stepwise'!$H$2:$H$289,MATCH(53&amp;"|"&amp;$A6,'Emission Stepwise'!$C$2:$C$289,0))</f>
        <v>1.4705882352941176E-2</v>
      </c>
      <c r="BC6" s="14">
        <f>INDEX('Emission Stepwise'!$H$2:$H$289,MATCH(54&amp;"|"&amp;$A6,'Emission Stepwise'!$C$2:$C$289,0))</f>
        <v>0.97549019607843135</v>
      </c>
      <c r="BD6" s="14">
        <f>INDEX('Emission Stepwise'!$H$2:$H$289,MATCH(55&amp;"|"&amp;$A6,'Emission Stepwise'!$C$2:$C$289,0))</f>
        <v>0.97058823529411764</v>
      </c>
      <c r="BE6" s="14">
        <f>INDEX('Emission Stepwise'!$H$2:$H$289,MATCH(56&amp;"|"&amp;$A6,'Emission Stepwise'!$C$2:$C$289,0))</f>
        <v>9.8039215686274508E-3</v>
      </c>
      <c r="BF6" s="14">
        <f>INDEX('Emission Stepwise'!$H$2:$H$289,MATCH(57&amp;"|"&amp;$A6,'Emission Stepwise'!$C$2:$C$289,0))</f>
        <v>9.852216748768473E-3</v>
      </c>
      <c r="BG6" s="14">
        <f>INDEX('Emission Stepwise'!$H$2:$H$289,MATCH(58&amp;"|"&amp;$A6,'Emission Stepwise'!$C$2:$C$289,0))</f>
        <v>9.8039215686274508E-3</v>
      </c>
      <c r="BH6" s="14">
        <f>INDEX('Emission Stepwise'!$H$2:$H$289,MATCH(59&amp;"|"&amp;$A6,'Emission Stepwise'!$C$2:$C$289,0))</f>
        <v>0.25</v>
      </c>
      <c r="BI6" s="14">
        <f>INDEX('Emission Stepwise'!$H$2:$H$289,MATCH(60&amp;"|"&amp;$A6,'Emission Stepwise'!$C$2:$C$289,0))</f>
        <v>0.77450980392156865</v>
      </c>
      <c r="BJ6" s="14">
        <f>INDEX('Emission Stepwise'!$H$2:$H$289,MATCH(61&amp;"|"&amp;$A6,'Emission Stepwise'!$C$2:$C$289,0))</f>
        <v>9.8039215686274508E-3</v>
      </c>
      <c r="BK6" s="14">
        <f>INDEX('Emission Stepwise'!$H$2:$H$289,MATCH(62&amp;"|"&amp;$A6,'Emission Stepwise'!$C$2:$C$289,0))</f>
        <v>0.13235294117647059</v>
      </c>
      <c r="BL6" s="14">
        <f>INDEX('Emission Stepwise'!$H$2:$H$289,MATCH(63&amp;"|"&amp;$A6,'Emission Stepwise'!$C$2:$C$289,0))</f>
        <v>0.16176470588235295</v>
      </c>
      <c r="BM6" s="14">
        <f>INDEX('Emission Stepwise'!$H$2:$H$289,MATCH(64&amp;"|"&amp;$A6,'Emission Stepwise'!$C$2:$C$289,0))</f>
        <v>0.16666666666666666</v>
      </c>
      <c r="BN6" s="14">
        <f>INDEX('Emission Stepwise'!$H$2:$H$289,MATCH(65&amp;"|"&amp;$A6,'Emission Stepwise'!$C$2:$C$289,0))</f>
        <v>0.34975369458128081</v>
      </c>
      <c r="BO6" s="14">
        <f>INDEX('Emission Stepwise'!$H$2:$H$289,MATCH(66&amp;"|"&amp;$A6,'Emission Stepwise'!$C$2:$C$289,0))</f>
        <v>0.25</v>
      </c>
      <c r="BP6" s="14">
        <f>INDEX('Emission Stepwise'!$H$2:$H$289,MATCH(67&amp;"|"&amp;$A6,'Emission Stepwise'!$C$2:$C$289,0))</f>
        <v>0.19117647058823528</v>
      </c>
      <c r="BQ6" s="14">
        <f>INDEX('Emission Stepwise'!$H$2:$H$289,MATCH(68&amp;"|"&amp;$A6,'Emission Stepwise'!$C$2:$C$289,0))</f>
        <v>0.18137254901960784</v>
      </c>
      <c r="BR6" s="14">
        <f>INDEX('Emission Stepwise'!$H$2:$H$289,MATCH(69&amp;"|"&amp;$A6,'Emission Stepwise'!$C$2:$C$289,0))</f>
        <v>8.8235294117647065E-2</v>
      </c>
      <c r="BS6" s="14">
        <f>INDEX('Emission Stepwise'!$H$2:$H$289,MATCH(70&amp;"|"&amp;$A6,'Emission Stepwise'!$C$2:$C$289,0))</f>
        <v>0.15196078431372548</v>
      </c>
      <c r="BT6" s="14">
        <f>INDEX('Emission Stepwise'!$H$2:$H$289,MATCH(71&amp;"|"&amp;$A6,'Emission Stepwise'!$C$2:$C$289,0))</f>
        <v>4.9019607843137254E-2</v>
      </c>
      <c r="BU6" s="14">
        <f>INDEX('Emission Stepwise'!$H$2:$H$289,MATCH(72&amp;"|"&amp;$A6,'Emission Stepwise'!$C$2:$C$289,0))</f>
        <v>0.10784313725490197</v>
      </c>
    </row>
    <row r="7" spans="1:73">
      <c r="A7" s="5" t="s">
        <v>506</v>
      </c>
      <c r="B7" s="4">
        <f t="shared" ref="B7:AG7" si="0">ROUND(SUM(B3:B6),9)</f>
        <v>1</v>
      </c>
      <c r="C7" s="4">
        <f t="shared" si="0"/>
        <v>1</v>
      </c>
      <c r="D7" s="4">
        <f t="shared" si="0"/>
        <v>1</v>
      </c>
      <c r="E7" s="4">
        <f t="shared" si="0"/>
        <v>1</v>
      </c>
      <c r="F7" s="4">
        <f t="shared" si="0"/>
        <v>1</v>
      </c>
      <c r="G7" s="4">
        <f t="shared" si="0"/>
        <v>1</v>
      </c>
      <c r="H7" s="4">
        <f t="shared" si="0"/>
        <v>1</v>
      </c>
      <c r="I7" s="4">
        <f t="shared" si="0"/>
        <v>1</v>
      </c>
      <c r="J7" s="4">
        <f t="shared" si="0"/>
        <v>1</v>
      </c>
      <c r="K7" s="4">
        <f t="shared" si="0"/>
        <v>1</v>
      </c>
      <c r="L7" s="4">
        <f t="shared" si="0"/>
        <v>1</v>
      </c>
      <c r="M7" s="4">
        <f t="shared" si="0"/>
        <v>1</v>
      </c>
      <c r="N7" s="4">
        <f t="shared" si="0"/>
        <v>1</v>
      </c>
      <c r="O7" s="4">
        <f t="shared" si="0"/>
        <v>1</v>
      </c>
      <c r="P7" s="4">
        <f t="shared" si="0"/>
        <v>1</v>
      </c>
      <c r="Q7" s="4">
        <f t="shared" si="0"/>
        <v>1</v>
      </c>
      <c r="R7" s="4">
        <f t="shared" si="0"/>
        <v>1</v>
      </c>
      <c r="S7" s="4">
        <f t="shared" si="0"/>
        <v>1</v>
      </c>
      <c r="T7" s="4">
        <f t="shared" si="0"/>
        <v>1</v>
      </c>
      <c r="U7" s="4">
        <f t="shared" si="0"/>
        <v>1</v>
      </c>
      <c r="V7" s="4">
        <f t="shared" si="0"/>
        <v>1</v>
      </c>
      <c r="W7" s="4">
        <f t="shared" si="0"/>
        <v>1</v>
      </c>
      <c r="X7" s="4">
        <f t="shared" si="0"/>
        <v>1</v>
      </c>
      <c r="Y7" s="4">
        <f t="shared" si="0"/>
        <v>1</v>
      </c>
      <c r="Z7" s="4">
        <f t="shared" si="0"/>
        <v>1</v>
      </c>
      <c r="AA7" s="4">
        <f t="shared" si="0"/>
        <v>1</v>
      </c>
      <c r="AB7" s="4">
        <f t="shared" si="0"/>
        <v>1</v>
      </c>
      <c r="AC7" s="4">
        <f t="shared" si="0"/>
        <v>1</v>
      </c>
      <c r="AD7" s="4">
        <f t="shared" si="0"/>
        <v>1</v>
      </c>
      <c r="AE7" s="4">
        <f t="shared" si="0"/>
        <v>1</v>
      </c>
      <c r="AF7" s="4">
        <f t="shared" si="0"/>
        <v>1</v>
      </c>
      <c r="AG7" s="4">
        <f t="shared" si="0"/>
        <v>1</v>
      </c>
      <c r="AH7" s="4">
        <f t="shared" ref="AH7:BM7" si="1">ROUND(SUM(AH3:AH6),9)</f>
        <v>1</v>
      </c>
      <c r="AI7" s="4">
        <f t="shared" si="1"/>
        <v>1</v>
      </c>
      <c r="AJ7" s="4">
        <f t="shared" si="1"/>
        <v>1</v>
      </c>
      <c r="AK7" s="4">
        <f t="shared" si="1"/>
        <v>1</v>
      </c>
      <c r="AL7" s="4">
        <f t="shared" si="1"/>
        <v>1</v>
      </c>
      <c r="AM7" s="4">
        <f t="shared" si="1"/>
        <v>1</v>
      </c>
      <c r="AN7" s="4">
        <f t="shared" si="1"/>
        <v>1</v>
      </c>
      <c r="AO7" s="4">
        <f t="shared" si="1"/>
        <v>1</v>
      </c>
      <c r="AP7" s="4">
        <f t="shared" si="1"/>
        <v>1</v>
      </c>
      <c r="AQ7" s="4">
        <f t="shared" si="1"/>
        <v>1</v>
      </c>
      <c r="AR7" s="4">
        <f t="shared" si="1"/>
        <v>1</v>
      </c>
      <c r="AS7" s="4">
        <f t="shared" si="1"/>
        <v>1</v>
      </c>
      <c r="AT7" s="4">
        <f t="shared" si="1"/>
        <v>1</v>
      </c>
      <c r="AU7" s="4">
        <f t="shared" si="1"/>
        <v>1</v>
      </c>
      <c r="AV7" s="4">
        <f t="shared" si="1"/>
        <v>1</v>
      </c>
      <c r="AW7" s="4">
        <f t="shared" si="1"/>
        <v>1</v>
      </c>
      <c r="AX7" s="4">
        <f t="shared" si="1"/>
        <v>1</v>
      </c>
      <c r="AY7" s="4">
        <f t="shared" si="1"/>
        <v>1</v>
      </c>
      <c r="AZ7" s="4">
        <f t="shared" si="1"/>
        <v>1</v>
      </c>
      <c r="BA7" s="4">
        <f t="shared" si="1"/>
        <v>1</v>
      </c>
      <c r="BB7" s="4">
        <f t="shared" si="1"/>
        <v>1</v>
      </c>
      <c r="BC7" s="4">
        <f t="shared" si="1"/>
        <v>1</v>
      </c>
      <c r="BD7" s="4">
        <f t="shared" si="1"/>
        <v>1</v>
      </c>
      <c r="BE7" s="4">
        <f t="shared" si="1"/>
        <v>1</v>
      </c>
      <c r="BF7" s="4">
        <f t="shared" si="1"/>
        <v>1</v>
      </c>
      <c r="BG7" s="4">
        <f t="shared" si="1"/>
        <v>1</v>
      </c>
      <c r="BH7" s="4">
        <f t="shared" si="1"/>
        <v>1</v>
      </c>
      <c r="BI7" s="4">
        <f t="shared" si="1"/>
        <v>1</v>
      </c>
      <c r="BJ7" s="4">
        <f t="shared" si="1"/>
        <v>1</v>
      </c>
      <c r="BK7" s="4">
        <f t="shared" si="1"/>
        <v>1</v>
      </c>
      <c r="BL7" s="4">
        <f t="shared" si="1"/>
        <v>1</v>
      </c>
      <c r="BM7" s="4">
        <f t="shared" si="1"/>
        <v>1</v>
      </c>
      <c r="BN7" s="4">
        <f t="shared" ref="BN7:CS7" si="2">ROUND(SUM(BN3:BN6),9)</f>
        <v>1</v>
      </c>
      <c r="BO7" s="4">
        <f t="shared" si="2"/>
        <v>1</v>
      </c>
      <c r="BP7" s="4">
        <f t="shared" si="2"/>
        <v>1</v>
      </c>
      <c r="BQ7" s="4">
        <f t="shared" si="2"/>
        <v>1</v>
      </c>
      <c r="BR7" s="4">
        <f t="shared" si="2"/>
        <v>1</v>
      </c>
      <c r="BS7" s="4">
        <f t="shared" si="2"/>
        <v>1</v>
      </c>
      <c r="BT7" s="4">
        <f t="shared" si="2"/>
        <v>1</v>
      </c>
      <c r="BU7" s="4">
        <f t="shared" si="2"/>
        <v>1</v>
      </c>
    </row>
    <row r="8" spans="1:7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row>
    <row r="9" spans="1:73" ht="15.75">
      <c r="A9" s="2" t="s">
        <v>507</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row>
    <row r="10" spans="1:73">
      <c r="A10" s="11" t="s">
        <v>505</v>
      </c>
      <c r="B10" s="11">
        <v>1</v>
      </c>
      <c r="C10" s="11">
        <v>2</v>
      </c>
      <c r="D10" s="11">
        <v>3</v>
      </c>
      <c r="E10" s="11">
        <v>4</v>
      </c>
      <c r="F10" s="11">
        <v>5</v>
      </c>
      <c r="G10" s="11">
        <v>6</v>
      </c>
      <c r="H10" s="11">
        <v>7</v>
      </c>
      <c r="I10" s="11">
        <v>8</v>
      </c>
      <c r="J10" s="11">
        <v>9</v>
      </c>
      <c r="K10" s="11">
        <v>10</v>
      </c>
      <c r="L10" s="11">
        <v>11</v>
      </c>
      <c r="M10" s="11">
        <v>12</v>
      </c>
      <c r="N10" s="11">
        <v>13</v>
      </c>
      <c r="O10" s="11">
        <v>14</v>
      </c>
      <c r="P10" s="11">
        <v>15</v>
      </c>
      <c r="Q10" s="11">
        <v>16</v>
      </c>
      <c r="R10" s="11">
        <v>17</v>
      </c>
      <c r="S10" s="11">
        <v>18</v>
      </c>
      <c r="T10" s="11">
        <v>19</v>
      </c>
      <c r="U10" s="11">
        <v>20</v>
      </c>
      <c r="V10" s="11">
        <v>21</v>
      </c>
      <c r="W10" s="11">
        <v>22</v>
      </c>
      <c r="X10" s="11">
        <v>23</v>
      </c>
      <c r="Y10" s="11">
        <v>24</v>
      </c>
      <c r="Z10" s="11">
        <v>25</v>
      </c>
      <c r="AA10" s="11">
        <v>26</v>
      </c>
      <c r="AB10" s="11">
        <v>27</v>
      </c>
      <c r="AC10" s="11">
        <v>28</v>
      </c>
      <c r="AD10" s="11">
        <v>29</v>
      </c>
      <c r="AE10" s="11">
        <v>30</v>
      </c>
      <c r="AF10" s="11">
        <v>31</v>
      </c>
      <c r="AG10" s="11">
        <v>32</v>
      </c>
      <c r="AH10" s="11">
        <v>33</v>
      </c>
      <c r="AI10" s="11">
        <v>34</v>
      </c>
      <c r="AJ10" s="11">
        <v>35</v>
      </c>
      <c r="AK10" s="11">
        <v>36</v>
      </c>
      <c r="AL10" s="11">
        <v>37</v>
      </c>
      <c r="AM10" s="11">
        <v>38</v>
      </c>
      <c r="AN10" s="11">
        <v>39</v>
      </c>
      <c r="AO10" s="11">
        <v>40</v>
      </c>
      <c r="AP10" s="11">
        <v>41</v>
      </c>
      <c r="AQ10" s="11">
        <v>42</v>
      </c>
      <c r="AR10" s="11">
        <v>43</v>
      </c>
      <c r="AS10" s="11">
        <v>44</v>
      </c>
      <c r="AT10" s="11">
        <v>45</v>
      </c>
      <c r="AU10" s="11">
        <v>46</v>
      </c>
      <c r="AV10" s="11">
        <v>47</v>
      </c>
      <c r="AW10" s="11">
        <v>48</v>
      </c>
      <c r="AX10" s="11">
        <v>49</v>
      </c>
      <c r="AY10" s="11">
        <v>50</v>
      </c>
      <c r="AZ10" s="11">
        <v>51</v>
      </c>
      <c r="BA10" s="11">
        <v>52</v>
      </c>
      <c r="BB10" s="11">
        <v>53</v>
      </c>
      <c r="BC10" s="11">
        <v>54</v>
      </c>
      <c r="BD10" s="11">
        <v>55</v>
      </c>
      <c r="BE10" s="11">
        <v>56</v>
      </c>
      <c r="BF10" s="11">
        <v>57</v>
      </c>
      <c r="BG10" s="11">
        <v>58</v>
      </c>
      <c r="BH10" s="11">
        <v>59</v>
      </c>
      <c r="BI10" s="11">
        <v>60</v>
      </c>
      <c r="BJ10" s="11">
        <v>61</v>
      </c>
      <c r="BK10" s="11">
        <v>62</v>
      </c>
      <c r="BL10" s="11">
        <v>63</v>
      </c>
      <c r="BM10" s="11">
        <v>64</v>
      </c>
      <c r="BN10" s="11">
        <v>65</v>
      </c>
      <c r="BO10" s="11">
        <v>66</v>
      </c>
      <c r="BP10" s="11">
        <v>67</v>
      </c>
      <c r="BQ10" s="11">
        <v>68</v>
      </c>
      <c r="BR10" s="11">
        <v>69</v>
      </c>
      <c r="BS10" s="11">
        <v>70</v>
      </c>
      <c r="BT10" s="11">
        <v>71</v>
      </c>
      <c r="BU10" s="11">
        <v>72</v>
      </c>
    </row>
    <row r="11" spans="1:73">
      <c r="A11" s="5" t="s">
        <v>73</v>
      </c>
      <c r="B11" s="14">
        <f>INDEX('Emission Stepwise'!$G$2:$G$289,MATCH(1&amp;"|"&amp;$A11,'Emission Stepwise'!$C$2:$C$289,0))</f>
        <v>6.5000000000000002E-2</v>
      </c>
      <c r="C11" s="14">
        <f>INDEX('Emission Stepwise'!$G$2:$G$289,MATCH(2&amp;"|"&amp;$A11,'Emission Stepwise'!$C$2:$C$289,0))</f>
        <v>0.03</v>
      </c>
      <c r="D11" s="14">
        <f>INDEX('Emission Stepwise'!$G$2:$G$289,MATCH(3&amp;"|"&amp;$A11,'Emission Stepwise'!$C$2:$C$289,0))</f>
        <v>7.0000000000000007E-2</v>
      </c>
      <c r="E11" s="14">
        <f>INDEX('Emission Stepwise'!$G$2:$G$289,MATCH(4&amp;"|"&amp;$A11,'Emission Stepwise'!$C$2:$C$289,0))</f>
        <v>0.08</v>
      </c>
      <c r="F11" s="14">
        <f>INDEX('Emission Stepwise'!$G$2:$G$289,MATCH(5&amp;"|"&amp;$A11,'Emission Stepwise'!$C$2:$C$289,0))</f>
        <v>0.155</v>
      </c>
      <c r="G11" s="14">
        <f>INDEX('Emission Stepwise'!$G$2:$G$289,MATCH(6&amp;"|"&amp;$A11,'Emission Stepwise'!$C$2:$C$289,0))</f>
        <v>0.17</v>
      </c>
      <c r="H11" s="14">
        <f>INDEX('Emission Stepwise'!$G$2:$G$289,MATCH(7&amp;"|"&amp;$A11,'Emission Stepwise'!$C$2:$C$289,0))</f>
        <v>0.24</v>
      </c>
      <c r="I11" s="14">
        <f>INDEX('Emission Stepwise'!$G$2:$G$289,MATCH(8&amp;"|"&amp;$A11,'Emission Stepwise'!$C$2:$C$289,0))</f>
        <v>5.0000000000000001E-3</v>
      </c>
      <c r="J11" s="14">
        <f>INDEX('Emission Stepwise'!$G$2:$G$289,MATCH(9&amp;"|"&amp;$A11,'Emission Stepwise'!$C$2:$C$289,0))</f>
        <v>0.65829145728643212</v>
      </c>
      <c r="K11" s="14">
        <f>INDEX('Emission Stepwise'!$G$2:$G$289,MATCH(10&amp;"|"&amp;$A11,'Emission Stepwise'!$C$2:$C$289,0))</f>
        <v>0</v>
      </c>
      <c r="L11" s="14">
        <f>INDEX('Emission Stepwise'!$G$2:$G$289,MATCH(11&amp;"|"&amp;$A11,'Emission Stepwise'!$C$2:$C$289,0))</f>
        <v>3.5000000000000003E-2</v>
      </c>
      <c r="M11" s="14">
        <f>INDEX('Emission Stepwise'!$G$2:$G$289,MATCH(12&amp;"|"&amp;$A11,'Emission Stepwise'!$C$2:$C$289,0))</f>
        <v>6.5000000000000002E-2</v>
      </c>
      <c r="N11" s="14">
        <f>INDEX('Emission Stepwise'!$G$2:$G$289,MATCH(13&amp;"|"&amp;$A11,'Emission Stepwise'!$C$2:$C$289,0))</f>
        <v>6.5000000000000002E-2</v>
      </c>
      <c r="O11" s="14">
        <f>INDEX('Emission Stepwise'!$G$2:$G$289,MATCH(14&amp;"|"&amp;$A11,'Emission Stepwise'!$C$2:$C$289,0))</f>
        <v>0.99</v>
      </c>
      <c r="P11" s="14">
        <f>INDEX('Emission Stepwise'!$G$2:$G$289,MATCH(15&amp;"|"&amp;$A11,'Emission Stepwise'!$C$2:$C$289,0))</f>
        <v>0.16582914572864321</v>
      </c>
      <c r="Q11" s="14">
        <f>INDEX('Emission Stepwise'!$G$2:$G$289,MATCH(16&amp;"|"&amp;$A11,'Emission Stepwise'!$C$2:$C$289,0))</f>
        <v>2.2556390977443608E-2</v>
      </c>
      <c r="R11" s="14">
        <f>INDEX('Emission Stepwise'!$G$2:$G$289,MATCH(17&amp;"|"&amp;$A11,'Emission Stepwise'!$C$2:$C$289,0))</f>
        <v>6.0913705583756347E-2</v>
      </c>
      <c r="S11" s="14">
        <f>INDEX('Emission Stepwise'!$G$2:$G$289,MATCH(18&amp;"|"&amp;$A11,'Emission Stepwise'!$C$2:$C$289,0))</f>
        <v>5.0000000000000001E-3</v>
      </c>
      <c r="T11" s="14">
        <f>INDEX('Emission Stepwise'!$G$2:$G$289,MATCH(19&amp;"|"&amp;$A11,'Emission Stepwise'!$C$2:$C$289,0))</f>
        <v>5.0000000000000001E-3</v>
      </c>
      <c r="U11" s="14">
        <f>INDEX('Emission Stepwise'!$G$2:$G$289,MATCH(20&amp;"|"&amp;$A11,'Emission Stepwise'!$C$2:$C$289,0))</f>
        <v>8.5427135678391955E-2</v>
      </c>
      <c r="V11" s="14">
        <f>INDEX('Emission Stepwise'!$G$2:$G$289,MATCH(21&amp;"|"&amp;$A11,'Emission Stepwise'!$C$2:$C$289,0))</f>
        <v>0.89500000000000002</v>
      </c>
      <c r="W11" s="14">
        <f>INDEX('Emission Stepwise'!$G$2:$G$289,MATCH(22&amp;"|"&amp;$A11,'Emission Stepwise'!$C$2:$C$289,0))</f>
        <v>0.20499999999999999</v>
      </c>
      <c r="X11" s="14">
        <f>INDEX('Emission Stepwise'!$G$2:$G$289,MATCH(23&amp;"|"&amp;$A11,'Emission Stepwise'!$C$2:$C$289,0))</f>
        <v>0.60499999999999998</v>
      </c>
      <c r="Y11" s="14">
        <f>INDEX('Emission Stepwise'!$G$2:$G$289,MATCH(24&amp;"|"&amp;$A11,'Emission Stepwise'!$C$2:$C$289,0))</f>
        <v>0.185</v>
      </c>
      <c r="Z11" s="14">
        <f>INDEX('Emission Stepwise'!$G$2:$G$289,MATCH(25&amp;"|"&amp;$A11,'Emission Stepwise'!$C$2:$C$289,0))</f>
        <v>5.0000000000000001E-3</v>
      </c>
      <c r="AA11" s="14">
        <f>INDEX('Emission Stepwise'!$G$2:$G$289,MATCH(26&amp;"|"&amp;$A11,'Emission Stepwise'!$C$2:$C$289,0))</f>
        <v>0.42</v>
      </c>
      <c r="AB11" s="14">
        <f>INDEX('Emission Stepwise'!$G$2:$G$289,MATCH(27&amp;"|"&amp;$A11,'Emission Stepwise'!$C$2:$C$289,0))</f>
        <v>0.12</v>
      </c>
      <c r="AC11" s="14">
        <f>INDEX('Emission Stepwise'!$G$2:$G$289,MATCH(28&amp;"|"&amp;$A11,'Emission Stepwise'!$C$2:$C$289,0))</f>
        <v>0.12</v>
      </c>
      <c r="AD11" s="14">
        <f>INDEX('Emission Stepwise'!$G$2:$G$289,MATCH(29&amp;"|"&amp;$A11,'Emission Stepwise'!$C$2:$C$289,0))</f>
        <v>0.16</v>
      </c>
      <c r="AE11" s="14">
        <f>INDEX('Emission Stepwise'!$G$2:$G$289,MATCH(30&amp;"|"&amp;$A11,'Emission Stepwise'!$C$2:$C$289,0))</f>
        <v>0</v>
      </c>
      <c r="AF11" s="14">
        <f>INDEX('Emission Stepwise'!$G$2:$G$289,MATCH(31&amp;"|"&amp;$A11,'Emission Stepwise'!$C$2:$C$289,0))</f>
        <v>0.27</v>
      </c>
      <c r="AG11" s="14">
        <f>INDEX('Emission Stepwise'!$G$2:$G$289,MATCH(32&amp;"|"&amp;$A11,'Emission Stepwise'!$C$2:$C$289,0))</f>
        <v>0.03</v>
      </c>
      <c r="AH11" s="14">
        <f>INDEX('Emission Stepwise'!$G$2:$G$289,MATCH(33&amp;"|"&amp;$A11,'Emission Stepwise'!$C$2:$C$289,0))</f>
        <v>5.0000000000000001E-3</v>
      </c>
      <c r="AI11" s="14">
        <f>INDEX('Emission Stepwise'!$G$2:$G$289,MATCH(34&amp;"|"&amp;$A11,'Emission Stepwise'!$C$2:$C$289,0))</f>
        <v>4.4999999999999998E-2</v>
      </c>
      <c r="AJ11" s="14">
        <f>INDEX('Emission Stepwise'!$G$2:$G$289,MATCH(35&amp;"|"&amp;$A11,'Emission Stepwise'!$C$2:$C$289,0))</f>
        <v>0.31</v>
      </c>
      <c r="AK11" s="14">
        <f>INDEX('Emission Stepwise'!$G$2:$G$289,MATCH(36&amp;"|"&amp;$A11,'Emission Stepwise'!$C$2:$C$289,0))</f>
        <v>0.215</v>
      </c>
      <c r="AL11" s="14">
        <f>INDEX('Emission Stepwise'!$G$2:$G$289,MATCH(37&amp;"|"&amp;$A11,'Emission Stepwise'!$C$2:$C$289,0))</f>
        <v>0.755</v>
      </c>
      <c r="AM11" s="14">
        <f>INDEX('Emission Stepwise'!$G$2:$G$289,MATCH(38&amp;"|"&amp;$A11,'Emission Stepwise'!$C$2:$C$289,0))</f>
        <v>0.73499999999999999</v>
      </c>
      <c r="AN11" s="14">
        <f>INDEX('Emission Stepwise'!$G$2:$G$289,MATCH(39&amp;"|"&amp;$A11,'Emission Stepwise'!$C$2:$C$289,0))</f>
        <v>0.09</v>
      </c>
      <c r="AO11" s="14">
        <f>INDEX('Emission Stepwise'!$G$2:$G$289,MATCH(40&amp;"|"&amp;$A11,'Emission Stepwise'!$C$2:$C$289,0))</f>
        <v>5.0000000000000001E-3</v>
      </c>
      <c r="AP11" s="14">
        <f>INDEX('Emission Stepwise'!$G$2:$G$289,MATCH(41&amp;"|"&amp;$A11,'Emission Stepwise'!$C$2:$C$289,0))</f>
        <v>0.27</v>
      </c>
      <c r="AQ11" s="14">
        <f>INDEX('Emission Stepwise'!$G$2:$G$289,MATCH(42&amp;"|"&amp;$A11,'Emission Stepwise'!$C$2:$C$289,0))</f>
        <v>0.245</v>
      </c>
      <c r="AR11" s="14">
        <f>INDEX('Emission Stepwise'!$G$2:$G$289,MATCH(43&amp;"|"&amp;$A11,'Emission Stepwise'!$C$2:$C$289,0))</f>
        <v>0.22500000000000001</v>
      </c>
      <c r="AS11" s="14">
        <f>INDEX('Emission Stepwise'!$G$2:$G$289,MATCH(44&amp;"|"&amp;$A11,'Emission Stepwise'!$C$2:$C$289,0))</f>
        <v>0.5</v>
      </c>
      <c r="AT11" s="14">
        <f>INDEX('Emission Stepwise'!$G$2:$G$289,MATCH(45&amp;"|"&amp;$A11,'Emission Stepwise'!$C$2:$C$289,0))</f>
        <v>7.575757575757576E-2</v>
      </c>
      <c r="AU11" s="14">
        <f>INDEX('Emission Stepwise'!$G$2:$G$289,MATCH(46&amp;"|"&amp;$A11,'Emission Stepwise'!$C$2:$C$289,0))</f>
        <v>9.4674556213017749E-2</v>
      </c>
      <c r="AV11" s="14">
        <f>INDEX('Emission Stepwise'!$G$2:$G$289,MATCH(47&amp;"|"&amp;$A11,'Emission Stepwise'!$C$2:$C$289,0))</f>
        <v>0.13</v>
      </c>
      <c r="AW11" s="14">
        <f>INDEX('Emission Stepwise'!$G$2:$G$289,MATCH(48&amp;"|"&amp;$A11,'Emission Stepwise'!$C$2:$C$289,0))</f>
        <v>5.0000000000000001E-3</v>
      </c>
      <c r="AX11" s="14">
        <f>INDEX('Emission Stepwise'!$G$2:$G$289,MATCH(49&amp;"|"&amp;$A11,'Emission Stepwise'!$C$2:$C$289,0))</f>
        <v>0.155</v>
      </c>
      <c r="AY11" s="14">
        <f>INDEX('Emission Stepwise'!$G$2:$G$289,MATCH(50&amp;"|"&amp;$A11,'Emission Stepwise'!$C$2:$C$289,0))</f>
        <v>0.115</v>
      </c>
      <c r="AZ11" s="14">
        <f>INDEX('Emission Stepwise'!$G$2:$G$289,MATCH(51&amp;"|"&amp;$A11,'Emission Stepwise'!$C$2:$C$289,0))</f>
        <v>0.1407035175879397</v>
      </c>
      <c r="BA11" s="14">
        <f>INDEX('Emission Stepwise'!$G$2:$G$289,MATCH(52&amp;"|"&amp;$A11,'Emission Stepwise'!$C$2:$C$289,0))</f>
        <v>0.13</v>
      </c>
      <c r="BB11" s="14">
        <f>INDEX('Emission Stepwise'!$G$2:$G$289,MATCH(53&amp;"|"&amp;$A11,'Emission Stepwise'!$C$2:$C$289,0))</f>
        <v>5.0000000000000001E-3</v>
      </c>
      <c r="BC11" s="14">
        <f>INDEX('Emission Stepwise'!$G$2:$G$289,MATCH(54&amp;"|"&amp;$A11,'Emission Stepwise'!$C$2:$C$289,0))</f>
        <v>0.01</v>
      </c>
      <c r="BD11" s="14">
        <f>INDEX('Emission Stepwise'!$G$2:$G$289,MATCH(55&amp;"|"&amp;$A11,'Emission Stepwise'!$C$2:$C$289,0))</f>
        <v>5.0000000000000001E-3</v>
      </c>
      <c r="BE11" s="14">
        <f>INDEX('Emission Stepwise'!$G$2:$G$289,MATCH(56&amp;"|"&amp;$A11,'Emission Stepwise'!$C$2:$C$289,0))</f>
        <v>0.01</v>
      </c>
      <c r="BF11" s="14">
        <f>INDEX('Emission Stepwise'!$G$2:$G$289,MATCH(57&amp;"|"&amp;$A11,'Emission Stepwise'!$C$2:$C$289,0))</f>
        <v>0.38693467336683418</v>
      </c>
      <c r="BG11" s="14">
        <f>INDEX('Emission Stepwise'!$G$2:$G$289,MATCH(58&amp;"|"&amp;$A11,'Emission Stepwise'!$C$2:$C$289,0))</f>
        <v>0.99</v>
      </c>
      <c r="BH11" s="14">
        <f>INDEX('Emission Stepwise'!$G$2:$G$289,MATCH(59&amp;"|"&amp;$A11,'Emission Stepwise'!$C$2:$C$289,0))</f>
        <v>0.45500000000000002</v>
      </c>
      <c r="BI11" s="14">
        <f>INDEX('Emission Stepwise'!$G$2:$G$289,MATCH(60&amp;"|"&amp;$A11,'Emission Stepwise'!$C$2:$C$289,0))</f>
        <v>5.0000000000000001E-3</v>
      </c>
      <c r="BJ11" s="14">
        <f>INDEX('Emission Stepwise'!$G$2:$G$289,MATCH(61&amp;"|"&amp;$A11,'Emission Stepwise'!$C$2:$C$289,0))</f>
        <v>0</v>
      </c>
      <c r="BK11" s="14">
        <f>INDEX('Emission Stepwise'!$G$2:$G$289,MATCH(62&amp;"|"&amp;$A11,'Emission Stepwise'!$C$2:$C$289,0))</f>
        <v>1.4999999999999999E-2</v>
      </c>
      <c r="BL11" s="14">
        <f>INDEX('Emission Stepwise'!$G$2:$G$289,MATCH(63&amp;"|"&amp;$A11,'Emission Stepwise'!$C$2:$C$289,0))</f>
        <v>0.115</v>
      </c>
      <c r="BM11" s="14">
        <f>INDEX('Emission Stepwise'!$G$2:$G$289,MATCH(64&amp;"|"&amp;$A11,'Emission Stepwise'!$C$2:$C$289,0))</f>
        <v>0.16500000000000001</v>
      </c>
      <c r="BN11" s="14">
        <f>INDEX('Emission Stepwise'!$G$2:$G$289,MATCH(65&amp;"|"&amp;$A11,'Emission Stepwise'!$C$2:$C$289,0))</f>
        <v>4.5226130653266333E-2</v>
      </c>
      <c r="BO11" s="14">
        <f>INDEX('Emission Stepwise'!$G$2:$G$289,MATCH(66&amp;"|"&amp;$A11,'Emission Stepwise'!$C$2:$C$289,0))</f>
        <v>0.215</v>
      </c>
      <c r="BP11" s="14">
        <f>INDEX('Emission Stepwise'!$G$2:$G$289,MATCH(67&amp;"|"&amp;$A11,'Emission Stepwise'!$C$2:$C$289,0))</f>
        <v>0.21</v>
      </c>
      <c r="BQ11" s="14">
        <f>INDEX('Emission Stepwise'!$G$2:$G$289,MATCH(68&amp;"|"&amp;$A11,'Emission Stepwise'!$C$2:$C$289,0))</f>
        <v>7.4999999999999997E-2</v>
      </c>
      <c r="BR11" s="14">
        <f>INDEX('Emission Stepwise'!$G$2:$G$289,MATCH(69&amp;"|"&amp;$A11,'Emission Stepwise'!$C$2:$C$289,0))</f>
        <v>0.125</v>
      </c>
      <c r="BS11" s="14">
        <f>INDEX('Emission Stepwise'!$G$2:$G$289,MATCH(70&amp;"|"&amp;$A11,'Emission Stepwise'!$C$2:$C$289,0))</f>
        <v>0.115</v>
      </c>
      <c r="BT11" s="14">
        <f>INDEX('Emission Stepwise'!$G$2:$G$289,MATCH(71&amp;"|"&amp;$A11,'Emission Stepwise'!$C$2:$C$289,0))</f>
        <v>2.5000000000000001E-2</v>
      </c>
      <c r="BU11" s="14">
        <f>INDEX('Emission Stepwise'!$G$2:$G$289,MATCH(72&amp;"|"&amp;$A11,'Emission Stepwise'!$C$2:$C$289,0))</f>
        <v>0.08</v>
      </c>
    </row>
    <row r="12" spans="1:73">
      <c r="A12" s="5" t="s">
        <v>71</v>
      </c>
      <c r="B12" s="14">
        <f>INDEX('Emission Stepwise'!$G$2:$G$289,MATCH(1&amp;"|"&amp;$A12,'Emission Stepwise'!$C$2:$C$289,0))</f>
        <v>0.11</v>
      </c>
      <c r="C12" s="14">
        <f>INDEX('Emission Stepwise'!$G$2:$G$289,MATCH(2&amp;"|"&amp;$A12,'Emission Stepwise'!$C$2:$C$289,0))</f>
        <v>0.41</v>
      </c>
      <c r="D12" s="14">
        <f>INDEX('Emission Stepwise'!$G$2:$G$289,MATCH(3&amp;"|"&amp;$A12,'Emission Stepwise'!$C$2:$C$289,0))</f>
        <v>0.38500000000000001</v>
      </c>
      <c r="E12" s="14">
        <f>INDEX('Emission Stepwise'!$G$2:$G$289,MATCH(4&amp;"|"&amp;$A12,'Emission Stepwise'!$C$2:$C$289,0))</f>
        <v>0.30499999999999999</v>
      </c>
      <c r="F12" s="14">
        <f>INDEX('Emission Stepwise'!$G$2:$G$289,MATCH(5&amp;"|"&amp;$A12,'Emission Stepwise'!$C$2:$C$289,0))</f>
        <v>0.39500000000000002</v>
      </c>
      <c r="G12" s="14">
        <f>INDEX('Emission Stepwise'!$G$2:$G$289,MATCH(6&amp;"|"&amp;$A12,'Emission Stepwise'!$C$2:$C$289,0))</f>
        <v>0.32500000000000001</v>
      </c>
      <c r="H12" s="14">
        <f>INDEX('Emission Stepwise'!$G$2:$G$289,MATCH(7&amp;"|"&amp;$A12,'Emission Stepwise'!$C$2:$C$289,0))</f>
        <v>1.4999999999999999E-2</v>
      </c>
      <c r="I12" s="14">
        <f>INDEX('Emission Stepwise'!$G$2:$G$289,MATCH(8&amp;"|"&amp;$A12,'Emission Stepwise'!$C$2:$C$289,0))</f>
        <v>0</v>
      </c>
      <c r="J12" s="14">
        <f>INDEX('Emission Stepwise'!$G$2:$G$289,MATCH(9&amp;"|"&amp;$A12,'Emission Stepwise'!$C$2:$C$289,0))</f>
        <v>3.5175879396984924E-2</v>
      </c>
      <c r="K12" s="14">
        <f>INDEX('Emission Stepwise'!$G$2:$G$289,MATCH(10&amp;"|"&amp;$A12,'Emission Stepwise'!$C$2:$C$289,0))</f>
        <v>0.04</v>
      </c>
      <c r="L12" s="14">
        <f>INDEX('Emission Stepwise'!$G$2:$G$289,MATCH(11&amp;"|"&amp;$A12,'Emission Stepwise'!$C$2:$C$289,0))</f>
        <v>0.73499999999999999</v>
      </c>
      <c r="M12" s="14">
        <f>INDEX('Emission Stepwise'!$G$2:$G$289,MATCH(12&amp;"|"&amp;$A12,'Emission Stepwise'!$C$2:$C$289,0))</f>
        <v>0.14499999999999999</v>
      </c>
      <c r="N12" s="14">
        <f>INDEX('Emission Stepwise'!$G$2:$G$289,MATCH(13&amp;"|"&amp;$A12,'Emission Stepwise'!$C$2:$C$289,0))</f>
        <v>0.65</v>
      </c>
      <c r="O12" s="14">
        <f>INDEX('Emission Stepwise'!$G$2:$G$289,MATCH(14&amp;"|"&amp;$A12,'Emission Stepwise'!$C$2:$C$289,0))</f>
        <v>5.0000000000000001E-3</v>
      </c>
      <c r="P12" s="14">
        <f>INDEX('Emission Stepwise'!$G$2:$G$289,MATCH(15&amp;"|"&amp;$A12,'Emission Stepwise'!$C$2:$C$289,0))</f>
        <v>1.0050251256281407E-2</v>
      </c>
      <c r="Q12" s="14">
        <f>INDEX('Emission Stepwise'!$G$2:$G$289,MATCH(16&amp;"|"&amp;$A12,'Emission Stepwise'!$C$2:$C$289,0))</f>
        <v>0.36090225563909772</v>
      </c>
      <c r="R12" s="14">
        <f>INDEX('Emission Stepwise'!$G$2:$G$289,MATCH(17&amp;"|"&amp;$A12,'Emission Stepwise'!$C$2:$C$289,0))</f>
        <v>0.31979695431472083</v>
      </c>
      <c r="S12" s="14">
        <f>INDEX('Emission Stepwise'!$G$2:$G$289,MATCH(18&amp;"|"&amp;$A12,'Emission Stepwise'!$C$2:$C$289,0))</f>
        <v>0</v>
      </c>
      <c r="T12" s="14">
        <f>INDEX('Emission Stepwise'!$G$2:$G$289,MATCH(19&amp;"|"&amp;$A12,'Emission Stepwise'!$C$2:$C$289,0))</f>
        <v>0</v>
      </c>
      <c r="U12" s="14">
        <f>INDEX('Emission Stepwise'!$G$2:$G$289,MATCH(20&amp;"|"&amp;$A12,'Emission Stepwise'!$C$2:$C$289,0))</f>
        <v>0.22613065326633167</v>
      </c>
      <c r="V12" s="14">
        <f>INDEX('Emission Stepwise'!$G$2:$G$289,MATCH(21&amp;"|"&amp;$A12,'Emission Stepwise'!$C$2:$C$289,0))</f>
        <v>0.02</v>
      </c>
      <c r="W12" s="14">
        <f>INDEX('Emission Stepwise'!$G$2:$G$289,MATCH(22&amp;"|"&amp;$A12,'Emission Stepwise'!$C$2:$C$289,0))</f>
        <v>0</v>
      </c>
      <c r="X12" s="14">
        <f>INDEX('Emission Stepwise'!$G$2:$G$289,MATCH(23&amp;"|"&amp;$A12,'Emission Stepwise'!$C$2:$C$289,0))</f>
        <v>0.19</v>
      </c>
      <c r="Y12" s="14">
        <f>INDEX('Emission Stepwise'!$G$2:$G$289,MATCH(24&amp;"|"&amp;$A12,'Emission Stepwise'!$C$2:$C$289,0))</f>
        <v>0.03</v>
      </c>
      <c r="Z12" s="14">
        <f>INDEX('Emission Stepwise'!$G$2:$G$289,MATCH(25&amp;"|"&amp;$A12,'Emission Stepwise'!$C$2:$C$289,0))</f>
        <v>0.89</v>
      </c>
      <c r="AA12" s="14">
        <f>INDEX('Emission Stepwise'!$G$2:$G$289,MATCH(26&amp;"|"&amp;$A12,'Emission Stepwise'!$C$2:$C$289,0))</f>
        <v>2.5000000000000001E-2</v>
      </c>
      <c r="AB12" s="14">
        <f>INDEX('Emission Stepwise'!$G$2:$G$289,MATCH(27&amp;"|"&amp;$A12,'Emission Stepwise'!$C$2:$C$289,0))</f>
        <v>0.46500000000000002</v>
      </c>
      <c r="AC12" s="14">
        <f>INDEX('Emission Stepwise'!$G$2:$G$289,MATCH(28&amp;"|"&amp;$A12,'Emission Stepwise'!$C$2:$C$289,0))</f>
        <v>0.51500000000000001</v>
      </c>
      <c r="AD12" s="14">
        <f>INDEX('Emission Stepwise'!$G$2:$G$289,MATCH(29&amp;"|"&amp;$A12,'Emission Stepwise'!$C$2:$C$289,0))</f>
        <v>0.18</v>
      </c>
      <c r="AE12" s="14">
        <f>INDEX('Emission Stepwise'!$G$2:$G$289,MATCH(30&amp;"|"&amp;$A12,'Emission Stepwise'!$C$2:$C$289,0))</f>
        <v>0.215</v>
      </c>
      <c r="AF12" s="14">
        <f>INDEX('Emission Stepwise'!$G$2:$G$289,MATCH(31&amp;"|"&amp;$A12,'Emission Stepwise'!$C$2:$C$289,0))</f>
        <v>0.36</v>
      </c>
      <c r="AG12" s="14">
        <f>INDEX('Emission Stepwise'!$G$2:$G$289,MATCH(32&amp;"|"&amp;$A12,'Emission Stepwise'!$C$2:$C$289,0))</f>
        <v>0.67500000000000004</v>
      </c>
      <c r="AH12" s="14">
        <f>INDEX('Emission Stepwise'!$G$2:$G$289,MATCH(33&amp;"|"&amp;$A12,'Emission Stepwise'!$C$2:$C$289,0))</f>
        <v>5.0000000000000001E-3</v>
      </c>
      <c r="AI12" s="14">
        <f>INDEX('Emission Stepwise'!$G$2:$G$289,MATCH(34&amp;"|"&amp;$A12,'Emission Stepwise'!$C$2:$C$289,0))</f>
        <v>0.33</v>
      </c>
      <c r="AJ12" s="14">
        <f>INDEX('Emission Stepwise'!$G$2:$G$289,MATCH(35&amp;"|"&amp;$A12,'Emission Stepwise'!$C$2:$C$289,0))</f>
        <v>0.23</v>
      </c>
      <c r="AK12" s="14">
        <f>INDEX('Emission Stepwise'!$G$2:$G$289,MATCH(36&amp;"|"&amp;$A12,'Emission Stepwise'!$C$2:$C$289,0))</f>
        <v>0.26500000000000001</v>
      </c>
      <c r="AL12" s="14">
        <f>INDEX('Emission Stepwise'!$G$2:$G$289,MATCH(37&amp;"|"&amp;$A12,'Emission Stepwise'!$C$2:$C$289,0))</f>
        <v>5.0000000000000001E-3</v>
      </c>
      <c r="AM12" s="14">
        <f>INDEX('Emission Stepwise'!$G$2:$G$289,MATCH(38&amp;"|"&amp;$A12,'Emission Stepwise'!$C$2:$C$289,0))</f>
        <v>0.14499999999999999</v>
      </c>
      <c r="AN12" s="14">
        <f>INDEX('Emission Stepwise'!$G$2:$G$289,MATCH(39&amp;"|"&amp;$A12,'Emission Stepwise'!$C$2:$C$289,0))</f>
        <v>0.255</v>
      </c>
      <c r="AO12" s="14">
        <f>INDEX('Emission Stepwise'!$G$2:$G$289,MATCH(40&amp;"|"&amp;$A12,'Emission Stepwise'!$C$2:$C$289,0))</f>
        <v>0.71499999999999997</v>
      </c>
      <c r="AP12" s="14">
        <f>INDEX('Emission Stepwise'!$G$2:$G$289,MATCH(41&amp;"|"&amp;$A12,'Emission Stepwise'!$C$2:$C$289,0))</f>
        <v>0.38500000000000001</v>
      </c>
      <c r="AQ12" s="14">
        <f>INDEX('Emission Stepwise'!$G$2:$G$289,MATCH(42&amp;"|"&amp;$A12,'Emission Stepwise'!$C$2:$C$289,0))</f>
        <v>0.1</v>
      </c>
      <c r="AR12" s="14">
        <f>INDEX('Emission Stepwise'!$G$2:$G$289,MATCH(43&amp;"|"&amp;$A12,'Emission Stepwise'!$C$2:$C$289,0))</f>
        <v>0.115</v>
      </c>
      <c r="AS12" s="14">
        <f>INDEX('Emission Stepwise'!$G$2:$G$289,MATCH(44&amp;"|"&amp;$A12,'Emission Stepwise'!$C$2:$C$289,0))</f>
        <v>0.155</v>
      </c>
      <c r="AT12" s="14">
        <f>INDEX('Emission Stepwise'!$G$2:$G$289,MATCH(45&amp;"|"&amp;$A12,'Emission Stepwise'!$C$2:$C$289,0))</f>
        <v>2.5252525252525252E-2</v>
      </c>
      <c r="AU12" s="14">
        <f>INDEX('Emission Stepwise'!$G$2:$G$289,MATCH(46&amp;"|"&amp;$A12,'Emission Stepwise'!$C$2:$C$289,0))</f>
        <v>2.3668639053254437E-2</v>
      </c>
      <c r="AV12" s="14">
        <f>INDEX('Emission Stepwise'!$G$2:$G$289,MATCH(47&amp;"|"&amp;$A12,'Emission Stepwise'!$C$2:$C$289,0))</f>
        <v>0.115</v>
      </c>
      <c r="AW12" s="14">
        <f>INDEX('Emission Stepwise'!$G$2:$G$289,MATCH(48&amp;"|"&amp;$A12,'Emission Stepwise'!$C$2:$C$289,0))</f>
        <v>0.84</v>
      </c>
      <c r="AX12" s="14">
        <f>INDEX('Emission Stepwise'!$G$2:$G$289,MATCH(49&amp;"|"&amp;$A12,'Emission Stepwise'!$C$2:$C$289,0))</f>
        <v>0.28499999999999998</v>
      </c>
      <c r="AY12" s="14">
        <f>INDEX('Emission Stepwise'!$G$2:$G$289,MATCH(50&amp;"|"&amp;$A12,'Emission Stepwise'!$C$2:$C$289,0))</f>
        <v>0.435</v>
      </c>
      <c r="AZ12" s="14">
        <f>INDEX('Emission Stepwise'!$G$2:$G$289,MATCH(51&amp;"|"&amp;$A12,'Emission Stepwise'!$C$2:$C$289,0))</f>
        <v>0.20603015075376885</v>
      </c>
      <c r="BA12" s="14">
        <f>INDEX('Emission Stepwise'!$G$2:$G$289,MATCH(52&amp;"|"&amp;$A12,'Emission Stepwise'!$C$2:$C$289,0))</f>
        <v>0.01</v>
      </c>
      <c r="BB12" s="14">
        <f>INDEX('Emission Stepwise'!$G$2:$G$289,MATCH(53&amp;"|"&amp;$A12,'Emission Stepwise'!$C$2:$C$289,0))</f>
        <v>5.0000000000000001E-3</v>
      </c>
      <c r="BC12" s="14">
        <f>INDEX('Emission Stepwise'!$G$2:$G$289,MATCH(54&amp;"|"&amp;$A12,'Emission Stepwise'!$C$2:$C$289,0))</f>
        <v>0</v>
      </c>
      <c r="BD12" s="14">
        <f>INDEX('Emission Stepwise'!$G$2:$G$289,MATCH(55&amp;"|"&amp;$A12,'Emission Stepwise'!$C$2:$C$289,0))</f>
        <v>5.0000000000000001E-3</v>
      </c>
      <c r="BE12" s="14">
        <f>INDEX('Emission Stepwise'!$G$2:$G$289,MATCH(56&amp;"|"&amp;$A12,'Emission Stepwise'!$C$2:$C$289,0))</f>
        <v>0.98</v>
      </c>
      <c r="BF12" s="14">
        <f>INDEX('Emission Stepwise'!$G$2:$G$289,MATCH(57&amp;"|"&amp;$A12,'Emission Stepwise'!$C$2:$C$289,0))</f>
        <v>0</v>
      </c>
      <c r="BG12" s="14">
        <f>INDEX('Emission Stepwise'!$G$2:$G$289,MATCH(58&amp;"|"&amp;$A12,'Emission Stepwise'!$C$2:$C$289,0))</f>
        <v>5.0000000000000001E-3</v>
      </c>
      <c r="BH12" s="14">
        <f>INDEX('Emission Stepwise'!$G$2:$G$289,MATCH(59&amp;"|"&amp;$A12,'Emission Stepwise'!$C$2:$C$289,0))</f>
        <v>0.06</v>
      </c>
      <c r="BI12" s="14">
        <f>INDEX('Emission Stepwise'!$G$2:$G$289,MATCH(60&amp;"|"&amp;$A12,'Emission Stepwise'!$C$2:$C$289,0))</f>
        <v>0.2</v>
      </c>
      <c r="BJ12" s="14">
        <f>INDEX('Emission Stepwise'!$G$2:$G$289,MATCH(61&amp;"|"&amp;$A12,'Emission Stepwise'!$C$2:$C$289,0))</f>
        <v>0.99</v>
      </c>
      <c r="BK12" s="14">
        <f>INDEX('Emission Stepwise'!$G$2:$G$289,MATCH(62&amp;"|"&amp;$A12,'Emission Stepwise'!$C$2:$C$289,0))</f>
        <v>0.84499999999999997</v>
      </c>
      <c r="BL12" s="14">
        <f>INDEX('Emission Stepwise'!$G$2:$G$289,MATCH(63&amp;"|"&amp;$A12,'Emission Stepwise'!$C$2:$C$289,0))</f>
        <v>0.48499999999999999</v>
      </c>
      <c r="BM12" s="14">
        <f>INDEX('Emission Stepwise'!$G$2:$G$289,MATCH(64&amp;"|"&amp;$A12,'Emission Stepwise'!$C$2:$C$289,0))</f>
        <v>0.21</v>
      </c>
      <c r="BN12" s="14">
        <f>INDEX('Emission Stepwise'!$G$2:$G$289,MATCH(65&amp;"|"&amp;$A12,'Emission Stepwise'!$C$2:$C$289,0))</f>
        <v>0.3165829145728643</v>
      </c>
      <c r="BO12" s="14">
        <f>INDEX('Emission Stepwise'!$G$2:$G$289,MATCH(66&amp;"|"&amp;$A12,'Emission Stepwise'!$C$2:$C$289,0))</f>
        <v>0.52500000000000002</v>
      </c>
      <c r="BP12" s="14">
        <f>INDEX('Emission Stepwise'!$G$2:$G$289,MATCH(67&amp;"|"&amp;$A12,'Emission Stepwise'!$C$2:$C$289,0))</f>
        <v>0.22500000000000001</v>
      </c>
      <c r="BQ12" s="14">
        <f>INDEX('Emission Stepwise'!$G$2:$G$289,MATCH(68&amp;"|"&amp;$A12,'Emission Stepwise'!$C$2:$C$289,0))</f>
        <v>0.31</v>
      </c>
      <c r="BR12" s="14">
        <f>INDEX('Emission Stepwise'!$G$2:$G$289,MATCH(69&amp;"|"&amp;$A12,'Emission Stepwise'!$C$2:$C$289,0))</f>
        <v>0.44</v>
      </c>
      <c r="BS12" s="14">
        <f>INDEX('Emission Stepwise'!$G$2:$G$289,MATCH(70&amp;"|"&amp;$A12,'Emission Stepwise'!$C$2:$C$289,0))</f>
        <v>0.36</v>
      </c>
      <c r="BT12" s="14">
        <f>INDEX('Emission Stepwise'!$G$2:$G$289,MATCH(71&amp;"|"&amp;$A12,'Emission Stepwise'!$C$2:$C$289,0))</f>
        <v>0.52</v>
      </c>
      <c r="BU12" s="14">
        <f>INDEX('Emission Stepwise'!$G$2:$G$289,MATCH(72&amp;"|"&amp;$A12,'Emission Stepwise'!$C$2:$C$289,0))</f>
        <v>0.72499999999999998</v>
      </c>
    </row>
    <row r="13" spans="1:73">
      <c r="A13" s="5" t="s">
        <v>70</v>
      </c>
      <c r="B13" s="14">
        <f>INDEX('Emission Stepwise'!$G$2:$G$289,MATCH(1&amp;"|"&amp;$A13,'Emission Stepwise'!$C$2:$C$289,0))</f>
        <v>0.76</v>
      </c>
      <c r="C13" s="14">
        <f>INDEX('Emission Stepwise'!$G$2:$G$289,MATCH(2&amp;"|"&amp;$A13,'Emission Stepwise'!$C$2:$C$289,0))</f>
        <v>0.53</v>
      </c>
      <c r="D13" s="14">
        <f>INDEX('Emission Stepwise'!$G$2:$G$289,MATCH(3&amp;"|"&amp;$A13,'Emission Stepwise'!$C$2:$C$289,0))</f>
        <v>0.43</v>
      </c>
      <c r="E13" s="14">
        <f>INDEX('Emission Stepwise'!$G$2:$G$289,MATCH(4&amp;"|"&amp;$A13,'Emission Stepwise'!$C$2:$C$289,0))</f>
        <v>0.44500000000000001</v>
      </c>
      <c r="F13" s="14">
        <f>INDEX('Emission Stepwise'!$G$2:$G$289,MATCH(5&amp;"|"&amp;$A13,'Emission Stepwise'!$C$2:$C$289,0))</f>
        <v>0.34499999999999997</v>
      </c>
      <c r="G13" s="14">
        <f>INDEX('Emission Stepwise'!$G$2:$G$289,MATCH(6&amp;"|"&amp;$A13,'Emission Stepwise'!$C$2:$C$289,0))</f>
        <v>0.24</v>
      </c>
      <c r="H13" s="14">
        <f>INDEX('Emission Stepwise'!$G$2:$G$289,MATCH(7&amp;"|"&amp;$A13,'Emission Stepwise'!$C$2:$C$289,0))</f>
        <v>0.52500000000000002</v>
      </c>
      <c r="I13" s="14">
        <f>INDEX('Emission Stepwise'!$G$2:$G$289,MATCH(8&amp;"|"&amp;$A13,'Emission Stepwise'!$C$2:$C$289,0))</f>
        <v>5.0000000000000001E-3</v>
      </c>
      <c r="J13" s="14">
        <f>INDEX('Emission Stepwise'!$G$2:$G$289,MATCH(9&amp;"|"&amp;$A13,'Emission Stepwise'!$C$2:$C$289,0))</f>
        <v>0.30653266331658291</v>
      </c>
      <c r="K13" s="14">
        <f>INDEX('Emission Stepwise'!$G$2:$G$289,MATCH(10&amp;"|"&amp;$A13,'Emission Stepwise'!$C$2:$C$289,0))</f>
        <v>0.96</v>
      </c>
      <c r="L13" s="14">
        <f>INDEX('Emission Stepwise'!$G$2:$G$289,MATCH(11&amp;"|"&amp;$A13,'Emission Stepwise'!$C$2:$C$289,0))</f>
        <v>0.03</v>
      </c>
      <c r="M13" s="14">
        <f>INDEX('Emission Stepwise'!$G$2:$G$289,MATCH(12&amp;"|"&amp;$A13,'Emission Stepwise'!$C$2:$C$289,0))</f>
        <v>0.19</v>
      </c>
      <c r="N13" s="14">
        <f>INDEX('Emission Stepwise'!$G$2:$G$289,MATCH(13&amp;"|"&amp;$A13,'Emission Stepwise'!$C$2:$C$289,0))</f>
        <v>9.5000000000000001E-2</v>
      </c>
      <c r="O13" s="14">
        <f>INDEX('Emission Stepwise'!$G$2:$G$289,MATCH(14&amp;"|"&amp;$A13,'Emission Stepwise'!$C$2:$C$289,0))</f>
        <v>5.0000000000000001E-3</v>
      </c>
      <c r="P13" s="14">
        <f>INDEX('Emission Stepwise'!$G$2:$G$289,MATCH(15&amp;"|"&amp;$A13,'Emission Stepwise'!$C$2:$C$289,0))</f>
        <v>0.81407035175879394</v>
      </c>
      <c r="Q13" s="14">
        <f>INDEX('Emission Stepwise'!$G$2:$G$289,MATCH(16&amp;"|"&amp;$A13,'Emission Stepwise'!$C$2:$C$289,0))</f>
        <v>2.2556390977443608E-2</v>
      </c>
      <c r="R13" s="14">
        <f>INDEX('Emission Stepwise'!$G$2:$G$289,MATCH(17&amp;"|"&amp;$A13,'Emission Stepwise'!$C$2:$C$289,0))</f>
        <v>4.060913705583756E-2</v>
      </c>
      <c r="S13" s="14">
        <f>INDEX('Emission Stepwise'!$G$2:$G$289,MATCH(18&amp;"|"&amp;$A13,'Emission Stepwise'!$C$2:$C$289,0))</f>
        <v>0.995</v>
      </c>
      <c r="T13" s="14">
        <f>INDEX('Emission Stepwise'!$G$2:$G$289,MATCH(19&amp;"|"&amp;$A13,'Emission Stepwise'!$C$2:$C$289,0))</f>
        <v>0.98499999999999999</v>
      </c>
      <c r="U13" s="14">
        <f>INDEX('Emission Stepwise'!$G$2:$G$289,MATCH(20&amp;"|"&amp;$A13,'Emission Stepwise'!$C$2:$C$289,0))</f>
        <v>9.0452261306532666E-2</v>
      </c>
      <c r="V13" s="14">
        <f>INDEX('Emission Stepwise'!$G$2:$G$289,MATCH(21&amp;"|"&amp;$A13,'Emission Stepwise'!$C$2:$C$289,0))</f>
        <v>3.5000000000000003E-2</v>
      </c>
      <c r="W13" s="14">
        <f>INDEX('Emission Stepwise'!$G$2:$G$289,MATCH(22&amp;"|"&amp;$A13,'Emission Stepwise'!$C$2:$C$289,0))</f>
        <v>0.72499999999999998</v>
      </c>
      <c r="X13" s="14">
        <f>INDEX('Emission Stepwise'!$G$2:$G$289,MATCH(23&amp;"|"&amp;$A13,'Emission Stepwise'!$C$2:$C$289,0))</f>
        <v>0.14499999999999999</v>
      </c>
      <c r="Y13" s="14">
        <f>INDEX('Emission Stepwise'!$G$2:$G$289,MATCH(24&amp;"|"&amp;$A13,'Emission Stepwise'!$C$2:$C$289,0))</f>
        <v>0.75</v>
      </c>
      <c r="Z13" s="14">
        <f>INDEX('Emission Stepwise'!$G$2:$G$289,MATCH(25&amp;"|"&amp;$A13,'Emission Stepwise'!$C$2:$C$289,0))</f>
        <v>3.5000000000000003E-2</v>
      </c>
      <c r="AA13" s="14">
        <f>INDEX('Emission Stepwise'!$G$2:$G$289,MATCH(26&amp;"|"&amp;$A13,'Emission Stepwise'!$C$2:$C$289,0))</f>
        <v>0.5</v>
      </c>
      <c r="AB13" s="14">
        <f>INDEX('Emission Stepwise'!$G$2:$G$289,MATCH(27&amp;"|"&amp;$A13,'Emission Stepwise'!$C$2:$C$289,0))</f>
        <v>0.155</v>
      </c>
      <c r="AC13" s="14">
        <f>INDEX('Emission Stepwise'!$G$2:$G$289,MATCH(28&amp;"|"&amp;$A13,'Emission Stepwise'!$C$2:$C$289,0))</f>
        <v>0.11</v>
      </c>
      <c r="AD13" s="14">
        <f>INDEX('Emission Stepwise'!$G$2:$G$289,MATCH(29&amp;"|"&amp;$A13,'Emission Stepwise'!$C$2:$C$289,0))</f>
        <v>0.38500000000000001</v>
      </c>
      <c r="AE13" s="14">
        <f>INDEX('Emission Stepwise'!$G$2:$G$289,MATCH(30&amp;"|"&amp;$A13,'Emission Stepwise'!$C$2:$C$289,0))</f>
        <v>0.75</v>
      </c>
      <c r="AF13" s="14">
        <f>INDEX('Emission Stepwise'!$G$2:$G$289,MATCH(31&amp;"|"&amp;$A13,'Emission Stepwise'!$C$2:$C$289,0))</f>
        <v>0.27500000000000002</v>
      </c>
      <c r="AG13" s="14">
        <f>INDEX('Emission Stepwise'!$G$2:$G$289,MATCH(32&amp;"|"&amp;$A13,'Emission Stepwise'!$C$2:$C$289,0))</f>
        <v>0</v>
      </c>
      <c r="AH13" s="14">
        <f>INDEX('Emission Stepwise'!$G$2:$G$289,MATCH(33&amp;"|"&amp;$A13,'Emission Stepwise'!$C$2:$C$289,0))</f>
        <v>0</v>
      </c>
      <c r="AI13" s="14">
        <f>INDEX('Emission Stepwise'!$G$2:$G$289,MATCH(34&amp;"|"&amp;$A13,'Emission Stepwise'!$C$2:$C$289,0))</f>
        <v>0.33500000000000002</v>
      </c>
      <c r="AJ13" s="14">
        <f>INDEX('Emission Stepwise'!$G$2:$G$289,MATCH(35&amp;"|"&amp;$A13,'Emission Stepwise'!$C$2:$C$289,0))</f>
        <v>0.255</v>
      </c>
      <c r="AK13" s="14">
        <f>INDEX('Emission Stepwise'!$G$2:$G$289,MATCH(36&amp;"|"&amp;$A13,'Emission Stepwise'!$C$2:$C$289,0))</f>
        <v>0.16</v>
      </c>
      <c r="AL13" s="14">
        <f>INDEX('Emission Stepwise'!$G$2:$G$289,MATCH(37&amp;"|"&amp;$A13,'Emission Stepwise'!$C$2:$C$289,0))</f>
        <v>0.24</v>
      </c>
      <c r="AM13" s="14">
        <f>INDEX('Emission Stepwise'!$G$2:$G$289,MATCH(38&amp;"|"&amp;$A13,'Emission Stepwise'!$C$2:$C$289,0))</f>
        <v>5.0000000000000001E-3</v>
      </c>
      <c r="AN13" s="14">
        <f>INDEX('Emission Stepwise'!$G$2:$G$289,MATCH(39&amp;"|"&amp;$A13,'Emission Stepwise'!$C$2:$C$289,0))</f>
        <v>0.36</v>
      </c>
      <c r="AO13" s="14">
        <f>INDEX('Emission Stepwise'!$G$2:$G$289,MATCH(40&amp;"|"&amp;$A13,'Emission Stepwise'!$C$2:$C$289,0))</f>
        <v>0.24</v>
      </c>
      <c r="AP13" s="14">
        <f>INDEX('Emission Stepwise'!$G$2:$G$289,MATCH(41&amp;"|"&amp;$A13,'Emission Stepwise'!$C$2:$C$289,0))</f>
        <v>0.18</v>
      </c>
      <c r="AQ13" s="14">
        <f>INDEX('Emission Stepwise'!$G$2:$G$289,MATCH(42&amp;"|"&amp;$A13,'Emission Stepwise'!$C$2:$C$289,0))</f>
        <v>0.52500000000000002</v>
      </c>
      <c r="AR13" s="14">
        <f>INDEX('Emission Stepwise'!$G$2:$G$289,MATCH(43&amp;"|"&amp;$A13,'Emission Stepwise'!$C$2:$C$289,0))</f>
        <v>0.5</v>
      </c>
      <c r="AS13" s="14">
        <f>INDEX('Emission Stepwise'!$G$2:$G$289,MATCH(44&amp;"|"&amp;$A13,'Emission Stepwise'!$C$2:$C$289,0))</f>
        <v>0.23</v>
      </c>
      <c r="AT13" s="14">
        <f>INDEX('Emission Stepwise'!$G$2:$G$289,MATCH(45&amp;"|"&amp;$A13,'Emission Stepwise'!$C$2:$C$289,0))</f>
        <v>0.75757575757575757</v>
      </c>
      <c r="AU13" s="14">
        <f>INDEX('Emission Stepwise'!$G$2:$G$289,MATCH(46&amp;"|"&amp;$A13,'Emission Stepwise'!$C$2:$C$289,0))</f>
        <v>0.81065088757396453</v>
      </c>
      <c r="AV13" s="14">
        <f>INDEX('Emission Stepwise'!$G$2:$G$289,MATCH(47&amp;"|"&amp;$A13,'Emission Stepwise'!$C$2:$C$289,0))</f>
        <v>0.08</v>
      </c>
      <c r="AW13" s="14">
        <f>INDEX('Emission Stepwise'!$G$2:$G$289,MATCH(48&amp;"|"&amp;$A13,'Emission Stepwise'!$C$2:$C$289,0))</f>
        <v>0.01</v>
      </c>
      <c r="AX13" s="14">
        <f>INDEX('Emission Stepwise'!$G$2:$G$289,MATCH(49&amp;"|"&amp;$A13,'Emission Stepwise'!$C$2:$C$289,0))</f>
        <v>0.505</v>
      </c>
      <c r="AY13" s="14">
        <f>INDEX('Emission Stepwise'!$G$2:$G$289,MATCH(50&amp;"|"&amp;$A13,'Emission Stepwise'!$C$2:$C$289,0))</f>
        <v>0.27</v>
      </c>
      <c r="AZ13" s="14">
        <f>INDEX('Emission Stepwise'!$G$2:$G$289,MATCH(51&amp;"|"&amp;$A13,'Emission Stepwise'!$C$2:$C$289,0))</f>
        <v>0.49748743718592964</v>
      </c>
      <c r="BA13" s="14">
        <f>INDEX('Emission Stepwise'!$G$2:$G$289,MATCH(52&amp;"|"&amp;$A13,'Emission Stepwise'!$C$2:$C$289,0))</f>
        <v>0.84</v>
      </c>
      <c r="BB13" s="14">
        <f>INDEX('Emission Stepwise'!$G$2:$G$289,MATCH(53&amp;"|"&amp;$A13,'Emission Stepwise'!$C$2:$C$289,0))</f>
        <v>0.98</v>
      </c>
      <c r="BC13" s="14">
        <f>INDEX('Emission Stepwise'!$G$2:$G$289,MATCH(54&amp;"|"&amp;$A13,'Emission Stepwise'!$C$2:$C$289,0))</f>
        <v>0</v>
      </c>
      <c r="BD13" s="14">
        <f>INDEX('Emission Stepwise'!$G$2:$G$289,MATCH(55&amp;"|"&amp;$A13,'Emission Stepwise'!$C$2:$C$289,0))</f>
        <v>5.0000000000000001E-3</v>
      </c>
      <c r="BE13" s="14">
        <f>INDEX('Emission Stepwise'!$G$2:$G$289,MATCH(56&amp;"|"&amp;$A13,'Emission Stepwise'!$C$2:$C$289,0))</f>
        <v>5.0000000000000001E-3</v>
      </c>
      <c r="BF13" s="14">
        <f>INDEX('Emission Stepwise'!$G$2:$G$289,MATCH(57&amp;"|"&amp;$A13,'Emission Stepwise'!$C$2:$C$289,0))</f>
        <v>0.60804020100502509</v>
      </c>
      <c r="BG13" s="14">
        <f>INDEX('Emission Stepwise'!$G$2:$G$289,MATCH(58&amp;"|"&amp;$A13,'Emission Stepwise'!$C$2:$C$289,0))</f>
        <v>0</v>
      </c>
      <c r="BH13" s="14">
        <f>INDEX('Emission Stepwise'!$G$2:$G$289,MATCH(59&amp;"|"&amp;$A13,'Emission Stepwise'!$C$2:$C$289,0))</f>
        <v>0.23499999999999999</v>
      </c>
      <c r="BI13" s="14">
        <f>INDEX('Emission Stepwise'!$G$2:$G$289,MATCH(60&amp;"|"&amp;$A13,'Emission Stepwise'!$C$2:$C$289,0))</f>
        <v>0.01</v>
      </c>
      <c r="BJ13" s="14">
        <f>INDEX('Emission Stepwise'!$G$2:$G$289,MATCH(61&amp;"|"&amp;$A13,'Emission Stepwise'!$C$2:$C$289,0))</f>
        <v>5.0000000000000001E-3</v>
      </c>
      <c r="BK13" s="14">
        <f>INDEX('Emission Stepwise'!$G$2:$G$289,MATCH(62&amp;"|"&amp;$A13,'Emission Stepwise'!$C$2:$C$289,0))</f>
        <v>0.01</v>
      </c>
      <c r="BL13" s="14">
        <f>INDEX('Emission Stepwise'!$G$2:$G$289,MATCH(63&amp;"|"&amp;$A13,'Emission Stepwise'!$C$2:$C$289,0))</f>
        <v>0.24</v>
      </c>
      <c r="BM13" s="14">
        <f>INDEX('Emission Stepwise'!$G$2:$G$289,MATCH(64&amp;"|"&amp;$A13,'Emission Stepwise'!$C$2:$C$289,0))</f>
        <v>0.46</v>
      </c>
      <c r="BN13" s="14">
        <f>INDEX('Emission Stepwise'!$G$2:$G$289,MATCH(65&amp;"|"&amp;$A13,'Emission Stepwise'!$C$2:$C$289,0))</f>
        <v>0.28643216080402012</v>
      </c>
      <c r="BO13" s="14">
        <f>INDEX('Emission Stepwise'!$G$2:$G$289,MATCH(66&amp;"|"&amp;$A13,'Emission Stepwise'!$C$2:$C$289,0))</f>
        <v>0.01</v>
      </c>
      <c r="BP13" s="14">
        <f>INDEX('Emission Stepwise'!$G$2:$G$289,MATCH(67&amp;"|"&amp;$A13,'Emission Stepwise'!$C$2:$C$289,0))</f>
        <v>0.375</v>
      </c>
      <c r="BQ13" s="14">
        <f>INDEX('Emission Stepwise'!$G$2:$G$289,MATCH(68&amp;"|"&amp;$A13,'Emission Stepwise'!$C$2:$C$289,0))</f>
        <v>0.435</v>
      </c>
      <c r="BR13" s="14">
        <f>INDEX('Emission Stepwise'!$G$2:$G$289,MATCH(69&amp;"|"&amp;$A13,'Emission Stepwise'!$C$2:$C$289,0))</f>
        <v>0.35</v>
      </c>
      <c r="BS13" s="14">
        <f>INDEX('Emission Stepwise'!$G$2:$G$289,MATCH(70&amp;"|"&amp;$A13,'Emission Stepwise'!$C$2:$C$289,0))</f>
        <v>0.375</v>
      </c>
      <c r="BT13" s="14">
        <f>INDEX('Emission Stepwise'!$G$2:$G$289,MATCH(71&amp;"|"&amp;$A13,'Emission Stepwise'!$C$2:$C$289,0))</f>
        <v>0.41</v>
      </c>
      <c r="BU13" s="14">
        <f>INDEX('Emission Stepwise'!$G$2:$G$289,MATCH(72&amp;"|"&amp;$A13,'Emission Stepwise'!$C$2:$C$289,0))</f>
        <v>0.09</v>
      </c>
    </row>
    <row r="14" spans="1:73">
      <c r="A14" s="5" t="s">
        <v>72</v>
      </c>
      <c r="B14" s="14">
        <f>INDEX('Emission Stepwise'!$G$2:$G$289,MATCH(1&amp;"|"&amp;$A14,'Emission Stepwise'!$C$2:$C$289,0))</f>
        <v>6.5000000000000002E-2</v>
      </c>
      <c r="C14" s="14">
        <f>INDEX('Emission Stepwise'!$G$2:$G$289,MATCH(2&amp;"|"&amp;$A14,'Emission Stepwise'!$C$2:$C$289,0))</f>
        <v>0.03</v>
      </c>
      <c r="D14" s="14">
        <f>INDEX('Emission Stepwise'!$G$2:$G$289,MATCH(3&amp;"|"&amp;$A14,'Emission Stepwise'!$C$2:$C$289,0))</f>
        <v>0.115</v>
      </c>
      <c r="E14" s="14">
        <f>INDEX('Emission Stepwise'!$G$2:$G$289,MATCH(4&amp;"|"&amp;$A14,'Emission Stepwise'!$C$2:$C$289,0))</f>
        <v>0.17</v>
      </c>
      <c r="F14" s="14">
        <f>INDEX('Emission Stepwise'!$G$2:$G$289,MATCH(5&amp;"|"&amp;$A14,'Emission Stepwise'!$C$2:$C$289,0))</f>
        <v>0.105</v>
      </c>
      <c r="G14" s="14">
        <f>INDEX('Emission Stepwise'!$G$2:$G$289,MATCH(6&amp;"|"&amp;$A14,'Emission Stepwise'!$C$2:$C$289,0))</f>
        <v>0.26500000000000001</v>
      </c>
      <c r="H14" s="14">
        <f>INDEX('Emission Stepwise'!$G$2:$G$289,MATCH(7&amp;"|"&amp;$A14,'Emission Stepwise'!$C$2:$C$289,0))</f>
        <v>0.22</v>
      </c>
      <c r="I14" s="14">
        <f>INDEX('Emission Stepwise'!$G$2:$G$289,MATCH(8&amp;"|"&amp;$A14,'Emission Stepwise'!$C$2:$C$289,0))</f>
        <v>0.99</v>
      </c>
      <c r="J14" s="14">
        <f>INDEX('Emission Stepwise'!$G$2:$G$289,MATCH(9&amp;"|"&amp;$A14,'Emission Stepwise'!$C$2:$C$289,0))</f>
        <v>0</v>
      </c>
      <c r="K14" s="14">
        <f>INDEX('Emission Stepwise'!$G$2:$G$289,MATCH(10&amp;"|"&amp;$A14,'Emission Stepwise'!$C$2:$C$289,0))</f>
        <v>0</v>
      </c>
      <c r="L14" s="14">
        <f>INDEX('Emission Stepwise'!$G$2:$G$289,MATCH(11&amp;"|"&amp;$A14,'Emission Stepwise'!$C$2:$C$289,0))</f>
        <v>0.2</v>
      </c>
      <c r="M14" s="14">
        <f>INDEX('Emission Stepwise'!$G$2:$G$289,MATCH(12&amp;"|"&amp;$A14,'Emission Stepwise'!$C$2:$C$289,0))</f>
        <v>0.6</v>
      </c>
      <c r="N14" s="14">
        <f>INDEX('Emission Stepwise'!$G$2:$G$289,MATCH(13&amp;"|"&amp;$A14,'Emission Stepwise'!$C$2:$C$289,0))</f>
        <v>0.19</v>
      </c>
      <c r="O14" s="14">
        <f>INDEX('Emission Stepwise'!$G$2:$G$289,MATCH(14&amp;"|"&amp;$A14,'Emission Stepwise'!$C$2:$C$289,0))</f>
        <v>0</v>
      </c>
      <c r="P14" s="14">
        <f>INDEX('Emission Stepwise'!$G$2:$G$289,MATCH(15&amp;"|"&amp;$A14,'Emission Stepwise'!$C$2:$C$289,0))</f>
        <v>1.0050251256281407E-2</v>
      </c>
      <c r="Q14" s="14">
        <f>INDEX('Emission Stepwise'!$G$2:$G$289,MATCH(16&amp;"|"&amp;$A14,'Emission Stepwise'!$C$2:$C$289,0))</f>
        <v>0.59398496240601506</v>
      </c>
      <c r="R14" s="14">
        <f>INDEX('Emission Stepwise'!$G$2:$G$289,MATCH(17&amp;"|"&amp;$A14,'Emission Stepwise'!$C$2:$C$289,0))</f>
        <v>0.57868020304568524</v>
      </c>
      <c r="S14" s="14">
        <f>INDEX('Emission Stepwise'!$G$2:$G$289,MATCH(18&amp;"|"&amp;$A14,'Emission Stepwise'!$C$2:$C$289,0))</f>
        <v>0</v>
      </c>
      <c r="T14" s="14">
        <f>INDEX('Emission Stepwise'!$G$2:$G$289,MATCH(19&amp;"|"&amp;$A14,'Emission Stepwise'!$C$2:$C$289,0))</f>
        <v>0.01</v>
      </c>
      <c r="U14" s="14">
        <f>INDEX('Emission Stepwise'!$G$2:$G$289,MATCH(20&amp;"|"&amp;$A14,'Emission Stepwise'!$C$2:$C$289,0))</f>
        <v>0.59798994974874375</v>
      </c>
      <c r="V14" s="14">
        <f>INDEX('Emission Stepwise'!$G$2:$G$289,MATCH(21&amp;"|"&amp;$A14,'Emission Stepwise'!$C$2:$C$289,0))</f>
        <v>0.05</v>
      </c>
      <c r="W14" s="14">
        <f>INDEX('Emission Stepwise'!$G$2:$G$289,MATCH(22&amp;"|"&amp;$A14,'Emission Stepwise'!$C$2:$C$289,0))</f>
        <v>7.0000000000000007E-2</v>
      </c>
      <c r="X14" s="14">
        <f>INDEX('Emission Stepwise'!$G$2:$G$289,MATCH(23&amp;"|"&amp;$A14,'Emission Stepwise'!$C$2:$C$289,0))</f>
        <v>0.06</v>
      </c>
      <c r="Y14" s="14">
        <f>INDEX('Emission Stepwise'!$G$2:$G$289,MATCH(24&amp;"|"&amp;$A14,'Emission Stepwise'!$C$2:$C$289,0))</f>
        <v>3.5000000000000003E-2</v>
      </c>
      <c r="Z14" s="14">
        <f>INDEX('Emission Stepwise'!$G$2:$G$289,MATCH(25&amp;"|"&amp;$A14,'Emission Stepwise'!$C$2:$C$289,0))</f>
        <v>7.0000000000000007E-2</v>
      </c>
      <c r="AA14" s="14">
        <f>INDEX('Emission Stepwise'!$G$2:$G$289,MATCH(26&amp;"|"&amp;$A14,'Emission Stepwise'!$C$2:$C$289,0))</f>
        <v>5.5E-2</v>
      </c>
      <c r="AB14" s="14">
        <f>INDEX('Emission Stepwise'!$G$2:$G$289,MATCH(27&amp;"|"&amp;$A14,'Emission Stepwise'!$C$2:$C$289,0))</f>
        <v>0.26</v>
      </c>
      <c r="AC14" s="14">
        <f>INDEX('Emission Stepwise'!$G$2:$G$289,MATCH(28&amp;"|"&amp;$A14,'Emission Stepwise'!$C$2:$C$289,0))</f>
        <v>0.255</v>
      </c>
      <c r="AD14" s="14">
        <f>INDEX('Emission Stepwise'!$G$2:$G$289,MATCH(29&amp;"|"&amp;$A14,'Emission Stepwise'!$C$2:$C$289,0))</f>
        <v>0.27500000000000002</v>
      </c>
      <c r="AE14" s="14">
        <f>INDEX('Emission Stepwise'!$G$2:$G$289,MATCH(30&amp;"|"&amp;$A14,'Emission Stepwise'!$C$2:$C$289,0))</f>
        <v>3.5000000000000003E-2</v>
      </c>
      <c r="AF14" s="14">
        <f>INDEX('Emission Stepwise'!$G$2:$G$289,MATCH(31&amp;"|"&amp;$A14,'Emission Stepwise'!$C$2:$C$289,0))</f>
        <v>9.5000000000000001E-2</v>
      </c>
      <c r="AG14" s="14">
        <f>INDEX('Emission Stepwise'!$G$2:$G$289,MATCH(32&amp;"|"&amp;$A14,'Emission Stepwise'!$C$2:$C$289,0))</f>
        <v>0.29499999999999998</v>
      </c>
      <c r="AH14" s="14">
        <f>INDEX('Emission Stepwise'!$G$2:$G$289,MATCH(33&amp;"|"&amp;$A14,'Emission Stepwise'!$C$2:$C$289,0))</f>
        <v>0.99</v>
      </c>
      <c r="AI14" s="14">
        <f>INDEX('Emission Stepwise'!$G$2:$G$289,MATCH(34&amp;"|"&amp;$A14,'Emission Stepwise'!$C$2:$C$289,0))</f>
        <v>0.28999999999999998</v>
      </c>
      <c r="AJ14" s="14">
        <f>INDEX('Emission Stepwise'!$G$2:$G$289,MATCH(35&amp;"|"&amp;$A14,'Emission Stepwise'!$C$2:$C$289,0))</f>
        <v>0.20499999999999999</v>
      </c>
      <c r="AK14" s="14">
        <f>INDEX('Emission Stepwise'!$G$2:$G$289,MATCH(36&amp;"|"&amp;$A14,'Emission Stepwise'!$C$2:$C$289,0))</f>
        <v>0.36</v>
      </c>
      <c r="AL14" s="14">
        <f>INDEX('Emission Stepwise'!$G$2:$G$289,MATCH(37&amp;"|"&amp;$A14,'Emission Stepwise'!$C$2:$C$289,0))</f>
        <v>0</v>
      </c>
      <c r="AM14" s="14">
        <f>INDEX('Emission Stepwise'!$G$2:$G$289,MATCH(38&amp;"|"&amp;$A14,'Emission Stepwise'!$C$2:$C$289,0))</f>
        <v>0.115</v>
      </c>
      <c r="AN14" s="14">
        <f>INDEX('Emission Stepwise'!$G$2:$G$289,MATCH(39&amp;"|"&amp;$A14,'Emission Stepwise'!$C$2:$C$289,0))</f>
        <v>0.29499999999999998</v>
      </c>
      <c r="AO14" s="14">
        <f>INDEX('Emission Stepwise'!$G$2:$G$289,MATCH(40&amp;"|"&amp;$A14,'Emission Stepwise'!$C$2:$C$289,0))</f>
        <v>0.04</v>
      </c>
      <c r="AP14" s="14">
        <f>INDEX('Emission Stepwise'!$G$2:$G$289,MATCH(41&amp;"|"&amp;$A14,'Emission Stepwise'!$C$2:$C$289,0))</f>
        <v>0.16500000000000001</v>
      </c>
      <c r="AQ14" s="14">
        <f>INDEX('Emission Stepwise'!$G$2:$G$289,MATCH(42&amp;"|"&amp;$A14,'Emission Stepwise'!$C$2:$C$289,0))</f>
        <v>0.13</v>
      </c>
      <c r="AR14" s="14">
        <f>INDEX('Emission Stepwise'!$G$2:$G$289,MATCH(43&amp;"|"&amp;$A14,'Emission Stepwise'!$C$2:$C$289,0))</f>
        <v>0.16</v>
      </c>
      <c r="AS14" s="14">
        <f>INDEX('Emission Stepwise'!$G$2:$G$289,MATCH(44&amp;"|"&amp;$A14,'Emission Stepwise'!$C$2:$C$289,0))</f>
        <v>0.115</v>
      </c>
      <c r="AT14" s="14">
        <f>INDEX('Emission Stepwise'!$G$2:$G$289,MATCH(45&amp;"|"&amp;$A14,'Emission Stepwise'!$C$2:$C$289,0))</f>
        <v>0.14141414141414141</v>
      </c>
      <c r="AU14" s="14">
        <f>INDEX('Emission Stepwise'!$G$2:$G$289,MATCH(46&amp;"|"&amp;$A14,'Emission Stepwise'!$C$2:$C$289,0))</f>
        <v>7.1005917159763315E-2</v>
      </c>
      <c r="AV14" s="14">
        <f>INDEX('Emission Stepwise'!$G$2:$G$289,MATCH(47&amp;"|"&amp;$A14,'Emission Stepwise'!$C$2:$C$289,0))</f>
        <v>0.67500000000000004</v>
      </c>
      <c r="AW14" s="14">
        <f>INDEX('Emission Stepwise'!$G$2:$G$289,MATCH(48&amp;"|"&amp;$A14,'Emission Stepwise'!$C$2:$C$289,0))</f>
        <v>0.14499999999999999</v>
      </c>
      <c r="AX14" s="14">
        <f>INDEX('Emission Stepwise'!$G$2:$G$289,MATCH(49&amp;"|"&amp;$A14,'Emission Stepwise'!$C$2:$C$289,0))</f>
        <v>5.5E-2</v>
      </c>
      <c r="AY14" s="14">
        <f>INDEX('Emission Stepwise'!$G$2:$G$289,MATCH(50&amp;"|"&amp;$A14,'Emission Stepwise'!$C$2:$C$289,0))</f>
        <v>0.18</v>
      </c>
      <c r="AZ14" s="14">
        <f>INDEX('Emission Stepwise'!$G$2:$G$289,MATCH(51&amp;"|"&amp;$A14,'Emission Stepwise'!$C$2:$C$289,0))</f>
        <v>0.15577889447236182</v>
      </c>
      <c r="BA14" s="14">
        <f>INDEX('Emission Stepwise'!$G$2:$G$289,MATCH(52&amp;"|"&amp;$A14,'Emission Stepwise'!$C$2:$C$289,0))</f>
        <v>0.02</v>
      </c>
      <c r="BB14" s="14">
        <f>INDEX('Emission Stepwise'!$G$2:$G$289,MATCH(53&amp;"|"&amp;$A14,'Emission Stepwise'!$C$2:$C$289,0))</f>
        <v>0.01</v>
      </c>
      <c r="BC14" s="14">
        <f>INDEX('Emission Stepwise'!$G$2:$G$289,MATCH(54&amp;"|"&amp;$A14,'Emission Stepwise'!$C$2:$C$289,0))</f>
        <v>0.99</v>
      </c>
      <c r="BD14" s="14">
        <f>INDEX('Emission Stepwise'!$G$2:$G$289,MATCH(55&amp;"|"&amp;$A14,'Emission Stepwise'!$C$2:$C$289,0))</f>
        <v>0.98499999999999999</v>
      </c>
      <c r="BE14" s="14">
        <f>INDEX('Emission Stepwise'!$G$2:$G$289,MATCH(56&amp;"|"&amp;$A14,'Emission Stepwise'!$C$2:$C$289,0))</f>
        <v>5.0000000000000001E-3</v>
      </c>
      <c r="BF14" s="14">
        <f>INDEX('Emission Stepwise'!$G$2:$G$289,MATCH(57&amp;"|"&amp;$A14,'Emission Stepwise'!$C$2:$C$289,0))</f>
        <v>5.0251256281407036E-3</v>
      </c>
      <c r="BG14" s="14">
        <f>INDEX('Emission Stepwise'!$G$2:$G$289,MATCH(58&amp;"|"&amp;$A14,'Emission Stepwise'!$C$2:$C$289,0))</f>
        <v>5.0000000000000001E-3</v>
      </c>
      <c r="BH14" s="14">
        <f>INDEX('Emission Stepwise'!$G$2:$G$289,MATCH(59&amp;"|"&amp;$A14,'Emission Stepwise'!$C$2:$C$289,0))</f>
        <v>0.25</v>
      </c>
      <c r="BI14" s="14">
        <f>INDEX('Emission Stepwise'!$G$2:$G$289,MATCH(60&amp;"|"&amp;$A14,'Emission Stepwise'!$C$2:$C$289,0))</f>
        <v>0.78500000000000003</v>
      </c>
      <c r="BJ14" s="14">
        <f>INDEX('Emission Stepwise'!$G$2:$G$289,MATCH(61&amp;"|"&amp;$A14,'Emission Stepwise'!$C$2:$C$289,0))</f>
        <v>5.0000000000000001E-3</v>
      </c>
      <c r="BK14" s="14">
        <f>INDEX('Emission Stepwise'!$G$2:$G$289,MATCH(62&amp;"|"&amp;$A14,'Emission Stepwise'!$C$2:$C$289,0))</f>
        <v>0.13</v>
      </c>
      <c r="BL14" s="14">
        <f>INDEX('Emission Stepwise'!$G$2:$G$289,MATCH(63&amp;"|"&amp;$A14,'Emission Stepwise'!$C$2:$C$289,0))</f>
        <v>0.16</v>
      </c>
      <c r="BM14" s="14">
        <f>INDEX('Emission Stepwise'!$G$2:$G$289,MATCH(64&amp;"|"&amp;$A14,'Emission Stepwise'!$C$2:$C$289,0))</f>
        <v>0.16500000000000001</v>
      </c>
      <c r="BN14" s="14">
        <f>INDEX('Emission Stepwise'!$G$2:$G$289,MATCH(65&amp;"|"&amp;$A14,'Emission Stepwise'!$C$2:$C$289,0))</f>
        <v>0.35175879396984927</v>
      </c>
      <c r="BO14" s="14">
        <f>INDEX('Emission Stepwise'!$G$2:$G$289,MATCH(66&amp;"|"&amp;$A14,'Emission Stepwise'!$C$2:$C$289,0))</f>
        <v>0.25</v>
      </c>
      <c r="BP14" s="14">
        <f>INDEX('Emission Stepwise'!$G$2:$G$289,MATCH(67&amp;"|"&amp;$A14,'Emission Stepwise'!$C$2:$C$289,0))</f>
        <v>0.19</v>
      </c>
      <c r="BQ14" s="14">
        <f>INDEX('Emission Stepwise'!$G$2:$G$289,MATCH(68&amp;"|"&amp;$A14,'Emission Stepwise'!$C$2:$C$289,0))</f>
        <v>0.18</v>
      </c>
      <c r="BR14" s="14">
        <f>INDEX('Emission Stepwise'!$G$2:$G$289,MATCH(69&amp;"|"&amp;$A14,'Emission Stepwise'!$C$2:$C$289,0))</f>
        <v>8.5000000000000006E-2</v>
      </c>
      <c r="BS14" s="14">
        <f>INDEX('Emission Stepwise'!$G$2:$G$289,MATCH(70&amp;"|"&amp;$A14,'Emission Stepwise'!$C$2:$C$289,0))</f>
        <v>0.15</v>
      </c>
      <c r="BT14" s="14">
        <f>INDEX('Emission Stepwise'!$G$2:$G$289,MATCH(71&amp;"|"&amp;$A14,'Emission Stepwise'!$C$2:$C$289,0))</f>
        <v>4.4999999999999998E-2</v>
      </c>
      <c r="BU14" s="14">
        <f>INDEX('Emission Stepwise'!$G$2:$G$289,MATCH(72&amp;"|"&amp;$A14,'Emission Stepwise'!$C$2:$C$289,0))</f>
        <v>0.105</v>
      </c>
    </row>
    <row r="15" spans="1:73">
      <c r="A15" s="5" t="s">
        <v>506</v>
      </c>
      <c r="B15" s="4">
        <f t="shared" ref="B15:AG15" si="3">ROUND(SUM(B11:B14),9)</f>
        <v>1</v>
      </c>
      <c r="C15" s="4">
        <f t="shared" si="3"/>
        <v>1</v>
      </c>
      <c r="D15" s="4">
        <f t="shared" si="3"/>
        <v>1</v>
      </c>
      <c r="E15" s="4">
        <f t="shared" si="3"/>
        <v>1</v>
      </c>
      <c r="F15" s="4">
        <f t="shared" si="3"/>
        <v>1</v>
      </c>
      <c r="G15" s="4">
        <f t="shared" si="3"/>
        <v>1</v>
      </c>
      <c r="H15" s="4">
        <f t="shared" si="3"/>
        <v>1</v>
      </c>
      <c r="I15" s="4">
        <f t="shared" si="3"/>
        <v>1</v>
      </c>
      <c r="J15" s="4">
        <f t="shared" si="3"/>
        <v>1</v>
      </c>
      <c r="K15" s="4">
        <f t="shared" si="3"/>
        <v>1</v>
      </c>
      <c r="L15" s="4">
        <f t="shared" si="3"/>
        <v>1</v>
      </c>
      <c r="M15" s="4">
        <f t="shared" si="3"/>
        <v>1</v>
      </c>
      <c r="N15" s="4">
        <f t="shared" si="3"/>
        <v>1</v>
      </c>
      <c r="O15" s="4">
        <f t="shared" si="3"/>
        <v>1</v>
      </c>
      <c r="P15" s="4">
        <f t="shared" si="3"/>
        <v>1</v>
      </c>
      <c r="Q15" s="4">
        <f t="shared" si="3"/>
        <v>1</v>
      </c>
      <c r="R15" s="4">
        <f t="shared" si="3"/>
        <v>1</v>
      </c>
      <c r="S15" s="4">
        <f t="shared" si="3"/>
        <v>1</v>
      </c>
      <c r="T15" s="4">
        <f t="shared" si="3"/>
        <v>1</v>
      </c>
      <c r="U15" s="4">
        <f t="shared" si="3"/>
        <v>1</v>
      </c>
      <c r="V15" s="4">
        <f t="shared" si="3"/>
        <v>1</v>
      </c>
      <c r="W15" s="4">
        <f t="shared" si="3"/>
        <v>1</v>
      </c>
      <c r="X15" s="4">
        <f t="shared" si="3"/>
        <v>1</v>
      </c>
      <c r="Y15" s="4">
        <f t="shared" si="3"/>
        <v>1</v>
      </c>
      <c r="Z15" s="4">
        <f t="shared" si="3"/>
        <v>1</v>
      </c>
      <c r="AA15" s="4">
        <f t="shared" si="3"/>
        <v>1</v>
      </c>
      <c r="AB15" s="4">
        <f t="shared" si="3"/>
        <v>1</v>
      </c>
      <c r="AC15" s="4">
        <f t="shared" si="3"/>
        <v>1</v>
      </c>
      <c r="AD15" s="4">
        <f t="shared" si="3"/>
        <v>1</v>
      </c>
      <c r="AE15" s="4">
        <f t="shared" si="3"/>
        <v>1</v>
      </c>
      <c r="AF15" s="4">
        <f t="shared" si="3"/>
        <v>1</v>
      </c>
      <c r="AG15" s="4">
        <f t="shared" si="3"/>
        <v>1</v>
      </c>
      <c r="AH15" s="4">
        <f t="shared" ref="AH15:BM15" si="4">ROUND(SUM(AH11:AH14),9)</f>
        <v>1</v>
      </c>
      <c r="AI15" s="4">
        <f t="shared" si="4"/>
        <v>1</v>
      </c>
      <c r="AJ15" s="4">
        <f t="shared" si="4"/>
        <v>1</v>
      </c>
      <c r="AK15" s="4">
        <f t="shared" si="4"/>
        <v>1</v>
      </c>
      <c r="AL15" s="4">
        <f t="shared" si="4"/>
        <v>1</v>
      </c>
      <c r="AM15" s="4">
        <f t="shared" si="4"/>
        <v>1</v>
      </c>
      <c r="AN15" s="4">
        <f t="shared" si="4"/>
        <v>1</v>
      </c>
      <c r="AO15" s="4">
        <f t="shared" si="4"/>
        <v>1</v>
      </c>
      <c r="AP15" s="4">
        <f t="shared" si="4"/>
        <v>1</v>
      </c>
      <c r="AQ15" s="4">
        <f t="shared" si="4"/>
        <v>1</v>
      </c>
      <c r="AR15" s="4">
        <f t="shared" si="4"/>
        <v>1</v>
      </c>
      <c r="AS15" s="4">
        <f t="shared" si="4"/>
        <v>1</v>
      </c>
      <c r="AT15" s="4">
        <f t="shared" si="4"/>
        <v>1</v>
      </c>
      <c r="AU15" s="4">
        <f t="shared" si="4"/>
        <v>1</v>
      </c>
      <c r="AV15" s="4">
        <f t="shared" si="4"/>
        <v>1</v>
      </c>
      <c r="AW15" s="4">
        <f t="shared" si="4"/>
        <v>1</v>
      </c>
      <c r="AX15" s="4">
        <f t="shared" si="4"/>
        <v>1</v>
      </c>
      <c r="AY15" s="4">
        <f t="shared" si="4"/>
        <v>1</v>
      </c>
      <c r="AZ15" s="4">
        <f t="shared" si="4"/>
        <v>1</v>
      </c>
      <c r="BA15" s="4">
        <f t="shared" si="4"/>
        <v>1</v>
      </c>
      <c r="BB15" s="4">
        <f t="shared" si="4"/>
        <v>1</v>
      </c>
      <c r="BC15" s="4">
        <f t="shared" si="4"/>
        <v>1</v>
      </c>
      <c r="BD15" s="4">
        <f t="shared" si="4"/>
        <v>1</v>
      </c>
      <c r="BE15" s="4">
        <f t="shared" si="4"/>
        <v>1</v>
      </c>
      <c r="BF15" s="4">
        <f t="shared" si="4"/>
        <v>1</v>
      </c>
      <c r="BG15" s="4">
        <f t="shared" si="4"/>
        <v>1</v>
      </c>
      <c r="BH15" s="4">
        <f t="shared" si="4"/>
        <v>1</v>
      </c>
      <c r="BI15" s="4">
        <f t="shared" si="4"/>
        <v>1</v>
      </c>
      <c r="BJ15" s="4">
        <f t="shared" si="4"/>
        <v>1</v>
      </c>
      <c r="BK15" s="4">
        <f t="shared" si="4"/>
        <v>1</v>
      </c>
      <c r="BL15" s="4">
        <f t="shared" si="4"/>
        <v>1</v>
      </c>
      <c r="BM15" s="4">
        <f t="shared" si="4"/>
        <v>1</v>
      </c>
      <c r="BN15" s="4">
        <f t="shared" ref="BN15:CS15" si="5">ROUND(SUM(BN11:BN14),9)</f>
        <v>1</v>
      </c>
      <c r="BO15" s="4">
        <f t="shared" si="5"/>
        <v>1</v>
      </c>
      <c r="BP15" s="4">
        <f t="shared" si="5"/>
        <v>1</v>
      </c>
      <c r="BQ15" s="4">
        <f t="shared" si="5"/>
        <v>1</v>
      </c>
      <c r="BR15" s="4">
        <f t="shared" si="5"/>
        <v>1</v>
      </c>
      <c r="BS15" s="4">
        <f t="shared" si="5"/>
        <v>1</v>
      </c>
      <c r="BT15" s="4">
        <f t="shared" si="5"/>
        <v>1</v>
      </c>
      <c r="BU15" s="4">
        <f t="shared" si="5"/>
        <v>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dimension ref="A1:N1137"/>
  <sheetViews>
    <sheetView workbookViewId="0"/>
  </sheetViews>
  <sheetFormatPr defaultColWidth="8.7109375" defaultRowHeight="15"/>
  <cols>
    <col min="1" max="1" width="8" customWidth="1"/>
    <col min="2" max="2" width="12" customWidth="1"/>
    <col min="3" max="3" width="10" customWidth="1"/>
    <col min="4" max="4" width="8" customWidth="1"/>
    <col min="5" max="5" width="14" customWidth="1"/>
    <col min="6" max="6" width="12" customWidth="1"/>
    <col min="7" max="7" width="14" customWidth="1"/>
    <col min="8" max="8" width="8" customWidth="1"/>
    <col min="9" max="9" width="14" customWidth="1"/>
    <col min="10" max="10" width="16" customWidth="1"/>
    <col min="11" max="11" width="10" customWidth="1"/>
    <col min="12" max="12" width="12" customWidth="1"/>
    <col min="13" max="13" width="24" customWidth="1"/>
    <col min="14" max="14" width="14" customWidth="1"/>
  </cols>
  <sheetData>
    <row r="1" spans="1:14" ht="26.25">
      <c r="A1" s="9" t="s">
        <v>508</v>
      </c>
      <c r="B1" s="9" t="s">
        <v>393</v>
      </c>
      <c r="C1" s="9" t="s">
        <v>509</v>
      </c>
      <c r="D1" s="9" t="s">
        <v>510</v>
      </c>
      <c r="E1" s="9" t="s">
        <v>493</v>
      </c>
      <c r="F1" s="9" t="s">
        <v>511</v>
      </c>
      <c r="G1" s="9" t="s">
        <v>512</v>
      </c>
      <c r="H1" s="9" t="s">
        <v>496</v>
      </c>
      <c r="I1" s="9" t="s">
        <v>513</v>
      </c>
      <c r="J1" s="9" t="s">
        <v>514</v>
      </c>
      <c r="K1" s="9" t="s">
        <v>515</v>
      </c>
      <c r="L1" s="9" t="s">
        <v>516</v>
      </c>
      <c r="M1" s="9" t="s">
        <v>501</v>
      </c>
      <c r="N1" s="9" t="s">
        <v>517</v>
      </c>
    </row>
    <row r="2" spans="1:14">
      <c r="A2" s="4">
        <v>1</v>
      </c>
      <c r="B2" s="4" t="s">
        <v>518</v>
      </c>
      <c r="C2" s="4" t="s">
        <v>73</v>
      </c>
      <c r="D2" s="4" t="s">
        <v>73</v>
      </c>
      <c r="E2" s="4" t="str">
        <f t="shared" ref="E2:E65" si="0">A2&amp;"|"&amp;C2&amp;"|"&amp;D2</f>
        <v>1|A|A</v>
      </c>
      <c r="F2" s="12">
        <v>0</v>
      </c>
      <c r="G2" s="4">
        <f t="shared" ref="G2:G65" si="1">SUMIFS($F$2:$F$1137,$A$2:$A$1137,A2,$C$2:$C$1137,C2)</f>
        <v>13</v>
      </c>
      <c r="H2" s="12">
        <v>1</v>
      </c>
      <c r="I2" s="14">
        <f t="shared" ref="I2:I65" si="2">IF(G2=0,"",F2/G2)</f>
        <v>0</v>
      </c>
      <c r="J2" s="14">
        <f t="shared" ref="J2:J65" si="3">K2/L2</f>
        <v>5.8823529411764705E-2</v>
      </c>
      <c r="K2" s="4">
        <f t="shared" ref="K2:K65" si="4">F2+H2</f>
        <v>1</v>
      </c>
      <c r="L2" s="4">
        <f t="shared" ref="L2:L65" si="5">G2+4*H2</f>
        <v>17</v>
      </c>
      <c r="M2" s="4" t="s">
        <v>519</v>
      </c>
      <c r="N2" s="4">
        <f t="shared" ref="N2:N65" si="6">ROUND(SUMIFS($J$2:$J$1137,$A$2:$A$1137,A2,$C$2:$C$1137,C2),9)</f>
        <v>1</v>
      </c>
    </row>
    <row r="3" spans="1:14">
      <c r="A3" s="4">
        <v>1</v>
      </c>
      <c r="B3" s="4" t="s">
        <v>518</v>
      </c>
      <c r="C3" s="4" t="s">
        <v>73</v>
      </c>
      <c r="D3" s="4" t="s">
        <v>71</v>
      </c>
      <c r="E3" s="4" t="str">
        <f t="shared" si="0"/>
        <v>1|A|C</v>
      </c>
      <c r="F3" s="12">
        <v>1</v>
      </c>
      <c r="G3" s="4">
        <f t="shared" si="1"/>
        <v>13</v>
      </c>
      <c r="H3" s="12">
        <v>1</v>
      </c>
      <c r="I3" s="14">
        <f t="shared" si="2"/>
        <v>7.6923076923076927E-2</v>
      </c>
      <c r="J3" s="14">
        <f t="shared" si="3"/>
        <v>0.11764705882352941</v>
      </c>
      <c r="K3" s="4">
        <f t="shared" si="4"/>
        <v>2</v>
      </c>
      <c r="L3" s="4">
        <f t="shared" si="5"/>
        <v>17</v>
      </c>
      <c r="M3" s="4" t="s">
        <v>519</v>
      </c>
      <c r="N3" s="4">
        <f t="shared" si="6"/>
        <v>1</v>
      </c>
    </row>
    <row r="4" spans="1:14">
      <c r="A4" s="4">
        <v>1</v>
      </c>
      <c r="B4" s="4" t="s">
        <v>518</v>
      </c>
      <c r="C4" s="4" t="s">
        <v>73</v>
      </c>
      <c r="D4" s="4" t="s">
        <v>70</v>
      </c>
      <c r="E4" s="4" t="str">
        <f t="shared" si="0"/>
        <v>1|A|G</v>
      </c>
      <c r="F4" s="12">
        <v>12</v>
      </c>
      <c r="G4" s="4">
        <f t="shared" si="1"/>
        <v>13</v>
      </c>
      <c r="H4" s="12">
        <v>1</v>
      </c>
      <c r="I4" s="14">
        <f t="shared" si="2"/>
        <v>0.92307692307692313</v>
      </c>
      <c r="J4" s="14">
        <f t="shared" si="3"/>
        <v>0.76470588235294112</v>
      </c>
      <c r="K4" s="4">
        <f t="shared" si="4"/>
        <v>13</v>
      </c>
      <c r="L4" s="4">
        <f t="shared" si="5"/>
        <v>17</v>
      </c>
      <c r="M4" s="4" t="s">
        <v>519</v>
      </c>
      <c r="N4" s="4">
        <f t="shared" si="6"/>
        <v>1</v>
      </c>
    </row>
    <row r="5" spans="1:14">
      <c r="A5" s="4">
        <v>1</v>
      </c>
      <c r="B5" s="4" t="s">
        <v>518</v>
      </c>
      <c r="C5" s="4" t="s">
        <v>73</v>
      </c>
      <c r="D5" s="4" t="s">
        <v>72</v>
      </c>
      <c r="E5" s="4" t="str">
        <f t="shared" si="0"/>
        <v>1|A|U</v>
      </c>
      <c r="F5" s="12">
        <v>0</v>
      </c>
      <c r="G5" s="4">
        <f t="shared" si="1"/>
        <v>13</v>
      </c>
      <c r="H5" s="12">
        <v>1</v>
      </c>
      <c r="I5" s="14">
        <f t="shared" si="2"/>
        <v>0</v>
      </c>
      <c r="J5" s="14">
        <f t="shared" si="3"/>
        <v>5.8823529411764705E-2</v>
      </c>
      <c r="K5" s="4">
        <f t="shared" si="4"/>
        <v>1</v>
      </c>
      <c r="L5" s="4">
        <f t="shared" si="5"/>
        <v>17</v>
      </c>
      <c r="M5" s="4" t="s">
        <v>519</v>
      </c>
      <c r="N5" s="4">
        <f t="shared" si="6"/>
        <v>1</v>
      </c>
    </row>
    <row r="6" spans="1:14">
      <c r="A6" s="4">
        <v>1</v>
      </c>
      <c r="B6" s="4" t="s">
        <v>518</v>
      </c>
      <c r="C6" s="4" t="s">
        <v>71</v>
      </c>
      <c r="D6" s="4" t="s">
        <v>73</v>
      </c>
      <c r="E6" s="4" t="str">
        <f t="shared" si="0"/>
        <v>1|C|A</v>
      </c>
      <c r="F6" s="12">
        <v>0</v>
      </c>
      <c r="G6" s="4">
        <f t="shared" si="1"/>
        <v>22</v>
      </c>
      <c r="H6" s="12">
        <v>1</v>
      </c>
      <c r="I6" s="14">
        <f t="shared" si="2"/>
        <v>0</v>
      </c>
      <c r="J6" s="14">
        <f t="shared" si="3"/>
        <v>3.8461538461538464E-2</v>
      </c>
      <c r="K6" s="4">
        <f t="shared" si="4"/>
        <v>1</v>
      </c>
      <c r="L6" s="4">
        <f t="shared" si="5"/>
        <v>26</v>
      </c>
      <c r="M6" s="4" t="s">
        <v>519</v>
      </c>
      <c r="N6" s="4">
        <f t="shared" si="6"/>
        <v>1</v>
      </c>
    </row>
    <row r="7" spans="1:14">
      <c r="A7" s="4">
        <v>1</v>
      </c>
      <c r="B7" s="4" t="s">
        <v>518</v>
      </c>
      <c r="C7" s="4" t="s">
        <v>71</v>
      </c>
      <c r="D7" s="4" t="s">
        <v>71</v>
      </c>
      <c r="E7" s="4" t="str">
        <f t="shared" si="0"/>
        <v>1|C|C</v>
      </c>
      <c r="F7" s="12">
        <v>4</v>
      </c>
      <c r="G7" s="4">
        <f t="shared" si="1"/>
        <v>22</v>
      </c>
      <c r="H7" s="12">
        <v>1</v>
      </c>
      <c r="I7" s="14">
        <f t="shared" si="2"/>
        <v>0.18181818181818182</v>
      </c>
      <c r="J7" s="14">
        <f t="shared" si="3"/>
        <v>0.19230769230769232</v>
      </c>
      <c r="K7" s="4">
        <f t="shared" si="4"/>
        <v>5</v>
      </c>
      <c r="L7" s="4">
        <f t="shared" si="5"/>
        <v>26</v>
      </c>
      <c r="M7" s="4" t="s">
        <v>519</v>
      </c>
      <c r="N7" s="4">
        <f t="shared" si="6"/>
        <v>1</v>
      </c>
    </row>
    <row r="8" spans="1:14">
      <c r="A8" s="4">
        <v>1</v>
      </c>
      <c r="B8" s="4" t="s">
        <v>518</v>
      </c>
      <c r="C8" s="4" t="s">
        <v>71</v>
      </c>
      <c r="D8" s="4" t="s">
        <v>70</v>
      </c>
      <c r="E8" s="4" t="str">
        <f t="shared" si="0"/>
        <v>1|C|G</v>
      </c>
      <c r="F8" s="12">
        <v>17</v>
      </c>
      <c r="G8" s="4">
        <f t="shared" si="1"/>
        <v>22</v>
      </c>
      <c r="H8" s="12">
        <v>1</v>
      </c>
      <c r="I8" s="14">
        <f t="shared" si="2"/>
        <v>0.77272727272727271</v>
      </c>
      <c r="J8" s="14">
        <f t="shared" si="3"/>
        <v>0.69230769230769229</v>
      </c>
      <c r="K8" s="4">
        <f t="shared" si="4"/>
        <v>18</v>
      </c>
      <c r="L8" s="4">
        <f t="shared" si="5"/>
        <v>26</v>
      </c>
      <c r="M8" s="4" t="s">
        <v>519</v>
      </c>
      <c r="N8" s="4">
        <f t="shared" si="6"/>
        <v>1</v>
      </c>
    </row>
    <row r="9" spans="1:14">
      <c r="A9" s="4">
        <v>1</v>
      </c>
      <c r="B9" s="4" t="s">
        <v>518</v>
      </c>
      <c r="C9" s="4" t="s">
        <v>71</v>
      </c>
      <c r="D9" s="4" t="s">
        <v>72</v>
      </c>
      <c r="E9" s="4" t="str">
        <f t="shared" si="0"/>
        <v>1|C|U</v>
      </c>
      <c r="F9" s="12">
        <v>1</v>
      </c>
      <c r="G9" s="4">
        <f t="shared" si="1"/>
        <v>22</v>
      </c>
      <c r="H9" s="12">
        <v>1</v>
      </c>
      <c r="I9" s="14">
        <f t="shared" si="2"/>
        <v>4.5454545454545456E-2</v>
      </c>
      <c r="J9" s="14">
        <f t="shared" si="3"/>
        <v>7.6923076923076927E-2</v>
      </c>
      <c r="K9" s="4">
        <f t="shared" si="4"/>
        <v>2</v>
      </c>
      <c r="L9" s="4">
        <f t="shared" si="5"/>
        <v>26</v>
      </c>
      <c r="M9" s="4" t="s">
        <v>519</v>
      </c>
      <c r="N9" s="4">
        <f t="shared" si="6"/>
        <v>1</v>
      </c>
    </row>
    <row r="10" spans="1:14">
      <c r="A10" s="4">
        <v>1</v>
      </c>
      <c r="B10" s="4" t="s">
        <v>518</v>
      </c>
      <c r="C10" s="4" t="s">
        <v>70</v>
      </c>
      <c r="D10" s="4" t="s">
        <v>73</v>
      </c>
      <c r="E10" s="4" t="str">
        <f t="shared" si="0"/>
        <v>1|G|A</v>
      </c>
      <c r="F10" s="12">
        <v>6</v>
      </c>
      <c r="G10" s="4">
        <f t="shared" si="1"/>
        <v>152</v>
      </c>
      <c r="H10" s="12">
        <v>1</v>
      </c>
      <c r="I10" s="14">
        <f t="shared" si="2"/>
        <v>3.9473684210526314E-2</v>
      </c>
      <c r="J10" s="14">
        <f t="shared" si="3"/>
        <v>4.4871794871794872E-2</v>
      </c>
      <c r="K10" s="4">
        <f t="shared" si="4"/>
        <v>7</v>
      </c>
      <c r="L10" s="4">
        <f t="shared" si="5"/>
        <v>156</v>
      </c>
      <c r="M10" s="4" t="s">
        <v>519</v>
      </c>
      <c r="N10" s="4">
        <f t="shared" si="6"/>
        <v>1</v>
      </c>
    </row>
    <row r="11" spans="1:14">
      <c r="A11" s="4">
        <v>1</v>
      </c>
      <c r="B11" s="4" t="s">
        <v>518</v>
      </c>
      <c r="C11" s="4" t="s">
        <v>70</v>
      </c>
      <c r="D11" s="4" t="s">
        <v>71</v>
      </c>
      <c r="E11" s="4" t="str">
        <f t="shared" si="0"/>
        <v>1|G|C</v>
      </c>
      <c r="F11" s="12">
        <v>68</v>
      </c>
      <c r="G11" s="4">
        <f t="shared" si="1"/>
        <v>152</v>
      </c>
      <c r="H11" s="12">
        <v>1</v>
      </c>
      <c r="I11" s="14">
        <f t="shared" si="2"/>
        <v>0.44736842105263158</v>
      </c>
      <c r="J11" s="14">
        <f t="shared" si="3"/>
        <v>0.44230769230769229</v>
      </c>
      <c r="K11" s="4">
        <f t="shared" si="4"/>
        <v>69</v>
      </c>
      <c r="L11" s="4">
        <f t="shared" si="5"/>
        <v>156</v>
      </c>
      <c r="M11" s="4" t="s">
        <v>519</v>
      </c>
      <c r="N11" s="4">
        <f t="shared" si="6"/>
        <v>1</v>
      </c>
    </row>
    <row r="12" spans="1:14">
      <c r="A12" s="4">
        <v>1</v>
      </c>
      <c r="B12" s="4" t="s">
        <v>518</v>
      </c>
      <c r="C12" s="4" t="s">
        <v>70</v>
      </c>
      <c r="D12" s="4" t="s">
        <v>70</v>
      </c>
      <c r="E12" s="4" t="str">
        <f t="shared" si="0"/>
        <v>1|G|G</v>
      </c>
      <c r="F12" s="12">
        <v>73</v>
      </c>
      <c r="G12" s="4">
        <f t="shared" si="1"/>
        <v>152</v>
      </c>
      <c r="H12" s="12">
        <v>1</v>
      </c>
      <c r="I12" s="14">
        <f t="shared" si="2"/>
        <v>0.48026315789473684</v>
      </c>
      <c r="J12" s="14">
        <f t="shared" si="3"/>
        <v>0.47435897435897434</v>
      </c>
      <c r="K12" s="4">
        <f t="shared" si="4"/>
        <v>74</v>
      </c>
      <c r="L12" s="4">
        <f t="shared" si="5"/>
        <v>156</v>
      </c>
      <c r="M12" s="4" t="s">
        <v>519</v>
      </c>
      <c r="N12" s="4">
        <f t="shared" si="6"/>
        <v>1</v>
      </c>
    </row>
    <row r="13" spans="1:14">
      <c r="A13" s="4">
        <v>1</v>
      </c>
      <c r="B13" s="4" t="s">
        <v>518</v>
      </c>
      <c r="C13" s="4" t="s">
        <v>70</v>
      </c>
      <c r="D13" s="4" t="s">
        <v>72</v>
      </c>
      <c r="E13" s="4" t="str">
        <f t="shared" si="0"/>
        <v>1|G|U</v>
      </c>
      <c r="F13" s="12">
        <v>5</v>
      </c>
      <c r="G13" s="4">
        <f t="shared" si="1"/>
        <v>152</v>
      </c>
      <c r="H13" s="12">
        <v>1</v>
      </c>
      <c r="I13" s="14">
        <f t="shared" si="2"/>
        <v>3.2894736842105261E-2</v>
      </c>
      <c r="J13" s="14">
        <f t="shared" si="3"/>
        <v>3.8461538461538464E-2</v>
      </c>
      <c r="K13" s="4">
        <f t="shared" si="4"/>
        <v>6</v>
      </c>
      <c r="L13" s="4">
        <f t="shared" si="5"/>
        <v>156</v>
      </c>
      <c r="M13" s="4" t="s">
        <v>519</v>
      </c>
      <c r="N13" s="4">
        <f t="shared" si="6"/>
        <v>1</v>
      </c>
    </row>
    <row r="14" spans="1:14">
      <c r="A14" s="4">
        <v>1</v>
      </c>
      <c r="B14" s="4" t="s">
        <v>518</v>
      </c>
      <c r="C14" s="4" t="s">
        <v>72</v>
      </c>
      <c r="D14" s="4" t="s">
        <v>73</v>
      </c>
      <c r="E14" s="4" t="str">
        <f t="shared" si="0"/>
        <v>1|U|A</v>
      </c>
      <c r="F14" s="12">
        <v>0</v>
      </c>
      <c r="G14" s="4">
        <f t="shared" si="1"/>
        <v>13</v>
      </c>
      <c r="H14" s="12">
        <v>1</v>
      </c>
      <c r="I14" s="14">
        <f t="shared" si="2"/>
        <v>0</v>
      </c>
      <c r="J14" s="14">
        <f t="shared" si="3"/>
        <v>5.8823529411764705E-2</v>
      </c>
      <c r="K14" s="4">
        <f t="shared" si="4"/>
        <v>1</v>
      </c>
      <c r="L14" s="4">
        <f t="shared" si="5"/>
        <v>17</v>
      </c>
      <c r="M14" s="4" t="s">
        <v>519</v>
      </c>
      <c r="N14" s="4">
        <f t="shared" si="6"/>
        <v>1</v>
      </c>
    </row>
    <row r="15" spans="1:14">
      <c r="A15" s="4">
        <v>1</v>
      </c>
      <c r="B15" s="4" t="s">
        <v>518</v>
      </c>
      <c r="C15" s="4" t="s">
        <v>72</v>
      </c>
      <c r="D15" s="4" t="s">
        <v>71</v>
      </c>
      <c r="E15" s="4" t="str">
        <f t="shared" si="0"/>
        <v>1|U|C</v>
      </c>
      <c r="F15" s="12">
        <v>9</v>
      </c>
      <c r="G15" s="4">
        <f t="shared" si="1"/>
        <v>13</v>
      </c>
      <c r="H15" s="12">
        <v>1</v>
      </c>
      <c r="I15" s="14">
        <f t="shared" si="2"/>
        <v>0.69230769230769229</v>
      </c>
      <c r="J15" s="14">
        <f t="shared" si="3"/>
        <v>0.58823529411764708</v>
      </c>
      <c r="K15" s="4">
        <f t="shared" si="4"/>
        <v>10</v>
      </c>
      <c r="L15" s="4">
        <f t="shared" si="5"/>
        <v>17</v>
      </c>
      <c r="M15" s="4" t="s">
        <v>519</v>
      </c>
      <c r="N15" s="4">
        <f t="shared" si="6"/>
        <v>1</v>
      </c>
    </row>
    <row r="16" spans="1:14">
      <c r="A16" s="4">
        <v>1</v>
      </c>
      <c r="B16" s="4" t="s">
        <v>518</v>
      </c>
      <c r="C16" s="4" t="s">
        <v>72</v>
      </c>
      <c r="D16" s="4" t="s">
        <v>70</v>
      </c>
      <c r="E16" s="4" t="str">
        <f t="shared" si="0"/>
        <v>1|U|G</v>
      </c>
      <c r="F16" s="12">
        <v>4</v>
      </c>
      <c r="G16" s="4">
        <f t="shared" si="1"/>
        <v>13</v>
      </c>
      <c r="H16" s="12">
        <v>1</v>
      </c>
      <c r="I16" s="14">
        <f t="shared" si="2"/>
        <v>0.30769230769230771</v>
      </c>
      <c r="J16" s="14">
        <f t="shared" si="3"/>
        <v>0.29411764705882354</v>
      </c>
      <c r="K16" s="4">
        <f t="shared" si="4"/>
        <v>5</v>
      </c>
      <c r="L16" s="4">
        <f t="shared" si="5"/>
        <v>17</v>
      </c>
      <c r="M16" s="4" t="s">
        <v>519</v>
      </c>
      <c r="N16" s="4">
        <f t="shared" si="6"/>
        <v>1</v>
      </c>
    </row>
    <row r="17" spans="1:14">
      <c r="A17" s="4">
        <v>1</v>
      </c>
      <c r="B17" s="4" t="s">
        <v>518</v>
      </c>
      <c r="C17" s="4" t="s">
        <v>72</v>
      </c>
      <c r="D17" s="4" t="s">
        <v>72</v>
      </c>
      <c r="E17" s="4" t="str">
        <f t="shared" si="0"/>
        <v>1|U|U</v>
      </c>
      <c r="F17" s="12">
        <v>0</v>
      </c>
      <c r="G17" s="4">
        <f t="shared" si="1"/>
        <v>13</v>
      </c>
      <c r="H17" s="12">
        <v>1</v>
      </c>
      <c r="I17" s="14">
        <f t="shared" si="2"/>
        <v>0</v>
      </c>
      <c r="J17" s="14">
        <f t="shared" si="3"/>
        <v>5.8823529411764705E-2</v>
      </c>
      <c r="K17" s="4">
        <f t="shared" si="4"/>
        <v>1</v>
      </c>
      <c r="L17" s="4">
        <f t="shared" si="5"/>
        <v>17</v>
      </c>
      <c r="M17" s="4" t="s">
        <v>519</v>
      </c>
      <c r="N17" s="4">
        <f t="shared" si="6"/>
        <v>1</v>
      </c>
    </row>
    <row r="18" spans="1:14">
      <c r="A18" s="4">
        <v>2</v>
      </c>
      <c r="B18" s="4" t="s">
        <v>520</v>
      </c>
      <c r="C18" s="4" t="s">
        <v>73</v>
      </c>
      <c r="D18" s="4" t="s">
        <v>73</v>
      </c>
      <c r="E18" s="4" t="str">
        <f t="shared" si="0"/>
        <v>2|A|A</v>
      </c>
      <c r="F18" s="12">
        <v>0</v>
      </c>
      <c r="G18" s="4">
        <f t="shared" si="1"/>
        <v>6</v>
      </c>
      <c r="H18" s="12">
        <v>1</v>
      </c>
      <c r="I18" s="14">
        <f t="shared" si="2"/>
        <v>0</v>
      </c>
      <c r="J18" s="14">
        <f t="shared" si="3"/>
        <v>0.1</v>
      </c>
      <c r="K18" s="4">
        <f t="shared" si="4"/>
        <v>1</v>
      </c>
      <c r="L18" s="4">
        <f t="shared" si="5"/>
        <v>10</v>
      </c>
      <c r="M18" s="4" t="s">
        <v>519</v>
      </c>
      <c r="N18" s="4">
        <f t="shared" si="6"/>
        <v>1</v>
      </c>
    </row>
    <row r="19" spans="1:14">
      <c r="A19" s="4">
        <v>2</v>
      </c>
      <c r="B19" s="4" t="s">
        <v>520</v>
      </c>
      <c r="C19" s="4" t="s">
        <v>73</v>
      </c>
      <c r="D19" s="4" t="s">
        <v>71</v>
      </c>
      <c r="E19" s="4" t="str">
        <f t="shared" si="0"/>
        <v>2|A|C</v>
      </c>
      <c r="F19" s="12">
        <v>5</v>
      </c>
      <c r="G19" s="4">
        <f t="shared" si="1"/>
        <v>6</v>
      </c>
      <c r="H19" s="12">
        <v>1</v>
      </c>
      <c r="I19" s="14">
        <f t="shared" si="2"/>
        <v>0.83333333333333337</v>
      </c>
      <c r="J19" s="14">
        <f t="shared" si="3"/>
        <v>0.6</v>
      </c>
      <c r="K19" s="4">
        <f t="shared" si="4"/>
        <v>6</v>
      </c>
      <c r="L19" s="4">
        <f t="shared" si="5"/>
        <v>10</v>
      </c>
      <c r="M19" s="4" t="s">
        <v>519</v>
      </c>
      <c r="N19" s="4">
        <f t="shared" si="6"/>
        <v>1</v>
      </c>
    </row>
    <row r="20" spans="1:14">
      <c r="A20" s="4">
        <v>2</v>
      </c>
      <c r="B20" s="4" t="s">
        <v>520</v>
      </c>
      <c r="C20" s="4" t="s">
        <v>73</v>
      </c>
      <c r="D20" s="4" t="s">
        <v>70</v>
      </c>
      <c r="E20" s="4" t="str">
        <f t="shared" si="0"/>
        <v>2|A|G</v>
      </c>
      <c r="F20" s="12">
        <v>1</v>
      </c>
      <c r="G20" s="4">
        <f t="shared" si="1"/>
        <v>6</v>
      </c>
      <c r="H20" s="12">
        <v>1</v>
      </c>
      <c r="I20" s="14">
        <f t="shared" si="2"/>
        <v>0.16666666666666666</v>
      </c>
      <c r="J20" s="14">
        <f t="shared" si="3"/>
        <v>0.2</v>
      </c>
      <c r="K20" s="4">
        <f t="shared" si="4"/>
        <v>2</v>
      </c>
      <c r="L20" s="4">
        <f t="shared" si="5"/>
        <v>10</v>
      </c>
      <c r="M20" s="4" t="s">
        <v>519</v>
      </c>
      <c r="N20" s="4">
        <f t="shared" si="6"/>
        <v>1</v>
      </c>
    </row>
    <row r="21" spans="1:14">
      <c r="A21" s="4">
        <v>2</v>
      </c>
      <c r="B21" s="4" t="s">
        <v>520</v>
      </c>
      <c r="C21" s="4" t="s">
        <v>73</v>
      </c>
      <c r="D21" s="4" t="s">
        <v>72</v>
      </c>
      <c r="E21" s="4" t="str">
        <f t="shared" si="0"/>
        <v>2|A|U</v>
      </c>
      <c r="F21" s="12">
        <v>0</v>
      </c>
      <c r="G21" s="4">
        <f t="shared" si="1"/>
        <v>6</v>
      </c>
      <c r="H21" s="12">
        <v>1</v>
      </c>
      <c r="I21" s="14">
        <f t="shared" si="2"/>
        <v>0</v>
      </c>
      <c r="J21" s="14">
        <f t="shared" si="3"/>
        <v>0.1</v>
      </c>
      <c r="K21" s="4">
        <f t="shared" si="4"/>
        <v>1</v>
      </c>
      <c r="L21" s="4">
        <f t="shared" si="5"/>
        <v>10</v>
      </c>
      <c r="M21" s="4" t="s">
        <v>519</v>
      </c>
      <c r="N21" s="4">
        <f t="shared" si="6"/>
        <v>1</v>
      </c>
    </row>
    <row r="22" spans="1:14">
      <c r="A22" s="4">
        <v>2</v>
      </c>
      <c r="B22" s="4" t="s">
        <v>520</v>
      </c>
      <c r="C22" s="4" t="s">
        <v>71</v>
      </c>
      <c r="D22" s="4" t="s">
        <v>73</v>
      </c>
      <c r="E22" s="4" t="str">
        <f t="shared" si="0"/>
        <v>2|C|A</v>
      </c>
      <c r="F22" s="12">
        <v>2</v>
      </c>
      <c r="G22" s="4">
        <f t="shared" si="1"/>
        <v>82</v>
      </c>
      <c r="H22" s="12">
        <v>1</v>
      </c>
      <c r="I22" s="14">
        <f t="shared" si="2"/>
        <v>2.4390243902439025E-2</v>
      </c>
      <c r="J22" s="14">
        <f t="shared" si="3"/>
        <v>3.4883720930232558E-2</v>
      </c>
      <c r="K22" s="4">
        <f t="shared" si="4"/>
        <v>3</v>
      </c>
      <c r="L22" s="4">
        <f t="shared" si="5"/>
        <v>86</v>
      </c>
      <c r="M22" s="4" t="s">
        <v>519</v>
      </c>
      <c r="N22" s="4">
        <f t="shared" si="6"/>
        <v>1</v>
      </c>
    </row>
    <row r="23" spans="1:14">
      <c r="A23" s="4">
        <v>2</v>
      </c>
      <c r="B23" s="4" t="s">
        <v>520</v>
      </c>
      <c r="C23" s="4" t="s">
        <v>71</v>
      </c>
      <c r="D23" s="4" t="s">
        <v>71</v>
      </c>
      <c r="E23" s="4" t="str">
        <f t="shared" si="0"/>
        <v>2|C|C</v>
      </c>
      <c r="F23" s="12">
        <v>44</v>
      </c>
      <c r="G23" s="4">
        <f t="shared" si="1"/>
        <v>82</v>
      </c>
      <c r="H23" s="12">
        <v>1</v>
      </c>
      <c r="I23" s="14">
        <f t="shared" si="2"/>
        <v>0.53658536585365857</v>
      </c>
      <c r="J23" s="14">
        <f t="shared" si="3"/>
        <v>0.52325581395348841</v>
      </c>
      <c r="K23" s="4">
        <f t="shared" si="4"/>
        <v>45</v>
      </c>
      <c r="L23" s="4">
        <f t="shared" si="5"/>
        <v>86</v>
      </c>
      <c r="M23" s="4" t="s">
        <v>519</v>
      </c>
      <c r="N23" s="4">
        <f t="shared" si="6"/>
        <v>1</v>
      </c>
    </row>
    <row r="24" spans="1:14">
      <c r="A24" s="4">
        <v>2</v>
      </c>
      <c r="B24" s="4" t="s">
        <v>520</v>
      </c>
      <c r="C24" s="4" t="s">
        <v>71</v>
      </c>
      <c r="D24" s="4" t="s">
        <v>70</v>
      </c>
      <c r="E24" s="4" t="str">
        <f t="shared" si="0"/>
        <v>2|C|G</v>
      </c>
      <c r="F24" s="12">
        <v>22</v>
      </c>
      <c r="G24" s="4">
        <f t="shared" si="1"/>
        <v>82</v>
      </c>
      <c r="H24" s="12">
        <v>1</v>
      </c>
      <c r="I24" s="14">
        <f t="shared" si="2"/>
        <v>0.26829268292682928</v>
      </c>
      <c r="J24" s="14">
        <f t="shared" si="3"/>
        <v>0.26744186046511625</v>
      </c>
      <c r="K24" s="4">
        <f t="shared" si="4"/>
        <v>23</v>
      </c>
      <c r="L24" s="4">
        <f t="shared" si="5"/>
        <v>86</v>
      </c>
      <c r="M24" s="4" t="s">
        <v>519</v>
      </c>
      <c r="N24" s="4">
        <f t="shared" si="6"/>
        <v>1</v>
      </c>
    </row>
    <row r="25" spans="1:14">
      <c r="A25" s="4">
        <v>2</v>
      </c>
      <c r="B25" s="4" t="s">
        <v>520</v>
      </c>
      <c r="C25" s="4" t="s">
        <v>71</v>
      </c>
      <c r="D25" s="4" t="s">
        <v>72</v>
      </c>
      <c r="E25" s="4" t="str">
        <f t="shared" si="0"/>
        <v>2|C|U</v>
      </c>
      <c r="F25" s="12">
        <v>14</v>
      </c>
      <c r="G25" s="4">
        <f t="shared" si="1"/>
        <v>82</v>
      </c>
      <c r="H25" s="12">
        <v>1</v>
      </c>
      <c r="I25" s="14">
        <f t="shared" si="2"/>
        <v>0.17073170731707318</v>
      </c>
      <c r="J25" s="14">
        <f t="shared" si="3"/>
        <v>0.1744186046511628</v>
      </c>
      <c r="K25" s="4">
        <f t="shared" si="4"/>
        <v>15</v>
      </c>
      <c r="L25" s="4">
        <f t="shared" si="5"/>
        <v>86</v>
      </c>
      <c r="M25" s="4" t="s">
        <v>519</v>
      </c>
      <c r="N25" s="4">
        <f t="shared" si="6"/>
        <v>1</v>
      </c>
    </row>
    <row r="26" spans="1:14">
      <c r="A26" s="4">
        <v>2</v>
      </c>
      <c r="B26" s="4" t="s">
        <v>520</v>
      </c>
      <c r="C26" s="4" t="s">
        <v>70</v>
      </c>
      <c r="D26" s="4" t="s">
        <v>73</v>
      </c>
      <c r="E26" s="4" t="str">
        <f t="shared" si="0"/>
        <v>2|G|A</v>
      </c>
      <c r="F26" s="12">
        <v>12</v>
      </c>
      <c r="G26" s="4">
        <f t="shared" si="1"/>
        <v>106</v>
      </c>
      <c r="H26" s="12">
        <v>1</v>
      </c>
      <c r="I26" s="14">
        <f t="shared" si="2"/>
        <v>0.11320754716981132</v>
      </c>
      <c r="J26" s="14">
        <f t="shared" si="3"/>
        <v>0.11818181818181818</v>
      </c>
      <c r="K26" s="4">
        <f t="shared" si="4"/>
        <v>13</v>
      </c>
      <c r="L26" s="4">
        <f t="shared" si="5"/>
        <v>110</v>
      </c>
      <c r="M26" s="4" t="s">
        <v>519</v>
      </c>
      <c r="N26" s="4">
        <f t="shared" si="6"/>
        <v>1</v>
      </c>
    </row>
    <row r="27" spans="1:14">
      <c r="A27" s="4">
        <v>2</v>
      </c>
      <c r="B27" s="4" t="s">
        <v>520</v>
      </c>
      <c r="C27" s="4" t="s">
        <v>70</v>
      </c>
      <c r="D27" s="4" t="s">
        <v>71</v>
      </c>
      <c r="E27" s="4" t="str">
        <f t="shared" si="0"/>
        <v>2|G|C</v>
      </c>
      <c r="F27" s="12">
        <v>24</v>
      </c>
      <c r="G27" s="4">
        <f t="shared" si="1"/>
        <v>106</v>
      </c>
      <c r="H27" s="12">
        <v>1</v>
      </c>
      <c r="I27" s="14">
        <f t="shared" si="2"/>
        <v>0.22641509433962265</v>
      </c>
      <c r="J27" s="14">
        <f t="shared" si="3"/>
        <v>0.22727272727272727</v>
      </c>
      <c r="K27" s="4">
        <f t="shared" si="4"/>
        <v>25</v>
      </c>
      <c r="L27" s="4">
        <f t="shared" si="5"/>
        <v>110</v>
      </c>
      <c r="M27" s="4" t="s">
        <v>519</v>
      </c>
      <c r="N27" s="4">
        <f t="shared" si="6"/>
        <v>1</v>
      </c>
    </row>
    <row r="28" spans="1:14">
      <c r="A28" s="4">
        <v>2</v>
      </c>
      <c r="B28" s="4" t="s">
        <v>520</v>
      </c>
      <c r="C28" s="4" t="s">
        <v>70</v>
      </c>
      <c r="D28" s="4" t="s">
        <v>70</v>
      </c>
      <c r="E28" s="4" t="str">
        <f t="shared" si="0"/>
        <v>2|G|G</v>
      </c>
      <c r="F28" s="12">
        <v>62</v>
      </c>
      <c r="G28" s="4">
        <f t="shared" si="1"/>
        <v>106</v>
      </c>
      <c r="H28" s="12">
        <v>1</v>
      </c>
      <c r="I28" s="14">
        <f t="shared" si="2"/>
        <v>0.58490566037735847</v>
      </c>
      <c r="J28" s="14">
        <f t="shared" si="3"/>
        <v>0.57272727272727275</v>
      </c>
      <c r="K28" s="4">
        <f t="shared" si="4"/>
        <v>63</v>
      </c>
      <c r="L28" s="4">
        <f t="shared" si="5"/>
        <v>110</v>
      </c>
      <c r="M28" s="4" t="s">
        <v>519</v>
      </c>
      <c r="N28" s="4">
        <f t="shared" si="6"/>
        <v>1</v>
      </c>
    </row>
    <row r="29" spans="1:14">
      <c r="A29" s="4">
        <v>2</v>
      </c>
      <c r="B29" s="4" t="s">
        <v>520</v>
      </c>
      <c r="C29" s="4" t="s">
        <v>70</v>
      </c>
      <c r="D29" s="4" t="s">
        <v>72</v>
      </c>
      <c r="E29" s="4" t="str">
        <f t="shared" si="0"/>
        <v>2|G|U</v>
      </c>
      <c r="F29" s="12">
        <v>8</v>
      </c>
      <c r="G29" s="4">
        <f t="shared" si="1"/>
        <v>106</v>
      </c>
      <c r="H29" s="12">
        <v>1</v>
      </c>
      <c r="I29" s="14">
        <f t="shared" si="2"/>
        <v>7.5471698113207544E-2</v>
      </c>
      <c r="J29" s="14">
        <f t="shared" si="3"/>
        <v>8.1818181818181818E-2</v>
      </c>
      <c r="K29" s="4">
        <f t="shared" si="4"/>
        <v>9</v>
      </c>
      <c r="L29" s="4">
        <f t="shared" si="5"/>
        <v>110</v>
      </c>
      <c r="M29" s="4" t="s">
        <v>519</v>
      </c>
      <c r="N29" s="4">
        <f t="shared" si="6"/>
        <v>1</v>
      </c>
    </row>
    <row r="30" spans="1:14">
      <c r="A30" s="4">
        <v>2</v>
      </c>
      <c r="B30" s="4" t="s">
        <v>520</v>
      </c>
      <c r="C30" s="4" t="s">
        <v>72</v>
      </c>
      <c r="D30" s="4" t="s">
        <v>73</v>
      </c>
      <c r="E30" s="4" t="str">
        <f t="shared" si="0"/>
        <v>2|U|A</v>
      </c>
      <c r="F30" s="12">
        <v>0</v>
      </c>
      <c r="G30" s="4">
        <f t="shared" si="1"/>
        <v>6</v>
      </c>
      <c r="H30" s="12">
        <v>1</v>
      </c>
      <c r="I30" s="14">
        <f t="shared" si="2"/>
        <v>0</v>
      </c>
      <c r="J30" s="14">
        <f t="shared" si="3"/>
        <v>0.1</v>
      </c>
      <c r="K30" s="4">
        <f t="shared" si="4"/>
        <v>1</v>
      </c>
      <c r="L30" s="4">
        <f t="shared" si="5"/>
        <v>10</v>
      </c>
      <c r="M30" s="4" t="s">
        <v>519</v>
      </c>
      <c r="N30" s="4">
        <f t="shared" si="6"/>
        <v>1</v>
      </c>
    </row>
    <row r="31" spans="1:14">
      <c r="A31" s="4">
        <v>2</v>
      </c>
      <c r="B31" s="4" t="s">
        <v>520</v>
      </c>
      <c r="C31" s="4" t="s">
        <v>72</v>
      </c>
      <c r="D31" s="4" t="s">
        <v>71</v>
      </c>
      <c r="E31" s="4" t="str">
        <f t="shared" si="0"/>
        <v>2|U|C</v>
      </c>
      <c r="F31" s="12">
        <v>4</v>
      </c>
      <c r="G31" s="4">
        <f t="shared" si="1"/>
        <v>6</v>
      </c>
      <c r="H31" s="12">
        <v>1</v>
      </c>
      <c r="I31" s="14">
        <f t="shared" si="2"/>
        <v>0.66666666666666663</v>
      </c>
      <c r="J31" s="14">
        <f t="shared" si="3"/>
        <v>0.5</v>
      </c>
      <c r="K31" s="4">
        <f t="shared" si="4"/>
        <v>5</v>
      </c>
      <c r="L31" s="4">
        <f t="shared" si="5"/>
        <v>10</v>
      </c>
      <c r="M31" s="4" t="s">
        <v>519</v>
      </c>
      <c r="N31" s="4">
        <f t="shared" si="6"/>
        <v>1</v>
      </c>
    </row>
    <row r="32" spans="1:14">
      <c r="A32" s="4">
        <v>2</v>
      </c>
      <c r="B32" s="4" t="s">
        <v>520</v>
      </c>
      <c r="C32" s="4" t="s">
        <v>72</v>
      </c>
      <c r="D32" s="4" t="s">
        <v>70</v>
      </c>
      <c r="E32" s="4" t="str">
        <f t="shared" si="0"/>
        <v>2|U|G</v>
      </c>
      <c r="F32" s="12">
        <v>1</v>
      </c>
      <c r="G32" s="4">
        <f t="shared" si="1"/>
        <v>6</v>
      </c>
      <c r="H32" s="12">
        <v>1</v>
      </c>
      <c r="I32" s="14">
        <f t="shared" si="2"/>
        <v>0.16666666666666666</v>
      </c>
      <c r="J32" s="14">
        <f t="shared" si="3"/>
        <v>0.2</v>
      </c>
      <c r="K32" s="4">
        <f t="shared" si="4"/>
        <v>2</v>
      </c>
      <c r="L32" s="4">
        <f t="shared" si="5"/>
        <v>10</v>
      </c>
      <c r="M32" s="4" t="s">
        <v>519</v>
      </c>
      <c r="N32" s="4">
        <f t="shared" si="6"/>
        <v>1</v>
      </c>
    </row>
    <row r="33" spans="1:14">
      <c r="A33" s="4">
        <v>2</v>
      </c>
      <c r="B33" s="4" t="s">
        <v>520</v>
      </c>
      <c r="C33" s="4" t="s">
        <v>72</v>
      </c>
      <c r="D33" s="4" t="s">
        <v>72</v>
      </c>
      <c r="E33" s="4" t="str">
        <f t="shared" si="0"/>
        <v>2|U|U</v>
      </c>
      <c r="F33" s="12">
        <v>1</v>
      </c>
      <c r="G33" s="4">
        <f t="shared" si="1"/>
        <v>6</v>
      </c>
      <c r="H33" s="12">
        <v>1</v>
      </c>
      <c r="I33" s="14">
        <f t="shared" si="2"/>
        <v>0.16666666666666666</v>
      </c>
      <c r="J33" s="14">
        <f t="shared" si="3"/>
        <v>0.2</v>
      </c>
      <c r="K33" s="4">
        <f t="shared" si="4"/>
        <v>2</v>
      </c>
      <c r="L33" s="4">
        <f t="shared" si="5"/>
        <v>10</v>
      </c>
      <c r="M33" s="4" t="s">
        <v>519</v>
      </c>
      <c r="N33" s="4">
        <f t="shared" si="6"/>
        <v>1</v>
      </c>
    </row>
    <row r="34" spans="1:14">
      <c r="A34" s="4">
        <v>3</v>
      </c>
      <c r="B34" s="4" t="s">
        <v>521</v>
      </c>
      <c r="C34" s="4" t="s">
        <v>73</v>
      </c>
      <c r="D34" s="4" t="s">
        <v>73</v>
      </c>
      <c r="E34" s="4" t="str">
        <f t="shared" si="0"/>
        <v>3|A|A</v>
      </c>
      <c r="F34" s="12">
        <v>2</v>
      </c>
      <c r="G34" s="4">
        <f t="shared" si="1"/>
        <v>14</v>
      </c>
      <c r="H34" s="12">
        <v>1</v>
      </c>
      <c r="I34" s="14">
        <f t="shared" si="2"/>
        <v>0.14285714285714285</v>
      </c>
      <c r="J34" s="14">
        <f t="shared" si="3"/>
        <v>0.16666666666666666</v>
      </c>
      <c r="K34" s="4">
        <f t="shared" si="4"/>
        <v>3</v>
      </c>
      <c r="L34" s="4">
        <f t="shared" si="5"/>
        <v>18</v>
      </c>
      <c r="M34" s="4" t="s">
        <v>519</v>
      </c>
      <c r="N34" s="4">
        <f t="shared" si="6"/>
        <v>1</v>
      </c>
    </row>
    <row r="35" spans="1:14">
      <c r="A35" s="4">
        <v>3</v>
      </c>
      <c r="B35" s="4" t="s">
        <v>521</v>
      </c>
      <c r="C35" s="4" t="s">
        <v>73</v>
      </c>
      <c r="D35" s="4" t="s">
        <v>71</v>
      </c>
      <c r="E35" s="4" t="str">
        <f t="shared" si="0"/>
        <v>3|A|C</v>
      </c>
      <c r="F35" s="12">
        <v>3</v>
      </c>
      <c r="G35" s="4">
        <f t="shared" si="1"/>
        <v>14</v>
      </c>
      <c r="H35" s="12">
        <v>1</v>
      </c>
      <c r="I35" s="14">
        <f t="shared" si="2"/>
        <v>0.21428571428571427</v>
      </c>
      <c r="J35" s="14">
        <f t="shared" si="3"/>
        <v>0.22222222222222221</v>
      </c>
      <c r="K35" s="4">
        <f t="shared" si="4"/>
        <v>4</v>
      </c>
      <c r="L35" s="4">
        <f t="shared" si="5"/>
        <v>18</v>
      </c>
      <c r="M35" s="4" t="s">
        <v>519</v>
      </c>
      <c r="N35" s="4">
        <f t="shared" si="6"/>
        <v>1</v>
      </c>
    </row>
    <row r="36" spans="1:14">
      <c r="A36" s="4">
        <v>3</v>
      </c>
      <c r="B36" s="4" t="s">
        <v>521</v>
      </c>
      <c r="C36" s="4" t="s">
        <v>73</v>
      </c>
      <c r="D36" s="4" t="s">
        <v>70</v>
      </c>
      <c r="E36" s="4" t="str">
        <f t="shared" si="0"/>
        <v>3|A|G</v>
      </c>
      <c r="F36" s="12">
        <v>9</v>
      </c>
      <c r="G36" s="4">
        <f t="shared" si="1"/>
        <v>14</v>
      </c>
      <c r="H36" s="12">
        <v>1</v>
      </c>
      <c r="I36" s="14">
        <f t="shared" si="2"/>
        <v>0.6428571428571429</v>
      </c>
      <c r="J36" s="14">
        <f t="shared" si="3"/>
        <v>0.55555555555555558</v>
      </c>
      <c r="K36" s="4">
        <f t="shared" si="4"/>
        <v>10</v>
      </c>
      <c r="L36" s="4">
        <f t="shared" si="5"/>
        <v>18</v>
      </c>
      <c r="M36" s="4" t="s">
        <v>519</v>
      </c>
      <c r="N36" s="4">
        <f t="shared" si="6"/>
        <v>1</v>
      </c>
    </row>
    <row r="37" spans="1:14">
      <c r="A37" s="4">
        <v>3</v>
      </c>
      <c r="B37" s="4" t="s">
        <v>521</v>
      </c>
      <c r="C37" s="4" t="s">
        <v>73</v>
      </c>
      <c r="D37" s="4" t="s">
        <v>72</v>
      </c>
      <c r="E37" s="4" t="str">
        <f t="shared" si="0"/>
        <v>3|A|U</v>
      </c>
      <c r="F37" s="12">
        <v>0</v>
      </c>
      <c r="G37" s="4">
        <f t="shared" si="1"/>
        <v>14</v>
      </c>
      <c r="H37" s="12">
        <v>1</v>
      </c>
      <c r="I37" s="14">
        <f t="shared" si="2"/>
        <v>0</v>
      </c>
      <c r="J37" s="14">
        <f t="shared" si="3"/>
        <v>5.5555555555555552E-2</v>
      </c>
      <c r="K37" s="4">
        <f t="shared" si="4"/>
        <v>1</v>
      </c>
      <c r="L37" s="4">
        <f t="shared" si="5"/>
        <v>18</v>
      </c>
      <c r="M37" s="4" t="s">
        <v>519</v>
      </c>
      <c r="N37" s="4">
        <f t="shared" si="6"/>
        <v>1</v>
      </c>
    </row>
    <row r="38" spans="1:14">
      <c r="A38" s="4">
        <v>3</v>
      </c>
      <c r="B38" s="4" t="s">
        <v>521</v>
      </c>
      <c r="C38" s="4" t="s">
        <v>71</v>
      </c>
      <c r="D38" s="4" t="s">
        <v>73</v>
      </c>
      <c r="E38" s="4" t="str">
        <f t="shared" si="0"/>
        <v>3|C|A</v>
      </c>
      <c r="F38" s="12">
        <v>7</v>
      </c>
      <c r="G38" s="4">
        <f t="shared" si="1"/>
        <v>77</v>
      </c>
      <c r="H38" s="12">
        <v>1</v>
      </c>
      <c r="I38" s="14">
        <f t="shared" si="2"/>
        <v>9.0909090909090912E-2</v>
      </c>
      <c r="J38" s="14">
        <f t="shared" si="3"/>
        <v>9.8765432098765427E-2</v>
      </c>
      <c r="K38" s="4">
        <f t="shared" si="4"/>
        <v>8</v>
      </c>
      <c r="L38" s="4">
        <f t="shared" si="5"/>
        <v>81</v>
      </c>
      <c r="M38" s="4" t="s">
        <v>519</v>
      </c>
      <c r="N38" s="4">
        <f t="shared" si="6"/>
        <v>1</v>
      </c>
    </row>
    <row r="39" spans="1:14">
      <c r="A39" s="4">
        <v>3</v>
      </c>
      <c r="B39" s="4" t="s">
        <v>521</v>
      </c>
      <c r="C39" s="4" t="s">
        <v>71</v>
      </c>
      <c r="D39" s="4" t="s">
        <v>71</v>
      </c>
      <c r="E39" s="4" t="str">
        <f t="shared" si="0"/>
        <v>3|C|C</v>
      </c>
      <c r="F39" s="12">
        <v>22</v>
      </c>
      <c r="G39" s="4">
        <f t="shared" si="1"/>
        <v>77</v>
      </c>
      <c r="H39" s="12">
        <v>1</v>
      </c>
      <c r="I39" s="14">
        <f t="shared" si="2"/>
        <v>0.2857142857142857</v>
      </c>
      <c r="J39" s="14">
        <f t="shared" si="3"/>
        <v>0.2839506172839506</v>
      </c>
      <c r="K39" s="4">
        <f t="shared" si="4"/>
        <v>23</v>
      </c>
      <c r="L39" s="4">
        <f t="shared" si="5"/>
        <v>81</v>
      </c>
      <c r="M39" s="4" t="s">
        <v>519</v>
      </c>
      <c r="N39" s="4">
        <f t="shared" si="6"/>
        <v>1</v>
      </c>
    </row>
    <row r="40" spans="1:14">
      <c r="A40" s="4">
        <v>3</v>
      </c>
      <c r="B40" s="4" t="s">
        <v>521</v>
      </c>
      <c r="C40" s="4" t="s">
        <v>71</v>
      </c>
      <c r="D40" s="4" t="s">
        <v>70</v>
      </c>
      <c r="E40" s="4" t="str">
        <f t="shared" si="0"/>
        <v>3|C|G</v>
      </c>
      <c r="F40" s="12">
        <v>31</v>
      </c>
      <c r="G40" s="4">
        <f t="shared" si="1"/>
        <v>77</v>
      </c>
      <c r="H40" s="12">
        <v>1</v>
      </c>
      <c r="I40" s="14">
        <f t="shared" si="2"/>
        <v>0.40259740259740262</v>
      </c>
      <c r="J40" s="14">
        <f t="shared" si="3"/>
        <v>0.39506172839506171</v>
      </c>
      <c r="K40" s="4">
        <f t="shared" si="4"/>
        <v>32</v>
      </c>
      <c r="L40" s="4">
        <f t="shared" si="5"/>
        <v>81</v>
      </c>
      <c r="M40" s="4" t="s">
        <v>519</v>
      </c>
      <c r="N40" s="4">
        <f t="shared" si="6"/>
        <v>1</v>
      </c>
    </row>
    <row r="41" spans="1:14">
      <c r="A41" s="4">
        <v>3</v>
      </c>
      <c r="B41" s="4" t="s">
        <v>521</v>
      </c>
      <c r="C41" s="4" t="s">
        <v>71</v>
      </c>
      <c r="D41" s="4" t="s">
        <v>72</v>
      </c>
      <c r="E41" s="4" t="str">
        <f t="shared" si="0"/>
        <v>3|C|U</v>
      </c>
      <c r="F41" s="12">
        <v>17</v>
      </c>
      <c r="G41" s="4">
        <f t="shared" si="1"/>
        <v>77</v>
      </c>
      <c r="H41" s="12">
        <v>1</v>
      </c>
      <c r="I41" s="14">
        <f t="shared" si="2"/>
        <v>0.22077922077922077</v>
      </c>
      <c r="J41" s="14">
        <f t="shared" si="3"/>
        <v>0.22222222222222221</v>
      </c>
      <c r="K41" s="4">
        <f t="shared" si="4"/>
        <v>18</v>
      </c>
      <c r="L41" s="4">
        <f t="shared" si="5"/>
        <v>81</v>
      </c>
      <c r="M41" s="4" t="s">
        <v>519</v>
      </c>
      <c r="N41" s="4">
        <f t="shared" si="6"/>
        <v>1</v>
      </c>
    </row>
    <row r="42" spans="1:14">
      <c r="A42" s="4">
        <v>3</v>
      </c>
      <c r="B42" s="4" t="s">
        <v>521</v>
      </c>
      <c r="C42" s="4" t="s">
        <v>70</v>
      </c>
      <c r="D42" s="4" t="s">
        <v>73</v>
      </c>
      <c r="E42" s="4" t="str">
        <f t="shared" si="0"/>
        <v>3|G|A</v>
      </c>
      <c r="F42" s="12">
        <v>7</v>
      </c>
      <c r="G42" s="4">
        <f t="shared" si="1"/>
        <v>86</v>
      </c>
      <c r="H42" s="12">
        <v>1</v>
      </c>
      <c r="I42" s="14">
        <f t="shared" si="2"/>
        <v>8.1395348837209308E-2</v>
      </c>
      <c r="J42" s="14">
        <f t="shared" si="3"/>
        <v>8.8888888888888892E-2</v>
      </c>
      <c r="K42" s="4">
        <f t="shared" si="4"/>
        <v>8</v>
      </c>
      <c r="L42" s="4">
        <f t="shared" si="5"/>
        <v>90</v>
      </c>
      <c r="M42" s="4" t="s">
        <v>519</v>
      </c>
      <c r="N42" s="4">
        <f t="shared" si="6"/>
        <v>1</v>
      </c>
    </row>
    <row r="43" spans="1:14">
      <c r="A43" s="4">
        <v>3</v>
      </c>
      <c r="B43" s="4" t="s">
        <v>521</v>
      </c>
      <c r="C43" s="4" t="s">
        <v>70</v>
      </c>
      <c r="D43" s="4" t="s">
        <v>71</v>
      </c>
      <c r="E43" s="4" t="str">
        <f t="shared" si="0"/>
        <v>3|G|C</v>
      </c>
      <c r="F43" s="12">
        <v>28</v>
      </c>
      <c r="G43" s="4">
        <f t="shared" si="1"/>
        <v>86</v>
      </c>
      <c r="H43" s="12">
        <v>1</v>
      </c>
      <c r="I43" s="14">
        <f t="shared" si="2"/>
        <v>0.32558139534883723</v>
      </c>
      <c r="J43" s="14">
        <f t="shared" si="3"/>
        <v>0.32222222222222224</v>
      </c>
      <c r="K43" s="4">
        <f t="shared" si="4"/>
        <v>29</v>
      </c>
      <c r="L43" s="4">
        <f t="shared" si="5"/>
        <v>90</v>
      </c>
      <c r="M43" s="4" t="s">
        <v>519</v>
      </c>
      <c r="N43" s="4">
        <f t="shared" si="6"/>
        <v>1</v>
      </c>
    </row>
    <row r="44" spans="1:14">
      <c r="A44" s="4">
        <v>3</v>
      </c>
      <c r="B44" s="4" t="s">
        <v>521</v>
      </c>
      <c r="C44" s="4" t="s">
        <v>70</v>
      </c>
      <c r="D44" s="4" t="s">
        <v>70</v>
      </c>
      <c r="E44" s="4" t="str">
        <f t="shared" si="0"/>
        <v>3|G|G</v>
      </c>
      <c r="F44" s="12">
        <v>40</v>
      </c>
      <c r="G44" s="4">
        <f t="shared" si="1"/>
        <v>86</v>
      </c>
      <c r="H44" s="12">
        <v>1</v>
      </c>
      <c r="I44" s="14">
        <f t="shared" si="2"/>
        <v>0.46511627906976744</v>
      </c>
      <c r="J44" s="14">
        <f t="shared" si="3"/>
        <v>0.45555555555555555</v>
      </c>
      <c r="K44" s="4">
        <f t="shared" si="4"/>
        <v>41</v>
      </c>
      <c r="L44" s="4">
        <f t="shared" si="5"/>
        <v>90</v>
      </c>
      <c r="M44" s="4" t="s">
        <v>519</v>
      </c>
      <c r="N44" s="4">
        <f t="shared" si="6"/>
        <v>1</v>
      </c>
    </row>
    <row r="45" spans="1:14">
      <c r="A45" s="4">
        <v>3</v>
      </c>
      <c r="B45" s="4" t="s">
        <v>521</v>
      </c>
      <c r="C45" s="4" t="s">
        <v>70</v>
      </c>
      <c r="D45" s="4" t="s">
        <v>72</v>
      </c>
      <c r="E45" s="4" t="str">
        <f t="shared" si="0"/>
        <v>3|G|U</v>
      </c>
      <c r="F45" s="12">
        <v>11</v>
      </c>
      <c r="G45" s="4">
        <f t="shared" si="1"/>
        <v>86</v>
      </c>
      <c r="H45" s="12">
        <v>1</v>
      </c>
      <c r="I45" s="14">
        <f t="shared" si="2"/>
        <v>0.12790697674418605</v>
      </c>
      <c r="J45" s="14">
        <f t="shared" si="3"/>
        <v>0.13333333333333333</v>
      </c>
      <c r="K45" s="4">
        <f t="shared" si="4"/>
        <v>12</v>
      </c>
      <c r="L45" s="4">
        <f t="shared" si="5"/>
        <v>90</v>
      </c>
      <c r="M45" s="4" t="s">
        <v>519</v>
      </c>
      <c r="N45" s="4">
        <f t="shared" si="6"/>
        <v>1</v>
      </c>
    </row>
    <row r="46" spans="1:14">
      <c r="A46" s="4">
        <v>3</v>
      </c>
      <c r="B46" s="4" t="s">
        <v>521</v>
      </c>
      <c r="C46" s="4" t="s">
        <v>72</v>
      </c>
      <c r="D46" s="4" t="s">
        <v>73</v>
      </c>
      <c r="E46" s="4" t="str">
        <f t="shared" si="0"/>
        <v>3|U|A</v>
      </c>
      <c r="F46" s="12">
        <v>0</v>
      </c>
      <c r="G46" s="4">
        <f t="shared" si="1"/>
        <v>23</v>
      </c>
      <c r="H46" s="12">
        <v>1</v>
      </c>
      <c r="I46" s="14">
        <f t="shared" si="2"/>
        <v>0</v>
      </c>
      <c r="J46" s="14">
        <f t="shared" si="3"/>
        <v>3.7037037037037035E-2</v>
      </c>
      <c r="K46" s="4">
        <f t="shared" si="4"/>
        <v>1</v>
      </c>
      <c r="L46" s="4">
        <f t="shared" si="5"/>
        <v>27</v>
      </c>
      <c r="M46" s="4" t="s">
        <v>519</v>
      </c>
      <c r="N46" s="4">
        <f t="shared" si="6"/>
        <v>1</v>
      </c>
    </row>
    <row r="47" spans="1:14">
      <c r="A47" s="4">
        <v>3</v>
      </c>
      <c r="B47" s="4" t="s">
        <v>521</v>
      </c>
      <c r="C47" s="4" t="s">
        <v>72</v>
      </c>
      <c r="D47" s="4" t="s">
        <v>71</v>
      </c>
      <c r="E47" s="4" t="str">
        <f t="shared" si="0"/>
        <v>3|U|C</v>
      </c>
      <c r="F47" s="12">
        <v>8</v>
      </c>
      <c r="G47" s="4">
        <f t="shared" si="1"/>
        <v>23</v>
      </c>
      <c r="H47" s="12">
        <v>1</v>
      </c>
      <c r="I47" s="14">
        <f t="shared" si="2"/>
        <v>0.34782608695652173</v>
      </c>
      <c r="J47" s="14">
        <f t="shared" si="3"/>
        <v>0.33333333333333331</v>
      </c>
      <c r="K47" s="4">
        <f t="shared" si="4"/>
        <v>9</v>
      </c>
      <c r="L47" s="4">
        <f t="shared" si="5"/>
        <v>27</v>
      </c>
      <c r="M47" s="4" t="s">
        <v>519</v>
      </c>
      <c r="N47" s="4">
        <f t="shared" si="6"/>
        <v>1</v>
      </c>
    </row>
    <row r="48" spans="1:14">
      <c r="A48" s="4">
        <v>3</v>
      </c>
      <c r="B48" s="4" t="s">
        <v>521</v>
      </c>
      <c r="C48" s="4" t="s">
        <v>72</v>
      </c>
      <c r="D48" s="4" t="s">
        <v>70</v>
      </c>
      <c r="E48" s="4" t="str">
        <f t="shared" si="0"/>
        <v>3|U|G</v>
      </c>
      <c r="F48" s="12">
        <v>9</v>
      </c>
      <c r="G48" s="4">
        <f t="shared" si="1"/>
        <v>23</v>
      </c>
      <c r="H48" s="12">
        <v>1</v>
      </c>
      <c r="I48" s="14">
        <f t="shared" si="2"/>
        <v>0.39130434782608697</v>
      </c>
      <c r="J48" s="14">
        <f t="shared" si="3"/>
        <v>0.37037037037037035</v>
      </c>
      <c r="K48" s="4">
        <f t="shared" si="4"/>
        <v>10</v>
      </c>
      <c r="L48" s="4">
        <f t="shared" si="5"/>
        <v>27</v>
      </c>
      <c r="M48" s="4" t="s">
        <v>519</v>
      </c>
      <c r="N48" s="4">
        <f t="shared" si="6"/>
        <v>1</v>
      </c>
    </row>
    <row r="49" spans="1:14">
      <c r="A49" s="4">
        <v>3</v>
      </c>
      <c r="B49" s="4" t="s">
        <v>521</v>
      </c>
      <c r="C49" s="4" t="s">
        <v>72</v>
      </c>
      <c r="D49" s="4" t="s">
        <v>72</v>
      </c>
      <c r="E49" s="4" t="str">
        <f t="shared" si="0"/>
        <v>3|U|U</v>
      </c>
      <c r="F49" s="12">
        <v>6</v>
      </c>
      <c r="G49" s="4">
        <f t="shared" si="1"/>
        <v>23</v>
      </c>
      <c r="H49" s="12">
        <v>1</v>
      </c>
      <c r="I49" s="14">
        <f t="shared" si="2"/>
        <v>0.2608695652173913</v>
      </c>
      <c r="J49" s="14">
        <f t="shared" si="3"/>
        <v>0.25925925925925924</v>
      </c>
      <c r="K49" s="4">
        <f t="shared" si="4"/>
        <v>7</v>
      </c>
      <c r="L49" s="4">
        <f t="shared" si="5"/>
        <v>27</v>
      </c>
      <c r="M49" s="4" t="s">
        <v>519</v>
      </c>
      <c r="N49" s="4">
        <f t="shared" si="6"/>
        <v>1</v>
      </c>
    </row>
    <row r="50" spans="1:14">
      <c r="A50" s="4">
        <v>4</v>
      </c>
      <c r="B50" s="4" t="s">
        <v>522</v>
      </c>
      <c r="C50" s="4" t="s">
        <v>73</v>
      </c>
      <c r="D50" s="4" t="s">
        <v>73</v>
      </c>
      <c r="E50" s="4" t="str">
        <f t="shared" si="0"/>
        <v>4|A|A</v>
      </c>
      <c r="F50" s="12">
        <v>5</v>
      </c>
      <c r="G50" s="4">
        <f t="shared" si="1"/>
        <v>16</v>
      </c>
      <c r="H50" s="12">
        <v>1</v>
      </c>
      <c r="I50" s="14">
        <f t="shared" si="2"/>
        <v>0.3125</v>
      </c>
      <c r="J50" s="14">
        <f t="shared" si="3"/>
        <v>0.3</v>
      </c>
      <c r="K50" s="4">
        <f t="shared" si="4"/>
        <v>6</v>
      </c>
      <c r="L50" s="4">
        <f t="shared" si="5"/>
        <v>20</v>
      </c>
      <c r="M50" s="4" t="s">
        <v>519</v>
      </c>
      <c r="N50" s="4">
        <f t="shared" si="6"/>
        <v>1</v>
      </c>
    </row>
    <row r="51" spans="1:14">
      <c r="A51" s="4">
        <v>4</v>
      </c>
      <c r="B51" s="4" t="s">
        <v>522</v>
      </c>
      <c r="C51" s="4" t="s">
        <v>73</v>
      </c>
      <c r="D51" s="4" t="s">
        <v>71</v>
      </c>
      <c r="E51" s="4" t="str">
        <f t="shared" si="0"/>
        <v>4|A|C</v>
      </c>
      <c r="F51" s="12">
        <v>3</v>
      </c>
      <c r="G51" s="4">
        <f t="shared" si="1"/>
        <v>16</v>
      </c>
      <c r="H51" s="12">
        <v>1</v>
      </c>
      <c r="I51" s="14">
        <f t="shared" si="2"/>
        <v>0.1875</v>
      </c>
      <c r="J51" s="14">
        <f t="shared" si="3"/>
        <v>0.2</v>
      </c>
      <c r="K51" s="4">
        <f t="shared" si="4"/>
        <v>4</v>
      </c>
      <c r="L51" s="4">
        <f t="shared" si="5"/>
        <v>20</v>
      </c>
      <c r="M51" s="4" t="s">
        <v>519</v>
      </c>
      <c r="N51" s="4">
        <f t="shared" si="6"/>
        <v>1</v>
      </c>
    </row>
    <row r="52" spans="1:14">
      <c r="A52" s="4">
        <v>4</v>
      </c>
      <c r="B52" s="4" t="s">
        <v>522</v>
      </c>
      <c r="C52" s="4" t="s">
        <v>73</v>
      </c>
      <c r="D52" s="4" t="s">
        <v>70</v>
      </c>
      <c r="E52" s="4" t="str">
        <f t="shared" si="0"/>
        <v>4|A|G</v>
      </c>
      <c r="F52" s="12">
        <v>7</v>
      </c>
      <c r="G52" s="4">
        <f t="shared" si="1"/>
        <v>16</v>
      </c>
      <c r="H52" s="12">
        <v>1</v>
      </c>
      <c r="I52" s="14">
        <f t="shared" si="2"/>
        <v>0.4375</v>
      </c>
      <c r="J52" s="14">
        <f t="shared" si="3"/>
        <v>0.4</v>
      </c>
      <c r="K52" s="4">
        <f t="shared" si="4"/>
        <v>8</v>
      </c>
      <c r="L52" s="4">
        <f t="shared" si="5"/>
        <v>20</v>
      </c>
      <c r="M52" s="4" t="s">
        <v>519</v>
      </c>
      <c r="N52" s="4">
        <f t="shared" si="6"/>
        <v>1</v>
      </c>
    </row>
    <row r="53" spans="1:14">
      <c r="A53" s="4">
        <v>4</v>
      </c>
      <c r="B53" s="4" t="s">
        <v>522</v>
      </c>
      <c r="C53" s="4" t="s">
        <v>73</v>
      </c>
      <c r="D53" s="4" t="s">
        <v>72</v>
      </c>
      <c r="E53" s="4" t="str">
        <f t="shared" si="0"/>
        <v>4|A|U</v>
      </c>
      <c r="F53" s="12">
        <v>1</v>
      </c>
      <c r="G53" s="4">
        <f t="shared" si="1"/>
        <v>16</v>
      </c>
      <c r="H53" s="12">
        <v>1</v>
      </c>
      <c r="I53" s="14">
        <f t="shared" si="2"/>
        <v>6.25E-2</v>
      </c>
      <c r="J53" s="14">
        <f t="shared" si="3"/>
        <v>0.1</v>
      </c>
      <c r="K53" s="4">
        <f t="shared" si="4"/>
        <v>2</v>
      </c>
      <c r="L53" s="4">
        <f t="shared" si="5"/>
        <v>20</v>
      </c>
      <c r="M53" s="4" t="s">
        <v>519</v>
      </c>
      <c r="N53" s="4">
        <f t="shared" si="6"/>
        <v>1</v>
      </c>
    </row>
    <row r="54" spans="1:14">
      <c r="A54" s="4">
        <v>4</v>
      </c>
      <c r="B54" s="4" t="s">
        <v>522</v>
      </c>
      <c r="C54" s="4" t="s">
        <v>71</v>
      </c>
      <c r="D54" s="4" t="s">
        <v>73</v>
      </c>
      <c r="E54" s="4" t="str">
        <f t="shared" si="0"/>
        <v>4|C|A</v>
      </c>
      <c r="F54" s="12">
        <v>3</v>
      </c>
      <c r="G54" s="4">
        <f t="shared" si="1"/>
        <v>61</v>
      </c>
      <c r="H54" s="12">
        <v>1</v>
      </c>
      <c r="I54" s="14">
        <f t="shared" si="2"/>
        <v>4.9180327868852458E-2</v>
      </c>
      <c r="J54" s="14">
        <f t="shared" si="3"/>
        <v>6.1538461538461542E-2</v>
      </c>
      <c r="K54" s="4">
        <f t="shared" si="4"/>
        <v>4</v>
      </c>
      <c r="L54" s="4">
        <f t="shared" si="5"/>
        <v>65</v>
      </c>
      <c r="M54" s="4" t="s">
        <v>519</v>
      </c>
      <c r="N54" s="4">
        <f t="shared" si="6"/>
        <v>1</v>
      </c>
    </row>
    <row r="55" spans="1:14">
      <c r="A55" s="4">
        <v>4</v>
      </c>
      <c r="B55" s="4" t="s">
        <v>522</v>
      </c>
      <c r="C55" s="4" t="s">
        <v>71</v>
      </c>
      <c r="D55" s="4" t="s">
        <v>71</v>
      </c>
      <c r="E55" s="4" t="str">
        <f t="shared" si="0"/>
        <v>4|C|C</v>
      </c>
      <c r="F55" s="12">
        <v>38</v>
      </c>
      <c r="G55" s="4">
        <f t="shared" si="1"/>
        <v>61</v>
      </c>
      <c r="H55" s="12">
        <v>1</v>
      </c>
      <c r="I55" s="14">
        <f t="shared" si="2"/>
        <v>0.62295081967213117</v>
      </c>
      <c r="J55" s="14">
        <f t="shared" si="3"/>
        <v>0.6</v>
      </c>
      <c r="K55" s="4">
        <f t="shared" si="4"/>
        <v>39</v>
      </c>
      <c r="L55" s="4">
        <f t="shared" si="5"/>
        <v>65</v>
      </c>
      <c r="M55" s="4" t="s">
        <v>519</v>
      </c>
      <c r="N55" s="4">
        <f t="shared" si="6"/>
        <v>1</v>
      </c>
    </row>
    <row r="56" spans="1:14">
      <c r="A56" s="4">
        <v>4</v>
      </c>
      <c r="B56" s="4" t="s">
        <v>522</v>
      </c>
      <c r="C56" s="4" t="s">
        <v>71</v>
      </c>
      <c r="D56" s="4" t="s">
        <v>70</v>
      </c>
      <c r="E56" s="4" t="str">
        <f t="shared" si="0"/>
        <v>4|C|G</v>
      </c>
      <c r="F56" s="12">
        <v>13</v>
      </c>
      <c r="G56" s="4">
        <f t="shared" si="1"/>
        <v>61</v>
      </c>
      <c r="H56" s="12">
        <v>1</v>
      </c>
      <c r="I56" s="14">
        <f t="shared" si="2"/>
        <v>0.21311475409836064</v>
      </c>
      <c r="J56" s="14">
        <f t="shared" si="3"/>
        <v>0.2153846153846154</v>
      </c>
      <c r="K56" s="4">
        <f t="shared" si="4"/>
        <v>14</v>
      </c>
      <c r="L56" s="4">
        <f t="shared" si="5"/>
        <v>65</v>
      </c>
      <c r="M56" s="4" t="s">
        <v>519</v>
      </c>
      <c r="N56" s="4">
        <f t="shared" si="6"/>
        <v>1</v>
      </c>
    </row>
    <row r="57" spans="1:14">
      <c r="A57" s="4">
        <v>4</v>
      </c>
      <c r="B57" s="4" t="s">
        <v>522</v>
      </c>
      <c r="C57" s="4" t="s">
        <v>71</v>
      </c>
      <c r="D57" s="4" t="s">
        <v>72</v>
      </c>
      <c r="E57" s="4" t="str">
        <f t="shared" si="0"/>
        <v>4|C|U</v>
      </c>
      <c r="F57" s="12">
        <v>7</v>
      </c>
      <c r="G57" s="4">
        <f t="shared" si="1"/>
        <v>61</v>
      </c>
      <c r="H57" s="12">
        <v>1</v>
      </c>
      <c r="I57" s="14">
        <f t="shared" si="2"/>
        <v>0.11475409836065574</v>
      </c>
      <c r="J57" s="14">
        <f t="shared" si="3"/>
        <v>0.12307692307692308</v>
      </c>
      <c r="K57" s="4">
        <f t="shared" si="4"/>
        <v>8</v>
      </c>
      <c r="L57" s="4">
        <f t="shared" si="5"/>
        <v>65</v>
      </c>
      <c r="M57" s="4" t="s">
        <v>519</v>
      </c>
      <c r="N57" s="4">
        <f t="shared" si="6"/>
        <v>1</v>
      </c>
    </row>
    <row r="58" spans="1:14">
      <c r="A58" s="4">
        <v>4</v>
      </c>
      <c r="B58" s="4" t="s">
        <v>522</v>
      </c>
      <c r="C58" s="4" t="s">
        <v>70</v>
      </c>
      <c r="D58" s="4" t="s">
        <v>73</v>
      </c>
      <c r="E58" s="4" t="str">
        <f t="shared" si="0"/>
        <v>4|G|A</v>
      </c>
      <c r="F58" s="12">
        <v>20</v>
      </c>
      <c r="G58" s="4">
        <f t="shared" si="1"/>
        <v>89</v>
      </c>
      <c r="H58" s="12">
        <v>1</v>
      </c>
      <c r="I58" s="14">
        <f t="shared" si="2"/>
        <v>0.2247191011235955</v>
      </c>
      <c r="J58" s="14">
        <f t="shared" si="3"/>
        <v>0.22580645161290322</v>
      </c>
      <c r="K58" s="4">
        <f t="shared" si="4"/>
        <v>21</v>
      </c>
      <c r="L58" s="4">
        <f t="shared" si="5"/>
        <v>93</v>
      </c>
      <c r="M58" s="4" t="s">
        <v>519</v>
      </c>
      <c r="N58" s="4">
        <f t="shared" si="6"/>
        <v>1</v>
      </c>
    </row>
    <row r="59" spans="1:14">
      <c r="A59" s="4">
        <v>4</v>
      </c>
      <c r="B59" s="4" t="s">
        <v>522</v>
      </c>
      <c r="C59" s="4" t="s">
        <v>70</v>
      </c>
      <c r="D59" s="4" t="s">
        <v>71</v>
      </c>
      <c r="E59" s="4" t="str">
        <f t="shared" si="0"/>
        <v>4|G|C</v>
      </c>
      <c r="F59" s="12">
        <v>20</v>
      </c>
      <c r="G59" s="4">
        <f t="shared" si="1"/>
        <v>89</v>
      </c>
      <c r="H59" s="12">
        <v>1</v>
      </c>
      <c r="I59" s="14">
        <f t="shared" si="2"/>
        <v>0.2247191011235955</v>
      </c>
      <c r="J59" s="14">
        <f t="shared" si="3"/>
        <v>0.22580645161290322</v>
      </c>
      <c r="K59" s="4">
        <f t="shared" si="4"/>
        <v>21</v>
      </c>
      <c r="L59" s="4">
        <f t="shared" si="5"/>
        <v>93</v>
      </c>
      <c r="M59" s="4" t="s">
        <v>519</v>
      </c>
      <c r="N59" s="4">
        <f t="shared" si="6"/>
        <v>1</v>
      </c>
    </row>
    <row r="60" spans="1:14">
      <c r="A60" s="4">
        <v>4</v>
      </c>
      <c r="B60" s="4" t="s">
        <v>522</v>
      </c>
      <c r="C60" s="4" t="s">
        <v>70</v>
      </c>
      <c r="D60" s="4" t="s">
        <v>70</v>
      </c>
      <c r="E60" s="4" t="str">
        <f t="shared" si="0"/>
        <v>4|G|G</v>
      </c>
      <c r="F60" s="12">
        <v>43</v>
      </c>
      <c r="G60" s="4">
        <f t="shared" si="1"/>
        <v>89</v>
      </c>
      <c r="H60" s="12">
        <v>1</v>
      </c>
      <c r="I60" s="14">
        <f t="shared" si="2"/>
        <v>0.48314606741573035</v>
      </c>
      <c r="J60" s="14">
        <f t="shared" si="3"/>
        <v>0.4731182795698925</v>
      </c>
      <c r="K60" s="4">
        <f t="shared" si="4"/>
        <v>44</v>
      </c>
      <c r="L60" s="4">
        <f t="shared" si="5"/>
        <v>93</v>
      </c>
      <c r="M60" s="4" t="s">
        <v>519</v>
      </c>
      <c r="N60" s="4">
        <f t="shared" si="6"/>
        <v>1</v>
      </c>
    </row>
    <row r="61" spans="1:14">
      <c r="A61" s="4">
        <v>4</v>
      </c>
      <c r="B61" s="4" t="s">
        <v>522</v>
      </c>
      <c r="C61" s="4" t="s">
        <v>70</v>
      </c>
      <c r="D61" s="4" t="s">
        <v>72</v>
      </c>
      <c r="E61" s="4" t="str">
        <f t="shared" si="0"/>
        <v>4|G|U</v>
      </c>
      <c r="F61" s="12">
        <v>6</v>
      </c>
      <c r="G61" s="4">
        <f t="shared" si="1"/>
        <v>89</v>
      </c>
      <c r="H61" s="12">
        <v>1</v>
      </c>
      <c r="I61" s="14">
        <f t="shared" si="2"/>
        <v>6.741573033707865E-2</v>
      </c>
      <c r="J61" s="14">
        <f t="shared" si="3"/>
        <v>7.5268817204301078E-2</v>
      </c>
      <c r="K61" s="4">
        <f t="shared" si="4"/>
        <v>7</v>
      </c>
      <c r="L61" s="4">
        <f t="shared" si="5"/>
        <v>93</v>
      </c>
      <c r="M61" s="4" t="s">
        <v>519</v>
      </c>
      <c r="N61" s="4">
        <f t="shared" si="6"/>
        <v>1</v>
      </c>
    </row>
    <row r="62" spans="1:14">
      <c r="A62" s="4">
        <v>4</v>
      </c>
      <c r="B62" s="4" t="s">
        <v>522</v>
      </c>
      <c r="C62" s="4" t="s">
        <v>72</v>
      </c>
      <c r="D62" s="4" t="s">
        <v>73</v>
      </c>
      <c r="E62" s="4" t="str">
        <f t="shared" si="0"/>
        <v>4|U|A</v>
      </c>
      <c r="F62" s="12">
        <v>3</v>
      </c>
      <c r="G62" s="4">
        <f t="shared" si="1"/>
        <v>34</v>
      </c>
      <c r="H62" s="12">
        <v>1</v>
      </c>
      <c r="I62" s="14">
        <f t="shared" si="2"/>
        <v>8.8235294117647065E-2</v>
      </c>
      <c r="J62" s="14">
        <f t="shared" si="3"/>
        <v>0.10526315789473684</v>
      </c>
      <c r="K62" s="4">
        <f t="shared" si="4"/>
        <v>4</v>
      </c>
      <c r="L62" s="4">
        <f t="shared" si="5"/>
        <v>38</v>
      </c>
      <c r="M62" s="4" t="s">
        <v>519</v>
      </c>
      <c r="N62" s="4">
        <f t="shared" si="6"/>
        <v>1</v>
      </c>
    </row>
    <row r="63" spans="1:14">
      <c r="A63" s="4">
        <v>4</v>
      </c>
      <c r="B63" s="4" t="s">
        <v>522</v>
      </c>
      <c r="C63" s="4" t="s">
        <v>72</v>
      </c>
      <c r="D63" s="4" t="s">
        <v>71</v>
      </c>
      <c r="E63" s="4" t="str">
        <f t="shared" si="0"/>
        <v>4|U|C</v>
      </c>
      <c r="F63" s="12">
        <v>18</v>
      </c>
      <c r="G63" s="4">
        <f t="shared" si="1"/>
        <v>34</v>
      </c>
      <c r="H63" s="12">
        <v>1</v>
      </c>
      <c r="I63" s="14">
        <f t="shared" si="2"/>
        <v>0.52941176470588236</v>
      </c>
      <c r="J63" s="14">
        <f t="shared" si="3"/>
        <v>0.5</v>
      </c>
      <c r="K63" s="4">
        <f t="shared" si="4"/>
        <v>19</v>
      </c>
      <c r="L63" s="4">
        <f t="shared" si="5"/>
        <v>38</v>
      </c>
      <c r="M63" s="4" t="s">
        <v>519</v>
      </c>
      <c r="N63" s="4">
        <f t="shared" si="6"/>
        <v>1</v>
      </c>
    </row>
    <row r="64" spans="1:14">
      <c r="A64" s="4">
        <v>4</v>
      </c>
      <c r="B64" s="4" t="s">
        <v>522</v>
      </c>
      <c r="C64" s="4" t="s">
        <v>72</v>
      </c>
      <c r="D64" s="4" t="s">
        <v>70</v>
      </c>
      <c r="E64" s="4" t="str">
        <f t="shared" si="0"/>
        <v>4|U|G</v>
      </c>
      <c r="F64" s="12">
        <v>6</v>
      </c>
      <c r="G64" s="4">
        <f t="shared" si="1"/>
        <v>34</v>
      </c>
      <c r="H64" s="12">
        <v>1</v>
      </c>
      <c r="I64" s="14">
        <f t="shared" si="2"/>
        <v>0.17647058823529413</v>
      </c>
      <c r="J64" s="14">
        <f t="shared" si="3"/>
        <v>0.18421052631578946</v>
      </c>
      <c r="K64" s="4">
        <f t="shared" si="4"/>
        <v>7</v>
      </c>
      <c r="L64" s="4">
        <f t="shared" si="5"/>
        <v>38</v>
      </c>
      <c r="M64" s="4" t="s">
        <v>519</v>
      </c>
      <c r="N64" s="4">
        <f t="shared" si="6"/>
        <v>1</v>
      </c>
    </row>
    <row r="65" spans="1:14">
      <c r="A65" s="4">
        <v>4</v>
      </c>
      <c r="B65" s="4" t="s">
        <v>522</v>
      </c>
      <c r="C65" s="4" t="s">
        <v>72</v>
      </c>
      <c r="D65" s="4" t="s">
        <v>72</v>
      </c>
      <c r="E65" s="4" t="str">
        <f t="shared" si="0"/>
        <v>4|U|U</v>
      </c>
      <c r="F65" s="12">
        <v>7</v>
      </c>
      <c r="G65" s="4">
        <f t="shared" si="1"/>
        <v>34</v>
      </c>
      <c r="H65" s="12">
        <v>1</v>
      </c>
      <c r="I65" s="14">
        <f t="shared" si="2"/>
        <v>0.20588235294117646</v>
      </c>
      <c r="J65" s="14">
        <f t="shared" si="3"/>
        <v>0.21052631578947367</v>
      </c>
      <c r="K65" s="4">
        <f t="shared" si="4"/>
        <v>8</v>
      </c>
      <c r="L65" s="4">
        <f t="shared" si="5"/>
        <v>38</v>
      </c>
      <c r="M65" s="4" t="s">
        <v>519</v>
      </c>
      <c r="N65" s="4">
        <f t="shared" si="6"/>
        <v>1</v>
      </c>
    </row>
    <row r="66" spans="1:14">
      <c r="A66" s="4">
        <v>5</v>
      </c>
      <c r="B66" s="4" t="s">
        <v>523</v>
      </c>
      <c r="C66" s="4" t="s">
        <v>73</v>
      </c>
      <c r="D66" s="4" t="s">
        <v>73</v>
      </c>
      <c r="E66" s="4" t="str">
        <f t="shared" ref="E66:E129" si="7">A66&amp;"|"&amp;C66&amp;"|"&amp;D66</f>
        <v>5|A|A</v>
      </c>
      <c r="F66" s="12">
        <v>6</v>
      </c>
      <c r="G66" s="4">
        <f t="shared" ref="G66:G129" si="8">SUMIFS($F$2:$F$1137,$A$2:$A$1137,A66,$C$2:$C$1137,C66)</f>
        <v>31</v>
      </c>
      <c r="H66" s="12">
        <v>1</v>
      </c>
      <c r="I66" s="14">
        <f t="shared" ref="I66:I129" si="9">IF(G66=0,"",F66/G66)</f>
        <v>0.19354838709677419</v>
      </c>
      <c r="J66" s="14">
        <f t="shared" ref="J66:J129" si="10">K66/L66</f>
        <v>0.2</v>
      </c>
      <c r="K66" s="4">
        <f t="shared" ref="K66:K129" si="11">F66+H66</f>
        <v>7</v>
      </c>
      <c r="L66" s="4">
        <f t="shared" ref="L66:L129" si="12">G66+4*H66</f>
        <v>35</v>
      </c>
      <c r="M66" s="4" t="s">
        <v>519</v>
      </c>
      <c r="N66" s="4">
        <f t="shared" ref="N66:N129" si="13">ROUND(SUMIFS($J$2:$J$1137,$A$2:$A$1137,A66,$C$2:$C$1137,C66),9)</f>
        <v>1</v>
      </c>
    </row>
    <row r="67" spans="1:14">
      <c r="A67" s="4">
        <v>5</v>
      </c>
      <c r="B67" s="4" t="s">
        <v>523</v>
      </c>
      <c r="C67" s="4" t="s">
        <v>73</v>
      </c>
      <c r="D67" s="4" t="s">
        <v>71</v>
      </c>
      <c r="E67" s="4" t="str">
        <f t="shared" si="7"/>
        <v>5|A|C</v>
      </c>
      <c r="F67" s="12">
        <v>8</v>
      </c>
      <c r="G67" s="4">
        <f t="shared" si="8"/>
        <v>31</v>
      </c>
      <c r="H67" s="12">
        <v>1</v>
      </c>
      <c r="I67" s="14">
        <f t="shared" si="9"/>
        <v>0.25806451612903225</v>
      </c>
      <c r="J67" s="14">
        <f t="shared" si="10"/>
        <v>0.25714285714285712</v>
      </c>
      <c r="K67" s="4">
        <f t="shared" si="11"/>
        <v>9</v>
      </c>
      <c r="L67" s="4">
        <f t="shared" si="12"/>
        <v>35</v>
      </c>
      <c r="M67" s="4" t="s">
        <v>519</v>
      </c>
      <c r="N67" s="4">
        <f t="shared" si="13"/>
        <v>1</v>
      </c>
    </row>
    <row r="68" spans="1:14">
      <c r="A68" s="4">
        <v>5</v>
      </c>
      <c r="B68" s="4" t="s">
        <v>523</v>
      </c>
      <c r="C68" s="4" t="s">
        <v>73</v>
      </c>
      <c r="D68" s="4" t="s">
        <v>70</v>
      </c>
      <c r="E68" s="4" t="str">
        <f t="shared" si="7"/>
        <v>5|A|G</v>
      </c>
      <c r="F68" s="12">
        <v>5</v>
      </c>
      <c r="G68" s="4">
        <f t="shared" si="8"/>
        <v>31</v>
      </c>
      <c r="H68" s="12">
        <v>1</v>
      </c>
      <c r="I68" s="14">
        <f t="shared" si="9"/>
        <v>0.16129032258064516</v>
      </c>
      <c r="J68" s="14">
        <f t="shared" si="10"/>
        <v>0.17142857142857143</v>
      </c>
      <c r="K68" s="4">
        <f t="shared" si="11"/>
        <v>6</v>
      </c>
      <c r="L68" s="4">
        <f t="shared" si="12"/>
        <v>35</v>
      </c>
      <c r="M68" s="4" t="s">
        <v>519</v>
      </c>
      <c r="N68" s="4">
        <f t="shared" si="13"/>
        <v>1</v>
      </c>
    </row>
    <row r="69" spans="1:14">
      <c r="A69" s="4">
        <v>5</v>
      </c>
      <c r="B69" s="4" t="s">
        <v>523</v>
      </c>
      <c r="C69" s="4" t="s">
        <v>73</v>
      </c>
      <c r="D69" s="4" t="s">
        <v>72</v>
      </c>
      <c r="E69" s="4" t="str">
        <f t="shared" si="7"/>
        <v>5|A|U</v>
      </c>
      <c r="F69" s="12">
        <v>12</v>
      </c>
      <c r="G69" s="4">
        <f t="shared" si="8"/>
        <v>31</v>
      </c>
      <c r="H69" s="12">
        <v>1</v>
      </c>
      <c r="I69" s="14">
        <f t="shared" si="9"/>
        <v>0.38709677419354838</v>
      </c>
      <c r="J69" s="14">
        <f t="shared" si="10"/>
        <v>0.37142857142857144</v>
      </c>
      <c r="K69" s="4">
        <f t="shared" si="11"/>
        <v>13</v>
      </c>
      <c r="L69" s="4">
        <f t="shared" si="12"/>
        <v>35</v>
      </c>
      <c r="M69" s="4" t="s">
        <v>519</v>
      </c>
      <c r="N69" s="4">
        <f t="shared" si="13"/>
        <v>1</v>
      </c>
    </row>
    <row r="70" spans="1:14">
      <c r="A70" s="4">
        <v>5</v>
      </c>
      <c r="B70" s="4" t="s">
        <v>523</v>
      </c>
      <c r="C70" s="4" t="s">
        <v>71</v>
      </c>
      <c r="D70" s="4" t="s">
        <v>73</v>
      </c>
      <c r="E70" s="4" t="str">
        <f t="shared" si="7"/>
        <v>5|C|A</v>
      </c>
      <c r="F70" s="12">
        <v>12</v>
      </c>
      <c r="G70" s="4">
        <f t="shared" si="8"/>
        <v>79</v>
      </c>
      <c r="H70" s="12">
        <v>1</v>
      </c>
      <c r="I70" s="14">
        <f t="shared" si="9"/>
        <v>0.15189873417721519</v>
      </c>
      <c r="J70" s="14">
        <f t="shared" si="10"/>
        <v>0.15662650602409639</v>
      </c>
      <c r="K70" s="4">
        <f t="shared" si="11"/>
        <v>13</v>
      </c>
      <c r="L70" s="4">
        <f t="shared" si="12"/>
        <v>83</v>
      </c>
      <c r="M70" s="4" t="s">
        <v>519</v>
      </c>
      <c r="N70" s="4">
        <f t="shared" si="13"/>
        <v>1</v>
      </c>
    </row>
    <row r="71" spans="1:14">
      <c r="A71" s="4">
        <v>5</v>
      </c>
      <c r="B71" s="4" t="s">
        <v>523</v>
      </c>
      <c r="C71" s="4" t="s">
        <v>71</v>
      </c>
      <c r="D71" s="4" t="s">
        <v>71</v>
      </c>
      <c r="E71" s="4" t="str">
        <f t="shared" si="7"/>
        <v>5|C|C</v>
      </c>
      <c r="F71" s="12">
        <v>37</v>
      </c>
      <c r="G71" s="4">
        <f t="shared" si="8"/>
        <v>79</v>
      </c>
      <c r="H71" s="12">
        <v>1</v>
      </c>
      <c r="I71" s="14">
        <f t="shared" si="9"/>
        <v>0.46835443037974683</v>
      </c>
      <c r="J71" s="14">
        <f t="shared" si="10"/>
        <v>0.45783132530120479</v>
      </c>
      <c r="K71" s="4">
        <f t="shared" si="11"/>
        <v>38</v>
      </c>
      <c r="L71" s="4">
        <f t="shared" si="12"/>
        <v>83</v>
      </c>
      <c r="M71" s="4" t="s">
        <v>519</v>
      </c>
      <c r="N71" s="4">
        <f t="shared" si="13"/>
        <v>1</v>
      </c>
    </row>
    <row r="72" spans="1:14">
      <c r="A72" s="4">
        <v>5</v>
      </c>
      <c r="B72" s="4" t="s">
        <v>523</v>
      </c>
      <c r="C72" s="4" t="s">
        <v>71</v>
      </c>
      <c r="D72" s="4" t="s">
        <v>70</v>
      </c>
      <c r="E72" s="4" t="str">
        <f t="shared" si="7"/>
        <v>5|C|G</v>
      </c>
      <c r="F72" s="12">
        <v>14</v>
      </c>
      <c r="G72" s="4">
        <f t="shared" si="8"/>
        <v>79</v>
      </c>
      <c r="H72" s="12">
        <v>1</v>
      </c>
      <c r="I72" s="14">
        <f t="shared" si="9"/>
        <v>0.17721518987341772</v>
      </c>
      <c r="J72" s="14">
        <f t="shared" si="10"/>
        <v>0.18072289156626506</v>
      </c>
      <c r="K72" s="4">
        <f t="shared" si="11"/>
        <v>15</v>
      </c>
      <c r="L72" s="4">
        <f t="shared" si="12"/>
        <v>83</v>
      </c>
      <c r="M72" s="4" t="s">
        <v>519</v>
      </c>
      <c r="N72" s="4">
        <f t="shared" si="13"/>
        <v>1</v>
      </c>
    </row>
    <row r="73" spans="1:14">
      <c r="A73" s="4">
        <v>5</v>
      </c>
      <c r="B73" s="4" t="s">
        <v>523</v>
      </c>
      <c r="C73" s="4" t="s">
        <v>71</v>
      </c>
      <c r="D73" s="4" t="s">
        <v>72</v>
      </c>
      <c r="E73" s="4" t="str">
        <f t="shared" si="7"/>
        <v>5|C|U</v>
      </c>
      <c r="F73" s="12">
        <v>16</v>
      </c>
      <c r="G73" s="4">
        <f t="shared" si="8"/>
        <v>79</v>
      </c>
      <c r="H73" s="12">
        <v>1</v>
      </c>
      <c r="I73" s="14">
        <f t="shared" si="9"/>
        <v>0.20253164556962025</v>
      </c>
      <c r="J73" s="14">
        <f t="shared" si="10"/>
        <v>0.20481927710843373</v>
      </c>
      <c r="K73" s="4">
        <f t="shared" si="11"/>
        <v>17</v>
      </c>
      <c r="L73" s="4">
        <f t="shared" si="12"/>
        <v>83</v>
      </c>
      <c r="M73" s="4" t="s">
        <v>519</v>
      </c>
      <c r="N73" s="4">
        <f t="shared" si="13"/>
        <v>1</v>
      </c>
    </row>
    <row r="74" spans="1:14">
      <c r="A74" s="4">
        <v>5</v>
      </c>
      <c r="B74" s="4" t="s">
        <v>523</v>
      </c>
      <c r="C74" s="4" t="s">
        <v>70</v>
      </c>
      <c r="D74" s="4" t="s">
        <v>73</v>
      </c>
      <c r="E74" s="4" t="str">
        <f t="shared" si="7"/>
        <v>5|G|A</v>
      </c>
      <c r="F74" s="12">
        <v>16</v>
      </c>
      <c r="G74" s="4">
        <f t="shared" si="8"/>
        <v>69</v>
      </c>
      <c r="H74" s="12">
        <v>1</v>
      </c>
      <c r="I74" s="14">
        <f t="shared" si="9"/>
        <v>0.2318840579710145</v>
      </c>
      <c r="J74" s="14">
        <f t="shared" si="10"/>
        <v>0.23287671232876711</v>
      </c>
      <c r="K74" s="4">
        <f t="shared" si="11"/>
        <v>17</v>
      </c>
      <c r="L74" s="4">
        <f t="shared" si="12"/>
        <v>73</v>
      </c>
      <c r="M74" s="4" t="s">
        <v>519</v>
      </c>
      <c r="N74" s="4">
        <f t="shared" si="13"/>
        <v>1</v>
      </c>
    </row>
    <row r="75" spans="1:14">
      <c r="A75" s="4">
        <v>5</v>
      </c>
      <c r="B75" s="4" t="s">
        <v>523</v>
      </c>
      <c r="C75" s="4" t="s">
        <v>70</v>
      </c>
      <c r="D75" s="4" t="s">
        <v>71</v>
      </c>
      <c r="E75" s="4" t="str">
        <f t="shared" si="7"/>
        <v>5|G|C</v>
      </c>
      <c r="F75" s="12">
        <v>12</v>
      </c>
      <c r="G75" s="4">
        <f t="shared" si="8"/>
        <v>69</v>
      </c>
      <c r="H75" s="12">
        <v>1</v>
      </c>
      <c r="I75" s="14">
        <f t="shared" si="9"/>
        <v>0.17391304347826086</v>
      </c>
      <c r="J75" s="14">
        <f t="shared" si="10"/>
        <v>0.17808219178082191</v>
      </c>
      <c r="K75" s="4">
        <f t="shared" si="11"/>
        <v>13</v>
      </c>
      <c r="L75" s="4">
        <f t="shared" si="12"/>
        <v>73</v>
      </c>
      <c r="M75" s="4" t="s">
        <v>519</v>
      </c>
      <c r="N75" s="4">
        <f t="shared" si="13"/>
        <v>1</v>
      </c>
    </row>
    <row r="76" spans="1:14">
      <c r="A76" s="4">
        <v>5</v>
      </c>
      <c r="B76" s="4" t="s">
        <v>523</v>
      </c>
      <c r="C76" s="4" t="s">
        <v>70</v>
      </c>
      <c r="D76" s="4" t="s">
        <v>70</v>
      </c>
      <c r="E76" s="4" t="str">
        <f t="shared" si="7"/>
        <v>5|G|G</v>
      </c>
      <c r="F76" s="12">
        <v>21</v>
      </c>
      <c r="G76" s="4">
        <f t="shared" si="8"/>
        <v>69</v>
      </c>
      <c r="H76" s="12">
        <v>1</v>
      </c>
      <c r="I76" s="14">
        <f t="shared" si="9"/>
        <v>0.30434782608695654</v>
      </c>
      <c r="J76" s="14">
        <f t="shared" si="10"/>
        <v>0.30136986301369861</v>
      </c>
      <c r="K76" s="4">
        <f t="shared" si="11"/>
        <v>22</v>
      </c>
      <c r="L76" s="4">
        <f t="shared" si="12"/>
        <v>73</v>
      </c>
      <c r="M76" s="4" t="s">
        <v>519</v>
      </c>
      <c r="N76" s="4">
        <f t="shared" si="13"/>
        <v>1</v>
      </c>
    </row>
    <row r="77" spans="1:14">
      <c r="A77" s="4">
        <v>5</v>
      </c>
      <c r="B77" s="4" t="s">
        <v>523</v>
      </c>
      <c r="C77" s="4" t="s">
        <v>70</v>
      </c>
      <c r="D77" s="4" t="s">
        <v>72</v>
      </c>
      <c r="E77" s="4" t="str">
        <f t="shared" si="7"/>
        <v>5|G|U</v>
      </c>
      <c r="F77" s="12">
        <v>20</v>
      </c>
      <c r="G77" s="4">
        <f t="shared" si="8"/>
        <v>69</v>
      </c>
      <c r="H77" s="12">
        <v>1</v>
      </c>
      <c r="I77" s="14">
        <f t="shared" si="9"/>
        <v>0.28985507246376813</v>
      </c>
      <c r="J77" s="14">
        <f t="shared" si="10"/>
        <v>0.28767123287671231</v>
      </c>
      <c r="K77" s="4">
        <f t="shared" si="11"/>
        <v>21</v>
      </c>
      <c r="L77" s="4">
        <f t="shared" si="12"/>
        <v>73</v>
      </c>
      <c r="M77" s="4" t="s">
        <v>519</v>
      </c>
      <c r="N77" s="4">
        <f t="shared" si="13"/>
        <v>1</v>
      </c>
    </row>
    <row r="78" spans="1:14">
      <c r="A78" s="4">
        <v>5</v>
      </c>
      <c r="B78" s="4" t="s">
        <v>523</v>
      </c>
      <c r="C78" s="4" t="s">
        <v>72</v>
      </c>
      <c r="D78" s="4" t="s">
        <v>73</v>
      </c>
      <c r="E78" s="4" t="str">
        <f t="shared" si="7"/>
        <v>5|U|A</v>
      </c>
      <c r="F78" s="12">
        <v>0</v>
      </c>
      <c r="G78" s="4">
        <f t="shared" si="8"/>
        <v>21</v>
      </c>
      <c r="H78" s="12">
        <v>1</v>
      </c>
      <c r="I78" s="14">
        <f t="shared" si="9"/>
        <v>0</v>
      </c>
      <c r="J78" s="14">
        <f t="shared" si="10"/>
        <v>0.04</v>
      </c>
      <c r="K78" s="4">
        <f t="shared" si="11"/>
        <v>1</v>
      </c>
      <c r="L78" s="4">
        <f t="shared" si="12"/>
        <v>25</v>
      </c>
      <c r="M78" s="4" t="s">
        <v>519</v>
      </c>
      <c r="N78" s="4">
        <f t="shared" si="13"/>
        <v>1</v>
      </c>
    </row>
    <row r="79" spans="1:14">
      <c r="A79" s="4">
        <v>5</v>
      </c>
      <c r="B79" s="4" t="s">
        <v>523</v>
      </c>
      <c r="C79" s="4" t="s">
        <v>72</v>
      </c>
      <c r="D79" s="4" t="s">
        <v>71</v>
      </c>
      <c r="E79" s="4" t="str">
        <f t="shared" si="7"/>
        <v>5|U|C</v>
      </c>
      <c r="F79" s="12">
        <v>8</v>
      </c>
      <c r="G79" s="4">
        <f t="shared" si="8"/>
        <v>21</v>
      </c>
      <c r="H79" s="12">
        <v>1</v>
      </c>
      <c r="I79" s="14">
        <f t="shared" si="9"/>
        <v>0.38095238095238093</v>
      </c>
      <c r="J79" s="14">
        <f t="shared" si="10"/>
        <v>0.36</v>
      </c>
      <c r="K79" s="4">
        <f t="shared" si="11"/>
        <v>9</v>
      </c>
      <c r="L79" s="4">
        <f t="shared" si="12"/>
        <v>25</v>
      </c>
      <c r="M79" s="4" t="s">
        <v>519</v>
      </c>
      <c r="N79" s="4">
        <f t="shared" si="13"/>
        <v>1</v>
      </c>
    </row>
    <row r="80" spans="1:14">
      <c r="A80" s="4">
        <v>5</v>
      </c>
      <c r="B80" s="4" t="s">
        <v>523</v>
      </c>
      <c r="C80" s="4" t="s">
        <v>72</v>
      </c>
      <c r="D80" s="4" t="s">
        <v>70</v>
      </c>
      <c r="E80" s="4" t="str">
        <f t="shared" si="7"/>
        <v>5|U|G</v>
      </c>
      <c r="F80" s="12">
        <v>8</v>
      </c>
      <c r="G80" s="4">
        <f t="shared" si="8"/>
        <v>21</v>
      </c>
      <c r="H80" s="12">
        <v>1</v>
      </c>
      <c r="I80" s="14">
        <f t="shared" si="9"/>
        <v>0.38095238095238093</v>
      </c>
      <c r="J80" s="14">
        <f t="shared" si="10"/>
        <v>0.36</v>
      </c>
      <c r="K80" s="4">
        <f t="shared" si="11"/>
        <v>9</v>
      </c>
      <c r="L80" s="4">
        <f t="shared" si="12"/>
        <v>25</v>
      </c>
      <c r="M80" s="4" t="s">
        <v>519</v>
      </c>
      <c r="N80" s="4">
        <f t="shared" si="13"/>
        <v>1</v>
      </c>
    </row>
    <row r="81" spans="1:14">
      <c r="A81" s="4">
        <v>5</v>
      </c>
      <c r="B81" s="4" t="s">
        <v>523</v>
      </c>
      <c r="C81" s="4" t="s">
        <v>72</v>
      </c>
      <c r="D81" s="4" t="s">
        <v>72</v>
      </c>
      <c r="E81" s="4" t="str">
        <f t="shared" si="7"/>
        <v>5|U|U</v>
      </c>
      <c r="F81" s="12">
        <v>5</v>
      </c>
      <c r="G81" s="4">
        <f t="shared" si="8"/>
        <v>21</v>
      </c>
      <c r="H81" s="12">
        <v>1</v>
      </c>
      <c r="I81" s="14">
        <f t="shared" si="9"/>
        <v>0.23809523809523808</v>
      </c>
      <c r="J81" s="14">
        <f t="shared" si="10"/>
        <v>0.24</v>
      </c>
      <c r="K81" s="4">
        <f t="shared" si="11"/>
        <v>6</v>
      </c>
      <c r="L81" s="4">
        <f t="shared" si="12"/>
        <v>25</v>
      </c>
      <c r="M81" s="4" t="s">
        <v>519</v>
      </c>
      <c r="N81" s="4">
        <f t="shared" si="13"/>
        <v>1</v>
      </c>
    </row>
    <row r="82" spans="1:14">
      <c r="A82" s="4">
        <v>6</v>
      </c>
      <c r="B82" s="4" t="s">
        <v>524</v>
      </c>
      <c r="C82" s="4" t="s">
        <v>73</v>
      </c>
      <c r="D82" s="4" t="s">
        <v>73</v>
      </c>
      <c r="E82" s="4" t="str">
        <f t="shared" si="7"/>
        <v>6|A|A</v>
      </c>
      <c r="F82" s="12">
        <v>9</v>
      </c>
      <c r="G82" s="4">
        <f t="shared" si="8"/>
        <v>34</v>
      </c>
      <c r="H82" s="12">
        <v>1</v>
      </c>
      <c r="I82" s="14">
        <f t="shared" si="9"/>
        <v>0.26470588235294118</v>
      </c>
      <c r="J82" s="14">
        <f t="shared" si="10"/>
        <v>0.26315789473684209</v>
      </c>
      <c r="K82" s="4">
        <f t="shared" si="11"/>
        <v>10</v>
      </c>
      <c r="L82" s="4">
        <f t="shared" si="12"/>
        <v>38</v>
      </c>
      <c r="M82" s="4" t="s">
        <v>519</v>
      </c>
      <c r="N82" s="4">
        <f t="shared" si="13"/>
        <v>1</v>
      </c>
    </row>
    <row r="83" spans="1:14">
      <c r="A83" s="4">
        <v>6</v>
      </c>
      <c r="B83" s="4" t="s">
        <v>524</v>
      </c>
      <c r="C83" s="4" t="s">
        <v>73</v>
      </c>
      <c r="D83" s="4" t="s">
        <v>71</v>
      </c>
      <c r="E83" s="4" t="str">
        <f t="shared" si="7"/>
        <v>6|A|C</v>
      </c>
      <c r="F83" s="12">
        <v>1</v>
      </c>
      <c r="G83" s="4">
        <f t="shared" si="8"/>
        <v>34</v>
      </c>
      <c r="H83" s="12">
        <v>1</v>
      </c>
      <c r="I83" s="14">
        <f t="shared" si="9"/>
        <v>2.9411764705882353E-2</v>
      </c>
      <c r="J83" s="14">
        <f t="shared" si="10"/>
        <v>5.2631578947368418E-2</v>
      </c>
      <c r="K83" s="4">
        <f t="shared" si="11"/>
        <v>2</v>
      </c>
      <c r="L83" s="4">
        <f t="shared" si="12"/>
        <v>38</v>
      </c>
      <c r="M83" s="4" t="s">
        <v>519</v>
      </c>
      <c r="N83" s="4">
        <f t="shared" si="13"/>
        <v>1</v>
      </c>
    </row>
    <row r="84" spans="1:14">
      <c r="A84" s="4">
        <v>6</v>
      </c>
      <c r="B84" s="4" t="s">
        <v>524</v>
      </c>
      <c r="C84" s="4" t="s">
        <v>73</v>
      </c>
      <c r="D84" s="4" t="s">
        <v>70</v>
      </c>
      <c r="E84" s="4" t="str">
        <f t="shared" si="7"/>
        <v>6|A|G</v>
      </c>
      <c r="F84" s="12">
        <v>14</v>
      </c>
      <c r="G84" s="4">
        <f t="shared" si="8"/>
        <v>34</v>
      </c>
      <c r="H84" s="12">
        <v>1</v>
      </c>
      <c r="I84" s="14">
        <f t="shared" si="9"/>
        <v>0.41176470588235292</v>
      </c>
      <c r="J84" s="14">
        <f t="shared" si="10"/>
        <v>0.39473684210526316</v>
      </c>
      <c r="K84" s="4">
        <f t="shared" si="11"/>
        <v>15</v>
      </c>
      <c r="L84" s="4">
        <f t="shared" si="12"/>
        <v>38</v>
      </c>
      <c r="M84" s="4" t="s">
        <v>519</v>
      </c>
      <c r="N84" s="4">
        <f t="shared" si="13"/>
        <v>1</v>
      </c>
    </row>
    <row r="85" spans="1:14">
      <c r="A85" s="4">
        <v>6</v>
      </c>
      <c r="B85" s="4" t="s">
        <v>524</v>
      </c>
      <c r="C85" s="4" t="s">
        <v>73</v>
      </c>
      <c r="D85" s="4" t="s">
        <v>72</v>
      </c>
      <c r="E85" s="4" t="str">
        <f t="shared" si="7"/>
        <v>6|A|U</v>
      </c>
      <c r="F85" s="12">
        <v>10</v>
      </c>
      <c r="G85" s="4">
        <f t="shared" si="8"/>
        <v>34</v>
      </c>
      <c r="H85" s="12">
        <v>1</v>
      </c>
      <c r="I85" s="14">
        <f t="shared" si="9"/>
        <v>0.29411764705882354</v>
      </c>
      <c r="J85" s="14">
        <f t="shared" si="10"/>
        <v>0.28947368421052633</v>
      </c>
      <c r="K85" s="4">
        <f t="shared" si="11"/>
        <v>11</v>
      </c>
      <c r="L85" s="4">
        <f t="shared" si="12"/>
        <v>38</v>
      </c>
      <c r="M85" s="4" t="s">
        <v>519</v>
      </c>
      <c r="N85" s="4">
        <f t="shared" si="13"/>
        <v>1</v>
      </c>
    </row>
    <row r="86" spans="1:14">
      <c r="A86" s="4">
        <v>6</v>
      </c>
      <c r="B86" s="4" t="s">
        <v>524</v>
      </c>
      <c r="C86" s="4" t="s">
        <v>71</v>
      </c>
      <c r="D86" s="4" t="s">
        <v>73</v>
      </c>
      <c r="E86" s="4" t="str">
        <f t="shared" si="7"/>
        <v>6|C|A</v>
      </c>
      <c r="F86" s="12">
        <v>8</v>
      </c>
      <c r="G86" s="4">
        <f t="shared" si="8"/>
        <v>65</v>
      </c>
      <c r="H86" s="12">
        <v>1</v>
      </c>
      <c r="I86" s="14">
        <f t="shared" si="9"/>
        <v>0.12307692307692308</v>
      </c>
      <c r="J86" s="14">
        <f t="shared" si="10"/>
        <v>0.13043478260869565</v>
      </c>
      <c r="K86" s="4">
        <f t="shared" si="11"/>
        <v>9</v>
      </c>
      <c r="L86" s="4">
        <f t="shared" si="12"/>
        <v>69</v>
      </c>
      <c r="M86" s="4" t="s">
        <v>519</v>
      </c>
      <c r="N86" s="4">
        <f t="shared" si="13"/>
        <v>1</v>
      </c>
    </row>
    <row r="87" spans="1:14">
      <c r="A87" s="4">
        <v>6</v>
      </c>
      <c r="B87" s="4" t="s">
        <v>524</v>
      </c>
      <c r="C87" s="4" t="s">
        <v>71</v>
      </c>
      <c r="D87" s="4" t="s">
        <v>71</v>
      </c>
      <c r="E87" s="4" t="str">
        <f t="shared" si="7"/>
        <v>6|C|C</v>
      </c>
      <c r="F87" s="12">
        <v>1</v>
      </c>
      <c r="G87" s="4">
        <f t="shared" si="8"/>
        <v>65</v>
      </c>
      <c r="H87" s="12">
        <v>1</v>
      </c>
      <c r="I87" s="14">
        <f t="shared" si="9"/>
        <v>1.5384615384615385E-2</v>
      </c>
      <c r="J87" s="14">
        <f t="shared" si="10"/>
        <v>2.8985507246376812E-2</v>
      </c>
      <c r="K87" s="4">
        <f t="shared" si="11"/>
        <v>2</v>
      </c>
      <c r="L87" s="4">
        <f t="shared" si="12"/>
        <v>69</v>
      </c>
      <c r="M87" s="4" t="s">
        <v>519</v>
      </c>
      <c r="N87" s="4">
        <f t="shared" si="13"/>
        <v>1</v>
      </c>
    </row>
    <row r="88" spans="1:14">
      <c r="A88" s="4">
        <v>6</v>
      </c>
      <c r="B88" s="4" t="s">
        <v>524</v>
      </c>
      <c r="C88" s="4" t="s">
        <v>71</v>
      </c>
      <c r="D88" s="4" t="s">
        <v>70</v>
      </c>
      <c r="E88" s="4" t="str">
        <f t="shared" si="7"/>
        <v>6|C|G</v>
      </c>
      <c r="F88" s="12">
        <v>39</v>
      </c>
      <c r="G88" s="4">
        <f t="shared" si="8"/>
        <v>65</v>
      </c>
      <c r="H88" s="12">
        <v>1</v>
      </c>
      <c r="I88" s="14">
        <f t="shared" si="9"/>
        <v>0.6</v>
      </c>
      <c r="J88" s="14">
        <f t="shared" si="10"/>
        <v>0.57971014492753625</v>
      </c>
      <c r="K88" s="4">
        <f t="shared" si="11"/>
        <v>40</v>
      </c>
      <c r="L88" s="4">
        <f t="shared" si="12"/>
        <v>69</v>
      </c>
      <c r="M88" s="4" t="s">
        <v>519</v>
      </c>
      <c r="N88" s="4">
        <f t="shared" si="13"/>
        <v>1</v>
      </c>
    </row>
    <row r="89" spans="1:14">
      <c r="A89" s="4">
        <v>6</v>
      </c>
      <c r="B89" s="4" t="s">
        <v>524</v>
      </c>
      <c r="C89" s="4" t="s">
        <v>71</v>
      </c>
      <c r="D89" s="4" t="s">
        <v>72</v>
      </c>
      <c r="E89" s="4" t="str">
        <f t="shared" si="7"/>
        <v>6|C|U</v>
      </c>
      <c r="F89" s="12">
        <v>17</v>
      </c>
      <c r="G89" s="4">
        <f t="shared" si="8"/>
        <v>65</v>
      </c>
      <c r="H89" s="12">
        <v>1</v>
      </c>
      <c r="I89" s="14">
        <f t="shared" si="9"/>
        <v>0.26153846153846155</v>
      </c>
      <c r="J89" s="14">
        <f t="shared" si="10"/>
        <v>0.2608695652173913</v>
      </c>
      <c r="K89" s="4">
        <f t="shared" si="11"/>
        <v>18</v>
      </c>
      <c r="L89" s="4">
        <f t="shared" si="12"/>
        <v>69</v>
      </c>
      <c r="M89" s="4" t="s">
        <v>519</v>
      </c>
      <c r="N89" s="4">
        <f t="shared" si="13"/>
        <v>1</v>
      </c>
    </row>
    <row r="90" spans="1:14">
      <c r="A90" s="4">
        <v>6</v>
      </c>
      <c r="B90" s="4" t="s">
        <v>524</v>
      </c>
      <c r="C90" s="4" t="s">
        <v>70</v>
      </c>
      <c r="D90" s="4" t="s">
        <v>73</v>
      </c>
      <c r="E90" s="4" t="str">
        <f t="shared" si="7"/>
        <v>6|G|A</v>
      </c>
      <c r="F90" s="12">
        <v>11</v>
      </c>
      <c r="G90" s="4">
        <f t="shared" si="8"/>
        <v>48</v>
      </c>
      <c r="H90" s="12">
        <v>1</v>
      </c>
      <c r="I90" s="14">
        <f t="shared" si="9"/>
        <v>0.22916666666666666</v>
      </c>
      <c r="J90" s="14">
        <f t="shared" si="10"/>
        <v>0.23076923076923078</v>
      </c>
      <c r="K90" s="4">
        <f t="shared" si="11"/>
        <v>12</v>
      </c>
      <c r="L90" s="4">
        <f t="shared" si="12"/>
        <v>52</v>
      </c>
      <c r="M90" s="4" t="s">
        <v>519</v>
      </c>
      <c r="N90" s="4">
        <f t="shared" si="13"/>
        <v>1</v>
      </c>
    </row>
    <row r="91" spans="1:14">
      <c r="A91" s="4">
        <v>6</v>
      </c>
      <c r="B91" s="4" t="s">
        <v>524</v>
      </c>
      <c r="C91" s="4" t="s">
        <v>70</v>
      </c>
      <c r="D91" s="4" t="s">
        <v>71</v>
      </c>
      <c r="E91" s="4" t="str">
        <f t="shared" si="7"/>
        <v>6|G|C</v>
      </c>
      <c r="F91" s="12">
        <v>1</v>
      </c>
      <c r="G91" s="4">
        <f t="shared" si="8"/>
        <v>48</v>
      </c>
      <c r="H91" s="12">
        <v>1</v>
      </c>
      <c r="I91" s="14">
        <f t="shared" si="9"/>
        <v>2.0833333333333332E-2</v>
      </c>
      <c r="J91" s="14">
        <f t="shared" si="10"/>
        <v>3.8461538461538464E-2</v>
      </c>
      <c r="K91" s="4">
        <f t="shared" si="11"/>
        <v>2</v>
      </c>
      <c r="L91" s="4">
        <f t="shared" si="12"/>
        <v>52</v>
      </c>
      <c r="M91" s="4" t="s">
        <v>519</v>
      </c>
      <c r="N91" s="4">
        <f t="shared" si="13"/>
        <v>1</v>
      </c>
    </row>
    <row r="92" spans="1:14">
      <c r="A92" s="4">
        <v>6</v>
      </c>
      <c r="B92" s="4" t="s">
        <v>524</v>
      </c>
      <c r="C92" s="4" t="s">
        <v>70</v>
      </c>
      <c r="D92" s="4" t="s">
        <v>70</v>
      </c>
      <c r="E92" s="4" t="str">
        <f t="shared" si="7"/>
        <v>6|G|G</v>
      </c>
      <c r="F92" s="12">
        <v>23</v>
      </c>
      <c r="G92" s="4">
        <f t="shared" si="8"/>
        <v>48</v>
      </c>
      <c r="H92" s="12">
        <v>1</v>
      </c>
      <c r="I92" s="14">
        <f t="shared" si="9"/>
        <v>0.47916666666666669</v>
      </c>
      <c r="J92" s="14">
        <f t="shared" si="10"/>
        <v>0.46153846153846156</v>
      </c>
      <c r="K92" s="4">
        <f t="shared" si="11"/>
        <v>24</v>
      </c>
      <c r="L92" s="4">
        <f t="shared" si="12"/>
        <v>52</v>
      </c>
      <c r="M92" s="4" t="s">
        <v>519</v>
      </c>
      <c r="N92" s="4">
        <f t="shared" si="13"/>
        <v>1</v>
      </c>
    </row>
    <row r="93" spans="1:14">
      <c r="A93" s="4">
        <v>6</v>
      </c>
      <c r="B93" s="4" t="s">
        <v>524</v>
      </c>
      <c r="C93" s="4" t="s">
        <v>70</v>
      </c>
      <c r="D93" s="4" t="s">
        <v>72</v>
      </c>
      <c r="E93" s="4" t="str">
        <f t="shared" si="7"/>
        <v>6|G|U</v>
      </c>
      <c r="F93" s="12">
        <v>13</v>
      </c>
      <c r="G93" s="4">
        <f t="shared" si="8"/>
        <v>48</v>
      </c>
      <c r="H93" s="12">
        <v>1</v>
      </c>
      <c r="I93" s="14">
        <f t="shared" si="9"/>
        <v>0.27083333333333331</v>
      </c>
      <c r="J93" s="14">
        <f t="shared" si="10"/>
        <v>0.26923076923076922</v>
      </c>
      <c r="K93" s="4">
        <f t="shared" si="11"/>
        <v>14</v>
      </c>
      <c r="L93" s="4">
        <f t="shared" si="12"/>
        <v>52</v>
      </c>
      <c r="M93" s="4" t="s">
        <v>519</v>
      </c>
      <c r="N93" s="4">
        <f t="shared" si="13"/>
        <v>1</v>
      </c>
    </row>
    <row r="94" spans="1:14">
      <c r="A94" s="4">
        <v>6</v>
      </c>
      <c r="B94" s="4" t="s">
        <v>524</v>
      </c>
      <c r="C94" s="4" t="s">
        <v>72</v>
      </c>
      <c r="D94" s="4" t="s">
        <v>73</v>
      </c>
      <c r="E94" s="4" t="str">
        <f t="shared" si="7"/>
        <v>6|U|A</v>
      </c>
      <c r="F94" s="12">
        <v>20</v>
      </c>
      <c r="G94" s="4">
        <f t="shared" si="8"/>
        <v>53</v>
      </c>
      <c r="H94" s="12">
        <v>1</v>
      </c>
      <c r="I94" s="14">
        <f t="shared" si="9"/>
        <v>0.37735849056603776</v>
      </c>
      <c r="J94" s="14">
        <f t="shared" si="10"/>
        <v>0.36842105263157893</v>
      </c>
      <c r="K94" s="4">
        <f t="shared" si="11"/>
        <v>21</v>
      </c>
      <c r="L94" s="4">
        <f t="shared" si="12"/>
        <v>57</v>
      </c>
      <c r="M94" s="4" t="s">
        <v>519</v>
      </c>
      <c r="N94" s="4">
        <f t="shared" si="13"/>
        <v>1</v>
      </c>
    </row>
    <row r="95" spans="1:14">
      <c r="A95" s="4">
        <v>6</v>
      </c>
      <c r="B95" s="4" t="s">
        <v>524</v>
      </c>
      <c r="C95" s="4" t="s">
        <v>72</v>
      </c>
      <c r="D95" s="4" t="s">
        <v>71</v>
      </c>
      <c r="E95" s="4" t="str">
        <f t="shared" si="7"/>
        <v>6|U|C</v>
      </c>
      <c r="F95" s="12">
        <v>0</v>
      </c>
      <c r="G95" s="4">
        <f t="shared" si="8"/>
        <v>53</v>
      </c>
      <c r="H95" s="12">
        <v>1</v>
      </c>
      <c r="I95" s="14">
        <f t="shared" si="9"/>
        <v>0</v>
      </c>
      <c r="J95" s="14">
        <f t="shared" si="10"/>
        <v>1.7543859649122806E-2</v>
      </c>
      <c r="K95" s="4">
        <f t="shared" si="11"/>
        <v>1</v>
      </c>
      <c r="L95" s="4">
        <f t="shared" si="12"/>
        <v>57</v>
      </c>
      <c r="M95" s="4" t="s">
        <v>519</v>
      </c>
      <c r="N95" s="4">
        <f t="shared" si="13"/>
        <v>1</v>
      </c>
    </row>
    <row r="96" spans="1:14">
      <c r="A96" s="4">
        <v>6</v>
      </c>
      <c r="B96" s="4" t="s">
        <v>524</v>
      </c>
      <c r="C96" s="4" t="s">
        <v>72</v>
      </c>
      <c r="D96" s="4" t="s">
        <v>70</v>
      </c>
      <c r="E96" s="4" t="str">
        <f t="shared" si="7"/>
        <v>6|U|G</v>
      </c>
      <c r="F96" s="12">
        <v>29</v>
      </c>
      <c r="G96" s="4">
        <f t="shared" si="8"/>
        <v>53</v>
      </c>
      <c r="H96" s="12">
        <v>1</v>
      </c>
      <c r="I96" s="14">
        <f t="shared" si="9"/>
        <v>0.54716981132075471</v>
      </c>
      <c r="J96" s="14">
        <f t="shared" si="10"/>
        <v>0.52631578947368418</v>
      </c>
      <c r="K96" s="4">
        <f t="shared" si="11"/>
        <v>30</v>
      </c>
      <c r="L96" s="4">
        <f t="shared" si="12"/>
        <v>57</v>
      </c>
      <c r="M96" s="4" t="s">
        <v>519</v>
      </c>
      <c r="N96" s="4">
        <f t="shared" si="13"/>
        <v>1</v>
      </c>
    </row>
    <row r="97" spans="1:14">
      <c r="A97" s="4">
        <v>6</v>
      </c>
      <c r="B97" s="4" t="s">
        <v>524</v>
      </c>
      <c r="C97" s="4" t="s">
        <v>72</v>
      </c>
      <c r="D97" s="4" t="s">
        <v>72</v>
      </c>
      <c r="E97" s="4" t="str">
        <f t="shared" si="7"/>
        <v>6|U|U</v>
      </c>
      <c r="F97" s="12">
        <v>4</v>
      </c>
      <c r="G97" s="4">
        <f t="shared" si="8"/>
        <v>53</v>
      </c>
      <c r="H97" s="12">
        <v>1</v>
      </c>
      <c r="I97" s="14">
        <f t="shared" si="9"/>
        <v>7.5471698113207544E-2</v>
      </c>
      <c r="J97" s="14">
        <f t="shared" si="10"/>
        <v>8.771929824561403E-2</v>
      </c>
      <c r="K97" s="4">
        <f t="shared" si="11"/>
        <v>5</v>
      </c>
      <c r="L97" s="4">
        <f t="shared" si="12"/>
        <v>57</v>
      </c>
      <c r="M97" s="4" t="s">
        <v>519</v>
      </c>
      <c r="N97" s="4">
        <f t="shared" si="13"/>
        <v>1</v>
      </c>
    </row>
    <row r="98" spans="1:14">
      <c r="A98" s="4">
        <v>7</v>
      </c>
      <c r="B98" s="4" t="s">
        <v>525</v>
      </c>
      <c r="C98" s="4" t="s">
        <v>73</v>
      </c>
      <c r="D98" s="4" t="s">
        <v>73</v>
      </c>
      <c r="E98" s="4" t="str">
        <f t="shared" si="7"/>
        <v>7|A|A</v>
      </c>
      <c r="F98" s="12">
        <v>1</v>
      </c>
      <c r="G98" s="4">
        <f t="shared" si="8"/>
        <v>48</v>
      </c>
      <c r="H98" s="12">
        <v>1</v>
      </c>
      <c r="I98" s="14">
        <f t="shared" si="9"/>
        <v>2.0833333333333332E-2</v>
      </c>
      <c r="J98" s="14">
        <f t="shared" si="10"/>
        <v>3.8461538461538464E-2</v>
      </c>
      <c r="K98" s="4">
        <f t="shared" si="11"/>
        <v>2</v>
      </c>
      <c r="L98" s="4">
        <f t="shared" si="12"/>
        <v>52</v>
      </c>
      <c r="M98" s="4" t="s">
        <v>519</v>
      </c>
      <c r="N98" s="4">
        <f t="shared" si="13"/>
        <v>1</v>
      </c>
    </row>
    <row r="99" spans="1:14">
      <c r="A99" s="4">
        <v>7</v>
      </c>
      <c r="B99" s="4" t="s">
        <v>525</v>
      </c>
      <c r="C99" s="4" t="s">
        <v>73</v>
      </c>
      <c r="D99" s="4" t="s">
        <v>71</v>
      </c>
      <c r="E99" s="4" t="str">
        <f t="shared" si="7"/>
        <v>7|A|C</v>
      </c>
      <c r="F99" s="12">
        <v>0</v>
      </c>
      <c r="G99" s="4">
        <f t="shared" si="8"/>
        <v>48</v>
      </c>
      <c r="H99" s="12">
        <v>1</v>
      </c>
      <c r="I99" s="14">
        <f t="shared" si="9"/>
        <v>0</v>
      </c>
      <c r="J99" s="14">
        <f t="shared" si="10"/>
        <v>1.9230769230769232E-2</v>
      </c>
      <c r="K99" s="4">
        <f t="shared" si="11"/>
        <v>1</v>
      </c>
      <c r="L99" s="4">
        <f t="shared" si="12"/>
        <v>52</v>
      </c>
      <c r="M99" s="4" t="s">
        <v>519</v>
      </c>
      <c r="N99" s="4">
        <f t="shared" si="13"/>
        <v>1</v>
      </c>
    </row>
    <row r="100" spans="1:14">
      <c r="A100" s="4">
        <v>7</v>
      </c>
      <c r="B100" s="4" t="s">
        <v>525</v>
      </c>
      <c r="C100" s="4" t="s">
        <v>73</v>
      </c>
      <c r="D100" s="4" t="s">
        <v>70</v>
      </c>
      <c r="E100" s="4" t="str">
        <f t="shared" si="7"/>
        <v>7|A|G</v>
      </c>
      <c r="F100" s="12">
        <v>0</v>
      </c>
      <c r="G100" s="4">
        <f t="shared" si="8"/>
        <v>48</v>
      </c>
      <c r="H100" s="12">
        <v>1</v>
      </c>
      <c r="I100" s="14">
        <f t="shared" si="9"/>
        <v>0</v>
      </c>
      <c r="J100" s="14">
        <f t="shared" si="10"/>
        <v>1.9230769230769232E-2</v>
      </c>
      <c r="K100" s="4">
        <f t="shared" si="11"/>
        <v>1</v>
      </c>
      <c r="L100" s="4">
        <f t="shared" si="12"/>
        <v>52</v>
      </c>
      <c r="M100" s="4" t="s">
        <v>519</v>
      </c>
      <c r="N100" s="4">
        <f t="shared" si="13"/>
        <v>1</v>
      </c>
    </row>
    <row r="101" spans="1:14">
      <c r="A101" s="4">
        <v>7</v>
      </c>
      <c r="B101" s="4" t="s">
        <v>525</v>
      </c>
      <c r="C101" s="4" t="s">
        <v>73</v>
      </c>
      <c r="D101" s="4" t="s">
        <v>72</v>
      </c>
      <c r="E101" s="4" t="str">
        <f t="shared" si="7"/>
        <v>7|A|U</v>
      </c>
      <c r="F101" s="12">
        <v>47</v>
      </c>
      <c r="G101" s="4">
        <f t="shared" si="8"/>
        <v>48</v>
      </c>
      <c r="H101" s="12">
        <v>1</v>
      </c>
      <c r="I101" s="14">
        <f t="shared" si="9"/>
        <v>0.97916666666666663</v>
      </c>
      <c r="J101" s="14">
        <f t="shared" si="10"/>
        <v>0.92307692307692313</v>
      </c>
      <c r="K101" s="4">
        <f t="shared" si="11"/>
        <v>48</v>
      </c>
      <c r="L101" s="4">
        <f t="shared" si="12"/>
        <v>52</v>
      </c>
      <c r="M101" s="4" t="s">
        <v>519</v>
      </c>
      <c r="N101" s="4">
        <f t="shared" si="13"/>
        <v>1</v>
      </c>
    </row>
    <row r="102" spans="1:14">
      <c r="A102" s="4">
        <v>7</v>
      </c>
      <c r="B102" s="4" t="s">
        <v>525</v>
      </c>
      <c r="C102" s="4" t="s">
        <v>71</v>
      </c>
      <c r="D102" s="4" t="s">
        <v>73</v>
      </c>
      <c r="E102" s="4" t="str">
        <f t="shared" si="7"/>
        <v>7|C|A</v>
      </c>
      <c r="F102" s="12">
        <v>0</v>
      </c>
      <c r="G102" s="4">
        <f t="shared" si="8"/>
        <v>3</v>
      </c>
      <c r="H102" s="12">
        <v>1</v>
      </c>
      <c r="I102" s="14">
        <f t="shared" si="9"/>
        <v>0</v>
      </c>
      <c r="J102" s="14">
        <f t="shared" si="10"/>
        <v>0.14285714285714285</v>
      </c>
      <c r="K102" s="4">
        <f t="shared" si="11"/>
        <v>1</v>
      </c>
      <c r="L102" s="4">
        <f t="shared" si="12"/>
        <v>7</v>
      </c>
      <c r="M102" s="4" t="s">
        <v>519</v>
      </c>
      <c r="N102" s="4">
        <f t="shared" si="13"/>
        <v>1</v>
      </c>
    </row>
    <row r="103" spans="1:14">
      <c r="A103" s="4">
        <v>7</v>
      </c>
      <c r="B103" s="4" t="s">
        <v>525</v>
      </c>
      <c r="C103" s="4" t="s">
        <v>71</v>
      </c>
      <c r="D103" s="4" t="s">
        <v>71</v>
      </c>
      <c r="E103" s="4" t="str">
        <f t="shared" si="7"/>
        <v>7|C|C</v>
      </c>
      <c r="F103" s="12">
        <v>0</v>
      </c>
      <c r="G103" s="4">
        <f t="shared" si="8"/>
        <v>3</v>
      </c>
      <c r="H103" s="12">
        <v>1</v>
      </c>
      <c r="I103" s="14">
        <f t="shared" si="9"/>
        <v>0</v>
      </c>
      <c r="J103" s="14">
        <f t="shared" si="10"/>
        <v>0.14285714285714285</v>
      </c>
      <c r="K103" s="4">
        <f t="shared" si="11"/>
        <v>1</v>
      </c>
      <c r="L103" s="4">
        <f t="shared" si="12"/>
        <v>7</v>
      </c>
      <c r="M103" s="4" t="s">
        <v>519</v>
      </c>
      <c r="N103" s="4">
        <f t="shared" si="13"/>
        <v>1</v>
      </c>
    </row>
    <row r="104" spans="1:14">
      <c r="A104" s="4">
        <v>7</v>
      </c>
      <c r="B104" s="4" t="s">
        <v>525</v>
      </c>
      <c r="C104" s="4" t="s">
        <v>71</v>
      </c>
      <c r="D104" s="4" t="s">
        <v>70</v>
      </c>
      <c r="E104" s="4" t="str">
        <f t="shared" si="7"/>
        <v>7|C|G</v>
      </c>
      <c r="F104" s="12">
        <v>0</v>
      </c>
      <c r="G104" s="4">
        <f t="shared" si="8"/>
        <v>3</v>
      </c>
      <c r="H104" s="12">
        <v>1</v>
      </c>
      <c r="I104" s="14">
        <f t="shared" si="9"/>
        <v>0</v>
      </c>
      <c r="J104" s="14">
        <f t="shared" si="10"/>
        <v>0.14285714285714285</v>
      </c>
      <c r="K104" s="4">
        <f t="shared" si="11"/>
        <v>1</v>
      </c>
      <c r="L104" s="4">
        <f t="shared" si="12"/>
        <v>7</v>
      </c>
      <c r="M104" s="4" t="s">
        <v>519</v>
      </c>
      <c r="N104" s="4">
        <f t="shared" si="13"/>
        <v>1</v>
      </c>
    </row>
    <row r="105" spans="1:14">
      <c r="A105" s="4">
        <v>7</v>
      </c>
      <c r="B105" s="4" t="s">
        <v>525</v>
      </c>
      <c r="C105" s="4" t="s">
        <v>71</v>
      </c>
      <c r="D105" s="4" t="s">
        <v>72</v>
      </c>
      <c r="E105" s="4" t="str">
        <f t="shared" si="7"/>
        <v>7|C|U</v>
      </c>
      <c r="F105" s="12">
        <v>3</v>
      </c>
      <c r="G105" s="4">
        <f t="shared" si="8"/>
        <v>3</v>
      </c>
      <c r="H105" s="12">
        <v>1</v>
      </c>
      <c r="I105" s="14">
        <f t="shared" si="9"/>
        <v>1</v>
      </c>
      <c r="J105" s="14">
        <f t="shared" si="10"/>
        <v>0.5714285714285714</v>
      </c>
      <c r="K105" s="4">
        <f t="shared" si="11"/>
        <v>4</v>
      </c>
      <c r="L105" s="4">
        <f t="shared" si="12"/>
        <v>7</v>
      </c>
      <c r="M105" s="4" t="s">
        <v>519</v>
      </c>
      <c r="N105" s="4">
        <f t="shared" si="13"/>
        <v>1</v>
      </c>
    </row>
    <row r="106" spans="1:14">
      <c r="A106" s="4">
        <v>7</v>
      </c>
      <c r="B106" s="4" t="s">
        <v>525</v>
      </c>
      <c r="C106" s="4" t="s">
        <v>70</v>
      </c>
      <c r="D106" s="4" t="s">
        <v>73</v>
      </c>
      <c r="E106" s="4" t="str">
        <f t="shared" si="7"/>
        <v>7|G|A</v>
      </c>
      <c r="F106" s="12">
        <v>0</v>
      </c>
      <c r="G106" s="4">
        <f t="shared" si="8"/>
        <v>105</v>
      </c>
      <c r="H106" s="12">
        <v>1</v>
      </c>
      <c r="I106" s="14">
        <f t="shared" si="9"/>
        <v>0</v>
      </c>
      <c r="J106" s="14">
        <f t="shared" si="10"/>
        <v>9.1743119266055051E-3</v>
      </c>
      <c r="K106" s="4">
        <f t="shared" si="11"/>
        <v>1</v>
      </c>
      <c r="L106" s="4">
        <f t="shared" si="12"/>
        <v>109</v>
      </c>
      <c r="M106" s="4" t="s">
        <v>519</v>
      </c>
      <c r="N106" s="4">
        <f t="shared" si="13"/>
        <v>1</v>
      </c>
    </row>
    <row r="107" spans="1:14">
      <c r="A107" s="4">
        <v>7</v>
      </c>
      <c r="B107" s="4" t="s">
        <v>525</v>
      </c>
      <c r="C107" s="4" t="s">
        <v>70</v>
      </c>
      <c r="D107" s="4" t="s">
        <v>71</v>
      </c>
      <c r="E107" s="4" t="str">
        <f t="shared" si="7"/>
        <v>7|G|C</v>
      </c>
      <c r="F107" s="12">
        <v>0</v>
      </c>
      <c r="G107" s="4">
        <f t="shared" si="8"/>
        <v>105</v>
      </c>
      <c r="H107" s="12">
        <v>1</v>
      </c>
      <c r="I107" s="14">
        <f t="shared" si="9"/>
        <v>0</v>
      </c>
      <c r="J107" s="14">
        <f t="shared" si="10"/>
        <v>9.1743119266055051E-3</v>
      </c>
      <c r="K107" s="4">
        <f t="shared" si="11"/>
        <v>1</v>
      </c>
      <c r="L107" s="4">
        <f t="shared" si="12"/>
        <v>109</v>
      </c>
      <c r="M107" s="4" t="s">
        <v>519</v>
      </c>
      <c r="N107" s="4">
        <f t="shared" si="13"/>
        <v>1</v>
      </c>
    </row>
    <row r="108" spans="1:14">
      <c r="A108" s="4">
        <v>7</v>
      </c>
      <c r="B108" s="4" t="s">
        <v>525</v>
      </c>
      <c r="C108" s="4" t="s">
        <v>70</v>
      </c>
      <c r="D108" s="4" t="s">
        <v>70</v>
      </c>
      <c r="E108" s="4" t="str">
        <f t="shared" si="7"/>
        <v>7|G|G</v>
      </c>
      <c r="F108" s="12">
        <v>1</v>
      </c>
      <c r="G108" s="4">
        <f t="shared" si="8"/>
        <v>105</v>
      </c>
      <c r="H108" s="12">
        <v>1</v>
      </c>
      <c r="I108" s="14">
        <f t="shared" si="9"/>
        <v>9.5238095238095247E-3</v>
      </c>
      <c r="J108" s="14">
        <f t="shared" si="10"/>
        <v>1.834862385321101E-2</v>
      </c>
      <c r="K108" s="4">
        <f t="shared" si="11"/>
        <v>2</v>
      </c>
      <c r="L108" s="4">
        <f t="shared" si="12"/>
        <v>109</v>
      </c>
      <c r="M108" s="4" t="s">
        <v>519</v>
      </c>
      <c r="N108" s="4">
        <f t="shared" si="13"/>
        <v>1</v>
      </c>
    </row>
    <row r="109" spans="1:14">
      <c r="A109" s="4">
        <v>7</v>
      </c>
      <c r="B109" s="4" t="s">
        <v>525</v>
      </c>
      <c r="C109" s="4" t="s">
        <v>70</v>
      </c>
      <c r="D109" s="4" t="s">
        <v>72</v>
      </c>
      <c r="E109" s="4" t="str">
        <f t="shared" si="7"/>
        <v>7|G|U</v>
      </c>
      <c r="F109" s="12">
        <v>104</v>
      </c>
      <c r="G109" s="4">
        <f t="shared" si="8"/>
        <v>105</v>
      </c>
      <c r="H109" s="12">
        <v>1</v>
      </c>
      <c r="I109" s="14">
        <f t="shared" si="9"/>
        <v>0.99047619047619051</v>
      </c>
      <c r="J109" s="14">
        <f t="shared" si="10"/>
        <v>0.96330275229357798</v>
      </c>
      <c r="K109" s="4">
        <f t="shared" si="11"/>
        <v>105</v>
      </c>
      <c r="L109" s="4">
        <f t="shared" si="12"/>
        <v>109</v>
      </c>
      <c r="M109" s="4" t="s">
        <v>519</v>
      </c>
      <c r="N109" s="4">
        <f t="shared" si="13"/>
        <v>1</v>
      </c>
    </row>
    <row r="110" spans="1:14">
      <c r="A110" s="4">
        <v>7</v>
      </c>
      <c r="B110" s="4" t="s">
        <v>525</v>
      </c>
      <c r="C110" s="4" t="s">
        <v>72</v>
      </c>
      <c r="D110" s="4" t="s">
        <v>73</v>
      </c>
      <c r="E110" s="4" t="str">
        <f t="shared" si="7"/>
        <v>7|U|A</v>
      </c>
      <c r="F110" s="12">
        <v>0</v>
      </c>
      <c r="G110" s="4">
        <f t="shared" si="8"/>
        <v>44</v>
      </c>
      <c r="H110" s="12">
        <v>1</v>
      </c>
      <c r="I110" s="14">
        <f t="shared" si="9"/>
        <v>0</v>
      </c>
      <c r="J110" s="14">
        <f t="shared" si="10"/>
        <v>2.0833333333333332E-2</v>
      </c>
      <c r="K110" s="4">
        <f t="shared" si="11"/>
        <v>1</v>
      </c>
      <c r="L110" s="4">
        <f t="shared" si="12"/>
        <v>48</v>
      </c>
      <c r="M110" s="4" t="s">
        <v>519</v>
      </c>
      <c r="N110" s="4">
        <f t="shared" si="13"/>
        <v>1</v>
      </c>
    </row>
    <row r="111" spans="1:14">
      <c r="A111" s="4">
        <v>7</v>
      </c>
      <c r="B111" s="4" t="s">
        <v>525</v>
      </c>
      <c r="C111" s="4" t="s">
        <v>72</v>
      </c>
      <c r="D111" s="4" t="s">
        <v>71</v>
      </c>
      <c r="E111" s="4" t="str">
        <f t="shared" si="7"/>
        <v>7|U|C</v>
      </c>
      <c r="F111" s="12">
        <v>0</v>
      </c>
      <c r="G111" s="4">
        <f t="shared" si="8"/>
        <v>44</v>
      </c>
      <c r="H111" s="12">
        <v>1</v>
      </c>
      <c r="I111" s="14">
        <f t="shared" si="9"/>
        <v>0</v>
      </c>
      <c r="J111" s="14">
        <f t="shared" si="10"/>
        <v>2.0833333333333332E-2</v>
      </c>
      <c r="K111" s="4">
        <f t="shared" si="11"/>
        <v>1</v>
      </c>
      <c r="L111" s="4">
        <f t="shared" si="12"/>
        <v>48</v>
      </c>
      <c r="M111" s="4" t="s">
        <v>519</v>
      </c>
      <c r="N111" s="4">
        <f t="shared" si="13"/>
        <v>1</v>
      </c>
    </row>
    <row r="112" spans="1:14">
      <c r="A112" s="4">
        <v>7</v>
      </c>
      <c r="B112" s="4" t="s">
        <v>525</v>
      </c>
      <c r="C112" s="4" t="s">
        <v>72</v>
      </c>
      <c r="D112" s="4" t="s">
        <v>70</v>
      </c>
      <c r="E112" s="4" t="str">
        <f t="shared" si="7"/>
        <v>7|U|G</v>
      </c>
      <c r="F112" s="12">
        <v>0</v>
      </c>
      <c r="G112" s="4">
        <f t="shared" si="8"/>
        <v>44</v>
      </c>
      <c r="H112" s="12">
        <v>1</v>
      </c>
      <c r="I112" s="14">
        <f t="shared" si="9"/>
        <v>0</v>
      </c>
      <c r="J112" s="14">
        <f t="shared" si="10"/>
        <v>2.0833333333333332E-2</v>
      </c>
      <c r="K112" s="4">
        <f t="shared" si="11"/>
        <v>1</v>
      </c>
      <c r="L112" s="4">
        <f t="shared" si="12"/>
        <v>48</v>
      </c>
      <c r="M112" s="4" t="s">
        <v>519</v>
      </c>
      <c r="N112" s="4">
        <f t="shared" si="13"/>
        <v>1</v>
      </c>
    </row>
    <row r="113" spans="1:14">
      <c r="A113" s="4">
        <v>7</v>
      </c>
      <c r="B113" s="4" t="s">
        <v>525</v>
      </c>
      <c r="C113" s="4" t="s">
        <v>72</v>
      </c>
      <c r="D113" s="4" t="s">
        <v>72</v>
      </c>
      <c r="E113" s="4" t="str">
        <f t="shared" si="7"/>
        <v>7|U|U</v>
      </c>
      <c r="F113" s="12">
        <v>44</v>
      </c>
      <c r="G113" s="4">
        <f t="shared" si="8"/>
        <v>44</v>
      </c>
      <c r="H113" s="12">
        <v>1</v>
      </c>
      <c r="I113" s="14">
        <f t="shared" si="9"/>
        <v>1</v>
      </c>
      <c r="J113" s="14">
        <f t="shared" si="10"/>
        <v>0.9375</v>
      </c>
      <c r="K113" s="4">
        <f t="shared" si="11"/>
        <v>45</v>
      </c>
      <c r="L113" s="4">
        <f t="shared" si="12"/>
        <v>48</v>
      </c>
      <c r="M113" s="4" t="s">
        <v>519</v>
      </c>
      <c r="N113" s="4">
        <f t="shared" si="13"/>
        <v>1</v>
      </c>
    </row>
    <row r="114" spans="1:14">
      <c r="A114" s="4">
        <v>8</v>
      </c>
      <c r="B114" s="4" t="s">
        <v>526</v>
      </c>
      <c r="C114" s="4" t="s">
        <v>73</v>
      </c>
      <c r="D114" s="4" t="s">
        <v>73</v>
      </c>
      <c r="E114" s="4" t="str">
        <f t="shared" si="7"/>
        <v>8|A|A</v>
      </c>
      <c r="F114" s="12">
        <v>1</v>
      </c>
      <c r="G114" s="4">
        <f t="shared" si="8"/>
        <v>1</v>
      </c>
      <c r="H114" s="12">
        <v>1</v>
      </c>
      <c r="I114" s="14">
        <f t="shared" si="9"/>
        <v>1</v>
      </c>
      <c r="J114" s="14">
        <f t="shared" si="10"/>
        <v>0.4</v>
      </c>
      <c r="K114" s="4">
        <f t="shared" si="11"/>
        <v>2</v>
      </c>
      <c r="L114" s="4">
        <f t="shared" si="12"/>
        <v>5</v>
      </c>
      <c r="M114" s="4" t="s">
        <v>519</v>
      </c>
      <c r="N114" s="4">
        <f t="shared" si="13"/>
        <v>1</v>
      </c>
    </row>
    <row r="115" spans="1:14">
      <c r="A115" s="4">
        <v>8</v>
      </c>
      <c r="B115" s="4" t="s">
        <v>526</v>
      </c>
      <c r="C115" s="4" t="s">
        <v>73</v>
      </c>
      <c r="D115" s="4" t="s">
        <v>71</v>
      </c>
      <c r="E115" s="4" t="str">
        <f t="shared" si="7"/>
        <v>8|A|C</v>
      </c>
      <c r="F115" s="12">
        <v>0</v>
      </c>
      <c r="G115" s="4">
        <f t="shared" si="8"/>
        <v>1</v>
      </c>
      <c r="H115" s="12">
        <v>1</v>
      </c>
      <c r="I115" s="14">
        <f t="shared" si="9"/>
        <v>0</v>
      </c>
      <c r="J115" s="14">
        <f t="shared" si="10"/>
        <v>0.2</v>
      </c>
      <c r="K115" s="4">
        <f t="shared" si="11"/>
        <v>1</v>
      </c>
      <c r="L115" s="4">
        <f t="shared" si="12"/>
        <v>5</v>
      </c>
      <c r="M115" s="4" t="s">
        <v>519</v>
      </c>
      <c r="N115" s="4">
        <f t="shared" si="13"/>
        <v>1</v>
      </c>
    </row>
    <row r="116" spans="1:14">
      <c r="A116" s="4">
        <v>8</v>
      </c>
      <c r="B116" s="4" t="s">
        <v>526</v>
      </c>
      <c r="C116" s="4" t="s">
        <v>73</v>
      </c>
      <c r="D116" s="4" t="s">
        <v>70</v>
      </c>
      <c r="E116" s="4" t="str">
        <f t="shared" si="7"/>
        <v>8|A|G</v>
      </c>
      <c r="F116" s="12">
        <v>0</v>
      </c>
      <c r="G116" s="4">
        <f t="shared" si="8"/>
        <v>1</v>
      </c>
      <c r="H116" s="12">
        <v>1</v>
      </c>
      <c r="I116" s="14">
        <f t="shared" si="9"/>
        <v>0</v>
      </c>
      <c r="J116" s="14">
        <f t="shared" si="10"/>
        <v>0.2</v>
      </c>
      <c r="K116" s="4">
        <f t="shared" si="11"/>
        <v>1</v>
      </c>
      <c r="L116" s="4">
        <f t="shared" si="12"/>
        <v>5</v>
      </c>
      <c r="M116" s="4" t="s">
        <v>519</v>
      </c>
      <c r="N116" s="4">
        <f t="shared" si="13"/>
        <v>1</v>
      </c>
    </row>
    <row r="117" spans="1:14">
      <c r="A117" s="4">
        <v>8</v>
      </c>
      <c r="B117" s="4" t="s">
        <v>526</v>
      </c>
      <c r="C117" s="4" t="s">
        <v>73</v>
      </c>
      <c r="D117" s="4" t="s">
        <v>72</v>
      </c>
      <c r="E117" s="4" t="str">
        <f t="shared" si="7"/>
        <v>8|A|U</v>
      </c>
      <c r="F117" s="12">
        <v>0</v>
      </c>
      <c r="G117" s="4">
        <f t="shared" si="8"/>
        <v>1</v>
      </c>
      <c r="H117" s="12">
        <v>1</v>
      </c>
      <c r="I117" s="14">
        <f t="shared" si="9"/>
        <v>0</v>
      </c>
      <c r="J117" s="14">
        <f t="shared" si="10"/>
        <v>0.2</v>
      </c>
      <c r="K117" s="4">
        <f t="shared" si="11"/>
        <v>1</v>
      </c>
      <c r="L117" s="4">
        <f t="shared" si="12"/>
        <v>5</v>
      </c>
      <c r="M117" s="4" t="s">
        <v>519</v>
      </c>
      <c r="N117" s="4">
        <f t="shared" si="13"/>
        <v>1</v>
      </c>
    </row>
    <row r="118" spans="1:14">
      <c r="A118" s="4">
        <v>8</v>
      </c>
      <c r="B118" s="4" t="s">
        <v>526</v>
      </c>
      <c r="C118" s="4" t="s">
        <v>71</v>
      </c>
      <c r="D118" s="4" t="s">
        <v>73</v>
      </c>
      <c r="E118" s="4" t="str">
        <f t="shared" si="7"/>
        <v>8|C|A</v>
      </c>
      <c r="F118" s="12">
        <v>0</v>
      </c>
      <c r="G118" s="4">
        <f t="shared" si="8"/>
        <v>0</v>
      </c>
      <c r="H118" s="12">
        <v>1</v>
      </c>
      <c r="I118" s="14" t="str">
        <f t="shared" si="9"/>
        <v/>
      </c>
      <c r="J118" s="14">
        <f t="shared" si="10"/>
        <v>0.25</v>
      </c>
      <c r="K118" s="4">
        <f t="shared" si="11"/>
        <v>1</v>
      </c>
      <c r="L118" s="4">
        <f t="shared" si="12"/>
        <v>4</v>
      </c>
      <c r="M118" s="4" t="s">
        <v>519</v>
      </c>
      <c r="N118" s="4">
        <f t="shared" si="13"/>
        <v>1</v>
      </c>
    </row>
    <row r="119" spans="1:14">
      <c r="A119" s="4">
        <v>8</v>
      </c>
      <c r="B119" s="4" t="s">
        <v>526</v>
      </c>
      <c r="C119" s="4" t="s">
        <v>71</v>
      </c>
      <c r="D119" s="4" t="s">
        <v>71</v>
      </c>
      <c r="E119" s="4" t="str">
        <f t="shared" si="7"/>
        <v>8|C|C</v>
      </c>
      <c r="F119" s="12">
        <v>0</v>
      </c>
      <c r="G119" s="4">
        <f t="shared" si="8"/>
        <v>0</v>
      </c>
      <c r="H119" s="12">
        <v>1</v>
      </c>
      <c r="I119" s="14" t="str">
        <f t="shared" si="9"/>
        <v/>
      </c>
      <c r="J119" s="14">
        <f t="shared" si="10"/>
        <v>0.25</v>
      </c>
      <c r="K119" s="4">
        <f t="shared" si="11"/>
        <v>1</v>
      </c>
      <c r="L119" s="4">
        <f t="shared" si="12"/>
        <v>4</v>
      </c>
      <c r="M119" s="4" t="s">
        <v>519</v>
      </c>
      <c r="N119" s="4">
        <f t="shared" si="13"/>
        <v>1</v>
      </c>
    </row>
    <row r="120" spans="1:14">
      <c r="A120" s="4">
        <v>8</v>
      </c>
      <c r="B120" s="4" t="s">
        <v>526</v>
      </c>
      <c r="C120" s="4" t="s">
        <v>71</v>
      </c>
      <c r="D120" s="4" t="s">
        <v>70</v>
      </c>
      <c r="E120" s="4" t="str">
        <f t="shared" si="7"/>
        <v>8|C|G</v>
      </c>
      <c r="F120" s="12">
        <v>0</v>
      </c>
      <c r="G120" s="4">
        <f t="shared" si="8"/>
        <v>0</v>
      </c>
      <c r="H120" s="12">
        <v>1</v>
      </c>
      <c r="I120" s="14" t="str">
        <f t="shared" si="9"/>
        <v/>
      </c>
      <c r="J120" s="14">
        <f t="shared" si="10"/>
        <v>0.25</v>
      </c>
      <c r="K120" s="4">
        <f t="shared" si="11"/>
        <v>1</v>
      </c>
      <c r="L120" s="4">
        <f t="shared" si="12"/>
        <v>4</v>
      </c>
      <c r="M120" s="4" t="s">
        <v>519</v>
      </c>
      <c r="N120" s="4">
        <f t="shared" si="13"/>
        <v>1</v>
      </c>
    </row>
    <row r="121" spans="1:14">
      <c r="A121" s="4">
        <v>8</v>
      </c>
      <c r="B121" s="4" t="s">
        <v>526</v>
      </c>
      <c r="C121" s="4" t="s">
        <v>71</v>
      </c>
      <c r="D121" s="4" t="s">
        <v>72</v>
      </c>
      <c r="E121" s="4" t="str">
        <f t="shared" si="7"/>
        <v>8|C|U</v>
      </c>
      <c r="F121" s="12">
        <v>0</v>
      </c>
      <c r="G121" s="4">
        <f t="shared" si="8"/>
        <v>0</v>
      </c>
      <c r="H121" s="12">
        <v>1</v>
      </c>
      <c r="I121" s="14" t="str">
        <f t="shared" si="9"/>
        <v/>
      </c>
      <c r="J121" s="14">
        <f t="shared" si="10"/>
        <v>0.25</v>
      </c>
      <c r="K121" s="4">
        <f t="shared" si="11"/>
        <v>1</v>
      </c>
      <c r="L121" s="4">
        <f t="shared" si="12"/>
        <v>4</v>
      </c>
      <c r="M121" s="4" t="s">
        <v>519</v>
      </c>
      <c r="N121" s="4">
        <f t="shared" si="13"/>
        <v>1</v>
      </c>
    </row>
    <row r="122" spans="1:14">
      <c r="A122" s="4">
        <v>8</v>
      </c>
      <c r="B122" s="4" t="s">
        <v>526</v>
      </c>
      <c r="C122" s="4" t="s">
        <v>70</v>
      </c>
      <c r="D122" s="4" t="s">
        <v>73</v>
      </c>
      <c r="E122" s="4" t="str">
        <f t="shared" si="7"/>
        <v>8|G|A</v>
      </c>
      <c r="F122" s="12">
        <v>0</v>
      </c>
      <c r="G122" s="4">
        <f t="shared" si="8"/>
        <v>1</v>
      </c>
      <c r="H122" s="12">
        <v>1</v>
      </c>
      <c r="I122" s="14">
        <f t="shared" si="9"/>
        <v>0</v>
      </c>
      <c r="J122" s="14">
        <f t="shared" si="10"/>
        <v>0.2</v>
      </c>
      <c r="K122" s="4">
        <f t="shared" si="11"/>
        <v>1</v>
      </c>
      <c r="L122" s="4">
        <f t="shared" si="12"/>
        <v>5</v>
      </c>
      <c r="M122" s="4" t="s">
        <v>519</v>
      </c>
      <c r="N122" s="4">
        <f t="shared" si="13"/>
        <v>1</v>
      </c>
    </row>
    <row r="123" spans="1:14">
      <c r="A123" s="4">
        <v>8</v>
      </c>
      <c r="B123" s="4" t="s">
        <v>526</v>
      </c>
      <c r="C123" s="4" t="s">
        <v>70</v>
      </c>
      <c r="D123" s="4" t="s">
        <v>71</v>
      </c>
      <c r="E123" s="4" t="str">
        <f t="shared" si="7"/>
        <v>8|G|C</v>
      </c>
      <c r="F123" s="12">
        <v>1</v>
      </c>
      <c r="G123" s="4">
        <f t="shared" si="8"/>
        <v>1</v>
      </c>
      <c r="H123" s="12">
        <v>1</v>
      </c>
      <c r="I123" s="14">
        <f t="shared" si="9"/>
        <v>1</v>
      </c>
      <c r="J123" s="14">
        <f t="shared" si="10"/>
        <v>0.4</v>
      </c>
      <c r="K123" s="4">
        <f t="shared" si="11"/>
        <v>2</v>
      </c>
      <c r="L123" s="4">
        <f t="shared" si="12"/>
        <v>5</v>
      </c>
      <c r="M123" s="4" t="s">
        <v>519</v>
      </c>
      <c r="N123" s="4">
        <f t="shared" si="13"/>
        <v>1</v>
      </c>
    </row>
    <row r="124" spans="1:14">
      <c r="A124" s="4">
        <v>8</v>
      </c>
      <c r="B124" s="4" t="s">
        <v>526</v>
      </c>
      <c r="C124" s="4" t="s">
        <v>70</v>
      </c>
      <c r="D124" s="4" t="s">
        <v>70</v>
      </c>
      <c r="E124" s="4" t="str">
        <f t="shared" si="7"/>
        <v>8|G|G</v>
      </c>
      <c r="F124" s="12">
        <v>0</v>
      </c>
      <c r="G124" s="4">
        <f t="shared" si="8"/>
        <v>1</v>
      </c>
      <c r="H124" s="12">
        <v>1</v>
      </c>
      <c r="I124" s="14">
        <f t="shared" si="9"/>
        <v>0</v>
      </c>
      <c r="J124" s="14">
        <f t="shared" si="10"/>
        <v>0.2</v>
      </c>
      <c r="K124" s="4">
        <f t="shared" si="11"/>
        <v>1</v>
      </c>
      <c r="L124" s="4">
        <f t="shared" si="12"/>
        <v>5</v>
      </c>
      <c r="M124" s="4" t="s">
        <v>519</v>
      </c>
      <c r="N124" s="4">
        <f t="shared" si="13"/>
        <v>1</v>
      </c>
    </row>
    <row r="125" spans="1:14">
      <c r="A125" s="4">
        <v>8</v>
      </c>
      <c r="B125" s="4" t="s">
        <v>526</v>
      </c>
      <c r="C125" s="4" t="s">
        <v>70</v>
      </c>
      <c r="D125" s="4" t="s">
        <v>72</v>
      </c>
      <c r="E125" s="4" t="str">
        <f t="shared" si="7"/>
        <v>8|G|U</v>
      </c>
      <c r="F125" s="12">
        <v>0</v>
      </c>
      <c r="G125" s="4">
        <f t="shared" si="8"/>
        <v>1</v>
      </c>
      <c r="H125" s="12">
        <v>1</v>
      </c>
      <c r="I125" s="14">
        <f t="shared" si="9"/>
        <v>0</v>
      </c>
      <c r="J125" s="14">
        <f t="shared" si="10"/>
        <v>0.2</v>
      </c>
      <c r="K125" s="4">
        <f t="shared" si="11"/>
        <v>1</v>
      </c>
      <c r="L125" s="4">
        <f t="shared" si="12"/>
        <v>5</v>
      </c>
      <c r="M125" s="4" t="s">
        <v>519</v>
      </c>
      <c r="N125" s="4">
        <f t="shared" si="13"/>
        <v>1</v>
      </c>
    </row>
    <row r="126" spans="1:14">
      <c r="A126" s="4">
        <v>8</v>
      </c>
      <c r="B126" s="4" t="s">
        <v>526</v>
      </c>
      <c r="C126" s="4" t="s">
        <v>72</v>
      </c>
      <c r="D126" s="4" t="s">
        <v>73</v>
      </c>
      <c r="E126" s="4" t="str">
        <f t="shared" si="7"/>
        <v>8|U|A</v>
      </c>
      <c r="F126" s="12">
        <v>130</v>
      </c>
      <c r="G126" s="4">
        <f t="shared" si="8"/>
        <v>197</v>
      </c>
      <c r="H126" s="12">
        <v>1</v>
      </c>
      <c r="I126" s="14">
        <f t="shared" si="9"/>
        <v>0.65989847715736039</v>
      </c>
      <c r="J126" s="14">
        <f t="shared" si="10"/>
        <v>0.65174129353233834</v>
      </c>
      <c r="K126" s="4">
        <f t="shared" si="11"/>
        <v>131</v>
      </c>
      <c r="L126" s="4">
        <f t="shared" si="12"/>
        <v>201</v>
      </c>
      <c r="M126" s="4" t="s">
        <v>519</v>
      </c>
      <c r="N126" s="4">
        <f t="shared" si="13"/>
        <v>1</v>
      </c>
    </row>
    <row r="127" spans="1:14">
      <c r="A127" s="4">
        <v>8</v>
      </c>
      <c r="B127" s="4" t="s">
        <v>526</v>
      </c>
      <c r="C127" s="4" t="s">
        <v>72</v>
      </c>
      <c r="D127" s="4" t="s">
        <v>71</v>
      </c>
      <c r="E127" s="4" t="str">
        <f t="shared" si="7"/>
        <v>8|U|C</v>
      </c>
      <c r="F127" s="12">
        <v>6</v>
      </c>
      <c r="G127" s="4">
        <f t="shared" si="8"/>
        <v>197</v>
      </c>
      <c r="H127" s="12">
        <v>1</v>
      </c>
      <c r="I127" s="14">
        <f t="shared" si="9"/>
        <v>3.0456852791878174E-2</v>
      </c>
      <c r="J127" s="14">
        <f t="shared" si="10"/>
        <v>3.482587064676617E-2</v>
      </c>
      <c r="K127" s="4">
        <f t="shared" si="11"/>
        <v>7</v>
      </c>
      <c r="L127" s="4">
        <f t="shared" si="12"/>
        <v>201</v>
      </c>
      <c r="M127" s="4" t="s">
        <v>519</v>
      </c>
      <c r="N127" s="4">
        <f t="shared" si="13"/>
        <v>1</v>
      </c>
    </row>
    <row r="128" spans="1:14">
      <c r="A128" s="4">
        <v>8</v>
      </c>
      <c r="B128" s="4" t="s">
        <v>526</v>
      </c>
      <c r="C128" s="4" t="s">
        <v>72</v>
      </c>
      <c r="D128" s="4" t="s">
        <v>70</v>
      </c>
      <c r="E128" s="4" t="str">
        <f t="shared" si="7"/>
        <v>8|U|G</v>
      </c>
      <c r="F128" s="12">
        <v>61</v>
      </c>
      <c r="G128" s="4">
        <f t="shared" si="8"/>
        <v>197</v>
      </c>
      <c r="H128" s="12">
        <v>1</v>
      </c>
      <c r="I128" s="14">
        <f t="shared" si="9"/>
        <v>0.30964467005076141</v>
      </c>
      <c r="J128" s="14">
        <f t="shared" si="10"/>
        <v>0.30845771144278605</v>
      </c>
      <c r="K128" s="4">
        <f t="shared" si="11"/>
        <v>62</v>
      </c>
      <c r="L128" s="4">
        <f t="shared" si="12"/>
        <v>201</v>
      </c>
      <c r="M128" s="4" t="s">
        <v>519</v>
      </c>
      <c r="N128" s="4">
        <f t="shared" si="13"/>
        <v>1</v>
      </c>
    </row>
    <row r="129" spans="1:14">
      <c r="A129" s="4">
        <v>8</v>
      </c>
      <c r="B129" s="4" t="s">
        <v>526</v>
      </c>
      <c r="C129" s="4" t="s">
        <v>72</v>
      </c>
      <c r="D129" s="4" t="s">
        <v>72</v>
      </c>
      <c r="E129" s="4" t="str">
        <f t="shared" si="7"/>
        <v>8|U|U</v>
      </c>
      <c r="F129" s="12">
        <v>0</v>
      </c>
      <c r="G129" s="4">
        <f t="shared" si="8"/>
        <v>197</v>
      </c>
      <c r="H129" s="12">
        <v>1</v>
      </c>
      <c r="I129" s="14">
        <f t="shared" si="9"/>
        <v>0</v>
      </c>
      <c r="J129" s="14">
        <f t="shared" si="10"/>
        <v>4.9751243781094526E-3</v>
      </c>
      <c r="K129" s="4">
        <f t="shared" si="11"/>
        <v>1</v>
      </c>
      <c r="L129" s="4">
        <f t="shared" si="12"/>
        <v>201</v>
      </c>
      <c r="M129" s="4" t="s">
        <v>519</v>
      </c>
      <c r="N129" s="4">
        <f t="shared" si="13"/>
        <v>1</v>
      </c>
    </row>
    <row r="130" spans="1:14">
      <c r="A130" s="4">
        <v>9</v>
      </c>
      <c r="B130" s="4" t="s">
        <v>527</v>
      </c>
      <c r="C130" s="4" t="s">
        <v>73</v>
      </c>
      <c r="D130" s="4" t="s">
        <v>73</v>
      </c>
      <c r="E130" s="4" t="str">
        <f t="shared" ref="E130:E193" si="14">A130&amp;"|"&amp;C130&amp;"|"&amp;D130</f>
        <v>9|A|A</v>
      </c>
      <c r="F130" s="12">
        <v>0</v>
      </c>
      <c r="G130" s="4">
        <f t="shared" ref="G130:G193" si="15">SUMIFS($F$2:$F$1137,$A$2:$A$1137,A130,$C$2:$C$1137,C130)</f>
        <v>131</v>
      </c>
      <c r="H130" s="12">
        <v>1</v>
      </c>
      <c r="I130" s="14">
        <f t="shared" ref="I130:I193" si="16">IF(G130=0,"",F130/G130)</f>
        <v>0</v>
      </c>
      <c r="J130" s="14">
        <f t="shared" ref="J130:J193" si="17">K130/L130</f>
        <v>7.4074074074074077E-3</v>
      </c>
      <c r="K130" s="4">
        <f t="shared" ref="K130:K193" si="18">F130+H130</f>
        <v>1</v>
      </c>
      <c r="L130" s="4">
        <f t="shared" ref="L130:L193" si="19">G130+4*H130</f>
        <v>135</v>
      </c>
      <c r="M130" s="4" t="s">
        <v>519</v>
      </c>
      <c r="N130" s="4">
        <f t="shared" ref="N130:N193" si="20">ROUND(SUMIFS($J$2:$J$1137,$A$2:$A$1137,A130,$C$2:$C$1137,C130),9)</f>
        <v>1</v>
      </c>
    </row>
    <row r="131" spans="1:14">
      <c r="A131" s="4">
        <v>9</v>
      </c>
      <c r="B131" s="4" t="s">
        <v>527</v>
      </c>
      <c r="C131" s="4" t="s">
        <v>73</v>
      </c>
      <c r="D131" s="4" t="s">
        <v>71</v>
      </c>
      <c r="E131" s="4" t="str">
        <f t="shared" si="14"/>
        <v>9|A|C</v>
      </c>
      <c r="F131" s="12">
        <v>2</v>
      </c>
      <c r="G131" s="4">
        <f t="shared" si="15"/>
        <v>131</v>
      </c>
      <c r="H131" s="12">
        <v>1</v>
      </c>
      <c r="I131" s="14">
        <f t="shared" si="16"/>
        <v>1.5267175572519083E-2</v>
      </c>
      <c r="J131" s="14">
        <f t="shared" si="17"/>
        <v>2.2222222222222223E-2</v>
      </c>
      <c r="K131" s="4">
        <f t="shared" si="18"/>
        <v>3</v>
      </c>
      <c r="L131" s="4">
        <f t="shared" si="19"/>
        <v>135</v>
      </c>
      <c r="M131" s="4" t="s">
        <v>519</v>
      </c>
      <c r="N131" s="4">
        <f t="shared" si="20"/>
        <v>1</v>
      </c>
    </row>
    <row r="132" spans="1:14">
      <c r="A132" s="4">
        <v>9</v>
      </c>
      <c r="B132" s="4" t="s">
        <v>527</v>
      </c>
      <c r="C132" s="4" t="s">
        <v>73</v>
      </c>
      <c r="D132" s="4" t="s">
        <v>70</v>
      </c>
      <c r="E132" s="4" t="str">
        <f t="shared" si="14"/>
        <v>9|A|G</v>
      </c>
      <c r="F132" s="12">
        <v>129</v>
      </c>
      <c r="G132" s="4">
        <f t="shared" si="15"/>
        <v>131</v>
      </c>
      <c r="H132" s="12">
        <v>1</v>
      </c>
      <c r="I132" s="14">
        <f t="shared" si="16"/>
        <v>0.98473282442748089</v>
      </c>
      <c r="J132" s="14">
        <f t="shared" si="17"/>
        <v>0.96296296296296291</v>
      </c>
      <c r="K132" s="4">
        <f t="shared" si="18"/>
        <v>130</v>
      </c>
      <c r="L132" s="4">
        <f t="shared" si="19"/>
        <v>135</v>
      </c>
      <c r="M132" s="4" t="s">
        <v>519</v>
      </c>
      <c r="N132" s="4">
        <f t="shared" si="20"/>
        <v>1</v>
      </c>
    </row>
    <row r="133" spans="1:14">
      <c r="A133" s="4">
        <v>9</v>
      </c>
      <c r="B133" s="4" t="s">
        <v>527</v>
      </c>
      <c r="C133" s="4" t="s">
        <v>73</v>
      </c>
      <c r="D133" s="4" t="s">
        <v>72</v>
      </c>
      <c r="E133" s="4" t="str">
        <f t="shared" si="14"/>
        <v>9|A|U</v>
      </c>
      <c r="F133" s="12">
        <v>0</v>
      </c>
      <c r="G133" s="4">
        <f t="shared" si="15"/>
        <v>131</v>
      </c>
      <c r="H133" s="12">
        <v>1</v>
      </c>
      <c r="I133" s="14">
        <f t="shared" si="16"/>
        <v>0</v>
      </c>
      <c r="J133" s="14">
        <f t="shared" si="17"/>
        <v>7.4074074074074077E-3</v>
      </c>
      <c r="K133" s="4">
        <f t="shared" si="18"/>
        <v>1</v>
      </c>
      <c r="L133" s="4">
        <f t="shared" si="19"/>
        <v>135</v>
      </c>
      <c r="M133" s="4" t="s">
        <v>519</v>
      </c>
      <c r="N133" s="4">
        <f t="shared" si="20"/>
        <v>1</v>
      </c>
    </row>
    <row r="134" spans="1:14">
      <c r="A134" s="4">
        <v>9</v>
      </c>
      <c r="B134" s="4" t="s">
        <v>527</v>
      </c>
      <c r="C134" s="4" t="s">
        <v>71</v>
      </c>
      <c r="D134" s="4" t="s">
        <v>73</v>
      </c>
      <c r="E134" s="4" t="str">
        <f t="shared" si="14"/>
        <v>9|C|A</v>
      </c>
      <c r="F134" s="12">
        <v>0</v>
      </c>
      <c r="G134" s="4">
        <f t="shared" si="15"/>
        <v>7</v>
      </c>
      <c r="H134" s="12">
        <v>1</v>
      </c>
      <c r="I134" s="14">
        <f t="shared" si="16"/>
        <v>0</v>
      </c>
      <c r="J134" s="14">
        <f t="shared" si="17"/>
        <v>9.0909090909090912E-2</v>
      </c>
      <c r="K134" s="4">
        <f t="shared" si="18"/>
        <v>1</v>
      </c>
      <c r="L134" s="4">
        <f t="shared" si="19"/>
        <v>11</v>
      </c>
      <c r="M134" s="4" t="s">
        <v>519</v>
      </c>
      <c r="N134" s="4">
        <f t="shared" si="20"/>
        <v>1</v>
      </c>
    </row>
    <row r="135" spans="1:14">
      <c r="A135" s="4">
        <v>9</v>
      </c>
      <c r="B135" s="4" t="s">
        <v>527</v>
      </c>
      <c r="C135" s="4" t="s">
        <v>71</v>
      </c>
      <c r="D135" s="4" t="s">
        <v>71</v>
      </c>
      <c r="E135" s="4" t="str">
        <f t="shared" si="14"/>
        <v>9|C|C</v>
      </c>
      <c r="F135" s="12">
        <v>0</v>
      </c>
      <c r="G135" s="4">
        <f t="shared" si="15"/>
        <v>7</v>
      </c>
      <c r="H135" s="12">
        <v>1</v>
      </c>
      <c r="I135" s="14">
        <f t="shared" si="16"/>
        <v>0</v>
      </c>
      <c r="J135" s="14">
        <f t="shared" si="17"/>
        <v>9.0909090909090912E-2</v>
      </c>
      <c r="K135" s="4">
        <f t="shared" si="18"/>
        <v>1</v>
      </c>
      <c r="L135" s="4">
        <f t="shared" si="19"/>
        <v>11</v>
      </c>
      <c r="M135" s="4" t="s">
        <v>519</v>
      </c>
      <c r="N135" s="4">
        <f t="shared" si="20"/>
        <v>1</v>
      </c>
    </row>
    <row r="136" spans="1:14">
      <c r="A136" s="4">
        <v>9</v>
      </c>
      <c r="B136" s="4" t="s">
        <v>527</v>
      </c>
      <c r="C136" s="4" t="s">
        <v>71</v>
      </c>
      <c r="D136" s="4" t="s">
        <v>70</v>
      </c>
      <c r="E136" s="4" t="str">
        <f t="shared" si="14"/>
        <v>9|C|G</v>
      </c>
      <c r="F136" s="12">
        <v>7</v>
      </c>
      <c r="G136" s="4">
        <f t="shared" si="15"/>
        <v>7</v>
      </c>
      <c r="H136" s="12">
        <v>1</v>
      </c>
      <c r="I136" s="14">
        <f t="shared" si="16"/>
        <v>1</v>
      </c>
      <c r="J136" s="14">
        <f t="shared" si="17"/>
        <v>0.72727272727272729</v>
      </c>
      <c r="K136" s="4">
        <f t="shared" si="18"/>
        <v>8</v>
      </c>
      <c r="L136" s="4">
        <f t="shared" si="19"/>
        <v>11</v>
      </c>
      <c r="M136" s="4" t="s">
        <v>519</v>
      </c>
      <c r="N136" s="4">
        <f t="shared" si="20"/>
        <v>1</v>
      </c>
    </row>
    <row r="137" spans="1:14">
      <c r="A137" s="4">
        <v>9</v>
      </c>
      <c r="B137" s="4" t="s">
        <v>527</v>
      </c>
      <c r="C137" s="4" t="s">
        <v>71</v>
      </c>
      <c r="D137" s="4" t="s">
        <v>72</v>
      </c>
      <c r="E137" s="4" t="str">
        <f t="shared" si="14"/>
        <v>9|C|U</v>
      </c>
      <c r="F137" s="12">
        <v>0</v>
      </c>
      <c r="G137" s="4">
        <f t="shared" si="15"/>
        <v>7</v>
      </c>
      <c r="H137" s="12">
        <v>1</v>
      </c>
      <c r="I137" s="14">
        <f t="shared" si="16"/>
        <v>0</v>
      </c>
      <c r="J137" s="14">
        <f t="shared" si="17"/>
        <v>9.0909090909090912E-2</v>
      </c>
      <c r="K137" s="4">
        <f t="shared" si="18"/>
        <v>1</v>
      </c>
      <c r="L137" s="4">
        <f t="shared" si="19"/>
        <v>11</v>
      </c>
      <c r="M137" s="4" t="s">
        <v>519</v>
      </c>
      <c r="N137" s="4">
        <f t="shared" si="20"/>
        <v>1</v>
      </c>
    </row>
    <row r="138" spans="1:14">
      <c r="A138" s="4">
        <v>9</v>
      </c>
      <c r="B138" s="4" t="s">
        <v>527</v>
      </c>
      <c r="C138" s="4" t="s">
        <v>70</v>
      </c>
      <c r="D138" s="4" t="s">
        <v>73</v>
      </c>
      <c r="E138" s="4" t="str">
        <f t="shared" si="14"/>
        <v>9|G|A</v>
      </c>
      <c r="F138" s="12">
        <v>0</v>
      </c>
      <c r="G138" s="4">
        <f t="shared" si="15"/>
        <v>61</v>
      </c>
      <c r="H138" s="12">
        <v>1</v>
      </c>
      <c r="I138" s="14">
        <f t="shared" si="16"/>
        <v>0</v>
      </c>
      <c r="J138" s="14">
        <f t="shared" si="17"/>
        <v>1.5384615384615385E-2</v>
      </c>
      <c r="K138" s="4">
        <f t="shared" si="18"/>
        <v>1</v>
      </c>
      <c r="L138" s="4">
        <f t="shared" si="19"/>
        <v>65</v>
      </c>
      <c r="M138" s="4" t="s">
        <v>519</v>
      </c>
      <c r="N138" s="4">
        <f t="shared" si="20"/>
        <v>1</v>
      </c>
    </row>
    <row r="139" spans="1:14">
      <c r="A139" s="4">
        <v>9</v>
      </c>
      <c r="B139" s="4" t="s">
        <v>527</v>
      </c>
      <c r="C139" s="4" t="s">
        <v>70</v>
      </c>
      <c r="D139" s="4" t="s">
        <v>71</v>
      </c>
      <c r="E139" s="4" t="str">
        <f t="shared" si="14"/>
        <v>9|G|C</v>
      </c>
      <c r="F139" s="12">
        <v>6</v>
      </c>
      <c r="G139" s="4">
        <f t="shared" si="15"/>
        <v>61</v>
      </c>
      <c r="H139" s="12">
        <v>1</v>
      </c>
      <c r="I139" s="14">
        <f t="shared" si="16"/>
        <v>9.8360655737704916E-2</v>
      </c>
      <c r="J139" s="14">
        <f t="shared" si="17"/>
        <v>0.1076923076923077</v>
      </c>
      <c r="K139" s="4">
        <f t="shared" si="18"/>
        <v>7</v>
      </c>
      <c r="L139" s="4">
        <f t="shared" si="19"/>
        <v>65</v>
      </c>
      <c r="M139" s="4" t="s">
        <v>519</v>
      </c>
      <c r="N139" s="4">
        <f t="shared" si="20"/>
        <v>1</v>
      </c>
    </row>
    <row r="140" spans="1:14">
      <c r="A140" s="4">
        <v>9</v>
      </c>
      <c r="B140" s="4" t="s">
        <v>527</v>
      </c>
      <c r="C140" s="4" t="s">
        <v>70</v>
      </c>
      <c r="D140" s="4" t="s">
        <v>70</v>
      </c>
      <c r="E140" s="4" t="str">
        <f t="shared" si="14"/>
        <v>9|G|G</v>
      </c>
      <c r="F140" s="12">
        <v>55</v>
      </c>
      <c r="G140" s="4">
        <f t="shared" si="15"/>
        <v>61</v>
      </c>
      <c r="H140" s="12">
        <v>1</v>
      </c>
      <c r="I140" s="14">
        <f t="shared" si="16"/>
        <v>0.90163934426229508</v>
      </c>
      <c r="J140" s="14">
        <f t="shared" si="17"/>
        <v>0.86153846153846159</v>
      </c>
      <c r="K140" s="4">
        <f t="shared" si="18"/>
        <v>56</v>
      </c>
      <c r="L140" s="4">
        <f t="shared" si="19"/>
        <v>65</v>
      </c>
      <c r="M140" s="4" t="s">
        <v>519</v>
      </c>
      <c r="N140" s="4">
        <f t="shared" si="20"/>
        <v>1</v>
      </c>
    </row>
    <row r="141" spans="1:14">
      <c r="A141" s="4">
        <v>9</v>
      </c>
      <c r="B141" s="4" t="s">
        <v>527</v>
      </c>
      <c r="C141" s="4" t="s">
        <v>70</v>
      </c>
      <c r="D141" s="4" t="s">
        <v>72</v>
      </c>
      <c r="E141" s="4" t="str">
        <f t="shared" si="14"/>
        <v>9|G|U</v>
      </c>
      <c r="F141" s="12">
        <v>0</v>
      </c>
      <c r="G141" s="4">
        <f t="shared" si="15"/>
        <v>61</v>
      </c>
      <c r="H141" s="12">
        <v>1</v>
      </c>
      <c r="I141" s="14">
        <f t="shared" si="16"/>
        <v>0</v>
      </c>
      <c r="J141" s="14">
        <f t="shared" si="17"/>
        <v>1.5384615384615385E-2</v>
      </c>
      <c r="K141" s="4">
        <f t="shared" si="18"/>
        <v>1</v>
      </c>
      <c r="L141" s="4">
        <f t="shared" si="19"/>
        <v>65</v>
      </c>
      <c r="M141" s="4" t="s">
        <v>519</v>
      </c>
      <c r="N141" s="4">
        <f t="shared" si="20"/>
        <v>1</v>
      </c>
    </row>
    <row r="142" spans="1:14">
      <c r="A142" s="4">
        <v>9</v>
      </c>
      <c r="B142" s="4" t="s">
        <v>527</v>
      </c>
      <c r="C142" s="4" t="s">
        <v>72</v>
      </c>
      <c r="D142" s="4" t="s">
        <v>73</v>
      </c>
      <c r="E142" s="4" t="str">
        <f t="shared" si="14"/>
        <v>9|U|A</v>
      </c>
      <c r="F142" s="12">
        <v>0</v>
      </c>
      <c r="G142" s="4">
        <f t="shared" si="15"/>
        <v>0</v>
      </c>
      <c r="H142" s="12">
        <v>1</v>
      </c>
      <c r="I142" s="14" t="str">
        <f t="shared" si="16"/>
        <v/>
      </c>
      <c r="J142" s="14">
        <f t="shared" si="17"/>
        <v>0.25</v>
      </c>
      <c r="K142" s="4">
        <f t="shared" si="18"/>
        <v>1</v>
      </c>
      <c r="L142" s="4">
        <f t="shared" si="19"/>
        <v>4</v>
      </c>
      <c r="M142" s="4" t="s">
        <v>519</v>
      </c>
      <c r="N142" s="4">
        <f t="shared" si="20"/>
        <v>1</v>
      </c>
    </row>
    <row r="143" spans="1:14">
      <c r="A143" s="4">
        <v>9</v>
      </c>
      <c r="B143" s="4" t="s">
        <v>527</v>
      </c>
      <c r="C143" s="4" t="s">
        <v>72</v>
      </c>
      <c r="D143" s="4" t="s">
        <v>71</v>
      </c>
      <c r="E143" s="4" t="str">
        <f t="shared" si="14"/>
        <v>9|U|C</v>
      </c>
      <c r="F143" s="12">
        <v>0</v>
      </c>
      <c r="G143" s="4">
        <f t="shared" si="15"/>
        <v>0</v>
      </c>
      <c r="H143" s="12">
        <v>1</v>
      </c>
      <c r="I143" s="14" t="str">
        <f t="shared" si="16"/>
        <v/>
      </c>
      <c r="J143" s="14">
        <f t="shared" si="17"/>
        <v>0.25</v>
      </c>
      <c r="K143" s="4">
        <f t="shared" si="18"/>
        <v>1</v>
      </c>
      <c r="L143" s="4">
        <f t="shared" si="19"/>
        <v>4</v>
      </c>
      <c r="M143" s="4" t="s">
        <v>519</v>
      </c>
      <c r="N143" s="4">
        <f t="shared" si="20"/>
        <v>1</v>
      </c>
    </row>
    <row r="144" spans="1:14">
      <c r="A144" s="4">
        <v>9</v>
      </c>
      <c r="B144" s="4" t="s">
        <v>527</v>
      </c>
      <c r="C144" s="4" t="s">
        <v>72</v>
      </c>
      <c r="D144" s="4" t="s">
        <v>70</v>
      </c>
      <c r="E144" s="4" t="str">
        <f t="shared" si="14"/>
        <v>9|U|G</v>
      </c>
      <c r="F144" s="12">
        <v>0</v>
      </c>
      <c r="G144" s="4">
        <f t="shared" si="15"/>
        <v>0</v>
      </c>
      <c r="H144" s="12">
        <v>1</v>
      </c>
      <c r="I144" s="14" t="str">
        <f t="shared" si="16"/>
        <v/>
      </c>
      <c r="J144" s="14">
        <f t="shared" si="17"/>
        <v>0.25</v>
      </c>
      <c r="K144" s="4">
        <f t="shared" si="18"/>
        <v>1</v>
      </c>
      <c r="L144" s="4">
        <f t="shared" si="19"/>
        <v>4</v>
      </c>
      <c r="M144" s="4" t="s">
        <v>519</v>
      </c>
      <c r="N144" s="4">
        <f t="shared" si="20"/>
        <v>1</v>
      </c>
    </row>
    <row r="145" spans="1:14">
      <c r="A145" s="4">
        <v>9</v>
      </c>
      <c r="B145" s="4" t="s">
        <v>527</v>
      </c>
      <c r="C145" s="4" t="s">
        <v>72</v>
      </c>
      <c r="D145" s="4" t="s">
        <v>72</v>
      </c>
      <c r="E145" s="4" t="str">
        <f t="shared" si="14"/>
        <v>9|U|U</v>
      </c>
      <c r="F145" s="12">
        <v>0</v>
      </c>
      <c r="G145" s="4">
        <f t="shared" si="15"/>
        <v>0</v>
      </c>
      <c r="H145" s="12">
        <v>1</v>
      </c>
      <c r="I145" s="14" t="str">
        <f t="shared" si="16"/>
        <v/>
      </c>
      <c r="J145" s="14">
        <f t="shared" si="17"/>
        <v>0.25</v>
      </c>
      <c r="K145" s="4">
        <f t="shared" si="18"/>
        <v>1</v>
      </c>
      <c r="L145" s="4">
        <f t="shared" si="19"/>
        <v>4</v>
      </c>
      <c r="M145" s="4" t="s">
        <v>519</v>
      </c>
      <c r="N145" s="4">
        <f t="shared" si="20"/>
        <v>1</v>
      </c>
    </row>
    <row r="146" spans="1:14">
      <c r="A146" s="4">
        <v>10</v>
      </c>
      <c r="B146" s="4" t="s">
        <v>528</v>
      </c>
      <c r="C146" s="4" t="s">
        <v>73</v>
      </c>
      <c r="D146" s="4" t="s">
        <v>73</v>
      </c>
      <c r="E146" s="4" t="str">
        <f t="shared" si="14"/>
        <v>10|A|A</v>
      </c>
      <c r="F146" s="12">
        <v>0</v>
      </c>
      <c r="G146" s="4">
        <f t="shared" si="15"/>
        <v>0</v>
      </c>
      <c r="H146" s="12">
        <v>1</v>
      </c>
      <c r="I146" s="14" t="str">
        <f t="shared" si="16"/>
        <v/>
      </c>
      <c r="J146" s="14">
        <f t="shared" si="17"/>
        <v>0.25</v>
      </c>
      <c r="K146" s="4">
        <f t="shared" si="18"/>
        <v>1</v>
      </c>
      <c r="L146" s="4">
        <f t="shared" si="19"/>
        <v>4</v>
      </c>
      <c r="M146" s="4" t="s">
        <v>519</v>
      </c>
      <c r="N146" s="4">
        <f t="shared" si="20"/>
        <v>1</v>
      </c>
    </row>
    <row r="147" spans="1:14">
      <c r="A147" s="4">
        <v>10</v>
      </c>
      <c r="B147" s="4" t="s">
        <v>528</v>
      </c>
      <c r="C147" s="4" t="s">
        <v>73</v>
      </c>
      <c r="D147" s="4" t="s">
        <v>71</v>
      </c>
      <c r="E147" s="4" t="str">
        <f t="shared" si="14"/>
        <v>10|A|C</v>
      </c>
      <c r="F147" s="12">
        <v>0</v>
      </c>
      <c r="G147" s="4">
        <f t="shared" si="15"/>
        <v>0</v>
      </c>
      <c r="H147" s="12">
        <v>1</v>
      </c>
      <c r="I147" s="14" t="str">
        <f t="shared" si="16"/>
        <v/>
      </c>
      <c r="J147" s="14">
        <f t="shared" si="17"/>
        <v>0.25</v>
      </c>
      <c r="K147" s="4">
        <f t="shared" si="18"/>
        <v>1</v>
      </c>
      <c r="L147" s="4">
        <f t="shared" si="19"/>
        <v>4</v>
      </c>
      <c r="M147" s="4" t="s">
        <v>519</v>
      </c>
      <c r="N147" s="4">
        <f t="shared" si="20"/>
        <v>1</v>
      </c>
    </row>
    <row r="148" spans="1:14">
      <c r="A148" s="4">
        <v>10</v>
      </c>
      <c r="B148" s="4" t="s">
        <v>528</v>
      </c>
      <c r="C148" s="4" t="s">
        <v>73</v>
      </c>
      <c r="D148" s="4" t="s">
        <v>70</v>
      </c>
      <c r="E148" s="4" t="str">
        <f t="shared" si="14"/>
        <v>10|A|G</v>
      </c>
      <c r="F148" s="12">
        <v>0</v>
      </c>
      <c r="G148" s="4">
        <f t="shared" si="15"/>
        <v>0</v>
      </c>
      <c r="H148" s="12">
        <v>1</v>
      </c>
      <c r="I148" s="14" t="str">
        <f t="shared" si="16"/>
        <v/>
      </c>
      <c r="J148" s="14">
        <f t="shared" si="17"/>
        <v>0.25</v>
      </c>
      <c r="K148" s="4">
        <f t="shared" si="18"/>
        <v>1</v>
      </c>
      <c r="L148" s="4">
        <f t="shared" si="19"/>
        <v>4</v>
      </c>
      <c r="M148" s="4" t="s">
        <v>519</v>
      </c>
      <c r="N148" s="4">
        <f t="shared" si="20"/>
        <v>1</v>
      </c>
    </row>
    <row r="149" spans="1:14">
      <c r="A149" s="4">
        <v>10</v>
      </c>
      <c r="B149" s="4" t="s">
        <v>528</v>
      </c>
      <c r="C149" s="4" t="s">
        <v>73</v>
      </c>
      <c r="D149" s="4" t="s">
        <v>72</v>
      </c>
      <c r="E149" s="4" t="str">
        <f t="shared" si="14"/>
        <v>10|A|U</v>
      </c>
      <c r="F149" s="12">
        <v>0</v>
      </c>
      <c r="G149" s="4">
        <f t="shared" si="15"/>
        <v>0</v>
      </c>
      <c r="H149" s="12">
        <v>1</v>
      </c>
      <c r="I149" s="14" t="str">
        <f t="shared" si="16"/>
        <v/>
      </c>
      <c r="J149" s="14">
        <f t="shared" si="17"/>
        <v>0.25</v>
      </c>
      <c r="K149" s="4">
        <f t="shared" si="18"/>
        <v>1</v>
      </c>
      <c r="L149" s="4">
        <f t="shared" si="19"/>
        <v>4</v>
      </c>
      <c r="M149" s="4" t="s">
        <v>519</v>
      </c>
      <c r="N149" s="4">
        <f t="shared" si="20"/>
        <v>1</v>
      </c>
    </row>
    <row r="150" spans="1:14">
      <c r="A150" s="4">
        <v>10</v>
      </c>
      <c r="B150" s="4" t="s">
        <v>528</v>
      </c>
      <c r="C150" s="4" t="s">
        <v>71</v>
      </c>
      <c r="D150" s="4" t="s">
        <v>73</v>
      </c>
      <c r="E150" s="4" t="str">
        <f t="shared" si="14"/>
        <v>10|C|A</v>
      </c>
      <c r="F150" s="12">
        <v>0</v>
      </c>
      <c r="G150" s="4">
        <f t="shared" si="15"/>
        <v>8</v>
      </c>
      <c r="H150" s="12">
        <v>1</v>
      </c>
      <c r="I150" s="14">
        <f t="shared" si="16"/>
        <v>0</v>
      </c>
      <c r="J150" s="14">
        <f t="shared" si="17"/>
        <v>8.3333333333333329E-2</v>
      </c>
      <c r="K150" s="4">
        <f t="shared" si="18"/>
        <v>1</v>
      </c>
      <c r="L150" s="4">
        <f t="shared" si="19"/>
        <v>12</v>
      </c>
      <c r="M150" s="4" t="s">
        <v>519</v>
      </c>
      <c r="N150" s="4">
        <f t="shared" si="20"/>
        <v>1</v>
      </c>
    </row>
    <row r="151" spans="1:14">
      <c r="A151" s="4">
        <v>10</v>
      </c>
      <c r="B151" s="4" t="s">
        <v>528</v>
      </c>
      <c r="C151" s="4" t="s">
        <v>71</v>
      </c>
      <c r="D151" s="4" t="s">
        <v>71</v>
      </c>
      <c r="E151" s="4" t="str">
        <f t="shared" si="14"/>
        <v>10|C|C</v>
      </c>
      <c r="F151" s="12">
        <v>6</v>
      </c>
      <c r="G151" s="4">
        <f t="shared" si="15"/>
        <v>8</v>
      </c>
      <c r="H151" s="12">
        <v>1</v>
      </c>
      <c r="I151" s="14">
        <f t="shared" si="16"/>
        <v>0.75</v>
      </c>
      <c r="J151" s="14">
        <f t="shared" si="17"/>
        <v>0.58333333333333337</v>
      </c>
      <c r="K151" s="4">
        <f t="shared" si="18"/>
        <v>7</v>
      </c>
      <c r="L151" s="4">
        <f t="shared" si="19"/>
        <v>12</v>
      </c>
      <c r="M151" s="4" t="s">
        <v>519</v>
      </c>
      <c r="N151" s="4">
        <f t="shared" si="20"/>
        <v>1</v>
      </c>
    </row>
    <row r="152" spans="1:14">
      <c r="A152" s="4">
        <v>10</v>
      </c>
      <c r="B152" s="4" t="s">
        <v>528</v>
      </c>
      <c r="C152" s="4" t="s">
        <v>71</v>
      </c>
      <c r="D152" s="4" t="s">
        <v>70</v>
      </c>
      <c r="E152" s="4" t="str">
        <f t="shared" si="14"/>
        <v>10|C|G</v>
      </c>
      <c r="F152" s="12">
        <v>1</v>
      </c>
      <c r="G152" s="4">
        <f t="shared" si="15"/>
        <v>8</v>
      </c>
      <c r="H152" s="12">
        <v>1</v>
      </c>
      <c r="I152" s="14">
        <f t="shared" si="16"/>
        <v>0.125</v>
      </c>
      <c r="J152" s="14">
        <f t="shared" si="17"/>
        <v>0.16666666666666666</v>
      </c>
      <c r="K152" s="4">
        <f t="shared" si="18"/>
        <v>2</v>
      </c>
      <c r="L152" s="4">
        <f t="shared" si="19"/>
        <v>12</v>
      </c>
      <c r="M152" s="4" t="s">
        <v>519</v>
      </c>
      <c r="N152" s="4">
        <f t="shared" si="20"/>
        <v>1</v>
      </c>
    </row>
    <row r="153" spans="1:14">
      <c r="A153" s="4">
        <v>10</v>
      </c>
      <c r="B153" s="4" t="s">
        <v>528</v>
      </c>
      <c r="C153" s="4" t="s">
        <v>71</v>
      </c>
      <c r="D153" s="4" t="s">
        <v>72</v>
      </c>
      <c r="E153" s="4" t="str">
        <f t="shared" si="14"/>
        <v>10|C|U</v>
      </c>
      <c r="F153" s="12">
        <v>1</v>
      </c>
      <c r="G153" s="4">
        <f t="shared" si="15"/>
        <v>8</v>
      </c>
      <c r="H153" s="12">
        <v>1</v>
      </c>
      <c r="I153" s="14">
        <f t="shared" si="16"/>
        <v>0.125</v>
      </c>
      <c r="J153" s="14">
        <f t="shared" si="17"/>
        <v>0.16666666666666666</v>
      </c>
      <c r="K153" s="4">
        <f t="shared" si="18"/>
        <v>2</v>
      </c>
      <c r="L153" s="4">
        <f t="shared" si="19"/>
        <v>12</v>
      </c>
      <c r="M153" s="4" t="s">
        <v>519</v>
      </c>
      <c r="N153" s="4">
        <f t="shared" si="20"/>
        <v>1</v>
      </c>
    </row>
    <row r="154" spans="1:14">
      <c r="A154" s="4">
        <v>10</v>
      </c>
      <c r="B154" s="4" t="s">
        <v>528</v>
      </c>
      <c r="C154" s="4" t="s">
        <v>70</v>
      </c>
      <c r="D154" s="4" t="s">
        <v>73</v>
      </c>
      <c r="E154" s="4" t="str">
        <f t="shared" si="14"/>
        <v>10|G|A</v>
      </c>
      <c r="F154" s="12">
        <v>7</v>
      </c>
      <c r="G154" s="4">
        <f t="shared" si="15"/>
        <v>192</v>
      </c>
      <c r="H154" s="12">
        <v>1</v>
      </c>
      <c r="I154" s="14">
        <f t="shared" si="16"/>
        <v>3.6458333333333336E-2</v>
      </c>
      <c r="J154" s="14">
        <f t="shared" si="17"/>
        <v>4.0816326530612242E-2</v>
      </c>
      <c r="K154" s="4">
        <f t="shared" si="18"/>
        <v>8</v>
      </c>
      <c r="L154" s="4">
        <f t="shared" si="19"/>
        <v>196</v>
      </c>
      <c r="M154" s="4" t="s">
        <v>519</v>
      </c>
      <c r="N154" s="4">
        <f t="shared" si="20"/>
        <v>1</v>
      </c>
    </row>
    <row r="155" spans="1:14">
      <c r="A155" s="4">
        <v>10</v>
      </c>
      <c r="B155" s="4" t="s">
        <v>528</v>
      </c>
      <c r="C155" s="4" t="s">
        <v>70</v>
      </c>
      <c r="D155" s="4" t="s">
        <v>71</v>
      </c>
      <c r="E155" s="4" t="str">
        <f t="shared" si="14"/>
        <v>10|G|C</v>
      </c>
      <c r="F155" s="12">
        <v>141</v>
      </c>
      <c r="G155" s="4">
        <f t="shared" si="15"/>
        <v>192</v>
      </c>
      <c r="H155" s="12">
        <v>1</v>
      </c>
      <c r="I155" s="14">
        <f t="shared" si="16"/>
        <v>0.734375</v>
      </c>
      <c r="J155" s="14">
        <f t="shared" si="17"/>
        <v>0.72448979591836737</v>
      </c>
      <c r="K155" s="4">
        <f t="shared" si="18"/>
        <v>142</v>
      </c>
      <c r="L155" s="4">
        <f t="shared" si="19"/>
        <v>196</v>
      </c>
      <c r="M155" s="4" t="s">
        <v>519</v>
      </c>
      <c r="N155" s="4">
        <f t="shared" si="20"/>
        <v>1</v>
      </c>
    </row>
    <row r="156" spans="1:14">
      <c r="A156" s="4">
        <v>10</v>
      </c>
      <c r="B156" s="4" t="s">
        <v>528</v>
      </c>
      <c r="C156" s="4" t="s">
        <v>70</v>
      </c>
      <c r="D156" s="4" t="s">
        <v>70</v>
      </c>
      <c r="E156" s="4" t="str">
        <f t="shared" si="14"/>
        <v>10|G|G</v>
      </c>
      <c r="F156" s="12">
        <v>5</v>
      </c>
      <c r="G156" s="4">
        <f t="shared" si="15"/>
        <v>192</v>
      </c>
      <c r="H156" s="12">
        <v>1</v>
      </c>
      <c r="I156" s="14">
        <f t="shared" si="16"/>
        <v>2.6041666666666668E-2</v>
      </c>
      <c r="J156" s="14">
        <f t="shared" si="17"/>
        <v>3.0612244897959183E-2</v>
      </c>
      <c r="K156" s="4">
        <f t="shared" si="18"/>
        <v>6</v>
      </c>
      <c r="L156" s="4">
        <f t="shared" si="19"/>
        <v>196</v>
      </c>
      <c r="M156" s="4" t="s">
        <v>519</v>
      </c>
      <c r="N156" s="4">
        <f t="shared" si="20"/>
        <v>1</v>
      </c>
    </row>
    <row r="157" spans="1:14">
      <c r="A157" s="4">
        <v>10</v>
      </c>
      <c r="B157" s="4" t="s">
        <v>528</v>
      </c>
      <c r="C157" s="4" t="s">
        <v>70</v>
      </c>
      <c r="D157" s="4" t="s">
        <v>72</v>
      </c>
      <c r="E157" s="4" t="str">
        <f t="shared" si="14"/>
        <v>10|G|U</v>
      </c>
      <c r="F157" s="12">
        <v>39</v>
      </c>
      <c r="G157" s="4">
        <f t="shared" si="15"/>
        <v>192</v>
      </c>
      <c r="H157" s="12">
        <v>1</v>
      </c>
      <c r="I157" s="14">
        <f t="shared" si="16"/>
        <v>0.203125</v>
      </c>
      <c r="J157" s="14">
        <f t="shared" si="17"/>
        <v>0.20408163265306123</v>
      </c>
      <c r="K157" s="4">
        <f t="shared" si="18"/>
        <v>40</v>
      </c>
      <c r="L157" s="4">
        <f t="shared" si="19"/>
        <v>196</v>
      </c>
      <c r="M157" s="4" t="s">
        <v>519</v>
      </c>
      <c r="N157" s="4">
        <f t="shared" si="20"/>
        <v>1</v>
      </c>
    </row>
    <row r="158" spans="1:14">
      <c r="A158" s="4">
        <v>10</v>
      </c>
      <c r="B158" s="4" t="s">
        <v>528</v>
      </c>
      <c r="C158" s="4" t="s">
        <v>72</v>
      </c>
      <c r="D158" s="4" t="s">
        <v>73</v>
      </c>
      <c r="E158" s="4" t="str">
        <f t="shared" si="14"/>
        <v>10|U|A</v>
      </c>
      <c r="F158" s="12">
        <v>0</v>
      </c>
      <c r="G158" s="4">
        <f t="shared" si="15"/>
        <v>0</v>
      </c>
      <c r="H158" s="12">
        <v>1</v>
      </c>
      <c r="I158" s="14" t="str">
        <f t="shared" si="16"/>
        <v/>
      </c>
      <c r="J158" s="14">
        <f t="shared" si="17"/>
        <v>0.25</v>
      </c>
      <c r="K158" s="4">
        <f t="shared" si="18"/>
        <v>1</v>
      </c>
      <c r="L158" s="4">
        <f t="shared" si="19"/>
        <v>4</v>
      </c>
      <c r="M158" s="4" t="s">
        <v>519</v>
      </c>
      <c r="N158" s="4">
        <f t="shared" si="20"/>
        <v>1</v>
      </c>
    </row>
    <row r="159" spans="1:14">
      <c r="A159" s="4">
        <v>10</v>
      </c>
      <c r="B159" s="4" t="s">
        <v>528</v>
      </c>
      <c r="C159" s="4" t="s">
        <v>72</v>
      </c>
      <c r="D159" s="4" t="s">
        <v>71</v>
      </c>
      <c r="E159" s="4" t="str">
        <f t="shared" si="14"/>
        <v>10|U|C</v>
      </c>
      <c r="F159" s="12">
        <v>0</v>
      </c>
      <c r="G159" s="4">
        <f t="shared" si="15"/>
        <v>0</v>
      </c>
      <c r="H159" s="12">
        <v>1</v>
      </c>
      <c r="I159" s="14" t="str">
        <f t="shared" si="16"/>
        <v/>
      </c>
      <c r="J159" s="14">
        <f t="shared" si="17"/>
        <v>0.25</v>
      </c>
      <c r="K159" s="4">
        <f t="shared" si="18"/>
        <v>1</v>
      </c>
      <c r="L159" s="4">
        <f t="shared" si="19"/>
        <v>4</v>
      </c>
      <c r="M159" s="4" t="s">
        <v>519</v>
      </c>
      <c r="N159" s="4">
        <f t="shared" si="20"/>
        <v>1</v>
      </c>
    </row>
    <row r="160" spans="1:14">
      <c r="A160" s="4">
        <v>10</v>
      </c>
      <c r="B160" s="4" t="s">
        <v>528</v>
      </c>
      <c r="C160" s="4" t="s">
        <v>72</v>
      </c>
      <c r="D160" s="4" t="s">
        <v>70</v>
      </c>
      <c r="E160" s="4" t="str">
        <f t="shared" si="14"/>
        <v>10|U|G</v>
      </c>
      <c r="F160" s="12">
        <v>0</v>
      </c>
      <c r="G160" s="4">
        <f t="shared" si="15"/>
        <v>0</v>
      </c>
      <c r="H160" s="12">
        <v>1</v>
      </c>
      <c r="I160" s="14" t="str">
        <f t="shared" si="16"/>
        <v/>
      </c>
      <c r="J160" s="14">
        <f t="shared" si="17"/>
        <v>0.25</v>
      </c>
      <c r="K160" s="4">
        <f t="shared" si="18"/>
        <v>1</v>
      </c>
      <c r="L160" s="4">
        <f t="shared" si="19"/>
        <v>4</v>
      </c>
      <c r="M160" s="4" t="s">
        <v>519</v>
      </c>
      <c r="N160" s="4">
        <f t="shared" si="20"/>
        <v>1</v>
      </c>
    </row>
    <row r="161" spans="1:14">
      <c r="A161" s="4">
        <v>10</v>
      </c>
      <c r="B161" s="4" t="s">
        <v>528</v>
      </c>
      <c r="C161" s="4" t="s">
        <v>72</v>
      </c>
      <c r="D161" s="4" t="s">
        <v>72</v>
      </c>
      <c r="E161" s="4" t="str">
        <f t="shared" si="14"/>
        <v>10|U|U</v>
      </c>
      <c r="F161" s="12">
        <v>0</v>
      </c>
      <c r="G161" s="4">
        <f t="shared" si="15"/>
        <v>0</v>
      </c>
      <c r="H161" s="12">
        <v>1</v>
      </c>
      <c r="I161" s="14" t="str">
        <f t="shared" si="16"/>
        <v/>
      </c>
      <c r="J161" s="14">
        <f t="shared" si="17"/>
        <v>0.25</v>
      </c>
      <c r="K161" s="4">
        <f t="shared" si="18"/>
        <v>1</v>
      </c>
      <c r="L161" s="4">
        <f t="shared" si="19"/>
        <v>4</v>
      </c>
      <c r="M161" s="4" t="s">
        <v>519</v>
      </c>
      <c r="N161" s="4">
        <f t="shared" si="20"/>
        <v>1</v>
      </c>
    </row>
    <row r="162" spans="1:14">
      <c r="A162" s="4">
        <v>11</v>
      </c>
      <c r="B162" s="4" t="s">
        <v>529</v>
      </c>
      <c r="C162" s="4" t="s">
        <v>73</v>
      </c>
      <c r="D162" s="4" t="s">
        <v>73</v>
      </c>
      <c r="E162" s="4" t="str">
        <f t="shared" si="14"/>
        <v>11|A|A</v>
      </c>
      <c r="F162" s="12">
        <v>0</v>
      </c>
      <c r="G162" s="4">
        <f t="shared" si="15"/>
        <v>7</v>
      </c>
      <c r="H162" s="12">
        <v>1</v>
      </c>
      <c r="I162" s="14">
        <f t="shared" si="16"/>
        <v>0</v>
      </c>
      <c r="J162" s="14">
        <f t="shared" si="17"/>
        <v>9.0909090909090912E-2</v>
      </c>
      <c r="K162" s="4">
        <f t="shared" si="18"/>
        <v>1</v>
      </c>
      <c r="L162" s="4">
        <f t="shared" si="19"/>
        <v>11</v>
      </c>
      <c r="M162" s="4" t="s">
        <v>519</v>
      </c>
      <c r="N162" s="4">
        <f t="shared" si="20"/>
        <v>1</v>
      </c>
    </row>
    <row r="163" spans="1:14">
      <c r="A163" s="4">
        <v>11</v>
      </c>
      <c r="B163" s="4" t="s">
        <v>529</v>
      </c>
      <c r="C163" s="4" t="s">
        <v>73</v>
      </c>
      <c r="D163" s="4" t="s">
        <v>71</v>
      </c>
      <c r="E163" s="4" t="str">
        <f t="shared" si="14"/>
        <v>11|A|C</v>
      </c>
      <c r="F163" s="12">
        <v>0</v>
      </c>
      <c r="G163" s="4">
        <f t="shared" si="15"/>
        <v>7</v>
      </c>
      <c r="H163" s="12">
        <v>1</v>
      </c>
      <c r="I163" s="14">
        <f t="shared" si="16"/>
        <v>0</v>
      </c>
      <c r="J163" s="14">
        <f t="shared" si="17"/>
        <v>9.0909090909090912E-2</v>
      </c>
      <c r="K163" s="4">
        <f t="shared" si="18"/>
        <v>1</v>
      </c>
      <c r="L163" s="4">
        <f t="shared" si="19"/>
        <v>11</v>
      </c>
      <c r="M163" s="4" t="s">
        <v>519</v>
      </c>
      <c r="N163" s="4">
        <f t="shared" si="20"/>
        <v>1</v>
      </c>
    </row>
    <row r="164" spans="1:14">
      <c r="A164" s="4">
        <v>11</v>
      </c>
      <c r="B164" s="4" t="s">
        <v>529</v>
      </c>
      <c r="C164" s="4" t="s">
        <v>73</v>
      </c>
      <c r="D164" s="4" t="s">
        <v>70</v>
      </c>
      <c r="E164" s="4" t="str">
        <f t="shared" si="14"/>
        <v>11|A|G</v>
      </c>
      <c r="F164" s="12">
        <v>4</v>
      </c>
      <c r="G164" s="4">
        <f t="shared" si="15"/>
        <v>7</v>
      </c>
      <c r="H164" s="12">
        <v>1</v>
      </c>
      <c r="I164" s="14">
        <f t="shared" si="16"/>
        <v>0.5714285714285714</v>
      </c>
      <c r="J164" s="14">
        <f t="shared" si="17"/>
        <v>0.45454545454545453</v>
      </c>
      <c r="K164" s="4">
        <f t="shared" si="18"/>
        <v>5</v>
      </c>
      <c r="L164" s="4">
        <f t="shared" si="19"/>
        <v>11</v>
      </c>
      <c r="M164" s="4" t="s">
        <v>519</v>
      </c>
      <c r="N164" s="4">
        <f t="shared" si="20"/>
        <v>1</v>
      </c>
    </row>
    <row r="165" spans="1:14">
      <c r="A165" s="4">
        <v>11</v>
      </c>
      <c r="B165" s="4" t="s">
        <v>529</v>
      </c>
      <c r="C165" s="4" t="s">
        <v>73</v>
      </c>
      <c r="D165" s="4" t="s">
        <v>72</v>
      </c>
      <c r="E165" s="4" t="str">
        <f t="shared" si="14"/>
        <v>11|A|U</v>
      </c>
      <c r="F165" s="12">
        <v>3</v>
      </c>
      <c r="G165" s="4">
        <f t="shared" si="15"/>
        <v>7</v>
      </c>
      <c r="H165" s="12">
        <v>1</v>
      </c>
      <c r="I165" s="14">
        <f t="shared" si="16"/>
        <v>0.42857142857142855</v>
      </c>
      <c r="J165" s="14">
        <f t="shared" si="17"/>
        <v>0.36363636363636365</v>
      </c>
      <c r="K165" s="4">
        <f t="shared" si="18"/>
        <v>4</v>
      </c>
      <c r="L165" s="4">
        <f t="shared" si="19"/>
        <v>11</v>
      </c>
      <c r="M165" s="4" t="s">
        <v>519</v>
      </c>
      <c r="N165" s="4">
        <f t="shared" si="20"/>
        <v>1</v>
      </c>
    </row>
    <row r="166" spans="1:14">
      <c r="A166" s="4">
        <v>11</v>
      </c>
      <c r="B166" s="4" t="s">
        <v>529</v>
      </c>
      <c r="C166" s="4" t="s">
        <v>71</v>
      </c>
      <c r="D166" s="4" t="s">
        <v>73</v>
      </c>
      <c r="E166" s="4" t="str">
        <f t="shared" si="14"/>
        <v>11|C|A</v>
      </c>
      <c r="F166" s="12">
        <v>6</v>
      </c>
      <c r="G166" s="4">
        <f t="shared" si="15"/>
        <v>147</v>
      </c>
      <c r="H166" s="12">
        <v>1</v>
      </c>
      <c r="I166" s="14">
        <f t="shared" si="16"/>
        <v>4.0816326530612242E-2</v>
      </c>
      <c r="J166" s="14">
        <f t="shared" si="17"/>
        <v>4.6357615894039736E-2</v>
      </c>
      <c r="K166" s="4">
        <f t="shared" si="18"/>
        <v>7</v>
      </c>
      <c r="L166" s="4">
        <f t="shared" si="19"/>
        <v>151</v>
      </c>
      <c r="M166" s="4" t="s">
        <v>519</v>
      </c>
      <c r="N166" s="4">
        <f t="shared" si="20"/>
        <v>1</v>
      </c>
    </row>
    <row r="167" spans="1:14">
      <c r="A167" s="4">
        <v>11</v>
      </c>
      <c r="B167" s="4" t="s">
        <v>529</v>
      </c>
      <c r="C167" s="4" t="s">
        <v>71</v>
      </c>
      <c r="D167" s="4" t="s">
        <v>71</v>
      </c>
      <c r="E167" s="4" t="str">
        <f t="shared" si="14"/>
        <v>11|C|C</v>
      </c>
      <c r="F167" s="12">
        <v>17</v>
      </c>
      <c r="G167" s="4">
        <f t="shared" si="15"/>
        <v>147</v>
      </c>
      <c r="H167" s="12">
        <v>1</v>
      </c>
      <c r="I167" s="14">
        <f t="shared" si="16"/>
        <v>0.11564625850340136</v>
      </c>
      <c r="J167" s="14">
        <f t="shared" si="17"/>
        <v>0.11920529801324503</v>
      </c>
      <c r="K167" s="4">
        <f t="shared" si="18"/>
        <v>18</v>
      </c>
      <c r="L167" s="4">
        <f t="shared" si="19"/>
        <v>151</v>
      </c>
      <c r="M167" s="4" t="s">
        <v>519</v>
      </c>
      <c r="N167" s="4">
        <f t="shared" si="20"/>
        <v>1</v>
      </c>
    </row>
    <row r="168" spans="1:14">
      <c r="A168" s="4">
        <v>11</v>
      </c>
      <c r="B168" s="4" t="s">
        <v>529</v>
      </c>
      <c r="C168" s="4" t="s">
        <v>71</v>
      </c>
      <c r="D168" s="4" t="s">
        <v>70</v>
      </c>
      <c r="E168" s="4" t="str">
        <f t="shared" si="14"/>
        <v>11|C|G</v>
      </c>
      <c r="F168" s="12">
        <v>19</v>
      </c>
      <c r="G168" s="4">
        <f t="shared" si="15"/>
        <v>147</v>
      </c>
      <c r="H168" s="12">
        <v>1</v>
      </c>
      <c r="I168" s="14">
        <f t="shared" si="16"/>
        <v>0.12925170068027211</v>
      </c>
      <c r="J168" s="14">
        <f t="shared" si="17"/>
        <v>0.13245033112582782</v>
      </c>
      <c r="K168" s="4">
        <f t="shared" si="18"/>
        <v>20</v>
      </c>
      <c r="L168" s="4">
        <f t="shared" si="19"/>
        <v>151</v>
      </c>
      <c r="M168" s="4" t="s">
        <v>519</v>
      </c>
      <c r="N168" s="4">
        <f t="shared" si="20"/>
        <v>1</v>
      </c>
    </row>
    <row r="169" spans="1:14">
      <c r="A169" s="4">
        <v>11</v>
      </c>
      <c r="B169" s="4" t="s">
        <v>529</v>
      </c>
      <c r="C169" s="4" t="s">
        <v>71</v>
      </c>
      <c r="D169" s="4" t="s">
        <v>72</v>
      </c>
      <c r="E169" s="4" t="str">
        <f t="shared" si="14"/>
        <v>11|C|U</v>
      </c>
      <c r="F169" s="12">
        <v>105</v>
      </c>
      <c r="G169" s="4">
        <f t="shared" si="15"/>
        <v>147</v>
      </c>
      <c r="H169" s="12">
        <v>1</v>
      </c>
      <c r="I169" s="14">
        <f t="shared" si="16"/>
        <v>0.7142857142857143</v>
      </c>
      <c r="J169" s="14">
        <f t="shared" si="17"/>
        <v>0.70198675496688745</v>
      </c>
      <c r="K169" s="4">
        <f t="shared" si="18"/>
        <v>106</v>
      </c>
      <c r="L169" s="4">
        <f t="shared" si="19"/>
        <v>151</v>
      </c>
      <c r="M169" s="4" t="s">
        <v>519</v>
      </c>
      <c r="N169" s="4">
        <f t="shared" si="20"/>
        <v>1</v>
      </c>
    </row>
    <row r="170" spans="1:14">
      <c r="A170" s="4">
        <v>11</v>
      </c>
      <c r="B170" s="4" t="s">
        <v>529</v>
      </c>
      <c r="C170" s="4" t="s">
        <v>70</v>
      </c>
      <c r="D170" s="4" t="s">
        <v>73</v>
      </c>
      <c r="E170" s="4" t="str">
        <f t="shared" si="14"/>
        <v>11|G|A</v>
      </c>
      <c r="F170" s="12">
        <v>2</v>
      </c>
      <c r="G170" s="4">
        <f t="shared" si="15"/>
        <v>6</v>
      </c>
      <c r="H170" s="12">
        <v>1</v>
      </c>
      <c r="I170" s="14">
        <f t="shared" si="16"/>
        <v>0.33333333333333331</v>
      </c>
      <c r="J170" s="14">
        <f t="shared" si="17"/>
        <v>0.3</v>
      </c>
      <c r="K170" s="4">
        <f t="shared" si="18"/>
        <v>3</v>
      </c>
      <c r="L170" s="4">
        <f t="shared" si="19"/>
        <v>10</v>
      </c>
      <c r="M170" s="4" t="s">
        <v>519</v>
      </c>
      <c r="N170" s="4">
        <f t="shared" si="20"/>
        <v>1</v>
      </c>
    </row>
    <row r="171" spans="1:14">
      <c r="A171" s="4">
        <v>11</v>
      </c>
      <c r="B171" s="4" t="s">
        <v>529</v>
      </c>
      <c r="C171" s="4" t="s">
        <v>70</v>
      </c>
      <c r="D171" s="4" t="s">
        <v>71</v>
      </c>
      <c r="E171" s="4" t="str">
        <f t="shared" si="14"/>
        <v>11|G|C</v>
      </c>
      <c r="F171" s="12">
        <v>0</v>
      </c>
      <c r="G171" s="4">
        <f t="shared" si="15"/>
        <v>6</v>
      </c>
      <c r="H171" s="12">
        <v>1</v>
      </c>
      <c r="I171" s="14">
        <f t="shared" si="16"/>
        <v>0</v>
      </c>
      <c r="J171" s="14">
        <f t="shared" si="17"/>
        <v>0.1</v>
      </c>
      <c r="K171" s="4">
        <f t="shared" si="18"/>
        <v>1</v>
      </c>
      <c r="L171" s="4">
        <f t="shared" si="19"/>
        <v>10</v>
      </c>
      <c r="M171" s="4" t="s">
        <v>519</v>
      </c>
      <c r="N171" s="4">
        <f t="shared" si="20"/>
        <v>1</v>
      </c>
    </row>
    <row r="172" spans="1:14">
      <c r="A172" s="4">
        <v>11</v>
      </c>
      <c r="B172" s="4" t="s">
        <v>529</v>
      </c>
      <c r="C172" s="4" t="s">
        <v>70</v>
      </c>
      <c r="D172" s="4" t="s">
        <v>70</v>
      </c>
      <c r="E172" s="4" t="str">
        <f t="shared" si="14"/>
        <v>11|G|G</v>
      </c>
      <c r="F172" s="12">
        <v>3</v>
      </c>
      <c r="G172" s="4">
        <f t="shared" si="15"/>
        <v>6</v>
      </c>
      <c r="H172" s="12">
        <v>1</v>
      </c>
      <c r="I172" s="14">
        <f t="shared" si="16"/>
        <v>0.5</v>
      </c>
      <c r="J172" s="14">
        <f t="shared" si="17"/>
        <v>0.4</v>
      </c>
      <c r="K172" s="4">
        <f t="shared" si="18"/>
        <v>4</v>
      </c>
      <c r="L172" s="4">
        <f t="shared" si="19"/>
        <v>10</v>
      </c>
      <c r="M172" s="4" t="s">
        <v>519</v>
      </c>
      <c r="N172" s="4">
        <f t="shared" si="20"/>
        <v>1</v>
      </c>
    </row>
    <row r="173" spans="1:14">
      <c r="A173" s="4">
        <v>11</v>
      </c>
      <c r="B173" s="4" t="s">
        <v>529</v>
      </c>
      <c r="C173" s="4" t="s">
        <v>70</v>
      </c>
      <c r="D173" s="4" t="s">
        <v>72</v>
      </c>
      <c r="E173" s="4" t="str">
        <f t="shared" si="14"/>
        <v>11|G|U</v>
      </c>
      <c r="F173" s="12">
        <v>1</v>
      </c>
      <c r="G173" s="4">
        <f t="shared" si="15"/>
        <v>6</v>
      </c>
      <c r="H173" s="12">
        <v>1</v>
      </c>
      <c r="I173" s="14">
        <f t="shared" si="16"/>
        <v>0.16666666666666666</v>
      </c>
      <c r="J173" s="14">
        <f t="shared" si="17"/>
        <v>0.2</v>
      </c>
      <c r="K173" s="4">
        <f t="shared" si="18"/>
        <v>2</v>
      </c>
      <c r="L173" s="4">
        <f t="shared" si="19"/>
        <v>10</v>
      </c>
      <c r="M173" s="4" t="s">
        <v>519</v>
      </c>
      <c r="N173" s="4">
        <f t="shared" si="20"/>
        <v>1</v>
      </c>
    </row>
    <row r="174" spans="1:14">
      <c r="A174" s="4">
        <v>11</v>
      </c>
      <c r="B174" s="4" t="s">
        <v>529</v>
      </c>
      <c r="C174" s="4" t="s">
        <v>72</v>
      </c>
      <c r="D174" s="4" t="s">
        <v>73</v>
      </c>
      <c r="E174" s="4" t="str">
        <f t="shared" si="14"/>
        <v>11|U|A</v>
      </c>
      <c r="F174" s="12">
        <v>5</v>
      </c>
      <c r="G174" s="4">
        <f t="shared" si="15"/>
        <v>40</v>
      </c>
      <c r="H174" s="12">
        <v>1</v>
      </c>
      <c r="I174" s="14">
        <f t="shared" si="16"/>
        <v>0.125</v>
      </c>
      <c r="J174" s="14">
        <f t="shared" si="17"/>
        <v>0.13636363636363635</v>
      </c>
      <c r="K174" s="4">
        <f t="shared" si="18"/>
        <v>6</v>
      </c>
      <c r="L174" s="4">
        <f t="shared" si="19"/>
        <v>44</v>
      </c>
      <c r="M174" s="4" t="s">
        <v>519</v>
      </c>
      <c r="N174" s="4">
        <f t="shared" si="20"/>
        <v>1</v>
      </c>
    </row>
    <row r="175" spans="1:14">
      <c r="A175" s="4">
        <v>11</v>
      </c>
      <c r="B175" s="4" t="s">
        <v>529</v>
      </c>
      <c r="C175" s="4" t="s">
        <v>72</v>
      </c>
      <c r="D175" s="4" t="s">
        <v>71</v>
      </c>
      <c r="E175" s="4" t="str">
        <f t="shared" si="14"/>
        <v>11|U|C</v>
      </c>
      <c r="F175" s="12">
        <v>12</v>
      </c>
      <c r="G175" s="4">
        <f t="shared" si="15"/>
        <v>40</v>
      </c>
      <c r="H175" s="12">
        <v>1</v>
      </c>
      <c r="I175" s="14">
        <f t="shared" si="16"/>
        <v>0.3</v>
      </c>
      <c r="J175" s="14">
        <f t="shared" si="17"/>
        <v>0.29545454545454547</v>
      </c>
      <c r="K175" s="4">
        <f t="shared" si="18"/>
        <v>13</v>
      </c>
      <c r="L175" s="4">
        <f t="shared" si="19"/>
        <v>44</v>
      </c>
      <c r="M175" s="4" t="s">
        <v>519</v>
      </c>
      <c r="N175" s="4">
        <f t="shared" si="20"/>
        <v>1</v>
      </c>
    </row>
    <row r="176" spans="1:14">
      <c r="A176" s="4">
        <v>11</v>
      </c>
      <c r="B176" s="4" t="s">
        <v>529</v>
      </c>
      <c r="C176" s="4" t="s">
        <v>72</v>
      </c>
      <c r="D176" s="4" t="s">
        <v>70</v>
      </c>
      <c r="E176" s="4" t="str">
        <f t="shared" si="14"/>
        <v>11|U|G</v>
      </c>
      <c r="F176" s="12">
        <v>12</v>
      </c>
      <c r="G176" s="4">
        <f t="shared" si="15"/>
        <v>40</v>
      </c>
      <c r="H176" s="12">
        <v>1</v>
      </c>
      <c r="I176" s="14">
        <f t="shared" si="16"/>
        <v>0.3</v>
      </c>
      <c r="J176" s="14">
        <f t="shared" si="17"/>
        <v>0.29545454545454547</v>
      </c>
      <c r="K176" s="4">
        <f t="shared" si="18"/>
        <v>13</v>
      </c>
      <c r="L176" s="4">
        <f t="shared" si="19"/>
        <v>44</v>
      </c>
      <c r="M176" s="4" t="s">
        <v>519</v>
      </c>
      <c r="N176" s="4">
        <f t="shared" si="20"/>
        <v>1</v>
      </c>
    </row>
    <row r="177" spans="1:14">
      <c r="A177" s="4">
        <v>11</v>
      </c>
      <c r="B177" s="4" t="s">
        <v>529</v>
      </c>
      <c r="C177" s="4" t="s">
        <v>72</v>
      </c>
      <c r="D177" s="4" t="s">
        <v>72</v>
      </c>
      <c r="E177" s="4" t="str">
        <f t="shared" si="14"/>
        <v>11|U|U</v>
      </c>
      <c r="F177" s="12">
        <v>11</v>
      </c>
      <c r="G177" s="4">
        <f t="shared" si="15"/>
        <v>40</v>
      </c>
      <c r="H177" s="12">
        <v>1</v>
      </c>
      <c r="I177" s="14">
        <f t="shared" si="16"/>
        <v>0.27500000000000002</v>
      </c>
      <c r="J177" s="14">
        <f t="shared" si="17"/>
        <v>0.27272727272727271</v>
      </c>
      <c r="K177" s="4">
        <f t="shared" si="18"/>
        <v>12</v>
      </c>
      <c r="L177" s="4">
        <f t="shared" si="19"/>
        <v>44</v>
      </c>
      <c r="M177" s="4" t="s">
        <v>519</v>
      </c>
      <c r="N177" s="4">
        <f t="shared" si="20"/>
        <v>1</v>
      </c>
    </row>
    <row r="178" spans="1:14">
      <c r="A178" s="4">
        <v>12</v>
      </c>
      <c r="B178" s="4" t="s">
        <v>530</v>
      </c>
      <c r="C178" s="4" t="s">
        <v>73</v>
      </c>
      <c r="D178" s="4" t="s">
        <v>73</v>
      </c>
      <c r="E178" s="4" t="str">
        <f t="shared" si="14"/>
        <v>12|A|A</v>
      </c>
      <c r="F178" s="12">
        <v>0</v>
      </c>
      <c r="G178" s="4">
        <f t="shared" si="15"/>
        <v>13</v>
      </c>
      <c r="H178" s="12">
        <v>1</v>
      </c>
      <c r="I178" s="14">
        <f t="shared" si="16"/>
        <v>0</v>
      </c>
      <c r="J178" s="14">
        <f t="shared" si="17"/>
        <v>5.8823529411764705E-2</v>
      </c>
      <c r="K178" s="4">
        <f t="shared" si="18"/>
        <v>1</v>
      </c>
      <c r="L178" s="4">
        <f t="shared" si="19"/>
        <v>17</v>
      </c>
      <c r="M178" s="4" t="s">
        <v>519</v>
      </c>
      <c r="N178" s="4">
        <f t="shared" si="20"/>
        <v>1</v>
      </c>
    </row>
    <row r="179" spans="1:14">
      <c r="A179" s="4">
        <v>12</v>
      </c>
      <c r="B179" s="4" t="s">
        <v>530</v>
      </c>
      <c r="C179" s="4" t="s">
        <v>73</v>
      </c>
      <c r="D179" s="4" t="s">
        <v>71</v>
      </c>
      <c r="E179" s="4" t="str">
        <f t="shared" si="14"/>
        <v>12|A|C</v>
      </c>
      <c r="F179" s="12">
        <v>0</v>
      </c>
      <c r="G179" s="4">
        <f t="shared" si="15"/>
        <v>13</v>
      </c>
      <c r="H179" s="12">
        <v>1</v>
      </c>
      <c r="I179" s="14">
        <f t="shared" si="16"/>
        <v>0</v>
      </c>
      <c r="J179" s="14">
        <f t="shared" si="17"/>
        <v>5.8823529411764705E-2</v>
      </c>
      <c r="K179" s="4">
        <f t="shared" si="18"/>
        <v>1</v>
      </c>
      <c r="L179" s="4">
        <f t="shared" si="19"/>
        <v>17</v>
      </c>
      <c r="M179" s="4" t="s">
        <v>519</v>
      </c>
      <c r="N179" s="4">
        <f t="shared" si="20"/>
        <v>1</v>
      </c>
    </row>
    <row r="180" spans="1:14">
      <c r="A180" s="4">
        <v>12</v>
      </c>
      <c r="B180" s="4" t="s">
        <v>530</v>
      </c>
      <c r="C180" s="4" t="s">
        <v>73</v>
      </c>
      <c r="D180" s="4" t="s">
        <v>70</v>
      </c>
      <c r="E180" s="4" t="str">
        <f t="shared" si="14"/>
        <v>12|A|G</v>
      </c>
      <c r="F180" s="12">
        <v>6</v>
      </c>
      <c r="G180" s="4">
        <f t="shared" si="15"/>
        <v>13</v>
      </c>
      <c r="H180" s="12">
        <v>1</v>
      </c>
      <c r="I180" s="14">
        <f t="shared" si="16"/>
        <v>0.46153846153846156</v>
      </c>
      <c r="J180" s="14">
        <f t="shared" si="17"/>
        <v>0.41176470588235292</v>
      </c>
      <c r="K180" s="4">
        <f t="shared" si="18"/>
        <v>7</v>
      </c>
      <c r="L180" s="4">
        <f t="shared" si="19"/>
        <v>17</v>
      </c>
      <c r="M180" s="4" t="s">
        <v>519</v>
      </c>
      <c r="N180" s="4">
        <f t="shared" si="20"/>
        <v>1</v>
      </c>
    </row>
    <row r="181" spans="1:14">
      <c r="A181" s="4">
        <v>12</v>
      </c>
      <c r="B181" s="4" t="s">
        <v>530</v>
      </c>
      <c r="C181" s="4" t="s">
        <v>73</v>
      </c>
      <c r="D181" s="4" t="s">
        <v>72</v>
      </c>
      <c r="E181" s="4" t="str">
        <f t="shared" si="14"/>
        <v>12|A|U</v>
      </c>
      <c r="F181" s="12">
        <v>7</v>
      </c>
      <c r="G181" s="4">
        <f t="shared" si="15"/>
        <v>13</v>
      </c>
      <c r="H181" s="12">
        <v>1</v>
      </c>
      <c r="I181" s="14">
        <f t="shared" si="16"/>
        <v>0.53846153846153844</v>
      </c>
      <c r="J181" s="14">
        <f t="shared" si="17"/>
        <v>0.47058823529411764</v>
      </c>
      <c r="K181" s="4">
        <f t="shared" si="18"/>
        <v>8</v>
      </c>
      <c r="L181" s="4">
        <f t="shared" si="19"/>
        <v>17</v>
      </c>
      <c r="M181" s="4" t="s">
        <v>519</v>
      </c>
      <c r="N181" s="4">
        <f t="shared" si="20"/>
        <v>1</v>
      </c>
    </row>
    <row r="182" spans="1:14">
      <c r="A182" s="4">
        <v>12</v>
      </c>
      <c r="B182" s="4" t="s">
        <v>530</v>
      </c>
      <c r="C182" s="4" t="s">
        <v>71</v>
      </c>
      <c r="D182" s="4" t="s">
        <v>73</v>
      </c>
      <c r="E182" s="4" t="str">
        <f t="shared" si="14"/>
        <v>12|C|A</v>
      </c>
      <c r="F182" s="12">
        <v>7</v>
      </c>
      <c r="G182" s="4">
        <f t="shared" si="15"/>
        <v>29</v>
      </c>
      <c r="H182" s="12">
        <v>1</v>
      </c>
      <c r="I182" s="14">
        <f t="shared" si="16"/>
        <v>0.2413793103448276</v>
      </c>
      <c r="J182" s="14">
        <f t="shared" si="17"/>
        <v>0.24242424242424243</v>
      </c>
      <c r="K182" s="4">
        <f t="shared" si="18"/>
        <v>8</v>
      </c>
      <c r="L182" s="4">
        <f t="shared" si="19"/>
        <v>33</v>
      </c>
      <c r="M182" s="4" t="s">
        <v>519</v>
      </c>
      <c r="N182" s="4">
        <f t="shared" si="20"/>
        <v>1</v>
      </c>
    </row>
    <row r="183" spans="1:14">
      <c r="A183" s="4">
        <v>12</v>
      </c>
      <c r="B183" s="4" t="s">
        <v>530</v>
      </c>
      <c r="C183" s="4" t="s">
        <v>71</v>
      </c>
      <c r="D183" s="4" t="s">
        <v>71</v>
      </c>
      <c r="E183" s="4" t="str">
        <f t="shared" si="14"/>
        <v>12|C|C</v>
      </c>
      <c r="F183" s="12">
        <v>4</v>
      </c>
      <c r="G183" s="4">
        <f t="shared" si="15"/>
        <v>29</v>
      </c>
      <c r="H183" s="12">
        <v>1</v>
      </c>
      <c r="I183" s="14">
        <f t="shared" si="16"/>
        <v>0.13793103448275862</v>
      </c>
      <c r="J183" s="14">
        <f t="shared" si="17"/>
        <v>0.15151515151515152</v>
      </c>
      <c r="K183" s="4">
        <f t="shared" si="18"/>
        <v>5</v>
      </c>
      <c r="L183" s="4">
        <f t="shared" si="19"/>
        <v>33</v>
      </c>
      <c r="M183" s="4" t="s">
        <v>519</v>
      </c>
      <c r="N183" s="4">
        <f t="shared" si="20"/>
        <v>1</v>
      </c>
    </row>
    <row r="184" spans="1:14">
      <c r="A184" s="4">
        <v>12</v>
      </c>
      <c r="B184" s="4" t="s">
        <v>530</v>
      </c>
      <c r="C184" s="4" t="s">
        <v>71</v>
      </c>
      <c r="D184" s="4" t="s">
        <v>70</v>
      </c>
      <c r="E184" s="4" t="str">
        <f t="shared" si="14"/>
        <v>12|C|G</v>
      </c>
      <c r="F184" s="12">
        <v>7</v>
      </c>
      <c r="G184" s="4">
        <f t="shared" si="15"/>
        <v>29</v>
      </c>
      <c r="H184" s="12">
        <v>1</v>
      </c>
      <c r="I184" s="14">
        <f t="shared" si="16"/>
        <v>0.2413793103448276</v>
      </c>
      <c r="J184" s="14">
        <f t="shared" si="17"/>
        <v>0.24242424242424243</v>
      </c>
      <c r="K184" s="4">
        <f t="shared" si="18"/>
        <v>8</v>
      </c>
      <c r="L184" s="4">
        <f t="shared" si="19"/>
        <v>33</v>
      </c>
      <c r="M184" s="4" t="s">
        <v>519</v>
      </c>
      <c r="N184" s="4">
        <f t="shared" si="20"/>
        <v>1</v>
      </c>
    </row>
    <row r="185" spans="1:14">
      <c r="A185" s="4">
        <v>12</v>
      </c>
      <c r="B185" s="4" t="s">
        <v>530</v>
      </c>
      <c r="C185" s="4" t="s">
        <v>71</v>
      </c>
      <c r="D185" s="4" t="s">
        <v>72</v>
      </c>
      <c r="E185" s="4" t="str">
        <f t="shared" si="14"/>
        <v>12|C|U</v>
      </c>
      <c r="F185" s="12">
        <v>11</v>
      </c>
      <c r="G185" s="4">
        <f t="shared" si="15"/>
        <v>29</v>
      </c>
      <c r="H185" s="12">
        <v>1</v>
      </c>
      <c r="I185" s="14">
        <f t="shared" si="16"/>
        <v>0.37931034482758619</v>
      </c>
      <c r="J185" s="14">
        <f t="shared" si="17"/>
        <v>0.36363636363636365</v>
      </c>
      <c r="K185" s="4">
        <f t="shared" si="18"/>
        <v>12</v>
      </c>
      <c r="L185" s="4">
        <f t="shared" si="19"/>
        <v>33</v>
      </c>
      <c r="M185" s="4" t="s">
        <v>519</v>
      </c>
      <c r="N185" s="4">
        <f t="shared" si="20"/>
        <v>1</v>
      </c>
    </row>
    <row r="186" spans="1:14">
      <c r="A186" s="4">
        <v>12</v>
      </c>
      <c r="B186" s="4" t="s">
        <v>530</v>
      </c>
      <c r="C186" s="4" t="s">
        <v>70</v>
      </c>
      <c r="D186" s="4" t="s">
        <v>73</v>
      </c>
      <c r="E186" s="4" t="str">
        <f t="shared" si="14"/>
        <v>12|G|A</v>
      </c>
      <c r="F186" s="12">
        <v>5</v>
      </c>
      <c r="G186" s="4">
        <f t="shared" si="15"/>
        <v>38</v>
      </c>
      <c r="H186" s="12">
        <v>1</v>
      </c>
      <c r="I186" s="14">
        <f t="shared" si="16"/>
        <v>0.13157894736842105</v>
      </c>
      <c r="J186" s="14">
        <f t="shared" si="17"/>
        <v>0.14285714285714285</v>
      </c>
      <c r="K186" s="4">
        <f t="shared" si="18"/>
        <v>6</v>
      </c>
      <c r="L186" s="4">
        <f t="shared" si="19"/>
        <v>42</v>
      </c>
      <c r="M186" s="4" t="s">
        <v>519</v>
      </c>
      <c r="N186" s="4">
        <f t="shared" si="20"/>
        <v>1</v>
      </c>
    </row>
    <row r="187" spans="1:14">
      <c r="A187" s="4">
        <v>12</v>
      </c>
      <c r="B187" s="4" t="s">
        <v>530</v>
      </c>
      <c r="C187" s="4" t="s">
        <v>70</v>
      </c>
      <c r="D187" s="4" t="s">
        <v>71</v>
      </c>
      <c r="E187" s="4" t="str">
        <f t="shared" si="14"/>
        <v>12|G|C</v>
      </c>
      <c r="F187" s="12">
        <v>19</v>
      </c>
      <c r="G187" s="4">
        <f t="shared" si="15"/>
        <v>38</v>
      </c>
      <c r="H187" s="12">
        <v>1</v>
      </c>
      <c r="I187" s="14">
        <f t="shared" si="16"/>
        <v>0.5</v>
      </c>
      <c r="J187" s="14">
        <f t="shared" si="17"/>
        <v>0.47619047619047616</v>
      </c>
      <c r="K187" s="4">
        <f t="shared" si="18"/>
        <v>20</v>
      </c>
      <c r="L187" s="4">
        <f t="shared" si="19"/>
        <v>42</v>
      </c>
      <c r="M187" s="4" t="s">
        <v>519</v>
      </c>
      <c r="N187" s="4">
        <f t="shared" si="20"/>
        <v>1</v>
      </c>
    </row>
    <row r="188" spans="1:14">
      <c r="A188" s="4">
        <v>12</v>
      </c>
      <c r="B188" s="4" t="s">
        <v>530</v>
      </c>
      <c r="C188" s="4" t="s">
        <v>70</v>
      </c>
      <c r="D188" s="4" t="s">
        <v>70</v>
      </c>
      <c r="E188" s="4" t="str">
        <f t="shared" si="14"/>
        <v>12|G|G</v>
      </c>
      <c r="F188" s="12">
        <v>5</v>
      </c>
      <c r="G188" s="4">
        <f t="shared" si="15"/>
        <v>38</v>
      </c>
      <c r="H188" s="12">
        <v>1</v>
      </c>
      <c r="I188" s="14">
        <f t="shared" si="16"/>
        <v>0.13157894736842105</v>
      </c>
      <c r="J188" s="14">
        <f t="shared" si="17"/>
        <v>0.14285714285714285</v>
      </c>
      <c r="K188" s="4">
        <f t="shared" si="18"/>
        <v>6</v>
      </c>
      <c r="L188" s="4">
        <f t="shared" si="19"/>
        <v>42</v>
      </c>
      <c r="M188" s="4" t="s">
        <v>519</v>
      </c>
      <c r="N188" s="4">
        <f t="shared" si="20"/>
        <v>1</v>
      </c>
    </row>
    <row r="189" spans="1:14">
      <c r="A189" s="4">
        <v>12</v>
      </c>
      <c r="B189" s="4" t="s">
        <v>530</v>
      </c>
      <c r="C189" s="4" t="s">
        <v>70</v>
      </c>
      <c r="D189" s="4" t="s">
        <v>72</v>
      </c>
      <c r="E189" s="4" t="str">
        <f t="shared" si="14"/>
        <v>12|G|U</v>
      </c>
      <c r="F189" s="12">
        <v>9</v>
      </c>
      <c r="G189" s="4">
        <f t="shared" si="15"/>
        <v>38</v>
      </c>
      <c r="H189" s="12">
        <v>1</v>
      </c>
      <c r="I189" s="14">
        <f t="shared" si="16"/>
        <v>0.23684210526315788</v>
      </c>
      <c r="J189" s="14">
        <f t="shared" si="17"/>
        <v>0.23809523809523808</v>
      </c>
      <c r="K189" s="4">
        <f t="shared" si="18"/>
        <v>10</v>
      </c>
      <c r="L189" s="4">
        <f t="shared" si="19"/>
        <v>42</v>
      </c>
      <c r="M189" s="4" t="s">
        <v>519</v>
      </c>
      <c r="N189" s="4">
        <f t="shared" si="20"/>
        <v>1</v>
      </c>
    </row>
    <row r="190" spans="1:14">
      <c r="A190" s="4">
        <v>12</v>
      </c>
      <c r="B190" s="4" t="s">
        <v>530</v>
      </c>
      <c r="C190" s="4" t="s">
        <v>72</v>
      </c>
      <c r="D190" s="4" t="s">
        <v>73</v>
      </c>
      <c r="E190" s="4" t="str">
        <f t="shared" si="14"/>
        <v>12|U|A</v>
      </c>
      <c r="F190" s="12">
        <v>1</v>
      </c>
      <c r="G190" s="4">
        <f t="shared" si="15"/>
        <v>120</v>
      </c>
      <c r="H190" s="12">
        <v>1</v>
      </c>
      <c r="I190" s="14">
        <f t="shared" si="16"/>
        <v>8.3333333333333332E-3</v>
      </c>
      <c r="J190" s="14">
        <f t="shared" si="17"/>
        <v>1.6129032258064516E-2</v>
      </c>
      <c r="K190" s="4">
        <f t="shared" si="18"/>
        <v>2</v>
      </c>
      <c r="L190" s="4">
        <f t="shared" si="19"/>
        <v>124</v>
      </c>
      <c r="M190" s="4" t="s">
        <v>519</v>
      </c>
      <c r="N190" s="4">
        <f t="shared" si="20"/>
        <v>1</v>
      </c>
    </row>
    <row r="191" spans="1:14">
      <c r="A191" s="4">
        <v>12</v>
      </c>
      <c r="B191" s="4" t="s">
        <v>530</v>
      </c>
      <c r="C191" s="4" t="s">
        <v>72</v>
      </c>
      <c r="D191" s="4" t="s">
        <v>71</v>
      </c>
      <c r="E191" s="4" t="str">
        <f t="shared" si="14"/>
        <v>12|U|C</v>
      </c>
      <c r="F191" s="12">
        <v>107</v>
      </c>
      <c r="G191" s="4">
        <f t="shared" si="15"/>
        <v>120</v>
      </c>
      <c r="H191" s="12">
        <v>1</v>
      </c>
      <c r="I191" s="14">
        <f t="shared" si="16"/>
        <v>0.89166666666666672</v>
      </c>
      <c r="J191" s="14">
        <f t="shared" si="17"/>
        <v>0.87096774193548387</v>
      </c>
      <c r="K191" s="4">
        <f t="shared" si="18"/>
        <v>108</v>
      </c>
      <c r="L191" s="4">
        <f t="shared" si="19"/>
        <v>124</v>
      </c>
      <c r="M191" s="4" t="s">
        <v>519</v>
      </c>
      <c r="N191" s="4">
        <f t="shared" si="20"/>
        <v>1</v>
      </c>
    </row>
    <row r="192" spans="1:14">
      <c r="A192" s="4">
        <v>12</v>
      </c>
      <c r="B192" s="4" t="s">
        <v>530</v>
      </c>
      <c r="C192" s="4" t="s">
        <v>72</v>
      </c>
      <c r="D192" s="4" t="s">
        <v>70</v>
      </c>
      <c r="E192" s="4" t="str">
        <f t="shared" si="14"/>
        <v>12|U|G</v>
      </c>
      <c r="F192" s="12">
        <v>1</v>
      </c>
      <c r="G192" s="4">
        <f t="shared" si="15"/>
        <v>120</v>
      </c>
      <c r="H192" s="12">
        <v>1</v>
      </c>
      <c r="I192" s="14">
        <f t="shared" si="16"/>
        <v>8.3333333333333332E-3</v>
      </c>
      <c r="J192" s="14">
        <f t="shared" si="17"/>
        <v>1.6129032258064516E-2</v>
      </c>
      <c r="K192" s="4">
        <f t="shared" si="18"/>
        <v>2</v>
      </c>
      <c r="L192" s="4">
        <f t="shared" si="19"/>
        <v>124</v>
      </c>
      <c r="M192" s="4" t="s">
        <v>519</v>
      </c>
      <c r="N192" s="4">
        <f t="shared" si="20"/>
        <v>1</v>
      </c>
    </row>
    <row r="193" spans="1:14">
      <c r="A193" s="4">
        <v>12</v>
      </c>
      <c r="B193" s="4" t="s">
        <v>530</v>
      </c>
      <c r="C193" s="4" t="s">
        <v>72</v>
      </c>
      <c r="D193" s="4" t="s">
        <v>72</v>
      </c>
      <c r="E193" s="4" t="str">
        <f t="shared" si="14"/>
        <v>12|U|U</v>
      </c>
      <c r="F193" s="12">
        <v>11</v>
      </c>
      <c r="G193" s="4">
        <f t="shared" si="15"/>
        <v>120</v>
      </c>
      <c r="H193" s="12">
        <v>1</v>
      </c>
      <c r="I193" s="14">
        <f t="shared" si="16"/>
        <v>9.166666666666666E-2</v>
      </c>
      <c r="J193" s="14">
        <f t="shared" si="17"/>
        <v>9.6774193548387094E-2</v>
      </c>
      <c r="K193" s="4">
        <f t="shared" si="18"/>
        <v>12</v>
      </c>
      <c r="L193" s="4">
        <f t="shared" si="19"/>
        <v>124</v>
      </c>
      <c r="M193" s="4" t="s">
        <v>519</v>
      </c>
      <c r="N193" s="4">
        <f t="shared" si="20"/>
        <v>1</v>
      </c>
    </row>
    <row r="194" spans="1:14">
      <c r="A194" s="4">
        <v>13</v>
      </c>
      <c r="B194" s="4" t="s">
        <v>531</v>
      </c>
      <c r="C194" s="4" t="s">
        <v>73</v>
      </c>
      <c r="D194" s="4" t="s">
        <v>73</v>
      </c>
      <c r="E194" s="4" t="str">
        <f t="shared" ref="E194:E257" si="21">A194&amp;"|"&amp;C194&amp;"|"&amp;D194</f>
        <v>13|A|A</v>
      </c>
      <c r="F194" s="12">
        <v>12</v>
      </c>
      <c r="G194" s="4">
        <f t="shared" ref="G194:G257" si="22">SUMIFS($F$2:$F$1137,$A$2:$A$1137,A194,$C$2:$C$1137,C194)</f>
        <v>13</v>
      </c>
      <c r="H194" s="12">
        <v>1</v>
      </c>
      <c r="I194" s="14">
        <f t="shared" ref="I194:I257" si="23">IF(G194=0,"",F194/G194)</f>
        <v>0.92307692307692313</v>
      </c>
      <c r="J194" s="14">
        <f t="shared" ref="J194:J257" si="24">K194/L194</f>
        <v>0.76470588235294112</v>
      </c>
      <c r="K194" s="4">
        <f t="shared" ref="K194:K257" si="25">F194+H194</f>
        <v>13</v>
      </c>
      <c r="L194" s="4">
        <f t="shared" ref="L194:L257" si="26">G194+4*H194</f>
        <v>17</v>
      </c>
      <c r="M194" s="4" t="s">
        <v>519</v>
      </c>
      <c r="N194" s="4">
        <f t="shared" ref="N194:N257" si="27">ROUND(SUMIFS($J$2:$J$1137,$A$2:$A$1137,A194,$C$2:$C$1137,C194),9)</f>
        <v>1</v>
      </c>
    </row>
    <row r="195" spans="1:14">
      <c r="A195" s="4">
        <v>13</v>
      </c>
      <c r="B195" s="4" t="s">
        <v>531</v>
      </c>
      <c r="C195" s="4" t="s">
        <v>73</v>
      </c>
      <c r="D195" s="4" t="s">
        <v>71</v>
      </c>
      <c r="E195" s="4" t="str">
        <f t="shared" si="21"/>
        <v>13|A|C</v>
      </c>
      <c r="F195" s="12">
        <v>0</v>
      </c>
      <c r="G195" s="4">
        <f t="shared" si="22"/>
        <v>13</v>
      </c>
      <c r="H195" s="12">
        <v>1</v>
      </c>
      <c r="I195" s="14">
        <f t="shared" si="23"/>
        <v>0</v>
      </c>
      <c r="J195" s="14">
        <f t="shared" si="24"/>
        <v>5.8823529411764705E-2</v>
      </c>
      <c r="K195" s="4">
        <f t="shared" si="25"/>
        <v>1</v>
      </c>
      <c r="L195" s="4">
        <f t="shared" si="26"/>
        <v>17</v>
      </c>
      <c r="M195" s="4" t="s">
        <v>519</v>
      </c>
      <c r="N195" s="4">
        <f t="shared" si="27"/>
        <v>1</v>
      </c>
    </row>
    <row r="196" spans="1:14">
      <c r="A196" s="4">
        <v>13</v>
      </c>
      <c r="B196" s="4" t="s">
        <v>531</v>
      </c>
      <c r="C196" s="4" t="s">
        <v>73</v>
      </c>
      <c r="D196" s="4" t="s">
        <v>70</v>
      </c>
      <c r="E196" s="4" t="str">
        <f t="shared" si="21"/>
        <v>13|A|G</v>
      </c>
      <c r="F196" s="12">
        <v>1</v>
      </c>
      <c r="G196" s="4">
        <f t="shared" si="22"/>
        <v>13</v>
      </c>
      <c r="H196" s="12">
        <v>1</v>
      </c>
      <c r="I196" s="14">
        <f t="shared" si="23"/>
        <v>7.6923076923076927E-2</v>
      </c>
      <c r="J196" s="14">
        <f t="shared" si="24"/>
        <v>0.11764705882352941</v>
      </c>
      <c r="K196" s="4">
        <f t="shared" si="25"/>
        <v>2</v>
      </c>
      <c r="L196" s="4">
        <f t="shared" si="26"/>
        <v>17</v>
      </c>
      <c r="M196" s="4" t="s">
        <v>519</v>
      </c>
      <c r="N196" s="4">
        <f t="shared" si="27"/>
        <v>1</v>
      </c>
    </row>
    <row r="197" spans="1:14">
      <c r="A197" s="4">
        <v>13</v>
      </c>
      <c r="B197" s="4" t="s">
        <v>531</v>
      </c>
      <c r="C197" s="4" t="s">
        <v>73</v>
      </c>
      <c r="D197" s="4" t="s">
        <v>72</v>
      </c>
      <c r="E197" s="4" t="str">
        <f t="shared" si="21"/>
        <v>13|A|U</v>
      </c>
      <c r="F197" s="12">
        <v>0</v>
      </c>
      <c r="G197" s="4">
        <f t="shared" si="22"/>
        <v>13</v>
      </c>
      <c r="H197" s="12">
        <v>1</v>
      </c>
      <c r="I197" s="14">
        <f t="shared" si="23"/>
        <v>0</v>
      </c>
      <c r="J197" s="14">
        <f t="shared" si="24"/>
        <v>5.8823529411764705E-2</v>
      </c>
      <c r="K197" s="4">
        <f t="shared" si="25"/>
        <v>1</v>
      </c>
      <c r="L197" s="4">
        <f t="shared" si="26"/>
        <v>17</v>
      </c>
      <c r="M197" s="4" t="s">
        <v>519</v>
      </c>
      <c r="N197" s="4">
        <f t="shared" si="27"/>
        <v>1</v>
      </c>
    </row>
    <row r="198" spans="1:14">
      <c r="A198" s="4">
        <v>13</v>
      </c>
      <c r="B198" s="4" t="s">
        <v>531</v>
      </c>
      <c r="C198" s="4" t="s">
        <v>71</v>
      </c>
      <c r="D198" s="4" t="s">
        <v>73</v>
      </c>
      <c r="E198" s="4" t="str">
        <f t="shared" si="21"/>
        <v>13|C|A</v>
      </c>
      <c r="F198" s="12">
        <v>129</v>
      </c>
      <c r="G198" s="4">
        <f t="shared" si="22"/>
        <v>130</v>
      </c>
      <c r="H198" s="12">
        <v>1</v>
      </c>
      <c r="I198" s="14">
        <f t="shared" si="23"/>
        <v>0.99230769230769234</v>
      </c>
      <c r="J198" s="14">
        <f t="shared" si="24"/>
        <v>0.97014925373134331</v>
      </c>
      <c r="K198" s="4">
        <f t="shared" si="25"/>
        <v>130</v>
      </c>
      <c r="L198" s="4">
        <f t="shared" si="26"/>
        <v>134</v>
      </c>
      <c r="M198" s="4" t="s">
        <v>519</v>
      </c>
      <c r="N198" s="4">
        <f t="shared" si="27"/>
        <v>1</v>
      </c>
    </row>
    <row r="199" spans="1:14">
      <c r="A199" s="4">
        <v>13</v>
      </c>
      <c r="B199" s="4" t="s">
        <v>531</v>
      </c>
      <c r="C199" s="4" t="s">
        <v>71</v>
      </c>
      <c r="D199" s="4" t="s">
        <v>71</v>
      </c>
      <c r="E199" s="4" t="str">
        <f t="shared" si="21"/>
        <v>13|C|C</v>
      </c>
      <c r="F199" s="12">
        <v>1</v>
      </c>
      <c r="G199" s="4">
        <f t="shared" si="22"/>
        <v>130</v>
      </c>
      <c r="H199" s="12">
        <v>1</v>
      </c>
      <c r="I199" s="14">
        <f t="shared" si="23"/>
        <v>7.6923076923076927E-3</v>
      </c>
      <c r="J199" s="14">
        <f t="shared" si="24"/>
        <v>1.4925373134328358E-2</v>
      </c>
      <c r="K199" s="4">
        <f t="shared" si="25"/>
        <v>2</v>
      </c>
      <c r="L199" s="4">
        <f t="shared" si="26"/>
        <v>134</v>
      </c>
      <c r="M199" s="4" t="s">
        <v>519</v>
      </c>
      <c r="N199" s="4">
        <f t="shared" si="27"/>
        <v>1</v>
      </c>
    </row>
    <row r="200" spans="1:14">
      <c r="A200" s="4">
        <v>13</v>
      </c>
      <c r="B200" s="4" t="s">
        <v>531</v>
      </c>
      <c r="C200" s="4" t="s">
        <v>71</v>
      </c>
      <c r="D200" s="4" t="s">
        <v>70</v>
      </c>
      <c r="E200" s="4" t="str">
        <f t="shared" si="21"/>
        <v>13|C|G</v>
      </c>
      <c r="F200" s="12">
        <v>0</v>
      </c>
      <c r="G200" s="4">
        <f t="shared" si="22"/>
        <v>130</v>
      </c>
      <c r="H200" s="12">
        <v>1</v>
      </c>
      <c r="I200" s="14">
        <f t="shared" si="23"/>
        <v>0</v>
      </c>
      <c r="J200" s="14">
        <f t="shared" si="24"/>
        <v>7.462686567164179E-3</v>
      </c>
      <c r="K200" s="4">
        <f t="shared" si="25"/>
        <v>1</v>
      </c>
      <c r="L200" s="4">
        <f t="shared" si="26"/>
        <v>134</v>
      </c>
      <c r="M200" s="4" t="s">
        <v>519</v>
      </c>
      <c r="N200" s="4">
        <f t="shared" si="27"/>
        <v>1</v>
      </c>
    </row>
    <row r="201" spans="1:14">
      <c r="A201" s="4">
        <v>13</v>
      </c>
      <c r="B201" s="4" t="s">
        <v>531</v>
      </c>
      <c r="C201" s="4" t="s">
        <v>71</v>
      </c>
      <c r="D201" s="4" t="s">
        <v>72</v>
      </c>
      <c r="E201" s="4" t="str">
        <f t="shared" si="21"/>
        <v>13|C|U</v>
      </c>
      <c r="F201" s="12">
        <v>0</v>
      </c>
      <c r="G201" s="4">
        <f t="shared" si="22"/>
        <v>130</v>
      </c>
      <c r="H201" s="12">
        <v>1</v>
      </c>
      <c r="I201" s="14">
        <f t="shared" si="23"/>
        <v>0</v>
      </c>
      <c r="J201" s="14">
        <f t="shared" si="24"/>
        <v>7.462686567164179E-3</v>
      </c>
      <c r="K201" s="4">
        <f t="shared" si="25"/>
        <v>1</v>
      </c>
      <c r="L201" s="4">
        <f t="shared" si="26"/>
        <v>134</v>
      </c>
      <c r="M201" s="4" t="s">
        <v>519</v>
      </c>
      <c r="N201" s="4">
        <f t="shared" si="27"/>
        <v>1</v>
      </c>
    </row>
    <row r="202" spans="1:14">
      <c r="A202" s="4">
        <v>13</v>
      </c>
      <c r="B202" s="4" t="s">
        <v>531</v>
      </c>
      <c r="C202" s="4" t="s">
        <v>70</v>
      </c>
      <c r="D202" s="4" t="s">
        <v>73</v>
      </c>
      <c r="E202" s="4" t="str">
        <f t="shared" si="21"/>
        <v>13|G|A</v>
      </c>
      <c r="F202" s="12">
        <v>19</v>
      </c>
      <c r="G202" s="4">
        <f t="shared" si="22"/>
        <v>19</v>
      </c>
      <c r="H202" s="12">
        <v>1</v>
      </c>
      <c r="I202" s="14">
        <f t="shared" si="23"/>
        <v>1</v>
      </c>
      <c r="J202" s="14">
        <f t="shared" si="24"/>
        <v>0.86956521739130432</v>
      </c>
      <c r="K202" s="4">
        <f t="shared" si="25"/>
        <v>20</v>
      </c>
      <c r="L202" s="4">
        <f t="shared" si="26"/>
        <v>23</v>
      </c>
      <c r="M202" s="4" t="s">
        <v>519</v>
      </c>
      <c r="N202" s="4">
        <f t="shared" si="27"/>
        <v>1</v>
      </c>
    </row>
    <row r="203" spans="1:14">
      <c r="A203" s="4">
        <v>13</v>
      </c>
      <c r="B203" s="4" t="s">
        <v>531</v>
      </c>
      <c r="C203" s="4" t="s">
        <v>70</v>
      </c>
      <c r="D203" s="4" t="s">
        <v>71</v>
      </c>
      <c r="E203" s="4" t="str">
        <f t="shared" si="21"/>
        <v>13|G|C</v>
      </c>
      <c r="F203" s="12">
        <v>0</v>
      </c>
      <c r="G203" s="4">
        <f t="shared" si="22"/>
        <v>19</v>
      </c>
      <c r="H203" s="12">
        <v>1</v>
      </c>
      <c r="I203" s="14">
        <f t="shared" si="23"/>
        <v>0</v>
      </c>
      <c r="J203" s="14">
        <f t="shared" si="24"/>
        <v>4.3478260869565216E-2</v>
      </c>
      <c r="K203" s="4">
        <f t="shared" si="25"/>
        <v>1</v>
      </c>
      <c r="L203" s="4">
        <f t="shared" si="26"/>
        <v>23</v>
      </c>
      <c r="M203" s="4" t="s">
        <v>519</v>
      </c>
      <c r="N203" s="4">
        <f t="shared" si="27"/>
        <v>1</v>
      </c>
    </row>
    <row r="204" spans="1:14">
      <c r="A204" s="4">
        <v>13</v>
      </c>
      <c r="B204" s="4" t="s">
        <v>531</v>
      </c>
      <c r="C204" s="4" t="s">
        <v>70</v>
      </c>
      <c r="D204" s="4" t="s">
        <v>70</v>
      </c>
      <c r="E204" s="4" t="str">
        <f t="shared" si="21"/>
        <v>13|G|G</v>
      </c>
      <c r="F204" s="12">
        <v>0</v>
      </c>
      <c r="G204" s="4">
        <f t="shared" si="22"/>
        <v>19</v>
      </c>
      <c r="H204" s="12">
        <v>1</v>
      </c>
      <c r="I204" s="14">
        <f t="shared" si="23"/>
        <v>0</v>
      </c>
      <c r="J204" s="14">
        <f t="shared" si="24"/>
        <v>4.3478260869565216E-2</v>
      </c>
      <c r="K204" s="4">
        <f t="shared" si="25"/>
        <v>1</v>
      </c>
      <c r="L204" s="4">
        <f t="shared" si="26"/>
        <v>23</v>
      </c>
      <c r="M204" s="4" t="s">
        <v>519</v>
      </c>
      <c r="N204" s="4">
        <f t="shared" si="27"/>
        <v>1</v>
      </c>
    </row>
    <row r="205" spans="1:14">
      <c r="A205" s="4">
        <v>13</v>
      </c>
      <c r="B205" s="4" t="s">
        <v>531</v>
      </c>
      <c r="C205" s="4" t="s">
        <v>70</v>
      </c>
      <c r="D205" s="4" t="s">
        <v>72</v>
      </c>
      <c r="E205" s="4" t="str">
        <f t="shared" si="21"/>
        <v>13|G|U</v>
      </c>
      <c r="F205" s="12">
        <v>0</v>
      </c>
      <c r="G205" s="4">
        <f t="shared" si="22"/>
        <v>19</v>
      </c>
      <c r="H205" s="12">
        <v>1</v>
      </c>
      <c r="I205" s="14">
        <f t="shared" si="23"/>
        <v>0</v>
      </c>
      <c r="J205" s="14">
        <f t="shared" si="24"/>
        <v>4.3478260869565216E-2</v>
      </c>
      <c r="K205" s="4">
        <f t="shared" si="25"/>
        <v>1</v>
      </c>
      <c r="L205" s="4">
        <f t="shared" si="26"/>
        <v>23</v>
      </c>
      <c r="M205" s="4" t="s">
        <v>519</v>
      </c>
      <c r="N205" s="4">
        <f t="shared" si="27"/>
        <v>1</v>
      </c>
    </row>
    <row r="206" spans="1:14">
      <c r="A206" s="4">
        <v>13</v>
      </c>
      <c r="B206" s="4" t="s">
        <v>531</v>
      </c>
      <c r="C206" s="4" t="s">
        <v>72</v>
      </c>
      <c r="D206" s="4" t="s">
        <v>73</v>
      </c>
      <c r="E206" s="4" t="str">
        <f t="shared" si="21"/>
        <v>13|U|A</v>
      </c>
      <c r="F206" s="12">
        <v>38</v>
      </c>
      <c r="G206" s="4">
        <f t="shared" si="22"/>
        <v>38</v>
      </c>
      <c r="H206" s="12">
        <v>1</v>
      </c>
      <c r="I206" s="14">
        <f t="shared" si="23"/>
        <v>1</v>
      </c>
      <c r="J206" s="14">
        <f t="shared" si="24"/>
        <v>0.9285714285714286</v>
      </c>
      <c r="K206" s="4">
        <f t="shared" si="25"/>
        <v>39</v>
      </c>
      <c r="L206" s="4">
        <f t="shared" si="26"/>
        <v>42</v>
      </c>
      <c r="M206" s="4" t="s">
        <v>519</v>
      </c>
      <c r="N206" s="4">
        <f t="shared" si="27"/>
        <v>1</v>
      </c>
    </row>
    <row r="207" spans="1:14">
      <c r="A207" s="4">
        <v>13</v>
      </c>
      <c r="B207" s="4" t="s">
        <v>531</v>
      </c>
      <c r="C207" s="4" t="s">
        <v>72</v>
      </c>
      <c r="D207" s="4" t="s">
        <v>71</v>
      </c>
      <c r="E207" s="4" t="str">
        <f t="shared" si="21"/>
        <v>13|U|C</v>
      </c>
      <c r="F207" s="12">
        <v>0</v>
      </c>
      <c r="G207" s="4">
        <f t="shared" si="22"/>
        <v>38</v>
      </c>
      <c r="H207" s="12">
        <v>1</v>
      </c>
      <c r="I207" s="14">
        <f t="shared" si="23"/>
        <v>0</v>
      </c>
      <c r="J207" s="14">
        <f t="shared" si="24"/>
        <v>2.3809523809523808E-2</v>
      </c>
      <c r="K207" s="4">
        <f t="shared" si="25"/>
        <v>1</v>
      </c>
      <c r="L207" s="4">
        <f t="shared" si="26"/>
        <v>42</v>
      </c>
      <c r="M207" s="4" t="s">
        <v>519</v>
      </c>
      <c r="N207" s="4">
        <f t="shared" si="27"/>
        <v>1</v>
      </c>
    </row>
    <row r="208" spans="1:14">
      <c r="A208" s="4">
        <v>13</v>
      </c>
      <c r="B208" s="4" t="s">
        <v>531</v>
      </c>
      <c r="C208" s="4" t="s">
        <v>72</v>
      </c>
      <c r="D208" s="4" t="s">
        <v>70</v>
      </c>
      <c r="E208" s="4" t="str">
        <f t="shared" si="21"/>
        <v>13|U|G</v>
      </c>
      <c r="F208" s="12">
        <v>0</v>
      </c>
      <c r="G208" s="4">
        <f t="shared" si="22"/>
        <v>38</v>
      </c>
      <c r="H208" s="12">
        <v>1</v>
      </c>
      <c r="I208" s="14">
        <f t="shared" si="23"/>
        <v>0</v>
      </c>
      <c r="J208" s="14">
        <f t="shared" si="24"/>
        <v>2.3809523809523808E-2</v>
      </c>
      <c r="K208" s="4">
        <f t="shared" si="25"/>
        <v>1</v>
      </c>
      <c r="L208" s="4">
        <f t="shared" si="26"/>
        <v>42</v>
      </c>
      <c r="M208" s="4" t="s">
        <v>519</v>
      </c>
      <c r="N208" s="4">
        <f t="shared" si="27"/>
        <v>1</v>
      </c>
    </row>
    <row r="209" spans="1:14">
      <c r="A209" s="4">
        <v>13</v>
      </c>
      <c r="B209" s="4" t="s">
        <v>531</v>
      </c>
      <c r="C209" s="4" t="s">
        <v>72</v>
      </c>
      <c r="D209" s="4" t="s">
        <v>72</v>
      </c>
      <c r="E209" s="4" t="str">
        <f t="shared" si="21"/>
        <v>13|U|U</v>
      </c>
      <c r="F209" s="12">
        <v>0</v>
      </c>
      <c r="G209" s="4">
        <f t="shared" si="22"/>
        <v>38</v>
      </c>
      <c r="H209" s="12">
        <v>1</v>
      </c>
      <c r="I209" s="14">
        <f t="shared" si="23"/>
        <v>0</v>
      </c>
      <c r="J209" s="14">
        <f t="shared" si="24"/>
        <v>2.3809523809523808E-2</v>
      </c>
      <c r="K209" s="4">
        <f t="shared" si="25"/>
        <v>1</v>
      </c>
      <c r="L209" s="4">
        <f t="shared" si="26"/>
        <v>42</v>
      </c>
      <c r="M209" s="4" t="s">
        <v>519</v>
      </c>
      <c r="N209" s="4">
        <f t="shared" si="27"/>
        <v>1</v>
      </c>
    </row>
    <row r="210" spans="1:14">
      <c r="A210" s="4">
        <v>14</v>
      </c>
      <c r="B210" s="4" t="s">
        <v>532</v>
      </c>
      <c r="C210" s="4" t="s">
        <v>73</v>
      </c>
      <c r="D210" s="4" t="s">
        <v>73</v>
      </c>
      <c r="E210" s="4" t="str">
        <f t="shared" si="21"/>
        <v>14|A|A</v>
      </c>
      <c r="F210" s="12">
        <v>32</v>
      </c>
      <c r="G210" s="4">
        <f t="shared" si="22"/>
        <v>197</v>
      </c>
      <c r="H210" s="12">
        <v>1</v>
      </c>
      <c r="I210" s="14">
        <f t="shared" si="23"/>
        <v>0.16243654822335024</v>
      </c>
      <c r="J210" s="14">
        <f t="shared" si="24"/>
        <v>0.16417910447761194</v>
      </c>
      <c r="K210" s="4">
        <f t="shared" si="25"/>
        <v>33</v>
      </c>
      <c r="L210" s="4">
        <f t="shared" si="26"/>
        <v>201</v>
      </c>
      <c r="M210" s="4" t="s">
        <v>519</v>
      </c>
      <c r="N210" s="4">
        <f t="shared" si="27"/>
        <v>1</v>
      </c>
    </row>
    <row r="211" spans="1:14">
      <c r="A211" s="4">
        <v>14</v>
      </c>
      <c r="B211" s="4" t="s">
        <v>532</v>
      </c>
      <c r="C211" s="4" t="s">
        <v>73</v>
      </c>
      <c r="D211" s="4" t="s">
        <v>71</v>
      </c>
      <c r="E211" s="4" t="str">
        <f t="shared" si="21"/>
        <v>14|A|C</v>
      </c>
      <c r="F211" s="12">
        <v>1</v>
      </c>
      <c r="G211" s="4">
        <f t="shared" si="22"/>
        <v>197</v>
      </c>
      <c r="H211" s="12">
        <v>1</v>
      </c>
      <c r="I211" s="14">
        <f t="shared" si="23"/>
        <v>5.076142131979695E-3</v>
      </c>
      <c r="J211" s="14">
        <f t="shared" si="24"/>
        <v>9.9502487562189053E-3</v>
      </c>
      <c r="K211" s="4">
        <f t="shared" si="25"/>
        <v>2</v>
      </c>
      <c r="L211" s="4">
        <f t="shared" si="26"/>
        <v>201</v>
      </c>
      <c r="M211" s="4" t="s">
        <v>519</v>
      </c>
      <c r="N211" s="4">
        <f t="shared" si="27"/>
        <v>1</v>
      </c>
    </row>
    <row r="212" spans="1:14">
      <c r="A212" s="4">
        <v>14</v>
      </c>
      <c r="B212" s="4" t="s">
        <v>532</v>
      </c>
      <c r="C212" s="4" t="s">
        <v>73</v>
      </c>
      <c r="D212" s="4" t="s">
        <v>70</v>
      </c>
      <c r="E212" s="4" t="str">
        <f t="shared" si="21"/>
        <v>14|A|G</v>
      </c>
      <c r="F212" s="12">
        <v>162</v>
      </c>
      <c r="G212" s="4">
        <f t="shared" si="22"/>
        <v>197</v>
      </c>
      <c r="H212" s="12">
        <v>1</v>
      </c>
      <c r="I212" s="14">
        <f t="shared" si="23"/>
        <v>0.82233502538071068</v>
      </c>
      <c r="J212" s="14">
        <f t="shared" si="24"/>
        <v>0.81094527363184077</v>
      </c>
      <c r="K212" s="4">
        <f t="shared" si="25"/>
        <v>163</v>
      </c>
      <c r="L212" s="4">
        <f t="shared" si="26"/>
        <v>201</v>
      </c>
      <c r="M212" s="4" t="s">
        <v>519</v>
      </c>
      <c r="N212" s="4">
        <f t="shared" si="27"/>
        <v>1</v>
      </c>
    </row>
    <row r="213" spans="1:14">
      <c r="A213" s="4">
        <v>14</v>
      </c>
      <c r="B213" s="4" t="s">
        <v>532</v>
      </c>
      <c r="C213" s="4" t="s">
        <v>73</v>
      </c>
      <c r="D213" s="4" t="s">
        <v>72</v>
      </c>
      <c r="E213" s="4" t="str">
        <f t="shared" si="21"/>
        <v>14|A|U</v>
      </c>
      <c r="F213" s="12">
        <v>2</v>
      </c>
      <c r="G213" s="4">
        <f t="shared" si="22"/>
        <v>197</v>
      </c>
      <c r="H213" s="12">
        <v>1</v>
      </c>
      <c r="I213" s="14">
        <f t="shared" si="23"/>
        <v>1.015228426395939E-2</v>
      </c>
      <c r="J213" s="14">
        <f t="shared" si="24"/>
        <v>1.4925373134328358E-2</v>
      </c>
      <c r="K213" s="4">
        <f t="shared" si="25"/>
        <v>3</v>
      </c>
      <c r="L213" s="4">
        <f t="shared" si="26"/>
        <v>201</v>
      </c>
      <c r="M213" s="4" t="s">
        <v>519</v>
      </c>
      <c r="N213" s="4">
        <f t="shared" si="27"/>
        <v>1</v>
      </c>
    </row>
    <row r="214" spans="1:14">
      <c r="A214" s="4">
        <v>14</v>
      </c>
      <c r="B214" s="4" t="s">
        <v>532</v>
      </c>
      <c r="C214" s="4" t="s">
        <v>71</v>
      </c>
      <c r="D214" s="4" t="s">
        <v>73</v>
      </c>
      <c r="E214" s="4" t="str">
        <f t="shared" si="21"/>
        <v>14|C|A</v>
      </c>
      <c r="F214" s="12">
        <v>1</v>
      </c>
      <c r="G214" s="4">
        <f t="shared" si="22"/>
        <v>1</v>
      </c>
      <c r="H214" s="12">
        <v>1</v>
      </c>
      <c r="I214" s="14">
        <f t="shared" si="23"/>
        <v>1</v>
      </c>
      <c r="J214" s="14">
        <f t="shared" si="24"/>
        <v>0.4</v>
      </c>
      <c r="K214" s="4">
        <f t="shared" si="25"/>
        <v>2</v>
      </c>
      <c r="L214" s="4">
        <f t="shared" si="26"/>
        <v>5</v>
      </c>
      <c r="M214" s="4" t="s">
        <v>519</v>
      </c>
      <c r="N214" s="4">
        <f t="shared" si="27"/>
        <v>1</v>
      </c>
    </row>
    <row r="215" spans="1:14">
      <c r="A215" s="4">
        <v>14</v>
      </c>
      <c r="B215" s="4" t="s">
        <v>532</v>
      </c>
      <c r="C215" s="4" t="s">
        <v>71</v>
      </c>
      <c r="D215" s="4" t="s">
        <v>71</v>
      </c>
      <c r="E215" s="4" t="str">
        <f t="shared" si="21"/>
        <v>14|C|C</v>
      </c>
      <c r="F215" s="12">
        <v>0</v>
      </c>
      <c r="G215" s="4">
        <f t="shared" si="22"/>
        <v>1</v>
      </c>
      <c r="H215" s="12">
        <v>1</v>
      </c>
      <c r="I215" s="14">
        <f t="shared" si="23"/>
        <v>0</v>
      </c>
      <c r="J215" s="14">
        <f t="shared" si="24"/>
        <v>0.2</v>
      </c>
      <c r="K215" s="4">
        <f t="shared" si="25"/>
        <v>1</v>
      </c>
      <c r="L215" s="4">
        <f t="shared" si="26"/>
        <v>5</v>
      </c>
      <c r="M215" s="4" t="s">
        <v>519</v>
      </c>
      <c r="N215" s="4">
        <f t="shared" si="27"/>
        <v>1</v>
      </c>
    </row>
    <row r="216" spans="1:14">
      <c r="A216" s="4">
        <v>14</v>
      </c>
      <c r="B216" s="4" t="s">
        <v>532</v>
      </c>
      <c r="C216" s="4" t="s">
        <v>71</v>
      </c>
      <c r="D216" s="4" t="s">
        <v>70</v>
      </c>
      <c r="E216" s="4" t="str">
        <f t="shared" si="21"/>
        <v>14|C|G</v>
      </c>
      <c r="F216" s="12">
        <v>0</v>
      </c>
      <c r="G216" s="4">
        <f t="shared" si="22"/>
        <v>1</v>
      </c>
      <c r="H216" s="12">
        <v>1</v>
      </c>
      <c r="I216" s="14">
        <f t="shared" si="23"/>
        <v>0</v>
      </c>
      <c r="J216" s="14">
        <f t="shared" si="24"/>
        <v>0.2</v>
      </c>
      <c r="K216" s="4">
        <f t="shared" si="25"/>
        <v>1</v>
      </c>
      <c r="L216" s="4">
        <f t="shared" si="26"/>
        <v>5</v>
      </c>
      <c r="M216" s="4" t="s">
        <v>519</v>
      </c>
      <c r="N216" s="4">
        <f t="shared" si="27"/>
        <v>1</v>
      </c>
    </row>
    <row r="217" spans="1:14">
      <c r="A217" s="4">
        <v>14</v>
      </c>
      <c r="B217" s="4" t="s">
        <v>532</v>
      </c>
      <c r="C217" s="4" t="s">
        <v>71</v>
      </c>
      <c r="D217" s="4" t="s">
        <v>72</v>
      </c>
      <c r="E217" s="4" t="str">
        <f t="shared" si="21"/>
        <v>14|C|U</v>
      </c>
      <c r="F217" s="12">
        <v>0</v>
      </c>
      <c r="G217" s="4">
        <f t="shared" si="22"/>
        <v>1</v>
      </c>
      <c r="H217" s="12">
        <v>1</v>
      </c>
      <c r="I217" s="14">
        <f t="shared" si="23"/>
        <v>0</v>
      </c>
      <c r="J217" s="14">
        <f t="shared" si="24"/>
        <v>0.2</v>
      </c>
      <c r="K217" s="4">
        <f t="shared" si="25"/>
        <v>1</v>
      </c>
      <c r="L217" s="4">
        <f t="shared" si="26"/>
        <v>5</v>
      </c>
      <c r="M217" s="4" t="s">
        <v>519</v>
      </c>
      <c r="N217" s="4">
        <f t="shared" si="27"/>
        <v>1</v>
      </c>
    </row>
    <row r="218" spans="1:14">
      <c r="A218" s="4">
        <v>14</v>
      </c>
      <c r="B218" s="4" t="s">
        <v>532</v>
      </c>
      <c r="C218" s="4" t="s">
        <v>70</v>
      </c>
      <c r="D218" s="4" t="s">
        <v>73</v>
      </c>
      <c r="E218" s="4" t="str">
        <f t="shared" si="21"/>
        <v>14|G|A</v>
      </c>
      <c r="F218" s="12">
        <v>0</v>
      </c>
      <c r="G218" s="4">
        <f t="shared" si="22"/>
        <v>1</v>
      </c>
      <c r="H218" s="12">
        <v>1</v>
      </c>
      <c r="I218" s="14">
        <f t="shared" si="23"/>
        <v>0</v>
      </c>
      <c r="J218" s="14">
        <f t="shared" si="24"/>
        <v>0.2</v>
      </c>
      <c r="K218" s="4">
        <f t="shared" si="25"/>
        <v>1</v>
      </c>
      <c r="L218" s="4">
        <f t="shared" si="26"/>
        <v>5</v>
      </c>
      <c r="M218" s="4" t="s">
        <v>519</v>
      </c>
      <c r="N218" s="4">
        <f t="shared" si="27"/>
        <v>1</v>
      </c>
    </row>
    <row r="219" spans="1:14">
      <c r="A219" s="4">
        <v>14</v>
      </c>
      <c r="B219" s="4" t="s">
        <v>532</v>
      </c>
      <c r="C219" s="4" t="s">
        <v>70</v>
      </c>
      <c r="D219" s="4" t="s">
        <v>71</v>
      </c>
      <c r="E219" s="4" t="str">
        <f t="shared" si="21"/>
        <v>14|G|C</v>
      </c>
      <c r="F219" s="12">
        <v>1</v>
      </c>
      <c r="G219" s="4">
        <f t="shared" si="22"/>
        <v>1</v>
      </c>
      <c r="H219" s="12">
        <v>1</v>
      </c>
      <c r="I219" s="14">
        <f t="shared" si="23"/>
        <v>1</v>
      </c>
      <c r="J219" s="14">
        <f t="shared" si="24"/>
        <v>0.4</v>
      </c>
      <c r="K219" s="4">
        <f t="shared" si="25"/>
        <v>2</v>
      </c>
      <c r="L219" s="4">
        <f t="shared" si="26"/>
        <v>5</v>
      </c>
      <c r="M219" s="4" t="s">
        <v>519</v>
      </c>
      <c r="N219" s="4">
        <f t="shared" si="27"/>
        <v>1</v>
      </c>
    </row>
    <row r="220" spans="1:14">
      <c r="A220" s="4">
        <v>14</v>
      </c>
      <c r="B220" s="4" t="s">
        <v>532</v>
      </c>
      <c r="C220" s="4" t="s">
        <v>70</v>
      </c>
      <c r="D220" s="4" t="s">
        <v>70</v>
      </c>
      <c r="E220" s="4" t="str">
        <f t="shared" si="21"/>
        <v>14|G|G</v>
      </c>
      <c r="F220" s="12">
        <v>0</v>
      </c>
      <c r="G220" s="4">
        <f t="shared" si="22"/>
        <v>1</v>
      </c>
      <c r="H220" s="12">
        <v>1</v>
      </c>
      <c r="I220" s="14">
        <f t="shared" si="23"/>
        <v>0</v>
      </c>
      <c r="J220" s="14">
        <f t="shared" si="24"/>
        <v>0.2</v>
      </c>
      <c r="K220" s="4">
        <f t="shared" si="25"/>
        <v>1</v>
      </c>
      <c r="L220" s="4">
        <f t="shared" si="26"/>
        <v>5</v>
      </c>
      <c r="M220" s="4" t="s">
        <v>519</v>
      </c>
      <c r="N220" s="4">
        <f t="shared" si="27"/>
        <v>1</v>
      </c>
    </row>
    <row r="221" spans="1:14">
      <c r="A221" s="4">
        <v>14</v>
      </c>
      <c r="B221" s="4" t="s">
        <v>532</v>
      </c>
      <c r="C221" s="4" t="s">
        <v>70</v>
      </c>
      <c r="D221" s="4" t="s">
        <v>72</v>
      </c>
      <c r="E221" s="4" t="str">
        <f t="shared" si="21"/>
        <v>14|G|U</v>
      </c>
      <c r="F221" s="12">
        <v>0</v>
      </c>
      <c r="G221" s="4">
        <f t="shared" si="22"/>
        <v>1</v>
      </c>
      <c r="H221" s="12">
        <v>1</v>
      </c>
      <c r="I221" s="14">
        <f t="shared" si="23"/>
        <v>0</v>
      </c>
      <c r="J221" s="14">
        <f t="shared" si="24"/>
        <v>0.2</v>
      </c>
      <c r="K221" s="4">
        <f t="shared" si="25"/>
        <v>1</v>
      </c>
      <c r="L221" s="4">
        <f t="shared" si="26"/>
        <v>5</v>
      </c>
      <c r="M221" s="4" t="s">
        <v>519</v>
      </c>
      <c r="N221" s="4">
        <f t="shared" si="27"/>
        <v>1</v>
      </c>
    </row>
    <row r="222" spans="1:14">
      <c r="A222" s="4">
        <v>14</v>
      </c>
      <c r="B222" s="4" t="s">
        <v>532</v>
      </c>
      <c r="C222" s="4" t="s">
        <v>72</v>
      </c>
      <c r="D222" s="4" t="s">
        <v>73</v>
      </c>
      <c r="E222" s="4" t="str">
        <f t="shared" si="21"/>
        <v>14|U|A</v>
      </c>
      <c r="F222" s="12">
        <v>0</v>
      </c>
      <c r="G222" s="4">
        <f t="shared" si="22"/>
        <v>0</v>
      </c>
      <c r="H222" s="12">
        <v>1</v>
      </c>
      <c r="I222" s="14" t="str">
        <f t="shared" si="23"/>
        <v/>
      </c>
      <c r="J222" s="14">
        <f t="shared" si="24"/>
        <v>0.25</v>
      </c>
      <c r="K222" s="4">
        <f t="shared" si="25"/>
        <v>1</v>
      </c>
      <c r="L222" s="4">
        <f t="shared" si="26"/>
        <v>4</v>
      </c>
      <c r="M222" s="4" t="s">
        <v>519</v>
      </c>
      <c r="N222" s="4">
        <f t="shared" si="27"/>
        <v>1</v>
      </c>
    </row>
    <row r="223" spans="1:14">
      <c r="A223" s="4">
        <v>14</v>
      </c>
      <c r="B223" s="4" t="s">
        <v>532</v>
      </c>
      <c r="C223" s="4" t="s">
        <v>72</v>
      </c>
      <c r="D223" s="4" t="s">
        <v>71</v>
      </c>
      <c r="E223" s="4" t="str">
        <f t="shared" si="21"/>
        <v>14|U|C</v>
      </c>
      <c r="F223" s="12">
        <v>0</v>
      </c>
      <c r="G223" s="4">
        <f t="shared" si="22"/>
        <v>0</v>
      </c>
      <c r="H223" s="12">
        <v>1</v>
      </c>
      <c r="I223" s="14" t="str">
        <f t="shared" si="23"/>
        <v/>
      </c>
      <c r="J223" s="14">
        <f t="shared" si="24"/>
        <v>0.25</v>
      </c>
      <c r="K223" s="4">
        <f t="shared" si="25"/>
        <v>1</v>
      </c>
      <c r="L223" s="4">
        <f t="shared" si="26"/>
        <v>4</v>
      </c>
      <c r="M223" s="4" t="s">
        <v>519</v>
      </c>
      <c r="N223" s="4">
        <f t="shared" si="27"/>
        <v>1</v>
      </c>
    </row>
    <row r="224" spans="1:14">
      <c r="A224" s="4">
        <v>14</v>
      </c>
      <c r="B224" s="4" t="s">
        <v>532</v>
      </c>
      <c r="C224" s="4" t="s">
        <v>72</v>
      </c>
      <c r="D224" s="4" t="s">
        <v>70</v>
      </c>
      <c r="E224" s="4" t="str">
        <f t="shared" si="21"/>
        <v>14|U|G</v>
      </c>
      <c r="F224" s="12">
        <v>0</v>
      </c>
      <c r="G224" s="4">
        <f t="shared" si="22"/>
        <v>0</v>
      </c>
      <c r="H224" s="12">
        <v>1</v>
      </c>
      <c r="I224" s="14" t="str">
        <f t="shared" si="23"/>
        <v/>
      </c>
      <c r="J224" s="14">
        <f t="shared" si="24"/>
        <v>0.25</v>
      </c>
      <c r="K224" s="4">
        <f t="shared" si="25"/>
        <v>1</v>
      </c>
      <c r="L224" s="4">
        <f t="shared" si="26"/>
        <v>4</v>
      </c>
      <c r="M224" s="4" t="s">
        <v>519</v>
      </c>
      <c r="N224" s="4">
        <f t="shared" si="27"/>
        <v>1</v>
      </c>
    </row>
    <row r="225" spans="1:14">
      <c r="A225" s="4">
        <v>14</v>
      </c>
      <c r="B225" s="4" t="s">
        <v>532</v>
      </c>
      <c r="C225" s="4" t="s">
        <v>72</v>
      </c>
      <c r="D225" s="4" t="s">
        <v>72</v>
      </c>
      <c r="E225" s="4" t="str">
        <f t="shared" si="21"/>
        <v>14|U|U</v>
      </c>
      <c r="F225" s="12">
        <v>0</v>
      </c>
      <c r="G225" s="4">
        <f t="shared" si="22"/>
        <v>0</v>
      </c>
      <c r="H225" s="12">
        <v>1</v>
      </c>
      <c r="I225" s="14" t="str">
        <f t="shared" si="23"/>
        <v/>
      </c>
      <c r="J225" s="14">
        <f t="shared" si="24"/>
        <v>0.25</v>
      </c>
      <c r="K225" s="4">
        <f t="shared" si="25"/>
        <v>1</v>
      </c>
      <c r="L225" s="4">
        <f t="shared" si="26"/>
        <v>4</v>
      </c>
      <c r="M225" s="4" t="s">
        <v>519</v>
      </c>
      <c r="N225" s="4">
        <f t="shared" si="27"/>
        <v>1</v>
      </c>
    </row>
    <row r="226" spans="1:14">
      <c r="A226" s="4">
        <v>15</v>
      </c>
      <c r="B226" s="4" t="s">
        <v>533</v>
      </c>
      <c r="C226" s="4" t="s">
        <v>73</v>
      </c>
      <c r="D226" s="4" t="s">
        <v>73</v>
      </c>
      <c r="E226" s="4" t="str">
        <f t="shared" si="21"/>
        <v>15|A|A</v>
      </c>
      <c r="F226" s="12">
        <v>1</v>
      </c>
      <c r="G226" s="4">
        <f t="shared" si="22"/>
        <v>17</v>
      </c>
      <c r="H226" s="12">
        <v>1</v>
      </c>
      <c r="I226" s="14">
        <f t="shared" si="23"/>
        <v>5.8823529411764705E-2</v>
      </c>
      <c r="J226" s="14">
        <f t="shared" si="24"/>
        <v>9.5238095238095233E-2</v>
      </c>
      <c r="K226" s="4">
        <f t="shared" si="25"/>
        <v>2</v>
      </c>
      <c r="L226" s="4">
        <f t="shared" si="26"/>
        <v>21</v>
      </c>
      <c r="M226" s="4" t="s">
        <v>519</v>
      </c>
      <c r="N226" s="4">
        <f t="shared" si="27"/>
        <v>1</v>
      </c>
    </row>
    <row r="227" spans="1:14">
      <c r="A227" s="4">
        <v>15</v>
      </c>
      <c r="B227" s="4" t="s">
        <v>533</v>
      </c>
      <c r="C227" s="4" t="s">
        <v>73</v>
      </c>
      <c r="D227" s="4" t="s">
        <v>71</v>
      </c>
      <c r="E227" s="4" t="str">
        <f t="shared" si="21"/>
        <v>15|A|C</v>
      </c>
      <c r="F227" s="12">
        <v>1</v>
      </c>
      <c r="G227" s="4">
        <f t="shared" si="22"/>
        <v>17</v>
      </c>
      <c r="H227" s="12">
        <v>1</v>
      </c>
      <c r="I227" s="14">
        <f t="shared" si="23"/>
        <v>5.8823529411764705E-2</v>
      </c>
      <c r="J227" s="14">
        <f t="shared" si="24"/>
        <v>9.5238095238095233E-2</v>
      </c>
      <c r="K227" s="4">
        <f t="shared" si="25"/>
        <v>2</v>
      </c>
      <c r="L227" s="4">
        <f t="shared" si="26"/>
        <v>21</v>
      </c>
      <c r="M227" s="4" t="s">
        <v>519</v>
      </c>
      <c r="N227" s="4">
        <f t="shared" si="27"/>
        <v>1</v>
      </c>
    </row>
    <row r="228" spans="1:14">
      <c r="A228" s="4">
        <v>15</v>
      </c>
      <c r="B228" s="4" t="s">
        <v>533</v>
      </c>
      <c r="C228" s="4" t="s">
        <v>73</v>
      </c>
      <c r="D228" s="4" t="s">
        <v>70</v>
      </c>
      <c r="E228" s="4" t="str">
        <f t="shared" si="21"/>
        <v>15|A|G</v>
      </c>
      <c r="F228" s="12">
        <v>0</v>
      </c>
      <c r="G228" s="4">
        <f t="shared" si="22"/>
        <v>17</v>
      </c>
      <c r="H228" s="12">
        <v>1</v>
      </c>
      <c r="I228" s="14">
        <f t="shared" si="23"/>
        <v>0</v>
      </c>
      <c r="J228" s="14">
        <f t="shared" si="24"/>
        <v>4.7619047619047616E-2</v>
      </c>
      <c r="K228" s="4">
        <f t="shared" si="25"/>
        <v>1</v>
      </c>
      <c r="L228" s="4">
        <f t="shared" si="26"/>
        <v>21</v>
      </c>
      <c r="M228" s="4" t="s">
        <v>519</v>
      </c>
      <c r="N228" s="4">
        <f t="shared" si="27"/>
        <v>1</v>
      </c>
    </row>
    <row r="229" spans="1:14">
      <c r="A229" s="4">
        <v>15</v>
      </c>
      <c r="B229" s="4" t="s">
        <v>533</v>
      </c>
      <c r="C229" s="4" t="s">
        <v>73</v>
      </c>
      <c r="D229" s="4" t="s">
        <v>72</v>
      </c>
      <c r="E229" s="4" t="str">
        <f t="shared" si="21"/>
        <v>15|A|U</v>
      </c>
      <c r="F229" s="12">
        <v>15</v>
      </c>
      <c r="G229" s="4">
        <f t="shared" si="22"/>
        <v>17</v>
      </c>
      <c r="H229" s="12">
        <v>1</v>
      </c>
      <c r="I229" s="14">
        <f t="shared" si="23"/>
        <v>0.88235294117647056</v>
      </c>
      <c r="J229" s="14">
        <f t="shared" si="24"/>
        <v>0.76190476190476186</v>
      </c>
      <c r="K229" s="4">
        <f t="shared" si="25"/>
        <v>16</v>
      </c>
      <c r="L229" s="4">
        <f t="shared" si="26"/>
        <v>21</v>
      </c>
      <c r="M229" s="4" t="s">
        <v>519</v>
      </c>
      <c r="N229" s="4">
        <f t="shared" si="27"/>
        <v>1</v>
      </c>
    </row>
    <row r="230" spans="1:14">
      <c r="A230" s="4">
        <v>15</v>
      </c>
      <c r="B230" s="4" t="s">
        <v>533</v>
      </c>
      <c r="C230" s="4" t="s">
        <v>71</v>
      </c>
      <c r="D230" s="4" t="s">
        <v>73</v>
      </c>
      <c r="E230" s="4" t="str">
        <f t="shared" si="21"/>
        <v>15|C|A</v>
      </c>
      <c r="F230" s="12">
        <v>0</v>
      </c>
      <c r="G230" s="4">
        <f t="shared" si="22"/>
        <v>1</v>
      </c>
      <c r="H230" s="12">
        <v>1</v>
      </c>
      <c r="I230" s="14">
        <f t="shared" si="23"/>
        <v>0</v>
      </c>
      <c r="J230" s="14">
        <f t="shared" si="24"/>
        <v>0.2</v>
      </c>
      <c r="K230" s="4">
        <f t="shared" si="25"/>
        <v>1</v>
      </c>
      <c r="L230" s="4">
        <f t="shared" si="26"/>
        <v>5</v>
      </c>
      <c r="M230" s="4" t="s">
        <v>519</v>
      </c>
      <c r="N230" s="4">
        <f t="shared" si="27"/>
        <v>1</v>
      </c>
    </row>
    <row r="231" spans="1:14">
      <c r="A231" s="4">
        <v>15</v>
      </c>
      <c r="B231" s="4" t="s">
        <v>533</v>
      </c>
      <c r="C231" s="4" t="s">
        <v>71</v>
      </c>
      <c r="D231" s="4" t="s">
        <v>71</v>
      </c>
      <c r="E231" s="4" t="str">
        <f t="shared" si="21"/>
        <v>15|C|C</v>
      </c>
      <c r="F231" s="12">
        <v>0</v>
      </c>
      <c r="G231" s="4">
        <f t="shared" si="22"/>
        <v>1</v>
      </c>
      <c r="H231" s="12">
        <v>1</v>
      </c>
      <c r="I231" s="14">
        <f t="shared" si="23"/>
        <v>0</v>
      </c>
      <c r="J231" s="14">
        <f t="shared" si="24"/>
        <v>0.2</v>
      </c>
      <c r="K231" s="4">
        <f t="shared" si="25"/>
        <v>1</v>
      </c>
      <c r="L231" s="4">
        <f t="shared" si="26"/>
        <v>5</v>
      </c>
      <c r="M231" s="4" t="s">
        <v>519</v>
      </c>
      <c r="N231" s="4">
        <f t="shared" si="27"/>
        <v>1</v>
      </c>
    </row>
    <row r="232" spans="1:14">
      <c r="A232" s="4">
        <v>15</v>
      </c>
      <c r="B232" s="4" t="s">
        <v>533</v>
      </c>
      <c r="C232" s="4" t="s">
        <v>71</v>
      </c>
      <c r="D232" s="4" t="s">
        <v>70</v>
      </c>
      <c r="E232" s="4" t="str">
        <f t="shared" si="21"/>
        <v>15|C|G</v>
      </c>
      <c r="F232" s="12">
        <v>0</v>
      </c>
      <c r="G232" s="4">
        <f t="shared" si="22"/>
        <v>1</v>
      </c>
      <c r="H232" s="12">
        <v>1</v>
      </c>
      <c r="I232" s="14">
        <f t="shared" si="23"/>
        <v>0</v>
      </c>
      <c r="J232" s="14">
        <f t="shared" si="24"/>
        <v>0.2</v>
      </c>
      <c r="K232" s="4">
        <f t="shared" si="25"/>
        <v>1</v>
      </c>
      <c r="L232" s="4">
        <f t="shared" si="26"/>
        <v>5</v>
      </c>
      <c r="M232" s="4" t="s">
        <v>519</v>
      </c>
      <c r="N232" s="4">
        <f t="shared" si="27"/>
        <v>1</v>
      </c>
    </row>
    <row r="233" spans="1:14">
      <c r="A233" s="4">
        <v>15</v>
      </c>
      <c r="B233" s="4" t="s">
        <v>533</v>
      </c>
      <c r="C233" s="4" t="s">
        <v>71</v>
      </c>
      <c r="D233" s="4" t="s">
        <v>72</v>
      </c>
      <c r="E233" s="4" t="str">
        <f t="shared" si="21"/>
        <v>15|C|U</v>
      </c>
      <c r="F233" s="12">
        <v>1</v>
      </c>
      <c r="G233" s="4">
        <f t="shared" si="22"/>
        <v>1</v>
      </c>
      <c r="H233" s="12">
        <v>1</v>
      </c>
      <c r="I233" s="14">
        <f t="shared" si="23"/>
        <v>1</v>
      </c>
      <c r="J233" s="14">
        <f t="shared" si="24"/>
        <v>0.4</v>
      </c>
      <c r="K233" s="4">
        <f t="shared" si="25"/>
        <v>2</v>
      </c>
      <c r="L233" s="4">
        <f t="shared" si="26"/>
        <v>5</v>
      </c>
      <c r="M233" s="4" t="s">
        <v>519</v>
      </c>
      <c r="N233" s="4">
        <f t="shared" si="27"/>
        <v>1</v>
      </c>
    </row>
    <row r="234" spans="1:14">
      <c r="A234" s="4">
        <v>15</v>
      </c>
      <c r="B234" s="4" t="s">
        <v>533</v>
      </c>
      <c r="C234" s="4" t="s">
        <v>70</v>
      </c>
      <c r="D234" s="4" t="s">
        <v>73</v>
      </c>
      <c r="E234" s="4" t="str">
        <f t="shared" si="21"/>
        <v>15|G|A</v>
      </c>
      <c r="F234" s="12">
        <v>2</v>
      </c>
      <c r="G234" s="4">
        <f t="shared" si="22"/>
        <v>114</v>
      </c>
      <c r="H234" s="12">
        <v>1</v>
      </c>
      <c r="I234" s="14">
        <f t="shared" si="23"/>
        <v>1.7543859649122806E-2</v>
      </c>
      <c r="J234" s="14">
        <f t="shared" si="24"/>
        <v>2.5423728813559324E-2</v>
      </c>
      <c r="K234" s="4">
        <f t="shared" si="25"/>
        <v>3</v>
      </c>
      <c r="L234" s="4">
        <f t="shared" si="26"/>
        <v>118</v>
      </c>
      <c r="M234" s="4" t="s">
        <v>519</v>
      </c>
      <c r="N234" s="4">
        <f t="shared" si="27"/>
        <v>1</v>
      </c>
    </row>
    <row r="235" spans="1:14">
      <c r="A235" s="4">
        <v>15</v>
      </c>
      <c r="B235" s="4" t="s">
        <v>533</v>
      </c>
      <c r="C235" s="4" t="s">
        <v>70</v>
      </c>
      <c r="D235" s="4" t="s">
        <v>71</v>
      </c>
      <c r="E235" s="4" t="str">
        <f t="shared" si="21"/>
        <v>15|G|C</v>
      </c>
      <c r="F235" s="12">
        <v>46</v>
      </c>
      <c r="G235" s="4">
        <f t="shared" si="22"/>
        <v>114</v>
      </c>
      <c r="H235" s="12">
        <v>1</v>
      </c>
      <c r="I235" s="14">
        <f t="shared" si="23"/>
        <v>0.40350877192982454</v>
      </c>
      <c r="J235" s="14">
        <f t="shared" si="24"/>
        <v>0.39830508474576271</v>
      </c>
      <c r="K235" s="4">
        <f t="shared" si="25"/>
        <v>47</v>
      </c>
      <c r="L235" s="4">
        <f t="shared" si="26"/>
        <v>118</v>
      </c>
      <c r="M235" s="4" t="s">
        <v>519</v>
      </c>
      <c r="N235" s="4">
        <f t="shared" si="27"/>
        <v>1</v>
      </c>
    </row>
    <row r="236" spans="1:14">
      <c r="A236" s="4">
        <v>15</v>
      </c>
      <c r="B236" s="4" t="s">
        <v>533</v>
      </c>
      <c r="C236" s="4" t="s">
        <v>70</v>
      </c>
      <c r="D236" s="4" t="s">
        <v>70</v>
      </c>
      <c r="E236" s="4" t="str">
        <f t="shared" si="21"/>
        <v>15|G|G</v>
      </c>
      <c r="F236" s="12">
        <v>3</v>
      </c>
      <c r="G236" s="4">
        <f t="shared" si="22"/>
        <v>114</v>
      </c>
      <c r="H236" s="12">
        <v>1</v>
      </c>
      <c r="I236" s="14">
        <f t="shared" si="23"/>
        <v>2.6315789473684209E-2</v>
      </c>
      <c r="J236" s="14">
        <f t="shared" si="24"/>
        <v>3.3898305084745763E-2</v>
      </c>
      <c r="K236" s="4">
        <f t="shared" si="25"/>
        <v>4</v>
      </c>
      <c r="L236" s="4">
        <f t="shared" si="26"/>
        <v>118</v>
      </c>
      <c r="M236" s="4" t="s">
        <v>519</v>
      </c>
      <c r="N236" s="4">
        <f t="shared" si="27"/>
        <v>1</v>
      </c>
    </row>
    <row r="237" spans="1:14">
      <c r="A237" s="4">
        <v>15</v>
      </c>
      <c r="B237" s="4" t="s">
        <v>533</v>
      </c>
      <c r="C237" s="4" t="s">
        <v>70</v>
      </c>
      <c r="D237" s="4" t="s">
        <v>72</v>
      </c>
      <c r="E237" s="4" t="str">
        <f t="shared" si="21"/>
        <v>15|G|U</v>
      </c>
      <c r="F237" s="12">
        <v>63</v>
      </c>
      <c r="G237" s="4">
        <f t="shared" si="22"/>
        <v>114</v>
      </c>
      <c r="H237" s="12">
        <v>1</v>
      </c>
      <c r="I237" s="14">
        <f t="shared" si="23"/>
        <v>0.55263157894736847</v>
      </c>
      <c r="J237" s="14">
        <f t="shared" si="24"/>
        <v>0.5423728813559322</v>
      </c>
      <c r="K237" s="4">
        <f t="shared" si="25"/>
        <v>64</v>
      </c>
      <c r="L237" s="4">
        <f t="shared" si="26"/>
        <v>118</v>
      </c>
      <c r="M237" s="4" t="s">
        <v>519</v>
      </c>
      <c r="N237" s="4">
        <f t="shared" si="27"/>
        <v>1</v>
      </c>
    </row>
    <row r="238" spans="1:14">
      <c r="A238" s="4">
        <v>15</v>
      </c>
      <c r="B238" s="4" t="s">
        <v>533</v>
      </c>
      <c r="C238" s="4" t="s">
        <v>72</v>
      </c>
      <c r="D238" s="4" t="s">
        <v>73</v>
      </c>
      <c r="E238" s="4" t="str">
        <f t="shared" si="21"/>
        <v>15|U|A</v>
      </c>
      <c r="F238" s="12">
        <v>0</v>
      </c>
      <c r="G238" s="4">
        <f t="shared" si="22"/>
        <v>1</v>
      </c>
      <c r="H238" s="12">
        <v>1</v>
      </c>
      <c r="I238" s="14">
        <f t="shared" si="23"/>
        <v>0</v>
      </c>
      <c r="J238" s="14">
        <f t="shared" si="24"/>
        <v>0.2</v>
      </c>
      <c r="K238" s="4">
        <f t="shared" si="25"/>
        <v>1</v>
      </c>
      <c r="L238" s="4">
        <f t="shared" si="26"/>
        <v>5</v>
      </c>
      <c r="M238" s="4" t="s">
        <v>519</v>
      </c>
      <c r="N238" s="4">
        <f t="shared" si="27"/>
        <v>1</v>
      </c>
    </row>
    <row r="239" spans="1:14">
      <c r="A239" s="4">
        <v>15</v>
      </c>
      <c r="B239" s="4" t="s">
        <v>533</v>
      </c>
      <c r="C239" s="4" t="s">
        <v>72</v>
      </c>
      <c r="D239" s="4" t="s">
        <v>71</v>
      </c>
      <c r="E239" s="4" t="str">
        <f t="shared" si="21"/>
        <v>15|U|C</v>
      </c>
      <c r="F239" s="12">
        <v>1</v>
      </c>
      <c r="G239" s="4">
        <f t="shared" si="22"/>
        <v>1</v>
      </c>
      <c r="H239" s="12">
        <v>1</v>
      </c>
      <c r="I239" s="14">
        <f t="shared" si="23"/>
        <v>1</v>
      </c>
      <c r="J239" s="14">
        <f t="shared" si="24"/>
        <v>0.4</v>
      </c>
      <c r="K239" s="4">
        <f t="shared" si="25"/>
        <v>2</v>
      </c>
      <c r="L239" s="4">
        <f t="shared" si="26"/>
        <v>5</v>
      </c>
      <c r="M239" s="4" t="s">
        <v>519</v>
      </c>
      <c r="N239" s="4">
        <f t="shared" si="27"/>
        <v>1</v>
      </c>
    </row>
    <row r="240" spans="1:14">
      <c r="A240" s="4">
        <v>15</v>
      </c>
      <c r="B240" s="4" t="s">
        <v>533</v>
      </c>
      <c r="C240" s="4" t="s">
        <v>72</v>
      </c>
      <c r="D240" s="4" t="s">
        <v>70</v>
      </c>
      <c r="E240" s="4" t="str">
        <f t="shared" si="21"/>
        <v>15|U|G</v>
      </c>
      <c r="F240" s="12">
        <v>0</v>
      </c>
      <c r="G240" s="4">
        <f t="shared" si="22"/>
        <v>1</v>
      </c>
      <c r="H240" s="12">
        <v>1</v>
      </c>
      <c r="I240" s="14">
        <f t="shared" si="23"/>
        <v>0</v>
      </c>
      <c r="J240" s="14">
        <f t="shared" si="24"/>
        <v>0.2</v>
      </c>
      <c r="K240" s="4">
        <f t="shared" si="25"/>
        <v>1</v>
      </c>
      <c r="L240" s="4">
        <f t="shared" si="26"/>
        <v>5</v>
      </c>
      <c r="M240" s="4" t="s">
        <v>519</v>
      </c>
      <c r="N240" s="4">
        <f t="shared" si="27"/>
        <v>1</v>
      </c>
    </row>
    <row r="241" spans="1:14">
      <c r="A241" s="4">
        <v>15</v>
      </c>
      <c r="B241" s="4" t="s">
        <v>533</v>
      </c>
      <c r="C241" s="4" t="s">
        <v>72</v>
      </c>
      <c r="D241" s="4" t="s">
        <v>72</v>
      </c>
      <c r="E241" s="4" t="str">
        <f t="shared" si="21"/>
        <v>15|U|U</v>
      </c>
      <c r="F241" s="12">
        <v>0</v>
      </c>
      <c r="G241" s="4">
        <f t="shared" si="22"/>
        <v>1</v>
      </c>
      <c r="H241" s="12">
        <v>1</v>
      </c>
      <c r="I241" s="14">
        <f t="shared" si="23"/>
        <v>0</v>
      </c>
      <c r="J241" s="14">
        <f t="shared" si="24"/>
        <v>0.2</v>
      </c>
      <c r="K241" s="4">
        <f t="shared" si="25"/>
        <v>1</v>
      </c>
      <c r="L241" s="4">
        <f t="shared" si="26"/>
        <v>5</v>
      </c>
      <c r="M241" s="4" t="s">
        <v>519</v>
      </c>
      <c r="N241" s="4">
        <f t="shared" si="27"/>
        <v>1</v>
      </c>
    </row>
    <row r="242" spans="1:14">
      <c r="A242" s="4">
        <v>16</v>
      </c>
      <c r="B242" s="4" t="s">
        <v>534</v>
      </c>
      <c r="C242" s="4" t="s">
        <v>73</v>
      </c>
      <c r="D242" s="4" t="s">
        <v>73</v>
      </c>
      <c r="E242" s="4" t="str">
        <f t="shared" si="21"/>
        <v>16|A|A</v>
      </c>
      <c r="F242" s="12">
        <v>0</v>
      </c>
      <c r="G242" s="4">
        <f t="shared" si="22"/>
        <v>3</v>
      </c>
      <c r="H242" s="12">
        <v>1</v>
      </c>
      <c r="I242" s="14">
        <f t="shared" si="23"/>
        <v>0</v>
      </c>
      <c r="J242" s="14">
        <f t="shared" si="24"/>
        <v>0.14285714285714285</v>
      </c>
      <c r="K242" s="4">
        <f t="shared" si="25"/>
        <v>1</v>
      </c>
      <c r="L242" s="4">
        <f t="shared" si="26"/>
        <v>7</v>
      </c>
      <c r="M242" s="4" t="s">
        <v>519</v>
      </c>
      <c r="N242" s="4">
        <f t="shared" si="27"/>
        <v>1</v>
      </c>
    </row>
    <row r="243" spans="1:14">
      <c r="A243" s="4">
        <v>16</v>
      </c>
      <c r="B243" s="4" t="s">
        <v>534</v>
      </c>
      <c r="C243" s="4" t="s">
        <v>73</v>
      </c>
      <c r="D243" s="4" t="s">
        <v>71</v>
      </c>
      <c r="E243" s="4" t="str">
        <f t="shared" si="21"/>
        <v>16|A|C</v>
      </c>
      <c r="F243" s="12">
        <v>1</v>
      </c>
      <c r="G243" s="4">
        <f t="shared" si="22"/>
        <v>3</v>
      </c>
      <c r="H243" s="12">
        <v>1</v>
      </c>
      <c r="I243" s="14">
        <f t="shared" si="23"/>
        <v>0.33333333333333331</v>
      </c>
      <c r="J243" s="14">
        <f t="shared" si="24"/>
        <v>0.2857142857142857</v>
      </c>
      <c r="K243" s="4">
        <f t="shared" si="25"/>
        <v>2</v>
      </c>
      <c r="L243" s="4">
        <f t="shared" si="26"/>
        <v>7</v>
      </c>
      <c r="M243" s="4" t="s">
        <v>519</v>
      </c>
      <c r="N243" s="4">
        <f t="shared" si="27"/>
        <v>1</v>
      </c>
    </row>
    <row r="244" spans="1:14">
      <c r="A244" s="4">
        <v>16</v>
      </c>
      <c r="B244" s="4" t="s">
        <v>534</v>
      </c>
      <c r="C244" s="4" t="s">
        <v>73</v>
      </c>
      <c r="D244" s="4" t="s">
        <v>70</v>
      </c>
      <c r="E244" s="4" t="str">
        <f t="shared" si="21"/>
        <v>16|A|G</v>
      </c>
      <c r="F244" s="12">
        <v>0</v>
      </c>
      <c r="G244" s="4">
        <f t="shared" si="22"/>
        <v>3</v>
      </c>
      <c r="H244" s="12">
        <v>1</v>
      </c>
      <c r="I244" s="14">
        <f t="shared" si="23"/>
        <v>0</v>
      </c>
      <c r="J244" s="14">
        <f t="shared" si="24"/>
        <v>0.14285714285714285</v>
      </c>
      <c r="K244" s="4">
        <f t="shared" si="25"/>
        <v>1</v>
      </c>
      <c r="L244" s="4">
        <f t="shared" si="26"/>
        <v>7</v>
      </c>
      <c r="M244" s="4" t="s">
        <v>519</v>
      </c>
      <c r="N244" s="4">
        <f t="shared" si="27"/>
        <v>1</v>
      </c>
    </row>
    <row r="245" spans="1:14">
      <c r="A245" s="4">
        <v>16</v>
      </c>
      <c r="B245" s="4" t="s">
        <v>534</v>
      </c>
      <c r="C245" s="4" t="s">
        <v>73</v>
      </c>
      <c r="D245" s="4" t="s">
        <v>72</v>
      </c>
      <c r="E245" s="4" t="str">
        <f t="shared" si="21"/>
        <v>16|A|U</v>
      </c>
      <c r="F245" s="12">
        <v>2</v>
      </c>
      <c r="G245" s="4">
        <f t="shared" si="22"/>
        <v>3</v>
      </c>
      <c r="H245" s="12">
        <v>1</v>
      </c>
      <c r="I245" s="14">
        <f t="shared" si="23"/>
        <v>0.66666666666666663</v>
      </c>
      <c r="J245" s="14">
        <f t="shared" si="24"/>
        <v>0.42857142857142855</v>
      </c>
      <c r="K245" s="4">
        <f t="shared" si="25"/>
        <v>3</v>
      </c>
      <c r="L245" s="4">
        <f t="shared" si="26"/>
        <v>7</v>
      </c>
      <c r="M245" s="4" t="s">
        <v>519</v>
      </c>
      <c r="N245" s="4">
        <f t="shared" si="27"/>
        <v>1</v>
      </c>
    </row>
    <row r="246" spans="1:14">
      <c r="A246" s="4">
        <v>16</v>
      </c>
      <c r="B246" s="4" t="s">
        <v>534</v>
      </c>
      <c r="C246" s="4" t="s">
        <v>71</v>
      </c>
      <c r="D246" s="4" t="s">
        <v>73</v>
      </c>
      <c r="E246" s="4" t="str">
        <f t="shared" si="21"/>
        <v>16|C|A</v>
      </c>
      <c r="F246" s="12">
        <v>1</v>
      </c>
      <c r="G246" s="4">
        <f t="shared" si="22"/>
        <v>47</v>
      </c>
      <c r="H246" s="12">
        <v>1</v>
      </c>
      <c r="I246" s="14">
        <f t="shared" si="23"/>
        <v>2.1276595744680851E-2</v>
      </c>
      <c r="J246" s="14">
        <f t="shared" si="24"/>
        <v>3.9215686274509803E-2</v>
      </c>
      <c r="K246" s="4">
        <f t="shared" si="25"/>
        <v>2</v>
      </c>
      <c r="L246" s="4">
        <f t="shared" si="26"/>
        <v>51</v>
      </c>
      <c r="M246" s="4" t="s">
        <v>519</v>
      </c>
      <c r="N246" s="4">
        <f t="shared" si="27"/>
        <v>1</v>
      </c>
    </row>
    <row r="247" spans="1:14">
      <c r="A247" s="4">
        <v>16</v>
      </c>
      <c r="B247" s="4" t="s">
        <v>534</v>
      </c>
      <c r="C247" s="4" t="s">
        <v>71</v>
      </c>
      <c r="D247" s="4" t="s">
        <v>71</v>
      </c>
      <c r="E247" s="4" t="str">
        <f t="shared" si="21"/>
        <v>16|C|C</v>
      </c>
      <c r="F247" s="12">
        <v>22</v>
      </c>
      <c r="G247" s="4">
        <f t="shared" si="22"/>
        <v>47</v>
      </c>
      <c r="H247" s="12">
        <v>1</v>
      </c>
      <c r="I247" s="14">
        <f t="shared" si="23"/>
        <v>0.46808510638297873</v>
      </c>
      <c r="J247" s="14">
        <f t="shared" si="24"/>
        <v>0.45098039215686275</v>
      </c>
      <c r="K247" s="4">
        <f t="shared" si="25"/>
        <v>23</v>
      </c>
      <c r="L247" s="4">
        <f t="shared" si="26"/>
        <v>51</v>
      </c>
      <c r="M247" s="4" t="s">
        <v>519</v>
      </c>
      <c r="N247" s="4">
        <f t="shared" si="27"/>
        <v>1</v>
      </c>
    </row>
    <row r="248" spans="1:14">
      <c r="A248" s="4">
        <v>16</v>
      </c>
      <c r="B248" s="4" t="s">
        <v>534</v>
      </c>
      <c r="C248" s="4" t="s">
        <v>71</v>
      </c>
      <c r="D248" s="4" t="s">
        <v>70</v>
      </c>
      <c r="E248" s="4" t="str">
        <f t="shared" si="21"/>
        <v>16|C|G</v>
      </c>
      <c r="F248" s="12">
        <v>0</v>
      </c>
      <c r="G248" s="4">
        <f t="shared" si="22"/>
        <v>47</v>
      </c>
      <c r="H248" s="12">
        <v>1</v>
      </c>
      <c r="I248" s="14">
        <f t="shared" si="23"/>
        <v>0</v>
      </c>
      <c r="J248" s="14">
        <f t="shared" si="24"/>
        <v>1.9607843137254902E-2</v>
      </c>
      <c r="K248" s="4">
        <f t="shared" si="25"/>
        <v>1</v>
      </c>
      <c r="L248" s="4">
        <f t="shared" si="26"/>
        <v>51</v>
      </c>
      <c r="M248" s="4" t="s">
        <v>519</v>
      </c>
      <c r="N248" s="4">
        <f t="shared" si="27"/>
        <v>1</v>
      </c>
    </row>
    <row r="249" spans="1:14">
      <c r="A249" s="4">
        <v>16</v>
      </c>
      <c r="B249" s="4" t="s">
        <v>534</v>
      </c>
      <c r="C249" s="4" t="s">
        <v>71</v>
      </c>
      <c r="D249" s="4" t="s">
        <v>72</v>
      </c>
      <c r="E249" s="4" t="str">
        <f t="shared" si="21"/>
        <v>16|C|U</v>
      </c>
      <c r="F249" s="12">
        <v>24</v>
      </c>
      <c r="G249" s="4">
        <f t="shared" si="22"/>
        <v>47</v>
      </c>
      <c r="H249" s="12">
        <v>1</v>
      </c>
      <c r="I249" s="14">
        <f t="shared" si="23"/>
        <v>0.51063829787234039</v>
      </c>
      <c r="J249" s="14">
        <f t="shared" si="24"/>
        <v>0.49019607843137253</v>
      </c>
      <c r="K249" s="4">
        <f t="shared" si="25"/>
        <v>25</v>
      </c>
      <c r="L249" s="4">
        <f t="shared" si="26"/>
        <v>51</v>
      </c>
      <c r="M249" s="4" t="s">
        <v>519</v>
      </c>
      <c r="N249" s="4">
        <f t="shared" si="27"/>
        <v>1</v>
      </c>
    </row>
    <row r="250" spans="1:14">
      <c r="A250" s="4">
        <v>16</v>
      </c>
      <c r="B250" s="4" t="s">
        <v>534</v>
      </c>
      <c r="C250" s="4" t="s">
        <v>70</v>
      </c>
      <c r="D250" s="4" t="s">
        <v>73</v>
      </c>
      <c r="E250" s="4" t="str">
        <f t="shared" si="21"/>
        <v>16|G|A</v>
      </c>
      <c r="F250" s="12">
        <v>0</v>
      </c>
      <c r="G250" s="4">
        <f t="shared" si="22"/>
        <v>3</v>
      </c>
      <c r="H250" s="12">
        <v>1</v>
      </c>
      <c r="I250" s="14">
        <f t="shared" si="23"/>
        <v>0</v>
      </c>
      <c r="J250" s="14">
        <f t="shared" si="24"/>
        <v>0.14285714285714285</v>
      </c>
      <c r="K250" s="4">
        <f t="shared" si="25"/>
        <v>1</v>
      </c>
      <c r="L250" s="4">
        <f t="shared" si="26"/>
        <v>7</v>
      </c>
      <c r="M250" s="4" t="s">
        <v>519</v>
      </c>
      <c r="N250" s="4">
        <f t="shared" si="27"/>
        <v>1</v>
      </c>
    </row>
    <row r="251" spans="1:14">
      <c r="A251" s="4">
        <v>16</v>
      </c>
      <c r="B251" s="4" t="s">
        <v>534</v>
      </c>
      <c r="C251" s="4" t="s">
        <v>70</v>
      </c>
      <c r="D251" s="4" t="s">
        <v>71</v>
      </c>
      <c r="E251" s="4" t="str">
        <f t="shared" si="21"/>
        <v>16|G|C</v>
      </c>
      <c r="F251" s="12">
        <v>0</v>
      </c>
      <c r="G251" s="4">
        <f t="shared" si="22"/>
        <v>3</v>
      </c>
      <c r="H251" s="12">
        <v>1</v>
      </c>
      <c r="I251" s="14">
        <f t="shared" si="23"/>
        <v>0</v>
      </c>
      <c r="J251" s="14">
        <f t="shared" si="24"/>
        <v>0.14285714285714285</v>
      </c>
      <c r="K251" s="4">
        <f t="shared" si="25"/>
        <v>1</v>
      </c>
      <c r="L251" s="4">
        <f t="shared" si="26"/>
        <v>7</v>
      </c>
      <c r="M251" s="4" t="s">
        <v>519</v>
      </c>
      <c r="N251" s="4">
        <f t="shared" si="27"/>
        <v>1</v>
      </c>
    </row>
    <row r="252" spans="1:14">
      <c r="A252" s="4">
        <v>16</v>
      </c>
      <c r="B252" s="4" t="s">
        <v>534</v>
      </c>
      <c r="C252" s="4" t="s">
        <v>70</v>
      </c>
      <c r="D252" s="4" t="s">
        <v>70</v>
      </c>
      <c r="E252" s="4" t="str">
        <f t="shared" si="21"/>
        <v>16|G|G</v>
      </c>
      <c r="F252" s="12">
        <v>1</v>
      </c>
      <c r="G252" s="4">
        <f t="shared" si="22"/>
        <v>3</v>
      </c>
      <c r="H252" s="12">
        <v>1</v>
      </c>
      <c r="I252" s="14">
        <f t="shared" si="23"/>
        <v>0.33333333333333331</v>
      </c>
      <c r="J252" s="14">
        <f t="shared" si="24"/>
        <v>0.2857142857142857</v>
      </c>
      <c r="K252" s="4">
        <f t="shared" si="25"/>
        <v>2</v>
      </c>
      <c r="L252" s="4">
        <f t="shared" si="26"/>
        <v>7</v>
      </c>
      <c r="M252" s="4" t="s">
        <v>519</v>
      </c>
      <c r="N252" s="4">
        <f t="shared" si="27"/>
        <v>1</v>
      </c>
    </row>
    <row r="253" spans="1:14">
      <c r="A253" s="4">
        <v>16</v>
      </c>
      <c r="B253" s="4" t="s">
        <v>534</v>
      </c>
      <c r="C253" s="4" t="s">
        <v>70</v>
      </c>
      <c r="D253" s="4" t="s">
        <v>72</v>
      </c>
      <c r="E253" s="4" t="str">
        <f t="shared" si="21"/>
        <v>16|G|U</v>
      </c>
      <c r="F253" s="12">
        <v>2</v>
      </c>
      <c r="G253" s="4">
        <f t="shared" si="22"/>
        <v>3</v>
      </c>
      <c r="H253" s="12">
        <v>1</v>
      </c>
      <c r="I253" s="14">
        <f t="shared" si="23"/>
        <v>0.66666666666666663</v>
      </c>
      <c r="J253" s="14">
        <f t="shared" si="24"/>
        <v>0.42857142857142855</v>
      </c>
      <c r="K253" s="4">
        <f t="shared" si="25"/>
        <v>3</v>
      </c>
      <c r="L253" s="4">
        <f t="shared" si="26"/>
        <v>7</v>
      </c>
      <c r="M253" s="4" t="s">
        <v>519</v>
      </c>
      <c r="N253" s="4">
        <f t="shared" si="27"/>
        <v>1</v>
      </c>
    </row>
    <row r="254" spans="1:14">
      <c r="A254" s="4">
        <v>16</v>
      </c>
      <c r="B254" s="4" t="s">
        <v>534</v>
      </c>
      <c r="C254" s="4" t="s">
        <v>72</v>
      </c>
      <c r="D254" s="4" t="s">
        <v>73</v>
      </c>
      <c r="E254" s="4" t="str">
        <f t="shared" si="21"/>
        <v>16|U|A</v>
      </c>
      <c r="F254" s="12">
        <v>7</v>
      </c>
      <c r="G254" s="4">
        <f t="shared" si="22"/>
        <v>78</v>
      </c>
      <c r="H254" s="12">
        <v>1</v>
      </c>
      <c r="I254" s="14">
        <f t="shared" si="23"/>
        <v>8.9743589743589744E-2</v>
      </c>
      <c r="J254" s="14">
        <f t="shared" si="24"/>
        <v>9.7560975609756101E-2</v>
      </c>
      <c r="K254" s="4">
        <f t="shared" si="25"/>
        <v>8</v>
      </c>
      <c r="L254" s="4">
        <f t="shared" si="26"/>
        <v>82</v>
      </c>
      <c r="M254" s="4" t="s">
        <v>519</v>
      </c>
      <c r="N254" s="4">
        <f t="shared" si="27"/>
        <v>1</v>
      </c>
    </row>
    <row r="255" spans="1:14">
      <c r="A255" s="4">
        <v>16</v>
      </c>
      <c r="B255" s="4" t="s">
        <v>534</v>
      </c>
      <c r="C255" s="4" t="s">
        <v>72</v>
      </c>
      <c r="D255" s="4" t="s">
        <v>71</v>
      </c>
      <c r="E255" s="4" t="str">
        <f t="shared" si="21"/>
        <v>16|U|C</v>
      </c>
      <c r="F255" s="12">
        <v>21</v>
      </c>
      <c r="G255" s="4">
        <f t="shared" si="22"/>
        <v>78</v>
      </c>
      <c r="H255" s="12">
        <v>1</v>
      </c>
      <c r="I255" s="14">
        <f t="shared" si="23"/>
        <v>0.26923076923076922</v>
      </c>
      <c r="J255" s="14">
        <f t="shared" si="24"/>
        <v>0.26829268292682928</v>
      </c>
      <c r="K255" s="4">
        <f t="shared" si="25"/>
        <v>22</v>
      </c>
      <c r="L255" s="4">
        <f t="shared" si="26"/>
        <v>82</v>
      </c>
      <c r="M255" s="4" t="s">
        <v>519</v>
      </c>
      <c r="N255" s="4">
        <f t="shared" si="27"/>
        <v>1</v>
      </c>
    </row>
    <row r="256" spans="1:14">
      <c r="A256" s="4">
        <v>16</v>
      </c>
      <c r="B256" s="4" t="s">
        <v>534</v>
      </c>
      <c r="C256" s="4" t="s">
        <v>72</v>
      </c>
      <c r="D256" s="4" t="s">
        <v>70</v>
      </c>
      <c r="E256" s="4" t="str">
        <f t="shared" si="21"/>
        <v>16|U|G</v>
      </c>
      <c r="F256" s="12">
        <v>1</v>
      </c>
      <c r="G256" s="4">
        <f t="shared" si="22"/>
        <v>78</v>
      </c>
      <c r="H256" s="12">
        <v>1</v>
      </c>
      <c r="I256" s="14">
        <f t="shared" si="23"/>
        <v>1.282051282051282E-2</v>
      </c>
      <c r="J256" s="14">
        <f t="shared" si="24"/>
        <v>2.4390243902439025E-2</v>
      </c>
      <c r="K256" s="4">
        <f t="shared" si="25"/>
        <v>2</v>
      </c>
      <c r="L256" s="4">
        <f t="shared" si="26"/>
        <v>82</v>
      </c>
      <c r="M256" s="4" t="s">
        <v>519</v>
      </c>
      <c r="N256" s="4">
        <f t="shared" si="27"/>
        <v>1</v>
      </c>
    </row>
    <row r="257" spans="1:14">
      <c r="A257" s="4">
        <v>16</v>
      </c>
      <c r="B257" s="4" t="s">
        <v>534</v>
      </c>
      <c r="C257" s="4" t="s">
        <v>72</v>
      </c>
      <c r="D257" s="4" t="s">
        <v>72</v>
      </c>
      <c r="E257" s="4" t="str">
        <f t="shared" si="21"/>
        <v>16|U|U</v>
      </c>
      <c r="F257" s="12">
        <v>49</v>
      </c>
      <c r="G257" s="4">
        <f t="shared" si="22"/>
        <v>78</v>
      </c>
      <c r="H257" s="12">
        <v>1</v>
      </c>
      <c r="I257" s="14">
        <f t="shared" si="23"/>
        <v>0.62820512820512819</v>
      </c>
      <c r="J257" s="14">
        <f t="shared" si="24"/>
        <v>0.6097560975609756</v>
      </c>
      <c r="K257" s="4">
        <f t="shared" si="25"/>
        <v>50</v>
      </c>
      <c r="L257" s="4">
        <f t="shared" si="26"/>
        <v>82</v>
      </c>
      <c r="M257" s="4" t="s">
        <v>519</v>
      </c>
      <c r="N257" s="4">
        <f t="shared" si="27"/>
        <v>1</v>
      </c>
    </row>
    <row r="258" spans="1:14">
      <c r="A258" s="4">
        <v>17</v>
      </c>
      <c r="B258" s="4" t="s">
        <v>535</v>
      </c>
      <c r="C258" s="4" t="s">
        <v>73</v>
      </c>
      <c r="D258" s="4" t="s">
        <v>73</v>
      </c>
      <c r="E258" s="4" t="str">
        <f t="shared" ref="E258:E321" si="28">A258&amp;"|"&amp;C258&amp;"|"&amp;D258</f>
        <v>17|A|A</v>
      </c>
      <c r="F258" s="12">
        <v>1</v>
      </c>
      <c r="G258" s="4">
        <f t="shared" ref="G258:G321" si="29">SUMIFS($F$2:$F$1137,$A$2:$A$1137,A258,$C$2:$C$1137,C258)</f>
        <v>12</v>
      </c>
      <c r="H258" s="12">
        <v>1</v>
      </c>
      <c r="I258" s="14">
        <f t="shared" ref="I258:I321" si="30">IF(G258=0,"",F258/G258)</f>
        <v>8.3333333333333329E-2</v>
      </c>
      <c r="J258" s="14">
        <f t="shared" ref="J258:J321" si="31">K258/L258</f>
        <v>0.125</v>
      </c>
      <c r="K258" s="4">
        <f t="shared" ref="K258:K321" si="32">F258+H258</f>
        <v>2</v>
      </c>
      <c r="L258" s="4">
        <f t="shared" ref="L258:L321" si="33">G258+4*H258</f>
        <v>16</v>
      </c>
      <c r="M258" s="4" t="s">
        <v>519</v>
      </c>
      <c r="N258" s="4">
        <f t="shared" ref="N258:N321" si="34">ROUND(SUMIFS($J$2:$J$1137,$A$2:$A$1137,A258,$C$2:$C$1137,C258),9)</f>
        <v>1</v>
      </c>
    </row>
    <row r="259" spans="1:14">
      <c r="A259" s="4">
        <v>17</v>
      </c>
      <c r="B259" s="4" t="s">
        <v>535</v>
      </c>
      <c r="C259" s="4" t="s">
        <v>73</v>
      </c>
      <c r="D259" s="4" t="s">
        <v>71</v>
      </c>
      <c r="E259" s="4" t="str">
        <f t="shared" si="28"/>
        <v>17|A|C</v>
      </c>
      <c r="F259" s="12">
        <v>0</v>
      </c>
      <c r="G259" s="4">
        <f t="shared" si="29"/>
        <v>12</v>
      </c>
      <c r="H259" s="12">
        <v>1</v>
      </c>
      <c r="I259" s="14">
        <f t="shared" si="30"/>
        <v>0</v>
      </c>
      <c r="J259" s="14">
        <f t="shared" si="31"/>
        <v>6.25E-2</v>
      </c>
      <c r="K259" s="4">
        <f t="shared" si="32"/>
        <v>1</v>
      </c>
      <c r="L259" s="4">
        <f t="shared" si="33"/>
        <v>16</v>
      </c>
      <c r="M259" s="4" t="s">
        <v>519</v>
      </c>
      <c r="N259" s="4">
        <f t="shared" si="34"/>
        <v>1</v>
      </c>
    </row>
    <row r="260" spans="1:14">
      <c r="A260" s="4">
        <v>17</v>
      </c>
      <c r="B260" s="4" t="s">
        <v>535</v>
      </c>
      <c r="C260" s="4" t="s">
        <v>73</v>
      </c>
      <c r="D260" s="4" t="s">
        <v>70</v>
      </c>
      <c r="E260" s="4" t="str">
        <f t="shared" si="28"/>
        <v>17|A|G</v>
      </c>
      <c r="F260" s="12">
        <v>11</v>
      </c>
      <c r="G260" s="4">
        <f t="shared" si="29"/>
        <v>12</v>
      </c>
      <c r="H260" s="12">
        <v>1</v>
      </c>
      <c r="I260" s="14">
        <f t="shared" si="30"/>
        <v>0.91666666666666663</v>
      </c>
      <c r="J260" s="14">
        <f t="shared" si="31"/>
        <v>0.75</v>
      </c>
      <c r="K260" s="4">
        <f t="shared" si="32"/>
        <v>12</v>
      </c>
      <c r="L260" s="4">
        <f t="shared" si="33"/>
        <v>16</v>
      </c>
      <c r="M260" s="4" t="s">
        <v>519</v>
      </c>
      <c r="N260" s="4">
        <f t="shared" si="34"/>
        <v>1</v>
      </c>
    </row>
    <row r="261" spans="1:14">
      <c r="A261" s="4">
        <v>17</v>
      </c>
      <c r="B261" s="4" t="s">
        <v>535</v>
      </c>
      <c r="C261" s="4" t="s">
        <v>73</v>
      </c>
      <c r="D261" s="4" t="s">
        <v>72</v>
      </c>
      <c r="E261" s="4" t="str">
        <f t="shared" si="28"/>
        <v>17|A|U</v>
      </c>
      <c r="F261" s="12">
        <v>0</v>
      </c>
      <c r="G261" s="4">
        <f t="shared" si="29"/>
        <v>12</v>
      </c>
      <c r="H261" s="12">
        <v>1</v>
      </c>
      <c r="I261" s="14">
        <f t="shared" si="30"/>
        <v>0</v>
      </c>
      <c r="J261" s="14">
        <f t="shared" si="31"/>
        <v>6.25E-2</v>
      </c>
      <c r="K261" s="4">
        <f t="shared" si="32"/>
        <v>1</v>
      </c>
      <c r="L261" s="4">
        <f t="shared" si="33"/>
        <v>16</v>
      </c>
      <c r="M261" s="4" t="s">
        <v>519</v>
      </c>
      <c r="N261" s="4">
        <f t="shared" si="34"/>
        <v>1</v>
      </c>
    </row>
    <row r="262" spans="1:14">
      <c r="A262" s="4">
        <v>17</v>
      </c>
      <c r="B262" s="4" t="s">
        <v>535</v>
      </c>
      <c r="C262" s="4" t="s">
        <v>71</v>
      </c>
      <c r="D262" s="4" t="s">
        <v>73</v>
      </c>
      <c r="E262" s="4" t="str">
        <f t="shared" si="28"/>
        <v>17|C|A</v>
      </c>
      <c r="F262" s="12">
        <v>0</v>
      </c>
      <c r="G262" s="4">
        <f t="shared" si="29"/>
        <v>63</v>
      </c>
      <c r="H262" s="12">
        <v>1</v>
      </c>
      <c r="I262" s="14">
        <f t="shared" si="30"/>
        <v>0</v>
      </c>
      <c r="J262" s="14">
        <f t="shared" si="31"/>
        <v>1.4925373134328358E-2</v>
      </c>
      <c r="K262" s="4">
        <f t="shared" si="32"/>
        <v>1</v>
      </c>
      <c r="L262" s="4">
        <f t="shared" si="33"/>
        <v>67</v>
      </c>
      <c r="M262" s="4" t="s">
        <v>519</v>
      </c>
      <c r="N262" s="4">
        <f t="shared" si="34"/>
        <v>1</v>
      </c>
    </row>
    <row r="263" spans="1:14">
      <c r="A263" s="4">
        <v>17</v>
      </c>
      <c r="B263" s="4" t="s">
        <v>535</v>
      </c>
      <c r="C263" s="4" t="s">
        <v>71</v>
      </c>
      <c r="D263" s="4" t="s">
        <v>71</v>
      </c>
      <c r="E263" s="4" t="str">
        <f t="shared" si="28"/>
        <v>17|C|C</v>
      </c>
      <c r="F263" s="12">
        <v>0</v>
      </c>
      <c r="G263" s="4">
        <f t="shared" si="29"/>
        <v>63</v>
      </c>
      <c r="H263" s="12">
        <v>1</v>
      </c>
      <c r="I263" s="14">
        <f t="shared" si="30"/>
        <v>0</v>
      </c>
      <c r="J263" s="14">
        <f t="shared" si="31"/>
        <v>1.4925373134328358E-2</v>
      </c>
      <c r="K263" s="4">
        <f t="shared" si="32"/>
        <v>1</v>
      </c>
      <c r="L263" s="4">
        <f t="shared" si="33"/>
        <v>67</v>
      </c>
      <c r="M263" s="4" t="s">
        <v>519</v>
      </c>
      <c r="N263" s="4">
        <f t="shared" si="34"/>
        <v>1</v>
      </c>
    </row>
    <row r="264" spans="1:14">
      <c r="A264" s="4">
        <v>17</v>
      </c>
      <c r="B264" s="4" t="s">
        <v>535</v>
      </c>
      <c r="C264" s="4" t="s">
        <v>71</v>
      </c>
      <c r="D264" s="4" t="s">
        <v>70</v>
      </c>
      <c r="E264" s="4" t="str">
        <f t="shared" si="28"/>
        <v>17|C|G</v>
      </c>
      <c r="F264" s="12">
        <v>63</v>
      </c>
      <c r="G264" s="4">
        <f t="shared" si="29"/>
        <v>63</v>
      </c>
      <c r="H264" s="12">
        <v>1</v>
      </c>
      <c r="I264" s="14">
        <f t="shared" si="30"/>
        <v>1</v>
      </c>
      <c r="J264" s="14">
        <f t="shared" si="31"/>
        <v>0.95522388059701491</v>
      </c>
      <c r="K264" s="4">
        <f t="shared" si="32"/>
        <v>64</v>
      </c>
      <c r="L264" s="4">
        <f t="shared" si="33"/>
        <v>67</v>
      </c>
      <c r="M264" s="4" t="s">
        <v>519</v>
      </c>
      <c r="N264" s="4">
        <f t="shared" si="34"/>
        <v>1</v>
      </c>
    </row>
    <row r="265" spans="1:14">
      <c r="A265" s="4">
        <v>17</v>
      </c>
      <c r="B265" s="4" t="s">
        <v>535</v>
      </c>
      <c r="C265" s="4" t="s">
        <v>71</v>
      </c>
      <c r="D265" s="4" t="s">
        <v>72</v>
      </c>
      <c r="E265" s="4" t="str">
        <f t="shared" si="28"/>
        <v>17|C|U</v>
      </c>
      <c r="F265" s="12">
        <v>0</v>
      </c>
      <c r="G265" s="4">
        <f t="shared" si="29"/>
        <v>63</v>
      </c>
      <c r="H265" s="12">
        <v>1</v>
      </c>
      <c r="I265" s="14">
        <f t="shared" si="30"/>
        <v>0</v>
      </c>
      <c r="J265" s="14">
        <f t="shared" si="31"/>
        <v>1.4925373134328358E-2</v>
      </c>
      <c r="K265" s="4">
        <f t="shared" si="32"/>
        <v>1</v>
      </c>
      <c r="L265" s="4">
        <f t="shared" si="33"/>
        <v>67</v>
      </c>
      <c r="M265" s="4" t="s">
        <v>519</v>
      </c>
      <c r="N265" s="4">
        <f t="shared" si="34"/>
        <v>1</v>
      </c>
    </row>
    <row r="266" spans="1:14">
      <c r="A266" s="4">
        <v>17</v>
      </c>
      <c r="B266" s="4" t="s">
        <v>535</v>
      </c>
      <c r="C266" s="4" t="s">
        <v>70</v>
      </c>
      <c r="D266" s="4" t="s">
        <v>73</v>
      </c>
      <c r="E266" s="4" t="str">
        <f t="shared" si="28"/>
        <v>17|G|A</v>
      </c>
      <c r="F266" s="12">
        <v>0</v>
      </c>
      <c r="G266" s="4">
        <f t="shared" si="29"/>
        <v>8</v>
      </c>
      <c r="H266" s="12">
        <v>1</v>
      </c>
      <c r="I266" s="14">
        <f t="shared" si="30"/>
        <v>0</v>
      </c>
      <c r="J266" s="14">
        <f t="shared" si="31"/>
        <v>8.3333333333333329E-2</v>
      </c>
      <c r="K266" s="4">
        <f t="shared" si="32"/>
        <v>1</v>
      </c>
      <c r="L266" s="4">
        <f t="shared" si="33"/>
        <v>12</v>
      </c>
      <c r="M266" s="4" t="s">
        <v>519</v>
      </c>
      <c r="N266" s="4">
        <f t="shared" si="34"/>
        <v>1</v>
      </c>
    </row>
    <row r="267" spans="1:14">
      <c r="A267" s="4">
        <v>17</v>
      </c>
      <c r="B267" s="4" t="s">
        <v>535</v>
      </c>
      <c r="C267" s="4" t="s">
        <v>70</v>
      </c>
      <c r="D267" s="4" t="s">
        <v>71</v>
      </c>
      <c r="E267" s="4" t="str">
        <f t="shared" si="28"/>
        <v>17|G|C</v>
      </c>
      <c r="F267" s="12">
        <v>0</v>
      </c>
      <c r="G267" s="4">
        <f t="shared" si="29"/>
        <v>8</v>
      </c>
      <c r="H267" s="12">
        <v>1</v>
      </c>
      <c r="I267" s="14">
        <f t="shared" si="30"/>
        <v>0</v>
      </c>
      <c r="J267" s="14">
        <f t="shared" si="31"/>
        <v>8.3333333333333329E-2</v>
      </c>
      <c r="K267" s="4">
        <f t="shared" si="32"/>
        <v>1</v>
      </c>
      <c r="L267" s="4">
        <f t="shared" si="33"/>
        <v>12</v>
      </c>
      <c r="M267" s="4" t="s">
        <v>519</v>
      </c>
      <c r="N267" s="4">
        <f t="shared" si="34"/>
        <v>1</v>
      </c>
    </row>
    <row r="268" spans="1:14">
      <c r="A268" s="4">
        <v>17</v>
      </c>
      <c r="B268" s="4" t="s">
        <v>535</v>
      </c>
      <c r="C268" s="4" t="s">
        <v>70</v>
      </c>
      <c r="D268" s="4" t="s">
        <v>70</v>
      </c>
      <c r="E268" s="4" t="str">
        <f t="shared" si="28"/>
        <v>17|G|G</v>
      </c>
      <c r="F268" s="12">
        <v>8</v>
      </c>
      <c r="G268" s="4">
        <f t="shared" si="29"/>
        <v>8</v>
      </c>
      <c r="H268" s="12">
        <v>1</v>
      </c>
      <c r="I268" s="14">
        <f t="shared" si="30"/>
        <v>1</v>
      </c>
      <c r="J268" s="14">
        <f t="shared" si="31"/>
        <v>0.75</v>
      </c>
      <c r="K268" s="4">
        <f t="shared" si="32"/>
        <v>9</v>
      </c>
      <c r="L268" s="4">
        <f t="shared" si="33"/>
        <v>12</v>
      </c>
      <c r="M268" s="4" t="s">
        <v>519</v>
      </c>
      <c r="N268" s="4">
        <f t="shared" si="34"/>
        <v>1</v>
      </c>
    </row>
    <row r="269" spans="1:14">
      <c r="A269" s="4">
        <v>17</v>
      </c>
      <c r="B269" s="4" t="s">
        <v>535</v>
      </c>
      <c r="C269" s="4" t="s">
        <v>70</v>
      </c>
      <c r="D269" s="4" t="s">
        <v>72</v>
      </c>
      <c r="E269" s="4" t="str">
        <f t="shared" si="28"/>
        <v>17|G|U</v>
      </c>
      <c r="F269" s="12">
        <v>0</v>
      </c>
      <c r="G269" s="4">
        <f t="shared" si="29"/>
        <v>8</v>
      </c>
      <c r="H269" s="12">
        <v>1</v>
      </c>
      <c r="I269" s="14">
        <f t="shared" si="30"/>
        <v>0</v>
      </c>
      <c r="J269" s="14">
        <f t="shared" si="31"/>
        <v>8.3333333333333329E-2</v>
      </c>
      <c r="K269" s="4">
        <f t="shared" si="32"/>
        <v>1</v>
      </c>
      <c r="L269" s="4">
        <f t="shared" si="33"/>
        <v>12</v>
      </c>
      <c r="M269" s="4" t="s">
        <v>519</v>
      </c>
      <c r="N269" s="4">
        <f t="shared" si="34"/>
        <v>1</v>
      </c>
    </row>
    <row r="270" spans="1:14">
      <c r="A270" s="4">
        <v>17</v>
      </c>
      <c r="B270" s="4" t="s">
        <v>535</v>
      </c>
      <c r="C270" s="4" t="s">
        <v>72</v>
      </c>
      <c r="D270" s="4" t="s">
        <v>73</v>
      </c>
      <c r="E270" s="4" t="str">
        <f t="shared" si="28"/>
        <v>17|U|A</v>
      </c>
      <c r="F270" s="12">
        <v>0</v>
      </c>
      <c r="G270" s="4">
        <f t="shared" si="29"/>
        <v>114</v>
      </c>
      <c r="H270" s="12">
        <v>1</v>
      </c>
      <c r="I270" s="14">
        <f t="shared" si="30"/>
        <v>0</v>
      </c>
      <c r="J270" s="14">
        <f t="shared" si="31"/>
        <v>8.4745762711864406E-3</v>
      </c>
      <c r="K270" s="4">
        <f t="shared" si="32"/>
        <v>1</v>
      </c>
      <c r="L270" s="4">
        <f t="shared" si="33"/>
        <v>118</v>
      </c>
      <c r="M270" s="4" t="s">
        <v>519</v>
      </c>
      <c r="N270" s="4">
        <f t="shared" si="34"/>
        <v>1</v>
      </c>
    </row>
    <row r="271" spans="1:14">
      <c r="A271" s="4">
        <v>17</v>
      </c>
      <c r="B271" s="4" t="s">
        <v>535</v>
      </c>
      <c r="C271" s="4" t="s">
        <v>72</v>
      </c>
      <c r="D271" s="4" t="s">
        <v>71</v>
      </c>
      <c r="E271" s="4" t="str">
        <f t="shared" si="28"/>
        <v>17|U|C</v>
      </c>
      <c r="F271" s="12">
        <v>0</v>
      </c>
      <c r="G271" s="4">
        <f t="shared" si="29"/>
        <v>114</v>
      </c>
      <c r="H271" s="12">
        <v>1</v>
      </c>
      <c r="I271" s="14">
        <f t="shared" si="30"/>
        <v>0</v>
      </c>
      <c r="J271" s="14">
        <f t="shared" si="31"/>
        <v>8.4745762711864406E-3</v>
      </c>
      <c r="K271" s="4">
        <f t="shared" si="32"/>
        <v>1</v>
      </c>
      <c r="L271" s="4">
        <f t="shared" si="33"/>
        <v>118</v>
      </c>
      <c r="M271" s="4" t="s">
        <v>519</v>
      </c>
      <c r="N271" s="4">
        <f t="shared" si="34"/>
        <v>1</v>
      </c>
    </row>
    <row r="272" spans="1:14">
      <c r="A272" s="4">
        <v>17</v>
      </c>
      <c r="B272" s="4" t="s">
        <v>535</v>
      </c>
      <c r="C272" s="4" t="s">
        <v>72</v>
      </c>
      <c r="D272" s="4" t="s">
        <v>70</v>
      </c>
      <c r="E272" s="4" t="str">
        <f t="shared" si="28"/>
        <v>17|U|G</v>
      </c>
      <c r="F272" s="12">
        <v>114</v>
      </c>
      <c r="G272" s="4">
        <f t="shared" si="29"/>
        <v>114</v>
      </c>
      <c r="H272" s="12">
        <v>1</v>
      </c>
      <c r="I272" s="14">
        <f t="shared" si="30"/>
        <v>1</v>
      </c>
      <c r="J272" s="14">
        <f t="shared" si="31"/>
        <v>0.97457627118644063</v>
      </c>
      <c r="K272" s="4">
        <f t="shared" si="32"/>
        <v>115</v>
      </c>
      <c r="L272" s="4">
        <f t="shared" si="33"/>
        <v>118</v>
      </c>
      <c r="M272" s="4" t="s">
        <v>519</v>
      </c>
      <c r="N272" s="4">
        <f t="shared" si="34"/>
        <v>1</v>
      </c>
    </row>
    <row r="273" spans="1:14">
      <c r="A273" s="4">
        <v>17</v>
      </c>
      <c r="B273" s="4" t="s">
        <v>535</v>
      </c>
      <c r="C273" s="4" t="s">
        <v>72</v>
      </c>
      <c r="D273" s="4" t="s">
        <v>72</v>
      </c>
      <c r="E273" s="4" t="str">
        <f t="shared" si="28"/>
        <v>17|U|U</v>
      </c>
      <c r="F273" s="12">
        <v>0</v>
      </c>
      <c r="G273" s="4">
        <f t="shared" si="29"/>
        <v>114</v>
      </c>
      <c r="H273" s="12">
        <v>1</v>
      </c>
      <c r="I273" s="14">
        <f t="shared" si="30"/>
        <v>0</v>
      </c>
      <c r="J273" s="14">
        <f t="shared" si="31"/>
        <v>8.4745762711864406E-3</v>
      </c>
      <c r="K273" s="4">
        <f t="shared" si="32"/>
        <v>1</v>
      </c>
      <c r="L273" s="4">
        <f t="shared" si="33"/>
        <v>118</v>
      </c>
      <c r="M273" s="4" t="s">
        <v>519</v>
      </c>
      <c r="N273" s="4">
        <f t="shared" si="34"/>
        <v>1</v>
      </c>
    </row>
    <row r="274" spans="1:14">
      <c r="A274" s="4">
        <v>18</v>
      </c>
      <c r="B274" s="4" t="s">
        <v>536</v>
      </c>
      <c r="C274" s="4" t="s">
        <v>73</v>
      </c>
      <c r="D274" s="4" t="s">
        <v>73</v>
      </c>
      <c r="E274" s="4" t="str">
        <f t="shared" si="28"/>
        <v>18|A|A</v>
      </c>
      <c r="F274" s="12">
        <v>1</v>
      </c>
      <c r="G274" s="4">
        <f t="shared" si="29"/>
        <v>1</v>
      </c>
      <c r="H274" s="12">
        <v>1</v>
      </c>
      <c r="I274" s="14">
        <f t="shared" si="30"/>
        <v>1</v>
      </c>
      <c r="J274" s="14">
        <f t="shared" si="31"/>
        <v>0.4</v>
      </c>
      <c r="K274" s="4">
        <f t="shared" si="32"/>
        <v>2</v>
      </c>
      <c r="L274" s="4">
        <f t="shared" si="33"/>
        <v>5</v>
      </c>
      <c r="M274" s="4" t="s">
        <v>519</v>
      </c>
      <c r="N274" s="4">
        <f t="shared" si="34"/>
        <v>1</v>
      </c>
    </row>
    <row r="275" spans="1:14">
      <c r="A275" s="4">
        <v>18</v>
      </c>
      <c r="B275" s="4" t="s">
        <v>536</v>
      </c>
      <c r="C275" s="4" t="s">
        <v>73</v>
      </c>
      <c r="D275" s="4" t="s">
        <v>71</v>
      </c>
      <c r="E275" s="4" t="str">
        <f t="shared" si="28"/>
        <v>18|A|C</v>
      </c>
      <c r="F275" s="12">
        <v>0</v>
      </c>
      <c r="G275" s="4">
        <f t="shared" si="29"/>
        <v>1</v>
      </c>
      <c r="H275" s="12">
        <v>1</v>
      </c>
      <c r="I275" s="14">
        <f t="shared" si="30"/>
        <v>0</v>
      </c>
      <c r="J275" s="14">
        <f t="shared" si="31"/>
        <v>0.2</v>
      </c>
      <c r="K275" s="4">
        <f t="shared" si="32"/>
        <v>1</v>
      </c>
      <c r="L275" s="4">
        <f t="shared" si="33"/>
        <v>5</v>
      </c>
      <c r="M275" s="4" t="s">
        <v>519</v>
      </c>
      <c r="N275" s="4">
        <f t="shared" si="34"/>
        <v>1</v>
      </c>
    </row>
    <row r="276" spans="1:14">
      <c r="A276" s="4">
        <v>18</v>
      </c>
      <c r="B276" s="4" t="s">
        <v>536</v>
      </c>
      <c r="C276" s="4" t="s">
        <v>73</v>
      </c>
      <c r="D276" s="4" t="s">
        <v>70</v>
      </c>
      <c r="E276" s="4" t="str">
        <f t="shared" si="28"/>
        <v>18|A|G</v>
      </c>
      <c r="F276" s="12">
        <v>0</v>
      </c>
      <c r="G276" s="4">
        <f t="shared" si="29"/>
        <v>1</v>
      </c>
      <c r="H276" s="12">
        <v>1</v>
      </c>
      <c r="I276" s="14">
        <f t="shared" si="30"/>
        <v>0</v>
      </c>
      <c r="J276" s="14">
        <f t="shared" si="31"/>
        <v>0.2</v>
      </c>
      <c r="K276" s="4">
        <f t="shared" si="32"/>
        <v>1</v>
      </c>
      <c r="L276" s="4">
        <f t="shared" si="33"/>
        <v>5</v>
      </c>
      <c r="M276" s="4" t="s">
        <v>519</v>
      </c>
      <c r="N276" s="4">
        <f t="shared" si="34"/>
        <v>1</v>
      </c>
    </row>
    <row r="277" spans="1:14">
      <c r="A277" s="4">
        <v>18</v>
      </c>
      <c r="B277" s="4" t="s">
        <v>536</v>
      </c>
      <c r="C277" s="4" t="s">
        <v>73</v>
      </c>
      <c r="D277" s="4" t="s">
        <v>72</v>
      </c>
      <c r="E277" s="4" t="str">
        <f t="shared" si="28"/>
        <v>18|A|U</v>
      </c>
      <c r="F277" s="12">
        <v>0</v>
      </c>
      <c r="G277" s="4">
        <f t="shared" si="29"/>
        <v>1</v>
      </c>
      <c r="H277" s="12">
        <v>1</v>
      </c>
      <c r="I277" s="14">
        <f t="shared" si="30"/>
        <v>0</v>
      </c>
      <c r="J277" s="14">
        <f t="shared" si="31"/>
        <v>0.2</v>
      </c>
      <c r="K277" s="4">
        <f t="shared" si="32"/>
        <v>1</v>
      </c>
      <c r="L277" s="4">
        <f t="shared" si="33"/>
        <v>5</v>
      </c>
      <c r="M277" s="4" t="s">
        <v>519</v>
      </c>
      <c r="N277" s="4">
        <f t="shared" si="34"/>
        <v>1</v>
      </c>
    </row>
    <row r="278" spans="1:14">
      <c r="A278" s="4">
        <v>18</v>
      </c>
      <c r="B278" s="4" t="s">
        <v>536</v>
      </c>
      <c r="C278" s="4" t="s">
        <v>71</v>
      </c>
      <c r="D278" s="4" t="s">
        <v>73</v>
      </c>
      <c r="E278" s="4" t="str">
        <f t="shared" si="28"/>
        <v>18|C|A</v>
      </c>
      <c r="F278" s="12">
        <v>0</v>
      </c>
      <c r="G278" s="4">
        <f t="shared" si="29"/>
        <v>0</v>
      </c>
      <c r="H278" s="12">
        <v>1</v>
      </c>
      <c r="I278" s="14" t="str">
        <f t="shared" si="30"/>
        <v/>
      </c>
      <c r="J278" s="14">
        <f t="shared" si="31"/>
        <v>0.25</v>
      </c>
      <c r="K278" s="4">
        <f t="shared" si="32"/>
        <v>1</v>
      </c>
      <c r="L278" s="4">
        <f t="shared" si="33"/>
        <v>4</v>
      </c>
      <c r="M278" s="4" t="s">
        <v>519</v>
      </c>
      <c r="N278" s="4">
        <f t="shared" si="34"/>
        <v>1</v>
      </c>
    </row>
    <row r="279" spans="1:14">
      <c r="A279" s="4">
        <v>18</v>
      </c>
      <c r="B279" s="4" t="s">
        <v>536</v>
      </c>
      <c r="C279" s="4" t="s">
        <v>71</v>
      </c>
      <c r="D279" s="4" t="s">
        <v>71</v>
      </c>
      <c r="E279" s="4" t="str">
        <f t="shared" si="28"/>
        <v>18|C|C</v>
      </c>
      <c r="F279" s="12">
        <v>0</v>
      </c>
      <c r="G279" s="4">
        <f t="shared" si="29"/>
        <v>0</v>
      </c>
      <c r="H279" s="12">
        <v>1</v>
      </c>
      <c r="I279" s="14" t="str">
        <f t="shared" si="30"/>
        <v/>
      </c>
      <c r="J279" s="14">
        <f t="shared" si="31"/>
        <v>0.25</v>
      </c>
      <c r="K279" s="4">
        <f t="shared" si="32"/>
        <v>1</v>
      </c>
      <c r="L279" s="4">
        <f t="shared" si="33"/>
        <v>4</v>
      </c>
      <c r="M279" s="4" t="s">
        <v>519</v>
      </c>
      <c r="N279" s="4">
        <f t="shared" si="34"/>
        <v>1</v>
      </c>
    </row>
    <row r="280" spans="1:14">
      <c r="A280" s="4">
        <v>18</v>
      </c>
      <c r="B280" s="4" t="s">
        <v>536</v>
      </c>
      <c r="C280" s="4" t="s">
        <v>71</v>
      </c>
      <c r="D280" s="4" t="s">
        <v>70</v>
      </c>
      <c r="E280" s="4" t="str">
        <f t="shared" si="28"/>
        <v>18|C|G</v>
      </c>
      <c r="F280" s="12">
        <v>0</v>
      </c>
      <c r="G280" s="4">
        <f t="shared" si="29"/>
        <v>0</v>
      </c>
      <c r="H280" s="12">
        <v>1</v>
      </c>
      <c r="I280" s="14" t="str">
        <f t="shared" si="30"/>
        <v/>
      </c>
      <c r="J280" s="14">
        <f t="shared" si="31"/>
        <v>0.25</v>
      </c>
      <c r="K280" s="4">
        <f t="shared" si="32"/>
        <v>1</v>
      </c>
      <c r="L280" s="4">
        <f t="shared" si="33"/>
        <v>4</v>
      </c>
      <c r="M280" s="4" t="s">
        <v>519</v>
      </c>
      <c r="N280" s="4">
        <f t="shared" si="34"/>
        <v>1</v>
      </c>
    </row>
    <row r="281" spans="1:14">
      <c r="A281" s="4">
        <v>18</v>
      </c>
      <c r="B281" s="4" t="s">
        <v>536</v>
      </c>
      <c r="C281" s="4" t="s">
        <v>71</v>
      </c>
      <c r="D281" s="4" t="s">
        <v>72</v>
      </c>
      <c r="E281" s="4" t="str">
        <f t="shared" si="28"/>
        <v>18|C|U</v>
      </c>
      <c r="F281" s="12">
        <v>0</v>
      </c>
      <c r="G281" s="4">
        <f t="shared" si="29"/>
        <v>0</v>
      </c>
      <c r="H281" s="12">
        <v>1</v>
      </c>
      <c r="I281" s="14" t="str">
        <f t="shared" si="30"/>
        <v/>
      </c>
      <c r="J281" s="14">
        <f t="shared" si="31"/>
        <v>0.25</v>
      </c>
      <c r="K281" s="4">
        <f t="shared" si="32"/>
        <v>1</v>
      </c>
      <c r="L281" s="4">
        <f t="shared" si="33"/>
        <v>4</v>
      </c>
      <c r="M281" s="4" t="s">
        <v>519</v>
      </c>
      <c r="N281" s="4">
        <f t="shared" si="34"/>
        <v>1</v>
      </c>
    </row>
    <row r="282" spans="1:14">
      <c r="A282" s="4">
        <v>18</v>
      </c>
      <c r="B282" s="4" t="s">
        <v>536</v>
      </c>
      <c r="C282" s="4" t="s">
        <v>70</v>
      </c>
      <c r="D282" s="4" t="s">
        <v>73</v>
      </c>
      <c r="E282" s="4" t="str">
        <f t="shared" si="28"/>
        <v>18|G|A</v>
      </c>
      <c r="F282" s="12">
        <v>0</v>
      </c>
      <c r="G282" s="4">
        <f t="shared" si="29"/>
        <v>199</v>
      </c>
      <c r="H282" s="12">
        <v>1</v>
      </c>
      <c r="I282" s="14">
        <f t="shared" si="30"/>
        <v>0</v>
      </c>
      <c r="J282" s="14">
        <f t="shared" si="31"/>
        <v>4.9261083743842365E-3</v>
      </c>
      <c r="K282" s="4">
        <f t="shared" si="32"/>
        <v>1</v>
      </c>
      <c r="L282" s="4">
        <f t="shared" si="33"/>
        <v>203</v>
      </c>
      <c r="M282" s="4" t="s">
        <v>519</v>
      </c>
      <c r="N282" s="4">
        <f t="shared" si="34"/>
        <v>1</v>
      </c>
    </row>
    <row r="283" spans="1:14">
      <c r="A283" s="4">
        <v>18</v>
      </c>
      <c r="B283" s="4" t="s">
        <v>536</v>
      </c>
      <c r="C283" s="4" t="s">
        <v>70</v>
      </c>
      <c r="D283" s="4" t="s">
        <v>71</v>
      </c>
      <c r="E283" s="4" t="str">
        <f t="shared" si="28"/>
        <v>18|G|C</v>
      </c>
      <c r="F283" s="12">
        <v>0</v>
      </c>
      <c r="G283" s="4">
        <f t="shared" si="29"/>
        <v>199</v>
      </c>
      <c r="H283" s="12">
        <v>1</v>
      </c>
      <c r="I283" s="14">
        <f t="shared" si="30"/>
        <v>0</v>
      </c>
      <c r="J283" s="14">
        <f t="shared" si="31"/>
        <v>4.9261083743842365E-3</v>
      </c>
      <c r="K283" s="4">
        <f t="shared" si="32"/>
        <v>1</v>
      </c>
      <c r="L283" s="4">
        <f t="shared" si="33"/>
        <v>203</v>
      </c>
      <c r="M283" s="4" t="s">
        <v>519</v>
      </c>
      <c r="N283" s="4">
        <f t="shared" si="34"/>
        <v>1</v>
      </c>
    </row>
    <row r="284" spans="1:14">
      <c r="A284" s="4">
        <v>18</v>
      </c>
      <c r="B284" s="4" t="s">
        <v>536</v>
      </c>
      <c r="C284" s="4" t="s">
        <v>70</v>
      </c>
      <c r="D284" s="4" t="s">
        <v>70</v>
      </c>
      <c r="E284" s="4" t="str">
        <f t="shared" si="28"/>
        <v>18|G|G</v>
      </c>
      <c r="F284" s="12">
        <v>197</v>
      </c>
      <c r="G284" s="4">
        <f t="shared" si="29"/>
        <v>199</v>
      </c>
      <c r="H284" s="12">
        <v>1</v>
      </c>
      <c r="I284" s="14">
        <f t="shared" si="30"/>
        <v>0.98994974874371855</v>
      </c>
      <c r="J284" s="14">
        <f t="shared" si="31"/>
        <v>0.97536945812807885</v>
      </c>
      <c r="K284" s="4">
        <f t="shared" si="32"/>
        <v>198</v>
      </c>
      <c r="L284" s="4">
        <f t="shared" si="33"/>
        <v>203</v>
      </c>
      <c r="M284" s="4" t="s">
        <v>519</v>
      </c>
      <c r="N284" s="4">
        <f t="shared" si="34"/>
        <v>1</v>
      </c>
    </row>
    <row r="285" spans="1:14">
      <c r="A285" s="4">
        <v>18</v>
      </c>
      <c r="B285" s="4" t="s">
        <v>536</v>
      </c>
      <c r="C285" s="4" t="s">
        <v>70</v>
      </c>
      <c r="D285" s="4" t="s">
        <v>72</v>
      </c>
      <c r="E285" s="4" t="str">
        <f t="shared" si="28"/>
        <v>18|G|U</v>
      </c>
      <c r="F285" s="12">
        <v>2</v>
      </c>
      <c r="G285" s="4">
        <f t="shared" si="29"/>
        <v>199</v>
      </c>
      <c r="H285" s="12">
        <v>1</v>
      </c>
      <c r="I285" s="14">
        <f t="shared" si="30"/>
        <v>1.0050251256281407E-2</v>
      </c>
      <c r="J285" s="14">
        <f t="shared" si="31"/>
        <v>1.4778325123152709E-2</v>
      </c>
      <c r="K285" s="4">
        <f t="shared" si="32"/>
        <v>3</v>
      </c>
      <c r="L285" s="4">
        <f t="shared" si="33"/>
        <v>203</v>
      </c>
      <c r="M285" s="4" t="s">
        <v>519</v>
      </c>
      <c r="N285" s="4">
        <f t="shared" si="34"/>
        <v>1</v>
      </c>
    </row>
    <row r="286" spans="1:14">
      <c r="A286" s="4">
        <v>18</v>
      </c>
      <c r="B286" s="4" t="s">
        <v>536</v>
      </c>
      <c r="C286" s="4" t="s">
        <v>72</v>
      </c>
      <c r="D286" s="4" t="s">
        <v>73</v>
      </c>
      <c r="E286" s="4" t="str">
        <f t="shared" si="28"/>
        <v>18|U|A</v>
      </c>
      <c r="F286" s="12">
        <v>0</v>
      </c>
      <c r="G286" s="4">
        <f t="shared" si="29"/>
        <v>0</v>
      </c>
      <c r="H286" s="12">
        <v>1</v>
      </c>
      <c r="I286" s="14" t="str">
        <f t="shared" si="30"/>
        <v/>
      </c>
      <c r="J286" s="14">
        <f t="shared" si="31"/>
        <v>0.25</v>
      </c>
      <c r="K286" s="4">
        <f t="shared" si="32"/>
        <v>1</v>
      </c>
      <c r="L286" s="4">
        <f t="shared" si="33"/>
        <v>4</v>
      </c>
      <c r="M286" s="4" t="s">
        <v>519</v>
      </c>
      <c r="N286" s="4">
        <f t="shared" si="34"/>
        <v>1</v>
      </c>
    </row>
    <row r="287" spans="1:14">
      <c r="A287" s="4">
        <v>18</v>
      </c>
      <c r="B287" s="4" t="s">
        <v>536</v>
      </c>
      <c r="C287" s="4" t="s">
        <v>72</v>
      </c>
      <c r="D287" s="4" t="s">
        <v>71</v>
      </c>
      <c r="E287" s="4" t="str">
        <f t="shared" si="28"/>
        <v>18|U|C</v>
      </c>
      <c r="F287" s="12">
        <v>0</v>
      </c>
      <c r="G287" s="4">
        <f t="shared" si="29"/>
        <v>0</v>
      </c>
      <c r="H287" s="12">
        <v>1</v>
      </c>
      <c r="I287" s="14" t="str">
        <f t="shared" si="30"/>
        <v/>
      </c>
      <c r="J287" s="14">
        <f t="shared" si="31"/>
        <v>0.25</v>
      </c>
      <c r="K287" s="4">
        <f t="shared" si="32"/>
        <v>1</v>
      </c>
      <c r="L287" s="4">
        <f t="shared" si="33"/>
        <v>4</v>
      </c>
      <c r="M287" s="4" t="s">
        <v>519</v>
      </c>
      <c r="N287" s="4">
        <f t="shared" si="34"/>
        <v>1</v>
      </c>
    </row>
    <row r="288" spans="1:14">
      <c r="A288" s="4">
        <v>18</v>
      </c>
      <c r="B288" s="4" t="s">
        <v>536</v>
      </c>
      <c r="C288" s="4" t="s">
        <v>72</v>
      </c>
      <c r="D288" s="4" t="s">
        <v>70</v>
      </c>
      <c r="E288" s="4" t="str">
        <f t="shared" si="28"/>
        <v>18|U|G</v>
      </c>
      <c r="F288" s="12">
        <v>0</v>
      </c>
      <c r="G288" s="4">
        <f t="shared" si="29"/>
        <v>0</v>
      </c>
      <c r="H288" s="12">
        <v>1</v>
      </c>
      <c r="I288" s="14" t="str">
        <f t="shared" si="30"/>
        <v/>
      </c>
      <c r="J288" s="14">
        <f t="shared" si="31"/>
        <v>0.25</v>
      </c>
      <c r="K288" s="4">
        <f t="shared" si="32"/>
        <v>1</v>
      </c>
      <c r="L288" s="4">
        <f t="shared" si="33"/>
        <v>4</v>
      </c>
      <c r="M288" s="4" t="s">
        <v>519</v>
      </c>
      <c r="N288" s="4">
        <f t="shared" si="34"/>
        <v>1</v>
      </c>
    </row>
    <row r="289" spans="1:14">
      <c r="A289" s="4">
        <v>18</v>
      </c>
      <c r="B289" s="4" t="s">
        <v>536</v>
      </c>
      <c r="C289" s="4" t="s">
        <v>72</v>
      </c>
      <c r="D289" s="4" t="s">
        <v>72</v>
      </c>
      <c r="E289" s="4" t="str">
        <f t="shared" si="28"/>
        <v>18|U|U</v>
      </c>
      <c r="F289" s="12">
        <v>0</v>
      </c>
      <c r="G289" s="4">
        <f t="shared" si="29"/>
        <v>0</v>
      </c>
      <c r="H289" s="12">
        <v>1</v>
      </c>
      <c r="I289" s="14" t="str">
        <f t="shared" si="30"/>
        <v/>
      </c>
      <c r="J289" s="14">
        <f t="shared" si="31"/>
        <v>0.25</v>
      </c>
      <c r="K289" s="4">
        <f t="shared" si="32"/>
        <v>1</v>
      </c>
      <c r="L289" s="4">
        <f t="shared" si="33"/>
        <v>4</v>
      </c>
      <c r="M289" s="4" t="s">
        <v>519</v>
      </c>
      <c r="N289" s="4">
        <f t="shared" si="34"/>
        <v>1</v>
      </c>
    </row>
    <row r="290" spans="1:14">
      <c r="A290" s="4">
        <v>19</v>
      </c>
      <c r="B290" s="4" t="s">
        <v>537</v>
      </c>
      <c r="C290" s="4" t="s">
        <v>73</v>
      </c>
      <c r="D290" s="4" t="s">
        <v>73</v>
      </c>
      <c r="E290" s="4" t="str">
        <f t="shared" si="28"/>
        <v>19|A|A</v>
      </c>
      <c r="F290" s="12">
        <v>0</v>
      </c>
      <c r="G290" s="4">
        <f t="shared" si="29"/>
        <v>1</v>
      </c>
      <c r="H290" s="12">
        <v>1</v>
      </c>
      <c r="I290" s="14">
        <f t="shared" si="30"/>
        <v>0</v>
      </c>
      <c r="J290" s="14">
        <f t="shared" si="31"/>
        <v>0.2</v>
      </c>
      <c r="K290" s="4">
        <f t="shared" si="32"/>
        <v>1</v>
      </c>
      <c r="L290" s="4">
        <f t="shared" si="33"/>
        <v>5</v>
      </c>
      <c r="M290" s="4" t="s">
        <v>519</v>
      </c>
      <c r="N290" s="4">
        <f t="shared" si="34"/>
        <v>1</v>
      </c>
    </row>
    <row r="291" spans="1:14">
      <c r="A291" s="4">
        <v>19</v>
      </c>
      <c r="B291" s="4" t="s">
        <v>537</v>
      </c>
      <c r="C291" s="4" t="s">
        <v>73</v>
      </c>
      <c r="D291" s="4" t="s">
        <v>71</v>
      </c>
      <c r="E291" s="4" t="str">
        <f t="shared" si="28"/>
        <v>19|A|C</v>
      </c>
      <c r="F291" s="12">
        <v>0</v>
      </c>
      <c r="G291" s="4">
        <f t="shared" si="29"/>
        <v>1</v>
      </c>
      <c r="H291" s="12">
        <v>1</v>
      </c>
      <c r="I291" s="14">
        <f t="shared" si="30"/>
        <v>0</v>
      </c>
      <c r="J291" s="14">
        <f t="shared" si="31"/>
        <v>0.2</v>
      </c>
      <c r="K291" s="4">
        <f t="shared" si="32"/>
        <v>1</v>
      </c>
      <c r="L291" s="4">
        <f t="shared" si="33"/>
        <v>5</v>
      </c>
      <c r="M291" s="4" t="s">
        <v>519</v>
      </c>
      <c r="N291" s="4">
        <f t="shared" si="34"/>
        <v>1</v>
      </c>
    </row>
    <row r="292" spans="1:14">
      <c r="A292" s="4">
        <v>19</v>
      </c>
      <c r="B292" s="4" t="s">
        <v>537</v>
      </c>
      <c r="C292" s="4" t="s">
        <v>73</v>
      </c>
      <c r="D292" s="4" t="s">
        <v>70</v>
      </c>
      <c r="E292" s="4" t="str">
        <f t="shared" si="28"/>
        <v>19|A|G</v>
      </c>
      <c r="F292" s="12">
        <v>0</v>
      </c>
      <c r="G292" s="4">
        <f t="shared" si="29"/>
        <v>1</v>
      </c>
      <c r="H292" s="12">
        <v>1</v>
      </c>
      <c r="I292" s="14">
        <f t="shared" si="30"/>
        <v>0</v>
      </c>
      <c r="J292" s="14">
        <f t="shared" si="31"/>
        <v>0.2</v>
      </c>
      <c r="K292" s="4">
        <f t="shared" si="32"/>
        <v>1</v>
      </c>
      <c r="L292" s="4">
        <f t="shared" si="33"/>
        <v>5</v>
      </c>
      <c r="M292" s="4" t="s">
        <v>519</v>
      </c>
      <c r="N292" s="4">
        <f t="shared" si="34"/>
        <v>1</v>
      </c>
    </row>
    <row r="293" spans="1:14">
      <c r="A293" s="4">
        <v>19</v>
      </c>
      <c r="B293" s="4" t="s">
        <v>537</v>
      </c>
      <c r="C293" s="4" t="s">
        <v>73</v>
      </c>
      <c r="D293" s="4" t="s">
        <v>72</v>
      </c>
      <c r="E293" s="4" t="str">
        <f t="shared" si="28"/>
        <v>19|A|U</v>
      </c>
      <c r="F293" s="12">
        <v>1</v>
      </c>
      <c r="G293" s="4">
        <f t="shared" si="29"/>
        <v>1</v>
      </c>
      <c r="H293" s="12">
        <v>1</v>
      </c>
      <c r="I293" s="14">
        <f t="shared" si="30"/>
        <v>1</v>
      </c>
      <c r="J293" s="14">
        <f t="shared" si="31"/>
        <v>0.4</v>
      </c>
      <c r="K293" s="4">
        <f t="shared" si="32"/>
        <v>2</v>
      </c>
      <c r="L293" s="4">
        <f t="shared" si="33"/>
        <v>5</v>
      </c>
      <c r="M293" s="4" t="s">
        <v>519</v>
      </c>
      <c r="N293" s="4">
        <f t="shared" si="34"/>
        <v>1</v>
      </c>
    </row>
    <row r="294" spans="1:14">
      <c r="A294" s="4">
        <v>19</v>
      </c>
      <c r="B294" s="4" t="s">
        <v>537</v>
      </c>
      <c r="C294" s="4" t="s">
        <v>71</v>
      </c>
      <c r="D294" s="4" t="s">
        <v>73</v>
      </c>
      <c r="E294" s="4" t="str">
        <f t="shared" si="28"/>
        <v>19|C|A</v>
      </c>
      <c r="F294" s="12">
        <v>0</v>
      </c>
      <c r="G294" s="4">
        <f t="shared" si="29"/>
        <v>0</v>
      </c>
      <c r="H294" s="12">
        <v>1</v>
      </c>
      <c r="I294" s="14" t="str">
        <f t="shared" si="30"/>
        <v/>
      </c>
      <c r="J294" s="14">
        <f t="shared" si="31"/>
        <v>0.25</v>
      </c>
      <c r="K294" s="4">
        <f t="shared" si="32"/>
        <v>1</v>
      </c>
      <c r="L294" s="4">
        <f t="shared" si="33"/>
        <v>4</v>
      </c>
      <c r="M294" s="4" t="s">
        <v>519</v>
      </c>
      <c r="N294" s="4">
        <f t="shared" si="34"/>
        <v>1</v>
      </c>
    </row>
    <row r="295" spans="1:14">
      <c r="A295" s="4">
        <v>19</v>
      </c>
      <c r="B295" s="4" t="s">
        <v>537</v>
      </c>
      <c r="C295" s="4" t="s">
        <v>71</v>
      </c>
      <c r="D295" s="4" t="s">
        <v>71</v>
      </c>
      <c r="E295" s="4" t="str">
        <f t="shared" si="28"/>
        <v>19|C|C</v>
      </c>
      <c r="F295" s="12">
        <v>0</v>
      </c>
      <c r="G295" s="4">
        <f t="shared" si="29"/>
        <v>0</v>
      </c>
      <c r="H295" s="12">
        <v>1</v>
      </c>
      <c r="I295" s="14" t="str">
        <f t="shared" si="30"/>
        <v/>
      </c>
      <c r="J295" s="14">
        <f t="shared" si="31"/>
        <v>0.25</v>
      </c>
      <c r="K295" s="4">
        <f t="shared" si="32"/>
        <v>1</v>
      </c>
      <c r="L295" s="4">
        <f t="shared" si="33"/>
        <v>4</v>
      </c>
      <c r="M295" s="4" t="s">
        <v>519</v>
      </c>
      <c r="N295" s="4">
        <f t="shared" si="34"/>
        <v>1</v>
      </c>
    </row>
    <row r="296" spans="1:14">
      <c r="A296" s="4">
        <v>19</v>
      </c>
      <c r="B296" s="4" t="s">
        <v>537</v>
      </c>
      <c r="C296" s="4" t="s">
        <v>71</v>
      </c>
      <c r="D296" s="4" t="s">
        <v>70</v>
      </c>
      <c r="E296" s="4" t="str">
        <f t="shared" si="28"/>
        <v>19|C|G</v>
      </c>
      <c r="F296" s="12">
        <v>0</v>
      </c>
      <c r="G296" s="4">
        <f t="shared" si="29"/>
        <v>0</v>
      </c>
      <c r="H296" s="12">
        <v>1</v>
      </c>
      <c r="I296" s="14" t="str">
        <f t="shared" si="30"/>
        <v/>
      </c>
      <c r="J296" s="14">
        <f t="shared" si="31"/>
        <v>0.25</v>
      </c>
      <c r="K296" s="4">
        <f t="shared" si="32"/>
        <v>1</v>
      </c>
      <c r="L296" s="4">
        <f t="shared" si="33"/>
        <v>4</v>
      </c>
      <c r="M296" s="4" t="s">
        <v>519</v>
      </c>
      <c r="N296" s="4">
        <f t="shared" si="34"/>
        <v>1</v>
      </c>
    </row>
    <row r="297" spans="1:14">
      <c r="A297" s="4">
        <v>19</v>
      </c>
      <c r="B297" s="4" t="s">
        <v>537</v>
      </c>
      <c r="C297" s="4" t="s">
        <v>71</v>
      </c>
      <c r="D297" s="4" t="s">
        <v>72</v>
      </c>
      <c r="E297" s="4" t="str">
        <f t="shared" si="28"/>
        <v>19|C|U</v>
      </c>
      <c r="F297" s="12">
        <v>0</v>
      </c>
      <c r="G297" s="4">
        <f t="shared" si="29"/>
        <v>0</v>
      </c>
      <c r="H297" s="12">
        <v>1</v>
      </c>
      <c r="I297" s="14" t="str">
        <f t="shared" si="30"/>
        <v/>
      </c>
      <c r="J297" s="14">
        <f t="shared" si="31"/>
        <v>0.25</v>
      </c>
      <c r="K297" s="4">
        <f t="shared" si="32"/>
        <v>1</v>
      </c>
      <c r="L297" s="4">
        <f t="shared" si="33"/>
        <v>4</v>
      </c>
      <c r="M297" s="4" t="s">
        <v>519</v>
      </c>
      <c r="N297" s="4">
        <f t="shared" si="34"/>
        <v>1</v>
      </c>
    </row>
    <row r="298" spans="1:14">
      <c r="A298" s="4">
        <v>19</v>
      </c>
      <c r="B298" s="4" t="s">
        <v>537</v>
      </c>
      <c r="C298" s="4" t="s">
        <v>70</v>
      </c>
      <c r="D298" s="4" t="s">
        <v>73</v>
      </c>
      <c r="E298" s="4" t="str">
        <f t="shared" si="28"/>
        <v>19|G|A</v>
      </c>
      <c r="F298" s="12">
        <v>17</v>
      </c>
      <c r="G298" s="4">
        <f t="shared" si="29"/>
        <v>197</v>
      </c>
      <c r="H298" s="12">
        <v>1</v>
      </c>
      <c r="I298" s="14">
        <f t="shared" si="30"/>
        <v>8.6294416243654817E-2</v>
      </c>
      <c r="J298" s="14">
        <f t="shared" si="31"/>
        <v>8.9552238805970144E-2</v>
      </c>
      <c r="K298" s="4">
        <f t="shared" si="32"/>
        <v>18</v>
      </c>
      <c r="L298" s="4">
        <f t="shared" si="33"/>
        <v>201</v>
      </c>
      <c r="M298" s="4" t="s">
        <v>519</v>
      </c>
      <c r="N298" s="4">
        <f t="shared" si="34"/>
        <v>1</v>
      </c>
    </row>
    <row r="299" spans="1:14">
      <c r="A299" s="4">
        <v>19</v>
      </c>
      <c r="B299" s="4" t="s">
        <v>537</v>
      </c>
      <c r="C299" s="4" t="s">
        <v>70</v>
      </c>
      <c r="D299" s="4" t="s">
        <v>71</v>
      </c>
      <c r="E299" s="4" t="str">
        <f t="shared" si="28"/>
        <v>19|G|C</v>
      </c>
      <c r="F299" s="12">
        <v>45</v>
      </c>
      <c r="G299" s="4">
        <f t="shared" si="29"/>
        <v>197</v>
      </c>
      <c r="H299" s="12">
        <v>1</v>
      </c>
      <c r="I299" s="14">
        <f t="shared" si="30"/>
        <v>0.22842639593908629</v>
      </c>
      <c r="J299" s="14">
        <f t="shared" si="31"/>
        <v>0.22885572139303484</v>
      </c>
      <c r="K299" s="4">
        <f t="shared" si="32"/>
        <v>46</v>
      </c>
      <c r="L299" s="4">
        <f t="shared" si="33"/>
        <v>201</v>
      </c>
      <c r="M299" s="4" t="s">
        <v>519</v>
      </c>
      <c r="N299" s="4">
        <f t="shared" si="34"/>
        <v>1</v>
      </c>
    </row>
    <row r="300" spans="1:14">
      <c r="A300" s="4">
        <v>19</v>
      </c>
      <c r="B300" s="4" t="s">
        <v>537</v>
      </c>
      <c r="C300" s="4" t="s">
        <v>70</v>
      </c>
      <c r="D300" s="4" t="s">
        <v>70</v>
      </c>
      <c r="E300" s="4" t="str">
        <f t="shared" si="28"/>
        <v>19|G|G</v>
      </c>
      <c r="F300" s="12">
        <v>18</v>
      </c>
      <c r="G300" s="4">
        <f t="shared" si="29"/>
        <v>197</v>
      </c>
      <c r="H300" s="12">
        <v>1</v>
      </c>
      <c r="I300" s="14">
        <f t="shared" si="30"/>
        <v>9.1370558375634514E-2</v>
      </c>
      <c r="J300" s="14">
        <f t="shared" si="31"/>
        <v>9.4527363184079602E-2</v>
      </c>
      <c r="K300" s="4">
        <f t="shared" si="32"/>
        <v>19</v>
      </c>
      <c r="L300" s="4">
        <f t="shared" si="33"/>
        <v>201</v>
      </c>
      <c r="M300" s="4" t="s">
        <v>519</v>
      </c>
      <c r="N300" s="4">
        <f t="shared" si="34"/>
        <v>1</v>
      </c>
    </row>
    <row r="301" spans="1:14">
      <c r="A301" s="4">
        <v>19</v>
      </c>
      <c r="B301" s="4" t="s">
        <v>537</v>
      </c>
      <c r="C301" s="4" t="s">
        <v>70</v>
      </c>
      <c r="D301" s="4" t="s">
        <v>72</v>
      </c>
      <c r="E301" s="4" t="str">
        <f t="shared" si="28"/>
        <v>19|G|U</v>
      </c>
      <c r="F301" s="12">
        <v>117</v>
      </c>
      <c r="G301" s="4">
        <f t="shared" si="29"/>
        <v>197</v>
      </c>
      <c r="H301" s="12">
        <v>1</v>
      </c>
      <c r="I301" s="14">
        <f t="shared" si="30"/>
        <v>0.59390862944162437</v>
      </c>
      <c r="J301" s="14">
        <f t="shared" si="31"/>
        <v>0.58706467661691542</v>
      </c>
      <c r="K301" s="4">
        <f t="shared" si="32"/>
        <v>118</v>
      </c>
      <c r="L301" s="4">
        <f t="shared" si="33"/>
        <v>201</v>
      </c>
      <c r="M301" s="4" t="s">
        <v>519</v>
      </c>
      <c r="N301" s="4">
        <f t="shared" si="34"/>
        <v>1</v>
      </c>
    </row>
    <row r="302" spans="1:14">
      <c r="A302" s="4">
        <v>19</v>
      </c>
      <c r="B302" s="4" t="s">
        <v>537</v>
      </c>
      <c r="C302" s="4" t="s">
        <v>72</v>
      </c>
      <c r="D302" s="4" t="s">
        <v>73</v>
      </c>
      <c r="E302" s="4" t="str">
        <f t="shared" si="28"/>
        <v>19|U|A</v>
      </c>
      <c r="F302" s="12">
        <v>0</v>
      </c>
      <c r="G302" s="4">
        <f t="shared" si="29"/>
        <v>1</v>
      </c>
      <c r="H302" s="12">
        <v>1</v>
      </c>
      <c r="I302" s="14">
        <f t="shared" si="30"/>
        <v>0</v>
      </c>
      <c r="J302" s="14">
        <f t="shared" si="31"/>
        <v>0.2</v>
      </c>
      <c r="K302" s="4">
        <f t="shared" si="32"/>
        <v>1</v>
      </c>
      <c r="L302" s="4">
        <f t="shared" si="33"/>
        <v>5</v>
      </c>
      <c r="M302" s="4" t="s">
        <v>519</v>
      </c>
      <c r="N302" s="4">
        <f t="shared" si="34"/>
        <v>1</v>
      </c>
    </row>
    <row r="303" spans="1:14">
      <c r="A303" s="4">
        <v>19</v>
      </c>
      <c r="B303" s="4" t="s">
        <v>537</v>
      </c>
      <c r="C303" s="4" t="s">
        <v>72</v>
      </c>
      <c r="D303" s="4" t="s">
        <v>71</v>
      </c>
      <c r="E303" s="4" t="str">
        <f t="shared" si="28"/>
        <v>19|U|C</v>
      </c>
      <c r="F303" s="12">
        <v>0</v>
      </c>
      <c r="G303" s="4">
        <f t="shared" si="29"/>
        <v>1</v>
      </c>
      <c r="H303" s="12">
        <v>1</v>
      </c>
      <c r="I303" s="14">
        <f t="shared" si="30"/>
        <v>0</v>
      </c>
      <c r="J303" s="14">
        <f t="shared" si="31"/>
        <v>0.2</v>
      </c>
      <c r="K303" s="4">
        <f t="shared" si="32"/>
        <v>1</v>
      </c>
      <c r="L303" s="4">
        <f t="shared" si="33"/>
        <v>5</v>
      </c>
      <c r="M303" s="4" t="s">
        <v>519</v>
      </c>
      <c r="N303" s="4">
        <f t="shared" si="34"/>
        <v>1</v>
      </c>
    </row>
    <row r="304" spans="1:14">
      <c r="A304" s="4">
        <v>19</v>
      </c>
      <c r="B304" s="4" t="s">
        <v>537</v>
      </c>
      <c r="C304" s="4" t="s">
        <v>72</v>
      </c>
      <c r="D304" s="4" t="s">
        <v>70</v>
      </c>
      <c r="E304" s="4" t="str">
        <f t="shared" si="28"/>
        <v>19|U|G</v>
      </c>
      <c r="F304" s="12">
        <v>0</v>
      </c>
      <c r="G304" s="4">
        <f t="shared" si="29"/>
        <v>1</v>
      </c>
      <c r="H304" s="12">
        <v>1</v>
      </c>
      <c r="I304" s="14">
        <f t="shared" si="30"/>
        <v>0</v>
      </c>
      <c r="J304" s="14">
        <f t="shared" si="31"/>
        <v>0.2</v>
      </c>
      <c r="K304" s="4">
        <f t="shared" si="32"/>
        <v>1</v>
      </c>
      <c r="L304" s="4">
        <f t="shared" si="33"/>
        <v>5</v>
      </c>
      <c r="M304" s="4" t="s">
        <v>519</v>
      </c>
      <c r="N304" s="4">
        <f t="shared" si="34"/>
        <v>1</v>
      </c>
    </row>
    <row r="305" spans="1:14">
      <c r="A305" s="4">
        <v>19</v>
      </c>
      <c r="B305" s="4" t="s">
        <v>537</v>
      </c>
      <c r="C305" s="4" t="s">
        <v>72</v>
      </c>
      <c r="D305" s="4" t="s">
        <v>72</v>
      </c>
      <c r="E305" s="4" t="str">
        <f t="shared" si="28"/>
        <v>19|U|U</v>
      </c>
      <c r="F305" s="12">
        <v>1</v>
      </c>
      <c r="G305" s="4">
        <f t="shared" si="29"/>
        <v>1</v>
      </c>
      <c r="H305" s="12">
        <v>1</v>
      </c>
      <c r="I305" s="14">
        <f t="shared" si="30"/>
        <v>1</v>
      </c>
      <c r="J305" s="14">
        <f t="shared" si="31"/>
        <v>0.4</v>
      </c>
      <c r="K305" s="4">
        <f t="shared" si="32"/>
        <v>2</v>
      </c>
      <c r="L305" s="4">
        <f t="shared" si="33"/>
        <v>5</v>
      </c>
      <c r="M305" s="4" t="s">
        <v>519</v>
      </c>
      <c r="N305" s="4">
        <f t="shared" si="34"/>
        <v>1</v>
      </c>
    </row>
    <row r="306" spans="1:14">
      <c r="A306" s="4">
        <v>20</v>
      </c>
      <c r="B306" s="4" t="s">
        <v>538</v>
      </c>
      <c r="C306" s="4" t="s">
        <v>73</v>
      </c>
      <c r="D306" s="4" t="s">
        <v>73</v>
      </c>
      <c r="E306" s="4" t="str">
        <f t="shared" si="28"/>
        <v>20|A|A</v>
      </c>
      <c r="F306" s="12">
        <v>16</v>
      </c>
      <c r="G306" s="4">
        <f t="shared" si="29"/>
        <v>17</v>
      </c>
      <c r="H306" s="12">
        <v>1</v>
      </c>
      <c r="I306" s="14">
        <f t="shared" si="30"/>
        <v>0.94117647058823528</v>
      </c>
      <c r="J306" s="14">
        <f t="shared" si="31"/>
        <v>0.80952380952380953</v>
      </c>
      <c r="K306" s="4">
        <f t="shared" si="32"/>
        <v>17</v>
      </c>
      <c r="L306" s="4">
        <f t="shared" si="33"/>
        <v>21</v>
      </c>
      <c r="M306" s="4" t="s">
        <v>519</v>
      </c>
      <c r="N306" s="4">
        <f t="shared" si="34"/>
        <v>1</v>
      </c>
    </row>
    <row r="307" spans="1:14">
      <c r="A307" s="4">
        <v>20</v>
      </c>
      <c r="B307" s="4" t="s">
        <v>538</v>
      </c>
      <c r="C307" s="4" t="s">
        <v>73</v>
      </c>
      <c r="D307" s="4" t="s">
        <v>71</v>
      </c>
      <c r="E307" s="4" t="str">
        <f t="shared" si="28"/>
        <v>20|A|C</v>
      </c>
      <c r="F307" s="12">
        <v>0</v>
      </c>
      <c r="G307" s="4">
        <f t="shared" si="29"/>
        <v>17</v>
      </c>
      <c r="H307" s="12">
        <v>1</v>
      </c>
      <c r="I307" s="14">
        <f t="shared" si="30"/>
        <v>0</v>
      </c>
      <c r="J307" s="14">
        <f t="shared" si="31"/>
        <v>4.7619047619047616E-2</v>
      </c>
      <c r="K307" s="4">
        <f t="shared" si="32"/>
        <v>1</v>
      </c>
      <c r="L307" s="4">
        <f t="shared" si="33"/>
        <v>21</v>
      </c>
      <c r="M307" s="4" t="s">
        <v>519</v>
      </c>
      <c r="N307" s="4">
        <f t="shared" si="34"/>
        <v>1</v>
      </c>
    </row>
    <row r="308" spans="1:14">
      <c r="A308" s="4">
        <v>20</v>
      </c>
      <c r="B308" s="4" t="s">
        <v>538</v>
      </c>
      <c r="C308" s="4" t="s">
        <v>73</v>
      </c>
      <c r="D308" s="4" t="s">
        <v>70</v>
      </c>
      <c r="E308" s="4" t="str">
        <f t="shared" si="28"/>
        <v>20|A|G</v>
      </c>
      <c r="F308" s="12">
        <v>0</v>
      </c>
      <c r="G308" s="4">
        <f t="shared" si="29"/>
        <v>17</v>
      </c>
      <c r="H308" s="12">
        <v>1</v>
      </c>
      <c r="I308" s="14">
        <f t="shared" si="30"/>
        <v>0</v>
      </c>
      <c r="J308" s="14">
        <f t="shared" si="31"/>
        <v>4.7619047619047616E-2</v>
      </c>
      <c r="K308" s="4">
        <f t="shared" si="32"/>
        <v>1</v>
      </c>
      <c r="L308" s="4">
        <f t="shared" si="33"/>
        <v>21</v>
      </c>
      <c r="M308" s="4" t="s">
        <v>519</v>
      </c>
      <c r="N308" s="4">
        <f t="shared" si="34"/>
        <v>1</v>
      </c>
    </row>
    <row r="309" spans="1:14">
      <c r="A309" s="4">
        <v>20</v>
      </c>
      <c r="B309" s="4" t="s">
        <v>538</v>
      </c>
      <c r="C309" s="4" t="s">
        <v>73</v>
      </c>
      <c r="D309" s="4" t="s">
        <v>72</v>
      </c>
      <c r="E309" s="4" t="str">
        <f t="shared" si="28"/>
        <v>20|A|U</v>
      </c>
      <c r="F309" s="12">
        <v>1</v>
      </c>
      <c r="G309" s="4">
        <f t="shared" si="29"/>
        <v>17</v>
      </c>
      <c r="H309" s="12">
        <v>1</v>
      </c>
      <c r="I309" s="14">
        <f t="shared" si="30"/>
        <v>5.8823529411764705E-2</v>
      </c>
      <c r="J309" s="14">
        <f t="shared" si="31"/>
        <v>9.5238095238095233E-2</v>
      </c>
      <c r="K309" s="4">
        <f t="shared" si="32"/>
        <v>2</v>
      </c>
      <c r="L309" s="4">
        <f t="shared" si="33"/>
        <v>21</v>
      </c>
      <c r="M309" s="4" t="s">
        <v>519</v>
      </c>
      <c r="N309" s="4">
        <f t="shared" si="34"/>
        <v>1</v>
      </c>
    </row>
    <row r="310" spans="1:14">
      <c r="A310" s="4">
        <v>20</v>
      </c>
      <c r="B310" s="4" t="s">
        <v>538</v>
      </c>
      <c r="C310" s="4" t="s">
        <v>71</v>
      </c>
      <c r="D310" s="4" t="s">
        <v>73</v>
      </c>
      <c r="E310" s="4" t="str">
        <f t="shared" si="28"/>
        <v>20|C|A</v>
      </c>
      <c r="F310" s="12">
        <v>34</v>
      </c>
      <c r="G310" s="4">
        <f t="shared" si="29"/>
        <v>45</v>
      </c>
      <c r="H310" s="12">
        <v>1</v>
      </c>
      <c r="I310" s="14">
        <f t="shared" si="30"/>
        <v>0.75555555555555554</v>
      </c>
      <c r="J310" s="14">
        <f t="shared" si="31"/>
        <v>0.7142857142857143</v>
      </c>
      <c r="K310" s="4">
        <f t="shared" si="32"/>
        <v>35</v>
      </c>
      <c r="L310" s="4">
        <f t="shared" si="33"/>
        <v>49</v>
      </c>
      <c r="M310" s="4" t="s">
        <v>519</v>
      </c>
      <c r="N310" s="4">
        <f t="shared" si="34"/>
        <v>1</v>
      </c>
    </row>
    <row r="311" spans="1:14">
      <c r="A311" s="4">
        <v>20</v>
      </c>
      <c r="B311" s="4" t="s">
        <v>538</v>
      </c>
      <c r="C311" s="4" t="s">
        <v>71</v>
      </c>
      <c r="D311" s="4" t="s">
        <v>71</v>
      </c>
      <c r="E311" s="4" t="str">
        <f t="shared" si="28"/>
        <v>20|C|C</v>
      </c>
      <c r="F311" s="12">
        <v>3</v>
      </c>
      <c r="G311" s="4">
        <f t="shared" si="29"/>
        <v>45</v>
      </c>
      <c r="H311" s="12">
        <v>1</v>
      </c>
      <c r="I311" s="14">
        <f t="shared" si="30"/>
        <v>6.6666666666666666E-2</v>
      </c>
      <c r="J311" s="14">
        <f t="shared" si="31"/>
        <v>8.1632653061224483E-2</v>
      </c>
      <c r="K311" s="4">
        <f t="shared" si="32"/>
        <v>4</v>
      </c>
      <c r="L311" s="4">
        <f t="shared" si="33"/>
        <v>49</v>
      </c>
      <c r="M311" s="4" t="s">
        <v>519</v>
      </c>
      <c r="N311" s="4">
        <f t="shared" si="34"/>
        <v>1</v>
      </c>
    </row>
    <row r="312" spans="1:14">
      <c r="A312" s="4">
        <v>20</v>
      </c>
      <c r="B312" s="4" t="s">
        <v>538</v>
      </c>
      <c r="C312" s="4" t="s">
        <v>71</v>
      </c>
      <c r="D312" s="4" t="s">
        <v>70</v>
      </c>
      <c r="E312" s="4" t="str">
        <f t="shared" si="28"/>
        <v>20|C|G</v>
      </c>
      <c r="F312" s="12">
        <v>4</v>
      </c>
      <c r="G312" s="4">
        <f t="shared" si="29"/>
        <v>45</v>
      </c>
      <c r="H312" s="12">
        <v>1</v>
      </c>
      <c r="I312" s="14">
        <f t="shared" si="30"/>
        <v>8.8888888888888892E-2</v>
      </c>
      <c r="J312" s="14">
        <f t="shared" si="31"/>
        <v>0.10204081632653061</v>
      </c>
      <c r="K312" s="4">
        <f t="shared" si="32"/>
        <v>5</v>
      </c>
      <c r="L312" s="4">
        <f t="shared" si="33"/>
        <v>49</v>
      </c>
      <c r="M312" s="4" t="s">
        <v>519</v>
      </c>
      <c r="N312" s="4">
        <f t="shared" si="34"/>
        <v>1</v>
      </c>
    </row>
    <row r="313" spans="1:14">
      <c r="A313" s="4">
        <v>20</v>
      </c>
      <c r="B313" s="4" t="s">
        <v>538</v>
      </c>
      <c r="C313" s="4" t="s">
        <v>71</v>
      </c>
      <c r="D313" s="4" t="s">
        <v>72</v>
      </c>
      <c r="E313" s="4" t="str">
        <f t="shared" si="28"/>
        <v>20|C|U</v>
      </c>
      <c r="F313" s="12">
        <v>4</v>
      </c>
      <c r="G313" s="4">
        <f t="shared" si="29"/>
        <v>45</v>
      </c>
      <c r="H313" s="12">
        <v>1</v>
      </c>
      <c r="I313" s="14">
        <f t="shared" si="30"/>
        <v>8.8888888888888892E-2</v>
      </c>
      <c r="J313" s="14">
        <f t="shared" si="31"/>
        <v>0.10204081632653061</v>
      </c>
      <c r="K313" s="4">
        <f t="shared" si="32"/>
        <v>5</v>
      </c>
      <c r="L313" s="4">
        <f t="shared" si="33"/>
        <v>49</v>
      </c>
      <c r="M313" s="4" t="s">
        <v>519</v>
      </c>
      <c r="N313" s="4">
        <f t="shared" si="34"/>
        <v>1</v>
      </c>
    </row>
    <row r="314" spans="1:14">
      <c r="A314" s="4">
        <v>20</v>
      </c>
      <c r="B314" s="4" t="s">
        <v>538</v>
      </c>
      <c r="C314" s="4" t="s">
        <v>70</v>
      </c>
      <c r="D314" s="4" t="s">
        <v>73</v>
      </c>
      <c r="E314" s="4" t="str">
        <f t="shared" si="28"/>
        <v>20|G|A</v>
      </c>
      <c r="F314" s="12">
        <v>18</v>
      </c>
      <c r="G314" s="4">
        <f t="shared" si="29"/>
        <v>18</v>
      </c>
      <c r="H314" s="12">
        <v>1</v>
      </c>
      <c r="I314" s="14">
        <f t="shared" si="30"/>
        <v>1</v>
      </c>
      <c r="J314" s="14">
        <f t="shared" si="31"/>
        <v>0.86363636363636365</v>
      </c>
      <c r="K314" s="4">
        <f t="shared" si="32"/>
        <v>19</v>
      </c>
      <c r="L314" s="4">
        <f t="shared" si="33"/>
        <v>22</v>
      </c>
      <c r="M314" s="4" t="s">
        <v>519</v>
      </c>
      <c r="N314" s="4">
        <f t="shared" si="34"/>
        <v>1</v>
      </c>
    </row>
    <row r="315" spans="1:14">
      <c r="A315" s="4">
        <v>20</v>
      </c>
      <c r="B315" s="4" t="s">
        <v>538</v>
      </c>
      <c r="C315" s="4" t="s">
        <v>70</v>
      </c>
      <c r="D315" s="4" t="s">
        <v>71</v>
      </c>
      <c r="E315" s="4" t="str">
        <f t="shared" si="28"/>
        <v>20|G|C</v>
      </c>
      <c r="F315" s="12">
        <v>0</v>
      </c>
      <c r="G315" s="4">
        <f t="shared" si="29"/>
        <v>18</v>
      </c>
      <c r="H315" s="12">
        <v>1</v>
      </c>
      <c r="I315" s="14">
        <f t="shared" si="30"/>
        <v>0</v>
      </c>
      <c r="J315" s="14">
        <f t="shared" si="31"/>
        <v>4.5454545454545456E-2</v>
      </c>
      <c r="K315" s="4">
        <f t="shared" si="32"/>
        <v>1</v>
      </c>
      <c r="L315" s="4">
        <f t="shared" si="33"/>
        <v>22</v>
      </c>
      <c r="M315" s="4" t="s">
        <v>519</v>
      </c>
      <c r="N315" s="4">
        <f t="shared" si="34"/>
        <v>1</v>
      </c>
    </row>
    <row r="316" spans="1:14">
      <c r="A316" s="4">
        <v>20</v>
      </c>
      <c r="B316" s="4" t="s">
        <v>538</v>
      </c>
      <c r="C316" s="4" t="s">
        <v>70</v>
      </c>
      <c r="D316" s="4" t="s">
        <v>70</v>
      </c>
      <c r="E316" s="4" t="str">
        <f t="shared" si="28"/>
        <v>20|G|G</v>
      </c>
      <c r="F316" s="12">
        <v>0</v>
      </c>
      <c r="G316" s="4">
        <f t="shared" si="29"/>
        <v>18</v>
      </c>
      <c r="H316" s="12">
        <v>1</v>
      </c>
      <c r="I316" s="14">
        <f t="shared" si="30"/>
        <v>0</v>
      </c>
      <c r="J316" s="14">
        <f t="shared" si="31"/>
        <v>4.5454545454545456E-2</v>
      </c>
      <c r="K316" s="4">
        <f t="shared" si="32"/>
        <v>1</v>
      </c>
      <c r="L316" s="4">
        <f t="shared" si="33"/>
        <v>22</v>
      </c>
      <c r="M316" s="4" t="s">
        <v>519</v>
      </c>
      <c r="N316" s="4">
        <f t="shared" si="34"/>
        <v>1</v>
      </c>
    </row>
    <row r="317" spans="1:14">
      <c r="A317" s="4">
        <v>20</v>
      </c>
      <c r="B317" s="4" t="s">
        <v>538</v>
      </c>
      <c r="C317" s="4" t="s">
        <v>70</v>
      </c>
      <c r="D317" s="4" t="s">
        <v>72</v>
      </c>
      <c r="E317" s="4" t="str">
        <f t="shared" si="28"/>
        <v>20|G|U</v>
      </c>
      <c r="F317" s="12">
        <v>0</v>
      </c>
      <c r="G317" s="4">
        <f t="shared" si="29"/>
        <v>18</v>
      </c>
      <c r="H317" s="12">
        <v>1</v>
      </c>
      <c r="I317" s="14">
        <f t="shared" si="30"/>
        <v>0</v>
      </c>
      <c r="J317" s="14">
        <f t="shared" si="31"/>
        <v>4.5454545454545456E-2</v>
      </c>
      <c r="K317" s="4">
        <f t="shared" si="32"/>
        <v>1</v>
      </c>
      <c r="L317" s="4">
        <f t="shared" si="33"/>
        <v>22</v>
      </c>
      <c r="M317" s="4" t="s">
        <v>519</v>
      </c>
      <c r="N317" s="4">
        <f t="shared" si="34"/>
        <v>1</v>
      </c>
    </row>
    <row r="318" spans="1:14">
      <c r="A318" s="4">
        <v>20</v>
      </c>
      <c r="B318" s="4" t="s">
        <v>538</v>
      </c>
      <c r="C318" s="4" t="s">
        <v>72</v>
      </c>
      <c r="D318" s="4" t="s">
        <v>73</v>
      </c>
      <c r="E318" s="4" t="str">
        <f t="shared" si="28"/>
        <v>20|U|A</v>
      </c>
      <c r="F318" s="12">
        <v>110</v>
      </c>
      <c r="G318" s="4">
        <f t="shared" si="29"/>
        <v>119</v>
      </c>
      <c r="H318" s="12">
        <v>1</v>
      </c>
      <c r="I318" s="14">
        <f t="shared" si="30"/>
        <v>0.92436974789915971</v>
      </c>
      <c r="J318" s="14">
        <f t="shared" si="31"/>
        <v>0.90243902439024393</v>
      </c>
      <c r="K318" s="4">
        <f t="shared" si="32"/>
        <v>111</v>
      </c>
      <c r="L318" s="4">
        <f t="shared" si="33"/>
        <v>123</v>
      </c>
      <c r="M318" s="4" t="s">
        <v>519</v>
      </c>
      <c r="N318" s="4">
        <f t="shared" si="34"/>
        <v>1</v>
      </c>
    </row>
    <row r="319" spans="1:14">
      <c r="A319" s="4">
        <v>20</v>
      </c>
      <c r="B319" s="4" t="s">
        <v>538</v>
      </c>
      <c r="C319" s="4" t="s">
        <v>72</v>
      </c>
      <c r="D319" s="4" t="s">
        <v>71</v>
      </c>
      <c r="E319" s="4" t="str">
        <f t="shared" si="28"/>
        <v>20|U|C</v>
      </c>
      <c r="F319" s="12">
        <v>1</v>
      </c>
      <c r="G319" s="4">
        <f t="shared" si="29"/>
        <v>119</v>
      </c>
      <c r="H319" s="12">
        <v>1</v>
      </c>
      <c r="I319" s="14">
        <f t="shared" si="30"/>
        <v>8.4033613445378148E-3</v>
      </c>
      <c r="J319" s="14">
        <f t="shared" si="31"/>
        <v>1.6260162601626018E-2</v>
      </c>
      <c r="K319" s="4">
        <f t="shared" si="32"/>
        <v>2</v>
      </c>
      <c r="L319" s="4">
        <f t="shared" si="33"/>
        <v>123</v>
      </c>
      <c r="M319" s="4" t="s">
        <v>519</v>
      </c>
      <c r="N319" s="4">
        <f t="shared" si="34"/>
        <v>1</v>
      </c>
    </row>
    <row r="320" spans="1:14">
      <c r="A320" s="4">
        <v>20</v>
      </c>
      <c r="B320" s="4" t="s">
        <v>538</v>
      </c>
      <c r="C320" s="4" t="s">
        <v>72</v>
      </c>
      <c r="D320" s="4" t="s">
        <v>70</v>
      </c>
      <c r="E320" s="4" t="str">
        <f t="shared" si="28"/>
        <v>20|U|G</v>
      </c>
      <c r="F320" s="12">
        <v>3</v>
      </c>
      <c r="G320" s="4">
        <f t="shared" si="29"/>
        <v>119</v>
      </c>
      <c r="H320" s="12">
        <v>1</v>
      </c>
      <c r="I320" s="14">
        <f t="shared" si="30"/>
        <v>2.5210084033613446E-2</v>
      </c>
      <c r="J320" s="14">
        <f t="shared" si="31"/>
        <v>3.2520325203252036E-2</v>
      </c>
      <c r="K320" s="4">
        <f t="shared" si="32"/>
        <v>4</v>
      </c>
      <c r="L320" s="4">
        <f t="shared" si="33"/>
        <v>123</v>
      </c>
      <c r="M320" s="4" t="s">
        <v>519</v>
      </c>
      <c r="N320" s="4">
        <f t="shared" si="34"/>
        <v>1</v>
      </c>
    </row>
    <row r="321" spans="1:14">
      <c r="A321" s="4">
        <v>20</v>
      </c>
      <c r="B321" s="4" t="s">
        <v>538</v>
      </c>
      <c r="C321" s="4" t="s">
        <v>72</v>
      </c>
      <c r="D321" s="4" t="s">
        <v>72</v>
      </c>
      <c r="E321" s="4" t="str">
        <f t="shared" si="28"/>
        <v>20|U|U</v>
      </c>
      <c r="F321" s="12">
        <v>5</v>
      </c>
      <c r="G321" s="4">
        <f t="shared" si="29"/>
        <v>119</v>
      </c>
      <c r="H321" s="12">
        <v>1</v>
      </c>
      <c r="I321" s="14">
        <f t="shared" si="30"/>
        <v>4.2016806722689079E-2</v>
      </c>
      <c r="J321" s="14">
        <f t="shared" si="31"/>
        <v>4.878048780487805E-2</v>
      </c>
      <c r="K321" s="4">
        <f t="shared" si="32"/>
        <v>6</v>
      </c>
      <c r="L321" s="4">
        <f t="shared" si="33"/>
        <v>123</v>
      </c>
      <c r="M321" s="4" t="s">
        <v>519</v>
      </c>
      <c r="N321" s="4">
        <f t="shared" si="34"/>
        <v>1</v>
      </c>
    </row>
    <row r="322" spans="1:14">
      <c r="A322" s="4">
        <v>21</v>
      </c>
      <c r="B322" s="4" t="s">
        <v>539</v>
      </c>
      <c r="C322" s="4" t="s">
        <v>73</v>
      </c>
      <c r="D322" s="4" t="s">
        <v>73</v>
      </c>
      <c r="E322" s="4" t="str">
        <f t="shared" ref="E322:E385" si="35">A322&amp;"|"&amp;C322&amp;"|"&amp;D322</f>
        <v>21|A|A</v>
      </c>
      <c r="F322" s="12">
        <v>28</v>
      </c>
      <c r="G322" s="4">
        <f t="shared" ref="G322:G385" si="36">SUMIFS($F$2:$F$1137,$A$2:$A$1137,A322,$C$2:$C$1137,C322)</f>
        <v>179</v>
      </c>
      <c r="H322" s="12">
        <v>1</v>
      </c>
      <c r="I322" s="14">
        <f t="shared" ref="I322:I385" si="37">IF(G322=0,"",F322/G322)</f>
        <v>0.15642458100558659</v>
      </c>
      <c r="J322" s="14">
        <f t="shared" ref="J322:J385" si="38">K322/L322</f>
        <v>0.15846994535519127</v>
      </c>
      <c r="K322" s="4">
        <f t="shared" ref="K322:K385" si="39">F322+H322</f>
        <v>29</v>
      </c>
      <c r="L322" s="4">
        <f t="shared" ref="L322:L385" si="40">G322+4*H322</f>
        <v>183</v>
      </c>
      <c r="M322" s="4" t="s">
        <v>519</v>
      </c>
      <c r="N322" s="4">
        <f t="shared" ref="N322:N385" si="41">ROUND(SUMIFS($J$2:$J$1137,$A$2:$A$1137,A322,$C$2:$C$1137,C322),9)</f>
        <v>1</v>
      </c>
    </row>
    <row r="323" spans="1:14">
      <c r="A323" s="4">
        <v>21</v>
      </c>
      <c r="B323" s="4" t="s">
        <v>539</v>
      </c>
      <c r="C323" s="4" t="s">
        <v>73</v>
      </c>
      <c r="D323" s="4" t="s">
        <v>71</v>
      </c>
      <c r="E323" s="4" t="str">
        <f t="shared" si="35"/>
        <v>21|A|C</v>
      </c>
      <c r="F323" s="12">
        <v>0</v>
      </c>
      <c r="G323" s="4">
        <f t="shared" si="36"/>
        <v>179</v>
      </c>
      <c r="H323" s="12">
        <v>1</v>
      </c>
      <c r="I323" s="14">
        <f t="shared" si="37"/>
        <v>0</v>
      </c>
      <c r="J323" s="14">
        <f t="shared" si="38"/>
        <v>5.4644808743169399E-3</v>
      </c>
      <c r="K323" s="4">
        <f t="shared" si="39"/>
        <v>1</v>
      </c>
      <c r="L323" s="4">
        <f t="shared" si="40"/>
        <v>183</v>
      </c>
      <c r="M323" s="4" t="s">
        <v>519</v>
      </c>
      <c r="N323" s="4">
        <f t="shared" si="41"/>
        <v>1</v>
      </c>
    </row>
    <row r="324" spans="1:14">
      <c r="A324" s="4">
        <v>21</v>
      </c>
      <c r="B324" s="4" t="s">
        <v>539</v>
      </c>
      <c r="C324" s="4" t="s">
        <v>73</v>
      </c>
      <c r="D324" s="4" t="s">
        <v>70</v>
      </c>
      <c r="E324" s="4" t="str">
        <f t="shared" si="35"/>
        <v>21|A|G</v>
      </c>
      <c r="F324" s="12">
        <v>140</v>
      </c>
      <c r="G324" s="4">
        <f t="shared" si="36"/>
        <v>179</v>
      </c>
      <c r="H324" s="12">
        <v>1</v>
      </c>
      <c r="I324" s="14">
        <f t="shared" si="37"/>
        <v>0.78212290502793291</v>
      </c>
      <c r="J324" s="14">
        <f t="shared" si="38"/>
        <v>0.77049180327868849</v>
      </c>
      <c r="K324" s="4">
        <f t="shared" si="39"/>
        <v>141</v>
      </c>
      <c r="L324" s="4">
        <f t="shared" si="40"/>
        <v>183</v>
      </c>
      <c r="M324" s="4" t="s">
        <v>519</v>
      </c>
      <c r="N324" s="4">
        <f t="shared" si="41"/>
        <v>1</v>
      </c>
    </row>
    <row r="325" spans="1:14">
      <c r="A325" s="4">
        <v>21</v>
      </c>
      <c r="B325" s="4" t="s">
        <v>539</v>
      </c>
      <c r="C325" s="4" t="s">
        <v>73</v>
      </c>
      <c r="D325" s="4" t="s">
        <v>72</v>
      </c>
      <c r="E325" s="4" t="str">
        <f t="shared" si="35"/>
        <v>21|A|U</v>
      </c>
      <c r="F325" s="12">
        <v>11</v>
      </c>
      <c r="G325" s="4">
        <f t="shared" si="36"/>
        <v>179</v>
      </c>
      <c r="H325" s="12">
        <v>1</v>
      </c>
      <c r="I325" s="14">
        <f t="shared" si="37"/>
        <v>6.1452513966480445E-2</v>
      </c>
      <c r="J325" s="14">
        <f t="shared" si="38"/>
        <v>6.5573770491803282E-2</v>
      </c>
      <c r="K325" s="4">
        <f t="shared" si="39"/>
        <v>12</v>
      </c>
      <c r="L325" s="4">
        <f t="shared" si="40"/>
        <v>183</v>
      </c>
      <c r="M325" s="4" t="s">
        <v>519</v>
      </c>
      <c r="N325" s="4">
        <f t="shared" si="41"/>
        <v>1</v>
      </c>
    </row>
    <row r="326" spans="1:14">
      <c r="A326" s="4">
        <v>21</v>
      </c>
      <c r="B326" s="4" t="s">
        <v>539</v>
      </c>
      <c r="C326" s="4" t="s">
        <v>71</v>
      </c>
      <c r="D326" s="4" t="s">
        <v>73</v>
      </c>
      <c r="E326" s="4" t="str">
        <f t="shared" si="35"/>
        <v>21|C|A</v>
      </c>
      <c r="F326" s="12">
        <v>3</v>
      </c>
      <c r="G326" s="4">
        <f t="shared" si="36"/>
        <v>4</v>
      </c>
      <c r="H326" s="12">
        <v>1</v>
      </c>
      <c r="I326" s="14">
        <f t="shared" si="37"/>
        <v>0.75</v>
      </c>
      <c r="J326" s="14">
        <f t="shared" si="38"/>
        <v>0.5</v>
      </c>
      <c r="K326" s="4">
        <f t="shared" si="39"/>
        <v>4</v>
      </c>
      <c r="L326" s="4">
        <f t="shared" si="40"/>
        <v>8</v>
      </c>
      <c r="M326" s="4" t="s">
        <v>519</v>
      </c>
      <c r="N326" s="4">
        <f t="shared" si="41"/>
        <v>1</v>
      </c>
    </row>
    <row r="327" spans="1:14">
      <c r="A327" s="4">
        <v>21</v>
      </c>
      <c r="B327" s="4" t="s">
        <v>539</v>
      </c>
      <c r="C327" s="4" t="s">
        <v>71</v>
      </c>
      <c r="D327" s="4" t="s">
        <v>71</v>
      </c>
      <c r="E327" s="4" t="str">
        <f t="shared" si="35"/>
        <v>21|C|C</v>
      </c>
      <c r="F327" s="12">
        <v>0</v>
      </c>
      <c r="G327" s="4">
        <f t="shared" si="36"/>
        <v>4</v>
      </c>
      <c r="H327" s="12">
        <v>1</v>
      </c>
      <c r="I327" s="14">
        <f t="shared" si="37"/>
        <v>0</v>
      </c>
      <c r="J327" s="14">
        <f t="shared" si="38"/>
        <v>0.125</v>
      </c>
      <c r="K327" s="4">
        <f t="shared" si="39"/>
        <v>1</v>
      </c>
      <c r="L327" s="4">
        <f t="shared" si="40"/>
        <v>8</v>
      </c>
      <c r="M327" s="4" t="s">
        <v>519</v>
      </c>
      <c r="N327" s="4">
        <f t="shared" si="41"/>
        <v>1</v>
      </c>
    </row>
    <row r="328" spans="1:14">
      <c r="A328" s="4">
        <v>21</v>
      </c>
      <c r="B328" s="4" t="s">
        <v>539</v>
      </c>
      <c r="C328" s="4" t="s">
        <v>71</v>
      </c>
      <c r="D328" s="4" t="s">
        <v>70</v>
      </c>
      <c r="E328" s="4" t="str">
        <f t="shared" si="35"/>
        <v>21|C|G</v>
      </c>
      <c r="F328" s="12">
        <v>1</v>
      </c>
      <c r="G328" s="4">
        <f t="shared" si="36"/>
        <v>4</v>
      </c>
      <c r="H328" s="12">
        <v>1</v>
      </c>
      <c r="I328" s="14">
        <f t="shared" si="37"/>
        <v>0.25</v>
      </c>
      <c r="J328" s="14">
        <f t="shared" si="38"/>
        <v>0.25</v>
      </c>
      <c r="K328" s="4">
        <f t="shared" si="39"/>
        <v>2</v>
      </c>
      <c r="L328" s="4">
        <f t="shared" si="40"/>
        <v>8</v>
      </c>
      <c r="M328" s="4" t="s">
        <v>519</v>
      </c>
      <c r="N328" s="4">
        <f t="shared" si="41"/>
        <v>1</v>
      </c>
    </row>
    <row r="329" spans="1:14">
      <c r="A329" s="4">
        <v>21</v>
      </c>
      <c r="B329" s="4" t="s">
        <v>539</v>
      </c>
      <c r="C329" s="4" t="s">
        <v>71</v>
      </c>
      <c r="D329" s="4" t="s">
        <v>72</v>
      </c>
      <c r="E329" s="4" t="str">
        <f t="shared" si="35"/>
        <v>21|C|U</v>
      </c>
      <c r="F329" s="12">
        <v>0</v>
      </c>
      <c r="G329" s="4">
        <f t="shared" si="36"/>
        <v>4</v>
      </c>
      <c r="H329" s="12">
        <v>1</v>
      </c>
      <c r="I329" s="14">
        <f t="shared" si="37"/>
        <v>0</v>
      </c>
      <c r="J329" s="14">
        <f t="shared" si="38"/>
        <v>0.125</v>
      </c>
      <c r="K329" s="4">
        <f t="shared" si="39"/>
        <v>1</v>
      </c>
      <c r="L329" s="4">
        <f t="shared" si="40"/>
        <v>8</v>
      </c>
      <c r="M329" s="4" t="s">
        <v>519</v>
      </c>
      <c r="N329" s="4">
        <f t="shared" si="41"/>
        <v>1</v>
      </c>
    </row>
    <row r="330" spans="1:14">
      <c r="A330" s="4">
        <v>21</v>
      </c>
      <c r="B330" s="4" t="s">
        <v>539</v>
      </c>
      <c r="C330" s="4" t="s">
        <v>70</v>
      </c>
      <c r="D330" s="4" t="s">
        <v>73</v>
      </c>
      <c r="E330" s="4" t="str">
        <f t="shared" si="35"/>
        <v>21|G|A</v>
      </c>
      <c r="F330" s="12">
        <v>7</v>
      </c>
      <c r="G330" s="4">
        <f t="shared" si="36"/>
        <v>7</v>
      </c>
      <c r="H330" s="12">
        <v>1</v>
      </c>
      <c r="I330" s="14">
        <f t="shared" si="37"/>
        <v>1</v>
      </c>
      <c r="J330" s="14">
        <f t="shared" si="38"/>
        <v>0.72727272727272729</v>
      </c>
      <c r="K330" s="4">
        <f t="shared" si="39"/>
        <v>8</v>
      </c>
      <c r="L330" s="4">
        <f t="shared" si="40"/>
        <v>11</v>
      </c>
      <c r="M330" s="4" t="s">
        <v>519</v>
      </c>
      <c r="N330" s="4">
        <f t="shared" si="41"/>
        <v>1</v>
      </c>
    </row>
    <row r="331" spans="1:14">
      <c r="A331" s="4">
        <v>21</v>
      </c>
      <c r="B331" s="4" t="s">
        <v>539</v>
      </c>
      <c r="C331" s="4" t="s">
        <v>70</v>
      </c>
      <c r="D331" s="4" t="s">
        <v>71</v>
      </c>
      <c r="E331" s="4" t="str">
        <f t="shared" si="35"/>
        <v>21|G|C</v>
      </c>
      <c r="F331" s="12">
        <v>0</v>
      </c>
      <c r="G331" s="4">
        <f t="shared" si="36"/>
        <v>7</v>
      </c>
      <c r="H331" s="12">
        <v>1</v>
      </c>
      <c r="I331" s="14">
        <f t="shared" si="37"/>
        <v>0</v>
      </c>
      <c r="J331" s="14">
        <f t="shared" si="38"/>
        <v>9.0909090909090912E-2</v>
      </c>
      <c r="K331" s="4">
        <f t="shared" si="39"/>
        <v>1</v>
      </c>
      <c r="L331" s="4">
        <f t="shared" si="40"/>
        <v>11</v>
      </c>
      <c r="M331" s="4" t="s">
        <v>519</v>
      </c>
      <c r="N331" s="4">
        <f t="shared" si="41"/>
        <v>1</v>
      </c>
    </row>
    <row r="332" spans="1:14">
      <c r="A332" s="4">
        <v>21</v>
      </c>
      <c r="B332" s="4" t="s">
        <v>539</v>
      </c>
      <c r="C332" s="4" t="s">
        <v>70</v>
      </c>
      <c r="D332" s="4" t="s">
        <v>70</v>
      </c>
      <c r="E332" s="4" t="str">
        <f t="shared" si="35"/>
        <v>21|G|G</v>
      </c>
      <c r="F332" s="12">
        <v>0</v>
      </c>
      <c r="G332" s="4">
        <f t="shared" si="36"/>
        <v>7</v>
      </c>
      <c r="H332" s="12">
        <v>1</v>
      </c>
      <c r="I332" s="14">
        <f t="shared" si="37"/>
        <v>0</v>
      </c>
      <c r="J332" s="14">
        <f t="shared" si="38"/>
        <v>9.0909090909090912E-2</v>
      </c>
      <c r="K332" s="4">
        <f t="shared" si="39"/>
        <v>1</v>
      </c>
      <c r="L332" s="4">
        <f t="shared" si="40"/>
        <v>11</v>
      </c>
      <c r="M332" s="4" t="s">
        <v>519</v>
      </c>
      <c r="N332" s="4">
        <f t="shared" si="41"/>
        <v>1</v>
      </c>
    </row>
    <row r="333" spans="1:14">
      <c r="A333" s="4">
        <v>21</v>
      </c>
      <c r="B333" s="4" t="s">
        <v>539</v>
      </c>
      <c r="C333" s="4" t="s">
        <v>70</v>
      </c>
      <c r="D333" s="4" t="s">
        <v>72</v>
      </c>
      <c r="E333" s="4" t="str">
        <f t="shared" si="35"/>
        <v>21|G|U</v>
      </c>
      <c r="F333" s="12">
        <v>0</v>
      </c>
      <c r="G333" s="4">
        <f t="shared" si="36"/>
        <v>7</v>
      </c>
      <c r="H333" s="12">
        <v>1</v>
      </c>
      <c r="I333" s="14">
        <f t="shared" si="37"/>
        <v>0</v>
      </c>
      <c r="J333" s="14">
        <f t="shared" si="38"/>
        <v>9.0909090909090912E-2</v>
      </c>
      <c r="K333" s="4">
        <f t="shared" si="39"/>
        <v>1</v>
      </c>
      <c r="L333" s="4">
        <f t="shared" si="40"/>
        <v>11</v>
      </c>
      <c r="M333" s="4" t="s">
        <v>519</v>
      </c>
      <c r="N333" s="4">
        <f t="shared" si="41"/>
        <v>1</v>
      </c>
    </row>
    <row r="334" spans="1:14">
      <c r="A334" s="4">
        <v>21</v>
      </c>
      <c r="B334" s="4" t="s">
        <v>539</v>
      </c>
      <c r="C334" s="4" t="s">
        <v>72</v>
      </c>
      <c r="D334" s="4" t="s">
        <v>73</v>
      </c>
      <c r="E334" s="4" t="str">
        <f t="shared" si="35"/>
        <v>21|U|A</v>
      </c>
      <c r="F334" s="12">
        <v>3</v>
      </c>
      <c r="G334" s="4">
        <f t="shared" si="36"/>
        <v>10</v>
      </c>
      <c r="H334" s="12">
        <v>1</v>
      </c>
      <c r="I334" s="14">
        <f t="shared" si="37"/>
        <v>0.3</v>
      </c>
      <c r="J334" s="14">
        <f t="shared" si="38"/>
        <v>0.2857142857142857</v>
      </c>
      <c r="K334" s="4">
        <f t="shared" si="39"/>
        <v>4</v>
      </c>
      <c r="L334" s="4">
        <f t="shared" si="40"/>
        <v>14</v>
      </c>
      <c r="M334" s="4" t="s">
        <v>519</v>
      </c>
      <c r="N334" s="4">
        <f t="shared" si="41"/>
        <v>1</v>
      </c>
    </row>
    <row r="335" spans="1:14">
      <c r="A335" s="4">
        <v>21</v>
      </c>
      <c r="B335" s="4" t="s">
        <v>539</v>
      </c>
      <c r="C335" s="4" t="s">
        <v>72</v>
      </c>
      <c r="D335" s="4" t="s">
        <v>71</v>
      </c>
      <c r="E335" s="4" t="str">
        <f t="shared" si="35"/>
        <v>21|U|C</v>
      </c>
      <c r="F335" s="12">
        <v>0</v>
      </c>
      <c r="G335" s="4">
        <f t="shared" si="36"/>
        <v>10</v>
      </c>
      <c r="H335" s="12">
        <v>1</v>
      </c>
      <c r="I335" s="14">
        <f t="shared" si="37"/>
        <v>0</v>
      </c>
      <c r="J335" s="14">
        <f t="shared" si="38"/>
        <v>7.1428571428571425E-2</v>
      </c>
      <c r="K335" s="4">
        <f t="shared" si="39"/>
        <v>1</v>
      </c>
      <c r="L335" s="4">
        <f t="shared" si="40"/>
        <v>14</v>
      </c>
      <c r="M335" s="4" t="s">
        <v>519</v>
      </c>
      <c r="N335" s="4">
        <f t="shared" si="41"/>
        <v>1</v>
      </c>
    </row>
    <row r="336" spans="1:14">
      <c r="A336" s="4">
        <v>21</v>
      </c>
      <c r="B336" s="4" t="s">
        <v>539</v>
      </c>
      <c r="C336" s="4" t="s">
        <v>72</v>
      </c>
      <c r="D336" s="4" t="s">
        <v>70</v>
      </c>
      <c r="E336" s="4" t="str">
        <f t="shared" si="35"/>
        <v>21|U|G</v>
      </c>
      <c r="F336" s="12">
        <v>4</v>
      </c>
      <c r="G336" s="4">
        <f t="shared" si="36"/>
        <v>10</v>
      </c>
      <c r="H336" s="12">
        <v>1</v>
      </c>
      <c r="I336" s="14">
        <f t="shared" si="37"/>
        <v>0.4</v>
      </c>
      <c r="J336" s="14">
        <f t="shared" si="38"/>
        <v>0.35714285714285715</v>
      </c>
      <c r="K336" s="4">
        <f t="shared" si="39"/>
        <v>5</v>
      </c>
      <c r="L336" s="4">
        <f t="shared" si="40"/>
        <v>14</v>
      </c>
      <c r="M336" s="4" t="s">
        <v>519</v>
      </c>
      <c r="N336" s="4">
        <f t="shared" si="41"/>
        <v>1</v>
      </c>
    </row>
    <row r="337" spans="1:14">
      <c r="A337" s="4">
        <v>21</v>
      </c>
      <c r="B337" s="4" t="s">
        <v>539</v>
      </c>
      <c r="C337" s="4" t="s">
        <v>72</v>
      </c>
      <c r="D337" s="4" t="s">
        <v>72</v>
      </c>
      <c r="E337" s="4" t="str">
        <f t="shared" si="35"/>
        <v>21|U|U</v>
      </c>
      <c r="F337" s="12">
        <v>3</v>
      </c>
      <c r="G337" s="4">
        <f t="shared" si="36"/>
        <v>10</v>
      </c>
      <c r="H337" s="12">
        <v>1</v>
      </c>
      <c r="I337" s="14">
        <f t="shared" si="37"/>
        <v>0.3</v>
      </c>
      <c r="J337" s="14">
        <f t="shared" si="38"/>
        <v>0.2857142857142857</v>
      </c>
      <c r="K337" s="4">
        <f t="shared" si="39"/>
        <v>4</v>
      </c>
      <c r="L337" s="4">
        <f t="shared" si="40"/>
        <v>14</v>
      </c>
      <c r="M337" s="4" t="s">
        <v>519</v>
      </c>
      <c r="N337" s="4">
        <f t="shared" si="41"/>
        <v>1</v>
      </c>
    </row>
    <row r="338" spans="1:14">
      <c r="A338" s="4">
        <v>22</v>
      </c>
      <c r="B338" s="4" t="s">
        <v>540</v>
      </c>
      <c r="C338" s="4" t="s">
        <v>73</v>
      </c>
      <c r="D338" s="4" t="s">
        <v>73</v>
      </c>
      <c r="E338" s="4" t="str">
        <f t="shared" si="35"/>
        <v>22|A|A</v>
      </c>
      <c r="F338" s="12">
        <v>6</v>
      </c>
      <c r="G338" s="4">
        <f t="shared" si="36"/>
        <v>41</v>
      </c>
      <c r="H338" s="12">
        <v>1</v>
      </c>
      <c r="I338" s="14">
        <f t="shared" si="37"/>
        <v>0.14634146341463414</v>
      </c>
      <c r="J338" s="14">
        <f t="shared" si="38"/>
        <v>0.15555555555555556</v>
      </c>
      <c r="K338" s="4">
        <f t="shared" si="39"/>
        <v>7</v>
      </c>
      <c r="L338" s="4">
        <f t="shared" si="40"/>
        <v>45</v>
      </c>
      <c r="M338" s="4" t="s">
        <v>519</v>
      </c>
      <c r="N338" s="4">
        <f t="shared" si="41"/>
        <v>1</v>
      </c>
    </row>
    <row r="339" spans="1:14">
      <c r="A339" s="4">
        <v>22</v>
      </c>
      <c r="B339" s="4" t="s">
        <v>540</v>
      </c>
      <c r="C339" s="4" t="s">
        <v>73</v>
      </c>
      <c r="D339" s="4" t="s">
        <v>71</v>
      </c>
      <c r="E339" s="4" t="str">
        <f t="shared" si="35"/>
        <v>22|A|C</v>
      </c>
      <c r="F339" s="12">
        <v>11</v>
      </c>
      <c r="G339" s="4">
        <f t="shared" si="36"/>
        <v>41</v>
      </c>
      <c r="H339" s="12">
        <v>1</v>
      </c>
      <c r="I339" s="14">
        <f t="shared" si="37"/>
        <v>0.26829268292682928</v>
      </c>
      <c r="J339" s="14">
        <f t="shared" si="38"/>
        <v>0.26666666666666666</v>
      </c>
      <c r="K339" s="4">
        <f t="shared" si="39"/>
        <v>12</v>
      </c>
      <c r="L339" s="4">
        <f t="shared" si="40"/>
        <v>45</v>
      </c>
      <c r="M339" s="4" t="s">
        <v>519</v>
      </c>
      <c r="N339" s="4">
        <f t="shared" si="41"/>
        <v>1</v>
      </c>
    </row>
    <row r="340" spans="1:14">
      <c r="A340" s="4">
        <v>22</v>
      </c>
      <c r="B340" s="4" t="s">
        <v>540</v>
      </c>
      <c r="C340" s="4" t="s">
        <v>73</v>
      </c>
      <c r="D340" s="4" t="s">
        <v>70</v>
      </c>
      <c r="E340" s="4" t="str">
        <f t="shared" si="35"/>
        <v>22|A|G</v>
      </c>
      <c r="F340" s="12">
        <v>21</v>
      </c>
      <c r="G340" s="4">
        <f t="shared" si="36"/>
        <v>41</v>
      </c>
      <c r="H340" s="12">
        <v>1</v>
      </c>
      <c r="I340" s="14">
        <f t="shared" si="37"/>
        <v>0.51219512195121952</v>
      </c>
      <c r="J340" s="14">
        <f t="shared" si="38"/>
        <v>0.48888888888888887</v>
      </c>
      <c r="K340" s="4">
        <f t="shared" si="39"/>
        <v>22</v>
      </c>
      <c r="L340" s="4">
        <f t="shared" si="40"/>
        <v>45</v>
      </c>
      <c r="M340" s="4" t="s">
        <v>519</v>
      </c>
      <c r="N340" s="4">
        <f t="shared" si="41"/>
        <v>1</v>
      </c>
    </row>
    <row r="341" spans="1:14">
      <c r="A341" s="4">
        <v>22</v>
      </c>
      <c r="B341" s="4" t="s">
        <v>540</v>
      </c>
      <c r="C341" s="4" t="s">
        <v>73</v>
      </c>
      <c r="D341" s="4" t="s">
        <v>72</v>
      </c>
      <c r="E341" s="4" t="str">
        <f t="shared" si="35"/>
        <v>22|A|U</v>
      </c>
      <c r="F341" s="12">
        <v>3</v>
      </c>
      <c r="G341" s="4">
        <f t="shared" si="36"/>
        <v>41</v>
      </c>
      <c r="H341" s="12">
        <v>1</v>
      </c>
      <c r="I341" s="14">
        <f t="shared" si="37"/>
        <v>7.3170731707317069E-2</v>
      </c>
      <c r="J341" s="14">
        <f t="shared" si="38"/>
        <v>8.8888888888888892E-2</v>
      </c>
      <c r="K341" s="4">
        <f t="shared" si="39"/>
        <v>4</v>
      </c>
      <c r="L341" s="4">
        <f t="shared" si="40"/>
        <v>45</v>
      </c>
      <c r="M341" s="4" t="s">
        <v>519</v>
      </c>
      <c r="N341" s="4">
        <f t="shared" si="41"/>
        <v>1</v>
      </c>
    </row>
    <row r="342" spans="1:14">
      <c r="A342" s="4">
        <v>22</v>
      </c>
      <c r="B342" s="4" t="s">
        <v>540</v>
      </c>
      <c r="C342" s="4" t="s">
        <v>71</v>
      </c>
      <c r="D342" s="4" t="s">
        <v>73</v>
      </c>
      <c r="E342" s="4" t="str">
        <f t="shared" si="35"/>
        <v>22|C|A</v>
      </c>
      <c r="F342" s="12">
        <v>0</v>
      </c>
      <c r="G342" s="4">
        <f t="shared" si="36"/>
        <v>0</v>
      </c>
      <c r="H342" s="12">
        <v>1</v>
      </c>
      <c r="I342" s="14" t="str">
        <f t="shared" si="37"/>
        <v/>
      </c>
      <c r="J342" s="14">
        <f t="shared" si="38"/>
        <v>0.25</v>
      </c>
      <c r="K342" s="4">
        <f t="shared" si="39"/>
        <v>1</v>
      </c>
      <c r="L342" s="4">
        <f t="shared" si="40"/>
        <v>4</v>
      </c>
      <c r="M342" s="4" t="s">
        <v>519</v>
      </c>
      <c r="N342" s="4">
        <f t="shared" si="41"/>
        <v>1</v>
      </c>
    </row>
    <row r="343" spans="1:14">
      <c r="A343" s="4">
        <v>22</v>
      </c>
      <c r="B343" s="4" t="s">
        <v>540</v>
      </c>
      <c r="C343" s="4" t="s">
        <v>71</v>
      </c>
      <c r="D343" s="4" t="s">
        <v>71</v>
      </c>
      <c r="E343" s="4" t="str">
        <f t="shared" si="35"/>
        <v>22|C|C</v>
      </c>
      <c r="F343" s="12">
        <v>0</v>
      </c>
      <c r="G343" s="4">
        <f t="shared" si="36"/>
        <v>0</v>
      </c>
      <c r="H343" s="12">
        <v>1</v>
      </c>
      <c r="I343" s="14" t="str">
        <f t="shared" si="37"/>
        <v/>
      </c>
      <c r="J343" s="14">
        <f t="shared" si="38"/>
        <v>0.25</v>
      </c>
      <c r="K343" s="4">
        <f t="shared" si="39"/>
        <v>1</v>
      </c>
      <c r="L343" s="4">
        <f t="shared" si="40"/>
        <v>4</v>
      </c>
      <c r="M343" s="4" t="s">
        <v>519</v>
      </c>
      <c r="N343" s="4">
        <f t="shared" si="41"/>
        <v>1</v>
      </c>
    </row>
    <row r="344" spans="1:14">
      <c r="A344" s="4">
        <v>22</v>
      </c>
      <c r="B344" s="4" t="s">
        <v>540</v>
      </c>
      <c r="C344" s="4" t="s">
        <v>71</v>
      </c>
      <c r="D344" s="4" t="s">
        <v>70</v>
      </c>
      <c r="E344" s="4" t="str">
        <f t="shared" si="35"/>
        <v>22|C|G</v>
      </c>
      <c r="F344" s="12">
        <v>0</v>
      </c>
      <c r="G344" s="4">
        <f t="shared" si="36"/>
        <v>0</v>
      </c>
      <c r="H344" s="12">
        <v>1</v>
      </c>
      <c r="I344" s="14" t="str">
        <f t="shared" si="37"/>
        <v/>
      </c>
      <c r="J344" s="14">
        <f t="shared" si="38"/>
        <v>0.25</v>
      </c>
      <c r="K344" s="4">
        <f t="shared" si="39"/>
        <v>1</v>
      </c>
      <c r="L344" s="4">
        <f t="shared" si="40"/>
        <v>4</v>
      </c>
      <c r="M344" s="4" t="s">
        <v>519</v>
      </c>
      <c r="N344" s="4">
        <f t="shared" si="41"/>
        <v>1</v>
      </c>
    </row>
    <row r="345" spans="1:14">
      <c r="A345" s="4">
        <v>22</v>
      </c>
      <c r="B345" s="4" t="s">
        <v>540</v>
      </c>
      <c r="C345" s="4" t="s">
        <v>71</v>
      </c>
      <c r="D345" s="4" t="s">
        <v>72</v>
      </c>
      <c r="E345" s="4" t="str">
        <f t="shared" si="35"/>
        <v>22|C|U</v>
      </c>
      <c r="F345" s="12">
        <v>0</v>
      </c>
      <c r="G345" s="4">
        <f t="shared" si="36"/>
        <v>0</v>
      </c>
      <c r="H345" s="12">
        <v>1</v>
      </c>
      <c r="I345" s="14" t="str">
        <f t="shared" si="37"/>
        <v/>
      </c>
      <c r="J345" s="14">
        <f t="shared" si="38"/>
        <v>0.25</v>
      </c>
      <c r="K345" s="4">
        <f t="shared" si="39"/>
        <v>1</v>
      </c>
      <c r="L345" s="4">
        <f t="shared" si="40"/>
        <v>4</v>
      </c>
      <c r="M345" s="4" t="s">
        <v>519</v>
      </c>
      <c r="N345" s="4">
        <f t="shared" si="41"/>
        <v>1</v>
      </c>
    </row>
    <row r="346" spans="1:14">
      <c r="A346" s="4">
        <v>22</v>
      </c>
      <c r="B346" s="4" t="s">
        <v>540</v>
      </c>
      <c r="C346" s="4" t="s">
        <v>70</v>
      </c>
      <c r="D346" s="4" t="s">
        <v>73</v>
      </c>
      <c r="E346" s="4" t="str">
        <f t="shared" si="35"/>
        <v>22|G|A</v>
      </c>
      <c r="F346" s="12">
        <v>114</v>
      </c>
      <c r="G346" s="4">
        <f t="shared" si="36"/>
        <v>145</v>
      </c>
      <c r="H346" s="12">
        <v>1</v>
      </c>
      <c r="I346" s="14">
        <f t="shared" si="37"/>
        <v>0.78620689655172415</v>
      </c>
      <c r="J346" s="14">
        <f t="shared" si="38"/>
        <v>0.77181208053691275</v>
      </c>
      <c r="K346" s="4">
        <f t="shared" si="39"/>
        <v>115</v>
      </c>
      <c r="L346" s="4">
        <f t="shared" si="40"/>
        <v>149</v>
      </c>
      <c r="M346" s="4" t="s">
        <v>519</v>
      </c>
      <c r="N346" s="4">
        <f t="shared" si="41"/>
        <v>1</v>
      </c>
    </row>
    <row r="347" spans="1:14">
      <c r="A347" s="4">
        <v>22</v>
      </c>
      <c r="B347" s="4" t="s">
        <v>540</v>
      </c>
      <c r="C347" s="4" t="s">
        <v>70</v>
      </c>
      <c r="D347" s="4" t="s">
        <v>71</v>
      </c>
      <c r="E347" s="4" t="str">
        <f t="shared" si="35"/>
        <v>22|G|C</v>
      </c>
      <c r="F347" s="12">
        <v>22</v>
      </c>
      <c r="G347" s="4">
        <f t="shared" si="36"/>
        <v>145</v>
      </c>
      <c r="H347" s="12">
        <v>1</v>
      </c>
      <c r="I347" s="14">
        <f t="shared" si="37"/>
        <v>0.15172413793103448</v>
      </c>
      <c r="J347" s="14">
        <f t="shared" si="38"/>
        <v>0.15436241610738255</v>
      </c>
      <c r="K347" s="4">
        <f t="shared" si="39"/>
        <v>23</v>
      </c>
      <c r="L347" s="4">
        <f t="shared" si="40"/>
        <v>149</v>
      </c>
      <c r="M347" s="4" t="s">
        <v>519</v>
      </c>
      <c r="N347" s="4">
        <f t="shared" si="41"/>
        <v>1</v>
      </c>
    </row>
    <row r="348" spans="1:14">
      <c r="A348" s="4">
        <v>22</v>
      </c>
      <c r="B348" s="4" t="s">
        <v>540</v>
      </c>
      <c r="C348" s="4" t="s">
        <v>70</v>
      </c>
      <c r="D348" s="4" t="s">
        <v>70</v>
      </c>
      <c r="E348" s="4" t="str">
        <f t="shared" si="35"/>
        <v>22|G|G</v>
      </c>
      <c r="F348" s="12">
        <v>5</v>
      </c>
      <c r="G348" s="4">
        <f t="shared" si="36"/>
        <v>145</v>
      </c>
      <c r="H348" s="12">
        <v>1</v>
      </c>
      <c r="I348" s="14">
        <f t="shared" si="37"/>
        <v>3.4482758620689655E-2</v>
      </c>
      <c r="J348" s="14">
        <f t="shared" si="38"/>
        <v>4.0268456375838924E-2</v>
      </c>
      <c r="K348" s="4">
        <f t="shared" si="39"/>
        <v>6</v>
      </c>
      <c r="L348" s="4">
        <f t="shared" si="40"/>
        <v>149</v>
      </c>
      <c r="M348" s="4" t="s">
        <v>519</v>
      </c>
      <c r="N348" s="4">
        <f t="shared" si="41"/>
        <v>1</v>
      </c>
    </row>
    <row r="349" spans="1:14">
      <c r="A349" s="4">
        <v>22</v>
      </c>
      <c r="B349" s="4" t="s">
        <v>540</v>
      </c>
      <c r="C349" s="4" t="s">
        <v>70</v>
      </c>
      <c r="D349" s="4" t="s">
        <v>72</v>
      </c>
      <c r="E349" s="4" t="str">
        <f t="shared" si="35"/>
        <v>22|G|U</v>
      </c>
      <c r="F349" s="12">
        <v>4</v>
      </c>
      <c r="G349" s="4">
        <f t="shared" si="36"/>
        <v>145</v>
      </c>
      <c r="H349" s="12">
        <v>1</v>
      </c>
      <c r="I349" s="14">
        <f t="shared" si="37"/>
        <v>2.7586206896551724E-2</v>
      </c>
      <c r="J349" s="14">
        <f t="shared" si="38"/>
        <v>3.3557046979865772E-2</v>
      </c>
      <c r="K349" s="4">
        <f t="shared" si="39"/>
        <v>5</v>
      </c>
      <c r="L349" s="4">
        <f t="shared" si="40"/>
        <v>149</v>
      </c>
      <c r="M349" s="4" t="s">
        <v>519</v>
      </c>
      <c r="N349" s="4">
        <f t="shared" si="41"/>
        <v>1</v>
      </c>
    </row>
    <row r="350" spans="1:14">
      <c r="A350" s="4">
        <v>22</v>
      </c>
      <c r="B350" s="4" t="s">
        <v>540</v>
      </c>
      <c r="C350" s="4" t="s">
        <v>72</v>
      </c>
      <c r="D350" s="4" t="s">
        <v>73</v>
      </c>
      <c r="E350" s="4" t="str">
        <f t="shared" si="35"/>
        <v>22|U|A</v>
      </c>
      <c r="F350" s="12">
        <v>1</v>
      </c>
      <c r="G350" s="4">
        <f t="shared" si="36"/>
        <v>14</v>
      </c>
      <c r="H350" s="12">
        <v>1</v>
      </c>
      <c r="I350" s="14">
        <f t="shared" si="37"/>
        <v>7.1428571428571425E-2</v>
      </c>
      <c r="J350" s="14">
        <f t="shared" si="38"/>
        <v>0.1111111111111111</v>
      </c>
      <c r="K350" s="4">
        <f t="shared" si="39"/>
        <v>2</v>
      </c>
      <c r="L350" s="4">
        <f t="shared" si="40"/>
        <v>18</v>
      </c>
      <c r="M350" s="4" t="s">
        <v>519</v>
      </c>
      <c r="N350" s="4">
        <f t="shared" si="41"/>
        <v>1</v>
      </c>
    </row>
    <row r="351" spans="1:14">
      <c r="A351" s="4">
        <v>22</v>
      </c>
      <c r="B351" s="4" t="s">
        <v>540</v>
      </c>
      <c r="C351" s="4" t="s">
        <v>72</v>
      </c>
      <c r="D351" s="4" t="s">
        <v>71</v>
      </c>
      <c r="E351" s="4" t="str">
        <f t="shared" si="35"/>
        <v>22|U|C</v>
      </c>
      <c r="F351" s="12">
        <v>5</v>
      </c>
      <c r="G351" s="4">
        <f t="shared" si="36"/>
        <v>14</v>
      </c>
      <c r="H351" s="12">
        <v>1</v>
      </c>
      <c r="I351" s="14">
        <f t="shared" si="37"/>
        <v>0.35714285714285715</v>
      </c>
      <c r="J351" s="14">
        <f t="shared" si="38"/>
        <v>0.33333333333333331</v>
      </c>
      <c r="K351" s="4">
        <f t="shared" si="39"/>
        <v>6</v>
      </c>
      <c r="L351" s="4">
        <f t="shared" si="40"/>
        <v>18</v>
      </c>
      <c r="M351" s="4" t="s">
        <v>519</v>
      </c>
      <c r="N351" s="4">
        <f t="shared" si="41"/>
        <v>1</v>
      </c>
    </row>
    <row r="352" spans="1:14">
      <c r="A352" s="4">
        <v>22</v>
      </c>
      <c r="B352" s="4" t="s">
        <v>540</v>
      </c>
      <c r="C352" s="4" t="s">
        <v>72</v>
      </c>
      <c r="D352" s="4" t="s">
        <v>70</v>
      </c>
      <c r="E352" s="4" t="str">
        <f t="shared" si="35"/>
        <v>22|U|G</v>
      </c>
      <c r="F352" s="12">
        <v>3</v>
      </c>
      <c r="G352" s="4">
        <f t="shared" si="36"/>
        <v>14</v>
      </c>
      <c r="H352" s="12">
        <v>1</v>
      </c>
      <c r="I352" s="14">
        <f t="shared" si="37"/>
        <v>0.21428571428571427</v>
      </c>
      <c r="J352" s="14">
        <f t="shared" si="38"/>
        <v>0.22222222222222221</v>
      </c>
      <c r="K352" s="4">
        <f t="shared" si="39"/>
        <v>4</v>
      </c>
      <c r="L352" s="4">
        <f t="shared" si="40"/>
        <v>18</v>
      </c>
      <c r="M352" s="4" t="s">
        <v>519</v>
      </c>
      <c r="N352" s="4">
        <f t="shared" si="41"/>
        <v>1</v>
      </c>
    </row>
    <row r="353" spans="1:14">
      <c r="A353" s="4">
        <v>22</v>
      </c>
      <c r="B353" s="4" t="s">
        <v>540</v>
      </c>
      <c r="C353" s="4" t="s">
        <v>72</v>
      </c>
      <c r="D353" s="4" t="s">
        <v>72</v>
      </c>
      <c r="E353" s="4" t="str">
        <f t="shared" si="35"/>
        <v>22|U|U</v>
      </c>
      <c r="F353" s="12">
        <v>5</v>
      </c>
      <c r="G353" s="4">
        <f t="shared" si="36"/>
        <v>14</v>
      </c>
      <c r="H353" s="12">
        <v>1</v>
      </c>
      <c r="I353" s="14">
        <f t="shared" si="37"/>
        <v>0.35714285714285715</v>
      </c>
      <c r="J353" s="14">
        <f t="shared" si="38"/>
        <v>0.33333333333333331</v>
      </c>
      <c r="K353" s="4">
        <f t="shared" si="39"/>
        <v>6</v>
      </c>
      <c r="L353" s="4">
        <f t="shared" si="40"/>
        <v>18</v>
      </c>
      <c r="M353" s="4" t="s">
        <v>519</v>
      </c>
      <c r="N353" s="4">
        <f t="shared" si="41"/>
        <v>1</v>
      </c>
    </row>
    <row r="354" spans="1:14">
      <c r="A354" s="4">
        <v>23</v>
      </c>
      <c r="B354" s="4" t="s">
        <v>541</v>
      </c>
      <c r="C354" s="4" t="s">
        <v>73</v>
      </c>
      <c r="D354" s="4" t="s">
        <v>73</v>
      </c>
      <c r="E354" s="4" t="str">
        <f t="shared" si="35"/>
        <v>23|A|A</v>
      </c>
      <c r="F354" s="12">
        <v>11</v>
      </c>
      <c r="G354" s="4">
        <f t="shared" si="36"/>
        <v>121</v>
      </c>
      <c r="H354" s="12">
        <v>1</v>
      </c>
      <c r="I354" s="14">
        <f t="shared" si="37"/>
        <v>9.0909090909090912E-2</v>
      </c>
      <c r="J354" s="14">
        <f t="shared" si="38"/>
        <v>9.6000000000000002E-2</v>
      </c>
      <c r="K354" s="4">
        <f t="shared" si="39"/>
        <v>12</v>
      </c>
      <c r="L354" s="4">
        <f t="shared" si="40"/>
        <v>125</v>
      </c>
      <c r="M354" s="4" t="s">
        <v>519</v>
      </c>
      <c r="N354" s="4">
        <f t="shared" si="41"/>
        <v>1</v>
      </c>
    </row>
    <row r="355" spans="1:14">
      <c r="A355" s="4">
        <v>23</v>
      </c>
      <c r="B355" s="4" t="s">
        <v>541</v>
      </c>
      <c r="C355" s="4" t="s">
        <v>73</v>
      </c>
      <c r="D355" s="4" t="s">
        <v>71</v>
      </c>
      <c r="E355" s="4" t="str">
        <f t="shared" si="35"/>
        <v>23|A|C</v>
      </c>
      <c r="F355" s="12">
        <v>1</v>
      </c>
      <c r="G355" s="4">
        <f t="shared" si="36"/>
        <v>121</v>
      </c>
      <c r="H355" s="12">
        <v>1</v>
      </c>
      <c r="I355" s="14">
        <f t="shared" si="37"/>
        <v>8.2644628099173556E-3</v>
      </c>
      <c r="J355" s="14">
        <f t="shared" si="38"/>
        <v>1.6E-2</v>
      </c>
      <c r="K355" s="4">
        <f t="shared" si="39"/>
        <v>2</v>
      </c>
      <c r="L355" s="4">
        <f t="shared" si="40"/>
        <v>125</v>
      </c>
      <c r="M355" s="4" t="s">
        <v>519</v>
      </c>
      <c r="N355" s="4">
        <f t="shared" si="41"/>
        <v>1</v>
      </c>
    </row>
    <row r="356" spans="1:14">
      <c r="A356" s="4">
        <v>23</v>
      </c>
      <c r="B356" s="4" t="s">
        <v>541</v>
      </c>
      <c r="C356" s="4" t="s">
        <v>73</v>
      </c>
      <c r="D356" s="4" t="s">
        <v>70</v>
      </c>
      <c r="E356" s="4" t="str">
        <f t="shared" si="35"/>
        <v>23|A|G</v>
      </c>
      <c r="F356" s="12">
        <v>106</v>
      </c>
      <c r="G356" s="4">
        <f t="shared" si="36"/>
        <v>121</v>
      </c>
      <c r="H356" s="12">
        <v>1</v>
      </c>
      <c r="I356" s="14">
        <f t="shared" si="37"/>
        <v>0.87603305785123964</v>
      </c>
      <c r="J356" s="14">
        <f t="shared" si="38"/>
        <v>0.85599999999999998</v>
      </c>
      <c r="K356" s="4">
        <f t="shared" si="39"/>
        <v>107</v>
      </c>
      <c r="L356" s="4">
        <f t="shared" si="40"/>
        <v>125</v>
      </c>
      <c r="M356" s="4" t="s">
        <v>519</v>
      </c>
      <c r="N356" s="4">
        <f t="shared" si="41"/>
        <v>1</v>
      </c>
    </row>
    <row r="357" spans="1:14">
      <c r="A357" s="4">
        <v>23</v>
      </c>
      <c r="B357" s="4" t="s">
        <v>541</v>
      </c>
      <c r="C357" s="4" t="s">
        <v>73</v>
      </c>
      <c r="D357" s="4" t="s">
        <v>72</v>
      </c>
      <c r="E357" s="4" t="str">
        <f t="shared" si="35"/>
        <v>23|A|U</v>
      </c>
      <c r="F357" s="12">
        <v>3</v>
      </c>
      <c r="G357" s="4">
        <f t="shared" si="36"/>
        <v>121</v>
      </c>
      <c r="H357" s="12">
        <v>1</v>
      </c>
      <c r="I357" s="14">
        <f t="shared" si="37"/>
        <v>2.4793388429752067E-2</v>
      </c>
      <c r="J357" s="14">
        <f t="shared" si="38"/>
        <v>3.2000000000000001E-2</v>
      </c>
      <c r="K357" s="4">
        <f t="shared" si="39"/>
        <v>4</v>
      </c>
      <c r="L357" s="4">
        <f t="shared" si="40"/>
        <v>125</v>
      </c>
      <c r="M357" s="4" t="s">
        <v>519</v>
      </c>
      <c r="N357" s="4">
        <f t="shared" si="41"/>
        <v>1</v>
      </c>
    </row>
    <row r="358" spans="1:14">
      <c r="A358" s="4">
        <v>23</v>
      </c>
      <c r="B358" s="4" t="s">
        <v>541</v>
      </c>
      <c r="C358" s="4" t="s">
        <v>71</v>
      </c>
      <c r="D358" s="4" t="s">
        <v>73</v>
      </c>
      <c r="E358" s="4" t="str">
        <f t="shared" si="35"/>
        <v>23|C|A</v>
      </c>
      <c r="F358" s="12">
        <v>11</v>
      </c>
      <c r="G358" s="4">
        <f t="shared" si="36"/>
        <v>38</v>
      </c>
      <c r="H358" s="12">
        <v>1</v>
      </c>
      <c r="I358" s="14">
        <f t="shared" si="37"/>
        <v>0.28947368421052633</v>
      </c>
      <c r="J358" s="14">
        <f t="shared" si="38"/>
        <v>0.2857142857142857</v>
      </c>
      <c r="K358" s="4">
        <f t="shared" si="39"/>
        <v>12</v>
      </c>
      <c r="L358" s="4">
        <f t="shared" si="40"/>
        <v>42</v>
      </c>
      <c r="M358" s="4" t="s">
        <v>519</v>
      </c>
      <c r="N358" s="4">
        <f t="shared" si="41"/>
        <v>1</v>
      </c>
    </row>
    <row r="359" spans="1:14">
      <c r="A359" s="4">
        <v>23</v>
      </c>
      <c r="B359" s="4" t="s">
        <v>541</v>
      </c>
      <c r="C359" s="4" t="s">
        <v>71</v>
      </c>
      <c r="D359" s="4" t="s">
        <v>71</v>
      </c>
      <c r="E359" s="4" t="str">
        <f t="shared" si="35"/>
        <v>23|C|C</v>
      </c>
      <c r="F359" s="12">
        <v>3</v>
      </c>
      <c r="G359" s="4">
        <f t="shared" si="36"/>
        <v>38</v>
      </c>
      <c r="H359" s="12">
        <v>1</v>
      </c>
      <c r="I359" s="14">
        <f t="shared" si="37"/>
        <v>7.8947368421052627E-2</v>
      </c>
      <c r="J359" s="14">
        <f t="shared" si="38"/>
        <v>9.5238095238095233E-2</v>
      </c>
      <c r="K359" s="4">
        <f t="shared" si="39"/>
        <v>4</v>
      </c>
      <c r="L359" s="4">
        <f t="shared" si="40"/>
        <v>42</v>
      </c>
      <c r="M359" s="4" t="s">
        <v>519</v>
      </c>
      <c r="N359" s="4">
        <f t="shared" si="41"/>
        <v>1</v>
      </c>
    </row>
    <row r="360" spans="1:14">
      <c r="A360" s="4">
        <v>23</v>
      </c>
      <c r="B360" s="4" t="s">
        <v>541</v>
      </c>
      <c r="C360" s="4" t="s">
        <v>71</v>
      </c>
      <c r="D360" s="4" t="s">
        <v>70</v>
      </c>
      <c r="E360" s="4" t="str">
        <f t="shared" si="35"/>
        <v>23|C|G</v>
      </c>
      <c r="F360" s="12">
        <v>20</v>
      </c>
      <c r="G360" s="4">
        <f t="shared" si="36"/>
        <v>38</v>
      </c>
      <c r="H360" s="12">
        <v>1</v>
      </c>
      <c r="I360" s="14">
        <f t="shared" si="37"/>
        <v>0.52631578947368418</v>
      </c>
      <c r="J360" s="14">
        <f t="shared" si="38"/>
        <v>0.5</v>
      </c>
      <c r="K360" s="4">
        <f t="shared" si="39"/>
        <v>21</v>
      </c>
      <c r="L360" s="4">
        <f t="shared" si="40"/>
        <v>42</v>
      </c>
      <c r="M360" s="4" t="s">
        <v>519</v>
      </c>
      <c r="N360" s="4">
        <f t="shared" si="41"/>
        <v>1</v>
      </c>
    </row>
    <row r="361" spans="1:14">
      <c r="A361" s="4">
        <v>23</v>
      </c>
      <c r="B361" s="4" t="s">
        <v>541</v>
      </c>
      <c r="C361" s="4" t="s">
        <v>71</v>
      </c>
      <c r="D361" s="4" t="s">
        <v>72</v>
      </c>
      <c r="E361" s="4" t="str">
        <f t="shared" si="35"/>
        <v>23|C|U</v>
      </c>
      <c r="F361" s="12">
        <v>4</v>
      </c>
      <c r="G361" s="4">
        <f t="shared" si="36"/>
        <v>38</v>
      </c>
      <c r="H361" s="12">
        <v>1</v>
      </c>
      <c r="I361" s="14">
        <f t="shared" si="37"/>
        <v>0.10526315789473684</v>
      </c>
      <c r="J361" s="14">
        <f t="shared" si="38"/>
        <v>0.11904761904761904</v>
      </c>
      <c r="K361" s="4">
        <f t="shared" si="39"/>
        <v>5</v>
      </c>
      <c r="L361" s="4">
        <f t="shared" si="40"/>
        <v>42</v>
      </c>
      <c r="M361" s="4" t="s">
        <v>519</v>
      </c>
      <c r="N361" s="4">
        <f t="shared" si="41"/>
        <v>1</v>
      </c>
    </row>
    <row r="362" spans="1:14">
      <c r="A362" s="4">
        <v>23</v>
      </c>
      <c r="B362" s="4" t="s">
        <v>541</v>
      </c>
      <c r="C362" s="4" t="s">
        <v>70</v>
      </c>
      <c r="D362" s="4" t="s">
        <v>73</v>
      </c>
      <c r="E362" s="4" t="str">
        <f t="shared" si="35"/>
        <v>23|G|A</v>
      </c>
      <c r="F362" s="12">
        <v>10</v>
      </c>
      <c r="G362" s="4">
        <f t="shared" si="36"/>
        <v>29</v>
      </c>
      <c r="H362" s="12">
        <v>1</v>
      </c>
      <c r="I362" s="14">
        <f t="shared" si="37"/>
        <v>0.34482758620689657</v>
      </c>
      <c r="J362" s="14">
        <f t="shared" si="38"/>
        <v>0.33333333333333331</v>
      </c>
      <c r="K362" s="4">
        <f t="shared" si="39"/>
        <v>11</v>
      </c>
      <c r="L362" s="4">
        <f t="shared" si="40"/>
        <v>33</v>
      </c>
      <c r="M362" s="4" t="s">
        <v>519</v>
      </c>
      <c r="N362" s="4">
        <f t="shared" si="41"/>
        <v>1</v>
      </c>
    </row>
    <row r="363" spans="1:14">
      <c r="A363" s="4">
        <v>23</v>
      </c>
      <c r="B363" s="4" t="s">
        <v>541</v>
      </c>
      <c r="C363" s="4" t="s">
        <v>70</v>
      </c>
      <c r="D363" s="4" t="s">
        <v>71</v>
      </c>
      <c r="E363" s="4" t="str">
        <f t="shared" si="35"/>
        <v>23|G|C</v>
      </c>
      <c r="F363" s="12">
        <v>0</v>
      </c>
      <c r="G363" s="4">
        <f t="shared" si="36"/>
        <v>29</v>
      </c>
      <c r="H363" s="12">
        <v>1</v>
      </c>
      <c r="I363" s="14">
        <f t="shared" si="37"/>
        <v>0</v>
      </c>
      <c r="J363" s="14">
        <f t="shared" si="38"/>
        <v>3.0303030303030304E-2</v>
      </c>
      <c r="K363" s="4">
        <f t="shared" si="39"/>
        <v>1</v>
      </c>
      <c r="L363" s="4">
        <f t="shared" si="40"/>
        <v>33</v>
      </c>
      <c r="M363" s="4" t="s">
        <v>519</v>
      </c>
      <c r="N363" s="4">
        <f t="shared" si="41"/>
        <v>1</v>
      </c>
    </row>
    <row r="364" spans="1:14">
      <c r="A364" s="4">
        <v>23</v>
      </c>
      <c r="B364" s="4" t="s">
        <v>541</v>
      </c>
      <c r="C364" s="4" t="s">
        <v>70</v>
      </c>
      <c r="D364" s="4" t="s">
        <v>70</v>
      </c>
      <c r="E364" s="4" t="str">
        <f t="shared" si="35"/>
        <v>23|G|G</v>
      </c>
      <c r="F364" s="12">
        <v>19</v>
      </c>
      <c r="G364" s="4">
        <f t="shared" si="36"/>
        <v>29</v>
      </c>
      <c r="H364" s="12">
        <v>1</v>
      </c>
      <c r="I364" s="14">
        <f t="shared" si="37"/>
        <v>0.65517241379310343</v>
      </c>
      <c r="J364" s="14">
        <f t="shared" si="38"/>
        <v>0.60606060606060608</v>
      </c>
      <c r="K364" s="4">
        <f t="shared" si="39"/>
        <v>20</v>
      </c>
      <c r="L364" s="4">
        <f t="shared" si="40"/>
        <v>33</v>
      </c>
      <c r="M364" s="4" t="s">
        <v>519</v>
      </c>
      <c r="N364" s="4">
        <f t="shared" si="41"/>
        <v>1</v>
      </c>
    </row>
    <row r="365" spans="1:14">
      <c r="A365" s="4">
        <v>23</v>
      </c>
      <c r="B365" s="4" t="s">
        <v>541</v>
      </c>
      <c r="C365" s="4" t="s">
        <v>70</v>
      </c>
      <c r="D365" s="4" t="s">
        <v>72</v>
      </c>
      <c r="E365" s="4" t="str">
        <f t="shared" si="35"/>
        <v>23|G|U</v>
      </c>
      <c r="F365" s="12">
        <v>0</v>
      </c>
      <c r="G365" s="4">
        <f t="shared" si="36"/>
        <v>29</v>
      </c>
      <c r="H365" s="12">
        <v>1</v>
      </c>
      <c r="I365" s="14">
        <f t="shared" si="37"/>
        <v>0</v>
      </c>
      <c r="J365" s="14">
        <f t="shared" si="38"/>
        <v>3.0303030303030304E-2</v>
      </c>
      <c r="K365" s="4">
        <f t="shared" si="39"/>
        <v>1</v>
      </c>
      <c r="L365" s="4">
        <f t="shared" si="40"/>
        <v>33</v>
      </c>
      <c r="M365" s="4" t="s">
        <v>519</v>
      </c>
      <c r="N365" s="4">
        <f t="shared" si="41"/>
        <v>1</v>
      </c>
    </row>
    <row r="366" spans="1:14">
      <c r="A366" s="4">
        <v>23</v>
      </c>
      <c r="B366" s="4" t="s">
        <v>541</v>
      </c>
      <c r="C366" s="4" t="s">
        <v>72</v>
      </c>
      <c r="D366" s="4" t="s">
        <v>73</v>
      </c>
      <c r="E366" s="4" t="str">
        <f t="shared" si="35"/>
        <v>23|U|A</v>
      </c>
      <c r="F366" s="12">
        <v>5</v>
      </c>
      <c r="G366" s="4">
        <f t="shared" si="36"/>
        <v>12</v>
      </c>
      <c r="H366" s="12">
        <v>1</v>
      </c>
      <c r="I366" s="14">
        <f t="shared" si="37"/>
        <v>0.41666666666666669</v>
      </c>
      <c r="J366" s="14">
        <f t="shared" si="38"/>
        <v>0.375</v>
      </c>
      <c r="K366" s="4">
        <f t="shared" si="39"/>
        <v>6</v>
      </c>
      <c r="L366" s="4">
        <f t="shared" si="40"/>
        <v>16</v>
      </c>
      <c r="M366" s="4" t="s">
        <v>519</v>
      </c>
      <c r="N366" s="4">
        <f t="shared" si="41"/>
        <v>1</v>
      </c>
    </row>
    <row r="367" spans="1:14">
      <c r="A367" s="4">
        <v>23</v>
      </c>
      <c r="B367" s="4" t="s">
        <v>541</v>
      </c>
      <c r="C367" s="4" t="s">
        <v>72</v>
      </c>
      <c r="D367" s="4" t="s">
        <v>71</v>
      </c>
      <c r="E367" s="4" t="str">
        <f t="shared" si="35"/>
        <v>23|U|C</v>
      </c>
      <c r="F367" s="12">
        <v>2</v>
      </c>
      <c r="G367" s="4">
        <f t="shared" si="36"/>
        <v>12</v>
      </c>
      <c r="H367" s="12">
        <v>1</v>
      </c>
      <c r="I367" s="14">
        <f t="shared" si="37"/>
        <v>0.16666666666666666</v>
      </c>
      <c r="J367" s="14">
        <f t="shared" si="38"/>
        <v>0.1875</v>
      </c>
      <c r="K367" s="4">
        <f t="shared" si="39"/>
        <v>3</v>
      </c>
      <c r="L367" s="4">
        <f t="shared" si="40"/>
        <v>16</v>
      </c>
      <c r="M367" s="4" t="s">
        <v>519</v>
      </c>
      <c r="N367" s="4">
        <f t="shared" si="41"/>
        <v>1</v>
      </c>
    </row>
    <row r="368" spans="1:14">
      <c r="A368" s="4">
        <v>23</v>
      </c>
      <c r="B368" s="4" t="s">
        <v>541</v>
      </c>
      <c r="C368" s="4" t="s">
        <v>72</v>
      </c>
      <c r="D368" s="4" t="s">
        <v>70</v>
      </c>
      <c r="E368" s="4" t="str">
        <f t="shared" si="35"/>
        <v>23|U|G</v>
      </c>
      <c r="F368" s="12">
        <v>5</v>
      </c>
      <c r="G368" s="4">
        <f t="shared" si="36"/>
        <v>12</v>
      </c>
      <c r="H368" s="12">
        <v>1</v>
      </c>
      <c r="I368" s="14">
        <f t="shared" si="37"/>
        <v>0.41666666666666669</v>
      </c>
      <c r="J368" s="14">
        <f t="shared" si="38"/>
        <v>0.375</v>
      </c>
      <c r="K368" s="4">
        <f t="shared" si="39"/>
        <v>6</v>
      </c>
      <c r="L368" s="4">
        <f t="shared" si="40"/>
        <v>16</v>
      </c>
      <c r="M368" s="4" t="s">
        <v>519</v>
      </c>
      <c r="N368" s="4">
        <f t="shared" si="41"/>
        <v>1</v>
      </c>
    </row>
    <row r="369" spans="1:14">
      <c r="A369" s="4">
        <v>23</v>
      </c>
      <c r="B369" s="4" t="s">
        <v>541</v>
      </c>
      <c r="C369" s="4" t="s">
        <v>72</v>
      </c>
      <c r="D369" s="4" t="s">
        <v>72</v>
      </c>
      <c r="E369" s="4" t="str">
        <f t="shared" si="35"/>
        <v>23|U|U</v>
      </c>
      <c r="F369" s="12">
        <v>0</v>
      </c>
      <c r="G369" s="4">
        <f t="shared" si="36"/>
        <v>12</v>
      </c>
      <c r="H369" s="12">
        <v>1</v>
      </c>
      <c r="I369" s="14">
        <f t="shared" si="37"/>
        <v>0</v>
      </c>
      <c r="J369" s="14">
        <f t="shared" si="38"/>
        <v>6.25E-2</v>
      </c>
      <c r="K369" s="4">
        <f t="shared" si="39"/>
        <v>1</v>
      </c>
      <c r="L369" s="4">
        <f t="shared" si="40"/>
        <v>16</v>
      </c>
      <c r="M369" s="4" t="s">
        <v>519</v>
      </c>
      <c r="N369" s="4">
        <f t="shared" si="41"/>
        <v>1</v>
      </c>
    </row>
    <row r="370" spans="1:14">
      <c r="A370" s="4">
        <v>24</v>
      </c>
      <c r="B370" s="4" t="s">
        <v>542</v>
      </c>
      <c r="C370" s="4" t="s">
        <v>73</v>
      </c>
      <c r="D370" s="4" t="s">
        <v>73</v>
      </c>
      <c r="E370" s="4" t="str">
        <f t="shared" si="35"/>
        <v>24|A|A</v>
      </c>
      <c r="F370" s="12">
        <v>0</v>
      </c>
      <c r="G370" s="4">
        <f t="shared" si="36"/>
        <v>37</v>
      </c>
      <c r="H370" s="12">
        <v>1</v>
      </c>
      <c r="I370" s="14">
        <f t="shared" si="37"/>
        <v>0</v>
      </c>
      <c r="J370" s="14">
        <f t="shared" si="38"/>
        <v>2.4390243902439025E-2</v>
      </c>
      <c r="K370" s="4">
        <f t="shared" si="39"/>
        <v>1</v>
      </c>
      <c r="L370" s="4">
        <f t="shared" si="40"/>
        <v>41</v>
      </c>
      <c r="M370" s="4" t="s">
        <v>519</v>
      </c>
      <c r="N370" s="4">
        <f t="shared" si="41"/>
        <v>1</v>
      </c>
    </row>
    <row r="371" spans="1:14">
      <c r="A371" s="4">
        <v>24</v>
      </c>
      <c r="B371" s="4" t="s">
        <v>542</v>
      </c>
      <c r="C371" s="4" t="s">
        <v>73</v>
      </c>
      <c r="D371" s="4" t="s">
        <v>71</v>
      </c>
      <c r="E371" s="4" t="str">
        <f t="shared" si="35"/>
        <v>24|A|C</v>
      </c>
      <c r="F371" s="12">
        <v>27</v>
      </c>
      <c r="G371" s="4">
        <f t="shared" si="36"/>
        <v>37</v>
      </c>
      <c r="H371" s="12">
        <v>1</v>
      </c>
      <c r="I371" s="14">
        <f t="shared" si="37"/>
        <v>0.72972972972972971</v>
      </c>
      <c r="J371" s="14">
        <f t="shared" si="38"/>
        <v>0.68292682926829273</v>
      </c>
      <c r="K371" s="4">
        <f t="shared" si="39"/>
        <v>28</v>
      </c>
      <c r="L371" s="4">
        <f t="shared" si="40"/>
        <v>41</v>
      </c>
      <c r="M371" s="4" t="s">
        <v>519</v>
      </c>
      <c r="N371" s="4">
        <f t="shared" si="41"/>
        <v>1</v>
      </c>
    </row>
    <row r="372" spans="1:14">
      <c r="A372" s="4">
        <v>24</v>
      </c>
      <c r="B372" s="4" t="s">
        <v>542</v>
      </c>
      <c r="C372" s="4" t="s">
        <v>73</v>
      </c>
      <c r="D372" s="4" t="s">
        <v>70</v>
      </c>
      <c r="E372" s="4" t="str">
        <f t="shared" si="35"/>
        <v>24|A|G</v>
      </c>
      <c r="F372" s="12">
        <v>0</v>
      </c>
      <c r="G372" s="4">
        <f t="shared" si="36"/>
        <v>37</v>
      </c>
      <c r="H372" s="12">
        <v>1</v>
      </c>
      <c r="I372" s="14">
        <f t="shared" si="37"/>
        <v>0</v>
      </c>
      <c r="J372" s="14">
        <f t="shared" si="38"/>
        <v>2.4390243902439025E-2</v>
      </c>
      <c r="K372" s="4">
        <f t="shared" si="39"/>
        <v>1</v>
      </c>
      <c r="L372" s="4">
        <f t="shared" si="40"/>
        <v>41</v>
      </c>
      <c r="M372" s="4" t="s">
        <v>519</v>
      </c>
      <c r="N372" s="4">
        <f t="shared" si="41"/>
        <v>1</v>
      </c>
    </row>
    <row r="373" spans="1:14">
      <c r="A373" s="4">
        <v>24</v>
      </c>
      <c r="B373" s="4" t="s">
        <v>542</v>
      </c>
      <c r="C373" s="4" t="s">
        <v>73</v>
      </c>
      <c r="D373" s="4" t="s">
        <v>72</v>
      </c>
      <c r="E373" s="4" t="str">
        <f t="shared" si="35"/>
        <v>24|A|U</v>
      </c>
      <c r="F373" s="12">
        <v>10</v>
      </c>
      <c r="G373" s="4">
        <f t="shared" si="36"/>
        <v>37</v>
      </c>
      <c r="H373" s="12">
        <v>1</v>
      </c>
      <c r="I373" s="14">
        <f t="shared" si="37"/>
        <v>0.27027027027027029</v>
      </c>
      <c r="J373" s="14">
        <f t="shared" si="38"/>
        <v>0.26829268292682928</v>
      </c>
      <c r="K373" s="4">
        <f t="shared" si="39"/>
        <v>11</v>
      </c>
      <c r="L373" s="4">
        <f t="shared" si="40"/>
        <v>41</v>
      </c>
      <c r="M373" s="4" t="s">
        <v>519</v>
      </c>
      <c r="N373" s="4">
        <f t="shared" si="41"/>
        <v>1</v>
      </c>
    </row>
    <row r="374" spans="1:14">
      <c r="A374" s="4">
        <v>24</v>
      </c>
      <c r="B374" s="4" t="s">
        <v>542</v>
      </c>
      <c r="C374" s="4" t="s">
        <v>71</v>
      </c>
      <c r="D374" s="4" t="s">
        <v>73</v>
      </c>
      <c r="E374" s="4" t="str">
        <f t="shared" si="35"/>
        <v>24|C|A</v>
      </c>
      <c r="F374" s="12">
        <v>0</v>
      </c>
      <c r="G374" s="4">
        <f t="shared" si="36"/>
        <v>6</v>
      </c>
      <c r="H374" s="12">
        <v>1</v>
      </c>
      <c r="I374" s="14">
        <f t="shared" si="37"/>
        <v>0</v>
      </c>
      <c r="J374" s="14">
        <f t="shared" si="38"/>
        <v>0.1</v>
      </c>
      <c r="K374" s="4">
        <f t="shared" si="39"/>
        <v>1</v>
      </c>
      <c r="L374" s="4">
        <f t="shared" si="40"/>
        <v>10</v>
      </c>
      <c r="M374" s="4" t="s">
        <v>519</v>
      </c>
      <c r="N374" s="4">
        <f t="shared" si="41"/>
        <v>1</v>
      </c>
    </row>
    <row r="375" spans="1:14">
      <c r="A375" s="4">
        <v>24</v>
      </c>
      <c r="B375" s="4" t="s">
        <v>542</v>
      </c>
      <c r="C375" s="4" t="s">
        <v>71</v>
      </c>
      <c r="D375" s="4" t="s">
        <v>71</v>
      </c>
      <c r="E375" s="4" t="str">
        <f t="shared" si="35"/>
        <v>24|C|C</v>
      </c>
      <c r="F375" s="12">
        <v>4</v>
      </c>
      <c r="G375" s="4">
        <f t="shared" si="36"/>
        <v>6</v>
      </c>
      <c r="H375" s="12">
        <v>1</v>
      </c>
      <c r="I375" s="14">
        <f t="shared" si="37"/>
        <v>0.66666666666666663</v>
      </c>
      <c r="J375" s="14">
        <f t="shared" si="38"/>
        <v>0.5</v>
      </c>
      <c r="K375" s="4">
        <f t="shared" si="39"/>
        <v>5</v>
      </c>
      <c r="L375" s="4">
        <f t="shared" si="40"/>
        <v>10</v>
      </c>
      <c r="M375" s="4" t="s">
        <v>519</v>
      </c>
      <c r="N375" s="4">
        <f t="shared" si="41"/>
        <v>1</v>
      </c>
    </row>
    <row r="376" spans="1:14">
      <c r="A376" s="4">
        <v>24</v>
      </c>
      <c r="B376" s="4" t="s">
        <v>542</v>
      </c>
      <c r="C376" s="4" t="s">
        <v>71</v>
      </c>
      <c r="D376" s="4" t="s">
        <v>70</v>
      </c>
      <c r="E376" s="4" t="str">
        <f t="shared" si="35"/>
        <v>24|C|G</v>
      </c>
      <c r="F376" s="12">
        <v>1</v>
      </c>
      <c r="G376" s="4">
        <f t="shared" si="36"/>
        <v>6</v>
      </c>
      <c r="H376" s="12">
        <v>1</v>
      </c>
      <c r="I376" s="14">
        <f t="shared" si="37"/>
        <v>0.16666666666666666</v>
      </c>
      <c r="J376" s="14">
        <f t="shared" si="38"/>
        <v>0.2</v>
      </c>
      <c r="K376" s="4">
        <f t="shared" si="39"/>
        <v>2</v>
      </c>
      <c r="L376" s="4">
        <f t="shared" si="40"/>
        <v>10</v>
      </c>
      <c r="M376" s="4" t="s">
        <v>519</v>
      </c>
      <c r="N376" s="4">
        <f t="shared" si="41"/>
        <v>1</v>
      </c>
    </row>
    <row r="377" spans="1:14">
      <c r="A377" s="4">
        <v>24</v>
      </c>
      <c r="B377" s="4" t="s">
        <v>542</v>
      </c>
      <c r="C377" s="4" t="s">
        <v>71</v>
      </c>
      <c r="D377" s="4" t="s">
        <v>72</v>
      </c>
      <c r="E377" s="4" t="str">
        <f t="shared" si="35"/>
        <v>24|C|U</v>
      </c>
      <c r="F377" s="12">
        <v>1</v>
      </c>
      <c r="G377" s="4">
        <f t="shared" si="36"/>
        <v>6</v>
      </c>
      <c r="H377" s="12">
        <v>1</v>
      </c>
      <c r="I377" s="14">
        <f t="shared" si="37"/>
        <v>0.16666666666666666</v>
      </c>
      <c r="J377" s="14">
        <f t="shared" si="38"/>
        <v>0.2</v>
      </c>
      <c r="K377" s="4">
        <f t="shared" si="39"/>
        <v>2</v>
      </c>
      <c r="L377" s="4">
        <f t="shared" si="40"/>
        <v>10</v>
      </c>
      <c r="M377" s="4" t="s">
        <v>519</v>
      </c>
      <c r="N377" s="4">
        <f t="shared" si="41"/>
        <v>1</v>
      </c>
    </row>
    <row r="378" spans="1:14">
      <c r="A378" s="4">
        <v>24</v>
      </c>
      <c r="B378" s="4" t="s">
        <v>542</v>
      </c>
      <c r="C378" s="4" t="s">
        <v>70</v>
      </c>
      <c r="D378" s="4" t="s">
        <v>73</v>
      </c>
      <c r="E378" s="4" t="str">
        <f t="shared" si="35"/>
        <v>24|G|A</v>
      </c>
      <c r="F378" s="12">
        <v>1</v>
      </c>
      <c r="G378" s="4">
        <f t="shared" si="36"/>
        <v>150</v>
      </c>
      <c r="H378" s="12">
        <v>1</v>
      </c>
      <c r="I378" s="14">
        <f t="shared" si="37"/>
        <v>6.6666666666666671E-3</v>
      </c>
      <c r="J378" s="14">
        <f t="shared" si="38"/>
        <v>1.2987012987012988E-2</v>
      </c>
      <c r="K378" s="4">
        <f t="shared" si="39"/>
        <v>2</v>
      </c>
      <c r="L378" s="4">
        <f t="shared" si="40"/>
        <v>154</v>
      </c>
      <c r="M378" s="4" t="s">
        <v>519</v>
      </c>
      <c r="N378" s="4">
        <f t="shared" si="41"/>
        <v>1</v>
      </c>
    </row>
    <row r="379" spans="1:14">
      <c r="A379" s="4">
        <v>24</v>
      </c>
      <c r="B379" s="4" t="s">
        <v>542</v>
      </c>
      <c r="C379" s="4" t="s">
        <v>70</v>
      </c>
      <c r="D379" s="4" t="s">
        <v>71</v>
      </c>
      <c r="E379" s="4" t="str">
        <f t="shared" si="35"/>
        <v>24|G|C</v>
      </c>
      <c r="F379" s="12">
        <v>140</v>
      </c>
      <c r="G379" s="4">
        <f t="shared" si="36"/>
        <v>150</v>
      </c>
      <c r="H379" s="12">
        <v>1</v>
      </c>
      <c r="I379" s="14">
        <f t="shared" si="37"/>
        <v>0.93333333333333335</v>
      </c>
      <c r="J379" s="14">
        <f t="shared" si="38"/>
        <v>0.91558441558441561</v>
      </c>
      <c r="K379" s="4">
        <f t="shared" si="39"/>
        <v>141</v>
      </c>
      <c r="L379" s="4">
        <f t="shared" si="40"/>
        <v>154</v>
      </c>
      <c r="M379" s="4" t="s">
        <v>519</v>
      </c>
      <c r="N379" s="4">
        <f t="shared" si="41"/>
        <v>1</v>
      </c>
    </row>
    <row r="380" spans="1:14">
      <c r="A380" s="4">
        <v>24</v>
      </c>
      <c r="B380" s="4" t="s">
        <v>542</v>
      </c>
      <c r="C380" s="4" t="s">
        <v>70</v>
      </c>
      <c r="D380" s="4" t="s">
        <v>70</v>
      </c>
      <c r="E380" s="4" t="str">
        <f t="shared" si="35"/>
        <v>24|G|G</v>
      </c>
      <c r="F380" s="12">
        <v>6</v>
      </c>
      <c r="G380" s="4">
        <f t="shared" si="36"/>
        <v>150</v>
      </c>
      <c r="H380" s="12">
        <v>1</v>
      </c>
      <c r="I380" s="14">
        <f t="shared" si="37"/>
        <v>0.04</v>
      </c>
      <c r="J380" s="14">
        <f t="shared" si="38"/>
        <v>4.5454545454545456E-2</v>
      </c>
      <c r="K380" s="4">
        <f t="shared" si="39"/>
        <v>7</v>
      </c>
      <c r="L380" s="4">
        <f t="shared" si="40"/>
        <v>154</v>
      </c>
      <c r="M380" s="4" t="s">
        <v>519</v>
      </c>
      <c r="N380" s="4">
        <f t="shared" si="41"/>
        <v>1</v>
      </c>
    </row>
    <row r="381" spans="1:14">
      <c r="A381" s="4">
        <v>24</v>
      </c>
      <c r="B381" s="4" t="s">
        <v>542</v>
      </c>
      <c r="C381" s="4" t="s">
        <v>70</v>
      </c>
      <c r="D381" s="4" t="s">
        <v>72</v>
      </c>
      <c r="E381" s="4" t="str">
        <f t="shared" si="35"/>
        <v>24|G|U</v>
      </c>
      <c r="F381" s="12">
        <v>3</v>
      </c>
      <c r="G381" s="4">
        <f t="shared" si="36"/>
        <v>150</v>
      </c>
      <c r="H381" s="12">
        <v>1</v>
      </c>
      <c r="I381" s="14">
        <f t="shared" si="37"/>
        <v>0.02</v>
      </c>
      <c r="J381" s="14">
        <f t="shared" si="38"/>
        <v>2.5974025974025976E-2</v>
      </c>
      <c r="K381" s="4">
        <f t="shared" si="39"/>
        <v>4</v>
      </c>
      <c r="L381" s="4">
        <f t="shared" si="40"/>
        <v>154</v>
      </c>
      <c r="M381" s="4" t="s">
        <v>519</v>
      </c>
      <c r="N381" s="4">
        <f t="shared" si="41"/>
        <v>1</v>
      </c>
    </row>
    <row r="382" spans="1:14">
      <c r="A382" s="4">
        <v>24</v>
      </c>
      <c r="B382" s="4" t="s">
        <v>542</v>
      </c>
      <c r="C382" s="4" t="s">
        <v>72</v>
      </c>
      <c r="D382" s="4" t="s">
        <v>73</v>
      </c>
      <c r="E382" s="4" t="str">
        <f t="shared" si="35"/>
        <v>24|U|A</v>
      </c>
      <c r="F382" s="12">
        <v>0</v>
      </c>
      <c r="G382" s="4">
        <f t="shared" si="36"/>
        <v>7</v>
      </c>
      <c r="H382" s="12">
        <v>1</v>
      </c>
      <c r="I382" s="14">
        <f t="shared" si="37"/>
        <v>0</v>
      </c>
      <c r="J382" s="14">
        <f t="shared" si="38"/>
        <v>9.0909090909090912E-2</v>
      </c>
      <c r="K382" s="4">
        <f t="shared" si="39"/>
        <v>1</v>
      </c>
      <c r="L382" s="4">
        <f t="shared" si="40"/>
        <v>11</v>
      </c>
      <c r="M382" s="4" t="s">
        <v>519</v>
      </c>
      <c r="N382" s="4">
        <f t="shared" si="41"/>
        <v>1</v>
      </c>
    </row>
    <row r="383" spans="1:14">
      <c r="A383" s="4">
        <v>24</v>
      </c>
      <c r="B383" s="4" t="s">
        <v>542</v>
      </c>
      <c r="C383" s="4" t="s">
        <v>72</v>
      </c>
      <c r="D383" s="4" t="s">
        <v>71</v>
      </c>
      <c r="E383" s="4" t="str">
        <f t="shared" si="35"/>
        <v>24|U|C</v>
      </c>
      <c r="F383" s="12">
        <v>7</v>
      </c>
      <c r="G383" s="4">
        <f t="shared" si="36"/>
        <v>7</v>
      </c>
      <c r="H383" s="12">
        <v>1</v>
      </c>
      <c r="I383" s="14">
        <f t="shared" si="37"/>
        <v>1</v>
      </c>
      <c r="J383" s="14">
        <f t="shared" si="38"/>
        <v>0.72727272727272729</v>
      </c>
      <c r="K383" s="4">
        <f t="shared" si="39"/>
        <v>8</v>
      </c>
      <c r="L383" s="4">
        <f t="shared" si="40"/>
        <v>11</v>
      </c>
      <c r="M383" s="4" t="s">
        <v>519</v>
      </c>
      <c r="N383" s="4">
        <f t="shared" si="41"/>
        <v>1</v>
      </c>
    </row>
    <row r="384" spans="1:14">
      <c r="A384" s="4">
        <v>24</v>
      </c>
      <c r="B384" s="4" t="s">
        <v>542</v>
      </c>
      <c r="C384" s="4" t="s">
        <v>72</v>
      </c>
      <c r="D384" s="4" t="s">
        <v>70</v>
      </c>
      <c r="E384" s="4" t="str">
        <f t="shared" si="35"/>
        <v>24|U|G</v>
      </c>
      <c r="F384" s="12">
        <v>0</v>
      </c>
      <c r="G384" s="4">
        <f t="shared" si="36"/>
        <v>7</v>
      </c>
      <c r="H384" s="12">
        <v>1</v>
      </c>
      <c r="I384" s="14">
        <f t="shared" si="37"/>
        <v>0</v>
      </c>
      <c r="J384" s="14">
        <f t="shared" si="38"/>
        <v>9.0909090909090912E-2</v>
      </c>
      <c r="K384" s="4">
        <f t="shared" si="39"/>
        <v>1</v>
      </c>
      <c r="L384" s="4">
        <f t="shared" si="40"/>
        <v>11</v>
      </c>
      <c r="M384" s="4" t="s">
        <v>519</v>
      </c>
      <c r="N384" s="4">
        <f t="shared" si="41"/>
        <v>1</v>
      </c>
    </row>
    <row r="385" spans="1:14">
      <c r="A385" s="4">
        <v>24</v>
      </c>
      <c r="B385" s="4" t="s">
        <v>542</v>
      </c>
      <c r="C385" s="4" t="s">
        <v>72</v>
      </c>
      <c r="D385" s="4" t="s">
        <v>72</v>
      </c>
      <c r="E385" s="4" t="str">
        <f t="shared" si="35"/>
        <v>24|U|U</v>
      </c>
      <c r="F385" s="12">
        <v>0</v>
      </c>
      <c r="G385" s="4">
        <f t="shared" si="36"/>
        <v>7</v>
      </c>
      <c r="H385" s="12">
        <v>1</v>
      </c>
      <c r="I385" s="14">
        <f t="shared" si="37"/>
        <v>0</v>
      </c>
      <c r="J385" s="14">
        <f t="shared" si="38"/>
        <v>9.0909090909090912E-2</v>
      </c>
      <c r="K385" s="4">
        <f t="shared" si="39"/>
        <v>1</v>
      </c>
      <c r="L385" s="4">
        <f t="shared" si="40"/>
        <v>11</v>
      </c>
      <c r="M385" s="4" t="s">
        <v>519</v>
      </c>
      <c r="N385" s="4">
        <f t="shared" si="41"/>
        <v>1</v>
      </c>
    </row>
    <row r="386" spans="1:14">
      <c r="A386" s="4">
        <v>25</v>
      </c>
      <c r="B386" s="4" t="s">
        <v>543</v>
      </c>
      <c r="C386" s="4" t="s">
        <v>73</v>
      </c>
      <c r="D386" s="4" t="s">
        <v>73</v>
      </c>
      <c r="E386" s="4" t="str">
        <f t="shared" ref="E386:E449" si="42">A386&amp;"|"&amp;C386&amp;"|"&amp;D386</f>
        <v>25|A|A</v>
      </c>
      <c r="F386" s="12">
        <v>0</v>
      </c>
      <c r="G386" s="4">
        <f t="shared" ref="G386:G449" si="43">SUMIFS($F$2:$F$1137,$A$2:$A$1137,A386,$C$2:$C$1137,C386)</f>
        <v>1</v>
      </c>
      <c r="H386" s="12">
        <v>1</v>
      </c>
      <c r="I386" s="14">
        <f t="shared" ref="I386:I449" si="44">IF(G386=0,"",F386/G386)</f>
        <v>0</v>
      </c>
      <c r="J386" s="14">
        <f t="shared" ref="J386:J449" si="45">K386/L386</f>
        <v>0.2</v>
      </c>
      <c r="K386" s="4">
        <f t="shared" ref="K386:K449" si="46">F386+H386</f>
        <v>1</v>
      </c>
      <c r="L386" s="4">
        <f t="shared" ref="L386:L449" si="47">G386+4*H386</f>
        <v>5</v>
      </c>
      <c r="M386" s="4" t="s">
        <v>519</v>
      </c>
      <c r="N386" s="4">
        <f t="shared" ref="N386:N449" si="48">ROUND(SUMIFS($J$2:$J$1137,$A$2:$A$1137,A386,$C$2:$C$1137,C386),9)</f>
        <v>1</v>
      </c>
    </row>
    <row r="387" spans="1:14">
      <c r="A387" s="4">
        <v>25</v>
      </c>
      <c r="B387" s="4" t="s">
        <v>543</v>
      </c>
      <c r="C387" s="4" t="s">
        <v>73</v>
      </c>
      <c r="D387" s="4" t="s">
        <v>71</v>
      </c>
      <c r="E387" s="4" t="str">
        <f t="shared" si="42"/>
        <v>25|A|C</v>
      </c>
      <c r="F387" s="12">
        <v>0</v>
      </c>
      <c r="G387" s="4">
        <f t="shared" si="43"/>
        <v>1</v>
      </c>
      <c r="H387" s="12">
        <v>1</v>
      </c>
      <c r="I387" s="14">
        <f t="shared" si="44"/>
        <v>0</v>
      </c>
      <c r="J387" s="14">
        <f t="shared" si="45"/>
        <v>0.2</v>
      </c>
      <c r="K387" s="4">
        <f t="shared" si="46"/>
        <v>1</v>
      </c>
      <c r="L387" s="4">
        <f t="shared" si="47"/>
        <v>5</v>
      </c>
      <c r="M387" s="4" t="s">
        <v>519</v>
      </c>
      <c r="N387" s="4">
        <f t="shared" si="48"/>
        <v>1</v>
      </c>
    </row>
    <row r="388" spans="1:14">
      <c r="A388" s="4">
        <v>25</v>
      </c>
      <c r="B388" s="4" t="s">
        <v>543</v>
      </c>
      <c r="C388" s="4" t="s">
        <v>73</v>
      </c>
      <c r="D388" s="4" t="s">
        <v>70</v>
      </c>
      <c r="E388" s="4" t="str">
        <f t="shared" si="42"/>
        <v>25|A|G</v>
      </c>
      <c r="F388" s="12">
        <v>1</v>
      </c>
      <c r="G388" s="4">
        <f t="shared" si="43"/>
        <v>1</v>
      </c>
      <c r="H388" s="12">
        <v>1</v>
      </c>
      <c r="I388" s="14">
        <f t="shared" si="44"/>
        <v>1</v>
      </c>
      <c r="J388" s="14">
        <f t="shared" si="45"/>
        <v>0.4</v>
      </c>
      <c r="K388" s="4">
        <f t="shared" si="46"/>
        <v>2</v>
      </c>
      <c r="L388" s="4">
        <f t="shared" si="47"/>
        <v>5</v>
      </c>
      <c r="M388" s="4" t="s">
        <v>519</v>
      </c>
      <c r="N388" s="4">
        <f t="shared" si="48"/>
        <v>1</v>
      </c>
    </row>
    <row r="389" spans="1:14">
      <c r="A389" s="4">
        <v>25</v>
      </c>
      <c r="B389" s="4" t="s">
        <v>543</v>
      </c>
      <c r="C389" s="4" t="s">
        <v>73</v>
      </c>
      <c r="D389" s="4" t="s">
        <v>72</v>
      </c>
      <c r="E389" s="4" t="str">
        <f t="shared" si="42"/>
        <v>25|A|U</v>
      </c>
      <c r="F389" s="12">
        <v>0</v>
      </c>
      <c r="G389" s="4">
        <f t="shared" si="43"/>
        <v>1</v>
      </c>
      <c r="H389" s="12">
        <v>1</v>
      </c>
      <c r="I389" s="14">
        <f t="shared" si="44"/>
        <v>0</v>
      </c>
      <c r="J389" s="14">
        <f t="shared" si="45"/>
        <v>0.2</v>
      </c>
      <c r="K389" s="4">
        <f t="shared" si="46"/>
        <v>1</v>
      </c>
      <c r="L389" s="4">
        <f t="shared" si="47"/>
        <v>5</v>
      </c>
      <c r="M389" s="4" t="s">
        <v>519</v>
      </c>
      <c r="N389" s="4">
        <f t="shared" si="48"/>
        <v>1</v>
      </c>
    </row>
    <row r="390" spans="1:14">
      <c r="A390" s="4">
        <v>25</v>
      </c>
      <c r="B390" s="4" t="s">
        <v>543</v>
      </c>
      <c r="C390" s="4" t="s">
        <v>71</v>
      </c>
      <c r="D390" s="4" t="s">
        <v>73</v>
      </c>
      <c r="E390" s="4" t="str">
        <f t="shared" si="42"/>
        <v>25|C|A</v>
      </c>
      <c r="F390" s="12">
        <v>77</v>
      </c>
      <c r="G390" s="4">
        <f t="shared" si="43"/>
        <v>178</v>
      </c>
      <c r="H390" s="12">
        <v>1</v>
      </c>
      <c r="I390" s="14">
        <f t="shared" si="44"/>
        <v>0.43258426966292135</v>
      </c>
      <c r="J390" s="14">
        <f t="shared" si="45"/>
        <v>0.42857142857142855</v>
      </c>
      <c r="K390" s="4">
        <f t="shared" si="46"/>
        <v>78</v>
      </c>
      <c r="L390" s="4">
        <f t="shared" si="47"/>
        <v>182</v>
      </c>
      <c r="M390" s="4" t="s">
        <v>519</v>
      </c>
      <c r="N390" s="4">
        <f t="shared" si="48"/>
        <v>1</v>
      </c>
    </row>
    <row r="391" spans="1:14">
      <c r="A391" s="4">
        <v>25</v>
      </c>
      <c r="B391" s="4" t="s">
        <v>543</v>
      </c>
      <c r="C391" s="4" t="s">
        <v>71</v>
      </c>
      <c r="D391" s="4" t="s">
        <v>71</v>
      </c>
      <c r="E391" s="4" t="str">
        <f t="shared" si="42"/>
        <v>25|C|C</v>
      </c>
      <c r="F391" s="12">
        <v>3</v>
      </c>
      <c r="G391" s="4">
        <f t="shared" si="43"/>
        <v>178</v>
      </c>
      <c r="H391" s="12">
        <v>1</v>
      </c>
      <c r="I391" s="14">
        <f t="shared" si="44"/>
        <v>1.6853932584269662E-2</v>
      </c>
      <c r="J391" s="14">
        <f t="shared" si="45"/>
        <v>2.197802197802198E-2</v>
      </c>
      <c r="K391" s="4">
        <f t="shared" si="46"/>
        <v>4</v>
      </c>
      <c r="L391" s="4">
        <f t="shared" si="47"/>
        <v>182</v>
      </c>
      <c r="M391" s="4" t="s">
        <v>519</v>
      </c>
      <c r="N391" s="4">
        <f t="shared" si="48"/>
        <v>1</v>
      </c>
    </row>
    <row r="392" spans="1:14">
      <c r="A392" s="4">
        <v>25</v>
      </c>
      <c r="B392" s="4" t="s">
        <v>543</v>
      </c>
      <c r="C392" s="4" t="s">
        <v>71</v>
      </c>
      <c r="D392" s="4" t="s">
        <v>70</v>
      </c>
      <c r="E392" s="4" t="str">
        <f t="shared" si="42"/>
        <v>25|C|G</v>
      </c>
      <c r="F392" s="12">
        <v>89</v>
      </c>
      <c r="G392" s="4">
        <f t="shared" si="43"/>
        <v>178</v>
      </c>
      <c r="H392" s="12">
        <v>1</v>
      </c>
      <c r="I392" s="14">
        <f t="shared" si="44"/>
        <v>0.5</v>
      </c>
      <c r="J392" s="14">
        <f t="shared" si="45"/>
        <v>0.49450549450549453</v>
      </c>
      <c r="K392" s="4">
        <f t="shared" si="46"/>
        <v>90</v>
      </c>
      <c r="L392" s="4">
        <f t="shared" si="47"/>
        <v>182</v>
      </c>
      <c r="M392" s="4" t="s">
        <v>519</v>
      </c>
      <c r="N392" s="4">
        <f t="shared" si="48"/>
        <v>1</v>
      </c>
    </row>
    <row r="393" spans="1:14">
      <c r="A393" s="4">
        <v>25</v>
      </c>
      <c r="B393" s="4" t="s">
        <v>543</v>
      </c>
      <c r="C393" s="4" t="s">
        <v>71</v>
      </c>
      <c r="D393" s="4" t="s">
        <v>72</v>
      </c>
      <c r="E393" s="4" t="str">
        <f t="shared" si="42"/>
        <v>25|C|U</v>
      </c>
      <c r="F393" s="12">
        <v>9</v>
      </c>
      <c r="G393" s="4">
        <f t="shared" si="43"/>
        <v>178</v>
      </c>
      <c r="H393" s="12">
        <v>1</v>
      </c>
      <c r="I393" s="14">
        <f t="shared" si="44"/>
        <v>5.0561797752808987E-2</v>
      </c>
      <c r="J393" s="14">
        <f t="shared" si="45"/>
        <v>5.4945054945054944E-2</v>
      </c>
      <c r="K393" s="4">
        <f t="shared" si="46"/>
        <v>10</v>
      </c>
      <c r="L393" s="4">
        <f t="shared" si="47"/>
        <v>182</v>
      </c>
      <c r="M393" s="4" t="s">
        <v>519</v>
      </c>
      <c r="N393" s="4">
        <f t="shared" si="48"/>
        <v>1</v>
      </c>
    </row>
    <row r="394" spans="1:14">
      <c r="A394" s="4">
        <v>25</v>
      </c>
      <c r="B394" s="4" t="s">
        <v>543</v>
      </c>
      <c r="C394" s="4" t="s">
        <v>70</v>
      </c>
      <c r="D394" s="4" t="s">
        <v>73</v>
      </c>
      <c r="E394" s="4" t="str">
        <f t="shared" si="42"/>
        <v>25|G|A</v>
      </c>
      <c r="F394" s="12">
        <v>5</v>
      </c>
      <c r="G394" s="4">
        <f t="shared" si="43"/>
        <v>7</v>
      </c>
      <c r="H394" s="12">
        <v>1</v>
      </c>
      <c r="I394" s="14">
        <f t="shared" si="44"/>
        <v>0.7142857142857143</v>
      </c>
      <c r="J394" s="14">
        <f t="shared" si="45"/>
        <v>0.54545454545454541</v>
      </c>
      <c r="K394" s="4">
        <f t="shared" si="46"/>
        <v>6</v>
      </c>
      <c r="L394" s="4">
        <f t="shared" si="47"/>
        <v>11</v>
      </c>
      <c r="M394" s="4" t="s">
        <v>519</v>
      </c>
      <c r="N394" s="4">
        <f t="shared" si="48"/>
        <v>1</v>
      </c>
    </row>
    <row r="395" spans="1:14">
      <c r="A395" s="4">
        <v>25</v>
      </c>
      <c r="B395" s="4" t="s">
        <v>543</v>
      </c>
      <c r="C395" s="4" t="s">
        <v>70</v>
      </c>
      <c r="D395" s="4" t="s">
        <v>71</v>
      </c>
      <c r="E395" s="4" t="str">
        <f t="shared" si="42"/>
        <v>25|G|C</v>
      </c>
      <c r="F395" s="12">
        <v>0</v>
      </c>
      <c r="G395" s="4">
        <f t="shared" si="43"/>
        <v>7</v>
      </c>
      <c r="H395" s="12">
        <v>1</v>
      </c>
      <c r="I395" s="14">
        <f t="shared" si="44"/>
        <v>0</v>
      </c>
      <c r="J395" s="14">
        <f t="shared" si="45"/>
        <v>9.0909090909090912E-2</v>
      </c>
      <c r="K395" s="4">
        <f t="shared" si="46"/>
        <v>1</v>
      </c>
      <c r="L395" s="4">
        <f t="shared" si="47"/>
        <v>11</v>
      </c>
      <c r="M395" s="4" t="s">
        <v>519</v>
      </c>
      <c r="N395" s="4">
        <f t="shared" si="48"/>
        <v>1</v>
      </c>
    </row>
    <row r="396" spans="1:14">
      <c r="A396" s="4">
        <v>25</v>
      </c>
      <c r="B396" s="4" t="s">
        <v>543</v>
      </c>
      <c r="C396" s="4" t="s">
        <v>70</v>
      </c>
      <c r="D396" s="4" t="s">
        <v>70</v>
      </c>
      <c r="E396" s="4" t="str">
        <f t="shared" si="42"/>
        <v>25|G|G</v>
      </c>
      <c r="F396" s="12">
        <v>2</v>
      </c>
      <c r="G396" s="4">
        <f t="shared" si="43"/>
        <v>7</v>
      </c>
      <c r="H396" s="12">
        <v>1</v>
      </c>
      <c r="I396" s="14">
        <f t="shared" si="44"/>
        <v>0.2857142857142857</v>
      </c>
      <c r="J396" s="14">
        <f t="shared" si="45"/>
        <v>0.27272727272727271</v>
      </c>
      <c r="K396" s="4">
        <f t="shared" si="46"/>
        <v>3</v>
      </c>
      <c r="L396" s="4">
        <f t="shared" si="47"/>
        <v>11</v>
      </c>
      <c r="M396" s="4" t="s">
        <v>519</v>
      </c>
      <c r="N396" s="4">
        <f t="shared" si="48"/>
        <v>1</v>
      </c>
    </row>
    <row r="397" spans="1:14">
      <c r="A397" s="4">
        <v>25</v>
      </c>
      <c r="B397" s="4" t="s">
        <v>543</v>
      </c>
      <c r="C397" s="4" t="s">
        <v>70</v>
      </c>
      <c r="D397" s="4" t="s">
        <v>72</v>
      </c>
      <c r="E397" s="4" t="str">
        <f t="shared" si="42"/>
        <v>25|G|U</v>
      </c>
      <c r="F397" s="12">
        <v>0</v>
      </c>
      <c r="G397" s="4">
        <f t="shared" si="43"/>
        <v>7</v>
      </c>
      <c r="H397" s="12">
        <v>1</v>
      </c>
      <c r="I397" s="14">
        <f t="shared" si="44"/>
        <v>0</v>
      </c>
      <c r="J397" s="14">
        <f t="shared" si="45"/>
        <v>9.0909090909090912E-2</v>
      </c>
      <c r="K397" s="4">
        <f t="shared" si="46"/>
        <v>1</v>
      </c>
      <c r="L397" s="4">
        <f t="shared" si="47"/>
        <v>11</v>
      </c>
      <c r="M397" s="4" t="s">
        <v>519</v>
      </c>
      <c r="N397" s="4">
        <f t="shared" si="48"/>
        <v>1</v>
      </c>
    </row>
    <row r="398" spans="1:14">
      <c r="A398" s="4">
        <v>25</v>
      </c>
      <c r="B398" s="4" t="s">
        <v>543</v>
      </c>
      <c r="C398" s="4" t="s">
        <v>72</v>
      </c>
      <c r="D398" s="4" t="s">
        <v>73</v>
      </c>
      <c r="E398" s="4" t="str">
        <f t="shared" si="42"/>
        <v>25|U|A</v>
      </c>
      <c r="F398" s="12">
        <v>2</v>
      </c>
      <c r="G398" s="4">
        <f t="shared" si="43"/>
        <v>14</v>
      </c>
      <c r="H398" s="12">
        <v>1</v>
      </c>
      <c r="I398" s="14">
        <f t="shared" si="44"/>
        <v>0.14285714285714285</v>
      </c>
      <c r="J398" s="14">
        <f t="shared" si="45"/>
        <v>0.16666666666666666</v>
      </c>
      <c r="K398" s="4">
        <f t="shared" si="46"/>
        <v>3</v>
      </c>
      <c r="L398" s="4">
        <f t="shared" si="47"/>
        <v>18</v>
      </c>
      <c r="M398" s="4" t="s">
        <v>519</v>
      </c>
      <c r="N398" s="4">
        <f t="shared" si="48"/>
        <v>1</v>
      </c>
    </row>
    <row r="399" spans="1:14">
      <c r="A399" s="4">
        <v>25</v>
      </c>
      <c r="B399" s="4" t="s">
        <v>543</v>
      </c>
      <c r="C399" s="4" t="s">
        <v>72</v>
      </c>
      <c r="D399" s="4" t="s">
        <v>71</v>
      </c>
      <c r="E399" s="4" t="str">
        <f t="shared" si="42"/>
        <v>25|U|C</v>
      </c>
      <c r="F399" s="12">
        <v>2</v>
      </c>
      <c r="G399" s="4">
        <f t="shared" si="43"/>
        <v>14</v>
      </c>
      <c r="H399" s="12">
        <v>1</v>
      </c>
      <c r="I399" s="14">
        <f t="shared" si="44"/>
        <v>0.14285714285714285</v>
      </c>
      <c r="J399" s="14">
        <f t="shared" si="45"/>
        <v>0.16666666666666666</v>
      </c>
      <c r="K399" s="4">
        <f t="shared" si="46"/>
        <v>3</v>
      </c>
      <c r="L399" s="4">
        <f t="shared" si="47"/>
        <v>18</v>
      </c>
      <c r="M399" s="4" t="s">
        <v>519</v>
      </c>
      <c r="N399" s="4">
        <f t="shared" si="48"/>
        <v>1</v>
      </c>
    </row>
    <row r="400" spans="1:14">
      <c r="A400" s="4">
        <v>25</v>
      </c>
      <c r="B400" s="4" t="s">
        <v>543</v>
      </c>
      <c r="C400" s="4" t="s">
        <v>72</v>
      </c>
      <c r="D400" s="4" t="s">
        <v>70</v>
      </c>
      <c r="E400" s="4" t="str">
        <f t="shared" si="42"/>
        <v>25|U|G</v>
      </c>
      <c r="F400" s="12">
        <v>8</v>
      </c>
      <c r="G400" s="4">
        <f t="shared" si="43"/>
        <v>14</v>
      </c>
      <c r="H400" s="12">
        <v>1</v>
      </c>
      <c r="I400" s="14">
        <f t="shared" si="44"/>
        <v>0.5714285714285714</v>
      </c>
      <c r="J400" s="14">
        <f t="shared" si="45"/>
        <v>0.5</v>
      </c>
      <c r="K400" s="4">
        <f t="shared" si="46"/>
        <v>9</v>
      </c>
      <c r="L400" s="4">
        <f t="shared" si="47"/>
        <v>18</v>
      </c>
      <c r="M400" s="4" t="s">
        <v>519</v>
      </c>
      <c r="N400" s="4">
        <f t="shared" si="48"/>
        <v>1</v>
      </c>
    </row>
    <row r="401" spans="1:14">
      <c r="A401" s="4">
        <v>25</v>
      </c>
      <c r="B401" s="4" t="s">
        <v>543</v>
      </c>
      <c r="C401" s="4" t="s">
        <v>72</v>
      </c>
      <c r="D401" s="4" t="s">
        <v>72</v>
      </c>
      <c r="E401" s="4" t="str">
        <f t="shared" si="42"/>
        <v>25|U|U</v>
      </c>
      <c r="F401" s="12">
        <v>2</v>
      </c>
      <c r="G401" s="4">
        <f t="shared" si="43"/>
        <v>14</v>
      </c>
      <c r="H401" s="12">
        <v>1</v>
      </c>
      <c r="I401" s="14">
        <f t="shared" si="44"/>
        <v>0.14285714285714285</v>
      </c>
      <c r="J401" s="14">
        <f t="shared" si="45"/>
        <v>0.16666666666666666</v>
      </c>
      <c r="K401" s="4">
        <f t="shared" si="46"/>
        <v>3</v>
      </c>
      <c r="L401" s="4">
        <f t="shared" si="47"/>
        <v>18</v>
      </c>
      <c r="M401" s="4" t="s">
        <v>519</v>
      </c>
      <c r="N401" s="4">
        <f t="shared" si="48"/>
        <v>1</v>
      </c>
    </row>
    <row r="402" spans="1:14">
      <c r="A402" s="4">
        <v>26</v>
      </c>
      <c r="B402" s="4" t="s">
        <v>544</v>
      </c>
      <c r="C402" s="4" t="s">
        <v>73</v>
      </c>
      <c r="D402" s="4" t="s">
        <v>73</v>
      </c>
      <c r="E402" s="4" t="str">
        <f t="shared" si="42"/>
        <v>26|A|A</v>
      </c>
      <c r="F402" s="12">
        <v>15</v>
      </c>
      <c r="G402" s="4">
        <f t="shared" si="43"/>
        <v>84</v>
      </c>
      <c r="H402" s="12">
        <v>1</v>
      </c>
      <c r="I402" s="14">
        <f t="shared" si="44"/>
        <v>0.17857142857142858</v>
      </c>
      <c r="J402" s="14">
        <f t="shared" si="45"/>
        <v>0.18181818181818182</v>
      </c>
      <c r="K402" s="4">
        <f t="shared" si="46"/>
        <v>16</v>
      </c>
      <c r="L402" s="4">
        <f t="shared" si="47"/>
        <v>88</v>
      </c>
      <c r="M402" s="4" t="s">
        <v>519</v>
      </c>
      <c r="N402" s="4">
        <f t="shared" si="48"/>
        <v>1</v>
      </c>
    </row>
    <row r="403" spans="1:14">
      <c r="A403" s="4">
        <v>26</v>
      </c>
      <c r="B403" s="4" t="s">
        <v>544</v>
      </c>
      <c r="C403" s="4" t="s">
        <v>73</v>
      </c>
      <c r="D403" s="4" t="s">
        <v>71</v>
      </c>
      <c r="E403" s="4" t="str">
        <f t="shared" si="42"/>
        <v>26|A|C</v>
      </c>
      <c r="F403" s="12">
        <v>31</v>
      </c>
      <c r="G403" s="4">
        <f t="shared" si="43"/>
        <v>84</v>
      </c>
      <c r="H403" s="12">
        <v>1</v>
      </c>
      <c r="I403" s="14">
        <f t="shared" si="44"/>
        <v>0.36904761904761907</v>
      </c>
      <c r="J403" s="14">
        <f t="shared" si="45"/>
        <v>0.36363636363636365</v>
      </c>
      <c r="K403" s="4">
        <f t="shared" si="46"/>
        <v>32</v>
      </c>
      <c r="L403" s="4">
        <f t="shared" si="47"/>
        <v>88</v>
      </c>
      <c r="M403" s="4" t="s">
        <v>519</v>
      </c>
      <c r="N403" s="4">
        <f t="shared" si="48"/>
        <v>1</v>
      </c>
    </row>
    <row r="404" spans="1:14">
      <c r="A404" s="4">
        <v>26</v>
      </c>
      <c r="B404" s="4" t="s">
        <v>544</v>
      </c>
      <c r="C404" s="4" t="s">
        <v>73</v>
      </c>
      <c r="D404" s="4" t="s">
        <v>70</v>
      </c>
      <c r="E404" s="4" t="str">
        <f t="shared" si="42"/>
        <v>26|A|G</v>
      </c>
      <c r="F404" s="12">
        <v>13</v>
      </c>
      <c r="G404" s="4">
        <f t="shared" si="43"/>
        <v>84</v>
      </c>
      <c r="H404" s="12">
        <v>1</v>
      </c>
      <c r="I404" s="14">
        <f t="shared" si="44"/>
        <v>0.15476190476190477</v>
      </c>
      <c r="J404" s="14">
        <f t="shared" si="45"/>
        <v>0.15909090909090909</v>
      </c>
      <c r="K404" s="4">
        <f t="shared" si="46"/>
        <v>14</v>
      </c>
      <c r="L404" s="4">
        <f t="shared" si="47"/>
        <v>88</v>
      </c>
      <c r="M404" s="4" t="s">
        <v>519</v>
      </c>
      <c r="N404" s="4">
        <f t="shared" si="48"/>
        <v>1</v>
      </c>
    </row>
    <row r="405" spans="1:14">
      <c r="A405" s="4">
        <v>26</v>
      </c>
      <c r="B405" s="4" t="s">
        <v>544</v>
      </c>
      <c r="C405" s="4" t="s">
        <v>73</v>
      </c>
      <c r="D405" s="4" t="s">
        <v>72</v>
      </c>
      <c r="E405" s="4" t="str">
        <f t="shared" si="42"/>
        <v>26|A|U</v>
      </c>
      <c r="F405" s="12">
        <v>25</v>
      </c>
      <c r="G405" s="4">
        <f t="shared" si="43"/>
        <v>84</v>
      </c>
      <c r="H405" s="12">
        <v>1</v>
      </c>
      <c r="I405" s="14">
        <f t="shared" si="44"/>
        <v>0.29761904761904762</v>
      </c>
      <c r="J405" s="14">
        <f t="shared" si="45"/>
        <v>0.29545454545454547</v>
      </c>
      <c r="K405" s="4">
        <f t="shared" si="46"/>
        <v>26</v>
      </c>
      <c r="L405" s="4">
        <f t="shared" si="47"/>
        <v>88</v>
      </c>
      <c r="M405" s="4" t="s">
        <v>519</v>
      </c>
      <c r="N405" s="4">
        <f t="shared" si="48"/>
        <v>1</v>
      </c>
    </row>
    <row r="406" spans="1:14">
      <c r="A406" s="4">
        <v>26</v>
      </c>
      <c r="B406" s="4" t="s">
        <v>544</v>
      </c>
      <c r="C406" s="4" t="s">
        <v>71</v>
      </c>
      <c r="D406" s="4" t="s">
        <v>73</v>
      </c>
      <c r="E406" s="4" t="str">
        <f t="shared" si="42"/>
        <v>26|C|A</v>
      </c>
      <c r="F406" s="12">
        <v>0</v>
      </c>
      <c r="G406" s="4">
        <f t="shared" si="43"/>
        <v>5</v>
      </c>
      <c r="H406" s="12">
        <v>1</v>
      </c>
      <c r="I406" s="14">
        <f t="shared" si="44"/>
        <v>0</v>
      </c>
      <c r="J406" s="14">
        <f t="shared" si="45"/>
        <v>0.1111111111111111</v>
      </c>
      <c r="K406" s="4">
        <f t="shared" si="46"/>
        <v>1</v>
      </c>
      <c r="L406" s="4">
        <f t="shared" si="47"/>
        <v>9</v>
      </c>
      <c r="M406" s="4" t="s">
        <v>519</v>
      </c>
      <c r="N406" s="4">
        <f t="shared" si="48"/>
        <v>1</v>
      </c>
    </row>
    <row r="407" spans="1:14">
      <c r="A407" s="4">
        <v>26</v>
      </c>
      <c r="B407" s="4" t="s">
        <v>544</v>
      </c>
      <c r="C407" s="4" t="s">
        <v>71</v>
      </c>
      <c r="D407" s="4" t="s">
        <v>71</v>
      </c>
      <c r="E407" s="4" t="str">
        <f t="shared" si="42"/>
        <v>26|C|C</v>
      </c>
      <c r="F407" s="12">
        <v>2</v>
      </c>
      <c r="G407" s="4">
        <f t="shared" si="43"/>
        <v>5</v>
      </c>
      <c r="H407" s="12">
        <v>1</v>
      </c>
      <c r="I407" s="14">
        <f t="shared" si="44"/>
        <v>0.4</v>
      </c>
      <c r="J407" s="14">
        <f t="shared" si="45"/>
        <v>0.33333333333333331</v>
      </c>
      <c r="K407" s="4">
        <f t="shared" si="46"/>
        <v>3</v>
      </c>
      <c r="L407" s="4">
        <f t="shared" si="47"/>
        <v>9</v>
      </c>
      <c r="M407" s="4" t="s">
        <v>519</v>
      </c>
      <c r="N407" s="4">
        <f t="shared" si="48"/>
        <v>1</v>
      </c>
    </row>
    <row r="408" spans="1:14">
      <c r="A408" s="4">
        <v>26</v>
      </c>
      <c r="B408" s="4" t="s">
        <v>544</v>
      </c>
      <c r="C408" s="4" t="s">
        <v>71</v>
      </c>
      <c r="D408" s="4" t="s">
        <v>70</v>
      </c>
      <c r="E408" s="4" t="str">
        <f t="shared" si="42"/>
        <v>26|C|G</v>
      </c>
      <c r="F408" s="12">
        <v>1</v>
      </c>
      <c r="G408" s="4">
        <f t="shared" si="43"/>
        <v>5</v>
      </c>
      <c r="H408" s="12">
        <v>1</v>
      </c>
      <c r="I408" s="14">
        <f t="shared" si="44"/>
        <v>0.2</v>
      </c>
      <c r="J408" s="14">
        <f t="shared" si="45"/>
        <v>0.22222222222222221</v>
      </c>
      <c r="K408" s="4">
        <f t="shared" si="46"/>
        <v>2</v>
      </c>
      <c r="L408" s="4">
        <f t="shared" si="47"/>
        <v>9</v>
      </c>
      <c r="M408" s="4" t="s">
        <v>519</v>
      </c>
      <c r="N408" s="4">
        <f t="shared" si="48"/>
        <v>1</v>
      </c>
    </row>
    <row r="409" spans="1:14">
      <c r="A409" s="4">
        <v>26</v>
      </c>
      <c r="B409" s="4" t="s">
        <v>544</v>
      </c>
      <c r="C409" s="4" t="s">
        <v>71</v>
      </c>
      <c r="D409" s="4" t="s">
        <v>72</v>
      </c>
      <c r="E409" s="4" t="str">
        <f t="shared" si="42"/>
        <v>26|C|U</v>
      </c>
      <c r="F409" s="12">
        <v>2</v>
      </c>
      <c r="G409" s="4">
        <f t="shared" si="43"/>
        <v>5</v>
      </c>
      <c r="H409" s="12">
        <v>1</v>
      </c>
      <c r="I409" s="14">
        <f t="shared" si="44"/>
        <v>0.4</v>
      </c>
      <c r="J409" s="14">
        <f t="shared" si="45"/>
        <v>0.33333333333333331</v>
      </c>
      <c r="K409" s="4">
        <f t="shared" si="46"/>
        <v>3</v>
      </c>
      <c r="L409" s="4">
        <f t="shared" si="47"/>
        <v>9</v>
      </c>
      <c r="M409" s="4" t="s">
        <v>519</v>
      </c>
      <c r="N409" s="4">
        <f t="shared" si="48"/>
        <v>1</v>
      </c>
    </row>
    <row r="410" spans="1:14">
      <c r="A410" s="4">
        <v>26</v>
      </c>
      <c r="B410" s="4" t="s">
        <v>544</v>
      </c>
      <c r="C410" s="4" t="s">
        <v>70</v>
      </c>
      <c r="D410" s="4" t="s">
        <v>73</v>
      </c>
      <c r="E410" s="4" t="str">
        <f t="shared" si="42"/>
        <v>26|G|A</v>
      </c>
      <c r="F410" s="12">
        <v>8</v>
      </c>
      <c r="G410" s="4">
        <f t="shared" si="43"/>
        <v>100</v>
      </c>
      <c r="H410" s="12">
        <v>1</v>
      </c>
      <c r="I410" s="14">
        <f t="shared" si="44"/>
        <v>0.08</v>
      </c>
      <c r="J410" s="14">
        <f t="shared" si="45"/>
        <v>8.6538461538461536E-2</v>
      </c>
      <c r="K410" s="4">
        <f t="shared" si="46"/>
        <v>9</v>
      </c>
      <c r="L410" s="4">
        <f t="shared" si="47"/>
        <v>104</v>
      </c>
      <c r="M410" s="4" t="s">
        <v>519</v>
      </c>
      <c r="N410" s="4">
        <f t="shared" si="48"/>
        <v>1</v>
      </c>
    </row>
    <row r="411" spans="1:14">
      <c r="A411" s="4">
        <v>26</v>
      </c>
      <c r="B411" s="4" t="s">
        <v>544</v>
      </c>
      <c r="C411" s="4" t="s">
        <v>70</v>
      </c>
      <c r="D411" s="4" t="s">
        <v>71</v>
      </c>
      <c r="E411" s="4" t="str">
        <f t="shared" si="42"/>
        <v>26|G|C</v>
      </c>
      <c r="F411" s="12">
        <v>54</v>
      </c>
      <c r="G411" s="4">
        <f t="shared" si="43"/>
        <v>100</v>
      </c>
      <c r="H411" s="12">
        <v>1</v>
      </c>
      <c r="I411" s="14">
        <f t="shared" si="44"/>
        <v>0.54</v>
      </c>
      <c r="J411" s="14">
        <f t="shared" si="45"/>
        <v>0.52884615384615385</v>
      </c>
      <c r="K411" s="4">
        <f t="shared" si="46"/>
        <v>55</v>
      </c>
      <c r="L411" s="4">
        <f t="shared" si="47"/>
        <v>104</v>
      </c>
      <c r="M411" s="4" t="s">
        <v>519</v>
      </c>
      <c r="N411" s="4">
        <f t="shared" si="48"/>
        <v>1</v>
      </c>
    </row>
    <row r="412" spans="1:14">
      <c r="A412" s="4">
        <v>26</v>
      </c>
      <c r="B412" s="4" t="s">
        <v>544</v>
      </c>
      <c r="C412" s="4" t="s">
        <v>70</v>
      </c>
      <c r="D412" s="4" t="s">
        <v>70</v>
      </c>
      <c r="E412" s="4" t="str">
        <f t="shared" si="42"/>
        <v>26|G|G</v>
      </c>
      <c r="F412" s="12">
        <v>16</v>
      </c>
      <c r="G412" s="4">
        <f t="shared" si="43"/>
        <v>100</v>
      </c>
      <c r="H412" s="12">
        <v>1</v>
      </c>
      <c r="I412" s="14">
        <f t="shared" si="44"/>
        <v>0.16</v>
      </c>
      <c r="J412" s="14">
        <f t="shared" si="45"/>
        <v>0.16346153846153846</v>
      </c>
      <c r="K412" s="4">
        <f t="shared" si="46"/>
        <v>17</v>
      </c>
      <c r="L412" s="4">
        <f t="shared" si="47"/>
        <v>104</v>
      </c>
      <c r="M412" s="4" t="s">
        <v>519</v>
      </c>
      <c r="N412" s="4">
        <f t="shared" si="48"/>
        <v>1</v>
      </c>
    </row>
    <row r="413" spans="1:14">
      <c r="A413" s="4">
        <v>26</v>
      </c>
      <c r="B413" s="4" t="s">
        <v>544</v>
      </c>
      <c r="C413" s="4" t="s">
        <v>70</v>
      </c>
      <c r="D413" s="4" t="s">
        <v>72</v>
      </c>
      <c r="E413" s="4" t="str">
        <f t="shared" si="42"/>
        <v>26|G|U</v>
      </c>
      <c r="F413" s="12">
        <v>22</v>
      </c>
      <c r="G413" s="4">
        <f t="shared" si="43"/>
        <v>100</v>
      </c>
      <c r="H413" s="12">
        <v>1</v>
      </c>
      <c r="I413" s="14">
        <f t="shared" si="44"/>
        <v>0.22</v>
      </c>
      <c r="J413" s="14">
        <f t="shared" si="45"/>
        <v>0.22115384615384615</v>
      </c>
      <c r="K413" s="4">
        <f t="shared" si="46"/>
        <v>23</v>
      </c>
      <c r="L413" s="4">
        <f t="shared" si="47"/>
        <v>104</v>
      </c>
      <c r="M413" s="4" t="s">
        <v>519</v>
      </c>
      <c r="N413" s="4">
        <f t="shared" si="48"/>
        <v>1</v>
      </c>
    </row>
    <row r="414" spans="1:14">
      <c r="A414" s="4">
        <v>26</v>
      </c>
      <c r="B414" s="4" t="s">
        <v>544</v>
      </c>
      <c r="C414" s="4" t="s">
        <v>72</v>
      </c>
      <c r="D414" s="4" t="s">
        <v>73</v>
      </c>
      <c r="E414" s="4" t="str">
        <f t="shared" si="42"/>
        <v>26|U|A</v>
      </c>
      <c r="F414" s="12">
        <v>1</v>
      </c>
      <c r="G414" s="4">
        <f t="shared" si="43"/>
        <v>11</v>
      </c>
      <c r="H414" s="12">
        <v>1</v>
      </c>
      <c r="I414" s="14">
        <f t="shared" si="44"/>
        <v>9.0909090909090912E-2</v>
      </c>
      <c r="J414" s="14">
        <f t="shared" si="45"/>
        <v>0.13333333333333333</v>
      </c>
      <c r="K414" s="4">
        <f t="shared" si="46"/>
        <v>2</v>
      </c>
      <c r="L414" s="4">
        <f t="shared" si="47"/>
        <v>15</v>
      </c>
      <c r="M414" s="4" t="s">
        <v>519</v>
      </c>
      <c r="N414" s="4">
        <f t="shared" si="48"/>
        <v>1</v>
      </c>
    </row>
    <row r="415" spans="1:14">
      <c r="A415" s="4">
        <v>26</v>
      </c>
      <c r="B415" s="4" t="s">
        <v>544</v>
      </c>
      <c r="C415" s="4" t="s">
        <v>72</v>
      </c>
      <c r="D415" s="4" t="s">
        <v>71</v>
      </c>
      <c r="E415" s="4" t="str">
        <f t="shared" si="42"/>
        <v>26|U|C</v>
      </c>
      <c r="F415" s="12">
        <v>6</v>
      </c>
      <c r="G415" s="4">
        <f t="shared" si="43"/>
        <v>11</v>
      </c>
      <c r="H415" s="12">
        <v>1</v>
      </c>
      <c r="I415" s="14">
        <f t="shared" si="44"/>
        <v>0.54545454545454541</v>
      </c>
      <c r="J415" s="14">
        <f t="shared" si="45"/>
        <v>0.46666666666666667</v>
      </c>
      <c r="K415" s="4">
        <f t="shared" si="46"/>
        <v>7</v>
      </c>
      <c r="L415" s="4">
        <f t="shared" si="47"/>
        <v>15</v>
      </c>
      <c r="M415" s="4" t="s">
        <v>519</v>
      </c>
      <c r="N415" s="4">
        <f t="shared" si="48"/>
        <v>1</v>
      </c>
    </row>
    <row r="416" spans="1:14">
      <c r="A416" s="4">
        <v>26</v>
      </c>
      <c r="B416" s="4" t="s">
        <v>544</v>
      </c>
      <c r="C416" s="4" t="s">
        <v>72</v>
      </c>
      <c r="D416" s="4" t="s">
        <v>70</v>
      </c>
      <c r="E416" s="4" t="str">
        <f t="shared" si="42"/>
        <v>26|U|G</v>
      </c>
      <c r="F416" s="12">
        <v>1</v>
      </c>
      <c r="G416" s="4">
        <f t="shared" si="43"/>
        <v>11</v>
      </c>
      <c r="H416" s="12">
        <v>1</v>
      </c>
      <c r="I416" s="14">
        <f t="shared" si="44"/>
        <v>9.0909090909090912E-2</v>
      </c>
      <c r="J416" s="14">
        <f t="shared" si="45"/>
        <v>0.13333333333333333</v>
      </c>
      <c r="K416" s="4">
        <f t="shared" si="46"/>
        <v>2</v>
      </c>
      <c r="L416" s="4">
        <f t="shared" si="47"/>
        <v>15</v>
      </c>
      <c r="M416" s="4" t="s">
        <v>519</v>
      </c>
      <c r="N416" s="4">
        <f t="shared" si="48"/>
        <v>1</v>
      </c>
    </row>
    <row r="417" spans="1:14">
      <c r="A417" s="4">
        <v>26</v>
      </c>
      <c r="B417" s="4" t="s">
        <v>544</v>
      </c>
      <c r="C417" s="4" t="s">
        <v>72</v>
      </c>
      <c r="D417" s="4" t="s">
        <v>72</v>
      </c>
      <c r="E417" s="4" t="str">
        <f t="shared" si="42"/>
        <v>26|U|U</v>
      </c>
      <c r="F417" s="12">
        <v>3</v>
      </c>
      <c r="G417" s="4">
        <f t="shared" si="43"/>
        <v>11</v>
      </c>
      <c r="H417" s="12">
        <v>1</v>
      </c>
      <c r="I417" s="14">
        <f t="shared" si="44"/>
        <v>0.27272727272727271</v>
      </c>
      <c r="J417" s="14">
        <f t="shared" si="45"/>
        <v>0.26666666666666666</v>
      </c>
      <c r="K417" s="4">
        <f t="shared" si="46"/>
        <v>4</v>
      </c>
      <c r="L417" s="4">
        <f t="shared" si="47"/>
        <v>15</v>
      </c>
      <c r="M417" s="4" t="s">
        <v>519</v>
      </c>
      <c r="N417" s="4">
        <f t="shared" si="48"/>
        <v>1</v>
      </c>
    </row>
    <row r="418" spans="1:14">
      <c r="A418" s="4">
        <v>27</v>
      </c>
      <c r="B418" s="4" t="s">
        <v>545</v>
      </c>
      <c r="C418" s="4" t="s">
        <v>73</v>
      </c>
      <c r="D418" s="4" t="s">
        <v>73</v>
      </c>
      <c r="E418" s="4" t="str">
        <f t="shared" si="42"/>
        <v>27|A|A</v>
      </c>
      <c r="F418" s="12">
        <v>2</v>
      </c>
      <c r="G418" s="4">
        <f t="shared" si="43"/>
        <v>24</v>
      </c>
      <c r="H418" s="12">
        <v>1</v>
      </c>
      <c r="I418" s="14">
        <f t="shared" si="44"/>
        <v>8.3333333333333329E-2</v>
      </c>
      <c r="J418" s="14">
        <f t="shared" si="45"/>
        <v>0.10714285714285714</v>
      </c>
      <c r="K418" s="4">
        <f t="shared" si="46"/>
        <v>3</v>
      </c>
      <c r="L418" s="4">
        <f t="shared" si="47"/>
        <v>28</v>
      </c>
      <c r="M418" s="4" t="s">
        <v>519</v>
      </c>
      <c r="N418" s="4">
        <f t="shared" si="48"/>
        <v>1</v>
      </c>
    </row>
    <row r="419" spans="1:14">
      <c r="A419" s="4">
        <v>27</v>
      </c>
      <c r="B419" s="4" t="s">
        <v>545</v>
      </c>
      <c r="C419" s="4" t="s">
        <v>73</v>
      </c>
      <c r="D419" s="4" t="s">
        <v>71</v>
      </c>
      <c r="E419" s="4" t="str">
        <f t="shared" si="42"/>
        <v>27|A|C</v>
      </c>
      <c r="F419" s="12">
        <v>14</v>
      </c>
      <c r="G419" s="4">
        <f t="shared" si="43"/>
        <v>24</v>
      </c>
      <c r="H419" s="12">
        <v>1</v>
      </c>
      <c r="I419" s="14">
        <f t="shared" si="44"/>
        <v>0.58333333333333337</v>
      </c>
      <c r="J419" s="14">
        <f t="shared" si="45"/>
        <v>0.5357142857142857</v>
      </c>
      <c r="K419" s="4">
        <f t="shared" si="46"/>
        <v>15</v>
      </c>
      <c r="L419" s="4">
        <f t="shared" si="47"/>
        <v>28</v>
      </c>
      <c r="M419" s="4" t="s">
        <v>519</v>
      </c>
      <c r="N419" s="4">
        <f t="shared" si="48"/>
        <v>1</v>
      </c>
    </row>
    <row r="420" spans="1:14">
      <c r="A420" s="4">
        <v>27</v>
      </c>
      <c r="B420" s="4" t="s">
        <v>545</v>
      </c>
      <c r="C420" s="4" t="s">
        <v>73</v>
      </c>
      <c r="D420" s="4" t="s">
        <v>70</v>
      </c>
      <c r="E420" s="4" t="str">
        <f t="shared" si="42"/>
        <v>27|A|G</v>
      </c>
      <c r="F420" s="12">
        <v>3</v>
      </c>
      <c r="G420" s="4">
        <f t="shared" si="43"/>
        <v>24</v>
      </c>
      <c r="H420" s="12">
        <v>1</v>
      </c>
      <c r="I420" s="14">
        <f t="shared" si="44"/>
        <v>0.125</v>
      </c>
      <c r="J420" s="14">
        <f t="shared" si="45"/>
        <v>0.14285714285714285</v>
      </c>
      <c r="K420" s="4">
        <f t="shared" si="46"/>
        <v>4</v>
      </c>
      <c r="L420" s="4">
        <f t="shared" si="47"/>
        <v>28</v>
      </c>
      <c r="M420" s="4" t="s">
        <v>519</v>
      </c>
      <c r="N420" s="4">
        <f t="shared" si="48"/>
        <v>1</v>
      </c>
    </row>
    <row r="421" spans="1:14">
      <c r="A421" s="4">
        <v>27</v>
      </c>
      <c r="B421" s="4" t="s">
        <v>545</v>
      </c>
      <c r="C421" s="4" t="s">
        <v>73</v>
      </c>
      <c r="D421" s="4" t="s">
        <v>72</v>
      </c>
      <c r="E421" s="4" t="str">
        <f t="shared" si="42"/>
        <v>27|A|U</v>
      </c>
      <c r="F421" s="12">
        <v>5</v>
      </c>
      <c r="G421" s="4">
        <f t="shared" si="43"/>
        <v>24</v>
      </c>
      <c r="H421" s="12">
        <v>1</v>
      </c>
      <c r="I421" s="14">
        <f t="shared" si="44"/>
        <v>0.20833333333333334</v>
      </c>
      <c r="J421" s="14">
        <f t="shared" si="45"/>
        <v>0.21428571428571427</v>
      </c>
      <c r="K421" s="4">
        <f t="shared" si="46"/>
        <v>6</v>
      </c>
      <c r="L421" s="4">
        <f t="shared" si="47"/>
        <v>28</v>
      </c>
      <c r="M421" s="4" t="s">
        <v>519</v>
      </c>
      <c r="N421" s="4">
        <f t="shared" si="48"/>
        <v>1</v>
      </c>
    </row>
    <row r="422" spans="1:14">
      <c r="A422" s="4">
        <v>27</v>
      </c>
      <c r="B422" s="4" t="s">
        <v>545</v>
      </c>
      <c r="C422" s="4" t="s">
        <v>71</v>
      </c>
      <c r="D422" s="4" t="s">
        <v>73</v>
      </c>
      <c r="E422" s="4" t="str">
        <f t="shared" si="42"/>
        <v>27|C|A</v>
      </c>
      <c r="F422" s="12">
        <v>15</v>
      </c>
      <c r="G422" s="4">
        <f t="shared" si="43"/>
        <v>93</v>
      </c>
      <c r="H422" s="12">
        <v>1</v>
      </c>
      <c r="I422" s="14">
        <f t="shared" si="44"/>
        <v>0.16129032258064516</v>
      </c>
      <c r="J422" s="14">
        <f t="shared" si="45"/>
        <v>0.16494845360824742</v>
      </c>
      <c r="K422" s="4">
        <f t="shared" si="46"/>
        <v>16</v>
      </c>
      <c r="L422" s="4">
        <f t="shared" si="47"/>
        <v>97</v>
      </c>
      <c r="M422" s="4" t="s">
        <v>519</v>
      </c>
      <c r="N422" s="4">
        <f t="shared" si="48"/>
        <v>1</v>
      </c>
    </row>
    <row r="423" spans="1:14">
      <c r="A423" s="4">
        <v>27</v>
      </c>
      <c r="B423" s="4" t="s">
        <v>545</v>
      </c>
      <c r="C423" s="4" t="s">
        <v>71</v>
      </c>
      <c r="D423" s="4" t="s">
        <v>71</v>
      </c>
      <c r="E423" s="4" t="str">
        <f t="shared" si="42"/>
        <v>27|C|C</v>
      </c>
      <c r="F423" s="12">
        <v>39</v>
      </c>
      <c r="G423" s="4">
        <f t="shared" si="43"/>
        <v>93</v>
      </c>
      <c r="H423" s="12">
        <v>1</v>
      </c>
      <c r="I423" s="14">
        <f t="shared" si="44"/>
        <v>0.41935483870967744</v>
      </c>
      <c r="J423" s="14">
        <f t="shared" si="45"/>
        <v>0.41237113402061853</v>
      </c>
      <c r="K423" s="4">
        <f t="shared" si="46"/>
        <v>40</v>
      </c>
      <c r="L423" s="4">
        <f t="shared" si="47"/>
        <v>97</v>
      </c>
      <c r="M423" s="4" t="s">
        <v>519</v>
      </c>
      <c r="N423" s="4">
        <f t="shared" si="48"/>
        <v>1</v>
      </c>
    </row>
    <row r="424" spans="1:14">
      <c r="A424" s="4">
        <v>27</v>
      </c>
      <c r="B424" s="4" t="s">
        <v>545</v>
      </c>
      <c r="C424" s="4" t="s">
        <v>71</v>
      </c>
      <c r="D424" s="4" t="s">
        <v>70</v>
      </c>
      <c r="E424" s="4" t="str">
        <f t="shared" si="42"/>
        <v>27|C|G</v>
      </c>
      <c r="F424" s="12">
        <v>11</v>
      </c>
      <c r="G424" s="4">
        <f t="shared" si="43"/>
        <v>93</v>
      </c>
      <c r="H424" s="12">
        <v>1</v>
      </c>
      <c r="I424" s="14">
        <f t="shared" si="44"/>
        <v>0.11827956989247312</v>
      </c>
      <c r="J424" s="14">
        <f t="shared" si="45"/>
        <v>0.12371134020618557</v>
      </c>
      <c r="K424" s="4">
        <f t="shared" si="46"/>
        <v>12</v>
      </c>
      <c r="L424" s="4">
        <f t="shared" si="47"/>
        <v>97</v>
      </c>
      <c r="M424" s="4" t="s">
        <v>519</v>
      </c>
      <c r="N424" s="4">
        <f t="shared" si="48"/>
        <v>1</v>
      </c>
    </row>
    <row r="425" spans="1:14">
      <c r="A425" s="4">
        <v>27</v>
      </c>
      <c r="B425" s="4" t="s">
        <v>545</v>
      </c>
      <c r="C425" s="4" t="s">
        <v>71</v>
      </c>
      <c r="D425" s="4" t="s">
        <v>72</v>
      </c>
      <c r="E425" s="4" t="str">
        <f t="shared" si="42"/>
        <v>27|C|U</v>
      </c>
      <c r="F425" s="12">
        <v>28</v>
      </c>
      <c r="G425" s="4">
        <f t="shared" si="43"/>
        <v>93</v>
      </c>
      <c r="H425" s="12">
        <v>1</v>
      </c>
      <c r="I425" s="14">
        <f t="shared" si="44"/>
        <v>0.30107526881720431</v>
      </c>
      <c r="J425" s="14">
        <f t="shared" si="45"/>
        <v>0.29896907216494845</v>
      </c>
      <c r="K425" s="4">
        <f t="shared" si="46"/>
        <v>29</v>
      </c>
      <c r="L425" s="4">
        <f t="shared" si="47"/>
        <v>97</v>
      </c>
      <c r="M425" s="4" t="s">
        <v>519</v>
      </c>
      <c r="N425" s="4">
        <f t="shared" si="48"/>
        <v>1</v>
      </c>
    </row>
    <row r="426" spans="1:14">
      <c r="A426" s="4">
        <v>27</v>
      </c>
      <c r="B426" s="4" t="s">
        <v>545</v>
      </c>
      <c r="C426" s="4" t="s">
        <v>70</v>
      </c>
      <c r="D426" s="4" t="s">
        <v>73</v>
      </c>
      <c r="E426" s="4" t="str">
        <f t="shared" si="42"/>
        <v>27|G|A</v>
      </c>
      <c r="F426" s="12">
        <v>4</v>
      </c>
      <c r="G426" s="4">
        <f t="shared" si="43"/>
        <v>31</v>
      </c>
      <c r="H426" s="12">
        <v>1</v>
      </c>
      <c r="I426" s="14">
        <f t="shared" si="44"/>
        <v>0.12903225806451613</v>
      </c>
      <c r="J426" s="14">
        <f t="shared" si="45"/>
        <v>0.14285714285714285</v>
      </c>
      <c r="K426" s="4">
        <f t="shared" si="46"/>
        <v>5</v>
      </c>
      <c r="L426" s="4">
        <f t="shared" si="47"/>
        <v>35</v>
      </c>
      <c r="M426" s="4" t="s">
        <v>519</v>
      </c>
      <c r="N426" s="4">
        <f t="shared" si="48"/>
        <v>1</v>
      </c>
    </row>
    <row r="427" spans="1:14">
      <c r="A427" s="4">
        <v>27</v>
      </c>
      <c r="B427" s="4" t="s">
        <v>545</v>
      </c>
      <c r="C427" s="4" t="s">
        <v>70</v>
      </c>
      <c r="D427" s="4" t="s">
        <v>71</v>
      </c>
      <c r="E427" s="4" t="str">
        <f t="shared" si="42"/>
        <v>27|G|C</v>
      </c>
      <c r="F427" s="12">
        <v>24</v>
      </c>
      <c r="G427" s="4">
        <f t="shared" si="43"/>
        <v>31</v>
      </c>
      <c r="H427" s="12">
        <v>1</v>
      </c>
      <c r="I427" s="14">
        <f t="shared" si="44"/>
        <v>0.77419354838709675</v>
      </c>
      <c r="J427" s="14">
        <f t="shared" si="45"/>
        <v>0.7142857142857143</v>
      </c>
      <c r="K427" s="4">
        <f t="shared" si="46"/>
        <v>25</v>
      </c>
      <c r="L427" s="4">
        <f t="shared" si="47"/>
        <v>35</v>
      </c>
      <c r="M427" s="4" t="s">
        <v>519</v>
      </c>
      <c r="N427" s="4">
        <f t="shared" si="48"/>
        <v>1</v>
      </c>
    </row>
    <row r="428" spans="1:14">
      <c r="A428" s="4">
        <v>27</v>
      </c>
      <c r="B428" s="4" t="s">
        <v>545</v>
      </c>
      <c r="C428" s="4" t="s">
        <v>70</v>
      </c>
      <c r="D428" s="4" t="s">
        <v>70</v>
      </c>
      <c r="E428" s="4" t="str">
        <f t="shared" si="42"/>
        <v>27|G|G</v>
      </c>
      <c r="F428" s="12">
        <v>3</v>
      </c>
      <c r="G428" s="4">
        <f t="shared" si="43"/>
        <v>31</v>
      </c>
      <c r="H428" s="12">
        <v>1</v>
      </c>
      <c r="I428" s="14">
        <f t="shared" si="44"/>
        <v>9.6774193548387094E-2</v>
      </c>
      <c r="J428" s="14">
        <f t="shared" si="45"/>
        <v>0.11428571428571428</v>
      </c>
      <c r="K428" s="4">
        <f t="shared" si="46"/>
        <v>4</v>
      </c>
      <c r="L428" s="4">
        <f t="shared" si="47"/>
        <v>35</v>
      </c>
      <c r="M428" s="4" t="s">
        <v>519</v>
      </c>
      <c r="N428" s="4">
        <f t="shared" si="48"/>
        <v>1</v>
      </c>
    </row>
    <row r="429" spans="1:14">
      <c r="A429" s="4">
        <v>27</v>
      </c>
      <c r="B429" s="4" t="s">
        <v>545</v>
      </c>
      <c r="C429" s="4" t="s">
        <v>70</v>
      </c>
      <c r="D429" s="4" t="s">
        <v>72</v>
      </c>
      <c r="E429" s="4" t="str">
        <f t="shared" si="42"/>
        <v>27|G|U</v>
      </c>
      <c r="F429" s="12">
        <v>0</v>
      </c>
      <c r="G429" s="4">
        <f t="shared" si="43"/>
        <v>31</v>
      </c>
      <c r="H429" s="12">
        <v>1</v>
      </c>
      <c r="I429" s="14">
        <f t="shared" si="44"/>
        <v>0</v>
      </c>
      <c r="J429" s="14">
        <f t="shared" si="45"/>
        <v>2.8571428571428571E-2</v>
      </c>
      <c r="K429" s="4">
        <f t="shared" si="46"/>
        <v>1</v>
      </c>
      <c r="L429" s="4">
        <f t="shared" si="47"/>
        <v>35</v>
      </c>
      <c r="M429" s="4" t="s">
        <v>519</v>
      </c>
      <c r="N429" s="4">
        <f t="shared" si="48"/>
        <v>1</v>
      </c>
    </row>
    <row r="430" spans="1:14">
      <c r="A430" s="4">
        <v>27</v>
      </c>
      <c r="B430" s="4" t="s">
        <v>545</v>
      </c>
      <c r="C430" s="4" t="s">
        <v>72</v>
      </c>
      <c r="D430" s="4" t="s">
        <v>73</v>
      </c>
      <c r="E430" s="4" t="str">
        <f t="shared" si="42"/>
        <v>27|U|A</v>
      </c>
      <c r="F430" s="12">
        <v>3</v>
      </c>
      <c r="G430" s="4">
        <f t="shared" si="43"/>
        <v>52</v>
      </c>
      <c r="H430" s="12">
        <v>1</v>
      </c>
      <c r="I430" s="14">
        <f t="shared" si="44"/>
        <v>5.7692307692307696E-2</v>
      </c>
      <c r="J430" s="14">
        <f t="shared" si="45"/>
        <v>7.1428571428571425E-2</v>
      </c>
      <c r="K430" s="4">
        <f t="shared" si="46"/>
        <v>4</v>
      </c>
      <c r="L430" s="4">
        <f t="shared" si="47"/>
        <v>56</v>
      </c>
      <c r="M430" s="4" t="s">
        <v>519</v>
      </c>
      <c r="N430" s="4">
        <f t="shared" si="48"/>
        <v>1</v>
      </c>
    </row>
    <row r="431" spans="1:14">
      <c r="A431" s="4">
        <v>27</v>
      </c>
      <c r="B431" s="4" t="s">
        <v>545</v>
      </c>
      <c r="C431" s="4" t="s">
        <v>72</v>
      </c>
      <c r="D431" s="4" t="s">
        <v>71</v>
      </c>
      <c r="E431" s="4" t="str">
        <f t="shared" si="42"/>
        <v>27|U|C</v>
      </c>
      <c r="F431" s="12">
        <v>26</v>
      </c>
      <c r="G431" s="4">
        <f t="shared" si="43"/>
        <v>52</v>
      </c>
      <c r="H431" s="12">
        <v>1</v>
      </c>
      <c r="I431" s="14">
        <f t="shared" si="44"/>
        <v>0.5</v>
      </c>
      <c r="J431" s="14">
        <f t="shared" si="45"/>
        <v>0.48214285714285715</v>
      </c>
      <c r="K431" s="4">
        <f t="shared" si="46"/>
        <v>27</v>
      </c>
      <c r="L431" s="4">
        <f t="shared" si="47"/>
        <v>56</v>
      </c>
      <c r="M431" s="4" t="s">
        <v>519</v>
      </c>
      <c r="N431" s="4">
        <f t="shared" si="48"/>
        <v>1</v>
      </c>
    </row>
    <row r="432" spans="1:14">
      <c r="A432" s="4">
        <v>27</v>
      </c>
      <c r="B432" s="4" t="s">
        <v>545</v>
      </c>
      <c r="C432" s="4" t="s">
        <v>72</v>
      </c>
      <c r="D432" s="4" t="s">
        <v>70</v>
      </c>
      <c r="E432" s="4" t="str">
        <f t="shared" si="42"/>
        <v>27|U|G</v>
      </c>
      <c r="F432" s="12">
        <v>5</v>
      </c>
      <c r="G432" s="4">
        <f t="shared" si="43"/>
        <v>52</v>
      </c>
      <c r="H432" s="12">
        <v>1</v>
      </c>
      <c r="I432" s="14">
        <f t="shared" si="44"/>
        <v>9.6153846153846159E-2</v>
      </c>
      <c r="J432" s="14">
        <f t="shared" si="45"/>
        <v>0.10714285714285714</v>
      </c>
      <c r="K432" s="4">
        <f t="shared" si="46"/>
        <v>6</v>
      </c>
      <c r="L432" s="4">
        <f t="shared" si="47"/>
        <v>56</v>
      </c>
      <c r="M432" s="4" t="s">
        <v>519</v>
      </c>
      <c r="N432" s="4">
        <f t="shared" si="48"/>
        <v>1</v>
      </c>
    </row>
    <row r="433" spans="1:14">
      <c r="A433" s="4">
        <v>27</v>
      </c>
      <c r="B433" s="4" t="s">
        <v>545</v>
      </c>
      <c r="C433" s="4" t="s">
        <v>72</v>
      </c>
      <c r="D433" s="4" t="s">
        <v>72</v>
      </c>
      <c r="E433" s="4" t="str">
        <f t="shared" si="42"/>
        <v>27|U|U</v>
      </c>
      <c r="F433" s="12">
        <v>18</v>
      </c>
      <c r="G433" s="4">
        <f t="shared" si="43"/>
        <v>52</v>
      </c>
      <c r="H433" s="12">
        <v>1</v>
      </c>
      <c r="I433" s="14">
        <f t="shared" si="44"/>
        <v>0.34615384615384615</v>
      </c>
      <c r="J433" s="14">
        <f t="shared" si="45"/>
        <v>0.3392857142857143</v>
      </c>
      <c r="K433" s="4">
        <f t="shared" si="46"/>
        <v>19</v>
      </c>
      <c r="L433" s="4">
        <f t="shared" si="47"/>
        <v>56</v>
      </c>
      <c r="M433" s="4" t="s">
        <v>519</v>
      </c>
      <c r="N433" s="4">
        <f t="shared" si="48"/>
        <v>1</v>
      </c>
    </row>
    <row r="434" spans="1:14">
      <c r="A434" s="4">
        <v>28</v>
      </c>
      <c r="B434" s="4" t="s">
        <v>546</v>
      </c>
      <c r="C434" s="4" t="s">
        <v>73</v>
      </c>
      <c r="D434" s="4" t="s">
        <v>73</v>
      </c>
      <c r="E434" s="4" t="str">
        <f t="shared" si="42"/>
        <v>28|A|A</v>
      </c>
      <c r="F434" s="12">
        <v>3</v>
      </c>
      <c r="G434" s="4">
        <f t="shared" si="43"/>
        <v>24</v>
      </c>
      <c r="H434" s="12">
        <v>1</v>
      </c>
      <c r="I434" s="14">
        <f t="shared" si="44"/>
        <v>0.125</v>
      </c>
      <c r="J434" s="14">
        <f t="shared" si="45"/>
        <v>0.14285714285714285</v>
      </c>
      <c r="K434" s="4">
        <f t="shared" si="46"/>
        <v>4</v>
      </c>
      <c r="L434" s="4">
        <f t="shared" si="47"/>
        <v>28</v>
      </c>
      <c r="M434" s="4" t="s">
        <v>519</v>
      </c>
      <c r="N434" s="4">
        <f t="shared" si="48"/>
        <v>1</v>
      </c>
    </row>
    <row r="435" spans="1:14">
      <c r="A435" s="4">
        <v>28</v>
      </c>
      <c r="B435" s="4" t="s">
        <v>546</v>
      </c>
      <c r="C435" s="4" t="s">
        <v>73</v>
      </c>
      <c r="D435" s="4" t="s">
        <v>71</v>
      </c>
      <c r="E435" s="4" t="str">
        <f t="shared" si="42"/>
        <v>28|A|C</v>
      </c>
      <c r="F435" s="12">
        <v>7</v>
      </c>
      <c r="G435" s="4">
        <f t="shared" si="43"/>
        <v>24</v>
      </c>
      <c r="H435" s="12">
        <v>1</v>
      </c>
      <c r="I435" s="14">
        <f t="shared" si="44"/>
        <v>0.29166666666666669</v>
      </c>
      <c r="J435" s="14">
        <f t="shared" si="45"/>
        <v>0.2857142857142857</v>
      </c>
      <c r="K435" s="4">
        <f t="shared" si="46"/>
        <v>8</v>
      </c>
      <c r="L435" s="4">
        <f t="shared" si="47"/>
        <v>28</v>
      </c>
      <c r="M435" s="4" t="s">
        <v>519</v>
      </c>
      <c r="N435" s="4">
        <f t="shared" si="48"/>
        <v>1</v>
      </c>
    </row>
    <row r="436" spans="1:14">
      <c r="A436" s="4">
        <v>28</v>
      </c>
      <c r="B436" s="4" t="s">
        <v>546</v>
      </c>
      <c r="C436" s="4" t="s">
        <v>73</v>
      </c>
      <c r="D436" s="4" t="s">
        <v>70</v>
      </c>
      <c r="E436" s="4" t="str">
        <f t="shared" si="42"/>
        <v>28|A|G</v>
      </c>
      <c r="F436" s="12">
        <v>4</v>
      </c>
      <c r="G436" s="4">
        <f t="shared" si="43"/>
        <v>24</v>
      </c>
      <c r="H436" s="12">
        <v>1</v>
      </c>
      <c r="I436" s="14">
        <f t="shared" si="44"/>
        <v>0.16666666666666666</v>
      </c>
      <c r="J436" s="14">
        <f t="shared" si="45"/>
        <v>0.17857142857142858</v>
      </c>
      <c r="K436" s="4">
        <f t="shared" si="46"/>
        <v>5</v>
      </c>
      <c r="L436" s="4">
        <f t="shared" si="47"/>
        <v>28</v>
      </c>
      <c r="M436" s="4" t="s">
        <v>519</v>
      </c>
      <c r="N436" s="4">
        <f t="shared" si="48"/>
        <v>1</v>
      </c>
    </row>
    <row r="437" spans="1:14">
      <c r="A437" s="4">
        <v>28</v>
      </c>
      <c r="B437" s="4" t="s">
        <v>546</v>
      </c>
      <c r="C437" s="4" t="s">
        <v>73</v>
      </c>
      <c r="D437" s="4" t="s">
        <v>72</v>
      </c>
      <c r="E437" s="4" t="str">
        <f t="shared" si="42"/>
        <v>28|A|U</v>
      </c>
      <c r="F437" s="12">
        <v>10</v>
      </c>
      <c r="G437" s="4">
        <f t="shared" si="43"/>
        <v>24</v>
      </c>
      <c r="H437" s="12">
        <v>1</v>
      </c>
      <c r="I437" s="14">
        <f t="shared" si="44"/>
        <v>0.41666666666666669</v>
      </c>
      <c r="J437" s="14">
        <f t="shared" si="45"/>
        <v>0.39285714285714285</v>
      </c>
      <c r="K437" s="4">
        <f t="shared" si="46"/>
        <v>11</v>
      </c>
      <c r="L437" s="4">
        <f t="shared" si="47"/>
        <v>28</v>
      </c>
      <c r="M437" s="4" t="s">
        <v>519</v>
      </c>
      <c r="N437" s="4">
        <f t="shared" si="48"/>
        <v>1</v>
      </c>
    </row>
    <row r="438" spans="1:14">
      <c r="A438" s="4">
        <v>28</v>
      </c>
      <c r="B438" s="4" t="s">
        <v>546</v>
      </c>
      <c r="C438" s="4" t="s">
        <v>71</v>
      </c>
      <c r="D438" s="4" t="s">
        <v>73</v>
      </c>
      <c r="E438" s="4" t="str">
        <f t="shared" si="42"/>
        <v>28|C|A</v>
      </c>
      <c r="F438" s="12">
        <v>18</v>
      </c>
      <c r="G438" s="4">
        <f t="shared" si="43"/>
        <v>103</v>
      </c>
      <c r="H438" s="12">
        <v>1</v>
      </c>
      <c r="I438" s="14">
        <f t="shared" si="44"/>
        <v>0.17475728155339806</v>
      </c>
      <c r="J438" s="14">
        <f t="shared" si="45"/>
        <v>0.17757009345794392</v>
      </c>
      <c r="K438" s="4">
        <f t="shared" si="46"/>
        <v>19</v>
      </c>
      <c r="L438" s="4">
        <f t="shared" si="47"/>
        <v>107</v>
      </c>
      <c r="M438" s="4" t="s">
        <v>519</v>
      </c>
      <c r="N438" s="4">
        <f t="shared" si="48"/>
        <v>1</v>
      </c>
    </row>
    <row r="439" spans="1:14">
      <c r="A439" s="4">
        <v>28</v>
      </c>
      <c r="B439" s="4" t="s">
        <v>546</v>
      </c>
      <c r="C439" s="4" t="s">
        <v>71</v>
      </c>
      <c r="D439" s="4" t="s">
        <v>71</v>
      </c>
      <c r="E439" s="4" t="str">
        <f t="shared" si="42"/>
        <v>28|C|C</v>
      </c>
      <c r="F439" s="12">
        <v>8</v>
      </c>
      <c r="G439" s="4">
        <f t="shared" si="43"/>
        <v>103</v>
      </c>
      <c r="H439" s="12">
        <v>1</v>
      </c>
      <c r="I439" s="14">
        <f t="shared" si="44"/>
        <v>7.7669902912621352E-2</v>
      </c>
      <c r="J439" s="14">
        <f t="shared" si="45"/>
        <v>8.4112149532710276E-2</v>
      </c>
      <c r="K439" s="4">
        <f t="shared" si="46"/>
        <v>9</v>
      </c>
      <c r="L439" s="4">
        <f t="shared" si="47"/>
        <v>107</v>
      </c>
      <c r="M439" s="4" t="s">
        <v>519</v>
      </c>
      <c r="N439" s="4">
        <f t="shared" si="48"/>
        <v>1</v>
      </c>
    </row>
    <row r="440" spans="1:14">
      <c r="A440" s="4">
        <v>28</v>
      </c>
      <c r="B440" s="4" t="s">
        <v>546</v>
      </c>
      <c r="C440" s="4" t="s">
        <v>71</v>
      </c>
      <c r="D440" s="4" t="s">
        <v>70</v>
      </c>
      <c r="E440" s="4" t="str">
        <f t="shared" si="42"/>
        <v>28|C|G</v>
      </c>
      <c r="F440" s="12">
        <v>47</v>
      </c>
      <c r="G440" s="4">
        <f t="shared" si="43"/>
        <v>103</v>
      </c>
      <c r="H440" s="12">
        <v>1</v>
      </c>
      <c r="I440" s="14">
        <f t="shared" si="44"/>
        <v>0.4563106796116505</v>
      </c>
      <c r="J440" s="14">
        <f t="shared" si="45"/>
        <v>0.44859813084112149</v>
      </c>
      <c r="K440" s="4">
        <f t="shared" si="46"/>
        <v>48</v>
      </c>
      <c r="L440" s="4">
        <f t="shared" si="47"/>
        <v>107</v>
      </c>
      <c r="M440" s="4" t="s">
        <v>519</v>
      </c>
      <c r="N440" s="4">
        <f t="shared" si="48"/>
        <v>1</v>
      </c>
    </row>
    <row r="441" spans="1:14">
      <c r="A441" s="4">
        <v>28</v>
      </c>
      <c r="B441" s="4" t="s">
        <v>546</v>
      </c>
      <c r="C441" s="4" t="s">
        <v>71</v>
      </c>
      <c r="D441" s="4" t="s">
        <v>72</v>
      </c>
      <c r="E441" s="4" t="str">
        <f t="shared" si="42"/>
        <v>28|C|U</v>
      </c>
      <c r="F441" s="12">
        <v>30</v>
      </c>
      <c r="G441" s="4">
        <f t="shared" si="43"/>
        <v>103</v>
      </c>
      <c r="H441" s="12">
        <v>1</v>
      </c>
      <c r="I441" s="14">
        <f t="shared" si="44"/>
        <v>0.29126213592233008</v>
      </c>
      <c r="J441" s="14">
        <f t="shared" si="45"/>
        <v>0.28971962616822428</v>
      </c>
      <c r="K441" s="4">
        <f t="shared" si="46"/>
        <v>31</v>
      </c>
      <c r="L441" s="4">
        <f t="shared" si="47"/>
        <v>107</v>
      </c>
      <c r="M441" s="4" t="s">
        <v>519</v>
      </c>
      <c r="N441" s="4">
        <f t="shared" si="48"/>
        <v>1</v>
      </c>
    </row>
    <row r="442" spans="1:14">
      <c r="A442" s="4">
        <v>28</v>
      </c>
      <c r="B442" s="4" t="s">
        <v>546</v>
      </c>
      <c r="C442" s="4" t="s">
        <v>70</v>
      </c>
      <c r="D442" s="4" t="s">
        <v>73</v>
      </c>
      <c r="E442" s="4" t="str">
        <f t="shared" si="42"/>
        <v>28|G|A</v>
      </c>
      <c r="F442" s="12">
        <v>4</v>
      </c>
      <c r="G442" s="4">
        <f t="shared" si="43"/>
        <v>22</v>
      </c>
      <c r="H442" s="12">
        <v>1</v>
      </c>
      <c r="I442" s="14">
        <f t="shared" si="44"/>
        <v>0.18181818181818182</v>
      </c>
      <c r="J442" s="14">
        <f t="shared" si="45"/>
        <v>0.19230769230769232</v>
      </c>
      <c r="K442" s="4">
        <f t="shared" si="46"/>
        <v>5</v>
      </c>
      <c r="L442" s="4">
        <f t="shared" si="47"/>
        <v>26</v>
      </c>
      <c r="M442" s="4" t="s">
        <v>519</v>
      </c>
      <c r="N442" s="4">
        <f t="shared" si="48"/>
        <v>1</v>
      </c>
    </row>
    <row r="443" spans="1:14">
      <c r="A443" s="4">
        <v>28</v>
      </c>
      <c r="B443" s="4" t="s">
        <v>546</v>
      </c>
      <c r="C443" s="4" t="s">
        <v>70</v>
      </c>
      <c r="D443" s="4" t="s">
        <v>71</v>
      </c>
      <c r="E443" s="4" t="str">
        <f t="shared" si="42"/>
        <v>28|G|C</v>
      </c>
      <c r="F443" s="12">
        <v>7</v>
      </c>
      <c r="G443" s="4">
        <f t="shared" si="43"/>
        <v>22</v>
      </c>
      <c r="H443" s="12">
        <v>1</v>
      </c>
      <c r="I443" s="14">
        <f t="shared" si="44"/>
        <v>0.31818181818181818</v>
      </c>
      <c r="J443" s="14">
        <f t="shared" si="45"/>
        <v>0.30769230769230771</v>
      </c>
      <c r="K443" s="4">
        <f t="shared" si="46"/>
        <v>8</v>
      </c>
      <c r="L443" s="4">
        <f t="shared" si="47"/>
        <v>26</v>
      </c>
      <c r="M443" s="4" t="s">
        <v>519</v>
      </c>
      <c r="N443" s="4">
        <f t="shared" si="48"/>
        <v>1</v>
      </c>
    </row>
    <row r="444" spans="1:14">
      <c r="A444" s="4">
        <v>28</v>
      </c>
      <c r="B444" s="4" t="s">
        <v>546</v>
      </c>
      <c r="C444" s="4" t="s">
        <v>70</v>
      </c>
      <c r="D444" s="4" t="s">
        <v>70</v>
      </c>
      <c r="E444" s="4" t="str">
        <f t="shared" si="42"/>
        <v>28|G|G</v>
      </c>
      <c r="F444" s="12">
        <v>10</v>
      </c>
      <c r="G444" s="4">
        <f t="shared" si="43"/>
        <v>22</v>
      </c>
      <c r="H444" s="12">
        <v>1</v>
      </c>
      <c r="I444" s="14">
        <f t="shared" si="44"/>
        <v>0.45454545454545453</v>
      </c>
      <c r="J444" s="14">
        <f t="shared" si="45"/>
        <v>0.42307692307692307</v>
      </c>
      <c r="K444" s="4">
        <f t="shared" si="46"/>
        <v>11</v>
      </c>
      <c r="L444" s="4">
        <f t="shared" si="47"/>
        <v>26</v>
      </c>
      <c r="M444" s="4" t="s">
        <v>519</v>
      </c>
      <c r="N444" s="4">
        <f t="shared" si="48"/>
        <v>1</v>
      </c>
    </row>
    <row r="445" spans="1:14">
      <c r="A445" s="4">
        <v>28</v>
      </c>
      <c r="B445" s="4" t="s">
        <v>546</v>
      </c>
      <c r="C445" s="4" t="s">
        <v>70</v>
      </c>
      <c r="D445" s="4" t="s">
        <v>72</v>
      </c>
      <c r="E445" s="4" t="str">
        <f t="shared" si="42"/>
        <v>28|G|U</v>
      </c>
      <c r="F445" s="12">
        <v>1</v>
      </c>
      <c r="G445" s="4">
        <f t="shared" si="43"/>
        <v>22</v>
      </c>
      <c r="H445" s="12">
        <v>1</v>
      </c>
      <c r="I445" s="14">
        <f t="shared" si="44"/>
        <v>4.5454545454545456E-2</v>
      </c>
      <c r="J445" s="14">
        <f t="shared" si="45"/>
        <v>7.6923076923076927E-2</v>
      </c>
      <c r="K445" s="4">
        <f t="shared" si="46"/>
        <v>2</v>
      </c>
      <c r="L445" s="4">
        <f t="shared" si="47"/>
        <v>26</v>
      </c>
      <c r="M445" s="4" t="s">
        <v>519</v>
      </c>
      <c r="N445" s="4">
        <f t="shared" si="48"/>
        <v>1</v>
      </c>
    </row>
    <row r="446" spans="1:14">
      <c r="A446" s="4">
        <v>28</v>
      </c>
      <c r="B446" s="4" t="s">
        <v>546</v>
      </c>
      <c r="C446" s="4" t="s">
        <v>72</v>
      </c>
      <c r="D446" s="4" t="s">
        <v>73</v>
      </c>
      <c r="E446" s="4" t="str">
        <f t="shared" si="42"/>
        <v>28|U|A</v>
      </c>
      <c r="F446" s="12">
        <v>7</v>
      </c>
      <c r="G446" s="4">
        <f t="shared" si="43"/>
        <v>51</v>
      </c>
      <c r="H446" s="12">
        <v>1</v>
      </c>
      <c r="I446" s="14">
        <f t="shared" si="44"/>
        <v>0.13725490196078433</v>
      </c>
      <c r="J446" s="14">
        <f t="shared" si="45"/>
        <v>0.14545454545454545</v>
      </c>
      <c r="K446" s="4">
        <f t="shared" si="46"/>
        <v>8</v>
      </c>
      <c r="L446" s="4">
        <f t="shared" si="47"/>
        <v>55</v>
      </c>
      <c r="M446" s="4" t="s">
        <v>519</v>
      </c>
      <c r="N446" s="4">
        <f t="shared" si="48"/>
        <v>1</v>
      </c>
    </row>
    <row r="447" spans="1:14">
      <c r="A447" s="4">
        <v>28</v>
      </c>
      <c r="B447" s="4" t="s">
        <v>546</v>
      </c>
      <c r="C447" s="4" t="s">
        <v>72</v>
      </c>
      <c r="D447" s="4" t="s">
        <v>71</v>
      </c>
      <c r="E447" s="4" t="str">
        <f t="shared" si="42"/>
        <v>28|U|C</v>
      </c>
      <c r="F447" s="12">
        <v>14</v>
      </c>
      <c r="G447" s="4">
        <f t="shared" si="43"/>
        <v>51</v>
      </c>
      <c r="H447" s="12">
        <v>1</v>
      </c>
      <c r="I447" s="14">
        <f t="shared" si="44"/>
        <v>0.27450980392156865</v>
      </c>
      <c r="J447" s="14">
        <f t="shared" si="45"/>
        <v>0.27272727272727271</v>
      </c>
      <c r="K447" s="4">
        <f t="shared" si="46"/>
        <v>15</v>
      </c>
      <c r="L447" s="4">
        <f t="shared" si="47"/>
        <v>55</v>
      </c>
      <c r="M447" s="4" t="s">
        <v>519</v>
      </c>
      <c r="N447" s="4">
        <f t="shared" si="48"/>
        <v>1</v>
      </c>
    </row>
    <row r="448" spans="1:14">
      <c r="A448" s="4">
        <v>28</v>
      </c>
      <c r="B448" s="4" t="s">
        <v>546</v>
      </c>
      <c r="C448" s="4" t="s">
        <v>72</v>
      </c>
      <c r="D448" s="4" t="s">
        <v>70</v>
      </c>
      <c r="E448" s="4" t="str">
        <f t="shared" si="42"/>
        <v>28|U|G</v>
      </c>
      <c r="F448" s="12">
        <v>16</v>
      </c>
      <c r="G448" s="4">
        <f t="shared" si="43"/>
        <v>51</v>
      </c>
      <c r="H448" s="12">
        <v>1</v>
      </c>
      <c r="I448" s="14">
        <f t="shared" si="44"/>
        <v>0.31372549019607843</v>
      </c>
      <c r="J448" s="14">
        <f t="shared" si="45"/>
        <v>0.30909090909090908</v>
      </c>
      <c r="K448" s="4">
        <f t="shared" si="46"/>
        <v>17</v>
      </c>
      <c r="L448" s="4">
        <f t="shared" si="47"/>
        <v>55</v>
      </c>
      <c r="M448" s="4" t="s">
        <v>519</v>
      </c>
      <c r="N448" s="4">
        <f t="shared" si="48"/>
        <v>1</v>
      </c>
    </row>
    <row r="449" spans="1:14">
      <c r="A449" s="4">
        <v>28</v>
      </c>
      <c r="B449" s="4" t="s">
        <v>546</v>
      </c>
      <c r="C449" s="4" t="s">
        <v>72</v>
      </c>
      <c r="D449" s="4" t="s">
        <v>72</v>
      </c>
      <c r="E449" s="4" t="str">
        <f t="shared" si="42"/>
        <v>28|U|U</v>
      </c>
      <c r="F449" s="12">
        <v>14</v>
      </c>
      <c r="G449" s="4">
        <f t="shared" si="43"/>
        <v>51</v>
      </c>
      <c r="H449" s="12">
        <v>1</v>
      </c>
      <c r="I449" s="14">
        <f t="shared" si="44"/>
        <v>0.27450980392156865</v>
      </c>
      <c r="J449" s="14">
        <f t="shared" si="45"/>
        <v>0.27272727272727271</v>
      </c>
      <c r="K449" s="4">
        <f t="shared" si="46"/>
        <v>15</v>
      </c>
      <c r="L449" s="4">
        <f t="shared" si="47"/>
        <v>55</v>
      </c>
      <c r="M449" s="4" t="s">
        <v>519</v>
      </c>
      <c r="N449" s="4">
        <f t="shared" si="48"/>
        <v>1</v>
      </c>
    </row>
    <row r="450" spans="1:14">
      <c r="A450" s="4">
        <v>29</v>
      </c>
      <c r="B450" s="4" t="s">
        <v>547</v>
      </c>
      <c r="C450" s="4" t="s">
        <v>73</v>
      </c>
      <c r="D450" s="4" t="s">
        <v>73</v>
      </c>
      <c r="E450" s="4" t="str">
        <f t="shared" ref="E450:E513" si="49">A450&amp;"|"&amp;C450&amp;"|"&amp;D450</f>
        <v>29|A|A</v>
      </c>
      <c r="F450" s="12">
        <v>0</v>
      </c>
      <c r="G450" s="4">
        <f t="shared" ref="G450:G513" si="50">SUMIFS($F$2:$F$1137,$A$2:$A$1137,A450,$C$2:$C$1137,C450)</f>
        <v>32</v>
      </c>
      <c r="H450" s="12">
        <v>1</v>
      </c>
      <c r="I450" s="14">
        <f t="shared" ref="I450:I513" si="51">IF(G450=0,"",F450/G450)</f>
        <v>0</v>
      </c>
      <c r="J450" s="14">
        <f t="shared" ref="J450:J513" si="52">K450/L450</f>
        <v>2.7777777777777776E-2</v>
      </c>
      <c r="K450" s="4">
        <f t="shared" ref="K450:K513" si="53">F450+H450</f>
        <v>1</v>
      </c>
      <c r="L450" s="4">
        <f t="shared" ref="L450:L513" si="54">G450+4*H450</f>
        <v>36</v>
      </c>
      <c r="M450" s="4" t="s">
        <v>519</v>
      </c>
      <c r="N450" s="4">
        <f t="shared" ref="N450:N513" si="55">ROUND(SUMIFS($J$2:$J$1137,$A$2:$A$1137,A450,$C$2:$C$1137,C450),9)</f>
        <v>1</v>
      </c>
    </row>
    <row r="451" spans="1:14">
      <c r="A451" s="4">
        <v>29</v>
      </c>
      <c r="B451" s="4" t="s">
        <v>547</v>
      </c>
      <c r="C451" s="4" t="s">
        <v>73</v>
      </c>
      <c r="D451" s="4" t="s">
        <v>71</v>
      </c>
      <c r="E451" s="4" t="str">
        <f t="shared" si="49"/>
        <v>29|A|C</v>
      </c>
      <c r="F451" s="12">
        <v>8</v>
      </c>
      <c r="G451" s="4">
        <f t="shared" si="50"/>
        <v>32</v>
      </c>
      <c r="H451" s="12">
        <v>1</v>
      </c>
      <c r="I451" s="14">
        <f t="shared" si="51"/>
        <v>0.25</v>
      </c>
      <c r="J451" s="14">
        <f t="shared" si="52"/>
        <v>0.25</v>
      </c>
      <c r="K451" s="4">
        <f t="shared" si="53"/>
        <v>9</v>
      </c>
      <c r="L451" s="4">
        <f t="shared" si="54"/>
        <v>36</v>
      </c>
      <c r="M451" s="4" t="s">
        <v>519</v>
      </c>
      <c r="N451" s="4">
        <f t="shared" si="55"/>
        <v>1</v>
      </c>
    </row>
    <row r="452" spans="1:14">
      <c r="A452" s="4">
        <v>29</v>
      </c>
      <c r="B452" s="4" t="s">
        <v>547</v>
      </c>
      <c r="C452" s="4" t="s">
        <v>73</v>
      </c>
      <c r="D452" s="4" t="s">
        <v>70</v>
      </c>
      <c r="E452" s="4" t="str">
        <f t="shared" si="49"/>
        <v>29|A|G</v>
      </c>
      <c r="F452" s="12">
        <v>24</v>
      </c>
      <c r="G452" s="4">
        <f t="shared" si="50"/>
        <v>32</v>
      </c>
      <c r="H452" s="12">
        <v>1</v>
      </c>
      <c r="I452" s="14">
        <f t="shared" si="51"/>
        <v>0.75</v>
      </c>
      <c r="J452" s="14">
        <f t="shared" si="52"/>
        <v>0.69444444444444442</v>
      </c>
      <c r="K452" s="4">
        <f t="shared" si="53"/>
        <v>25</v>
      </c>
      <c r="L452" s="4">
        <f t="shared" si="54"/>
        <v>36</v>
      </c>
      <c r="M452" s="4" t="s">
        <v>519</v>
      </c>
      <c r="N452" s="4">
        <f t="shared" si="55"/>
        <v>1</v>
      </c>
    </row>
    <row r="453" spans="1:14">
      <c r="A453" s="4">
        <v>29</v>
      </c>
      <c r="B453" s="4" t="s">
        <v>547</v>
      </c>
      <c r="C453" s="4" t="s">
        <v>73</v>
      </c>
      <c r="D453" s="4" t="s">
        <v>72</v>
      </c>
      <c r="E453" s="4" t="str">
        <f t="shared" si="49"/>
        <v>29|A|U</v>
      </c>
      <c r="F453" s="12">
        <v>0</v>
      </c>
      <c r="G453" s="4">
        <f t="shared" si="50"/>
        <v>32</v>
      </c>
      <c r="H453" s="12">
        <v>1</v>
      </c>
      <c r="I453" s="14">
        <f t="shared" si="51"/>
        <v>0</v>
      </c>
      <c r="J453" s="14">
        <f t="shared" si="52"/>
        <v>2.7777777777777776E-2</v>
      </c>
      <c r="K453" s="4">
        <f t="shared" si="53"/>
        <v>1</v>
      </c>
      <c r="L453" s="4">
        <f t="shared" si="54"/>
        <v>36</v>
      </c>
      <c r="M453" s="4" t="s">
        <v>519</v>
      </c>
      <c r="N453" s="4">
        <f t="shared" si="55"/>
        <v>1</v>
      </c>
    </row>
    <row r="454" spans="1:14">
      <c r="A454" s="4">
        <v>29</v>
      </c>
      <c r="B454" s="4" t="s">
        <v>547</v>
      </c>
      <c r="C454" s="4" t="s">
        <v>71</v>
      </c>
      <c r="D454" s="4" t="s">
        <v>73</v>
      </c>
      <c r="E454" s="4" t="str">
        <f t="shared" si="49"/>
        <v>29|C|A</v>
      </c>
      <c r="F454" s="12">
        <v>0</v>
      </c>
      <c r="G454" s="4">
        <f t="shared" si="50"/>
        <v>36</v>
      </c>
      <c r="H454" s="12">
        <v>1</v>
      </c>
      <c r="I454" s="14">
        <f t="shared" si="51"/>
        <v>0</v>
      </c>
      <c r="J454" s="14">
        <f t="shared" si="52"/>
        <v>2.5000000000000001E-2</v>
      </c>
      <c r="K454" s="4">
        <f t="shared" si="53"/>
        <v>1</v>
      </c>
      <c r="L454" s="4">
        <f t="shared" si="54"/>
        <v>40</v>
      </c>
      <c r="M454" s="4" t="s">
        <v>519</v>
      </c>
      <c r="N454" s="4">
        <f t="shared" si="55"/>
        <v>1</v>
      </c>
    </row>
    <row r="455" spans="1:14">
      <c r="A455" s="4">
        <v>29</v>
      </c>
      <c r="B455" s="4" t="s">
        <v>547</v>
      </c>
      <c r="C455" s="4" t="s">
        <v>71</v>
      </c>
      <c r="D455" s="4" t="s">
        <v>71</v>
      </c>
      <c r="E455" s="4" t="str">
        <f t="shared" si="49"/>
        <v>29|C|C</v>
      </c>
      <c r="F455" s="12">
        <v>7</v>
      </c>
      <c r="G455" s="4">
        <f t="shared" si="50"/>
        <v>36</v>
      </c>
      <c r="H455" s="12">
        <v>1</v>
      </c>
      <c r="I455" s="14">
        <f t="shared" si="51"/>
        <v>0.19444444444444445</v>
      </c>
      <c r="J455" s="14">
        <f t="shared" si="52"/>
        <v>0.2</v>
      </c>
      <c r="K455" s="4">
        <f t="shared" si="53"/>
        <v>8</v>
      </c>
      <c r="L455" s="4">
        <f t="shared" si="54"/>
        <v>40</v>
      </c>
      <c r="M455" s="4" t="s">
        <v>519</v>
      </c>
      <c r="N455" s="4">
        <f t="shared" si="55"/>
        <v>1</v>
      </c>
    </row>
    <row r="456" spans="1:14">
      <c r="A456" s="4">
        <v>29</v>
      </c>
      <c r="B456" s="4" t="s">
        <v>547</v>
      </c>
      <c r="C456" s="4" t="s">
        <v>71</v>
      </c>
      <c r="D456" s="4" t="s">
        <v>70</v>
      </c>
      <c r="E456" s="4" t="str">
        <f t="shared" si="49"/>
        <v>29|C|G</v>
      </c>
      <c r="F456" s="12">
        <v>28</v>
      </c>
      <c r="G456" s="4">
        <f t="shared" si="50"/>
        <v>36</v>
      </c>
      <c r="H456" s="12">
        <v>1</v>
      </c>
      <c r="I456" s="14">
        <f t="shared" si="51"/>
        <v>0.77777777777777779</v>
      </c>
      <c r="J456" s="14">
        <f t="shared" si="52"/>
        <v>0.72499999999999998</v>
      </c>
      <c r="K456" s="4">
        <f t="shared" si="53"/>
        <v>29</v>
      </c>
      <c r="L456" s="4">
        <f t="shared" si="54"/>
        <v>40</v>
      </c>
      <c r="M456" s="4" t="s">
        <v>519</v>
      </c>
      <c r="N456" s="4">
        <f t="shared" si="55"/>
        <v>1</v>
      </c>
    </row>
    <row r="457" spans="1:14">
      <c r="A457" s="4">
        <v>29</v>
      </c>
      <c r="B457" s="4" t="s">
        <v>547</v>
      </c>
      <c r="C457" s="4" t="s">
        <v>71</v>
      </c>
      <c r="D457" s="4" t="s">
        <v>72</v>
      </c>
      <c r="E457" s="4" t="str">
        <f t="shared" si="49"/>
        <v>29|C|U</v>
      </c>
      <c r="F457" s="12">
        <v>1</v>
      </c>
      <c r="G457" s="4">
        <f t="shared" si="50"/>
        <v>36</v>
      </c>
      <c r="H457" s="12">
        <v>1</v>
      </c>
      <c r="I457" s="14">
        <f t="shared" si="51"/>
        <v>2.7777777777777776E-2</v>
      </c>
      <c r="J457" s="14">
        <f t="shared" si="52"/>
        <v>0.05</v>
      </c>
      <c r="K457" s="4">
        <f t="shared" si="53"/>
        <v>2</v>
      </c>
      <c r="L457" s="4">
        <f t="shared" si="54"/>
        <v>40</v>
      </c>
      <c r="M457" s="4" t="s">
        <v>519</v>
      </c>
      <c r="N457" s="4">
        <f t="shared" si="55"/>
        <v>1</v>
      </c>
    </row>
    <row r="458" spans="1:14">
      <c r="A458" s="4">
        <v>29</v>
      </c>
      <c r="B458" s="4" t="s">
        <v>547</v>
      </c>
      <c r="C458" s="4" t="s">
        <v>70</v>
      </c>
      <c r="D458" s="4" t="s">
        <v>73</v>
      </c>
      <c r="E458" s="4" t="str">
        <f t="shared" si="49"/>
        <v>29|G|A</v>
      </c>
      <c r="F458" s="12">
        <v>0</v>
      </c>
      <c r="G458" s="4">
        <f t="shared" si="50"/>
        <v>77</v>
      </c>
      <c r="H458" s="12">
        <v>1</v>
      </c>
      <c r="I458" s="14">
        <f t="shared" si="51"/>
        <v>0</v>
      </c>
      <c r="J458" s="14">
        <f t="shared" si="52"/>
        <v>1.2345679012345678E-2</v>
      </c>
      <c r="K458" s="4">
        <f t="shared" si="53"/>
        <v>1</v>
      </c>
      <c r="L458" s="4">
        <f t="shared" si="54"/>
        <v>81</v>
      </c>
      <c r="M458" s="4" t="s">
        <v>519</v>
      </c>
      <c r="N458" s="4">
        <f t="shared" si="55"/>
        <v>1</v>
      </c>
    </row>
    <row r="459" spans="1:14">
      <c r="A459" s="4">
        <v>29</v>
      </c>
      <c r="B459" s="4" t="s">
        <v>547</v>
      </c>
      <c r="C459" s="4" t="s">
        <v>70</v>
      </c>
      <c r="D459" s="4" t="s">
        <v>71</v>
      </c>
      <c r="E459" s="4" t="str">
        <f t="shared" si="49"/>
        <v>29|G|C</v>
      </c>
      <c r="F459" s="12">
        <v>10</v>
      </c>
      <c r="G459" s="4">
        <f t="shared" si="50"/>
        <v>77</v>
      </c>
      <c r="H459" s="12">
        <v>1</v>
      </c>
      <c r="I459" s="14">
        <f t="shared" si="51"/>
        <v>0.12987012987012986</v>
      </c>
      <c r="J459" s="14">
        <f t="shared" si="52"/>
        <v>0.13580246913580246</v>
      </c>
      <c r="K459" s="4">
        <f t="shared" si="53"/>
        <v>11</v>
      </c>
      <c r="L459" s="4">
        <f t="shared" si="54"/>
        <v>81</v>
      </c>
      <c r="M459" s="4" t="s">
        <v>519</v>
      </c>
      <c r="N459" s="4">
        <f t="shared" si="55"/>
        <v>1</v>
      </c>
    </row>
    <row r="460" spans="1:14">
      <c r="A460" s="4">
        <v>29</v>
      </c>
      <c r="B460" s="4" t="s">
        <v>547</v>
      </c>
      <c r="C460" s="4" t="s">
        <v>70</v>
      </c>
      <c r="D460" s="4" t="s">
        <v>70</v>
      </c>
      <c r="E460" s="4" t="str">
        <f t="shared" si="49"/>
        <v>29|G|G</v>
      </c>
      <c r="F460" s="12">
        <v>61</v>
      </c>
      <c r="G460" s="4">
        <f t="shared" si="50"/>
        <v>77</v>
      </c>
      <c r="H460" s="12">
        <v>1</v>
      </c>
      <c r="I460" s="14">
        <f t="shared" si="51"/>
        <v>0.79220779220779225</v>
      </c>
      <c r="J460" s="14">
        <f t="shared" si="52"/>
        <v>0.76543209876543206</v>
      </c>
      <c r="K460" s="4">
        <f t="shared" si="53"/>
        <v>62</v>
      </c>
      <c r="L460" s="4">
        <f t="shared" si="54"/>
        <v>81</v>
      </c>
      <c r="M460" s="4" t="s">
        <v>519</v>
      </c>
      <c r="N460" s="4">
        <f t="shared" si="55"/>
        <v>1</v>
      </c>
    </row>
    <row r="461" spans="1:14">
      <c r="A461" s="4">
        <v>29</v>
      </c>
      <c r="B461" s="4" t="s">
        <v>547</v>
      </c>
      <c r="C461" s="4" t="s">
        <v>70</v>
      </c>
      <c r="D461" s="4" t="s">
        <v>72</v>
      </c>
      <c r="E461" s="4" t="str">
        <f t="shared" si="49"/>
        <v>29|G|U</v>
      </c>
      <c r="F461" s="12">
        <v>6</v>
      </c>
      <c r="G461" s="4">
        <f t="shared" si="50"/>
        <v>77</v>
      </c>
      <c r="H461" s="12">
        <v>1</v>
      </c>
      <c r="I461" s="14">
        <f t="shared" si="51"/>
        <v>7.792207792207792E-2</v>
      </c>
      <c r="J461" s="14">
        <f t="shared" si="52"/>
        <v>8.6419753086419748E-2</v>
      </c>
      <c r="K461" s="4">
        <f t="shared" si="53"/>
        <v>7</v>
      </c>
      <c r="L461" s="4">
        <f t="shared" si="54"/>
        <v>81</v>
      </c>
      <c r="M461" s="4" t="s">
        <v>519</v>
      </c>
      <c r="N461" s="4">
        <f t="shared" si="55"/>
        <v>1</v>
      </c>
    </row>
    <row r="462" spans="1:14">
      <c r="A462" s="4">
        <v>29</v>
      </c>
      <c r="B462" s="4" t="s">
        <v>547</v>
      </c>
      <c r="C462" s="4" t="s">
        <v>72</v>
      </c>
      <c r="D462" s="4" t="s">
        <v>73</v>
      </c>
      <c r="E462" s="4" t="str">
        <f t="shared" si="49"/>
        <v>29|U|A</v>
      </c>
      <c r="F462" s="12">
        <v>0</v>
      </c>
      <c r="G462" s="4">
        <f t="shared" si="50"/>
        <v>55</v>
      </c>
      <c r="H462" s="12">
        <v>1</v>
      </c>
      <c r="I462" s="14">
        <f t="shared" si="51"/>
        <v>0</v>
      </c>
      <c r="J462" s="14">
        <f t="shared" si="52"/>
        <v>1.6949152542372881E-2</v>
      </c>
      <c r="K462" s="4">
        <f t="shared" si="53"/>
        <v>1</v>
      </c>
      <c r="L462" s="4">
        <f t="shared" si="54"/>
        <v>59</v>
      </c>
      <c r="M462" s="4" t="s">
        <v>519</v>
      </c>
      <c r="N462" s="4">
        <f t="shared" si="55"/>
        <v>1</v>
      </c>
    </row>
    <row r="463" spans="1:14">
      <c r="A463" s="4">
        <v>29</v>
      </c>
      <c r="B463" s="4" t="s">
        <v>547</v>
      </c>
      <c r="C463" s="4" t="s">
        <v>72</v>
      </c>
      <c r="D463" s="4" t="s">
        <v>71</v>
      </c>
      <c r="E463" s="4" t="str">
        <f t="shared" si="49"/>
        <v>29|U|C</v>
      </c>
      <c r="F463" s="12">
        <v>18</v>
      </c>
      <c r="G463" s="4">
        <f t="shared" si="50"/>
        <v>55</v>
      </c>
      <c r="H463" s="12">
        <v>1</v>
      </c>
      <c r="I463" s="14">
        <f t="shared" si="51"/>
        <v>0.32727272727272727</v>
      </c>
      <c r="J463" s="14">
        <f t="shared" si="52"/>
        <v>0.32203389830508472</v>
      </c>
      <c r="K463" s="4">
        <f t="shared" si="53"/>
        <v>19</v>
      </c>
      <c r="L463" s="4">
        <f t="shared" si="54"/>
        <v>59</v>
      </c>
      <c r="M463" s="4" t="s">
        <v>519</v>
      </c>
      <c r="N463" s="4">
        <f t="shared" si="55"/>
        <v>1</v>
      </c>
    </row>
    <row r="464" spans="1:14">
      <c r="A464" s="4">
        <v>29</v>
      </c>
      <c r="B464" s="4" t="s">
        <v>547</v>
      </c>
      <c r="C464" s="4" t="s">
        <v>72</v>
      </c>
      <c r="D464" s="4" t="s">
        <v>70</v>
      </c>
      <c r="E464" s="4" t="str">
        <f t="shared" si="49"/>
        <v>29|U|G</v>
      </c>
      <c r="F464" s="12">
        <v>37</v>
      </c>
      <c r="G464" s="4">
        <f t="shared" si="50"/>
        <v>55</v>
      </c>
      <c r="H464" s="12">
        <v>1</v>
      </c>
      <c r="I464" s="14">
        <f t="shared" si="51"/>
        <v>0.67272727272727273</v>
      </c>
      <c r="J464" s="14">
        <f t="shared" si="52"/>
        <v>0.64406779661016944</v>
      </c>
      <c r="K464" s="4">
        <f t="shared" si="53"/>
        <v>38</v>
      </c>
      <c r="L464" s="4">
        <f t="shared" si="54"/>
        <v>59</v>
      </c>
      <c r="M464" s="4" t="s">
        <v>519</v>
      </c>
      <c r="N464" s="4">
        <f t="shared" si="55"/>
        <v>1</v>
      </c>
    </row>
    <row r="465" spans="1:14">
      <c r="A465" s="4">
        <v>29</v>
      </c>
      <c r="B465" s="4" t="s">
        <v>547</v>
      </c>
      <c r="C465" s="4" t="s">
        <v>72</v>
      </c>
      <c r="D465" s="4" t="s">
        <v>72</v>
      </c>
      <c r="E465" s="4" t="str">
        <f t="shared" si="49"/>
        <v>29|U|U</v>
      </c>
      <c r="F465" s="12">
        <v>0</v>
      </c>
      <c r="G465" s="4">
        <f t="shared" si="50"/>
        <v>55</v>
      </c>
      <c r="H465" s="12">
        <v>1</v>
      </c>
      <c r="I465" s="14">
        <f t="shared" si="51"/>
        <v>0</v>
      </c>
      <c r="J465" s="14">
        <f t="shared" si="52"/>
        <v>1.6949152542372881E-2</v>
      </c>
      <c r="K465" s="4">
        <f t="shared" si="53"/>
        <v>1</v>
      </c>
      <c r="L465" s="4">
        <f t="shared" si="54"/>
        <v>59</v>
      </c>
      <c r="M465" s="4" t="s">
        <v>519</v>
      </c>
      <c r="N465" s="4">
        <f t="shared" si="55"/>
        <v>1</v>
      </c>
    </row>
    <row r="466" spans="1:14">
      <c r="A466" s="4">
        <v>30</v>
      </c>
      <c r="B466" s="4" t="s">
        <v>548</v>
      </c>
      <c r="C466" s="4" t="s">
        <v>73</v>
      </c>
      <c r="D466" s="4" t="s">
        <v>73</v>
      </c>
      <c r="E466" s="4" t="str">
        <f t="shared" si="49"/>
        <v>30|A|A</v>
      </c>
      <c r="F466" s="12">
        <v>0</v>
      </c>
      <c r="G466" s="4">
        <f t="shared" si="50"/>
        <v>0</v>
      </c>
      <c r="H466" s="12">
        <v>1</v>
      </c>
      <c r="I466" s="14" t="str">
        <f t="shared" si="51"/>
        <v/>
      </c>
      <c r="J466" s="14">
        <f t="shared" si="52"/>
        <v>0.25</v>
      </c>
      <c r="K466" s="4">
        <f t="shared" si="53"/>
        <v>1</v>
      </c>
      <c r="L466" s="4">
        <f t="shared" si="54"/>
        <v>4</v>
      </c>
      <c r="M466" s="4" t="s">
        <v>519</v>
      </c>
      <c r="N466" s="4">
        <f t="shared" si="55"/>
        <v>1</v>
      </c>
    </row>
    <row r="467" spans="1:14">
      <c r="A467" s="4">
        <v>30</v>
      </c>
      <c r="B467" s="4" t="s">
        <v>548</v>
      </c>
      <c r="C467" s="4" t="s">
        <v>73</v>
      </c>
      <c r="D467" s="4" t="s">
        <v>71</v>
      </c>
      <c r="E467" s="4" t="str">
        <f t="shared" si="49"/>
        <v>30|A|C</v>
      </c>
      <c r="F467" s="12">
        <v>0</v>
      </c>
      <c r="G467" s="4">
        <f t="shared" si="50"/>
        <v>0</v>
      </c>
      <c r="H467" s="12">
        <v>1</v>
      </c>
      <c r="I467" s="14" t="str">
        <f t="shared" si="51"/>
        <v/>
      </c>
      <c r="J467" s="14">
        <f t="shared" si="52"/>
        <v>0.25</v>
      </c>
      <c r="K467" s="4">
        <f t="shared" si="53"/>
        <v>1</v>
      </c>
      <c r="L467" s="4">
        <f t="shared" si="54"/>
        <v>4</v>
      </c>
      <c r="M467" s="4" t="s">
        <v>519</v>
      </c>
      <c r="N467" s="4">
        <f t="shared" si="55"/>
        <v>1</v>
      </c>
    </row>
    <row r="468" spans="1:14">
      <c r="A468" s="4">
        <v>30</v>
      </c>
      <c r="B468" s="4" t="s">
        <v>548</v>
      </c>
      <c r="C468" s="4" t="s">
        <v>73</v>
      </c>
      <c r="D468" s="4" t="s">
        <v>70</v>
      </c>
      <c r="E468" s="4" t="str">
        <f t="shared" si="49"/>
        <v>30|A|G</v>
      </c>
      <c r="F468" s="12">
        <v>0</v>
      </c>
      <c r="G468" s="4">
        <f t="shared" si="50"/>
        <v>0</v>
      </c>
      <c r="H468" s="12">
        <v>1</v>
      </c>
      <c r="I468" s="14" t="str">
        <f t="shared" si="51"/>
        <v/>
      </c>
      <c r="J468" s="14">
        <f t="shared" si="52"/>
        <v>0.25</v>
      </c>
      <c r="K468" s="4">
        <f t="shared" si="53"/>
        <v>1</v>
      </c>
      <c r="L468" s="4">
        <f t="shared" si="54"/>
        <v>4</v>
      </c>
      <c r="M468" s="4" t="s">
        <v>519</v>
      </c>
      <c r="N468" s="4">
        <f t="shared" si="55"/>
        <v>1</v>
      </c>
    </row>
    <row r="469" spans="1:14">
      <c r="A469" s="4">
        <v>30</v>
      </c>
      <c r="B469" s="4" t="s">
        <v>548</v>
      </c>
      <c r="C469" s="4" t="s">
        <v>73</v>
      </c>
      <c r="D469" s="4" t="s">
        <v>72</v>
      </c>
      <c r="E469" s="4" t="str">
        <f t="shared" si="49"/>
        <v>30|A|U</v>
      </c>
      <c r="F469" s="12">
        <v>0</v>
      </c>
      <c r="G469" s="4">
        <f t="shared" si="50"/>
        <v>0</v>
      </c>
      <c r="H469" s="12">
        <v>1</v>
      </c>
      <c r="I469" s="14" t="str">
        <f t="shared" si="51"/>
        <v/>
      </c>
      <c r="J469" s="14">
        <f t="shared" si="52"/>
        <v>0.25</v>
      </c>
      <c r="K469" s="4">
        <f t="shared" si="53"/>
        <v>1</v>
      </c>
      <c r="L469" s="4">
        <f t="shared" si="54"/>
        <v>4</v>
      </c>
      <c r="M469" s="4" t="s">
        <v>519</v>
      </c>
      <c r="N469" s="4">
        <f t="shared" si="55"/>
        <v>1</v>
      </c>
    </row>
    <row r="470" spans="1:14">
      <c r="A470" s="4">
        <v>30</v>
      </c>
      <c r="B470" s="4" t="s">
        <v>548</v>
      </c>
      <c r="C470" s="4" t="s">
        <v>71</v>
      </c>
      <c r="D470" s="4" t="s">
        <v>73</v>
      </c>
      <c r="E470" s="4" t="str">
        <f t="shared" si="49"/>
        <v>30|C|A</v>
      </c>
      <c r="F470" s="12">
        <v>3</v>
      </c>
      <c r="G470" s="4">
        <f t="shared" si="50"/>
        <v>43</v>
      </c>
      <c r="H470" s="12">
        <v>1</v>
      </c>
      <c r="I470" s="14">
        <f t="shared" si="51"/>
        <v>6.9767441860465115E-2</v>
      </c>
      <c r="J470" s="14">
        <f t="shared" si="52"/>
        <v>8.5106382978723402E-2</v>
      </c>
      <c r="K470" s="4">
        <f t="shared" si="53"/>
        <v>4</v>
      </c>
      <c r="L470" s="4">
        <f t="shared" si="54"/>
        <v>47</v>
      </c>
      <c r="M470" s="4" t="s">
        <v>519</v>
      </c>
      <c r="N470" s="4">
        <f t="shared" si="55"/>
        <v>1</v>
      </c>
    </row>
    <row r="471" spans="1:14">
      <c r="A471" s="4">
        <v>30</v>
      </c>
      <c r="B471" s="4" t="s">
        <v>548</v>
      </c>
      <c r="C471" s="4" t="s">
        <v>71</v>
      </c>
      <c r="D471" s="4" t="s">
        <v>71</v>
      </c>
      <c r="E471" s="4" t="str">
        <f t="shared" si="49"/>
        <v>30|C|C</v>
      </c>
      <c r="F471" s="12">
        <v>28</v>
      </c>
      <c r="G471" s="4">
        <f t="shared" si="50"/>
        <v>43</v>
      </c>
      <c r="H471" s="12">
        <v>1</v>
      </c>
      <c r="I471" s="14">
        <f t="shared" si="51"/>
        <v>0.65116279069767447</v>
      </c>
      <c r="J471" s="14">
        <f t="shared" si="52"/>
        <v>0.61702127659574468</v>
      </c>
      <c r="K471" s="4">
        <f t="shared" si="53"/>
        <v>29</v>
      </c>
      <c r="L471" s="4">
        <f t="shared" si="54"/>
        <v>47</v>
      </c>
      <c r="M471" s="4" t="s">
        <v>519</v>
      </c>
      <c r="N471" s="4">
        <f t="shared" si="55"/>
        <v>1</v>
      </c>
    </row>
    <row r="472" spans="1:14">
      <c r="A472" s="4">
        <v>30</v>
      </c>
      <c r="B472" s="4" t="s">
        <v>548</v>
      </c>
      <c r="C472" s="4" t="s">
        <v>71</v>
      </c>
      <c r="D472" s="4" t="s">
        <v>70</v>
      </c>
      <c r="E472" s="4" t="str">
        <f t="shared" si="49"/>
        <v>30|C|G</v>
      </c>
      <c r="F472" s="12">
        <v>10</v>
      </c>
      <c r="G472" s="4">
        <f t="shared" si="50"/>
        <v>43</v>
      </c>
      <c r="H472" s="12">
        <v>1</v>
      </c>
      <c r="I472" s="14">
        <f t="shared" si="51"/>
        <v>0.23255813953488372</v>
      </c>
      <c r="J472" s="14">
        <f t="shared" si="52"/>
        <v>0.23404255319148937</v>
      </c>
      <c r="K472" s="4">
        <f t="shared" si="53"/>
        <v>11</v>
      </c>
      <c r="L472" s="4">
        <f t="shared" si="54"/>
        <v>47</v>
      </c>
      <c r="M472" s="4" t="s">
        <v>519</v>
      </c>
      <c r="N472" s="4">
        <f t="shared" si="55"/>
        <v>1</v>
      </c>
    </row>
    <row r="473" spans="1:14">
      <c r="A473" s="4">
        <v>30</v>
      </c>
      <c r="B473" s="4" t="s">
        <v>548</v>
      </c>
      <c r="C473" s="4" t="s">
        <v>71</v>
      </c>
      <c r="D473" s="4" t="s">
        <v>72</v>
      </c>
      <c r="E473" s="4" t="str">
        <f t="shared" si="49"/>
        <v>30|C|U</v>
      </c>
      <c r="F473" s="12">
        <v>2</v>
      </c>
      <c r="G473" s="4">
        <f t="shared" si="50"/>
        <v>43</v>
      </c>
      <c r="H473" s="12">
        <v>1</v>
      </c>
      <c r="I473" s="14">
        <f t="shared" si="51"/>
        <v>4.6511627906976744E-2</v>
      </c>
      <c r="J473" s="14">
        <f t="shared" si="52"/>
        <v>6.3829787234042548E-2</v>
      </c>
      <c r="K473" s="4">
        <f t="shared" si="53"/>
        <v>3</v>
      </c>
      <c r="L473" s="4">
        <f t="shared" si="54"/>
        <v>47</v>
      </c>
      <c r="M473" s="4" t="s">
        <v>519</v>
      </c>
      <c r="N473" s="4">
        <f t="shared" si="55"/>
        <v>1</v>
      </c>
    </row>
    <row r="474" spans="1:14">
      <c r="A474" s="4">
        <v>30</v>
      </c>
      <c r="B474" s="4" t="s">
        <v>548</v>
      </c>
      <c r="C474" s="4" t="s">
        <v>70</v>
      </c>
      <c r="D474" s="4" t="s">
        <v>73</v>
      </c>
      <c r="E474" s="4" t="str">
        <f t="shared" si="49"/>
        <v>30|G|A</v>
      </c>
      <c r="F474" s="12">
        <v>49</v>
      </c>
      <c r="G474" s="4">
        <f t="shared" si="50"/>
        <v>150</v>
      </c>
      <c r="H474" s="12">
        <v>1</v>
      </c>
      <c r="I474" s="14">
        <f t="shared" si="51"/>
        <v>0.32666666666666666</v>
      </c>
      <c r="J474" s="14">
        <f t="shared" si="52"/>
        <v>0.32467532467532467</v>
      </c>
      <c r="K474" s="4">
        <f t="shared" si="53"/>
        <v>50</v>
      </c>
      <c r="L474" s="4">
        <f t="shared" si="54"/>
        <v>154</v>
      </c>
      <c r="M474" s="4" t="s">
        <v>519</v>
      </c>
      <c r="N474" s="4">
        <f t="shared" si="55"/>
        <v>1</v>
      </c>
    </row>
    <row r="475" spans="1:14">
      <c r="A475" s="4">
        <v>30</v>
      </c>
      <c r="B475" s="4" t="s">
        <v>548</v>
      </c>
      <c r="C475" s="4" t="s">
        <v>70</v>
      </c>
      <c r="D475" s="4" t="s">
        <v>71</v>
      </c>
      <c r="E475" s="4" t="str">
        <f t="shared" si="49"/>
        <v>30|G|C</v>
      </c>
      <c r="F475" s="12">
        <v>43</v>
      </c>
      <c r="G475" s="4">
        <f t="shared" si="50"/>
        <v>150</v>
      </c>
      <c r="H475" s="12">
        <v>1</v>
      </c>
      <c r="I475" s="14">
        <f t="shared" si="51"/>
        <v>0.28666666666666668</v>
      </c>
      <c r="J475" s="14">
        <f t="shared" si="52"/>
        <v>0.2857142857142857</v>
      </c>
      <c r="K475" s="4">
        <f t="shared" si="53"/>
        <v>44</v>
      </c>
      <c r="L475" s="4">
        <f t="shared" si="54"/>
        <v>154</v>
      </c>
      <c r="M475" s="4" t="s">
        <v>519</v>
      </c>
      <c r="N475" s="4">
        <f t="shared" si="55"/>
        <v>1</v>
      </c>
    </row>
    <row r="476" spans="1:14">
      <c r="A476" s="4">
        <v>30</v>
      </c>
      <c r="B476" s="4" t="s">
        <v>548</v>
      </c>
      <c r="C476" s="4" t="s">
        <v>70</v>
      </c>
      <c r="D476" s="4" t="s">
        <v>70</v>
      </c>
      <c r="E476" s="4" t="str">
        <f t="shared" si="49"/>
        <v>30|G|G</v>
      </c>
      <c r="F476" s="12">
        <v>41</v>
      </c>
      <c r="G476" s="4">
        <f t="shared" si="50"/>
        <v>150</v>
      </c>
      <c r="H476" s="12">
        <v>1</v>
      </c>
      <c r="I476" s="14">
        <f t="shared" si="51"/>
        <v>0.27333333333333332</v>
      </c>
      <c r="J476" s="14">
        <f t="shared" si="52"/>
        <v>0.27272727272727271</v>
      </c>
      <c r="K476" s="4">
        <f t="shared" si="53"/>
        <v>42</v>
      </c>
      <c r="L476" s="4">
        <f t="shared" si="54"/>
        <v>154</v>
      </c>
      <c r="M476" s="4" t="s">
        <v>519</v>
      </c>
      <c r="N476" s="4">
        <f t="shared" si="55"/>
        <v>1</v>
      </c>
    </row>
    <row r="477" spans="1:14">
      <c r="A477" s="4">
        <v>30</v>
      </c>
      <c r="B477" s="4" t="s">
        <v>548</v>
      </c>
      <c r="C477" s="4" t="s">
        <v>70</v>
      </c>
      <c r="D477" s="4" t="s">
        <v>72</v>
      </c>
      <c r="E477" s="4" t="str">
        <f t="shared" si="49"/>
        <v>30|G|U</v>
      </c>
      <c r="F477" s="12">
        <v>17</v>
      </c>
      <c r="G477" s="4">
        <f t="shared" si="50"/>
        <v>150</v>
      </c>
      <c r="H477" s="12">
        <v>1</v>
      </c>
      <c r="I477" s="14">
        <f t="shared" si="51"/>
        <v>0.11333333333333333</v>
      </c>
      <c r="J477" s="14">
        <f t="shared" si="52"/>
        <v>0.11688311688311688</v>
      </c>
      <c r="K477" s="4">
        <f t="shared" si="53"/>
        <v>18</v>
      </c>
      <c r="L477" s="4">
        <f t="shared" si="54"/>
        <v>154</v>
      </c>
      <c r="M477" s="4" t="s">
        <v>519</v>
      </c>
      <c r="N477" s="4">
        <f t="shared" si="55"/>
        <v>1</v>
      </c>
    </row>
    <row r="478" spans="1:14">
      <c r="A478" s="4">
        <v>30</v>
      </c>
      <c r="B478" s="4" t="s">
        <v>548</v>
      </c>
      <c r="C478" s="4" t="s">
        <v>72</v>
      </c>
      <c r="D478" s="4" t="s">
        <v>73</v>
      </c>
      <c r="E478" s="4" t="str">
        <f t="shared" si="49"/>
        <v>30|U|A</v>
      </c>
      <c r="F478" s="12">
        <v>2</v>
      </c>
      <c r="G478" s="4">
        <f t="shared" si="50"/>
        <v>7</v>
      </c>
      <c r="H478" s="12">
        <v>1</v>
      </c>
      <c r="I478" s="14">
        <f t="shared" si="51"/>
        <v>0.2857142857142857</v>
      </c>
      <c r="J478" s="14">
        <f t="shared" si="52"/>
        <v>0.27272727272727271</v>
      </c>
      <c r="K478" s="4">
        <f t="shared" si="53"/>
        <v>3</v>
      </c>
      <c r="L478" s="4">
        <f t="shared" si="54"/>
        <v>11</v>
      </c>
      <c r="M478" s="4" t="s">
        <v>519</v>
      </c>
      <c r="N478" s="4">
        <f t="shared" si="55"/>
        <v>1</v>
      </c>
    </row>
    <row r="479" spans="1:14">
      <c r="A479" s="4">
        <v>30</v>
      </c>
      <c r="B479" s="4" t="s">
        <v>548</v>
      </c>
      <c r="C479" s="4" t="s">
        <v>72</v>
      </c>
      <c r="D479" s="4" t="s">
        <v>71</v>
      </c>
      <c r="E479" s="4" t="str">
        <f t="shared" si="49"/>
        <v>30|U|C</v>
      </c>
      <c r="F479" s="12">
        <v>1</v>
      </c>
      <c r="G479" s="4">
        <f t="shared" si="50"/>
        <v>7</v>
      </c>
      <c r="H479" s="12">
        <v>1</v>
      </c>
      <c r="I479" s="14">
        <f t="shared" si="51"/>
        <v>0.14285714285714285</v>
      </c>
      <c r="J479" s="14">
        <f t="shared" si="52"/>
        <v>0.18181818181818182</v>
      </c>
      <c r="K479" s="4">
        <f t="shared" si="53"/>
        <v>2</v>
      </c>
      <c r="L479" s="4">
        <f t="shared" si="54"/>
        <v>11</v>
      </c>
      <c r="M479" s="4" t="s">
        <v>519</v>
      </c>
      <c r="N479" s="4">
        <f t="shared" si="55"/>
        <v>1</v>
      </c>
    </row>
    <row r="480" spans="1:14">
      <c r="A480" s="4">
        <v>30</v>
      </c>
      <c r="B480" s="4" t="s">
        <v>548</v>
      </c>
      <c r="C480" s="4" t="s">
        <v>72</v>
      </c>
      <c r="D480" s="4" t="s">
        <v>70</v>
      </c>
      <c r="E480" s="4" t="str">
        <f t="shared" si="49"/>
        <v>30|U|G</v>
      </c>
      <c r="F480" s="12">
        <v>4</v>
      </c>
      <c r="G480" s="4">
        <f t="shared" si="50"/>
        <v>7</v>
      </c>
      <c r="H480" s="12">
        <v>1</v>
      </c>
      <c r="I480" s="14">
        <f t="shared" si="51"/>
        <v>0.5714285714285714</v>
      </c>
      <c r="J480" s="14">
        <f t="shared" si="52"/>
        <v>0.45454545454545453</v>
      </c>
      <c r="K480" s="4">
        <f t="shared" si="53"/>
        <v>5</v>
      </c>
      <c r="L480" s="4">
        <f t="shared" si="54"/>
        <v>11</v>
      </c>
      <c r="M480" s="4" t="s">
        <v>519</v>
      </c>
      <c r="N480" s="4">
        <f t="shared" si="55"/>
        <v>1</v>
      </c>
    </row>
    <row r="481" spans="1:14">
      <c r="A481" s="4">
        <v>30</v>
      </c>
      <c r="B481" s="4" t="s">
        <v>548</v>
      </c>
      <c r="C481" s="4" t="s">
        <v>72</v>
      </c>
      <c r="D481" s="4" t="s">
        <v>72</v>
      </c>
      <c r="E481" s="4" t="str">
        <f t="shared" si="49"/>
        <v>30|U|U</v>
      </c>
      <c r="F481" s="12">
        <v>0</v>
      </c>
      <c r="G481" s="4">
        <f t="shared" si="50"/>
        <v>7</v>
      </c>
      <c r="H481" s="12">
        <v>1</v>
      </c>
      <c r="I481" s="14">
        <f t="shared" si="51"/>
        <v>0</v>
      </c>
      <c r="J481" s="14">
        <f t="shared" si="52"/>
        <v>9.0909090909090912E-2</v>
      </c>
      <c r="K481" s="4">
        <f t="shared" si="53"/>
        <v>1</v>
      </c>
      <c r="L481" s="4">
        <f t="shared" si="54"/>
        <v>11</v>
      </c>
      <c r="M481" s="4" t="s">
        <v>519</v>
      </c>
      <c r="N481" s="4">
        <f t="shared" si="55"/>
        <v>1</v>
      </c>
    </row>
    <row r="482" spans="1:14">
      <c r="A482" s="4">
        <v>31</v>
      </c>
      <c r="B482" s="4" t="s">
        <v>549</v>
      </c>
      <c r="C482" s="4" t="s">
        <v>73</v>
      </c>
      <c r="D482" s="4" t="s">
        <v>73</v>
      </c>
      <c r="E482" s="4" t="str">
        <f t="shared" si="49"/>
        <v>31|A|A</v>
      </c>
      <c r="F482" s="12">
        <v>0</v>
      </c>
      <c r="G482" s="4">
        <f t="shared" si="50"/>
        <v>54</v>
      </c>
      <c r="H482" s="12">
        <v>1</v>
      </c>
      <c r="I482" s="14">
        <f t="shared" si="51"/>
        <v>0</v>
      </c>
      <c r="J482" s="14">
        <f t="shared" si="52"/>
        <v>1.7241379310344827E-2</v>
      </c>
      <c r="K482" s="4">
        <f t="shared" si="53"/>
        <v>1</v>
      </c>
      <c r="L482" s="4">
        <f t="shared" si="54"/>
        <v>58</v>
      </c>
      <c r="M482" s="4" t="s">
        <v>519</v>
      </c>
      <c r="N482" s="4">
        <f t="shared" si="55"/>
        <v>1</v>
      </c>
    </row>
    <row r="483" spans="1:14">
      <c r="A483" s="4">
        <v>31</v>
      </c>
      <c r="B483" s="4" t="s">
        <v>549</v>
      </c>
      <c r="C483" s="4" t="s">
        <v>73</v>
      </c>
      <c r="D483" s="4" t="s">
        <v>71</v>
      </c>
      <c r="E483" s="4" t="str">
        <f t="shared" si="49"/>
        <v>31|A|C</v>
      </c>
      <c r="F483" s="12">
        <v>47</v>
      </c>
      <c r="G483" s="4">
        <f t="shared" si="50"/>
        <v>54</v>
      </c>
      <c r="H483" s="12">
        <v>1</v>
      </c>
      <c r="I483" s="14">
        <f t="shared" si="51"/>
        <v>0.87037037037037035</v>
      </c>
      <c r="J483" s="14">
        <f t="shared" si="52"/>
        <v>0.82758620689655171</v>
      </c>
      <c r="K483" s="4">
        <f t="shared" si="53"/>
        <v>48</v>
      </c>
      <c r="L483" s="4">
        <f t="shared" si="54"/>
        <v>58</v>
      </c>
      <c r="M483" s="4" t="s">
        <v>519</v>
      </c>
      <c r="N483" s="4">
        <f t="shared" si="55"/>
        <v>1</v>
      </c>
    </row>
    <row r="484" spans="1:14">
      <c r="A484" s="4">
        <v>31</v>
      </c>
      <c r="B484" s="4" t="s">
        <v>549</v>
      </c>
      <c r="C484" s="4" t="s">
        <v>73</v>
      </c>
      <c r="D484" s="4" t="s">
        <v>70</v>
      </c>
      <c r="E484" s="4" t="str">
        <f t="shared" si="49"/>
        <v>31|A|G</v>
      </c>
      <c r="F484" s="12">
        <v>0</v>
      </c>
      <c r="G484" s="4">
        <f t="shared" si="50"/>
        <v>54</v>
      </c>
      <c r="H484" s="12">
        <v>1</v>
      </c>
      <c r="I484" s="14">
        <f t="shared" si="51"/>
        <v>0</v>
      </c>
      <c r="J484" s="14">
        <f t="shared" si="52"/>
        <v>1.7241379310344827E-2</v>
      </c>
      <c r="K484" s="4">
        <f t="shared" si="53"/>
        <v>1</v>
      </c>
      <c r="L484" s="4">
        <f t="shared" si="54"/>
        <v>58</v>
      </c>
      <c r="M484" s="4" t="s">
        <v>519</v>
      </c>
      <c r="N484" s="4">
        <f t="shared" si="55"/>
        <v>1</v>
      </c>
    </row>
    <row r="485" spans="1:14">
      <c r="A485" s="4">
        <v>31</v>
      </c>
      <c r="B485" s="4" t="s">
        <v>549</v>
      </c>
      <c r="C485" s="4" t="s">
        <v>73</v>
      </c>
      <c r="D485" s="4" t="s">
        <v>72</v>
      </c>
      <c r="E485" s="4" t="str">
        <f t="shared" si="49"/>
        <v>31|A|U</v>
      </c>
      <c r="F485" s="12">
        <v>7</v>
      </c>
      <c r="G485" s="4">
        <f t="shared" si="50"/>
        <v>54</v>
      </c>
      <c r="H485" s="12">
        <v>1</v>
      </c>
      <c r="I485" s="14">
        <f t="shared" si="51"/>
        <v>0.12962962962962962</v>
      </c>
      <c r="J485" s="14">
        <f t="shared" si="52"/>
        <v>0.13793103448275862</v>
      </c>
      <c r="K485" s="4">
        <f t="shared" si="53"/>
        <v>8</v>
      </c>
      <c r="L485" s="4">
        <f t="shared" si="54"/>
        <v>58</v>
      </c>
      <c r="M485" s="4" t="s">
        <v>519</v>
      </c>
      <c r="N485" s="4">
        <f t="shared" si="55"/>
        <v>1</v>
      </c>
    </row>
    <row r="486" spans="1:14">
      <c r="A486" s="4">
        <v>31</v>
      </c>
      <c r="B486" s="4" t="s">
        <v>549</v>
      </c>
      <c r="C486" s="4" t="s">
        <v>71</v>
      </c>
      <c r="D486" s="4" t="s">
        <v>73</v>
      </c>
      <c r="E486" s="4" t="str">
        <f t="shared" si="49"/>
        <v>31|C|A</v>
      </c>
      <c r="F486" s="12">
        <v>6</v>
      </c>
      <c r="G486" s="4">
        <f t="shared" si="50"/>
        <v>72</v>
      </c>
      <c r="H486" s="12">
        <v>1</v>
      </c>
      <c r="I486" s="14">
        <f t="shared" si="51"/>
        <v>8.3333333333333329E-2</v>
      </c>
      <c r="J486" s="14">
        <f t="shared" si="52"/>
        <v>9.2105263157894732E-2</v>
      </c>
      <c r="K486" s="4">
        <f t="shared" si="53"/>
        <v>7</v>
      </c>
      <c r="L486" s="4">
        <f t="shared" si="54"/>
        <v>76</v>
      </c>
      <c r="M486" s="4" t="s">
        <v>519</v>
      </c>
      <c r="N486" s="4">
        <f t="shared" si="55"/>
        <v>1</v>
      </c>
    </row>
    <row r="487" spans="1:14">
      <c r="A487" s="4">
        <v>31</v>
      </c>
      <c r="B487" s="4" t="s">
        <v>549</v>
      </c>
      <c r="C487" s="4" t="s">
        <v>71</v>
      </c>
      <c r="D487" s="4" t="s">
        <v>71</v>
      </c>
      <c r="E487" s="4" t="str">
        <f t="shared" si="49"/>
        <v>31|C|C</v>
      </c>
      <c r="F487" s="12">
        <v>36</v>
      </c>
      <c r="G487" s="4">
        <f t="shared" si="50"/>
        <v>72</v>
      </c>
      <c r="H487" s="12">
        <v>1</v>
      </c>
      <c r="I487" s="14">
        <f t="shared" si="51"/>
        <v>0.5</v>
      </c>
      <c r="J487" s="14">
        <f t="shared" si="52"/>
        <v>0.48684210526315791</v>
      </c>
      <c r="K487" s="4">
        <f t="shared" si="53"/>
        <v>37</v>
      </c>
      <c r="L487" s="4">
        <f t="shared" si="54"/>
        <v>76</v>
      </c>
      <c r="M487" s="4" t="s">
        <v>519</v>
      </c>
      <c r="N487" s="4">
        <f t="shared" si="55"/>
        <v>1</v>
      </c>
    </row>
    <row r="488" spans="1:14">
      <c r="A488" s="4">
        <v>31</v>
      </c>
      <c r="B488" s="4" t="s">
        <v>549</v>
      </c>
      <c r="C488" s="4" t="s">
        <v>71</v>
      </c>
      <c r="D488" s="4" t="s">
        <v>70</v>
      </c>
      <c r="E488" s="4" t="str">
        <f t="shared" si="49"/>
        <v>31|C|G</v>
      </c>
      <c r="F488" s="12">
        <v>0</v>
      </c>
      <c r="G488" s="4">
        <f t="shared" si="50"/>
        <v>72</v>
      </c>
      <c r="H488" s="12">
        <v>1</v>
      </c>
      <c r="I488" s="14">
        <f t="shared" si="51"/>
        <v>0</v>
      </c>
      <c r="J488" s="14">
        <f t="shared" si="52"/>
        <v>1.3157894736842105E-2</v>
      </c>
      <c r="K488" s="4">
        <f t="shared" si="53"/>
        <v>1</v>
      </c>
      <c r="L488" s="4">
        <f t="shared" si="54"/>
        <v>76</v>
      </c>
      <c r="M488" s="4" t="s">
        <v>519</v>
      </c>
      <c r="N488" s="4">
        <f t="shared" si="55"/>
        <v>1</v>
      </c>
    </row>
    <row r="489" spans="1:14">
      <c r="A489" s="4">
        <v>31</v>
      </c>
      <c r="B489" s="4" t="s">
        <v>549</v>
      </c>
      <c r="C489" s="4" t="s">
        <v>71</v>
      </c>
      <c r="D489" s="4" t="s">
        <v>72</v>
      </c>
      <c r="E489" s="4" t="str">
        <f t="shared" si="49"/>
        <v>31|C|U</v>
      </c>
      <c r="F489" s="12">
        <v>30</v>
      </c>
      <c r="G489" s="4">
        <f t="shared" si="50"/>
        <v>72</v>
      </c>
      <c r="H489" s="12">
        <v>1</v>
      </c>
      <c r="I489" s="14">
        <f t="shared" si="51"/>
        <v>0.41666666666666669</v>
      </c>
      <c r="J489" s="14">
        <f t="shared" si="52"/>
        <v>0.40789473684210525</v>
      </c>
      <c r="K489" s="4">
        <f t="shared" si="53"/>
        <v>31</v>
      </c>
      <c r="L489" s="4">
        <f t="shared" si="54"/>
        <v>76</v>
      </c>
      <c r="M489" s="4" t="s">
        <v>519</v>
      </c>
      <c r="N489" s="4">
        <f t="shared" si="55"/>
        <v>1</v>
      </c>
    </row>
    <row r="490" spans="1:14">
      <c r="A490" s="4">
        <v>31</v>
      </c>
      <c r="B490" s="4" t="s">
        <v>549</v>
      </c>
      <c r="C490" s="4" t="s">
        <v>70</v>
      </c>
      <c r="D490" s="4" t="s">
        <v>73</v>
      </c>
      <c r="E490" s="4" t="str">
        <f t="shared" si="49"/>
        <v>31|G|A</v>
      </c>
      <c r="F490" s="12">
        <v>0</v>
      </c>
      <c r="G490" s="4">
        <f t="shared" si="50"/>
        <v>55</v>
      </c>
      <c r="H490" s="12">
        <v>1</v>
      </c>
      <c r="I490" s="14">
        <f t="shared" si="51"/>
        <v>0</v>
      </c>
      <c r="J490" s="14">
        <f t="shared" si="52"/>
        <v>1.6949152542372881E-2</v>
      </c>
      <c r="K490" s="4">
        <f t="shared" si="53"/>
        <v>1</v>
      </c>
      <c r="L490" s="4">
        <f t="shared" si="54"/>
        <v>59</v>
      </c>
      <c r="M490" s="4" t="s">
        <v>519</v>
      </c>
      <c r="N490" s="4">
        <f t="shared" si="55"/>
        <v>1</v>
      </c>
    </row>
    <row r="491" spans="1:14">
      <c r="A491" s="4">
        <v>31</v>
      </c>
      <c r="B491" s="4" t="s">
        <v>549</v>
      </c>
      <c r="C491" s="4" t="s">
        <v>70</v>
      </c>
      <c r="D491" s="4" t="s">
        <v>71</v>
      </c>
      <c r="E491" s="4" t="str">
        <f t="shared" si="49"/>
        <v>31|G|C</v>
      </c>
      <c r="F491" s="12">
        <v>35</v>
      </c>
      <c r="G491" s="4">
        <f t="shared" si="50"/>
        <v>55</v>
      </c>
      <c r="H491" s="12">
        <v>1</v>
      </c>
      <c r="I491" s="14">
        <f t="shared" si="51"/>
        <v>0.63636363636363635</v>
      </c>
      <c r="J491" s="14">
        <f t="shared" si="52"/>
        <v>0.61016949152542377</v>
      </c>
      <c r="K491" s="4">
        <f t="shared" si="53"/>
        <v>36</v>
      </c>
      <c r="L491" s="4">
        <f t="shared" si="54"/>
        <v>59</v>
      </c>
      <c r="M491" s="4" t="s">
        <v>519</v>
      </c>
      <c r="N491" s="4">
        <f t="shared" si="55"/>
        <v>1</v>
      </c>
    </row>
    <row r="492" spans="1:14">
      <c r="A492" s="4">
        <v>31</v>
      </c>
      <c r="B492" s="4" t="s">
        <v>549</v>
      </c>
      <c r="C492" s="4" t="s">
        <v>70</v>
      </c>
      <c r="D492" s="4" t="s">
        <v>70</v>
      </c>
      <c r="E492" s="4" t="str">
        <f t="shared" si="49"/>
        <v>31|G|G</v>
      </c>
      <c r="F492" s="12">
        <v>0</v>
      </c>
      <c r="G492" s="4">
        <f t="shared" si="50"/>
        <v>55</v>
      </c>
      <c r="H492" s="12">
        <v>1</v>
      </c>
      <c r="I492" s="14">
        <f t="shared" si="51"/>
        <v>0</v>
      </c>
      <c r="J492" s="14">
        <f t="shared" si="52"/>
        <v>1.6949152542372881E-2</v>
      </c>
      <c r="K492" s="4">
        <f t="shared" si="53"/>
        <v>1</v>
      </c>
      <c r="L492" s="4">
        <f t="shared" si="54"/>
        <v>59</v>
      </c>
      <c r="M492" s="4" t="s">
        <v>519</v>
      </c>
      <c r="N492" s="4">
        <f t="shared" si="55"/>
        <v>1</v>
      </c>
    </row>
    <row r="493" spans="1:14">
      <c r="A493" s="4">
        <v>31</v>
      </c>
      <c r="B493" s="4" t="s">
        <v>549</v>
      </c>
      <c r="C493" s="4" t="s">
        <v>70</v>
      </c>
      <c r="D493" s="4" t="s">
        <v>72</v>
      </c>
      <c r="E493" s="4" t="str">
        <f t="shared" si="49"/>
        <v>31|G|U</v>
      </c>
      <c r="F493" s="12">
        <v>20</v>
      </c>
      <c r="G493" s="4">
        <f t="shared" si="50"/>
        <v>55</v>
      </c>
      <c r="H493" s="12">
        <v>1</v>
      </c>
      <c r="I493" s="14">
        <f t="shared" si="51"/>
        <v>0.36363636363636365</v>
      </c>
      <c r="J493" s="14">
        <f t="shared" si="52"/>
        <v>0.3559322033898305</v>
      </c>
      <c r="K493" s="4">
        <f t="shared" si="53"/>
        <v>21</v>
      </c>
      <c r="L493" s="4">
        <f t="shared" si="54"/>
        <v>59</v>
      </c>
      <c r="M493" s="4" t="s">
        <v>519</v>
      </c>
      <c r="N493" s="4">
        <f t="shared" si="55"/>
        <v>1</v>
      </c>
    </row>
    <row r="494" spans="1:14">
      <c r="A494" s="4">
        <v>31</v>
      </c>
      <c r="B494" s="4" t="s">
        <v>549</v>
      </c>
      <c r="C494" s="4" t="s">
        <v>72</v>
      </c>
      <c r="D494" s="4" t="s">
        <v>73</v>
      </c>
      <c r="E494" s="4" t="str">
        <f t="shared" si="49"/>
        <v>31|U|A</v>
      </c>
      <c r="F494" s="12">
        <v>0</v>
      </c>
      <c r="G494" s="4">
        <f t="shared" si="50"/>
        <v>19</v>
      </c>
      <c r="H494" s="12">
        <v>1</v>
      </c>
      <c r="I494" s="14">
        <f t="shared" si="51"/>
        <v>0</v>
      </c>
      <c r="J494" s="14">
        <f t="shared" si="52"/>
        <v>4.3478260869565216E-2</v>
      </c>
      <c r="K494" s="4">
        <f t="shared" si="53"/>
        <v>1</v>
      </c>
      <c r="L494" s="4">
        <f t="shared" si="54"/>
        <v>23</v>
      </c>
      <c r="M494" s="4" t="s">
        <v>519</v>
      </c>
      <c r="N494" s="4">
        <f t="shared" si="55"/>
        <v>1</v>
      </c>
    </row>
    <row r="495" spans="1:14">
      <c r="A495" s="4">
        <v>31</v>
      </c>
      <c r="B495" s="4" t="s">
        <v>549</v>
      </c>
      <c r="C495" s="4" t="s">
        <v>72</v>
      </c>
      <c r="D495" s="4" t="s">
        <v>71</v>
      </c>
      <c r="E495" s="4" t="str">
        <f t="shared" si="49"/>
        <v>31|U|C</v>
      </c>
      <c r="F495" s="12">
        <v>17</v>
      </c>
      <c r="G495" s="4">
        <f t="shared" si="50"/>
        <v>19</v>
      </c>
      <c r="H495" s="12">
        <v>1</v>
      </c>
      <c r="I495" s="14">
        <f t="shared" si="51"/>
        <v>0.89473684210526316</v>
      </c>
      <c r="J495" s="14">
        <f t="shared" si="52"/>
        <v>0.78260869565217395</v>
      </c>
      <c r="K495" s="4">
        <f t="shared" si="53"/>
        <v>18</v>
      </c>
      <c r="L495" s="4">
        <f t="shared" si="54"/>
        <v>23</v>
      </c>
      <c r="M495" s="4" t="s">
        <v>519</v>
      </c>
      <c r="N495" s="4">
        <f t="shared" si="55"/>
        <v>1</v>
      </c>
    </row>
    <row r="496" spans="1:14">
      <c r="A496" s="4">
        <v>31</v>
      </c>
      <c r="B496" s="4" t="s">
        <v>549</v>
      </c>
      <c r="C496" s="4" t="s">
        <v>72</v>
      </c>
      <c r="D496" s="4" t="s">
        <v>70</v>
      </c>
      <c r="E496" s="4" t="str">
        <f t="shared" si="49"/>
        <v>31|U|G</v>
      </c>
      <c r="F496" s="12">
        <v>0</v>
      </c>
      <c r="G496" s="4">
        <f t="shared" si="50"/>
        <v>19</v>
      </c>
      <c r="H496" s="12">
        <v>1</v>
      </c>
      <c r="I496" s="14">
        <f t="shared" si="51"/>
        <v>0</v>
      </c>
      <c r="J496" s="14">
        <f t="shared" si="52"/>
        <v>4.3478260869565216E-2</v>
      </c>
      <c r="K496" s="4">
        <f t="shared" si="53"/>
        <v>1</v>
      </c>
      <c r="L496" s="4">
        <f t="shared" si="54"/>
        <v>23</v>
      </c>
      <c r="M496" s="4" t="s">
        <v>519</v>
      </c>
      <c r="N496" s="4">
        <f t="shared" si="55"/>
        <v>1</v>
      </c>
    </row>
    <row r="497" spans="1:14">
      <c r="A497" s="4">
        <v>31</v>
      </c>
      <c r="B497" s="4" t="s">
        <v>549</v>
      </c>
      <c r="C497" s="4" t="s">
        <v>72</v>
      </c>
      <c r="D497" s="4" t="s">
        <v>72</v>
      </c>
      <c r="E497" s="4" t="str">
        <f t="shared" si="49"/>
        <v>31|U|U</v>
      </c>
      <c r="F497" s="12">
        <v>2</v>
      </c>
      <c r="G497" s="4">
        <f t="shared" si="50"/>
        <v>19</v>
      </c>
      <c r="H497" s="12">
        <v>1</v>
      </c>
      <c r="I497" s="14">
        <f t="shared" si="51"/>
        <v>0.10526315789473684</v>
      </c>
      <c r="J497" s="14">
        <f t="shared" si="52"/>
        <v>0.13043478260869565</v>
      </c>
      <c r="K497" s="4">
        <f t="shared" si="53"/>
        <v>3</v>
      </c>
      <c r="L497" s="4">
        <f t="shared" si="54"/>
        <v>23</v>
      </c>
      <c r="M497" s="4" t="s">
        <v>519</v>
      </c>
      <c r="N497" s="4">
        <f t="shared" si="55"/>
        <v>1</v>
      </c>
    </row>
    <row r="498" spans="1:14">
      <c r="A498" s="4">
        <v>32</v>
      </c>
      <c r="B498" s="4" t="s">
        <v>550</v>
      </c>
      <c r="C498" s="4" t="s">
        <v>73</v>
      </c>
      <c r="D498" s="4" t="s">
        <v>73</v>
      </c>
      <c r="E498" s="4" t="str">
        <f t="shared" si="49"/>
        <v>32|A|A</v>
      </c>
      <c r="F498" s="12">
        <v>0</v>
      </c>
      <c r="G498" s="4">
        <f t="shared" si="50"/>
        <v>6</v>
      </c>
      <c r="H498" s="12">
        <v>1</v>
      </c>
      <c r="I498" s="14">
        <f t="shared" si="51"/>
        <v>0</v>
      </c>
      <c r="J498" s="14">
        <f t="shared" si="52"/>
        <v>0.1</v>
      </c>
      <c r="K498" s="4">
        <f t="shared" si="53"/>
        <v>1</v>
      </c>
      <c r="L498" s="4">
        <f t="shared" si="54"/>
        <v>10</v>
      </c>
      <c r="M498" s="4" t="s">
        <v>519</v>
      </c>
      <c r="N498" s="4">
        <f t="shared" si="55"/>
        <v>1</v>
      </c>
    </row>
    <row r="499" spans="1:14">
      <c r="A499" s="4">
        <v>32</v>
      </c>
      <c r="B499" s="4" t="s">
        <v>550</v>
      </c>
      <c r="C499" s="4" t="s">
        <v>73</v>
      </c>
      <c r="D499" s="4" t="s">
        <v>71</v>
      </c>
      <c r="E499" s="4" t="str">
        <f t="shared" si="49"/>
        <v>32|A|C</v>
      </c>
      <c r="F499" s="12">
        <v>0</v>
      </c>
      <c r="G499" s="4">
        <f t="shared" si="50"/>
        <v>6</v>
      </c>
      <c r="H499" s="12">
        <v>1</v>
      </c>
      <c r="I499" s="14">
        <f t="shared" si="51"/>
        <v>0</v>
      </c>
      <c r="J499" s="14">
        <f t="shared" si="52"/>
        <v>0.1</v>
      </c>
      <c r="K499" s="4">
        <f t="shared" si="53"/>
        <v>1</v>
      </c>
      <c r="L499" s="4">
        <f t="shared" si="54"/>
        <v>10</v>
      </c>
      <c r="M499" s="4" t="s">
        <v>519</v>
      </c>
      <c r="N499" s="4">
        <f t="shared" si="55"/>
        <v>1</v>
      </c>
    </row>
    <row r="500" spans="1:14">
      <c r="A500" s="4">
        <v>32</v>
      </c>
      <c r="B500" s="4" t="s">
        <v>550</v>
      </c>
      <c r="C500" s="4" t="s">
        <v>73</v>
      </c>
      <c r="D500" s="4" t="s">
        <v>70</v>
      </c>
      <c r="E500" s="4" t="str">
        <f t="shared" si="49"/>
        <v>32|A|G</v>
      </c>
      <c r="F500" s="12">
        <v>0</v>
      </c>
      <c r="G500" s="4">
        <f t="shared" si="50"/>
        <v>6</v>
      </c>
      <c r="H500" s="12">
        <v>1</v>
      </c>
      <c r="I500" s="14">
        <f t="shared" si="51"/>
        <v>0</v>
      </c>
      <c r="J500" s="14">
        <f t="shared" si="52"/>
        <v>0.1</v>
      </c>
      <c r="K500" s="4">
        <f t="shared" si="53"/>
        <v>1</v>
      </c>
      <c r="L500" s="4">
        <f t="shared" si="54"/>
        <v>10</v>
      </c>
      <c r="M500" s="4" t="s">
        <v>519</v>
      </c>
      <c r="N500" s="4">
        <f t="shared" si="55"/>
        <v>1</v>
      </c>
    </row>
    <row r="501" spans="1:14">
      <c r="A501" s="4">
        <v>32</v>
      </c>
      <c r="B501" s="4" t="s">
        <v>550</v>
      </c>
      <c r="C501" s="4" t="s">
        <v>73</v>
      </c>
      <c r="D501" s="4" t="s">
        <v>72</v>
      </c>
      <c r="E501" s="4" t="str">
        <f t="shared" si="49"/>
        <v>32|A|U</v>
      </c>
      <c r="F501" s="12">
        <v>6</v>
      </c>
      <c r="G501" s="4">
        <f t="shared" si="50"/>
        <v>6</v>
      </c>
      <c r="H501" s="12">
        <v>1</v>
      </c>
      <c r="I501" s="14">
        <f t="shared" si="51"/>
        <v>1</v>
      </c>
      <c r="J501" s="14">
        <f t="shared" si="52"/>
        <v>0.7</v>
      </c>
      <c r="K501" s="4">
        <f t="shared" si="53"/>
        <v>7</v>
      </c>
      <c r="L501" s="4">
        <f t="shared" si="54"/>
        <v>10</v>
      </c>
      <c r="M501" s="4" t="s">
        <v>519</v>
      </c>
      <c r="N501" s="4">
        <f t="shared" si="55"/>
        <v>1</v>
      </c>
    </row>
    <row r="502" spans="1:14">
      <c r="A502" s="4">
        <v>32</v>
      </c>
      <c r="B502" s="4" t="s">
        <v>550</v>
      </c>
      <c r="C502" s="4" t="s">
        <v>71</v>
      </c>
      <c r="D502" s="4" t="s">
        <v>73</v>
      </c>
      <c r="E502" s="4" t="str">
        <f t="shared" si="49"/>
        <v>32|C|A</v>
      </c>
      <c r="F502" s="12">
        <v>0</v>
      </c>
      <c r="G502" s="4">
        <f t="shared" si="50"/>
        <v>135</v>
      </c>
      <c r="H502" s="12">
        <v>1</v>
      </c>
      <c r="I502" s="14">
        <f t="shared" si="51"/>
        <v>0</v>
      </c>
      <c r="J502" s="14">
        <f t="shared" si="52"/>
        <v>7.1942446043165471E-3</v>
      </c>
      <c r="K502" s="4">
        <f t="shared" si="53"/>
        <v>1</v>
      </c>
      <c r="L502" s="4">
        <f t="shared" si="54"/>
        <v>139</v>
      </c>
      <c r="M502" s="4" t="s">
        <v>519</v>
      </c>
      <c r="N502" s="4">
        <f t="shared" si="55"/>
        <v>1</v>
      </c>
    </row>
    <row r="503" spans="1:14">
      <c r="A503" s="4">
        <v>32</v>
      </c>
      <c r="B503" s="4" t="s">
        <v>550</v>
      </c>
      <c r="C503" s="4" t="s">
        <v>71</v>
      </c>
      <c r="D503" s="4" t="s">
        <v>71</v>
      </c>
      <c r="E503" s="4" t="str">
        <f t="shared" si="49"/>
        <v>32|C|C</v>
      </c>
      <c r="F503" s="12">
        <v>1</v>
      </c>
      <c r="G503" s="4">
        <f t="shared" si="50"/>
        <v>135</v>
      </c>
      <c r="H503" s="12">
        <v>1</v>
      </c>
      <c r="I503" s="14">
        <f t="shared" si="51"/>
        <v>7.4074074074074077E-3</v>
      </c>
      <c r="J503" s="14">
        <f t="shared" si="52"/>
        <v>1.4388489208633094E-2</v>
      </c>
      <c r="K503" s="4">
        <f t="shared" si="53"/>
        <v>2</v>
      </c>
      <c r="L503" s="4">
        <f t="shared" si="54"/>
        <v>139</v>
      </c>
      <c r="M503" s="4" t="s">
        <v>519</v>
      </c>
      <c r="N503" s="4">
        <f t="shared" si="55"/>
        <v>1</v>
      </c>
    </row>
    <row r="504" spans="1:14">
      <c r="A504" s="4">
        <v>32</v>
      </c>
      <c r="B504" s="4" t="s">
        <v>550</v>
      </c>
      <c r="C504" s="4" t="s">
        <v>71</v>
      </c>
      <c r="D504" s="4" t="s">
        <v>70</v>
      </c>
      <c r="E504" s="4" t="str">
        <f t="shared" si="49"/>
        <v>32|C|G</v>
      </c>
      <c r="F504" s="12">
        <v>0</v>
      </c>
      <c r="G504" s="4">
        <f t="shared" si="50"/>
        <v>135</v>
      </c>
      <c r="H504" s="12">
        <v>1</v>
      </c>
      <c r="I504" s="14">
        <f t="shared" si="51"/>
        <v>0</v>
      </c>
      <c r="J504" s="14">
        <f t="shared" si="52"/>
        <v>7.1942446043165471E-3</v>
      </c>
      <c r="K504" s="4">
        <f t="shared" si="53"/>
        <v>1</v>
      </c>
      <c r="L504" s="4">
        <f t="shared" si="54"/>
        <v>139</v>
      </c>
      <c r="M504" s="4" t="s">
        <v>519</v>
      </c>
      <c r="N504" s="4">
        <f t="shared" si="55"/>
        <v>1</v>
      </c>
    </row>
    <row r="505" spans="1:14">
      <c r="A505" s="4">
        <v>32</v>
      </c>
      <c r="B505" s="4" t="s">
        <v>550</v>
      </c>
      <c r="C505" s="4" t="s">
        <v>71</v>
      </c>
      <c r="D505" s="4" t="s">
        <v>72</v>
      </c>
      <c r="E505" s="4" t="str">
        <f t="shared" si="49"/>
        <v>32|C|U</v>
      </c>
      <c r="F505" s="12">
        <v>134</v>
      </c>
      <c r="G505" s="4">
        <f t="shared" si="50"/>
        <v>135</v>
      </c>
      <c r="H505" s="12">
        <v>1</v>
      </c>
      <c r="I505" s="14">
        <f t="shared" si="51"/>
        <v>0.99259259259259258</v>
      </c>
      <c r="J505" s="14">
        <f t="shared" si="52"/>
        <v>0.97122302158273377</v>
      </c>
      <c r="K505" s="4">
        <f t="shared" si="53"/>
        <v>135</v>
      </c>
      <c r="L505" s="4">
        <f t="shared" si="54"/>
        <v>139</v>
      </c>
      <c r="M505" s="4" t="s">
        <v>519</v>
      </c>
      <c r="N505" s="4">
        <f t="shared" si="55"/>
        <v>1</v>
      </c>
    </row>
    <row r="506" spans="1:14">
      <c r="A506" s="4">
        <v>32</v>
      </c>
      <c r="B506" s="4" t="s">
        <v>550</v>
      </c>
      <c r="C506" s="4" t="s">
        <v>70</v>
      </c>
      <c r="D506" s="4" t="s">
        <v>73</v>
      </c>
      <c r="E506" s="4" t="str">
        <f t="shared" si="49"/>
        <v>32|G|A</v>
      </c>
      <c r="F506" s="12">
        <v>0</v>
      </c>
      <c r="G506" s="4">
        <f t="shared" si="50"/>
        <v>0</v>
      </c>
      <c r="H506" s="12">
        <v>1</v>
      </c>
      <c r="I506" s="14" t="str">
        <f t="shared" si="51"/>
        <v/>
      </c>
      <c r="J506" s="14">
        <f t="shared" si="52"/>
        <v>0.25</v>
      </c>
      <c r="K506" s="4">
        <f t="shared" si="53"/>
        <v>1</v>
      </c>
      <c r="L506" s="4">
        <f t="shared" si="54"/>
        <v>4</v>
      </c>
      <c r="M506" s="4" t="s">
        <v>519</v>
      </c>
      <c r="N506" s="4">
        <f t="shared" si="55"/>
        <v>1</v>
      </c>
    </row>
    <row r="507" spans="1:14">
      <c r="A507" s="4">
        <v>32</v>
      </c>
      <c r="B507" s="4" t="s">
        <v>550</v>
      </c>
      <c r="C507" s="4" t="s">
        <v>70</v>
      </c>
      <c r="D507" s="4" t="s">
        <v>71</v>
      </c>
      <c r="E507" s="4" t="str">
        <f t="shared" si="49"/>
        <v>32|G|C</v>
      </c>
      <c r="F507" s="12">
        <v>0</v>
      </c>
      <c r="G507" s="4">
        <f t="shared" si="50"/>
        <v>0</v>
      </c>
      <c r="H507" s="12">
        <v>1</v>
      </c>
      <c r="I507" s="14" t="str">
        <f t="shared" si="51"/>
        <v/>
      </c>
      <c r="J507" s="14">
        <f t="shared" si="52"/>
        <v>0.25</v>
      </c>
      <c r="K507" s="4">
        <f t="shared" si="53"/>
        <v>1</v>
      </c>
      <c r="L507" s="4">
        <f t="shared" si="54"/>
        <v>4</v>
      </c>
      <c r="M507" s="4" t="s">
        <v>519</v>
      </c>
      <c r="N507" s="4">
        <f t="shared" si="55"/>
        <v>1</v>
      </c>
    </row>
    <row r="508" spans="1:14">
      <c r="A508" s="4">
        <v>32</v>
      </c>
      <c r="B508" s="4" t="s">
        <v>550</v>
      </c>
      <c r="C508" s="4" t="s">
        <v>70</v>
      </c>
      <c r="D508" s="4" t="s">
        <v>70</v>
      </c>
      <c r="E508" s="4" t="str">
        <f t="shared" si="49"/>
        <v>32|G|G</v>
      </c>
      <c r="F508" s="12">
        <v>0</v>
      </c>
      <c r="G508" s="4">
        <f t="shared" si="50"/>
        <v>0</v>
      </c>
      <c r="H508" s="12">
        <v>1</v>
      </c>
      <c r="I508" s="14" t="str">
        <f t="shared" si="51"/>
        <v/>
      </c>
      <c r="J508" s="14">
        <f t="shared" si="52"/>
        <v>0.25</v>
      </c>
      <c r="K508" s="4">
        <f t="shared" si="53"/>
        <v>1</v>
      </c>
      <c r="L508" s="4">
        <f t="shared" si="54"/>
        <v>4</v>
      </c>
      <c r="M508" s="4" t="s">
        <v>519</v>
      </c>
      <c r="N508" s="4">
        <f t="shared" si="55"/>
        <v>1</v>
      </c>
    </row>
    <row r="509" spans="1:14">
      <c r="A509" s="4">
        <v>32</v>
      </c>
      <c r="B509" s="4" t="s">
        <v>550</v>
      </c>
      <c r="C509" s="4" t="s">
        <v>70</v>
      </c>
      <c r="D509" s="4" t="s">
        <v>72</v>
      </c>
      <c r="E509" s="4" t="str">
        <f t="shared" si="49"/>
        <v>32|G|U</v>
      </c>
      <c r="F509" s="12">
        <v>0</v>
      </c>
      <c r="G509" s="4">
        <f t="shared" si="50"/>
        <v>0</v>
      </c>
      <c r="H509" s="12">
        <v>1</v>
      </c>
      <c r="I509" s="14" t="str">
        <f t="shared" si="51"/>
        <v/>
      </c>
      <c r="J509" s="14">
        <f t="shared" si="52"/>
        <v>0.25</v>
      </c>
      <c r="K509" s="4">
        <f t="shared" si="53"/>
        <v>1</v>
      </c>
      <c r="L509" s="4">
        <f t="shared" si="54"/>
        <v>4</v>
      </c>
      <c r="M509" s="4" t="s">
        <v>519</v>
      </c>
      <c r="N509" s="4">
        <f t="shared" si="55"/>
        <v>1</v>
      </c>
    </row>
    <row r="510" spans="1:14">
      <c r="A510" s="4">
        <v>32</v>
      </c>
      <c r="B510" s="4" t="s">
        <v>550</v>
      </c>
      <c r="C510" s="4" t="s">
        <v>72</v>
      </c>
      <c r="D510" s="4" t="s">
        <v>73</v>
      </c>
      <c r="E510" s="4" t="str">
        <f t="shared" si="49"/>
        <v>32|U|A</v>
      </c>
      <c r="F510" s="12">
        <v>1</v>
      </c>
      <c r="G510" s="4">
        <f t="shared" si="50"/>
        <v>59</v>
      </c>
      <c r="H510" s="12">
        <v>1</v>
      </c>
      <c r="I510" s="14">
        <f t="shared" si="51"/>
        <v>1.6949152542372881E-2</v>
      </c>
      <c r="J510" s="14">
        <f t="shared" si="52"/>
        <v>3.1746031746031744E-2</v>
      </c>
      <c r="K510" s="4">
        <f t="shared" si="53"/>
        <v>2</v>
      </c>
      <c r="L510" s="4">
        <f t="shared" si="54"/>
        <v>63</v>
      </c>
      <c r="M510" s="4" t="s">
        <v>519</v>
      </c>
      <c r="N510" s="4">
        <f t="shared" si="55"/>
        <v>1</v>
      </c>
    </row>
    <row r="511" spans="1:14">
      <c r="A511" s="4">
        <v>32</v>
      </c>
      <c r="B511" s="4" t="s">
        <v>550</v>
      </c>
      <c r="C511" s="4" t="s">
        <v>72</v>
      </c>
      <c r="D511" s="4" t="s">
        <v>71</v>
      </c>
      <c r="E511" s="4" t="str">
        <f t="shared" si="49"/>
        <v>32|U|C</v>
      </c>
      <c r="F511" s="12">
        <v>0</v>
      </c>
      <c r="G511" s="4">
        <f t="shared" si="50"/>
        <v>59</v>
      </c>
      <c r="H511" s="12">
        <v>1</v>
      </c>
      <c r="I511" s="14">
        <f t="shared" si="51"/>
        <v>0</v>
      </c>
      <c r="J511" s="14">
        <f t="shared" si="52"/>
        <v>1.5873015873015872E-2</v>
      </c>
      <c r="K511" s="4">
        <f t="shared" si="53"/>
        <v>1</v>
      </c>
      <c r="L511" s="4">
        <f t="shared" si="54"/>
        <v>63</v>
      </c>
      <c r="M511" s="4" t="s">
        <v>519</v>
      </c>
      <c r="N511" s="4">
        <f t="shared" si="55"/>
        <v>1</v>
      </c>
    </row>
    <row r="512" spans="1:14">
      <c r="A512" s="4">
        <v>32</v>
      </c>
      <c r="B512" s="4" t="s">
        <v>550</v>
      </c>
      <c r="C512" s="4" t="s">
        <v>72</v>
      </c>
      <c r="D512" s="4" t="s">
        <v>70</v>
      </c>
      <c r="E512" s="4" t="str">
        <f t="shared" si="49"/>
        <v>32|U|G</v>
      </c>
      <c r="F512" s="12">
        <v>0</v>
      </c>
      <c r="G512" s="4">
        <f t="shared" si="50"/>
        <v>59</v>
      </c>
      <c r="H512" s="12">
        <v>1</v>
      </c>
      <c r="I512" s="14">
        <f t="shared" si="51"/>
        <v>0</v>
      </c>
      <c r="J512" s="14">
        <f t="shared" si="52"/>
        <v>1.5873015873015872E-2</v>
      </c>
      <c r="K512" s="4">
        <f t="shared" si="53"/>
        <v>1</v>
      </c>
      <c r="L512" s="4">
        <f t="shared" si="54"/>
        <v>63</v>
      </c>
      <c r="M512" s="4" t="s">
        <v>519</v>
      </c>
      <c r="N512" s="4">
        <f t="shared" si="55"/>
        <v>1</v>
      </c>
    </row>
    <row r="513" spans="1:14">
      <c r="A513" s="4">
        <v>32</v>
      </c>
      <c r="B513" s="4" t="s">
        <v>550</v>
      </c>
      <c r="C513" s="4" t="s">
        <v>72</v>
      </c>
      <c r="D513" s="4" t="s">
        <v>72</v>
      </c>
      <c r="E513" s="4" t="str">
        <f t="shared" si="49"/>
        <v>32|U|U</v>
      </c>
      <c r="F513" s="12">
        <v>58</v>
      </c>
      <c r="G513" s="4">
        <f t="shared" si="50"/>
        <v>59</v>
      </c>
      <c r="H513" s="12">
        <v>1</v>
      </c>
      <c r="I513" s="14">
        <f t="shared" si="51"/>
        <v>0.98305084745762716</v>
      </c>
      <c r="J513" s="14">
        <f t="shared" si="52"/>
        <v>0.93650793650793651</v>
      </c>
      <c r="K513" s="4">
        <f t="shared" si="53"/>
        <v>59</v>
      </c>
      <c r="L513" s="4">
        <f t="shared" si="54"/>
        <v>63</v>
      </c>
      <c r="M513" s="4" t="s">
        <v>519</v>
      </c>
      <c r="N513" s="4">
        <f t="shared" si="55"/>
        <v>1</v>
      </c>
    </row>
    <row r="514" spans="1:14">
      <c r="A514" s="4">
        <v>33</v>
      </c>
      <c r="B514" s="4" t="s">
        <v>551</v>
      </c>
      <c r="C514" s="4" t="s">
        <v>73</v>
      </c>
      <c r="D514" s="4" t="s">
        <v>73</v>
      </c>
      <c r="E514" s="4" t="str">
        <f t="shared" ref="E514:E577" si="56">A514&amp;"|"&amp;C514&amp;"|"&amp;D514</f>
        <v>33|A|A</v>
      </c>
      <c r="F514" s="12">
        <v>0</v>
      </c>
      <c r="G514" s="4">
        <f t="shared" ref="G514:G577" si="57">SUMIFS($F$2:$F$1137,$A$2:$A$1137,A514,$C$2:$C$1137,C514)</f>
        <v>1</v>
      </c>
      <c r="H514" s="12">
        <v>1</v>
      </c>
      <c r="I514" s="14">
        <f t="shared" ref="I514:I577" si="58">IF(G514=0,"",F514/G514)</f>
        <v>0</v>
      </c>
      <c r="J514" s="14">
        <f t="shared" ref="J514:J577" si="59">K514/L514</f>
        <v>0.2</v>
      </c>
      <c r="K514" s="4">
        <f t="shared" ref="K514:K577" si="60">F514+H514</f>
        <v>1</v>
      </c>
      <c r="L514" s="4">
        <f t="shared" ref="L514:L577" si="61">G514+4*H514</f>
        <v>5</v>
      </c>
      <c r="M514" s="4" t="s">
        <v>519</v>
      </c>
      <c r="N514" s="4">
        <f t="shared" ref="N514:N577" si="62">ROUND(SUMIFS($J$2:$J$1137,$A$2:$A$1137,A514,$C$2:$C$1137,C514),9)</f>
        <v>1</v>
      </c>
    </row>
    <row r="515" spans="1:14">
      <c r="A515" s="4">
        <v>33</v>
      </c>
      <c r="B515" s="4" t="s">
        <v>551</v>
      </c>
      <c r="C515" s="4" t="s">
        <v>73</v>
      </c>
      <c r="D515" s="4" t="s">
        <v>71</v>
      </c>
      <c r="E515" s="4" t="str">
        <f t="shared" si="56"/>
        <v>33|A|C</v>
      </c>
      <c r="F515" s="12">
        <v>1</v>
      </c>
      <c r="G515" s="4">
        <f t="shared" si="57"/>
        <v>1</v>
      </c>
      <c r="H515" s="12">
        <v>1</v>
      </c>
      <c r="I515" s="14">
        <f t="shared" si="58"/>
        <v>1</v>
      </c>
      <c r="J515" s="14">
        <f t="shared" si="59"/>
        <v>0.4</v>
      </c>
      <c r="K515" s="4">
        <f t="shared" si="60"/>
        <v>2</v>
      </c>
      <c r="L515" s="4">
        <f t="shared" si="61"/>
        <v>5</v>
      </c>
      <c r="M515" s="4" t="s">
        <v>519</v>
      </c>
      <c r="N515" s="4">
        <f t="shared" si="62"/>
        <v>1</v>
      </c>
    </row>
    <row r="516" spans="1:14">
      <c r="A516" s="4">
        <v>33</v>
      </c>
      <c r="B516" s="4" t="s">
        <v>551</v>
      </c>
      <c r="C516" s="4" t="s">
        <v>73</v>
      </c>
      <c r="D516" s="4" t="s">
        <v>70</v>
      </c>
      <c r="E516" s="4" t="str">
        <f t="shared" si="56"/>
        <v>33|A|G</v>
      </c>
      <c r="F516" s="12">
        <v>0</v>
      </c>
      <c r="G516" s="4">
        <f t="shared" si="57"/>
        <v>1</v>
      </c>
      <c r="H516" s="12">
        <v>1</v>
      </c>
      <c r="I516" s="14">
        <f t="shared" si="58"/>
        <v>0</v>
      </c>
      <c r="J516" s="14">
        <f t="shared" si="59"/>
        <v>0.2</v>
      </c>
      <c r="K516" s="4">
        <f t="shared" si="60"/>
        <v>1</v>
      </c>
      <c r="L516" s="4">
        <f t="shared" si="61"/>
        <v>5</v>
      </c>
      <c r="M516" s="4" t="s">
        <v>519</v>
      </c>
      <c r="N516" s="4">
        <f t="shared" si="62"/>
        <v>1</v>
      </c>
    </row>
    <row r="517" spans="1:14">
      <c r="A517" s="4">
        <v>33</v>
      </c>
      <c r="B517" s="4" t="s">
        <v>551</v>
      </c>
      <c r="C517" s="4" t="s">
        <v>73</v>
      </c>
      <c r="D517" s="4" t="s">
        <v>72</v>
      </c>
      <c r="E517" s="4" t="str">
        <f t="shared" si="56"/>
        <v>33|A|U</v>
      </c>
      <c r="F517" s="12">
        <v>0</v>
      </c>
      <c r="G517" s="4">
        <f t="shared" si="57"/>
        <v>1</v>
      </c>
      <c r="H517" s="12">
        <v>1</v>
      </c>
      <c r="I517" s="14">
        <f t="shared" si="58"/>
        <v>0</v>
      </c>
      <c r="J517" s="14">
        <f t="shared" si="59"/>
        <v>0.2</v>
      </c>
      <c r="K517" s="4">
        <f t="shared" si="60"/>
        <v>1</v>
      </c>
      <c r="L517" s="4">
        <f t="shared" si="61"/>
        <v>5</v>
      </c>
      <c r="M517" s="4" t="s">
        <v>519</v>
      </c>
      <c r="N517" s="4">
        <f t="shared" si="62"/>
        <v>1</v>
      </c>
    </row>
    <row r="518" spans="1:14">
      <c r="A518" s="4">
        <v>33</v>
      </c>
      <c r="B518" s="4" t="s">
        <v>551</v>
      </c>
      <c r="C518" s="4" t="s">
        <v>71</v>
      </c>
      <c r="D518" s="4" t="s">
        <v>73</v>
      </c>
      <c r="E518" s="4" t="str">
        <f t="shared" si="56"/>
        <v>33|C|A</v>
      </c>
      <c r="F518" s="12">
        <v>0</v>
      </c>
      <c r="G518" s="4">
        <f t="shared" si="57"/>
        <v>1</v>
      </c>
      <c r="H518" s="12">
        <v>1</v>
      </c>
      <c r="I518" s="14">
        <f t="shared" si="58"/>
        <v>0</v>
      </c>
      <c r="J518" s="14">
        <f t="shared" si="59"/>
        <v>0.2</v>
      </c>
      <c r="K518" s="4">
        <f t="shared" si="60"/>
        <v>1</v>
      </c>
      <c r="L518" s="4">
        <f t="shared" si="61"/>
        <v>5</v>
      </c>
      <c r="M518" s="4" t="s">
        <v>519</v>
      </c>
      <c r="N518" s="4">
        <f t="shared" si="62"/>
        <v>1</v>
      </c>
    </row>
    <row r="519" spans="1:14">
      <c r="A519" s="4">
        <v>33</v>
      </c>
      <c r="B519" s="4" t="s">
        <v>551</v>
      </c>
      <c r="C519" s="4" t="s">
        <v>71</v>
      </c>
      <c r="D519" s="4" t="s">
        <v>71</v>
      </c>
      <c r="E519" s="4" t="str">
        <f t="shared" si="56"/>
        <v>33|C|C</v>
      </c>
      <c r="F519" s="12">
        <v>1</v>
      </c>
      <c r="G519" s="4">
        <f t="shared" si="57"/>
        <v>1</v>
      </c>
      <c r="H519" s="12">
        <v>1</v>
      </c>
      <c r="I519" s="14">
        <f t="shared" si="58"/>
        <v>1</v>
      </c>
      <c r="J519" s="14">
        <f t="shared" si="59"/>
        <v>0.4</v>
      </c>
      <c r="K519" s="4">
        <f t="shared" si="60"/>
        <v>2</v>
      </c>
      <c r="L519" s="4">
        <f t="shared" si="61"/>
        <v>5</v>
      </c>
      <c r="M519" s="4" t="s">
        <v>519</v>
      </c>
      <c r="N519" s="4">
        <f t="shared" si="62"/>
        <v>1</v>
      </c>
    </row>
    <row r="520" spans="1:14">
      <c r="A520" s="4">
        <v>33</v>
      </c>
      <c r="B520" s="4" t="s">
        <v>551</v>
      </c>
      <c r="C520" s="4" t="s">
        <v>71</v>
      </c>
      <c r="D520" s="4" t="s">
        <v>70</v>
      </c>
      <c r="E520" s="4" t="str">
        <f t="shared" si="56"/>
        <v>33|C|G</v>
      </c>
      <c r="F520" s="12">
        <v>0</v>
      </c>
      <c r="G520" s="4">
        <f t="shared" si="57"/>
        <v>1</v>
      </c>
      <c r="H520" s="12">
        <v>1</v>
      </c>
      <c r="I520" s="14">
        <f t="shared" si="58"/>
        <v>0</v>
      </c>
      <c r="J520" s="14">
        <f t="shared" si="59"/>
        <v>0.2</v>
      </c>
      <c r="K520" s="4">
        <f t="shared" si="60"/>
        <v>1</v>
      </c>
      <c r="L520" s="4">
        <f t="shared" si="61"/>
        <v>5</v>
      </c>
      <c r="M520" s="4" t="s">
        <v>519</v>
      </c>
      <c r="N520" s="4">
        <f t="shared" si="62"/>
        <v>1</v>
      </c>
    </row>
    <row r="521" spans="1:14">
      <c r="A521" s="4">
        <v>33</v>
      </c>
      <c r="B521" s="4" t="s">
        <v>551</v>
      </c>
      <c r="C521" s="4" t="s">
        <v>71</v>
      </c>
      <c r="D521" s="4" t="s">
        <v>72</v>
      </c>
      <c r="E521" s="4" t="str">
        <f t="shared" si="56"/>
        <v>33|C|U</v>
      </c>
      <c r="F521" s="12">
        <v>0</v>
      </c>
      <c r="G521" s="4">
        <f t="shared" si="57"/>
        <v>1</v>
      </c>
      <c r="H521" s="12">
        <v>1</v>
      </c>
      <c r="I521" s="14">
        <f t="shared" si="58"/>
        <v>0</v>
      </c>
      <c r="J521" s="14">
        <f t="shared" si="59"/>
        <v>0.2</v>
      </c>
      <c r="K521" s="4">
        <f t="shared" si="60"/>
        <v>1</v>
      </c>
      <c r="L521" s="4">
        <f t="shared" si="61"/>
        <v>5</v>
      </c>
      <c r="M521" s="4" t="s">
        <v>519</v>
      </c>
      <c r="N521" s="4">
        <f t="shared" si="62"/>
        <v>1</v>
      </c>
    </row>
    <row r="522" spans="1:14">
      <c r="A522" s="4">
        <v>33</v>
      </c>
      <c r="B522" s="4" t="s">
        <v>551</v>
      </c>
      <c r="C522" s="4" t="s">
        <v>70</v>
      </c>
      <c r="D522" s="4" t="s">
        <v>73</v>
      </c>
      <c r="E522" s="4" t="str">
        <f t="shared" si="56"/>
        <v>33|G|A</v>
      </c>
      <c r="F522" s="12">
        <v>0</v>
      </c>
      <c r="G522" s="4">
        <f t="shared" si="57"/>
        <v>0</v>
      </c>
      <c r="H522" s="12">
        <v>1</v>
      </c>
      <c r="I522" s="14" t="str">
        <f t="shared" si="58"/>
        <v/>
      </c>
      <c r="J522" s="14">
        <f t="shared" si="59"/>
        <v>0.25</v>
      </c>
      <c r="K522" s="4">
        <f t="shared" si="60"/>
        <v>1</v>
      </c>
      <c r="L522" s="4">
        <f t="shared" si="61"/>
        <v>4</v>
      </c>
      <c r="M522" s="4" t="s">
        <v>519</v>
      </c>
      <c r="N522" s="4">
        <f t="shared" si="62"/>
        <v>1</v>
      </c>
    </row>
    <row r="523" spans="1:14">
      <c r="A523" s="4">
        <v>33</v>
      </c>
      <c r="B523" s="4" t="s">
        <v>551</v>
      </c>
      <c r="C523" s="4" t="s">
        <v>70</v>
      </c>
      <c r="D523" s="4" t="s">
        <v>71</v>
      </c>
      <c r="E523" s="4" t="str">
        <f t="shared" si="56"/>
        <v>33|G|C</v>
      </c>
      <c r="F523" s="12">
        <v>0</v>
      </c>
      <c r="G523" s="4">
        <f t="shared" si="57"/>
        <v>0</v>
      </c>
      <c r="H523" s="12">
        <v>1</v>
      </c>
      <c r="I523" s="14" t="str">
        <f t="shared" si="58"/>
        <v/>
      </c>
      <c r="J523" s="14">
        <f t="shared" si="59"/>
        <v>0.25</v>
      </c>
      <c r="K523" s="4">
        <f t="shared" si="60"/>
        <v>1</v>
      </c>
      <c r="L523" s="4">
        <f t="shared" si="61"/>
        <v>4</v>
      </c>
      <c r="M523" s="4" t="s">
        <v>519</v>
      </c>
      <c r="N523" s="4">
        <f t="shared" si="62"/>
        <v>1</v>
      </c>
    </row>
    <row r="524" spans="1:14">
      <c r="A524" s="4">
        <v>33</v>
      </c>
      <c r="B524" s="4" t="s">
        <v>551</v>
      </c>
      <c r="C524" s="4" t="s">
        <v>70</v>
      </c>
      <c r="D524" s="4" t="s">
        <v>70</v>
      </c>
      <c r="E524" s="4" t="str">
        <f t="shared" si="56"/>
        <v>33|G|G</v>
      </c>
      <c r="F524" s="12">
        <v>0</v>
      </c>
      <c r="G524" s="4">
        <f t="shared" si="57"/>
        <v>0</v>
      </c>
      <c r="H524" s="12">
        <v>1</v>
      </c>
      <c r="I524" s="14" t="str">
        <f t="shared" si="58"/>
        <v/>
      </c>
      <c r="J524" s="14">
        <f t="shared" si="59"/>
        <v>0.25</v>
      </c>
      <c r="K524" s="4">
        <f t="shared" si="60"/>
        <v>1</v>
      </c>
      <c r="L524" s="4">
        <f t="shared" si="61"/>
        <v>4</v>
      </c>
      <c r="M524" s="4" t="s">
        <v>519</v>
      </c>
      <c r="N524" s="4">
        <f t="shared" si="62"/>
        <v>1</v>
      </c>
    </row>
    <row r="525" spans="1:14">
      <c r="A525" s="4">
        <v>33</v>
      </c>
      <c r="B525" s="4" t="s">
        <v>551</v>
      </c>
      <c r="C525" s="4" t="s">
        <v>70</v>
      </c>
      <c r="D525" s="4" t="s">
        <v>72</v>
      </c>
      <c r="E525" s="4" t="str">
        <f t="shared" si="56"/>
        <v>33|G|U</v>
      </c>
      <c r="F525" s="12">
        <v>0</v>
      </c>
      <c r="G525" s="4">
        <f t="shared" si="57"/>
        <v>0</v>
      </c>
      <c r="H525" s="12">
        <v>1</v>
      </c>
      <c r="I525" s="14" t="str">
        <f t="shared" si="58"/>
        <v/>
      </c>
      <c r="J525" s="14">
        <f t="shared" si="59"/>
        <v>0.25</v>
      </c>
      <c r="K525" s="4">
        <f t="shared" si="60"/>
        <v>1</v>
      </c>
      <c r="L525" s="4">
        <f t="shared" si="61"/>
        <v>4</v>
      </c>
      <c r="M525" s="4" t="s">
        <v>519</v>
      </c>
      <c r="N525" s="4">
        <f t="shared" si="62"/>
        <v>1</v>
      </c>
    </row>
    <row r="526" spans="1:14">
      <c r="A526" s="4">
        <v>33</v>
      </c>
      <c r="B526" s="4" t="s">
        <v>551</v>
      </c>
      <c r="C526" s="4" t="s">
        <v>72</v>
      </c>
      <c r="D526" s="4" t="s">
        <v>73</v>
      </c>
      <c r="E526" s="4" t="str">
        <f t="shared" si="56"/>
        <v>33|U|A</v>
      </c>
      <c r="F526" s="12">
        <v>9</v>
      </c>
      <c r="G526" s="4">
        <f t="shared" si="57"/>
        <v>198</v>
      </c>
      <c r="H526" s="12">
        <v>1</v>
      </c>
      <c r="I526" s="14">
        <f t="shared" si="58"/>
        <v>4.5454545454545456E-2</v>
      </c>
      <c r="J526" s="14">
        <f t="shared" si="59"/>
        <v>4.9504950495049507E-2</v>
      </c>
      <c r="K526" s="4">
        <f t="shared" si="60"/>
        <v>10</v>
      </c>
      <c r="L526" s="4">
        <f t="shared" si="61"/>
        <v>202</v>
      </c>
      <c r="M526" s="4" t="s">
        <v>519</v>
      </c>
      <c r="N526" s="4">
        <f t="shared" si="62"/>
        <v>1</v>
      </c>
    </row>
    <row r="527" spans="1:14">
      <c r="A527" s="4">
        <v>33</v>
      </c>
      <c r="B527" s="4" t="s">
        <v>551</v>
      </c>
      <c r="C527" s="4" t="s">
        <v>72</v>
      </c>
      <c r="D527" s="4" t="s">
        <v>71</v>
      </c>
      <c r="E527" s="4" t="str">
        <f t="shared" si="56"/>
        <v>33|U|C</v>
      </c>
      <c r="F527" s="12">
        <v>64</v>
      </c>
      <c r="G527" s="4">
        <f t="shared" si="57"/>
        <v>198</v>
      </c>
      <c r="H527" s="12">
        <v>1</v>
      </c>
      <c r="I527" s="14">
        <f t="shared" si="58"/>
        <v>0.32323232323232326</v>
      </c>
      <c r="J527" s="14">
        <f t="shared" si="59"/>
        <v>0.32178217821782179</v>
      </c>
      <c r="K527" s="4">
        <f t="shared" si="60"/>
        <v>65</v>
      </c>
      <c r="L527" s="4">
        <f t="shared" si="61"/>
        <v>202</v>
      </c>
      <c r="M527" s="4" t="s">
        <v>519</v>
      </c>
      <c r="N527" s="4">
        <f t="shared" si="62"/>
        <v>1</v>
      </c>
    </row>
    <row r="528" spans="1:14">
      <c r="A528" s="4">
        <v>33</v>
      </c>
      <c r="B528" s="4" t="s">
        <v>551</v>
      </c>
      <c r="C528" s="4" t="s">
        <v>72</v>
      </c>
      <c r="D528" s="4" t="s">
        <v>70</v>
      </c>
      <c r="E528" s="4" t="str">
        <f t="shared" si="56"/>
        <v>33|U|G</v>
      </c>
      <c r="F528" s="12">
        <v>67</v>
      </c>
      <c r="G528" s="4">
        <f t="shared" si="57"/>
        <v>198</v>
      </c>
      <c r="H528" s="12">
        <v>1</v>
      </c>
      <c r="I528" s="14">
        <f t="shared" si="58"/>
        <v>0.3383838383838384</v>
      </c>
      <c r="J528" s="14">
        <f t="shared" si="59"/>
        <v>0.33663366336633666</v>
      </c>
      <c r="K528" s="4">
        <f t="shared" si="60"/>
        <v>68</v>
      </c>
      <c r="L528" s="4">
        <f t="shared" si="61"/>
        <v>202</v>
      </c>
      <c r="M528" s="4" t="s">
        <v>519</v>
      </c>
      <c r="N528" s="4">
        <f t="shared" si="62"/>
        <v>1</v>
      </c>
    </row>
    <row r="529" spans="1:14">
      <c r="A529" s="4">
        <v>33</v>
      </c>
      <c r="B529" s="4" t="s">
        <v>551</v>
      </c>
      <c r="C529" s="4" t="s">
        <v>72</v>
      </c>
      <c r="D529" s="4" t="s">
        <v>72</v>
      </c>
      <c r="E529" s="4" t="str">
        <f t="shared" si="56"/>
        <v>33|U|U</v>
      </c>
      <c r="F529" s="12">
        <v>58</v>
      </c>
      <c r="G529" s="4">
        <f t="shared" si="57"/>
        <v>198</v>
      </c>
      <c r="H529" s="12">
        <v>1</v>
      </c>
      <c r="I529" s="14">
        <f t="shared" si="58"/>
        <v>0.29292929292929293</v>
      </c>
      <c r="J529" s="14">
        <f t="shared" si="59"/>
        <v>0.29207920792079206</v>
      </c>
      <c r="K529" s="4">
        <f t="shared" si="60"/>
        <v>59</v>
      </c>
      <c r="L529" s="4">
        <f t="shared" si="61"/>
        <v>202</v>
      </c>
      <c r="M529" s="4" t="s">
        <v>519</v>
      </c>
      <c r="N529" s="4">
        <f t="shared" si="62"/>
        <v>1</v>
      </c>
    </row>
    <row r="530" spans="1:14">
      <c r="A530" s="4">
        <v>34</v>
      </c>
      <c r="B530" s="4" t="s">
        <v>552</v>
      </c>
      <c r="C530" s="4" t="s">
        <v>73</v>
      </c>
      <c r="D530" s="4" t="s">
        <v>73</v>
      </c>
      <c r="E530" s="4" t="str">
        <f t="shared" si="56"/>
        <v>34|A|A</v>
      </c>
      <c r="F530" s="12">
        <v>3</v>
      </c>
      <c r="G530" s="4">
        <f t="shared" si="57"/>
        <v>9</v>
      </c>
      <c r="H530" s="12">
        <v>1</v>
      </c>
      <c r="I530" s="14">
        <f t="shared" si="58"/>
        <v>0.33333333333333331</v>
      </c>
      <c r="J530" s="14">
        <f t="shared" si="59"/>
        <v>0.30769230769230771</v>
      </c>
      <c r="K530" s="4">
        <f t="shared" si="60"/>
        <v>4</v>
      </c>
      <c r="L530" s="4">
        <f t="shared" si="61"/>
        <v>13</v>
      </c>
      <c r="M530" s="4" t="s">
        <v>519</v>
      </c>
      <c r="N530" s="4">
        <f t="shared" si="62"/>
        <v>1</v>
      </c>
    </row>
    <row r="531" spans="1:14">
      <c r="A531" s="4">
        <v>34</v>
      </c>
      <c r="B531" s="4" t="s">
        <v>552</v>
      </c>
      <c r="C531" s="4" t="s">
        <v>73</v>
      </c>
      <c r="D531" s="4" t="s">
        <v>71</v>
      </c>
      <c r="E531" s="4" t="str">
        <f t="shared" si="56"/>
        <v>34|A|C</v>
      </c>
      <c r="F531" s="12">
        <v>2</v>
      </c>
      <c r="G531" s="4">
        <f t="shared" si="57"/>
        <v>9</v>
      </c>
      <c r="H531" s="12">
        <v>1</v>
      </c>
      <c r="I531" s="14">
        <f t="shared" si="58"/>
        <v>0.22222222222222221</v>
      </c>
      <c r="J531" s="14">
        <f t="shared" si="59"/>
        <v>0.23076923076923078</v>
      </c>
      <c r="K531" s="4">
        <f t="shared" si="60"/>
        <v>3</v>
      </c>
      <c r="L531" s="4">
        <f t="shared" si="61"/>
        <v>13</v>
      </c>
      <c r="M531" s="4" t="s">
        <v>519</v>
      </c>
      <c r="N531" s="4">
        <f t="shared" si="62"/>
        <v>1</v>
      </c>
    </row>
    <row r="532" spans="1:14">
      <c r="A532" s="4">
        <v>34</v>
      </c>
      <c r="B532" s="4" t="s">
        <v>552</v>
      </c>
      <c r="C532" s="4" t="s">
        <v>73</v>
      </c>
      <c r="D532" s="4" t="s">
        <v>70</v>
      </c>
      <c r="E532" s="4" t="str">
        <f t="shared" si="56"/>
        <v>34|A|G</v>
      </c>
      <c r="F532" s="12">
        <v>4</v>
      </c>
      <c r="G532" s="4">
        <f t="shared" si="57"/>
        <v>9</v>
      </c>
      <c r="H532" s="12">
        <v>1</v>
      </c>
      <c r="I532" s="14">
        <f t="shared" si="58"/>
        <v>0.44444444444444442</v>
      </c>
      <c r="J532" s="14">
        <f t="shared" si="59"/>
        <v>0.38461538461538464</v>
      </c>
      <c r="K532" s="4">
        <f t="shared" si="60"/>
        <v>5</v>
      </c>
      <c r="L532" s="4">
        <f t="shared" si="61"/>
        <v>13</v>
      </c>
      <c r="M532" s="4" t="s">
        <v>519</v>
      </c>
      <c r="N532" s="4">
        <f t="shared" si="62"/>
        <v>1</v>
      </c>
    </row>
    <row r="533" spans="1:14">
      <c r="A533" s="4">
        <v>34</v>
      </c>
      <c r="B533" s="4" t="s">
        <v>552</v>
      </c>
      <c r="C533" s="4" t="s">
        <v>73</v>
      </c>
      <c r="D533" s="4" t="s">
        <v>72</v>
      </c>
      <c r="E533" s="4" t="str">
        <f t="shared" si="56"/>
        <v>34|A|U</v>
      </c>
      <c r="F533" s="12">
        <v>0</v>
      </c>
      <c r="G533" s="4">
        <f t="shared" si="57"/>
        <v>9</v>
      </c>
      <c r="H533" s="12">
        <v>1</v>
      </c>
      <c r="I533" s="14">
        <f t="shared" si="58"/>
        <v>0</v>
      </c>
      <c r="J533" s="14">
        <f t="shared" si="59"/>
        <v>7.6923076923076927E-2</v>
      </c>
      <c r="K533" s="4">
        <f t="shared" si="60"/>
        <v>1</v>
      </c>
      <c r="L533" s="4">
        <f t="shared" si="61"/>
        <v>13</v>
      </c>
      <c r="M533" s="4" t="s">
        <v>519</v>
      </c>
      <c r="N533" s="4">
        <f t="shared" si="62"/>
        <v>1</v>
      </c>
    </row>
    <row r="534" spans="1:14">
      <c r="A534" s="4">
        <v>34</v>
      </c>
      <c r="B534" s="4" t="s">
        <v>552</v>
      </c>
      <c r="C534" s="4" t="s">
        <v>71</v>
      </c>
      <c r="D534" s="4" t="s">
        <v>73</v>
      </c>
      <c r="E534" s="4" t="str">
        <f t="shared" si="56"/>
        <v>34|C|A</v>
      </c>
      <c r="F534" s="12">
        <v>25</v>
      </c>
      <c r="G534" s="4">
        <f t="shared" si="57"/>
        <v>66</v>
      </c>
      <c r="H534" s="12">
        <v>1</v>
      </c>
      <c r="I534" s="14">
        <f t="shared" si="58"/>
        <v>0.37878787878787878</v>
      </c>
      <c r="J534" s="14">
        <f t="shared" si="59"/>
        <v>0.37142857142857144</v>
      </c>
      <c r="K534" s="4">
        <f t="shared" si="60"/>
        <v>26</v>
      </c>
      <c r="L534" s="4">
        <f t="shared" si="61"/>
        <v>70</v>
      </c>
      <c r="M534" s="4" t="s">
        <v>519</v>
      </c>
      <c r="N534" s="4">
        <f t="shared" si="62"/>
        <v>1</v>
      </c>
    </row>
    <row r="535" spans="1:14">
      <c r="A535" s="4">
        <v>34</v>
      </c>
      <c r="B535" s="4" t="s">
        <v>552</v>
      </c>
      <c r="C535" s="4" t="s">
        <v>71</v>
      </c>
      <c r="D535" s="4" t="s">
        <v>71</v>
      </c>
      <c r="E535" s="4" t="str">
        <f t="shared" si="56"/>
        <v>34|C|C</v>
      </c>
      <c r="F535" s="12">
        <v>18</v>
      </c>
      <c r="G535" s="4">
        <f t="shared" si="57"/>
        <v>66</v>
      </c>
      <c r="H535" s="12">
        <v>1</v>
      </c>
      <c r="I535" s="14">
        <f t="shared" si="58"/>
        <v>0.27272727272727271</v>
      </c>
      <c r="J535" s="14">
        <f t="shared" si="59"/>
        <v>0.27142857142857141</v>
      </c>
      <c r="K535" s="4">
        <f t="shared" si="60"/>
        <v>19</v>
      </c>
      <c r="L535" s="4">
        <f t="shared" si="61"/>
        <v>70</v>
      </c>
      <c r="M535" s="4" t="s">
        <v>519</v>
      </c>
      <c r="N535" s="4">
        <f t="shared" si="62"/>
        <v>1</v>
      </c>
    </row>
    <row r="536" spans="1:14">
      <c r="A536" s="4">
        <v>34</v>
      </c>
      <c r="B536" s="4" t="s">
        <v>552</v>
      </c>
      <c r="C536" s="4" t="s">
        <v>71</v>
      </c>
      <c r="D536" s="4" t="s">
        <v>70</v>
      </c>
      <c r="E536" s="4" t="str">
        <f t="shared" si="56"/>
        <v>34|C|G</v>
      </c>
      <c r="F536" s="12">
        <v>11</v>
      </c>
      <c r="G536" s="4">
        <f t="shared" si="57"/>
        <v>66</v>
      </c>
      <c r="H536" s="12">
        <v>1</v>
      </c>
      <c r="I536" s="14">
        <f t="shared" si="58"/>
        <v>0.16666666666666666</v>
      </c>
      <c r="J536" s="14">
        <f t="shared" si="59"/>
        <v>0.17142857142857143</v>
      </c>
      <c r="K536" s="4">
        <f t="shared" si="60"/>
        <v>12</v>
      </c>
      <c r="L536" s="4">
        <f t="shared" si="61"/>
        <v>70</v>
      </c>
      <c r="M536" s="4" t="s">
        <v>519</v>
      </c>
      <c r="N536" s="4">
        <f t="shared" si="62"/>
        <v>1</v>
      </c>
    </row>
    <row r="537" spans="1:14">
      <c r="A537" s="4">
        <v>34</v>
      </c>
      <c r="B537" s="4" t="s">
        <v>552</v>
      </c>
      <c r="C537" s="4" t="s">
        <v>71</v>
      </c>
      <c r="D537" s="4" t="s">
        <v>72</v>
      </c>
      <c r="E537" s="4" t="str">
        <f t="shared" si="56"/>
        <v>34|C|U</v>
      </c>
      <c r="F537" s="12">
        <v>12</v>
      </c>
      <c r="G537" s="4">
        <f t="shared" si="57"/>
        <v>66</v>
      </c>
      <c r="H537" s="12">
        <v>1</v>
      </c>
      <c r="I537" s="14">
        <f t="shared" si="58"/>
        <v>0.18181818181818182</v>
      </c>
      <c r="J537" s="14">
        <f t="shared" si="59"/>
        <v>0.18571428571428572</v>
      </c>
      <c r="K537" s="4">
        <f t="shared" si="60"/>
        <v>13</v>
      </c>
      <c r="L537" s="4">
        <f t="shared" si="61"/>
        <v>70</v>
      </c>
      <c r="M537" s="4" t="s">
        <v>519</v>
      </c>
      <c r="N537" s="4">
        <f t="shared" si="62"/>
        <v>1</v>
      </c>
    </row>
    <row r="538" spans="1:14">
      <c r="A538" s="4">
        <v>34</v>
      </c>
      <c r="B538" s="4" t="s">
        <v>552</v>
      </c>
      <c r="C538" s="4" t="s">
        <v>70</v>
      </c>
      <c r="D538" s="4" t="s">
        <v>73</v>
      </c>
      <c r="E538" s="4" t="str">
        <f t="shared" si="56"/>
        <v>34|G|A</v>
      </c>
      <c r="F538" s="12">
        <v>22</v>
      </c>
      <c r="G538" s="4">
        <f t="shared" si="57"/>
        <v>67</v>
      </c>
      <c r="H538" s="12">
        <v>1</v>
      </c>
      <c r="I538" s="14">
        <f t="shared" si="58"/>
        <v>0.32835820895522388</v>
      </c>
      <c r="J538" s="14">
        <f t="shared" si="59"/>
        <v>0.323943661971831</v>
      </c>
      <c r="K538" s="4">
        <f t="shared" si="60"/>
        <v>23</v>
      </c>
      <c r="L538" s="4">
        <f t="shared" si="61"/>
        <v>71</v>
      </c>
      <c r="M538" s="4" t="s">
        <v>519</v>
      </c>
      <c r="N538" s="4">
        <f t="shared" si="62"/>
        <v>1</v>
      </c>
    </row>
    <row r="539" spans="1:14">
      <c r="A539" s="4">
        <v>34</v>
      </c>
      <c r="B539" s="4" t="s">
        <v>552</v>
      </c>
      <c r="C539" s="4" t="s">
        <v>70</v>
      </c>
      <c r="D539" s="4" t="s">
        <v>71</v>
      </c>
      <c r="E539" s="4" t="str">
        <f t="shared" si="56"/>
        <v>34|G|C</v>
      </c>
      <c r="F539" s="12">
        <v>13</v>
      </c>
      <c r="G539" s="4">
        <f t="shared" si="57"/>
        <v>67</v>
      </c>
      <c r="H539" s="12">
        <v>1</v>
      </c>
      <c r="I539" s="14">
        <f t="shared" si="58"/>
        <v>0.19402985074626866</v>
      </c>
      <c r="J539" s="14">
        <f t="shared" si="59"/>
        <v>0.19718309859154928</v>
      </c>
      <c r="K539" s="4">
        <f t="shared" si="60"/>
        <v>14</v>
      </c>
      <c r="L539" s="4">
        <f t="shared" si="61"/>
        <v>71</v>
      </c>
      <c r="M539" s="4" t="s">
        <v>519</v>
      </c>
      <c r="N539" s="4">
        <f t="shared" si="62"/>
        <v>1</v>
      </c>
    </row>
    <row r="540" spans="1:14">
      <c r="A540" s="4">
        <v>34</v>
      </c>
      <c r="B540" s="4" t="s">
        <v>552</v>
      </c>
      <c r="C540" s="4" t="s">
        <v>70</v>
      </c>
      <c r="D540" s="4" t="s">
        <v>70</v>
      </c>
      <c r="E540" s="4" t="str">
        <f t="shared" si="56"/>
        <v>34|G|G</v>
      </c>
      <c r="F540" s="12">
        <v>13</v>
      </c>
      <c r="G540" s="4">
        <f t="shared" si="57"/>
        <v>67</v>
      </c>
      <c r="H540" s="12">
        <v>1</v>
      </c>
      <c r="I540" s="14">
        <f t="shared" si="58"/>
        <v>0.19402985074626866</v>
      </c>
      <c r="J540" s="14">
        <f t="shared" si="59"/>
        <v>0.19718309859154928</v>
      </c>
      <c r="K540" s="4">
        <f t="shared" si="60"/>
        <v>14</v>
      </c>
      <c r="L540" s="4">
        <f t="shared" si="61"/>
        <v>71</v>
      </c>
      <c r="M540" s="4" t="s">
        <v>519</v>
      </c>
      <c r="N540" s="4">
        <f t="shared" si="62"/>
        <v>1</v>
      </c>
    </row>
    <row r="541" spans="1:14">
      <c r="A541" s="4">
        <v>34</v>
      </c>
      <c r="B541" s="4" t="s">
        <v>552</v>
      </c>
      <c r="C541" s="4" t="s">
        <v>70</v>
      </c>
      <c r="D541" s="4" t="s">
        <v>72</v>
      </c>
      <c r="E541" s="4" t="str">
        <f t="shared" si="56"/>
        <v>34|G|U</v>
      </c>
      <c r="F541" s="12">
        <v>19</v>
      </c>
      <c r="G541" s="4">
        <f t="shared" si="57"/>
        <v>67</v>
      </c>
      <c r="H541" s="12">
        <v>1</v>
      </c>
      <c r="I541" s="14">
        <f t="shared" si="58"/>
        <v>0.28358208955223879</v>
      </c>
      <c r="J541" s="14">
        <f t="shared" si="59"/>
        <v>0.28169014084507044</v>
      </c>
      <c r="K541" s="4">
        <f t="shared" si="60"/>
        <v>20</v>
      </c>
      <c r="L541" s="4">
        <f t="shared" si="61"/>
        <v>71</v>
      </c>
      <c r="M541" s="4" t="s">
        <v>519</v>
      </c>
      <c r="N541" s="4">
        <f t="shared" si="62"/>
        <v>1</v>
      </c>
    </row>
    <row r="542" spans="1:14">
      <c r="A542" s="4">
        <v>34</v>
      </c>
      <c r="B542" s="4" t="s">
        <v>552</v>
      </c>
      <c r="C542" s="4" t="s">
        <v>72</v>
      </c>
      <c r="D542" s="4" t="s">
        <v>73</v>
      </c>
      <c r="E542" s="4" t="str">
        <f t="shared" si="56"/>
        <v>34|U|A</v>
      </c>
      <c r="F542" s="12">
        <v>12</v>
      </c>
      <c r="G542" s="4">
        <f t="shared" si="57"/>
        <v>58</v>
      </c>
      <c r="H542" s="12">
        <v>1</v>
      </c>
      <c r="I542" s="14">
        <f t="shared" si="58"/>
        <v>0.20689655172413793</v>
      </c>
      <c r="J542" s="14">
        <f t="shared" si="59"/>
        <v>0.20967741935483872</v>
      </c>
      <c r="K542" s="4">
        <f t="shared" si="60"/>
        <v>13</v>
      </c>
      <c r="L542" s="4">
        <f t="shared" si="61"/>
        <v>62</v>
      </c>
      <c r="M542" s="4" t="s">
        <v>519</v>
      </c>
      <c r="N542" s="4">
        <f t="shared" si="62"/>
        <v>1</v>
      </c>
    </row>
    <row r="543" spans="1:14">
      <c r="A543" s="4">
        <v>34</v>
      </c>
      <c r="B543" s="4" t="s">
        <v>552</v>
      </c>
      <c r="C543" s="4" t="s">
        <v>72</v>
      </c>
      <c r="D543" s="4" t="s">
        <v>71</v>
      </c>
      <c r="E543" s="4" t="str">
        <f t="shared" si="56"/>
        <v>34|U|C</v>
      </c>
      <c r="F543" s="12">
        <v>13</v>
      </c>
      <c r="G543" s="4">
        <f t="shared" si="57"/>
        <v>58</v>
      </c>
      <c r="H543" s="12">
        <v>1</v>
      </c>
      <c r="I543" s="14">
        <f t="shared" si="58"/>
        <v>0.22413793103448276</v>
      </c>
      <c r="J543" s="14">
        <f t="shared" si="59"/>
        <v>0.22580645161290322</v>
      </c>
      <c r="K543" s="4">
        <f t="shared" si="60"/>
        <v>14</v>
      </c>
      <c r="L543" s="4">
        <f t="shared" si="61"/>
        <v>62</v>
      </c>
      <c r="M543" s="4" t="s">
        <v>519</v>
      </c>
      <c r="N543" s="4">
        <f t="shared" si="62"/>
        <v>1</v>
      </c>
    </row>
    <row r="544" spans="1:14">
      <c r="A544" s="4">
        <v>34</v>
      </c>
      <c r="B544" s="4" t="s">
        <v>552</v>
      </c>
      <c r="C544" s="4" t="s">
        <v>72</v>
      </c>
      <c r="D544" s="4" t="s">
        <v>70</v>
      </c>
      <c r="E544" s="4" t="str">
        <f t="shared" si="56"/>
        <v>34|U|G</v>
      </c>
      <c r="F544" s="12">
        <v>23</v>
      </c>
      <c r="G544" s="4">
        <f t="shared" si="57"/>
        <v>58</v>
      </c>
      <c r="H544" s="12">
        <v>1</v>
      </c>
      <c r="I544" s="14">
        <f t="shared" si="58"/>
        <v>0.39655172413793105</v>
      </c>
      <c r="J544" s="14">
        <f t="shared" si="59"/>
        <v>0.38709677419354838</v>
      </c>
      <c r="K544" s="4">
        <f t="shared" si="60"/>
        <v>24</v>
      </c>
      <c r="L544" s="4">
        <f t="shared" si="61"/>
        <v>62</v>
      </c>
      <c r="M544" s="4" t="s">
        <v>519</v>
      </c>
      <c r="N544" s="4">
        <f t="shared" si="62"/>
        <v>1</v>
      </c>
    </row>
    <row r="545" spans="1:14">
      <c r="A545" s="4">
        <v>34</v>
      </c>
      <c r="B545" s="4" t="s">
        <v>552</v>
      </c>
      <c r="C545" s="4" t="s">
        <v>72</v>
      </c>
      <c r="D545" s="4" t="s">
        <v>72</v>
      </c>
      <c r="E545" s="4" t="str">
        <f t="shared" si="56"/>
        <v>34|U|U</v>
      </c>
      <c r="F545" s="12">
        <v>10</v>
      </c>
      <c r="G545" s="4">
        <f t="shared" si="57"/>
        <v>58</v>
      </c>
      <c r="H545" s="12">
        <v>1</v>
      </c>
      <c r="I545" s="14">
        <f t="shared" si="58"/>
        <v>0.17241379310344829</v>
      </c>
      <c r="J545" s="14">
        <f t="shared" si="59"/>
        <v>0.17741935483870969</v>
      </c>
      <c r="K545" s="4">
        <f t="shared" si="60"/>
        <v>11</v>
      </c>
      <c r="L545" s="4">
        <f t="shared" si="61"/>
        <v>62</v>
      </c>
      <c r="M545" s="4" t="s">
        <v>519</v>
      </c>
      <c r="N545" s="4">
        <f t="shared" si="62"/>
        <v>1</v>
      </c>
    </row>
    <row r="546" spans="1:14">
      <c r="A546" s="4">
        <v>35</v>
      </c>
      <c r="B546" s="4" t="s">
        <v>553</v>
      </c>
      <c r="C546" s="4" t="s">
        <v>73</v>
      </c>
      <c r="D546" s="4" t="s">
        <v>73</v>
      </c>
      <c r="E546" s="4" t="str">
        <f t="shared" si="56"/>
        <v>35|A|A</v>
      </c>
      <c r="F546" s="12">
        <v>11</v>
      </c>
      <c r="G546" s="4">
        <f t="shared" si="57"/>
        <v>62</v>
      </c>
      <c r="H546" s="12">
        <v>1</v>
      </c>
      <c r="I546" s="14">
        <f t="shared" si="58"/>
        <v>0.17741935483870969</v>
      </c>
      <c r="J546" s="14">
        <f t="shared" si="59"/>
        <v>0.18181818181818182</v>
      </c>
      <c r="K546" s="4">
        <f t="shared" si="60"/>
        <v>12</v>
      </c>
      <c r="L546" s="4">
        <f t="shared" si="61"/>
        <v>66</v>
      </c>
      <c r="M546" s="4" t="s">
        <v>519</v>
      </c>
      <c r="N546" s="4">
        <f t="shared" si="62"/>
        <v>1</v>
      </c>
    </row>
    <row r="547" spans="1:14">
      <c r="A547" s="4">
        <v>35</v>
      </c>
      <c r="B547" s="4" t="s">
        <v>553</v>
      </c>
      <c r="C547" s="4" t="s">
        <v>73</v>
      </c>
      <c r="D547" s="4" t="s">
        <v>71</v>
      </c>
      <c r="E547" s="4" t="str">
        <f t="shared" si="56"/>
        <v>35|A|C</v>
      </c>
      <c r="F547" s="12">
        <v>18</v>
      </c>
      <c r="G547" s="4">
        <f t="shared" si="57"/>
        <v>62</v>
      </c>
      <c r="H547" s="12">
        <v>1</v>
      </c>
      <c r="I547" s="14">
        <f t="shared" si="58"/>
        <v>0.29032258064516131</v>
      </c>
      <c r="J547" s="14">
        <f t="shared" si="59"/>
        <v>0.2878787878787879</v>
      </c>
      <c r="K547" s="4">
        <f t="shared" si="60"/>
        <v>19</v>
      </c>
      <c r="L547" s="4">
        <f t="shared" si="61"/>
        <v>66</v>
      </c>
      <c r="M547" s="4" t="s">
        <v>519</v>
      </c>
      <c r="N547" s="4">
        <f t="shared" si="62"/>
        <v>1</v>
      </c>
    </row>
    <row r="548" spans="1:14">
      <c r="A548" s="4">
        <v>35</v>
      </c>
      <c r="B548" s="4" t="s">
        <v>553</v>
      </c>
      <c r="C548" s="4" t="s">
        <v>73</v>
      </c>
      <c r="D548" s="4" t="s">
        <v>70</v>
      </c>
      <c r="E548" s="4" t="str">
        <f t="shared" si="56"/>
        <v>35|A|G</v>
      </c>
      <c r="F548" s="12">
        <v>4</v>
      </c>
      <c r="G548" s="4">
        <f t="shared" si="57"/>
        <v>62</v>
      </c>
      <c r="H548" s="12">
        <v>1</v>
      </c>
      <c r="I548" s="14">
        <f t="shared" si="58"/>
        <v>6.4516129032258063E-2</v>
      </c>
      <c r="J548" s="14">
        <f t="shared" si="59"/>
        <v>7.575757575757576E-2</v>
      </c>
      <c r="K548" s="4">
        <f t="shared" si="60"/>
        <v>5</v>
      </c>
      <c r="L548" s="4">
        <f t="shared" si="61"/>
        <v>66</v>
      </c>
      <c r="M548" s="4" t="s">
        <v>519</v>
      </c>
      <c r="N548" s="4">
        <f t="shared" si="62"/>
        <v>1</v>
      </c>
    </row>
    <row r="549" spans="1:14">
      <c r="A549" s="4">
        <v>35</v>
      </c>
      <c r="B549" s="4" t="s">
        <v>553</v>
      </c>
      <c r="C549" s="4" t="s">
        <v>73</v>
      </c>
      <c r="D549" s="4" t="s">
        <v>72</v>
      </c>
      <c r="E549" s="4" t="str">
        <f t="shared" si="56"/>
        <v>35|A|U</v>
      </c>
      <c r="F549" s="12">
        <v>29</v>
      </c>
      <c r="G549" s="4">
        <f t="shared" si="57"/>
        <v>62</v>
      </c>
      <c r="H549" s="12">
        <v>1</v>
      </c>
      <c r="I549" s="14">
        <f t="shared" si="58"/>
        <v>0.46774193548387094</v>
      </c>
      <c r="J549" s="14">
        <f t="shared" si="59"/>
        <v>0.45454545454545453</v>
      </c>
      <c r="K549" s="4">
        <f t="shared" si="60"/>
        <v>30</v>
      </c>
      <c r="L549" s="4">
        <f t="shared" si="61"/>
        <v>66</v>
      </c>
      <c r="M549" s="4" t="s">
        <v>519</v>
      </c>
      <c r="N549" s="4">
        <f t="shared" si="62"/>
        <v>1</v>
      </c>
    </row>
    <row r="550" spans="1:14">
      <c r="A550" s="4">
        <v>35</v>
      </c>
      <c r="B550" s="4" t="s">
        <v>553</v>
      </c>
      <c r="C550" s="4" t="s">
        <v>71</v>
      </c>
      <c r="D550" s="4" t="s">
        <v>73</v>
      </c>
      <c r="E550" s="4" t="str">
        <f t="shared" si="56"/>
        <v>35|C|A</v>
      </c>
      <c r="F550" s="12">
        <v>20</v>
      </c>
      <c r="G550" s="4">
        <f t="shared" si="57"/>
        <v>46</v>
      </c>
      <c r="H550" s="12">
        <v>1</v>
      </c>
      <c r="I550" s="14">
        <f t="shared" si="58"/>
        <v>0.43478260869565216</v>
      </c>
      <c r="J550" s="14">
        <f t="shared" si="59"/>
        <v>0.42</v>
      </c>
      <c r="K550" s="4">
        <f t="shared" si="60"/>
        <v>21</v>
      </c>
      <c r="L550" s="4">
        <f t="shared" si="61"/>
        <v>50</v>
      </c>
      <c r="M550" s="4" t="s">
        <v>519</v>
      </c>
      <c r="N550" s="4">
        <f t="shared" si="62"/>
        <v>1</v>
      </c>
    </row>
    <row r="551" spans="1:14">
      <c r="A551" s="4">
        <v>35</v>
      </c>
      <c r="B551" s="4" t="s">
        <v>553</v>
      </c>
      <c r="C551" s="4" t="s">
        <v>71</v>
      </c>
      <c r="D551" s="4" t="s">
        <v>71</v>
      </c>
      <c r="E551" s="4" t="str">
        <f t="shared" si="56"/>
        <v>35|C|C</v>
      </c>
      <c r="F551" s="12">
        <v>12</v>
      </c>
      <c r="G551" s="4">
        <f t="shared" si="57"/>
        <v>46</v>
      </c>
      <c r="H551" s="12">
        <v>1</v>
      </c>
      <c r="I551" s="14">
        <f t="shared" si="58"/>
        <v>0.2608695652173913</v>
      </c>
      <c r="J551" s="14">
        <f t="shared" si="59"/>
        <v>0.26</v>
      </c>
      <c r="K551" s="4">
        <f t="shared" si="60"/>
        <v>13</v>
      </c>
      <c r="L551" s="4">
        <f t="shared" si="61"/>
        <v>50</v>
      </c>
      <c r="M551" s="4" t="s">
        <v>519</v>
      </c>
      <c r="N551" s="4">
        <f t="shared" si="62"/>
        <v>1</v>
      </c>
    </row>
    <row r="552" spans="1:14">
      <c r="A552" s="4">
        <v>35</v>
      </c>
      <c r="B552" s="4" t="s">
        <v>553</v>
      </c>
      <c r="C552" s="4" t="s">
        <v>71</v>
      </c>
      <c r="D552" s="4" t="s">
        <v>70</v>
      </c>
      <c r="E552" s="4" t="str">
        <f t="shared" si="56"/>
        <v>35|C|G</v>
      </c>
      <c r="F552" s="12">
        <v>6</v>
      </c>
      <c r="G552" s="4">
        <f t="shared" si="57"/>
        <v>46</v>
      </c>
      <c r="H552" s="12">
        <v>1</v>
      </c>
      <c r="I552" s="14">
        <f t="shared" si="58"/>
        <v>0.13043478260869565</v>
      </c>
      <c r="J552" s="14">
        <f t="shared" si="59"/>
        <v>0.14000000000000001</v>
      </c>
      <c r="K552" s="4">
        <f t="shared" si="60"/>
        <v>7</v>
      </c>
      <c r="L552" s="4">
        <f t="shared" si="61"/>
        <v>50</v>
      </c>
      <c r="M552" s="4" t="s">
        <v>519</v>
      </c>
      <c r="N552" s="4">
        <f t="shared" si="62"/>
        <v>1</v>
      </c>
    </row>
    <row r="553" spans="1:14">
      <c r="A553" s="4">
        <v>35</v>
      </c>
      <c r="B553" s="4" t="s">
        <v>553</v>
      </c>
      <c r="C553" s="4" t="s">
        <v>71</v>
      </c>
      <c r="D553" s="4" t="s">
        <v>72</v>
      </c>
      <c r="E553" s="4" t="str">
        <f t="shared" si="56"/>
        <v>35|C|U</v>
      </c>
      <c r="F553" s="12">
        <v>8</v>
      </c>
      <c r="G553" s="4">
        <f t="shared" si="57"/>
        <v>46</v>
      </c>
      <c r="H553" s="12">
        <v>1</v>
      </c>
      <c r="I553" s="14">
        <f t="shared" si="58"/>
        <v>0.17391304347826086</v>
      </c>
      <c r="J553" s="14">
        <f t="shared" si="59"/>
        <v>0.18</v>
      </c>
      <c r="K553" s="4">
        <f t="shared" si="60"/>
        <v>9</v>
      </c>
      <c r="L553" s="4">
        <f t="shared" si="61"/>
        <v>50</v>
      </c>
      <c r="M553" s="4" t="s">
        <v>519</v>
      </c>
      <c r="N553" s="4">
        <f t="shared" si="62"/>
        <v>1</v>
      </c>
    </row>
    <row r="554" spans="1:14">
      <c r="A554" s="4">
        <v>35</v>
      </c>
      <c r="B554" s="4" t="s">
        <v>553</v>
      </c>
      <c r="C554" s="4" t="s">
        <v>70</v>
      </c>
      <c r="D554" s="4" t="s">
        <v>73</v>
      </c>
      <c r="E554" s="4" t="str">
        <f t="shared" si="56"/>
        <v>35|G|A</v>
      </c>
      <c r="F554" s="12">
        <v>5</v>
      </c>
      <c r="G554" s="4">
        <f t="shared" si="57"/>
        <v>51</v>
      </c>
      <c r="H554" s="12">
        <v>1</v>
      </c>
      <c r="I554" s="14">
        <f t="shared" si="58"/>
        <v>9.8039215686274508E-2</v>
      </c>
      <c r="J554" s="14">
        <f t="shared" si="59"/>
        <v>0.10909090909090909</v>
      </c>
      <c r="K554" s="4">
        <f t="shared" si="60"/>
        <v>6</v>
      </c>
      <c r="L554" s="4">
        <f t="shared" si="61"/>
        <v>55</v>
      </c>
      <c r="M554" s="4" t="s">
        <v>519</v>
      </c>
      <c r="N554" s="4">
        <f t="shared" si="62"/>
        <v>1</v>
      </c>
    </row>
    <row r="555" spans="1:14">
      <c r="A555" s="4">
        <v>35</v>
      </c>
      <c r="B555" s="4" t="s">
        <v>553</v>
      </c>
      <c r="C555" s="4" t="s">
        <v>70</v>
      </c>
      <c r="D555" s="4" t="s">
        <v>71</v>
      </c>
      <c r="E555" s="4" t="str">
        <f t="shared" si="56"/>
        <v>35|G|C</v>
      </c>
      <c r="F555" s="12">
        <v>15</v>
      </c>
      <c r="G555" s="4">
        <f t="shared" si="57"/>
        <v>51</v>
      </c>
      <c r="H555" s="12">
        <v>1</v>
      </c>
      <c r="I555" s="14">
        <f t="shared" si="58"/>
        <v>0.29411764705882354</v>
      </c>
      <c r="J555" s="14">
        <f t="shared" si="59"/>
        <v>0.29090909090909089</v>
      </c>
      <c r="K555" s="4">
        <f t="shared" si="60"/>
        <v>16</v>
      </c>
      <c r="L555" s="4">
        <f t="shared" si="61"/>
        <v>55</v>
      </c>
      <c r="M555" s="4" t="s">
        <v>519</v>
      </c>
      <c r="N555" s="4">
        <f t="shared" si="62"/>
        <v>1</v>
      </c>
    </row>
    <row r="556" spans="1:14">
      <c r="A556" s="4">
        <v>35</v>
      </c>
      <c r="B556" s="4" t="s">
        <v>553</v>
      </c>
      <c r="C556" s="4" t="s">
        <v>70</v>
      </c>
      <c r="D556" s="4" t="s">
        <v>70</v>
      </c>
      <c r="E556" s="4" t="str">
        <f t="shared" si="56"/>
        <v>35|G|G</v>
      </c>
      <c r="F556" s="12">
        <v>12</v>
      </c>
      <c r="G556" s="4">
        <f t="shared" si="57"/>
        <v>51</v>
      </c>
      <c r="H556" s="12">
        <v>1</v>
      </c>
      <c r="I556" s="14">
        <f t="shared" si="58"/>
        <v>0.23529411764705882</v>
      </c>
      <c r="J556" s="14">
        <f t="shared" si="59"/>
        <v>0.23636363636363636</v>
      </c>
      <c r="K556" s="4">
        <f t="shared" si="60"/>
        <v>13</v>
      </c>
      <c r="L556" s="4">
        <f t="shared" si="61"/>
        <v>55</v>
      </c>
      <c r="M556" s="4" t="s">
        <v>519</v>
      </c>
      <c r="N556" s="4">
        <f t="shared" si="62"/>
        <v>1</v>
      </c>
    </row>
    <row r="557" spans="1:14">
      <c r="A557" s="4">
        <v>35</v>
      </c>
      <c r="B557" s="4" t="s">
        <v>553</v>
      </c>
      <c r="C557" s="4" t="s">
        <v>70</v>
      </c>
      <c r="D557" s="4" t="s">
        <v>72</v>
      </c>
      <c r="E557" s="4" t="str">
        <f t="shared" si="56"/>
        <v>35|G|U</v>
      </c>
      <c r="F557" s="12">
        <v>19</v>
      </c>
      <c r="G557" s="4">
        <f t="shared" si="57"/>
        <v>51</v>
      </c>
      <c r="H557" s="12">
        <v>1</v>
      </c>
      <c r="I557" s="14">
        <f t="shared" si="58"/>
        <v>0.37254901960784315</v>
      </c>
      <c r="J557" s="14">
        <f t="shared" si="59"/>
        <v>0.36363636363636365</v>
      </c>
      <c r="K557" s="4">
        <f t="shared" si="60"/>
        <v>20</v>
      </c>
      <c r="L557" s="4">
        <f t="shared" si="61"/>
        <v>55</v>
      </c>
      <c r="M557" s="4" t="s">
        <v>519</v>
      </c>
      <c r="N557" s="4">
        <f t="shared" si="62"/>
        <v>1</v>
      </c>
    </row>
    <row r="558" spans="1:14">
      <c r="A558" s="4">
        <v>35</v>
      </c>
      <c r="B558" s="4" t="s">
        <v>553</v>
      </c>
      <c r="C558" s="4" t="s">
        <v>72</v>
      </c>
      <c r="D558" s="4" t="s">
        <v>73</v>
      </c>
      <c r="E558" s="4" t="str">
        <f t="shared" si="56"/>
        <v>35|U|A</v>
      </c>
      <c r="F558" s="12">
        <v>7</v>
      </c>
      <c r="G558" s="4">
        <f t="shared" si="57"/>
        <v>41</v>
      </c>
      <c r="H558" s="12">
        <v>1</v>
      </c>
      <c r="I558" s="14">
        <f t="shared" si="58"/>
        <v>0.17073170731707318</v>
      </c>
      <c r="J558" s="14">
        <f t="shared" si="59"/>
        <v>0.17777777777777778</v>
      </c>
      <c r="K558" s="4">
        <f t="shared" si="60"/>
        <v>8</v>
      </c>
      <c r="L558" s="4">
        <f t="shared" si="61"/>
        <v>45</v>
      </c>
      <c r="M558" s="4" t="s">
        <v>519</v>
      </c>
      <c r="N558" s="4">
        <f t="shared" si="62"/>
        <v>1</v>
      </c>
    </row>
    <row r="559" spans="1:14">
      <c r="A559" s="4">
        <v>35</v>
      </c>
      <c r="B559" s="4" t="s">
        <v>553</v>
      </c>
      <c r="C559" s="4" t="s">
        <v>72</v>
      </c>
      <c r="D559" s="4" t="s">
        <v>71</v>
      </c>
      <c r="E559" s="4" t="str">
        <f t="shared" si="56"/>
        <v>35|U|C</v>
      </c>
      <c r="F559" s="12">
        <v>8</v>
      </c>
      <c r="G559" s="4">
        <f t="shared" si="57"/>
        <v>41</v>
      </c>
      <c r="H559" s="12">
        <v>1</v>
      </c>
      <c r="I559" s="14">
        <f t="shared" si="58"/>
        <v>0.1951219512195122</v>
      </c>
      <c r="J559" s="14">
        <f t="shared" si="59"/>
        <v>0.2</v>
      </c>
      <c r="K559" s="4">
        <f t="shared" si="60"/>
        <v>9</v>
      </c>
      <c r="L559" s="4">
        <f t="shared" si="61"/>
        <v>45</v>
      </c>
      <c r="M559" s="4" t="s">
        <v>519</v>
      </c>
      <c r="N559" s="4">
        <f t="shared" si="62"/>
        <v>1</v>
      </c>
    </row>
    <row r="560" spans="1:14">
      <c r="A560" s="4">
        <v>35</v>
      </c>
      <c r="B560" s="4" t="s">
        <v>553</v>
      </c>
      <c r="C560" s="4" t="s">
        <v>72</v>
      </c>
      <c r="D560" s="4" t="s">
        <v>70</v>
      </c>
      <c r="E560" s="4" t="str">
        <f t="shared" si="56"/>
        <v>35|U|G</v>
      </c>
      <c r="F560" s="12">
        <v>10</v>
      </c>
      <c r="G560" s="4">
        <f t="shared" si="57"/>
        <v>41</v>
      </c>
      <c r="H560" s="12">
        <v>1</v>
      </c>
      <c r="I560" s="14">
        <f t="shared" si="58"/>
        <v>0.24390243902439024</v>
      </c>
      <c r="J560" s="14">
        <f t="shared" si="59"/>
        <v>0.24444444444444444</v>
      </c>
      <c r="K560" s="4">
        <f t="shared" si="60"/>
        <v>11</v>
      </c>
      <c r="L560" s="4">
        <f t="shared" si="61"/>
        <v>45</v>
      </c>
      <c r="M560" s="4" t="s">
        <v>519</v>
      </c>
      <c r="N560" s="4">
        <f t="shared" si="62"/>
        <v>1</v>
      </c>
    </row>
    <row r="561" spans="1:14">
      <c r="A561" s="4">
        <v>35</v>
      </c>
      <c r="B561" s="4" t="s">
        <v>553</v>
      </c>
      <c r="C561" s="4" t="s">
        <v>72</v>
      </c>
      <c r="D561" s="4" t="s">
        <v>72</v>
      </c>
      <c r="E561" s="4" t="str">
        <f t="shared" si="56"/>
        <v>35|U|U</v>
      </c>
      <c r="F561" s="12">
        <v>16</v>
      </c>
      <c r="G561" s="4">
        <f t="shared" si="57"/>
        <v>41</v>
      </c>
      <c r="H561" s="12">
        <v>1</v>
      </c>
      <c r="I561" s="14">
        <f t="shared" si="58"/>
        <v>0.3902439024390244</v>
      </c>
      <c r="J561" s="14">
        <f t="shared" si="59"/>
        <v>0.37777777777777777</v>
      </c>
      <c r="K561" s="4">
        <f t="shared" si="60"/>
        <v>17</v>
      </c>
      <c r="L561" s="4">
        <f t="shared" si="61"/>
        <v>45</v>
      </c>
      <c r="M561" s="4" t="s">
        <v>519</v>
      </c>
      <c r="N561" s="4">
        <f t="shared" si="62"/>
        <v>1</v>
      </c>
    </row>
    <row r="562" spans="1:14">
      <c r="A562" s="4">
        <v>36</v>
      </c>
      <c r="B562" s="4" t="s">
        <v>554</v>
      </c>
      <c r="C562" s="4" t="s">
        <v>73</v>
      </c>
      <c r="D562" s="4" t="s">
        <v>73</v>
      </c>
      <c r="E562" s="4" t="str">
        <f t="shared" si="56"/>
        <v>36|A|A</v>
      </c>
      <c r="F562" s="12">
        <v>25</v>
      </c>
      <c r="G562" s="4">
        <f t="shared" si="57"/>
        <v>43</v>
      </c>
      <c r="H562" s="12">
        <v>1</v>
      </c>
      <c r="I562" s="14">
        <f t="shared" si="58"/>
        <v>0.58139534883720934</v>
      </c>
      <c r="J562" s="14">
        <f t="shared" si="59"/>
        <v>0.55319148936170215</v>
      </c>
      <c r="K562" s="4">
        <f t="shared" si="60"/>
        <v>26</v>
      </c>
      <c r="L562" s="4">
        <f t="shared" si="61"/>
        <v>47</v>
      </c>
      <c r="M562" s="4" t="s">
        <v>519</v>
      </c>
      <c r="N562" s="4">
        <f t="shared" si="62"/>
        <v>1</v>
      </c>
    </row>
    <row r="563" spans="1:14">
      <c r="A563" s="4">
        <v>36</v>
      </c>
      <c r="B563" s="4" t="s">
        <v>554</v>
      </c>
      <c r="C563" s="4" t="s">
        <v>73</v>
      </c>
      <c r="D563" s="4" t="s">
        <v>71</v>
      </c>
      <c r="E563" s="4" t="str">
        <f t="shared" si="56"/>
        <v>36|A|C</v>
      </c>
      <c r="F563" s="12">
        <v>1</v>
      </c>
      <c r="G563" s="4">
        <f t="shared" si="57"/>
        <v>43</v>
      </c>
      <c r="H563" s="12">
        <v>1</v>
      </c>
      <c r="I563" s="14">
        <f t="shared" si="58"/>
        <v>2.3255813953488372E-2</v>
      </c>
      <c r="J563" s="14">
        <f t="shared" si="59"/>
        <v>4.2553191489361701E-2</v>
      </c>
      <c r="K563" s="4">
        <f t="shared" si="60"/>
        <v>2</v>
      </c>
      <c r="L563" s="4">
        <f t="shared" si="61"/>
        <v>47</v>
      </c>
      <c r="M563" s="4" t="s">
        <v>519</v>
      </c>
      <c r="N563" s="4">
        <f t="shared" si="62"/>
        <v>1</v>
      </c>
    </row>
    <row r="564" spans="1:14">
      <c r="A564" s="4">
        <v>36</v>
      </c>
      <c r="B564" s="4" t="s">
        <v>554</v>
      </c>
      <c r="C564" s="4" t="s">
        <v>73</v>
      </c>
      <c r="D564" s="4" t="s">
        <v>70</v>
      </c>
      <c r="E564" s="4" t="str">
        <f t="shared" si="56"/>
        <v>36|A|G</v>
      </c>
      <c r="F564" s="12">
        <v>17</v>
      </c>
      <c r="G564" s="4">
        <f t="shared" si="57"/>
        <v>43</v>
      </c>
      <c r="H564" s="12">
        <v>1</v>
      </c>
      <c r="I564" s="14">
        <f t="shared" si="58"/>
        <v>0.39534883720930231</v>
      </c>
      <c r="J564" s="14">
        <f t="shared" si="59"/>
        <v>0.38297872340425532</v>
      </c>
      <c r="K564" s="4">
        <f t="shared" si="60"/>
        <v>18</v>
      </c>
      <c r="L564" s="4">
        <f t="shared" si="61"/>
        <v>47</v>
      </c>
      <c r="M564" s="4" t="s">
        <v>519</v>
      </c>
      <c r="N564" s="4">
        <f t="shared" si="62"/>
        <v>1</v>
      </c>
    </row>
    <row r="565" spans="1:14">
      <c r="A565" s="4">
        <v>36</v>
      </c>
      <c r="B565" s="4" t="s">
        <v>554</v>
      </c>
      <c r="C565" s="4" t="s">
        <v>73</v>
      </c>
      <c r="D565" s="4" t="s">
        <v>72</v>
      </c>
      <c r="E565" s="4" t="str">
        <f t="shared" si="56"/>
        <v>36|A|U</v>
      </c>
      <c r="F565" s="12">
        <v>0</v>
      </c>
      <c r="G565" s="4">
        <f t="shared" si="57"/>
        <v>43</v>
      </c>
      <c r="H565" s="12">
        <v>1</v>
      </c>
      <c r="I565" s="14">
        <f t="shared" si="58"/>
        <v>0</v>
      </c>
      <c r="J565" s="14">
        <f t="shared" si="59"/>
        <v>2.1276595744680851E-2</v>
      </c>
      <c r="K565" s="4">
        <f t="shared" si="60"/>
        <v>1</v>
      </c>
      <c r="L565" s="4">
        <f t="shared" si="61"/>
        <v>47</v>
      </c>
      <c r="M565" s="4" t="s">
        <v>519</v>
      </c>
      <c r="N565" s="4">
        <f t="shared" si="62"/>
        <v>1</v>
      </c>
    </row>
    <row r="566" spans="1:14">
      <c r="A566" s="4">
        <v>36</v>
      </c>
      <c r="B566" s="4" t="s">
        <v>554</v>
      </c>
      <c r="C566" s="4" t="s">
        <v>71</v>
      </c>
      <c r="D566" s="4" t="s">
        <v>73</v>
      </c>
      <c r="E566" s="4" t="str">
        <f t="shared" si="56"/>
        <v>36|C|A</v>
      </c>
      <c r="F566" s="12">
        <v>50</v>
      </c>
      <c r="G566" s="4">
        <f t="shared" si="57"/>
        <v>53</v>
      </c>
      <c r="H566" s="12">
        <v>1</v>
      </c>
      <c r="I566" s="14">
        <f t="shared" si="58"/>
        <v>0.94339622641509435</v>
      </c>
      <c r="J566" s="14">
        <f t="shared" si="59"/>
        <v>0.89473684210526316</v>
      </c>
      <c r="K566" s="4">
        <f t="shared" si="60"/>
        <v>51</v>
      </c>
      <c r="L566" s="4">
        <f t="shared" si="61"/>
        <v>57</v>
      </c>
      <c r="M566" s="4" t="s">
        <v>519</v>
      </c>
      <c r="N566" s="4">
        <f t="shared" si="62"/>
        <v>1</v>
      </c>
    </row>
    <row r="567" spans="1:14">
      <c r="A567" s="4">
        <v>36</v>
      </c>
      <c r="B567" s="4" t="s">
        <v>554</v>
      </c>
      <c r="C567" s="4" t="s">
        <v>71</v>
      </c>
      <c r="D567" s="4" t="s">
        <v>71</v>
      </c>
      <c r="E567" s="4" t="str">
        <f t="shared" si="56"/>
        <v>36|C|C</v>
      </c>
      <c r="F567" s="12">
        <v>0</v>
      </c>
      <c r="G567" s="4">
        <f t="shared" si="57"/>
        <v>53</v>
      </c>
      <c r="H567" s="12">
        <v>1</v>
      </c>
      <c r="I567" s="14">
        <f t="shared" si="58"/>
        <v>0</v>
      </c>
      <c r="J567" s="14">
        <f t="shared" si="59"/>
        <v>1.7543859649122806E-2</v>
      </c>
      <c r="K567" s="4">
        <f t="shared" si="60"/>
        <v>1</v>
      </c>
      <c r="L567" s="4">
        <f t="shared" si="61"/>
        <v>57</v>
      </c>
      <c r="M567" s="4" t="s">
        <v>519</v>
      </c>
      <c r="N567" s="4">
        <f t="shared" si="62"/>
        <v>1</v>
      </c>
    </row>
    <row r="568" spans="1:14">
      <c r="A568" s="4">
        <v>36</v>
      </c>
      <c r="B568" s="4" t="s">
        <v>554</v>
      </c>
      <c r="C568" s="4" t="s">
        <v>71</v>
      </c>
      <c r="D568" s="4" t="s">
        <v>70</v>
      </c>
      <c r="E568" s="4" t="str">
        <f t="shared" si="56"/>
        <v>36|C|G</v>
      </c>
      <c r="F568" s="12">
        <v>3</v>
      </c>
      <c r="G568" s="4">
        <f t="shared" si="57"/>
        <v>53</v>
      </c>
      <c r="H568" s="12">
        <v>1</v>
      </c>
      <c r="I568" s="14">
        <f t="shared" si="58"/>
        <v>5.6603773584905662E-2</v>
      </c>
      <c r="J568" s="14">
        <f t="shared" si="59"/>
        <v>7.0175438596491224E-2</v>
      </c>
      <c r="K568" s="4">
        <f t="shared" si="60"/>
        <v>4</v>
      </c>
      <c r="L568" s="4">
        <f t="shared" si="61"/>
        <v>57</v>
      </c>
      <c r="M568" s="4" t="s">
        <v>519</v>
      </c>
      <c r="N568" s="4">
        <f t="shared" si="62"/>
        <v>1</v>
      </c>
    </row>
    <row r="569" spans="1:14">
      <c r="A569" s="4">
        <v>36</v>
      </c>
      <c r="B569" s="4" t="s">
        <v>554</v>
      </c>
      <c r="C569" s="4" t="s">
        <v>71</v>
      </c>
      <c r="D569" s="4" t="s">
        <v>72</v>
      </c>
      <c r="E569" s="4" t="str">
        <f t="shared" si="56"/>
        <v>36|C|U</v>
      </c>
      <c r="F569" s="12">
        <v>0</v>
      </c>
      <c r="G569" s="4">
        <f t="shared" si="57"/>
        <v>53</v>
      </c>
      <c r="H569" s="12">
        <v>1</v>
      </c>
      <c r="I569" s="14">
        <f t="shared" si="58"/>
        <v>0</v>
      </c>
      <c r="J569" s="14">
        <f t="shared" si="59"/>
        <v>1.7543859649122806E-2</v>
      </c>
      <c r="K569" s="4">
        <f t="shared" si="60"/>
        <v>1</v>
      </c>
      <c r="L569" s="4">
        <f t="shared" si="61"/>
        <v>57</v>
      </c>
      <c r="M569" s="4" t="s">
        <v>519</v>
      </c>
      <c r="N569" s="4">
        <f t="shared" si="62"/>
        <v>1</v>
      </c>
    </row>
    <row r="570" spans="1:14">
      <c r="A570" s="4">
        <v>36</v>
      </c>
      <c r="B570" s="4" t="s">
        <v>554</v>
      </c>
      <c r="C570" s="4" t="s">
        <v>70</v>
      </c>
      <c r="D570" s="4" t="s">
        <v>73</v>
      </c>
      <c r="E570" s="4" t="str">
        <f t="shared" si="56"/>
        <v>36|G|A</v>
      </c>
      <c r="F570" s="12">
        <v>4</v>
      </c>
      <c r="G570" s="4">
        <f t="shared" si="57"/>
        <v>32</v>
      </c>
      <c r="H570" s="12">
        <v>1</v>
      </c>
      <c r="I570" s="14">
        <f t="shared" si="58"/>
        <v>0.125</v>
      </c>
      <c r="J570" s="14">
        <f t="shared" si="59"/>
        <v>0.1388888888888889</v>
      </c>
      <c r="K570" s="4">
        <f t="shared" si="60"/>
        <v>5</v>
      </c>
      <c r="L570" s="4">
        <f t="shared" si="61"/>
        <v>36</v>
      </c>
      <c r="M570" s="4" t="s">
        <v>519</v>
      </c>
      <c r="N570" s="4">
        <f t="shared" si="62"/>
        <v>1</v>
      </c>
    </row>
    <row r="571" spans="1:14">
      <c r="A571" s="4">
        <v>36</v>
      </c>
      <c r="B571" s="4" t="s">
        <v>554</v>
      </c>
      <c r="C571" s="4" t="s">
        <v>70</v>
      </c>
      <c r="D571" s="4" t="s">
        <v>71</v>
      </c>
      <c r="E571" s="4" t="str">
        <f t="shared" si="56"/>
        <v>36|G|C</v>
      </c>
      <c r="F571" s="12">
        <v>0</v>
      </c>
      <c r="G571" s="4">
        <f t="shared" si="57"/>
        <v>32</v>
      </c>
      <c r="H571" s="12">
        <v>1</v>
      </c>
      <c r="I571" s="14">
        <f t="shared" si="58"/>
        <v>0</v>
      </c>
      <c r="J571" s="14">
        <f t="shared" si="59"/>
        <v>2.7777777777777776E-2</v>
      </c>
      <c r="K571" s="4">
        <f t="shared" si="60"/>
        <v>1</v>
      </c>
      <c r="L571" s="4">
        <f t="shared" si="61"/>
        <v>36</v>
      </c>
      <c r="M571" s="4" t="s">
        <v>519</v>
      </c>
      <c r="N571" s="4">
        <f t="shared" si="62"/>
        <v>1</v>
      </c>
    </row>
    <row r="572" spans="1:14">
      <c r="A572" s="4">
        <v>36</v>
      </c>
      <c r="B572" s="4" t="s">
        <v>554</v>
      </c>
      <c r="C572" s="4" t="s">
        <v>70</v>
      </c>
      <c r="D572" s="4" t="s">
        <v>70</v>
      </c>
      <c r="E572" s="4" t="str">
        <f t="shared" si="56"/>
        <v>36|G|G</v>
      </c>
      <c r="F572" s="12">
        <v>28</v>
      </c>
      <c r="G572" s="4">
        <f t="shared" si="57"/>
        <v>32</v>
      </c>
      <c r="H572" s="12">
        <v>1</v>
      </c>
      <c r="I572" s="14">
        <f t="shared" si="58"/>
        <v>0.875</v>
      </c>
      <c r="J572" s="14">
        <f t="shared" si="59"/>
        <v>0.80555555555555558</v>
      </c>
      <c r="K572" s="4">
        <f t="shared" si="60"/>
        <v>29</v>
      </c>
      <c r="L572" s="4">
        <f t="shared" si="61"/>
        <v>36</v>
      </c>
      <c r="M572" s="4" t="s">
        <v>519</v>
      </c>
      <c r="N572" s="4">
        <f t="shared" si="62"/>
        <v>1</v>
      </c>
    </row>
    <row r="573" spans="1:14">
      <c r="A573" s="4">
        <v>36</v>
      </c>
      <c r="B573" s="4" t="s">
        <v>554</v>
      </c>
      <c r="C573" s="4" t="s">
        <v>70</v>
      </c>
      <c r="D573" s="4" t="s">
        <v>72</v>
      </c>
      <c r="E573" s="4" t="str">
        <f t="shared" si="56"/>
        <v>36|G|U</v>
      </c>
      <c r="F573" s="12">
        <v>0</v>
      </c>
      <c r="G573" s="4">
        <f t="shared" si="57"/>
        <v>32</v>
      </c>
      <c r="H573" s="12">
        <v>1</v>
      </c>
      <c r="I573" s="14">
        <f t="shared" si="58"/>
        <v>0</v>
      </c>
      <c r="J573" s="14">
        <f t="shared" si="59"/>
        <v>2.7777777777777776E-2</v>
      </c>
      <c r="K573" s="4">
        <f t="shared" si="60"/>
        <v>1</v>
      </c>
      <c r="L573" s="4">
        <f t="shared" si="61"/>
        <v>36</v>
      </c>
      <c r="M573" s="4" t="s">
        <v>519</v>
      </c>
      <c r="N573" s="4">
        <f t="shared" si="62"/>
        <v>1</v>
      </c>
    </row>
    <row r="574" spans="1:14">
      <c r="A574" s="4">
        <v>36</v>
      </c>
      <c r="B574" s="4" t="s">
        <v>554</v>
      </c>
      <c r="C574" s="4" t="s">
        <v>72</v>
      </c>
      <c r="D574" s="4" t="s">
        <v>73</v>
      </c>
      <c r="E574" s="4" t="str">
        <f t="shared" si="56"/>
        <v>36|U|A</v>
      </c>
      <c r="F574" s="12">
        <v>72</v>
      </c>
      <c r="G574" s="4">
        <f t="shared" si="57"/>
        <v>72</v>
      </c>
      <c r="H574" s="12">
        <v>1</v>
      </c>
      <c r="I574" s="14">
        <f t="shared" si="58"/>
        <v>1</v>
      </c>
      <c r="J574" s="14">
        <f t="shared" si="59"/>
        <v>0.96052631578947367</v>
      </c>
      <c r="K574" s="4">
        <f t="shared" si="60"/>
        <v>73</v>
      </c>
      <c r="L574" s="4">
        <f t="shared" si="61"/>
        <v>76</v>
      </c>
      <c r="M574" s="4" t="s">
        <v>519</v>
      </c>
      <c r="N574" s="4">
        <f t="shared" si="62"/>
        <v>1</v>
      </c>
    </row>
    <row r="575" spans="1:14">
      <c r="A575" s="4">
        <v>36</v>
      </c>
      <c r="B575" s="4" t="s">
        <v>554</v>
      </c>
      <c r="C575" s="4" t="s">
        <v>72</v>
      </c>
      <c r="D575" s="4" t="s">
        <v>71</v>
      </c>
      <c r="E575" s="4" t="str">
        <f t="shared" si="56"/>
        <v>36|U|C</v>
      </c>
      <c r="F575" s="12">
        <v>0</v>
      </c>
      <c r="G575" s="4">
        <f t="shared" si="57"/>
        <v>72</v>
      </c>
      <c r="H575" s="12">
        <v>1</v>
      </c>
      <c r="I575" s="14">
        <f t="shared" si="58"/>
        <v>0</v>
      </c>
      <c r="J575" s="14">
        <f t="shared" si="59"/>
        <v>1.3157894736842105E-2</v>
      </c>
      <c r="K575" s="4">
        <f t="shared" si="60"/>
        <v>1</v>
      </c>
      <c r="L575" s="4">
        <f t="shared" si="61"/>
        <v>76</v>
      </c>
      <c r="M575" s="4" t="s">
        <v>519</v>
      </c>
      <c r="N575" s="4">
        <f t="shared" si="62"/>
        <v>1</v>
      </c>
    </row>
    <row r="576" spans="1:14">
      <c r="A576" s="4">
        <v>36</v>
      </c>
      <c r="B576" s="4" t="s">
        <v>554</v>
      </c>
      <c r="C576" s="4" t="s">
        <v>72</v>
      </c>
      <c r="D576" s="4" t="s">
        <v>70</v>
      </c>
      <c r="E576" s="4" t="str">
        <f t="shared" si="56"/>
        <v>36|U|G</v>
      </c>
      <c r="F576" s="12">
        <v>0</v>
      </c>
      <c r="G576" s="4">
        <f t="shared" si="57"/>
        <v>72</v>
      </c>
      <c r="H576" s="12">
        <v>1</v>
      </c>
      <c r="I576" s="14">
        <f t="shared" si="58"/>
        <v>0</v>
      </c>
      <c r="J576" s="14">
        <f t="shared" si="59"/>
        <v>1.3157894736842105E-2</v>
      </c>
      <c r="K576" s="4">
        <f t="shared" si="60"/>
        <v>1</v>
      </c>
      <c r="L576" s="4">
        <f t="shared" si="61"/>
        <v>76</v>
      </c>
      <c r="M576" s="4" t="s">
        <v>519</v>
      </c>
      <c r="N576" s="4">
        <f t="shared" si="62"/>
        <v>1</v>
      </c>
    </row>
    <row r="577" spans="1:14">
      <c r="A577" s="4">
        <v>36</v>
      </c>
      <c r="B577" s="4" t="s">
        <v>554</v>
      </c>
      <c r="C577" s="4" t="s">
        <v>72</v>
      </c>
      <c r="D577" s="4" t="s">
        <v>72</v>
      </c>
      <c r="E577" s="4" t="str">
        <f t="shared" si="56"/>
        <v>36|U|U</v>
      </c>
      <c r="F577" s="12">
        <v>0</v>
      </c>
      <c r="G577" s="4">
        <f t="shared" si="57"/>
        <v>72</v>
      </c>
      <c r="H577" s="12">
        <v>1</v>
      </c>
      <c r="I577" s="14">
        <f t="shared" si="58"/>
        <v>0</v>
      </c>
      <c r="J577" s="14">
        <f t="shared" si="59"/>
        <v>1.3157894736842105E-2</v>
      </c>
      <c r="K577" s="4">
        <f t="shared" si="60"/>
        <v>1</v>
      </c>
      <c r="L577" s="4">
        <f t="shared" si="61"/>
        <v>76</v>
      </c>
      <c r="M577" s="4" t="s">
        <v>519</v>
      </c>
      <c r="N577" s="4">
        <f t="shared" si="62"/>
        <v>1</v>
      </c>
    </row>
    <row r="578" spans="1:14">
      <c r="A578" s="4">
        <v>37</v>
      </c>
      <c r="B578" s="4" t="s">
        <v>555</v>
      </c>
      <c r="C578" s="4" t="s">
        <v>73</v>
      </c>
      <c r="D578" s="4" t="s">
        <v>73</v>
      </c>
      <c r="E578" s="4" t="str">
        <f t="shared" ref="E578:E641" si="63">A578&amp;"|"&amp;C578&amp;"|"&amp;D578</f>
        <v>37|A|A</v>
      </c>
      <c r="F578" s="12">
        <v>115</v>
      </c>
      <c r="G578" s="4">
        <f t="shared" ref="G578:G641" si="64">SUMIFS($F$2:$F$1137,$A$2:$A$1137,A578,$C$2:$C$1137,C578)</f>
        <v>151</v>
      </c>
      <c r="H578" s="12">
        <v>1</v>
      </c>
      <c r="I578" s="14">
        <f t="shared" ref="I578:I641" si="65">IF(G578=0,"",F578/G578)</f>
        <v>0.76158940397350994</v>
      </c>
      <c r="J578" s="14">
        <f t="shared" ref="J578:J641" si="66">K578/L578</f>
        <v>0.74838709677419357</v>
      </c>
      <c r="K578" s="4">
        <f t="shared" ref="K578:K641" si="67">F578+H578</f>
        <v>116</v>
      </c>
      <c r="L578" s="4">
        <f t="shared" ref="L578:L641" si="68">G578+4*H578</f>
        <v>155</v>
      </c>
      <c r="M578" s="4" t="s">
        <v>519</v>
      </c>
      <c r="N578" s="4">
        <f t="shared" ref="N578:N641" si="69">ROUND(SUMIFS($J$2:$J$1137,$A$2:$A$1137,A578,$C$2:$C$1137,C578),9)</f>
        <v>1</v>
      </c>
    </row>
    <row r="579" spans="1:14">
      <c r="A579" s="4">
        <v>37</v>
      </c>
      <c r="B579" s="4" t="s">
        <v>555</v>
      </c>
      <c r="C579" s="4" t="s">
        <v>73</v>
      </c>
      <c r="D579" s="4" t="s">
        <v>71</v>
      </c>
      <c r="E579" s="4" t="str">
        <f t="shared" si="63"/>
        <v>37|A|C</v>
      </c>
      <c r="F579" s="12">
        <v>22</v>
      </c>
      <c r="G579" s="4">
        <f t="shared" si="64"/>
        <v>151</v>
      </c>
      <c r="H579" s="12">
        <v>1</v>
      </c>
      <c r="I579" s="14">
        <f t="shared" si="65"/>
        <v>0.14569536423841059</v>
      </c>
      <c r="J579" s="14">
        <f t="shared" si="66"/>
        <v>0.14838709677419354</v>
      </c>
      <c r="K579" s="4">
        <f t="shared" si="67"/>
        <v>23</v>
      </c>
      <c r="L579" s="4">
        <f t="shared" si="68"/>
        <v>155</v>
      </c>
      <c r="M579" s="4" t="s">
        <v>519</v>
      </c>
      <c r="N579" s="4">
        <f t="shared" si="69"/>
        <v>1</v>
      </c>
    </row>
    <row r="580" spans="1:14">
      <c r="A580" s="4">
        <v>37</v>
      </c>
      <c r="B580" s="4" t="s">
        <v>555</v>
      </c>
      <c r="C580" s="4" t="s">
        <v>73</v>
      </c>
      <c r="D580" s="4" t="s">
        <v>70</v>
      </c>
      <c r="E580" s="4" t="str">
        <f t="shared" si="63"/>
        <v>37|A|G</v>
      </c>
      <c r="F580" s="12">
        <v>0</v>
      </c>
      <c r="G580" s="4">
        <f t="shared" si="64"/>
        <v>151</v>
      </c>
      <c r="H580" s="12">
        <v>1</v>
      </c>
      <c r="I580" s="14">
        <f t="shared" si="65"/>
        <v>0</v>
      </c>
      <c r="J580" s="14">
        <f t="shared" si="66"/>
        <v>6.4516129032258064E-3</v>
      </c>
      <c r="K580" s="4">
        <f t="shared" si="67"/>
        <v>1</v>
      </c>
      <c r="L580" s="4">
        <f t="shared" si="68"/>
        <v>155</v>
      </c>
      <c r="M580" s="4" t="s">
        <v>519</v>
      </c>
      <c r="N580" s="4">
        <f t="shared" si="69"/>
        <v>1</v>
      </c>
    </row>
    <row r="581" spans="1:14">
      <c r="A581" s="4">
        <v>37</v>
      </c>
      <c r="B581" s="4" t="s">
        <v>555</v>
      </c>
      <c r="C581" s="4" t="s">
        <v>73</v>
      </c>
      <c r="D581" s="4" t="s">
        <v>72</v>
      </c>
      <c r="E581" s="4" t="str">
        <f t="shared" si="63"/>
        <v>37|A|U</v>
      </c>
      <c r="F581" s="12">
        <v>14</v>
      </c>
      <c r="G581" s="4">
        <f t="shared" si="64"/>
        <v>151</v>
      </c>
      <c r="H581" s="12">
        <v>1</v>
      </c>
      <c r="I581" s="14">
        <f t="shared" si="65"/>
        <v>9.2715231788079472E-2</v>
      </c>
      <c r="J581" s="14">
        <f t="shared" si="66"/>
        <v>9.6774193548387094E-2</v>
      </c>
      <c r="K581" s="4">
        <f t="shared" si="67"/>
        <v>15</v>
      </c>
      <c r="L581" s="4">
        <f t="shared" si="68"/>
        <v>155</v>
      </c>
      <c r="M581" s="4" t="s">
        <v>519</v>
      </c>
      <c r="N581" s="4">
        <f t="shared" si="69"/>
        <v>1</v>
      </c>
    </row>
    <row r="582" spans="1:14">
      <c r="A582" s="4">
        <v>37</v>
      </c>
      <c r="B582" s="4" t="s">
        <v>555</v>
      </c>
      <c r="C582" s="4" t="s">
        <v>71</v>
      </c>
      <c r="D582" s="4" t="s">
        <v>73</v>
      </c>
      <c r="E582" s="4" t="str">
        <f t="shared" si="63"/>
        <v>37|C|A</v>
      </c>
      <c r="F582" s="12">
        <v>1</v>
      </c>
      <c r="G582" s="4">
        <f t="shared" si="64"/>
        <v>1</v>
      </c>
      <c r="H582" s="12">
        <v>1</v>
      </c>
      <c r="I582" s="14">
        <f t="shared" si="65"/>
        <v>1</v>
      </c>
      <c r="J582" s="14">
        <f t="shared" si="66"/>
        <v>0.4</v>
      </c>
      <c r="K582" s="4">
        <f t="shared" si="67"/>
        <v>2</v>
      </c>
      <c r="L582" s="4">
        <f t="shared" si="68"/>
        <v>5</v>
      </c>
      <c r="M582" s="4" t="s">
        <v>519</v>
      </c>
      <c r="N582" s="4">
        <f t="shared" si="69"/>
        <v>1</v>
      </c>
    </row>
    <row r="583" spans="1:14">
      <c r="A583" s="4">
        <v>37</v>
      </c>
      <c r="B583" s="4" t="s">
        <v>555</v>
      </c>
      <c r="C583" s="4" t="s">
        <v>71</v>
      </c>
      <c r="D583" s="4" t="s">
        <v>71</v>
      </c>
      <c r="E583" s="4" t="str">
        <f t="shared" si="63"/>
        <v>37|C|C</v>
      </c>
      <c r="F583" s="12">
        <v>0</v>
      </c>
      <c r="G583" s="4">
        <f t="shared" si="64"/>
        <v>1</v>
      </c>
      <c r="H583" s="12">
        <v>1</v>
      </c>
      <c r="I583" s="14">
        <f t="shared" si="65"/>
        <v>0</v>
      </c>
      <c r="J583" s="14">
        <f t="shared" si="66"/>
        <v>0.2</v>
      </c>
      <c r="K583" s="4">
        <f t="shared" si="67"/>
        <v>1</v>
      </c>
      <c r="L583" s="4">
        <f t="shared" si="68"/>
        <v>5</v>
      </c>
      <c r="M583" s="4" t="s">
        <v>519</v>
      </c>
      <c r="N583" s="4">
        <f t="shared" si="69"/>
        <v>1</v>
      </c>
    </row>
    <row r="584" spans="1:14">
      <c r="A584" s="4">
        <v>37</v>
      </c>
      <c r="B584" s="4" t="s">
        <v>555</v>
      </c>
      <c r="C584" s="4" t="s">
        <v>71</v>
      </c>
      <c r="D584" s="4" t="s">
        <v>70</v>
      </c>
      <c r="E584" s="4" t="str">
        <f t="shared" si="63"/>
        <v>37|C|G</v>
      </c>
      <c r="F584" s="12">
        <v>0</v>
      </c>
      <c r="G584" s="4">
        <f t="shared" si="64"/>
        <v>1</v>
      </c>
      <c r="H584" s="12">
        <v>1</v>
      </c>
      <c r="I584" s="14">
        <f t="shared" si="65"/>
        <v>0</v>
      </c>
      <c r="J584" s="14">
        <f t="shared" si="66"/>
        <v>0.2</v>
      </c>
      <c r="K584" s="4">
        <f t="shared" si="67"/>
        <v>1</v>
      </c>
      <c r="L584" s="4">
        <f t="shared" si="68"/>
        <v>5</v>
      </c>
      <c r="M584" s="4" t="s">
        <v>519</v>
      </c>
      <c r="N584" s="4">
        <f t="shared" si="69"/>
        <v>1</v>
      </c>
    </row>
    <row r="585" spans="1:14">
      <c r="A585" s="4">
        <v>37</v>
      </c>
      <c r="B585" s="4" t="s">
        <v>555</v>
      </c>
      <c r="C585" s="4" t="s">
        <v>71</v>
      </c>
      <c r="D585" s="4" t="s">
        <v>72</v>
      </c>
      <c r="E585" s="4" t="str">
        <f t="shared" si="63"/>
        <v>37|C|U</v>
      </c>
      <c r="F585" s="12">
        <v>0</v>
      </c>
      <c r="G585" s="4">
        <f t="shared" si="64"/>
        <v>1</v>
      </c>
      <c r="H585" s="12">
        <v>1</v>
      </c>
      <c r="I585" s="14">
        <f t="shared" si="65"/>
        <v>0</v>
      </c>
      <c r="J585" s="14">
        <f t="shared" si="66"/>
        <v>0.2</v>
      </c>
      <c r="K585" s="4">
        <f t="shared" si="67"/>
        <v>1</v>
      </c>
      <c r="L585" s="4">
        <f t="shared" si="68"/>
        <v>5</v>
      </c>
      <c r="M585" s="4" t="s">
        <v>519</v>
      </c>
      <c r="N585" s="4">
        <f t="shared" si="69"/>
        <v>1</v>
      </c>
    </row>
    <row r="586" spans="1:14">
      <c r="A586" s="4">
        <v>37</v>
      </c>
      <c r="B586" s="4" t="s">
        <v>555</v>
      </c>
      <c r="C586" s="4" t="s">
        <v>70</v>
      </c>
      <c r="D586" s="4" t="s">
        <v>73</v>
      </c>
      <c r="E586" s="4" t="str">
        <f t="shared" si="63"/>
        <v>37|G|A</v>
      </c>
      <c r="F586" s="12">
        <v>31</v>
      </c>
      <c r="G586" s="4">
        <f t="shared" si="64"/>
        <v>48</v>
      </c>
      <c r="H586" s="12">
        <v>1</v>
      </c>
      <c r="I586" s="14">
        <f t="shared" si="65"/>
        <v>0.64583333333333337</v>
      </c>
      <c r="J586" s="14">
        <f t="shared" si="66"/>
        <v>0.61538461538461542</v>
      </c>
      <c r="K586" s="4">
        <f t="shared" si="67"/>
        <v>32</v>
      </c>
      <c r="L586" s="4">
        <f t="shared" si="68"/>
        <v>52</v>
      </c>
      <c r="M586" s="4" t="s">
        <v>519</v>
      </c>
      <c r="N586" s="4">
        <f t="shared" si="69"/>
        <v>1</v>
      </c>
    </row>
    <row r="587" spans="1:14">
      <c r="A587" s="4">
        <v>37</v>
      </c>
      <c r="B587" s="4" t="s">
        <v>555</v>
      </c>
      <c r="C587" s="4" t="s">
        <v>70</v>
      </c>
      <c r="D587" s="4" t="s">
        <v>71</v>
      </c>
      <c r="E587" s="4" t="str">
        <f t="shared" si="63"/>
        <v>37|G|C</v>
      </c>
      <c r="F587" s="12">
        <v>7</v>
      </c>
      <c r="G587" s="4">
        <f t="shared" si="64"/>
        <v>48</v>
      </c>
      <c r="H587" s="12">
        <v>1</v>
      </c>
      <c r="I587" s="14">
        <f t="shared" si="65"/>
        <v>0.14583333333333334</v>
      </c>
      <c r="J587" s="14">
        <f t="shared" si="66"/>
        <v>0.15384615384615385</v>
      </c>
      <c r="K587" s="4">
        <f t="shared" si="67"/>
        <v>8</v>
      </c>
      <c r="L587" s="4">
        <f t="shared" si="68"/>
        <v>52</v>
      </c>
      <c r="M587" s="4" t="s">
        <v>519</v>
      </c>
      <c r="N587" s="4">
        <f t="shared" si="69"/>
        <v>1</v>
      </c>
    </row>
    <row r="588" spans="1:14">
      <c r="A588" s="4">
        <v>37</v>
      </c>
      <c r="B588" s="4" t="s">
        <v>555</v>
      </c>
      <c r="C588" s="4" t="s">
        <v>70</v>
      </c>
      <c r="D588" s="4" t="s">
        <v>70</v>
      </c>
      <c r="E588" s="4" t="str">
        <f t="shared" si="63"/>
        <v>37|G|G</v>
      </c>
      <c r="F588" s="12">
        <v>1</v>
      </c>
      <c r="G588" s="4">
        <f t="shared" si="64"/>
        <v>48</v>
      </c>
      <c r="H588" s="12">
        <v>1</v>
      </c>
      <c r="I588" s="14">
        <f t="shared" si="65"/>
        <v>2.0833333333333332E-2</v>
      </c>
      <c r="J588" s="14">
        <f t="shared" si="66"/>
        <v>3.8461538461538464E-2</v>
      </c>
      <c r="K588" s="4">
        <f t="shared" si="67"/>
        <v>2</v>
      </c>
      <c r="L588" s="4">
        <f t="shared" si="68"/>
        <v>52</v>
      </c>
      <c r="M588" s="4" t="s">
        <v>519</v>
      </c>
      <c r="N588" s="4">
        <f t="shared" si="69"/>
        <v>1</v>
      </c>
    </row>
    <row r="589" spans="1:14">
      <c r="A589" s="4">
        <v>37</v>
      </c>
      <c r="B589" s="4" t="s">
        <v>555</v>
      </c>
      <c r="C589" s="4" t="s">
        <v>70</v>
      </c>
      <c r="D589" s="4" t="s">
        <v>72</v>
      </c>
      <c r="E589" s="4" t="str">
        <f t="shared" si="63"/>
        <v>37|G|U</v>
      </c>
      <c r="F589" s="12">
        <v>9</v>
      </c>
      <c r="G589" s="4">
        <f t="shared" si="64"/>
        <v>48</v>
      </c>
      <c r="H589" s="12">
        <v>1</v>
      </c>
      <c r="I589" s="14">
        <f t="shared" si="65"/>
        <v>0.1875</v>
      </c>
      <c r="J589" s="14">
        <f t="shared" si="66"/>
        <v>0.19230769230769232</v>
      </c>
      <c r="K589" s="4">
        <f t="shared" si="67"/>
        <v>10</v>
      </c>
      <c r="L589" s="4">
        <f t="shared" si="68"/>
        <v>52</v>
      </c>
      <c r="M589" s="4" t="s">
        <v>519</v>
      </c>
      <c r="N589" s="4">
        <f t="shared" si="69"/>
        <v>1</v>
      </c>
    </row>
    <row r="590" spans="1:14">
      <c r="A590" s="4">
        <v>37</v>
      </c>
      <c r="B590" s="4" t="s">
        <v>555</v>
      </c>
      <c r="C590" s="4" t="s">
        <v>72</v>
      </c>
      <c r="D590" s="4" t="s">
        <v>73</v>
      </c>
      <c r="E590" s="4" t="str">
        <f t="shared" si="63"/>
        <v>37|U|A</v>
      </c>
      <c r="F590" s="12">
        <v>0</v>
      </c>
      <c r="G590" s="4">
        <f t="shared" si="64"/>
        <v>0</v>
      </c>
      <c r="H590" s="12">
        <v>1</v>
      </c>
      <c r="I590" s="14" t="str">
        <f t="shared" si="65"/>
        <v/>
      </c>
      <c r="J590" s="14">
        <f t="shared" si="66"/>
        <v>0.25</v>
      </c>
      <c r="K590" s="4">
        <f t="shared" si="67"/>
        <v>1</v>
      </c>
      <c r="L590" s="4">
        <f t="shared" si="68"/>
        <v>4</v>
      </c>
      <c r="M590" s="4" t="s">
        <v>519</v>
      </c>
      <c r="N590" s="4">
        <f t="shared" si="69"/>
        <v>1</v>
      </c>
    </row>
    <row r="591" spans="1:14">
      <c r="A591" s="4">
        <v>37</v>
      </c>
      <c r="B591" s="4" t="s">
        <v>555</v>
      </c>
      <c r="C591" s="4" t="s">
        <v>72</v>
      </c>
      <c r="D591" s="4" t="s">
        <v>71</v>
      </c>
      <c r="E591" s="4" t="str">
        <f t="shared" si="63"/>
        <v>37|U|C</v>
      </c>
      <c r="F591" s="12">
        <v>0</v>
      </c>
      <c r="G591" s="4">
        <f t="shared" si="64"/>
        <v>0</v>
      </c>
      <c r="H591" s="12">
        <v>1</v>
      </c>
      <c r="I591" s="14" t="str">
        <f t="shared" si="65"/>
        <v/>
      </c>
      <c r="J591" s="14">
        <f t="shared" si="66"/>
        <v>0.25</v>
      </c>
      <c r="K591" s="4">
        <f t="shared" si="67"/>
        <v>1</v>
      </c>
      <c r="L591" s="4">
        <f t="shared" si="68"/>
        <v>4</v>
      </c>
      <c r="M591" s="4" t="s">
        <v>519</v>
      </c>
      <c r="N591" s="4">
        <f t="shared" si="69"/>
        <v>1</v>
      </c>
    </row>
    <row r="592" spans="1:14">
      <c r="A592" s="4">
        <v>37</v>
      </c>
      <c r="B592" s="4" t="s">
        <v>555</v>
      </c>
      <c r="C592" s="4" t="s">
        <v>72</v>
      </c>
      <c r="D592" s="4" t="s">
        <v>70</v>
      </c>
      <c r="E592" s="4" t="str">
        <f t="shared" si="63"/>
        <v>37|U|G</v>
      </c>
      <c r="F592" s="12">
        <v>0</v>
      </c>
      <c r="G592" s="4">
        <f t="shared" si="64"/>
        <v>0</v>
      </c>
      <c r="H592" s="12">
        <v>1</v>
      </c>
      <c r="I592" s="14" t="str">
        <f t="shared" si="65"/>
        <v/>
      </c>
      <c r="J592" s="14">
        <f t="shared" si="66"/>
        <v>0.25</v>
      </c>
      <c r="K592" s="4">
        <f t="shared" si="67"/>
        <v>1</v>
      </c>
      <c r="L592" s="4">
        <f t="shared" si="68"/>
        <v>4</v>
      </c>
      <c r="M592" s="4" t="s">
        <v>519</v>
      </c>
      <c r="N592" s="4">
        <f t="shared" si="69"/>
        <v>1</v>
      </c>
    </row>
    <row r="593" spans="1:14">
      <c r="A593" s="4">
        <v>37</v>
      </c>
      <c r="B593" s="4" t="s">
        <v>555</v>
      </c>
      <c r="C593" s="4" t="s">
        <v>72</v>
      </c>
      <c r="D593" s="4" t="s">
        <v>72</v>
      </c>
      <c r="E593" s="4" t="str">
        <f t="shared" si="63"/>
        <v>37|U|U</v>
      </c>
      <c r="F593" s="12">
        <v>0</v>
      </c>
      <c r="G593" s="4">
        <f t="shared" si="64"/>
        <v>0</v>
      </c>
      <c r="H593" s="12">
        <v>1</v>
      </c>
      <c r="I593" s="14" t="str">
        <f t="shared" si="65"/>
        <v/>
      </c>
      <c r="J593" s="14">
        <f t="shared" si="66"/>
        <v>0.25</v>
      </c>
      <c r="K593" s="4">
        <f t="shared" si="67"/>
        <v>1</v>
      </c>
      <c r="L593" s="4">
        <f t="shared" si="68"/>
        <v>4</v>
      </c>
      <c r="M593" s="4" t="s">
        <v>519</v>
      </c>
      <c r="N593" s="4">
        <f t="shared" si="69"/>
        <v>1</v>
      </c>
    </row>
    <row r="594" spans="1:14">
      <c r="A594" s="4">
        <v>38</v>
      </c>
      <c r="B594" s="4" t="s">
        <v>556</v>
      </c>
      <c r="C594" s="4" t="s">
        <v>73</v>
      </c>
      <c r="D594" s="4" t="s">
        <v>73</v>
      </c>
      <c r="E594" s="4" t="str">
        <f t="shared" si="63"/>
        <v>38|A|A</v>
      </c>
      <c r="F594" s="12">
        <v>16</v>
      </c>
      <c r="G594" s="4">
        <f t="shared" si="64"/>
        <v>147</v>
      </c>
      <c r="H594" s="12">
        <v>1</v>
      </c>
      <c r="I594" s="14">
        <f t="shared" si="65"/>
        <v>0.10884353741496598</v>
      </c>
      <c r="J594" s="14">
        <f t="shared" si="66"/>
        <v>0.11258278145695365</v>
      </c>
      <c r="K594" s="4">
        <f t="shared" si="67"/>
        <v>17</v>
      </c>
      <c r="L594" s="4">
        <f t="shared" si="68"/>
        <v>151</v>
      </c>
      <c r="M594" s="4" t="s">
        <v>519</v>
      </c>
      <c r="N594" s="4">
        <f t="shared" si="69"/>
        <v>1</v>
      </c>
    </row>
    <row r="595" spans="1:14">
      <c r="A595" s="4">
        <v>38</v>
      </c>
      <c r="B595" s="4" t="s">
        <v>556</v>
      </c>
      <c r="C595" s="4" t="s">
        <v>73</v>
      </c>
      <c r="D595" s="4" t="s">
        <v>71</v>
      </c>
      <c r="E595" s="4" t="str">
        <f t="shared" si="63"/>
        <v>38|A|C</v>
      </c>
      <c r="F595" s="12">
        <v>39</v>
      </c>
      <c r="G595" s="4">
        <f t="shared" si="64"/>
        <v>147</v>
      </c>
      <c r="H595" s="12">
        <v>1</v>
      </c>
      <c r="I595" s="14">
        <f t="shared" si="65"/>
        <v>0.26530612244897961</v>
      </c>
      <c r="J595" s="14">
        <f t="shared" si="66"/>
        <v>0.26490066225165565</v>
      </c>
      <c r="K595" s="4">
        <f t="shared" si="67"/>
        <v>40</v>
      </c>
      <c r="L595" s="4">
        <f t="shared" si="68"/>
        <v>151</v>
      </c>
      <c r="M595" s="4" t="s">
        <v>519</v>
      </c>
      <c r="N595" s="4">
        <f t="shared" si="69"/>
        <v>1</v>
      </c>
    </row>
    <row r="596" spans="1:14">
      <c r="A596" s="4">
        <v>38</v>
      </c>
      <c r="B596" s="4" t="s">
        <v>556</v>
      </c>
      <c r="C596" s="4" t="s">
        <v>73</v>
      </c>
      <c r="D596" s="4" t="s">
        <v>70</v>
      </c>
      <c r="E596" s="4" t="str">
        <f t="shared" si="63"/>
        <v>38|A|G</v>
      </c>
      <c r="F596" s="12">
        <v>42</v>
      </c>
      <c r="G596" s="4">
        <f t="shared" si="64"/>
        <v>147</v>
      </c>
      <c r="H596" s="12">
        <v>1</v>
      </c>
      <c r="I596" s="14">
        <f t="shared" si="65"/>
        <v>0.2857142857142857</v>
      </c>
      <c r="J596" s="14">
        <f t="shared" si="66"/>
        <v>0.28476821192052981</v>
      </c>
      <c r="K596" s="4">
        <f t="shared" si="67"/>
        <v>43</v>
      </c>
      <c r="L596" s="4">
        <f t="shared" si="68"/>
        <v>151</v>
      </c>
      <c r="M596" s="4" t="s">
        <v>519</v>
      </c>
      <c r="N596" s="4">
        <f t="shared" si="69"/>
        <v>1</v>
      </c>
    </row>
    <row r="597" spans="1:14">
      <c r="A597" s="4">
        <v>38</v>
      </c>
      <c r="B597" s="4" t="s">
        <v>556</v>
      </c>
      <c r="C597" s="4" t="s">
        <v>73</v>
      </c>
      <c r="D597" s="4" t="s">
        <v>72</v>
      </c>
      <c r="E597" s="4" t="str">
        <f t="shared" si="63"/>
        <v>38|A|U</v>
      </c>
      <c r="F597" s="12">
        <v>50</v>
      </c>
      <c r="G597" s="4">
        <f t="shared" si="64"/>
        <v>147</v>
      </c>
      <c r="H597" s="12">
        <v>1</v>
      </c>
      <c r="I597" s="14">
        <f t="shared" si="65"/>
        <v>0.3401360544217687</v>
      </c>
      <c r="J597" s="14">
        <f t="shared" si="66"/>
        <v>0.33774834437086093</v>
      </c>
      <c r="K597" s="4">
        <f t="shared" si="67"/>
        <v>51</v>
      </c>
      <c r="L597" s="4">
        <f t="shared" si="68"/>
        <v>151</v>
      </c>
      <c r="M597" s="4" t="s">
        <v>519</v>
      </c>
      <c r="N597" s="4">
        <f t="shared" si="69"/>
        <v>1</v>
      </c>
    </row>
    <row r="598" spans="1:14">
      <c r="A598" s="4">
        <v>38</v>
      </c>
      <c r="B598" s="4" t="s">
        <v>556</v>
      </c>
      <c r="C598" s="4" t="s">
        <v>71</v>
      </c>
      <c r="D598" s="4" t="s">
        <v>73</v>
      </c>
      <c r="E598" s="4" t="str">
        <f t="shared" si="63"/>
        <v>38|C|A</v>
      </c>
      <c r="F598" s="12">
        <v>0</v>
      </c>
      <c r="G598" s="4">
        <f t="shared" si="64"/>
        <v>29</v>
      </c>
      <c r="H598" s="12">
        <v>1</v>
      </c>
      <c r="I598" s="14">
        <f t="shared" si="65"/>
        <v>0</v>
      </c>
      <c r="J598" s="14">
        <f t="shared" si="66"/>
        <v>3.0303030303030304E-2</v>
      </c>
      <c r="K598" s="4">
        <f t="shared" si="67"/>
        <v>1</v>
      </c>
      <c r="L598" s="4">
        <f t="shared" si="68"/>
        <v>33</v>
      </c>
      <c r="M598" s="4" t="s">
        <v>519</v>
      </c>
      <c r="N598" s="4">
        <f t="shared" si="69"/>
        <v>1</v>
      </c>
    </row>
    <row r="599" spans="1:14">
      <c r="A599" s="4">
        <v>38</v>
      </c>
      <c r="B599" s="4" t="s">
        <v>556</v>
      </c>
      <c r="C599" s="4" t="s">
        <v>71</v>
      </c>
      <c r="D599" s="4" t="s">
        <v>71</v>
      </c>
      <c r="E599" s="4" t="str">
        <f t="shared" si="63"/>
        <v>38|C|C</v>
      </c>
      <c r="F599" s="12">
        <v>8</v>
      </c>
      <c r="G599" s="4">
        <f t="shared" si="64"/>
        <v>29</v>
      </c>
      <c r="H599" s="12">
        <v>1</v>
      </c>
      <c r="I599" s="14">
        <f t="shared" si="65"/>
        <v>0.27586206896551724</v>
      </c>
      <c r="J599" s="14">
        <f t="shared" si="66"/>
        <v>0.27272727272727271</v>
      </c>
      <c r="K599" s="4">
        <f t="shared" si="67"/>
        <v>9</v>
      </c>
      <c r="L599" s="4">
        <f t="shared" si="68"/>
        <v>33</v>
      </c>
      <c r="M599" s="4" t="s">
        <v>519</v>
      </c>
      <c r="N599" s="4">
        <f t="shared" si="69"/>
        <v>1</v>
      </c>
    </row>
    <row r="600" spans="1:14">
      <c r="A600" s="4">
        <v>38</v>
      </c>
      <c r="B600" s="4" t="s">
        <v>556</v>
      </c>
      <c r="C600" s="4" t="s">
        <v>71</v>
      </c>
      <c r="D600" s="4" t="s">
        <v>70</v>
      </c>
      <c r="E600" s="4" t="str">
        <f t="shared" si="63"/>
        <v>38|C|G</v>
      </c>
      <c r="F600" s="12">
        <v>16</v>
      </c>
      <c r="G600" s="4">
        <f t="shared" si="64"/>
        <v>29</v>
      </c>
      <c r="H600" s="12">
        <v>1</v>
      </c>
      <c r="I600" s="14">
        <f t="shared" si="65"/>
        <v>0.55172413793103448</v>
      </c>
      <c r="J600" s="14">
        <f t="shared" si="66"/>
        <v>0.51515151515151514</v>
      </c>
      <c r="K600" s="4">
        <f t="shared" si="67"/>
        <v>17</v>
      </c>
      <c r="L600" s="4">
        <f t="shared" si="68"/>
        <v>33</v>
      </c>
      <c r="M600" s="4" t="s">
        <v>519</v>
      </c>
      <c r="N600" s="4">
        <f t="shared" si="69"/>
        <v>1</v>
      </c>
    </row>
    <row r="601" spans="1:14">
      <c r="A601" s="4">
        <v>38</v>
      </c>
      <c r="B601" s="4" t="s">
        <v>556</v>
      </c>
      <c r="C601" s="4" t="s">
        <v>71</v>
      </c>
      <c r="D601" s="4" t="s">
        <v>72</v>
      </c>
      <c r="E601" s="4" t="str">
        <f t="shared" si="63"/>
        <v>38|C|U</v>
      </c>
      <c r="F601" s="12">
        <v>5</v>
      </c>
      <c r="G601" s="4">
        <f t="shared" si="64"/>
        <v>29</v>
      </c>
      <c r="H601" s="12">
        <v>1</v>
      </c>
      <c r="I601" s="14">
        <f t="shared" si="65"/>
        <v>0.17241379310344829</v>
      </c>
      <c r="J601" s="14">
        <f t="shared" si="66"/>
        <v>0.18181818181818182</v>
      </c>
      <c r="K601" s="4">
        <f t="shared" si="67"/>
        <v>6</v>
      </c>
      <c r="L601" s="4">
        <f t="shared" si="68"/>
        <v>33</v>
      </c>
      <c r="M601" s="4" t="s">
        <v>519</v>
      </c>
      <c r="N601" s="4">
        <f t="shared" si="69"/>
        <v>1</v>
      </c>
    </row>
    <row r="602" spans="1:14">
      <c r="A602" s="4">
        <v>38</v>
      </c>
      <c r="B602" s="4" t="s">
        <v>556</v>
      </c>
      <c r="C602" s="4" t="s">
        <v>70</v>
      </c>
      <c r="D602" s="4" t="s">
        <v>73</v>
      </c>
      <c r="E602" s="4" t="str">
        <f t="shared" si="63"/>
        <v>38|G|A</v>
      </c>
      <c r="F602" s="12">
        <v>0</v>
      </c>
      <c r="G602" s="4">
        <f t="shared" si="64"/>
        <v>1</v>
      </c>
      <c r="H602" s="12">
        <v>1</v>
      </c>
      <c r="I602" s="14">
        <f t="shared" si="65"/>
        <v>0</v>
      </c>
      <c r="J602" s="14">
        <f t="shared" si="66"/>
        <v>0.2</v>
      </c>
      <c r="K602" s="4">
        <f t="shared" si="67"/>
        <v>1</v>
      </c>
      <c r="L602" s="4">
        <f t="shared" si="68"/>
        <v>5</v>
      </c>
      <c r="M602" s="4" t="s">
        <v>519</v>
      </c>
      <c r="N602" s="4">
        <f t="shared" si="69"/>
        <v>1</v>
      </c>
    </row>
    <row r="603" spans="1:14">
      <c r="A603" s="4">
        <v>38</v>
      </c>
      <c r="B603" s="4" t="s">
        <v>556</v>
      </c>
      <c r="C603" s="4" t="s">
        <v>70</v>
      </c>
      <c r="D603" s="4" t="s">
        <v>71</v>
      </c>
      <c r="E603" s="4" t="str">
        <f t="shared" si="63"/>
        <v>38|G|C</v>
      </c>
      <c r="F603" s="12">
        <v>0</v>
      </c>
      <c r="G603" s="4">
        <f t="shared" si="64"/>
        <v>1</v>
      </c>
      <c r="H603" s="12">
        <v>1</v>
      </c>
      <c r="I603" s="14">
        <f t="shared" si="65"/>
        <v>0</v>
      </c>
      <c r="J603" s="14">
        <f t="shared" si="66"/>
        <v>0.2</v>
      </c>
      <c r="K603" s="4">
        <f t="shared" si="67"/>
        <v>1</v>
      </c>
      <c r="L603" s="4">
        <f t="shared" si="68"/>
        <v>5</v>
      </c>
      <c r="M603" s="4" t="s">
        <v>519</v>
      </c>
      <c r="N603" s="4">
        <f t="shared" si="69"/>
        <v>1</v>
      </c>
    </row>
    <row r="604" spans="1:14">
      <c r="A604" s="4">
        <v>38</v>
      </c>
      <c r="B604" s="4" t="s">
        <v>556</v>
      </c>
      <c r="C604" s="4" t="s">
        <v>70</v>
      </c>
      <c r="D604" s="4" t="s">
        <v>70</v>
      </c>
      <c r="E604" s="4" t="str">
        <f t="shared" si="63"/>
        <v>38|G|G</v>
      </c>
      <c r="F604" s="12">
        <v>0</v>
      </c>
      <c r="G604" s="4">
        <f t="shared" si="64"/>
        <v>1</v>
      </c>
      <c r="H604" s="12">
        <v>1</v>
      </c>
      <c r="I604" s="14">
        <f t="shared" si="65"/>
        <v>0</v>
      </c>
      <c r="J604" s="14">
        <f t="shared" si="66"/>
        <v>0.2</v>
      </c>
      <c r="K604" s="4">
        <f t="shared" si="67"/>
        <v>1</v>
      </c>
      <c r="L604" s="4">
        <f t="shared" si="68"/>
        <v>5</v>
      </c>
      <c r="M604" s="4" t="s">
        <v>519</v>
      </c>
      <c r="N604" s="4">
        <f t="shared" si="69"/>
        <v>1</v>
      </c>
    </row>
    <row r="605" spans="1:14">
      <c r="A605" s="4">
        <v>38</v>
      </c>
      <c r="B605" s="4" t="s">
        <v>556</v>
      </c>
      <c r="C605" s="4" t="s">
        <v>70</v>
      </c>
      <c r="D605" s="4" t="s">
        <v>72</v>
      </c>
      <c r="E605" s="4" t="str">
        <f t="shared" si="63"/>
        <v>38|G|U</v>
      </c>
      <c r="F605" s="12">
        <v>1</v>
      </c>
      <c r="G605" s="4">
        <f t="shared" si="64"/>
        <v>1</v>
      </c>
      <c r="H605" s="12">
        <v>1</v>
      </c>
      <c r="I605" s="14">
        <f t="shared" si="65"/>
        <v>1</v>
      </c>
      <c r="J605" s="14">
        <f t="shared" si="66"/>
        <v>0.4</v>
      </c>
      <c r="K605" s="4">
        <f t="shared" si="67"/>
        <v>2</v>
      </c>
      <c r="L605" s="4">
        <f t="shared" si="68"/>
        <v>5</v>
      </c>
      <c r="M605" s="4" t="s">
        <v>519</v>
      </c>
      <c r="N605" s="4">
        <f t="shared" si="69"/>
        <v>1</v>
      </c>
    </row>
    <row r="606" spans="1:14">
      <c r="A606" s="4">
        <v>38</v>
      </c>
      <c r="B606" s="4" t="s">
        <v>556</v>
      </c>
      <c r="C606" s="4" t="s">
        <v>72</v>
      </c>
      <c r="D606" s="4" t="s">
        <v>73</v>
      </c>
      <c r="E606" s="4" t="str">
        <f t="shared" si="63"/>
        <v>38|U|A</v>
      </c>
      <c r="F606" s="12">
        <v>2</v>
      </c>
      <c r="G606" s="4">
        <f t="shared" si="64"/>
        <v>23</v>
      </c>
      <c r="H606" s="12">
        <v>1</v>
      </c>
      <c r="I606" s="14">
        <f t="shared" si="65"/>
        <v>8.6956521739130432E-2</v>
      </c>
      <c r="J606" s="14">
        <f t="shared" si="66"/>
        <v>0.1111111111111111</v>
      </c>
      <c r="K606" s="4">
        <f t="shared" si="67"/>
        <v>3</v>
      </c>
      <c r="L606" s="4">
        <f t="shared" si="68"/>
        <v>27</v>
      </c>
      <c r="M606" s="4" t="s">
        <v>519</v>
      </c>
      <c r="N606" s="4">
        <f t="shared" si="69"/>
        <v>1</v>
      </c>
    </row>
    <row r="607" spans="1:14">
      <c r="A607" s="4">
        <v>38</v>
      </c>
      <c r="B607" s="4" t="s">
        <v>556</v>
      </c>
      <c r="C607" s="4" t="s">
        <v>72</v>
      </c>
      <c r="D607" s="4" t="s">
        <v>71</v>
      </c>
      <c r="E607" s="4" t="str">
        <f t="shared" si="63"/>
        <v>38|U|C</v>
      </c>
      <c r="F607" s="12">
        <v>4</v>
      </c>
      <c r="G607" s="4">
        <f t="shared" si="64"/>
        <v>23</v>
      </c>
      <c r="H607" s="12">
        <v>1</v>
      </c>
      <c r="I607" s="14">
        <f t="shared" si="65"/>
        <v>0.17391304347826086</v>
      </c>
      <c r="J607" s="14">
        <f t="shared" si="66"/>
        <v>0.18518518518518517</v>
      </c>
      <c r="K607" s="4">
        <f t="shared" si="67"/>
        <v>5</v>
      </c>
      <c r="L607" s="4">
        <f t="shared" si="68"/>
        <v>27</v>
      </c>
      <c r="M607" s="4" t="s">
        <v>519</v>
      </c>
      <c r="N607" s="4">
        <f t="shared" si="69"/>
        <v>1</v>
      </c>
    </row>
    <row r="608" spans="1:14">
      <c r="A608" s="4">
        <v>38</v>
      </c>
      <c r="B608" s="4" t="s">
        <v>556</v>
      </c>
      <c r="C608" s="4" t="s">
        <v>72</v>
      </c>
      <c r="D608" s="4" t="s">
        <v>70</v>
      </c>
      <c r="E608" s="4" t="str">
        <f t="shared" si="63"/>
        <v>38|U|G</v>
      </c>
      <c r="F608" s="12">
        <v>14</v>
      </c>
      <c r="G608" s="4">
        <f t="shared" si="64"/>
        <v>23</v>
      </c>
      <c r="H608" s="12">
        <v>1</v>
      </c>
      <c r="I608" s="14">
        <f t="shared" si="65"/>
        <v>0.60869565217391308</v>
      </c>
      <c r="J608" s="14">
        <f t="shared" si="66"/>
        <v>0.55555555555555558</v>
      </c>
      <c r="K608" s="4">
        <f t="shared" si="67"/>
        <v>15</v>
      </c>
      <c r="L608" s="4">
        <f t="shared" si="68"/>
        <v>27</v>
      </c>
      <c r="M608" s="4" t="s">
        <v>519</v>
      </c>
      <c r="N608" s="4">
        <f t="shared" si="69"/>
        <v>1</v>
      </c>
    </row>
    <row r="609" spans="1:14">
      <c r="A609" s="4">
        <v>38</v>
      </c>
      <c r="B609" s="4" t="s">
        <v>556</v>
      </c>
      <c r="C609" s="4" t="s">
        <v>72</v>
      </c>
      <c r="D609" s="4" t="s">
        <v>72</v>
      </c>
      <c r="E609" s="4" t="str">
        <f t="shared" si="63"/>
        <v>38|U|U</v>
      </c>
      <c r="F609" s="12">
        <v>3</v>
      </c>
      <c r="G609" s="4">
        <f t="shared" si="64"/>
        <v>23</v>
      </c>
      <c r="H609" s="12">
        <v>1</v>
      </c>
      <c r="I609" s="14">
        <f t="shared" si="65"/>
        <v>0.13043478260869565</v>
      </c>
      <c r="J609" s="14">
        <f t="shared" si="66"/>
        <v>0.14814814814814814</v>
      </c>
      <c r="K609" s="4">
        <f t="shared" si="67"/>
        <v>4</v>
      </c>
      <c r="L609" s="4">
        <f t="shared" si="68"/>
        <v>27</v>
      </c>
      <c r="M609" s="4" t="s">
        <v>519</v>
      </c>
      <c r="N609" s="4">
        <f t="shared" si="69"/>
        <v>1</v>
      </c>
    </row>
    <row r="610" spans="1:14">
      <c r="A610" s="4">
        <v>39</v>
      </c>
      <c r="B610" s="4" t="s">
        <v>557</v>
      </c>
      <c r="C610" s="4" t="s">
        <v>73</v>
      </c>
      <c r="D610" s="4" t="s">
        <v>73</v>
      </c>
      <c r="E610" s="4" t="str">
        <f t="shared" si="63"/>
        <v>39|A|A</v>
      </c>
      <c r="F610" s="12">
        <v>0</v>
      </c>
      <c r="G610" s="4">
        <f t="shared" si="64"/>
        <v>18</v>
      </c>
      <c r="H610" s="12">
        <v>1</v>
      </c>
      <c r="I610" s="14">
        <f t="shared" si="65"/>
        <v>0</v>
      </c>
      <c r="J610" s="14">
        <f t="shared" si="66"/>
        <v>4.5454545454545456E-2</v>
      </c>
      <c r="K610" s="4">
        <f t="shared" si="67"/>
        <v>1</v>
      </c>
      <c r="L610" s="4">
        <f t="shared" si="68"/>
        <v>22</v>
      </c>
      <c r="M610" s="4" t="s">
        <v>519</v>
      </c>
      <c r="N610" s="4">
        <f t="shared" si="69"/>
        <v>1</v>
      </c>
    </row>
    <row r="611" spans="1:14">
      <c r="A611" s="4">
        <v>39</v>
      </c>
      <c r="B611" s="4" t="s">
        <v>557</v>
      </c>
      <c r="C611" s="4" t="s">
        <v>73</v>
      </c>
      <c r="D611" s="4" t="s">
        <v>71</v>
      </c>
      <c r="E611" s="4" t="str">
        <f t="shared" si="63"/>
        <v>39|A|C</v>
      </c>
      <c r="F611" s="12">
        <v>14</v>
      </c>
      <c r="G611" s="4">
        <f t="shared" si="64"/>
        <v>18</v>
      </c>
      <c r="H611" s="12">
        <v>1</v>
      </c>
      <c r="I611" s="14">
        <f t="shared" si="65"/>
        <v>0.77777777777777779</v>
      </c>
      <c r="J611" s="14">
        <f t="shared" si="66"/>
        <v>0.68181818181818177</v>
      </c>
      <c r="K611" s="4">
        <f t="shared" si="67"/>
        <v>15</v>
      </c>
      <c r="L611" s="4">
        <f t="shared" si="68"/>
        <v>22</v>
      </c>
      <c r="M611" s="4" t="s">
        <v>519</v>
      </c>
      <c r="N611" s="4">
        <f t="shared" si="69"/>
        <v>1</v>
      </c>
    </row>
    <row r="612" spans="1:14">
      <c r="A612" s="4">
        <v>39</v>
      </c>
      <c r="B612" s="4" t="s">
        <v>557</v>
      </c>
      <c r="C612" s="4" t="s">
        <v>73</v>
      </c>
      <c r="D612" s="4" t="s">
        <v>70</v>
      </c>
      <c r="E612" s="4" t="str">
        <f t="shared" si="63"/>
        <v>39|A|G</v>
      </c>
      <c r="F612" s="12">
        <v>2</v>
      </c>
      <c r="G612" s="4">
        <f t="shared" si="64"/>
        <v>18</v>
      </c>
      <c r="H612" s="12">
        <v>1</v>
      </c>
      <c r="I612" s="14">
        <f t="shared" si="65"/>
        <v>0.1111111111111111</v>
      </c>
      <c r="J612" s="14">
        <f t="shared" si="66"/>
        <v>0.13636363636363635</v>
      </c>
      <c r="K612" s="4">
        <f t="shared" si="67"/>
        <v>3</v>
      </c>
      <c r="L612" s="4">
        <f t="shared" si="68"/>
        <v>22</v>
      </c>
      <c r="M612" s="4" t="s">
        <v>519</v>
      </c>
      <c r="N612" s="4">
        <f t="shared" si="69"/>
        <v>1</v>
      </c>
    </row>
    <row r="613" spans="1:14">
      <c r="A613" s="4">
        <v>39</v>
      </c>
      <c r="B613" s="4" t="s">
        <v>557</v>
      </c>
      <c r="C613" s="4" t="s">
        <v>73</v>
      </c>
      <c r="D613" s="4" t="s">
        <v>72</v>
      </c>
      <c r="E613" s="4" t="str">
        <f t="shared" si="63"/>
        <v>39|A|U</v>
      </c>
      <c r="F613" s="12">
        <v>2</v>
      </c>
      <c r="G613" s="4">
        <f t="shared" si="64"/>
        <v>18</v>
      </c>
      <c r="H613" s="12">
        <v>1</v>
      </c>
      <c r="I613" s="14">
        <f t="shared" si="65"/>
        <v>0.1111111111111111</v>
      </c>
      <c r="J613" s="14">
        <f t="shared" si="66"/>
        <v>0.13636363636363635</v>
      </c>
      <c r="K613" s="4">
        <f t="shared" si="67"/>
        <v>3</v>
      </c>
      <c r="L613" s="4">
        <f t="shared" si="68"/>
        <v>22</v>
      </c>
      <c r="M613" s="4" t="s">
        <v>519</v>
      </c>
      <c r="N613" s="4">
        <f t="shared" si="69"/>
        <v>1</v>
      </c>
    </row>
    <row r="614" spans="1:14">
      <c r="A614" s="4">
        <v>39</v>
      </c>
      <c r="B614" s="4" t="s">
        <v>557</v>
      </c>
      <c r="C614" s="4" t="s">
        <v>71</v>
      </c>
      <c r="D614" s="4" t="s">
        <v>73</v>
      </c>
      <c r="E614" s="4" t="str">
        <f t="shared" si="63"/>
        <v>39|C|A</v>
      </c>
      <c r="F614" s="12">
        <v>0</v>
      </c>
      <c r="G614" s="4">
        <f t="shared" si="64"/>
        <v>51</v>
      </c>
      <c r="H614" s="12">
        <v>1</v>
      </c>
      <c r="I614" s="14">
        <f t="shared" si="65"/>
        <v>0</v>
      </c>
      <c r="J614" s="14">
        <f t="shared" si="66"/>
        <v>1.8181818181818181E-2</v>
      </c>
      <c r="K614" s="4">
        <f t="shared" si="67"/>
        <v>1</v>
      </c>
      <c r="L614" s="4">
        <f t="shared" si="68"/>
        <v>55</v>
      </c>
      <c r="M614" s="4" t="s">
        <v>519</v>
      </c>
      <c r="N614" s="4">
        <f t="shared" si="69"/>
        <v>1</v>
      </c>
    </row>
    <row r="615" spans="1:14">
      <c r="A615" s="4">
        <v>39</v>
      </c>
      <c r="B615" s="4" t="s">
        <v>557</v>
      </c>
      <c r="C615" s="4" t="s">
        <v>71</v>
      </c>
      <c r="D615" s="4" t="s">
        <v>71</v>
      </c>
      <c r="E615" s="4" t="str">
        <f t="shared" si="63"/>
        <v>39|C|C</v>
      </c>
      <c r="F615" s="12">
        <v>38</v>
      </c>
      <c r="G615" s="4">
        <f t="shared" si="64"/>
        <v>51</v>
      </c>
      <c r="H615" s="12">
        <v>1</v>
      </c>
      <c r="I615" s="14">
        <f t="shared" si="65"/>
        <v>0.74509803921568629</v>
      </c>
      <c r="J615" s="14">
        <f t="shared" si="66"/>
        <v>0.70909090909090911</v>
      </c>
      <c r="K615" s="4">
        <f t="shared" si="67"/>
        <v>39</v>
      </c>
      <c r="L615" s="4">
        <f t="shared" si="68"/>
        <v>55</v>
      </c>
      <c r="M615" s="4" t="s">
        <v>519</v>
      </c>
      <c r="N615" s="4">
        <f t="shared" si="69"/>
        <v>1</v>
      </c>
    </row>
    <row r="616" spans="1:14">
      <c r="A616" s="4">
        <v>39</v>
      </c>
      <c r="B616" s="4" t="s">
        <v>557</v>
      </c>
      <c r="C616" s="4" t="s">
        <v>71</v>
      </c>
      <c r="D616" s="4" t="s">
        <v>70</v>
      </c>
      <c r="E616" s="4" t="str">
        <f t="shared" si="63"/>
        <v>39|C|G</v>
      </c>
      <c r="F616" s="12">
        <v>13</v>
      </c>
      <c r="G616" s="4">
        <f t="shared" si="64"/>
        <v>51</v>
      </c>
      <c r="H616" s="12">
        <v>1</v>
      </c>
      <c r="I616" s="14">
        <f t="shared" si="65"/>
        <v>0.25490196078431371</v>
      </c>
      <c r="J616" s="14">
        <f t="shared" si="66"/>
        <v>0.25454545454545452</v>
      </c>
      <c r="K616" s="4">
        <f t="shared" si="67"/>
        <v>14</v>
      </c>
      <c r="L616" s="4">
        <f t="shared" si="68"/>
        <v>55</v>
      </c>
      <c r="M616" s="4" t="s">
        <v>519</v>
      </c>
      <c r="N616" s="4">
        <f t="shared" si="69"/>
        <v>1</v>
      </c>
    </row>
    <row r="617" spans="1:14">
      <c r="A617" s="4">
        <v>39</v>
      </c>
      <c r="B617" s="4" t="s">
        <v>557</v>
      </c>
      <c r="C617" s="4" t="s">
        <v>71</v>
      </c>
      <c r="D617" s="4" t="s">
        <v>72</v>
      </c>
      <c r="E617" s="4" t="str">
        <f t="shared" si="63"/>
        <v>39|C|U</v>
      </c>
      <c r="F617" s="12">
        <v>0</v>
      </c>
      <c r="G617" s="4">
        <f t="shared" si="64"/>
        <v>51</v>
      </c>
      <c r="H617" s="12">
        <v>1</v>
      </c>
      <c r="I617" s="14">
        <f t="shared" si="65"/>
        <v>0</v>
      </c>
      <c r="J617" s="14">
        <f t="shared" si="66"/>
        <v>1.8181818181818181E-2</v>
      </c>
      <c r="K617" s="4">
        <f t="shared" si="67"/>
        <v>1</v>
      </c>
      <c r="L617" s="4">
        <f t="shared" si="68"/>
        <v>55</v>
      </c>
      <c r="M617" s="4" t="s">
        <v>519</v>
      </c>
      <c r="N617" s="4">
        <f t="shared" si="69"/>
        <v>1</v>
      </c>
    </row>
    <row r="618" spans="1:14">
      <c r="A618" s="4">
        <v>39</v>
      </c>
      <c r="B618" s="4" t="s">
        <v>557</v>
      </c>
      <c r="C618" s="4" t="s">
        <v>70</v>
      </c>
      <c r="D618" s="4" t="s">
        <v>73</v>
      </c>
      <c r="E618" s="4" t="str">
        <f t="shared" si="63"/>
        <v>39|G|A</v>
      </c>
      <c r="F618" s="12">
        <v>0</v>
      </c>
      <c r="G618" s="4">
        <f t="shared" si="64"/>
        <v>72</v>
      </c>
      <c r="H618" s="12">
        <v>1</v>
      </c>
      <c r="I618" s="14">
        <f t="shared" si="65"/>
        <v>0</v>
      </c>
      <c r="J618" s="14">
        <f t="shared" si="66"/>
        <v>1.3157894736842105E-2</v>
      </c>
      <c r="K618" s="4">
        <f t="shared" si="67"/>
        <v>1</v>
      </c>
      <c r="L618" s="4">
        <f t="shared" si="68"/>
        <v>76</v>
      </c>
      <c r="M618" s="4" t="s">
        <v>519</v>
      </c>
      <c r="N618" s="4">
        <f t="shared" si="69"/>
        <v>1</v>
      </c>
    </row>
    <row r="619" spans="1:14">
      <c r="A619" s="4">
        <v>39</v>
      </c>
      <c r="B619" s="4" t="s">
        <v>557</v>
      </c>
      <c r="C619" s="4" t="s">
        <v>70</v>
      </c>
      <c r="D619" s="4" t="s">
        <v>71</v>
      </c>
      <c r="E619" s="4" t="str">
        <f t="shared" si="63"/>
        <v>39|G|C</v>
      </c>
      <c r="F619" s="12">
        <v>39</v>
      </c>
      <c r="G619" s="4">
        <f t="shared" si="64"/>
        <v>72</v>
      </c>
      <c r="H619" s="12">
        <v>1</v>
      </c>
      <c r="I619" s="14">
        <f t="shared" si="65"/>
        <v>0.54166666666666663</v>
      </c>
      <c r="J619" s="14">
        <f t="shared" si="66"/>
        <v>0.52631578947368418</v>
      </c>
      <c r="K619" s="4">
        <f t="shared" si="67"/>
        <v>40</v>
      </c>
      <c r="L619" s="4">
        <f t="shared" si="68"/>
        <v>76</v>
      </c>
      <c r="M619" s="4" t="s">
        <v>519</v>
      </c>
      <c r="N619" s="4">
        <f t="shared" si="69"/>
        <v>1</v>
      </c>
    </row>
    <row r="620" spans="1:14">
      <c r="A620" s="4">
        <v>39</v>
      </c>
      <c r="B620" s="4" t="s">
        <v>557</v>
      </c>
      <c r="C620" s="4" t="s">
        <v>70</v>
      </c>
      <c r="D620" s="4" t="s">
        <v>70</v>
      </c>
      <c r="E620" s="4" t="str">
        <f t="shared" si="63"/>
        <v>39|G|G</v>
      </c>
      <c r="F620" s="12">
        <v>28</v>
      </c>
      <c r="G620" s="4">
        <f t="shared" si="64"/>
        <v>72</v>
      </c>
      <c r="H620" s="12">
        <v>1</v>
      </c>
      <c r="I620" s="14">
        <f t="shared" si="65"/>
        <v>0.3888888888888889</v>
      </c>
      <c r="J620" s="14">
        <f t="shared" si="66"/>
        <v>0.38157894736842107</v>
      </c>
      <c r="K620" s="4">
        <f t="shared" si="67"/>
        <v>29</v>
      </c>
      <c r="L620" s="4">
        <f t="shared" si="68"/>
        <v>76</v>
      </c>
      <c r="M620" s="4" t="s">
        <v>519</v>
      </c>
      <c r="N620" s="4">
        <f t="shared" si="69"/>
        <v>1</v>
      </c>
    </row>
    <row r="621" spans="1:14">
      <c r="A621" s="4">
        <v>39</v>
      </c>
      <c r="B621" s="4" t="s">
        <v>557</v>
      </c>
      <c r="C621" s="4" t="s">
        <v>70</v>
      </c>
      <c r="D621" s="4" t="s">
        <v>72</v>
      </c>
      <c r="E621" s="4" t="str">
        <f t="shared" si="63"/>
        <v>39|G|U</v>
      </c>
      <c r="F621" s="12">
        <v>5</v>
      </c>
      <c r="G621" s="4">
        <f t="shared" si="64"/>
        <v>72</v>
      </c>
      <c r="H621" s="12">
        <v>1</v>
      </c>
      <c r="I621" s="14">
        <f t="shared" si="65"/>
        <v>6.9444444444444448E-2</v>
      </c>
      <c r="J621" s="14">
        <f t="shared" si="66"/>
        <v>7.8947368421052627E-2</v>
      </c>
      <c r="K621" s="4">
        <f t="shared" si="67"/>
        <v>6</v>
      </c>
      <c r="L621" s="4">
        <f t="shared" si="68"/>
        <v>76</v>
      </c>
      <c r="M621" s="4" t="s">
        <v>519</v>
      </c>
      <c r="N621" s="4">
        <f t="shared" si="69"/>
        <v>1</v>
      </c>
    </row>
    <row r="622" spans="1:14">
      <c r="A622" s="4">
        <v>39</v>
      </c>
      <c r="B622" s="4" t="s">
        <v>557</v>
      </c>
      <c r="C622" s="4" t="s">
        <v>72</v>
      </c>
      <c r="D622" s="4" t="s">
        <v>73</v>
      </c>
      <c r="E622" s="4" t="str">
        <f t="shared" si="63"/>
        <v>39|U|A</v>
      </c>
      <c r="F622" s="12">
        <v>1</v>
      </c>
      <c r="G622" s="4">
        <f t="shared" si="64"/>
        <v>59</v>
      </c>
      <c r="H622" s="12">
        <v>1</v>
      </c>
      <c r="I622" s="14">
        <f t="shared" si="65"/>
        <v>1.6949152542372881E-2</v>
      </c>
      <c r="J622" s="14">
        <f t="shared" si="66"/>
        <v>3.1746031746031744E-2</v>
      </c>
      <c r="K622" s="4">
        <f t="shared" si="67"/>
        <v>2</v>
      </c>
      <c r="L622" s="4">
        <f t="shared" si="68"/>
        <v>63</v>
      </c>
      <c r="M622" s="4" t="s">
        <v>519</v>
      </c>
      <c r="N622" s="4">
        <f t="shared" si="69"/>
        <v>1</v>
      </c>
    </row>
    <row r="623" spans="1:14">
      <c r="A623" s="4">
        <v>39</v>
      </c>
      <c r="B623" s="4" t="s">
        <v>557</v>
      </c>
      <c r="C623" s="4" t="s">
        <v>72</v>
      </c>
      <c r="D623" s="4" t="s">
        <v>71</v>
      </c>
      <c r="E623" s="4" t="str">
        <f t="shared" si="63"/>
        <v>39|U|C</v>
      </c>
      <c r="F623" s="12">
        <v>52</v>
      </c>
      <c r="G623" s="4">
        <f t="shared" si="64"/>
        <v>59</v>
      </c>
      <c r="H623" s="12">
        <v>1</v>
      </c>
      <c r="I623" s="14">
        <f t="shared" si="65"/>
        <v>0.88135593220338981</v>
      </c>
      <c r="J623" s="14">
        <f t="shared" si="66"/>
        <v>0.84126984126984128</v>
      </c>
      <c r="K623" s="4">
        <f t="shared" si="67"/>
        <v>53</v>
      </c>
      <c r="L623" s="4">
        <f t="shared" si="68"/>
        <v>63</v>
      </c>
      <c r="M623" s="4" t="s">
        <v>519</v>
      </c>
      <c r="N623" s="4">
        <f t="shared" si="69"/>
        <v>1</v>
      </c>
    </row>
    <row r="624" spans="1:14">
      <c r="A624" s="4">
        <v>39</v>
      </c>
      <c r="B624" s="4" t="s">
        <v>557</v>
      </c>
      <c r="C624" s="4" t="s">
        <v>72</v>
      </c>
      <c r="D624" s="4" t="s">
        <v>70</v>
      </c>
      <c r="E624" s="4" t="str">
        <f t="shared" si="63"/>
        <v>39|U|G</v>
      </c>
      <c r="F624" s="12">
        <v>5</v>
      </c>
      <c r="G624" s="4">
        <f t="shared" si="64"/>
        <v>59</v>
      </c>
      <c r="H624" s="12">
        <v>1</v>
      </c>
      <c r="I624" s="14">
        <f t="shared" si="65"/>
        <v>8.4745762711864403E-2</v>
      </c>
      <c r="J624" s="14">
        <f t="shared" si="66"/>
        <v>9.5238095238095233E-2</v>
      </c>
      <c r="K624" s="4">
        <f t="shared" si="67"/>
        <v>6</v>
      </c>
      <c r="L624" s="4">
        <f t="shared" si="68"/>
        <v>63</v>
      </c>
      <c r="M624" s="4" t="s">
        <v>519</v>
      </c>
      <c r="N624" s="4">
        <f t="shared" si="69"/>
        <v>1</v>
      </c>
    </row>
    <row r="625" spans="1:14">
      <c r="A625" s="4">
        <v>39</v>
      </c>
      <c r="B625" s="4" t="s">
        <v>557</v>
      </c>
      <c r="C625" s="4" t="s">
        <v>72</v>
      </c>
      <c r="D625" s="4" t="s">
        <v>72</v>
      </c>
      <c r="E625" s="4" t="str">
        <f t="shared" si="63"/>
        <v>39|U|U</v>
      </c>
      <c r="F625" s="12">
        <v>1</v>
      </c>
      <c r="G625" s="4">
        <f t="shared" si="64"/>
        <v>59</v>
      </c>
      <c r="H625" s="12">
        <v>1</v>
      </c>
      <c r="I625" s="14">
        <f t="shared" si="65"/>
        <v>1.6949152542372881E-2</v>
      </c>
      <c r="J625" s="14">
        <f t="shared" si="66"/>
        <v>3.1746031746031744E-2</v>
      </c>
      <c r="K625" s="4">
        <f t="shared" si="67"/>
        <v>2</v>
      </c>
      <c r="L625" s="4">
        <f t="shared" si="68"/>
        <v>63</v>
      </c>
      <c r="M625" s="4" t="s">
        <v>519</v>
      </c>
      <c r="N625" s="4">
        <f t="shared" si="69"/>
        <v>1</v>
      </c>
    </row>
    <row r="626" spans="1:14">
      <c r="A626" s="4">
        <v>40</v>
      </c>
      <c r="B626" s="4" t="s">
        <v>558</v>
      </c>
      <c r="C626" s="4" t="s">
        <v>73</v>
      </c>
      <c r="D626" s="4" t="s">
        <v>73</v>
      </c>
      <c r="E626" s="4" t="str">
        <f t="shared" si="63"/>
        <v>40|A|A</v>
      </c>
      <c r="F626" s="12">
        <v>0</v>
      </c>
      <c r="G626" s="4">
        <f t="shared" si="64"/>
        <v>1</v>
      </c>
      <c r="H626" s="12">
        <v>1</v>
      </c>
      <c r="I626" s="14">
        <f t="shared" si="65"/>
        <v>0</v>
      </c>
      <c r="J626" s="14">
        <f t="shared" si="66"/>
        <v>0.2</v>
      </c>
      <c r="K626" s="4">
        <f t="shared" si="67"/>
        <v>1</v>
      </c>
      <c r="L626" s="4">
        <f t="shared" si="68"/>
        <v>5</v>
      </c>
      <c r="M626" s="4" t="s">
        <v>519</v>
      </c>
      <c r="N626" s="4">
        <f t="shared" si="69"/>
        <v>1</v>
      </c>
    </row>
    <row r="627" spans="1:14">
      <c r="A627" s="4">
        <v>40</v>
      </c>
      <c r="B627" s="4" t="s">
        <v>558</v>
      </c>
      <c r="C627" s="4" t="s">
        <v>73</v>
      </c>
      <c r="D627" s="4" t="s">
        <v>71</v>
      </c>
      <c r="E627" s="4" t="str">
        <f t="shared" si="63"/>
        <v>40|A|C</v>
      </c>
      <c r="F627" s="12">
        <v>1</v>
      </c>
      <c r="G627" s="4">
        <f t="shared" si="64"/>
        <v>1</v>
      </c>
      <c r="H627" s="12">
        <v>1</v>
      </c>
      <c r="I627" s="14">
        <f t="shared" si="65"/>
        <v>1</v>
      </c>
      <c r="J627" s="14">
        <f t="shared" si="66"/>
        <v>0.4</v>
      </c>
      <c r="K627" s="4">
        <f t="shared" si="67"/>
        <v>2</v>
      </c>
      <c r="L627" s="4">
        <f t="shared" si="68"/>
        <v>5</v>
      </c>
      <c r="M627" s="4" t="s">
        <v>519</v>
      </c>
      <c r="N627" s="4">
        <f t="shared" si="69"/>
        <v>1</v>
      </c>
    </row>
    <row r="628" spans="1:14">
      <c r="A628" s="4">
        <v>40</v>
      </c>
      <c r="B628" s="4" t="s">
        <v>558</v>
      </c>
      <c r="C628" s="4" t="s">
        <v>73</v>
      </c>
      <c r="D628" s="4" t="s">
        <v>70</v>
      </c>
      <c r="E628" s="4" t="str">
        <f t="shared" si="63"/>
        <v>40|A|G</v>
      </c>
      <c r="F628" s="12">
        <v>0</v>
      </c>
      <c r="G628" s="4">
        <f t="shared" si="64"/>
        <v>1</v>
      </c>
      <c r="H628" s="12">
        <v>1</v>
      </c>
      <c r="I628" s="14">
        <f t="shared" si="65"/>
        <v>0</v>
      </c>
      <c r="J628" s="14">
        <f t="shared" si="66"/>
        <v>0.2</v>
      </c>
      <c r="K628" s="4">
        <f t="shared" si="67"/>
        <v>1</v>
      </c>
      <c r="L628" s="4">
        <f t="shared" si="68"/>
        <v>5</v>
      </c>
      <c r="M628" s="4" t="s">
        <v>519</v>
      </c>
      <c r="N628" s="4">
        <f t="shared" si="69"/>
        <v>1</v>
      </c>
    </row>
    <row r="629" spans="1:14">
      <c r="A629" s="4">
        <v>40</v>
      </c>
      <c r="B629" s="4" t="s">
        <v>558</v>
      </c>
      <c r="C629" s="4" t="s">
        <v>73</v>
      </c>
      <c r="D629" s="4" t="s">
        <v>72</v>
      </c>
      <c r="E629" s="4" t="str">
        <f t="shared" si="63"/>
        <v>40|A|U</v>
      </c>
      <c r="F629" s="12">
        <v>0</v>
      </c>
      <c r="G629" s="4">
        <f t="shared" si="64"/>
        <v>1</v>
      </c>
      <c r="H629" s="12">
        <v>1</v>
      </c>
      <c r="I629" s="14">
        <f t="shared" si="65"/>
        <v>0</v>
      </c>
      <c r="J629" s="14">
        <f t="shared" si="66"/>
        <v>0.2</v>
      </c>
      <c r="K629" s="4">
        <f t="shared" si="67"/>
        <v>1</v>
      </c>
      <c r="L629" s="4">
        <f t="shared" si="68"/>
        <v>5</v>
      </c>
      <c r="M629" s="4" t="s">
        <v>519</v>
      </c>
      <c r="N629" s="4">
        <f t="shared" si="69"/>
        <v>1</v>
      </c>
    </row>
    <row r="630" spans="1:14">
      <c r="A630" s="4">
        <v>40</v>
      </c>
      <c r="B630" s="4" t="s">
        <v>558</v>
      </c>
      <c r="C630" s="4" t="s">
        <v>71</v>
      </c>
      <c r="D630" s="4" t="s">
        <v>73</v>
      </c>
      <c r="E630" s="4" t="str">
        <f t="shared" si="63"/>
        <v>40|C|A</v>
      </c>
      <c r="F630" s="12">
        <v>34</v>
      </c>
      <c r="G630" s="4">
        <f t="shared" si="64"/>
        <v>143</v>
      </c>
      <c r="H630" s="12">
        <v>1</v>
      </c>
      <c r="I630" s="14">
        <f t="shared" si="65"/>
        <v>0.23776223776223776</v>
      </c>
      <c r="J630" s="14">
        <f t="shared" si="66"/>
        <v>0.23809523809523808</v>
      </c>
      <c r="K630" s="4">
        <f t="shared" si="67"/>
        <v>35</v>
      </c>
      <c r="L630" s="4">
        <f t="shared" si="68"/>
        <v>147</v>
      </c>
      <c r="M630" s="4" t="s">
        <v>519</v>
      </c>
      <c r="N630" s="4">
        <f t="shared" si="69"/>
        <v>1</v>
      </c>
    </row>
    <row r="631" spans="1:14">
      <c r="A631" s="4">
        <v>40</v>
      </c>
      <c r="B631" s="4" t="s">
        <v>558</v>
      </c>
      <c r="C631" s="4" t="s">
        <v>71</v>
      </c>
      <c r="D631" s="4" t="s">
        <v>71</v>
      </c>
      <c r="E631" s="4" t="str">
        <f t="shared" si="63"/>
        <v>40|C|C</v>
      </c>
      <c r="F631" s="12">
        <v>57</v>
      </c>
      <c r="G631" s="4">
        <f t="shared" si="64"/>
        <v>143</v>
      </c>
      <c r="H631" s="12">
        <v>1</v>
      </c>
      <c r="I631" s="14">
        <f t="shared" si="65"/>
        <v>0.39860139860139859</v>
      </c>
      <c r="J631" s="14">
        <f t="shared" si="66"/>
        <v>0.39455782312925169</v>
      </c>
      <c r="K631" s="4">
        <f t="shared" si="67"/>
        <v>58</v>
      </c>
      <c r="L631" s="4">
        <f t="shared" si="68"/>
        <v>147</v>
      </c>
      <c r="M631" s="4" t="s">
        <v>519</v>
      </c>
      <c r="N631" s="4">
        <f t="shared" si="69"/>
        <v>1</v>
      </c>
    </row>
    <row r="632" spans="1:14">
      <c r="A632" s="4">
        <v>40</v>
      </c>
      <c r="B632" s="4" t="s">
        <v>558</v>
      </c>
      <c r="C632" s="4" t="s">
        <v>71</v>
      </c>
      <c r="D632" s="4" t="s">
        <v>70</v>
      </c>
      <c r="E632" s="4" t="str">
        <f t="shared" si="63"/>
        <v>40|C|G</v>
      </c>
      <c r="F632" s="12">
        <v>27</v>
      </c>
      <c r="G632" s="4">
        <f t="shared" si="64"/>
        <v>143</v>
      </c>
      <c r="H632" s="12">
        <v>1</v>
      </c>
      <c r="I632" s="14">
        <f t="shared" si="65"/>
        <v>0.1888111888111888</v>
      </c>
      <c r="J632" s="14">
        <f t="shared" si="66"/>
        <v>0.19047619047619047</v>
      </c>
      <c r="K632" s="4">
        <f t="shared" si="67"/>
        <v>28</v>
      </c>
      <c r="L632" s="4">
        <f t="shared" si="68"/>
        <v>147</v>
      </c>
      <c r="M632" s="4" t="s">
        <v>519</v>
      </c>
      <c r="N632" s="4">
        <f t="shared" si="69"/>
        <v>1</v>
      </c>
    </row>
    <row r="633" spans="1:14">
      <c r="A633" s="4">
        <v>40</v>
      </c>
      <c r="B633" s="4" t="s">
        <v>558</v>
      </c>
      <c r="C633" s="4" t="s">
        <v>71</v>
      </c>
      <c r="D633" s="4" t="s">
        <v>72</v>
      </c>
      <c r="E633" s="4" t="str">
        <f t="shared" si="63"/>
        <v>40|C|U</v>
      </c>
      <c r="F633" s="12">
        <v>25</v>
      </c>
      <c r="G633" s="4">
        <f t="shared" si="64"/>
        <v>143</v>
      </c>
      <c r="H633" s="12">
        <v>1</v>
      </c>
      <c r="I633" s="14">
        <f t="shared" si="65"/>
        <v>0.17482517482517482</v>
      </c>
      <c r="J633" s="14">
        <f t="shared" si="66"/>
        <v>0.17687074829931973</v>
      </c>
      <c r="K633" s="4">
        <f t="shared" si="67"/>
        <v>26</v>
      </c>
      <c r="L633" s="4">
        <f t="shared" si="68"/>
        <v>147</v>
      </c>
      <c r="M633" s="4" t="s">
        <v>519</v>
      </c>
      <c r="N633" s="4">
        <f t="shared" si="69"/>
        <v>1</v>
      </c>
    </row>
    <row r="634" spans="1:14">
      <c r="A634" s="4">
        <v>40</v>
      </c>
      <c r="B634" s="4" t="s">
        <v>558</v>
      </c>
      <c r="C634" s="4" t="s">
        <v>70</v>
      </c>
      <c r="D634" s="4" t="s">
        <v>73</v>
      </c>
      <c r="E634" s="4" t="str">
        <f t="shared" si="63"/>
        <v>40|G|A</v>
      </c>
      <c r="F634" s="12">
        <v>18</v>
      </c>
      <c r="G634" s="4">
        <f t="shared" si="64"/>
        <v>48</v>
      </c>
      <c r="H634" s="12">
        <v>1</v>
      </c>
      <c r="I634" s="14">
        <f t="shared" si="65"/>
        <v>0.375</v>
      </c>
      <c r="J634" s="14">
        <f t="shared" si="66"/>
        <v>0.36538461538461536</v>
      </c>
      <c r="K634" s="4">
        <f t="shared" si="67"/>
        <v>19</v>
      </c>
      <c r="L634" s="4">
        <f t="shared" si="68"/>
        <v>52</v>
      </c>
      <c r="M634" s="4" t="s">
        <v>519</v>
      </c>
      <c r="N634" s="4">
        <f t="shared" si="69"/>
        <v>1</v>
      </c>
    </row>
    <row r="635" spans="1:14">
      <c r="A635" s="4">
        <v>40</v>
      </c>
      <c r="B635" s="4" t="s">
        <v>558</v>
      </c>
      <c r="C635" s="4" t="s">
        <v>70</v>
      </c>
      <c r="D635" s="4" t="s">
        <v>71</v>
      </c>
      <c r="E635" s="4" t="str">
        <f t="shared" si="63"/>
        <v>40|G|C</v>
      </c>
      <c r="F635" s="12">
        <v>15</v>
      </c>
      <c r="G635" s="4">
        <f t="shared" si="64"/>
        <v>48</v>
      </c>
      <c r="H635" s="12">
        <v>1</v>
      </c>
      <c r="I635" s="14">
        <f t="shared" si="65"/>
        <v>0.3125</v>
      </c>
      <c r="J635" s="14">
        <f t="shared" si="66"/>
        <v>0.30769230769230771</v>
      </c>
      <c r="K635" s="4">
        <f t="shared" si="67"/>
        <v>16</v>
      </c>
      <c r="L635" s="4">
        <f t="shared" si="68"/>
        <v>52</v>
      </c>
      <c r="M635" s="4" t="s">
        <v>519</v>
      </c>
      <c r="N635" s="4">
        <f t="shared" si="69"/>
        <v>1</v>
      </c>
    </row>
    <row r="636" spans="1:14">
      <c r="A636" s="4">
        <v>40</v>
      </c>
      <c r="B636" s="4" t="s">
        <v>558</v>
      </c>
      <c r="C636" s="4" t="s">
        <v>70</v>
      </c>
      <c r="D636" s="4" t="s">
        <v>70</v>
      </c>
      <c r="E636" s="4" t="str">
        <f t="shared" si="63"/>
        <v>40|G|G</v>
      </c>
      <c r="F636" s="12">
        <v>7</v>
      </c>
      <c r="G636" s="4">
        <f t="shared" si="64"/>
        <v>48</v>
      </c>
      <c r="H636" s="12">
        <v>1</v>
      </c>
      <c r="I636" s="14">
        <f t="shared" si="65"/>
        <v>0.14583333333333334</v>
      </c>
      <c r="J636" s="14">
        <f t="shared" si="66"/>
        <v>0.15384615384615385</v>
      </c>
      <c r="K636" s="4">
        <f t="shared" si="67"/>
        <v>8</v>
      </c>
      <c r="L636" s="4">
        <f t="shared" si="68"/>
        <v>52</v>
      </c>
      <c r="M636" s="4" t="s">
        <v>519</v>
      </c>
      <c r="N636" s="4">
        <f t="shared" si="69"/>
        <v>1</v>
      </c>
    </row>
    <row r="637" spans="1:14">
      <c r="A637" s="4">
        <v>40</v>
      </c>
      <c r="B637" s="4" t="s">
        <v>558</v>
      </c>
      <c r="C637" s="4" t="s">
        <v>70</v>
      </c>
      <c r="D637" s="4" t="s">
        <v>72</v>
      </c>
      <c r="E637" s="4" t="str">
        <f t="shared" si="63"/>
        <v>40|G|U</v>
      </c>
      <c r="F637" s="12">
        <v>8</v>
      </c>
      <c r="G637" s="4">
        <f t="shared" si="64"/>
        <v>48</v>
      </c>
      <c r="H637" s="12">
        <v>1</v>
      </c>
      <c r="I637" s="14">
        <f t="shared" si="65"/>
        <v>0.16666666666666666</v>
      </c>
      <c r="J637" s="14">
        <f t="shared" si="66"/>
        <v>0.17307692307692307</v>
      </c>
      <c r="K637" s="4">
        <f t="shared" si="67"/>
        <v>9</v>
      </c>
      <c r="L637" s="4">
        <f t="shared" si="68"/>
        <v>52</v>
      </c>
      <c r="M637" s="4" t="s">
        <v>519</v>
      </c>
      <c r="N637" s="4">
        <f t="shared" si="69"/>
        <v>1</v>
      </c>
    </row>
    <row r="638" spans="1:14">
      <c r="A638" s="4">
        <v>40</v>
      </c>
      <c r="B638" s="4" t="s">
        <v>558</v>
      </c>
      <c r="C638" s="4" t="s">
        <v>72</v>
      </c>
      <c r="D638" s="4" t="s">
        <v>73</v>
      </c>
      <c r="E638" s="4" t="str">
        <f t="shared" si="63"/>
        <v>40|U|A</v>
      </c>
      <c r="F638" s="12">
        <v>2</v>
      </c>
      <c r="G638" s="4">
        <f t="shared" si="64"/>
        <v>8</v>
      </c>
      <c r="H638" s="12">
        <v>1</v>
      </c>
      <c r="I638" s="14">
        <f t="shared" si="65"/>
        <v>0.25</v>
      </c>
      <c r="J638" s="14">
        <f t="shared" si="66"/>
        <v>0.25</v>
      </c>
      <c r="K638" s="4">
        <f t="shared" si="67"/>
        <v>3</v>
      </c>
      <c r="L638" s="4">
        <f t="shared" si="68"/>
        <v>12</v>
      </c>
      <c r="M638" s="4" t="s">
        <v>519</v>
      </c>
      <c r="N638" s="4">
        <f t="shared" si="69"/>
        <v>1</v>
      </c>
    </row>
    <row r="639" spans="1:14">
      <c r="A639" s="4">
        <v>40</v>
      </c>
      <c r="B639" s="4" t="s">
        <v>558</v>
      </c>
      <c r="C639" s="4" t="s">
        <v>72</v>
      </c>
      <c r="D639" s="4" t="s">
        <v>71</v>
      </c>
      <c r="E639" s="4" t="str">
        <f t="shared" si="63"/>
        <v>40|U|C</v>
      </c>
      <c r="F639" s="12">
        <v>4</v>
      </c>
      <c r="G639" s="4">
        <f t="shared" si="64"/>
        <v>8</v>
      </c>
      <c r="H639" s="12">
        <v>1</v>
      </c>
      <c r="I639" s="14">
        <f t="shared" si="65"/>
        <v>0.5</v>
      </c>
      <c r="J639" s="14">
        <f t="shared" si="66"/>
        <v>0.41666666666666669</v>
      </c>
      <c r="K639" s="4">
        <f t="shared" si="67"/>
        <v>5</v>
      </c>
      <c r="L639" s="4">
        <f t="shared" si="68"/>
        <v>12</v>
      </c>
      <c r="M639" s="4" t="s">
        <v>519</v>
      </c>
      <c r="N639" s="4">
        <f t="shared" si="69"/>
        <v>1</v>
      </c>
    </row>
    <row r="640" spans="1:14">
      <c r="A640" s="4">
        <v>40</v>
      </c>
      <c r="B640" s="4" t="s">
        <v>558</v>
      </c>
      <c r="C640" s="4" t="s">
        <v>72</v>
      </c>
      <c r="D640" s="4" t="s">
        <v>70</v>
      </c>
      <c r="E640" s="4" t="str">
        <f t="shared" si="63"/>
        <v>40|U|G</v>
      </c>
      <c r="F640" s="12">
        <v>2</v>
      </c>
      <c r="G640" s="4">
        <f t="shared" si="64"/>
        <v>8</v>
      </c>
      <c r="H640" s="12">
        <v>1</v>
      </c>
      <c r="I640" s="14">
        <f t="shared" si="65"/>
        <v>0.25</v>
      </c>
      <c r="J640" s="14">
        <f t="shared" si="66"/>
        <v>0.25</v>
      </c>
      <c r="K640" s="4">
        <f t="shared" si="67"/>
        <v>3</v>
      </c>
      <c r="L640" s="4">
        <f t="shared" si="68"/>
        <v>12</v>
      </c>
      <c r="M640" s="4" t="s">
        <v>519</v>
      </c>
      <c r="N640" s="4">
        <f t="shared" si="69"/>
        <v>1</v>
      </c>
    </row>
    <row r="641" spans="1:14">
      <c r="A641" s="4">
        <v>40</v>
      </c>
      <c r="B641" s="4" t="s">
        <v>558</v>
      </c>
      <c r="C641" s="4" t="s">
        <v>72</v>
      </c>
      <c r="D641" s="4" t="s">
        <v>72</v>
      </c>
      <c r="E641" s="4" t="str">
        <f t="shared" si="63"/>
        <v>40|U|U</v>
      </c>
      <c r="F641" s="12">
        <v>0</v>
      </c>
      <c r="G641" s="4">
        <f t="shared" si="64"/>
        <v>8</v>
      </c>
      <c r="H641" s="12">
        <v>1</v>
      </c>
      <c r="I641" s="14">
        <f t="shared" si="65"/>
        <v>0</v>
      </c>
      <c r="J641" s="14">
        <f t="shared" si="66"/>
        <v>8.3333333333333329E-2</v>
      </c>
      <c r="K641" s="4">
        <f t="shared" si="67"/>
        <v>1</v>
      </c>
      <c r="L641" s="4">
        <f t="shared" si="68"/>
        <v>12</v>
      </c>
      <c r="M641" s="4" t="s">
        <v>519</v>
      </c>
      <c r="N641" s="4">
        <f t="shared" si="69"/>
        <v>1</v>
      </c>
    </row>
    <row r="642" spans="1:14">
      <c r="A642" s="4">
        <v>41</v>
      </c>
      <c r="B642" s="4" t="s">
        <v>559</v>
      </c>
      <c r="C642" s="4" t="s">
        <v>73</v>
      </c>
      <c r="D642" s="4" t="s">
        <v>73</v>
      </c>
      <c r="E642" s="4" t="str">
        <f t="shared" ref="E642:E705" si="70">A642&amp;"|"&amp;C642&amp;"|"&amp;D642</f>
        <v>41|A|A</v>
      </c>
      <c r="F642" s="12">
        <v>14</v>
      </c>
      <c r="G642" s="4">
        <f t="shared" ref="G642:G705" si="71">SUMIFS($F$2:$F$1137,$A$2:$A$1137,A642,$C$2:$C$1137,C642)</f>
        <v>54</v>
      </c>
      <c r="H642" s="12">
        <v>1</v>
      </c>
      <c r="I642" s="14">
        <f t="shared" ref="I642:I705" si="72">IF(G642=0,"",F642/G642)</f>
        <v>0.25925925925925924</v>
      </c>
      <c r="J642" s="14">
        <f t="shared" ref="J642:J705" si="73">K642/L642</f>
        <v>0.25862068965517243</v>
      </c>
      <c r="K642" s="4">
        <f t="shared" ref="K642:K705" si="74">F642+H642</f>
        <v>15</v>
      </c>
      <c r="L642" s="4">
        <f t="shared" ref="L642:L705" si="75">G642+4*H642</f>
        <v>58</v>
      </c>
      <c r="M642" s="4" t="s">
        <v>519</v>
      </c>
      <c r="N642" s="4">
        <f t="shared" ref="N642:N705" si="76">ROUND(SUMIFS($J$2:$J$1137,$A$2:$A$1137,A642,$C$2:$C$1137,C642),9)</f>
        <v>1</v>
      </c>
    </row>
    <row r="643" spans="1:14">
      <c r="A643" s="4">
        <v>41</v>
      </c>
      <c r="B643" s="4" t="s">
        <v>559</v>
      </c>
      <c r="C643" s="4" t="s">
        <v>73</v>
      </c>
      <c r="D643" s="4" t="s">
        <v>71</v>
      </c>
      <c r="E643" s="4" t="str">
        <f t="shared" si="70"/>
        <v>41|A|C</v>
      </c>
      <c r="F643" s="12">
        <v>1</v>
      </c>
      <c r="G643" s="4">
        <f t="shared" si="71"/>
        <v>54</v>
      </c>
      <c r="H643" s="12">
        <v>1</v>
      </c>
      <c r="I643" s="14">
        <f t="shared" si="72"/>
        <v>1.8518518518518517E-2</v>
      </c>
      <c r="J643" s="14">
        <f t="shared" si="73"/>
        <v>3.4482758620689655E-2</v>
      </c>
      <c r="K643" s="4">
        <f t="shared" si="74"/>
        <v>2</v>
      </c>
      <c r="L643" s="4">
        <f t="shared" si="75"/>
        <v>58</v>
      </c>
      <c r="M643" s="4" t="s">
        <v>519</v>
      </c>
      <c r="N643" s="4">
        <f t="shared" si="76"/>
        <v>1</v>
      </c>
    </row>
    <row r="644" spans="1:14">
      <c r="A644" s="4">
        <v>41</v>
      </c>
      <c r="B644" s="4" t="s">
        <v>559</v>
      </c>
      <c r="C644" s="4" t="s">
        <v>73</v>
      </c>
      <c r="D644" s="4" t="s">
        <v>70</v>
      </c>
      <c r="E644" s="4" t="str">
        <f t="shared" si="70"/>
        <v>41|A|G</v>
      </c>
      <c r="F644" s="12">
        <v>30</v>
      </c>
      <c r="G644" s="4">
        <f t="shared" si="71"/>
        <v>54</v>
      </c>
      <c r="H644" s="12">
        <v>1</v>
      </c>
      <c r="I644" s="14">
        <f t="shared" si="72"/>
        <v>0.55555555555555558</v>
      </c>
      <c r="J644" s="14">
        <f t="shared" si="73"/>
        <v>0.53448275862068961</v>
      </c>
      <c r="K644" s="4">
        <f t="shared" si="74"/>
        <v>31</v>
      </c>
      <c r="L644" s="4">
        <f t="shared" si="75"/>
        <v>58</v>
      </c>
      <c r="M644" s="4" t="s">
        <v>519</v>
      </c>
      <c r="N644" s="4">
        <f t="shared" si="76"/>
        <v>1</v>
      </c>
    </row>
    <row r="645" spans="1:14">
      <c r="A645" s="4">
        <v>41</v>
      </c>
      <c r="B645" s="4" t="s">
        <v>559</v>
      </c>
      <c r="C645" s="4" t="s">
        <v>73</v>
      </c>
      <c r="D645" s="4" t="s">
        <v>72</v>
      </c>
      <c r="E645" s="4" t="str">
        <f t="shared" si="70"/>
        <v>41|A|U</v>
      </c>
      <c r="F645" s="12">
        <v>9</v>
      </c>
      <c r="G645" s="4">
        <f t="shared" si="71"/>
        <v>54</v>
      </c>
      <c r="H645" s="12">
        <v>1</v>
      </c>
      <c r="I645" s="14">
        <f t="shared" si="72"/>
        <v>0.16666666666666666</v>
      </c>
      <c r="J645" s="14">
        <f t="shared" si="73"/>
        <v>0.17241379310344829</v>
      </c>
      <c r="K645" s="4">
        <f t="shared" si="74"/>
        <v>10</v>
      </c>
      <c r="L645" s="4">
        <f t="shared" si="75"/>
        <v>58</v>
      </c>
      <c r="M645" s="4" t="s">
        <v>519</v>
      </c>
      <c r="N645" s="4">
        <f t="shared" si="76"/>
        <v>1</v>
      </c>
    </row>
    <row r="646" spans="1:14">
      <c r="A646" s="4">
        <v>41</v>
      </c>
      <c r="B646" s="4" t="s">
        <v>559</v>
      </c>
      <c r="C646" s="4" t="s">
        <v>71</v>
      </c>
      <c r="D646" s="4" t="s">
        <v>73</v>
      </c>
      <c r="E646" s="4" t="str">
        <f t="shared" si="70"/>
        <v>41|C|A</v>
      </c>
      <c r="F646" s="12">
        <v>16</v>
      </c>
      <c r="G646" s="4">
        <f t="shared" si="71"/>
        <v>77</v>
      </c>
      <c r="H646" s="12">
        <v>1</v>
      </c>
      <c r="I646" s="14">
        <f t="shared" si="72"/>
        <v>0.20779220779220781</v>
      </c>
      <c r="J646" s="14">
        <f t="shared" si="73"/>
        <v>0.20987654320987653</v>
      </c>
      <c r="K646" s="4">
        <f t="shared" si="74"/>
        <v>17</v>
      </c>
      <c r="L646" s="4">
        <f t="shared" si="75"/>
        <v>81</v>
      </c>
      <c r="M646" s="4" t="s">
        <v>519</v>
      </c>
      <c r="N646" s="4">
        <f t="shared" si="76"/>
        <v>1</v>
      </c>
    </row>
    <row r="647" spans="1:14">
      <c r="A647" s="4">
        <v>41</v>
      </c>
      <c r="B647" s="4" t="s">
        <v>559</v>
      </c>
      <c r="C647" s="4" t="s">
        <v>71</v>
      </c>
      <c r="D647" s="4" t="s">
        <v>71</v>
      </c>
      <c r="E647" s="4" t="str">
        <f t="shared" si="70"/>
        <v>41|C|C</v>
      </c>
      <c r="F647" s="12">
        <v>10</v>
      </c>
      <c r="G647" s="4">
        <f t="shared" si="71"/>
        <v>77</v>
      </c>
      <c r="H647" s="12">
        <v>1</v>
      </c>
      <c r="I647" s="14">
        <f t="shared" si="72"/>
        <v>0.12987012987012986</v>
      </c>
      <c r="J647" s="14">
        <f t="shared" si="73"/>
        <v>0.13580246913580246</v>
      </c>
      <c r="K647" s="4">
        <f t="shared" si="74"/>
        <v>11</v>
      </c>
      <c r="L647" s="4">
        <f t="shared" si="75"/>
        <v>81</v>
      </c>
      <c r="M647" s="4" t="s">
        <v>519</v>
      </c>
      <c r="N647" s="4">
        <f t="shared" si="76"/>
        <v>1</v>
      </c>
    </row>
    <row r="648" spans="1:14">
      <c r="A648" s="4">
        <v>41</v>
      </c>
      <c r="B648" s="4" t="s">
        <v>559</v>
      </c>
      <c r="C648" s="4" t="s">
        <v>71</v>
      </c>
      <c r="D648" s="4" t="s">
        <v>70</v>
      </c>
      <c r="E648" s="4" t="str">
        <f t="shared" si="70"/>
        <v>41|C|G</v>
      </c>
      <c r="F648" s="12">
        <v>47</v>
      </c>
      <c r="G648" s="4">
        <f t="shared" si="71"/>
        <v>77</v>
      </c>
      <c r="H648" s="12">
        <v>1</v>
      </c>
      <c r="I648" s="14">
        <f t="shared" si="72"/>
        <v>0.61038961038961037</v>
      </c>
      <c r="J648" s="14">
        <f t="shared" si="73"/>
        <v>0.59259259259259256</v>
      </c>
      <c r="K648" s="4">
        <f t="shared" si="74"/>
        <v>48</v>
      </c>
      <c r="L648" s="4">
        <f t="shared" si="75"/>
        <v>81</v>
      </c>
      <c r="M648" s="4" t="s">
        <v>519</v>
      </c>
      <c r="N648" s="4">
        <f t="shared" si="76"/>
        <v>1</v>
      </c>
    </row>
    <row r="649" spans="1:14">
      <c r="A649" s="4">
        <v>41</v>
      </c>
      <c r="B649" s="4" t="s">
        <v>559</v>
      </c>
      <c r="C649" s="4" t="s">
        <v>71</v>
      </c>
      <c r="D649" s="4" t="s">
        <v>72</v>
      </c>
      <c r="E649" s="4" t="str">
        <f t="shared" si="70"/>
        <v>41|C|U</v>
      </c>
      <c r="F649" s="12">
        <v>4</v>
      </c>
      <c r="G649" s="4">
        <f t="shared" si="71"/>
        <v>77</v>
      </c>
      <c r="H649" s="12">
        <v>1</v>
      </c>
      <c r="I649" s="14">
        <f t="shared" si="72"/>
        <v>5.1948051948051951E-2</v>
      </c>
      <c r="J649" s="14">
        <f t="shared" si="73"/>
        <v>6.1728395061728392E-2</v>
      </c>
      <c r="K649" s="4">
        <f t="shared" si="74"/>
        <v>5</v>
      </c>
      <c r="L649" s="4">
        <f t="shared" si="75"/>
        <v>81</v>
      </c>
      <c r="M649" s="4" t="s">
        <v>519</v>
      </c>
      <c r="N649" s="4">
        <f t="shared" si="76"/>
        <v>1</v>
      </c>
    </row>
    <row r="650" spans="1:14">
      <c r="A650" s="4">
        <v>41</v>
      </c>
      <c r="B650" s="4" t="s">
        <v>559</v>
      </c>
      <c r="C650" s="4" t="s">
        <v>70</v>
      </c>
      <c r="D650" s="4" t="s">
        <v>73</v>
      </c>
      <c r="E650" s="4" t="str">
        <f t="shared" si="70"/>
        <v>41|G|A</v>
      </c>
      <c r="F650" s="12">
        <v>12</v>
      </c>
      <c r="G650" s="4">
        <f t="shared" si="71"/>
        <v>36</v>
      </c>
      <c r="H650" s="12">
        <v>1</v>
      </c>
      <c r="I650" s="14">
        <f t="shared" si="72"/>
        <v>0.33333333333333331</v>
      </c>
      <c r="J650" s="14">
        <f t="shared" si="73"/>
        <v>0.32500000000000001</v>
      </c>
      <c r="K650" s="4">
        <f t="shared" si="74"/>
        <v>13</v>
      </c>
      <c r="L650" s="4">
        <f t="shared" si="75"/>
        <v>40</v>
      </c>
      <c r="M650" s="4" t="s">
        <v>519</v>
      </c>
      <c r="N650" s="4">
        <f t="shared" si="76"/>
        <v>1</v>
      </c>
    </row>
    <row r="651" spans="1:14">
      <c r="A651" s="4">
        <v>41</v>
      </c>
      <c r="B651" s="4" t="s">
        <v>559</v>
      </c>
      <c r="C651" s="4" t="s">
        <v>70</v>
      </c>
      <c r="D651" s="4" t="s">
        <v>71</v>
      </c>
      <c r="E651" s="4" t="str">
        <f t="shared" si="70"/>
        <v>41|G|C</v>
      </c>
      <c r="F651" s="12">
        <v>4</v>
      </c>
      <c r="G651" s="4">
        <f t="shared" si="71"/>
        <v>36</v>
      </c>
      <c r="H651" s="12">
        <v>1</v>
      </c>
      <c r="I651" s="14">
        <f t="shared" si="72"/>
        <v>0.1111111111111111</v>
      </c>
      <c r="J651" s="14">
        <f t="shared" si="73"/>
        <v>0.125</v>
      </c>
      <c r="K651" s="4">
        <f t="shared" si="74"/>
        <v>5</v>
      </c>
      <c r="L651" s="4">
        <f t="shared" si="75"/>
        <v>40</v>
      </c>
      <c r="M651" s="4" t="s">
        <v>519</v>
      </c>
      <c r="N651" s="4">
        <f t="shared" si="76"/>
        <v>1</v>
      </c>
    </row>
    <row r="652" spans="1:14">
      <c r="A652" s="4">
        <v>41</v>
      </c>
      <c r="B652" s="4" t="s">
        <v>559</v>
      </c>
      <c r="C652" s="4" t="s">
        <v>70</v>
      </c>
      <c r="D652" s="4" t="s">
        <v>70</v>
      </c>
      <c r="E652" s="4" t="str">
        <f t="shared" si="70"/>
        <v>41|G|G</v>
      </c>
      <c r="F652" s="12">
        <v>10</v>
      </c>
      <c r="G652" s="4">
        <f t="shared" si="71"/>
        <v>36</v>
      </c>
      <c r="H652" s="12">
        <v>1</v>
      </c>
      <c r="I652" s="14">
        <f t="shared" si="72"/>
        <v>0.27777777777777779</v>
      </c>
      <c r="J652" s="14">
        <f t="shared" si="73"/>
        <v>0.27500000000000002</v>
      </c>
      <c r="K652" s="4">
        <f t="shared" si="74"/>
        <v>11</v>
      </c>
      <c r="L652" s="4">
        <f t="shared" si="75"/>
        <v>40</v>
      </c>
      <c r="M652" s="4" t="s">
        <v>519</v>
      </c>
      <c r="N652" s="4">
        <f t="shared" si="76"/>
        <v>1</v>
      </c>
    </row>
    <row r="653" spans="1:14">
      <c r="A653" s="4">
        <v>41</v>
      </c>
      <c r="B653" s="4" t="s">
        <v>559</v>
      </c>
      <c r="C653" s="4" t="s">
        <v>70</v>
      </c>
      <c r="D653" s="4" t="s">
        <v>72</v>
      </c>
      <c r="E653" s="4" t="str">
        <f t="shared" si="70"/>
        <v>41|G|U</v>
      </c>
      <c r="F653" s="12">
        <v>10</v>
      </c>
      <c r="G653" s="4">
        <f t="shared" si="71"/>
        <v>36</v>
      </c>
      <c r="H653" s="12">
        <v>1</v>
      </c>
      <c r="I653" s="14">
        <f t="shared" si="72"/>
        <v>0.27777777777777779</v>
      </c>
      <c r="J653" s="14">
        <f t="shared" si="73"/>
        <v>0.27500000000000002</v>
      </c>
      <c r="K653" s="4">
        <f t="shared" si="74"/>
        <v>11</v>
      </c>
      <c r="L653" s="4">
        <f t="shared" si="75"/>
        <v>40</v>
      </c>
      <c r="M653" s="4" t="s">
        <v>519</v>
      </c>
      <c r="N653" s="4">
        <f t="shared" si="76"/>
        <v>1</v>
      </c>
    </row>
    <row r="654" spans="1:14">
      <c r="A654" s="4">
        <v>41</v>
      </c>
      <c r="B654" s="4" t="s">
        <v>559</v>
      </c>
      <c r="C654" s="4" t="s">
        <v>72</v>
      </c>
      <c r="D654" s="4" t="s">
        <v>73</v>
      </c>
      <c r="E654" s="4" t="str">
        <f t="shared" si="70"/>
        <v>41|U|A</v>
      </c>
      <c r="F654" s="12">
        <v>7</v>
      </c>
      <c r="G654" s="4">
        <f t="shared" si="71"/>
        <v>33</v>
      </c>
      <c r="H654" s="12">
        <v>1</v>
      </c>
      <c r="I654" s="14">
        <f t="shared" si="72"/>
        <v>0.21212121212121213</v>
      </c>
      <c r="J654" s="14">
        <f t="shared" si="73"/>
        <v>0.21621621621621623</v>
      </c>
      <c r="K654" s="4">
        <f t="shared" si="74"/>
        <v>8</v>
      </c>
      <c r="L654" s="4">
        <f t="shared" si="75"/>
        <v>37</v>
      </c>
      <c r="M654" s="4" t="s">
        <v>519</v>
      </c>
      <c r="N654" s="4">
        <f t="shared" si="76"/>
        <v>1</v>
      </c>
    </row>
    <row r="655" spans="1:14">
      <c r="A655" s="4">
        <v>41</v>
      </c>
      <c r="B655" s="4" t="s">
        <v>559</v>
      </c>
      <c r="C655" s="4" t="s">
        <v>72</v>
      </c>
      <c r="D655" s="4" t="s">
        <v>71</v>
      </c>
      <c r="E655" s="4" t="str">
        <f t="shared" si="70"/>
        <v>41|U|C</v>
      </c>
      <c r="F655" s="12">
        <v>5</v>
      </c>
      <c r="G655" s="4">
        <f t="shared" si="71"/>
        <v>33</v>
      </c>
      <c r="H655" s="12">
        <v>1</v>
      </c>
      <c r="I655" s="14">
        <f t="shared" si="72"/>
        <v>0.15151515151515152</v>
      </c>
      <c r="J655" s="14">
        <f t="shared" si="73"/>
        <v>0.16216216216216217</v>
      </c>
      <c r="K655" s="4">
        <f t="shared" si="74"/>
        <v>6</v>
      </c>
      <c r="L655" s="4">
        <f t="shared" si="75"/>
        <v>37</v>
      </c>
      <c r="M655" s="4" t="s">
        <v>519</v>
      </c>
      <c r="N655" s="4">
        <f t="shared" si="76"/>
        <v>1</v>
      </c>
    </row>
    <row r="656" spans="1:14">
      <c r="A656" s="4">
        <v>41</v>
      </c>
      <c r="B656" s="4" t="s">
        <v>559</v>
      </c>
      <c r="C656" s="4" t="s">
        <v>72</v>
      </c>
      <c r="D656" s="4" t="s">
        <v>70</v>
      </c>
      <c r="E656" s="4" t="str">
        <f t="shared" si="70"/>
        <v>41|U|G</v>
      </c>
      <c r="F656" s="12">
        <v>18</v>
      </c>
      <c r="G656" s="4">
        <f t="shared" si="71"/>
        <v>33</v>
      </c>
      <c r="H656" s="12">
        <v>1</v>
      </c>
      <c r="I656" s="14">
        <f t="shared" si="72"/>
        <v>0.54545454545454541</v>
      </c>
      <c r="J656" s="14">
        <f t="shared" si="73"/>
        <v>0.51351351351351349</v>
      </c>
      <c r="K656" s="4">
        <f t="shared" si="74"/>
        <v>19</v>
      </c>
      <c r="L656" s="4">
        <f t="shared" si="75"/>
        <v>37</v>
      </c>
      <c r="M656" s="4" t="s">
        <v>519</v>
      </c>
      <c r="N656" s="4">
        <f t="shared" si="76"/>
        <v>1</v>
      </c>
    </row>
    <row r="657" spans="1:14">
      <c r="A657" s="4">
        <v>41</v>
      </c>
      <c r="B657" s="4" t="s">
        <v>559</v>
      </c>
      <c r="C657" s="4" t="s">
        <v>72</v>
      </c>
      <c r="D657" s="4" t="s">
        <v>72</v>
      </c>
      <c r="E657" s="4" t="str">
        <f t="shared" si="70"/>
        <v>41|U|U</v>
      </c>
      <c r="F657" s="12">
        <v>3</v>
      </c>
      <c r="G657" s="4">
        <f t="shared" si="71"/>
        <v>33</v>
      </c>
      <c r="H657" s="12">
        <v>1</v>
      </c>
      <c r="I657" s="14">
        <f t="shared" si="72"/>
        <v>9.0909090909090912E-2</v>
      </c>
      <c r="J657" s="14">
        <f t="shared" si="73"/>
        <v>0.10810810810810811</v>
      </c>
      <c r="K657" s="4">
        <f t="shared" si="74"/>
        <v>4</v>
      </c>
      <c r="L657" s="4">
        <f t="shared" si="75"/>
        <v>37</v>
      </c>
      <c r="M657" s="4" t="s">
        <v>519</v>
      </c>
      <c r="N657" s="4">
        <f t="shared" si="76"/>
        <v>1</v>
      </c>
    </row>
    <row r="658" spans="1:14">
      <c r="A658" s="4">
        <v>42</v>
      </c>
      <c r="B658" s="4" t="s">
        <v>560</v>
      </c>
      <c r="C658" s="4" t="s">
        <v>73</v>
      </c>
      <c r="D658" s="4" t="s">
        <v>73</v>
      </c>
      <c r="E658" s="4" t="str">
        <f t="shared" si="70"/>
        <v>42|A|A</v>
      </c>
      <c r="F658" s="12">
        <v>13</v>
      </c>
      <c r="G658" s="4">
        <f t="shared" si="71"/>
        <v>49</v>
      </c>
      <c r="H658" s="12">
        <v>1</v>
      </c>
      <c r="I658" s="14">
        <f t="shared" si="72"/>
        <v>0.26530612244897961</v>
      </c>
      <c r="J658" s="14">
        <f t="shared" si="73"/>
        <v>0.26415094339622641</v>
      </c>
      <c r="K658" s="4">
        <f t="shared" si="74"/>
        <v>14</v>
      </c>
      <c r="L658" s="4">
        <f t="shared" si="75"/>
        <v>53</v>
      </c>
      <c r="M658" s="4" t="s">
        <v>519</v>
      </c>
      <c r="N658" s="4">
        <f t="shared" si="76"/>
        <v>1</v>
      </c>
    </row>
    <row r="659" spans="1:14">
      <c r="A659" s="4">
        <v>42</v>
      </c>
      <c r="B659" s="4" t="s">
        <v>560</v>
      </c>
      <c r="C659" s="4" t="s">
        <v>73</v>
      </c>
      <c r="D659" s="4" t="s">
        <v>71</v>
      </c>
      <c r="E659" s="4" t="str">
        <f t="shared" si="70"/>
        <v>42|A|C</v>
      </c>
      <c r="F659" s="12">
        <v>0</v>
      </c>
      <c r="G659" s="4">
        <f t="shared" si="71"/>
        <v>49</v>
      </c>
      <c r="H659" s="12">
        <v>1</v>
      </c>
      <c r="I659" s="14">
        <f t="shared" si="72"/>
        <v>0</v>
      </c>
      <c r="J659" s="14">
        <f t="shared" si="73"/>
        <v>1.8867924528301886E-2</v>
      </c>
      <c r="K659" s="4">
        <f t="shared" si="74"/>
        <v>1</v>
      </c>
      <c r="L659" s="4">
        <f t="shared" si="75"/>
        <v>53</v>
      </c>
      <c r="M659" s="4" t="s">
        <v>519</v>
      </c>
      <c r="N659" s="4">
        <f t="shared" si="76"/>
        <v>1</v>
      </c>
    </row>
    <row r="660" spans="1:14">
      <c r="A660" s="4">
        <v>42</v>
      </c>
      <c r="B660" s="4" t="s">
        <v>560</v>
      </c>
      <c r="C660" s="4" t="s">
        <v>73</v>
      </c>
      <c r="D660" s="4" t="s">
        <v>70</v>
      </c>
      <c r="E660" s="4" t="str">
        <f t="shared" si="70"/>
        <v>42|A|G</v>
      </c>
      <c r="F660" s="12">
        <v>31</v>
      </c>
      <c r="G660" s="4">
        <f t="shared" si="71"/>
        <v>49</v>
      </c>
      <c r="H660" s="12">
        <v>1</v>
      </c>
      <c r="I660" s="14">
        <f t="shared" si="72"/>
        <v>0.63265306122448983</v>
      </c>
      <c r="J660" s="14">
        <f t="shared" si="73"/>
        <v>0.60377358490566035</v>
      </c>
      <c r="K660" s="4">
        <f t="shared" si="74"/>
        <v>32</v>
      </c>
      <c r="L660" s="4">
        <f t="shared" si="75"/>
        <v>53</v>
      </c>
      <c r="M660" s="4" t="s">
        <v>519</v>
      </c>
      <c r="N660" s="4">
        <f t="shared" si="76"/>
        <v>1</v>
      </c>
    </row>
    <row r="661" spans="1:14">
      <c r="A661" s="4">
        <v>42</v>
      </c>
      <c r="B661" s="4" t="s">
        <v>560</v>
      </c>
      <c r="C661" s="4" t="s">
        <v>73</v>
      </c>
      <c r="D661" s="4" t="s">
        <v>72</v>
      </c>
      <c r="E661" s="4" t="str">
        <f t="shared" si="70"/>
        <v>42|A|U</v>
      </c>
      <c r="F661" s="12">
        <v>5</v>
      </c>
      <c r="G661" s="4">
        <f t="shared" si="71"/>
        <v>49</v>
      </c>
      <c r="H661" s="12">
        <v>1</v>
      </c>
      <c r="I661" s="14">
        <f t="shared" si="72"/>
        <v>0.10204081632653061</v>
      </c>
      <c r="J661" s="14">
        <f t="shared" si="73"/>
        <v>0.11320754716981132</v>
      </c>
      <c r="K661" s="4">
        <f t="shared" si="74"/>
        <v>6</v>
      </c>
      <c r="L661" s="4">
        <f t="shared" si="75"/>
        <v>53</v>
      </c>
      <c r="M661" s="4" t="s">
        <v>519</v>
      </c>
      <c r="N661" s="4">
        <f t="shared" si="76"/>
        <v>1</v>
      </c>
    </row>
    <row r="662" spans="1:14">
      <c r="A662" s="4">
        <v>42</v>
      </c>
      <c r="B662" s="4" t="s">
        <v>560</v>
      </c>
      <c r="C662" s="4" t="s">
        <v>71</v>
      </c>
      <c r="D662" s="4" t="s">
        <v>73</v>
      </c>
      <c r="E662" s="4" t="str">
        <f t="shared" si="70"/>
        <v>42|C|A</v>
      </c>
      <c r="F662" s="12">
        <v>5</v>
      </c>
      <c r="G662" s="4">
        <f t="shared" si="71"/>
        <v>20</v>
      </c>
      <c r="H662" s="12">
        <v>1</v>
      </c>
      <c r="I662" s="14">
        <f t="shared" si="72"/>
        <v>0.25</v>
      </c>
      <c r="J662" s="14">
        <f t="shared" si="73"/>
        <v>0.25</v>
      </c>
      <c r="K662" s="4">
        <f t="shared" si="74"/>
        <v>6</v>
      </c>
      <c r="L662" s="4">
        <f t="shared" si="75"/>
        <v>24</v>
      </c>
      <c r="M662" s="4" t="s">
        <v>519</v>
      </c>
      <c r="N662" s="4">
        <f t="shared" si="76"/>
        <v>1</v>
      </c>
    </row>
    <row r="663" spans="1:14">
      <c r="A663" s="4">
        <v>42</v>
      </c>
      <c r="B663" s="4" t="s">
        <v>560</v>
      </c>
      <c r="C663" s="4" t="s">
        <v>71</v>
      </c>
      <c r="D663" s="4" t="s">
        <v>71</v>
      </c>
      <c r="E663" s="4" t="str">
        <f t="shared" si="70"/>
        <v>42|C|C</v>
      </c>
      <c r="F663" s="12">
        <v>2</v>
      </c>
      <c r="G663" s="4">
        <f t="shared" si="71"/>
        <v>20</v>
      </c>
      <c r="H663" s="12">
        <v>1</v>
      </c>
      <c r="I663" s="14">
        <f t="shared" si="72"/>
        <v>0.1</v>
      </c>
      <c r="J663" s="14">
        <f t="shared" si="73"/>
        <v>0.125</v>
      </c>
      <c r="K663" s="4">
        <f t="shared" si="74"/>
        <v>3</v>
      </c>
      <c r="L663" s="4">
        <f t="shared" si="75"/>
        <v>24</v>
      </c>
      <c r="M663" s="4" t="s">
        <v>519</v>
      </c>
      <c r="N663" s="4">
        <f t="shared" si="76"/>
        <v>1</v>
      </c>
    </row>
    <row r="664" spans="1:14">
      <c r="A664" s="4">
        <v>42</v>
      </c>
      <c r="B664" s="4" t="s">
        <v>560</v>
      </c>
      <c r="C664" s="4" t="s">
        <v>71</v>
      </c>
      <c r="D664" s="4" t="s">
        <v>70</v>
      </c>
      <c r="E664" s="4" t="str">
        <f t="shared" si="70"/>
        <v>42|C|G</v>
      </c>
      <c r="F664" s="12">
        <v>9</v>
      </c>
      <c r="G664" s="4">
        <f t="shared" si="71"/>
        <v>20</v>
      </c>
      <c r="H664" s="12">
        <v>1</v>
      </c>
      <c r="I664" s="14">
        <f t="shared" si="72"/>
        <v>0.45</v>
      </c>
      <c r="J664" s="14">
        <f t="shared" si="73"/>
        <v>0.41666666666666669</v>
      </c>
      <c r="K664" s="4">
        <f t="shared" si="74"/>
        <v>10</v>
      </c>
      <c r="L664" s="4">
        <f t="shared" si="75"/>
        <v>24</v>
      </c>
      <c r="M664" s="4" t="s">
        <v>519</v>
      </c>
      <c r="N664" s="4">
        <f t="shared" si="76"/>
        <v>1</v>
      </c>
    </row>
    <row r="665" spans="1:14">
      <c r="A665" s="4">
        <v>42</v>
      </c>
      <c r="B665" s="4" t="s">
        <v>560</v>
      </c>
      <c r="C665" s="4" t="s">
        <v>71</v>
      </c>
      <c r="D665" s="4" t="s">
        <v>72</v>
      </c>
      <c r="E665" s="4" t="str">
        <f t="shared" si="70"/>
        <v>42|C|U</v>
      </c>
      <c r="F665" s="12">
        <v>4</v>
      </c>
      <c r="G665" s="4">
        <f t="shared" si="71"/>
        <v>20</v>
      </c>
      <c r="H665" s="12">
        <v>1</v>
      </c>
      <c r="I665" s="14">
        <f t="shared" si="72"/>
        <v>0.2</v>
      </c>
      <c r="J665" s="14">
        <f t="shared" si="73"/>
        <v>0.20833333333333334</v>
      </c>
      <c r="K665" s="4">
        <f t="shared" si="74"/>
        <v>5</v>
      </c>
      <c r="L665" s="4">
        <f t="shared" si="75"/>
        <v>24</v>
      </c>
      <c r="M665" s="4" t="s">
        <v>519</v>
      </c>
      <c r="N665" s="4">
        <f t="shared" si="76"/>
        <v>1</v>
      </c>
    </row>
    <row r="666" spans="1:14">
      <c r="A666" s="4">
        <v>42</v>
      </c>
      <c r="B666" s="4" t="s">
        <v>560</v>
      </c>
      <c r="C666" s="4" t="s">
        <v>70</v>
      </c>
      <c r="D666" s="4" t="s">
        <v>73</v>
      </c>
      <c r="E666" s="4" t="str">
        <f t="shared" si="70"/>
        <v>42|G|A</v>
      </c>
      <c r="F666" s="12">
        <v>25</v>
      </c>
      <c r="G666" s="4">
        <f t="shared" si="71"/>
        <v>105</v>
      </c>
      <c r="H666" s="12">
        <v>1</v>
      </c>
      <c r="I666" s="14">
        <f t="shared" si="72"/>
        <v>0.23809523809523808</v>
      </c>
      <c r="J666" s="14">
        <f t="shared" si="73"/>
        <v>0.23853211009174313</v>
      </c>
      <c r="K666" s="4">
        <f t="shared" si="74"/>
        <v>26</v>
      </c>
      <c r="L666" s="4">
        <f t="shared" si="75"/>
        <v>109</v>
      </c>
      <c r="M666" s="4" t="s">
        <v>519</v>
      </c>
      <c r="N666" s="4">
        <f t="shared" si="76"/>
        <v>1</v>
      </c>
    </row>
    <row r="667" spans="1:14">
      <c r="A667" s="4">
        <v>42</v>
      </c>
      <c r="B667" s="4" t="s">
        <v>560</v>
      </c>
      <c r="C667" s="4" t="s">
        <v>70</v>
      </c>
      <c r="D667" s="4" t="s">
        <v>71</v>
      </c>
      <c r="E667" s="4" t="str">
        <f t="shared" si="70"/>
        <v>42|G|C</v>
      </c>
      <c r="F667" s="12">
        <v>18</v>
      </c>
      <c r="G667" s="4">
        <f t="shared" si="71"/>
        <v>105</v>
      </c>
      <c r="H667" s="12">
        <v>1</v>
      </c>
      <c r="I667" s="14">
        <f t="shared" si="72"/>
        <v>0.17142857142857143</v>
      </c>
      <c r="J667" s="14">
        <f t="shared" si="73"/>
        <v>0.1743119266055046</v>
      </c>
      <c r="K667" s="4">
        <f t="shared" si="74"/>
        <v>19</v>
      </c>
      <c r="L667" s="4">
        <f t="shared" si="75"/>
        <v>109</v>
      </c>
      <c r="M667" s="4" t="s">
        <v>519</v>
      </c>
      <c r="N667" s="4">
        <f t="shared" si="76"/>
        <v>1</v>
      </c>
    </row>
    <row r="668" spans="1:14">
      <c r="A668" s="4">
        <v>42</v>
      </c>
      <c r="B668" s="4" t="s">
        <v>560</v>
      </c>
      <c r="C668" s="4" t="s">
        <v>70</v>
      </c>
      <c r="D668" s="4" t="s">
        <v>70</v>
      </c>
      <c r="E668" s="4" t="str">
        <f t="shared" si="70"/>
        <v>42|G|G</v>
      </c>
      <c r="F668" s="12">
        <v>42</v>
      </c>
      <c r="G668" s="4">
        <f t="shared" si="71"/>
        <v>105</v>
      </c>
      <c r="H668" s="12">
        <v>1</v>
      </c>
      <c r="I668" s="14">
        <f t="shared" si="72"/>
        <v>0.4</v>
      </c>
      <c r="J668" s="14">
        <f t="shared" si="73"/>
        <v>0.39449541284403672</v>
      </c>
      <c r="K668" s="4">
        <f t="shared" si="74"/>
        <v>43</v>
      </c>
      <c r="L668" s="4">
        <f t="shared" si="75"/>
        <v>109</v>
      </c>
      <c r="M668" s="4" t="s">
        <v>519</v>
      </c>
      <c r="N668" s="4">
        <f t="shared" si="76"/>
        <v>1</v>
      </c>
    </row>
    <row r="669" spans="1:14">
      <c r="A669" s="4">
        <v>42</v>
      </c>
      <c r="B669" s="4" t="s">
        <v>560</v>
      </c>
      <c r="C669" s="4" t="s">
        <v>70</v>
      </c>
      <c r="D669" s="4" t="s">
        <v>72</v>
      </c>
      <c r="E669" s="4" t="str">
        <f t="shared" si="70"/>
        <v>42|G|U</v>
      </c>
      <c r="F669" s="12">
        <v>20</v>
      </c>
      <c r="G669" s="4">
        <f t="shared" si="71"/>
        <v>105</v>
      </c>
      <c r="H669" s="12">
        <v>1</v>
      </c>
      <c r="I669" s="14">
        <f t="shared" si="72"/>
        <v>0.19047619047619047</v>
      </c>
      <c r="J669" s="14">
        <f t="shared" si="73"/>
        <v>0.19266055045871561</v>
      </c>
      <c r="K669" s="4">
        <f t="shared" si="74"/>
        <v>21</v>
      </c>
      <c r="L669" s="4">
        <f t="shared" si="75"/>
        <v>109</v>
      </c>
      <c r="M669" s="4" t="s">
        <v>519</v>
      </c>
      <c r="N669" s="4">
        <f t="shared" si="76"/>
        <v>1</v>
      </c>
    </row>
    <row r="670" spans="1:14">
      <c r="A670" s="4">
        <v>42</v>
      </c>
      <c r="B670" s="4" t="s">
        <v>560</v>
      </c>
      <c r="C670" s="4" t="s">
        <v>72</v>
      </c>
      <c r="D670" s="4" t="s">
        <v>73</v>
      </c>
      <c r="E670" s="4" t="str">
        <f t="shared" si="70"/>
        <v>42|U|A</v>
      </c>
      <c r="F670" s="12">
        <v>2</v>
      </c>
      <c r="G670" s="4">
        <f t="shared" si="71"/>
        <v>26</v>
      </c>
      <c r="H670" s="12">
        <v>1</v>
      </c>
      <c r="I670" s="14">
        <f t="shared" si="72"/>
        <v>7.6923076923076927E-2</v>
      </c>
      <c r="J670" s="14">
        <f t="shared" si="73"/>
        <v>0.1</v>
      </c>
      <c r="K670" s="4">
        <f t="shared" si="74"/>
        <v>3</v>
      </c>
      <c r="L670" s="4">
        <f t="shared" si="75"/>
        <v>30</v>
      </c>
      <c r="M670" s="4" t="s">
        <v>519</v>
      </c>
      <c r="N670" s="4">
        <f t="shared" si="76"/>
        <v>1</v>
      </c>
    </row>
    <row r="671" spans="1:14">
      <c r="A671" s="4">
        <v>42</v>
      </c>
      <c r="B671" s="4" t="s">
        <v>560</v>
      </c>
      <c r="C671" s="4" t="s">
        <v>72</v>
      </c>
      <c r="D671" s="4" t="s">
        <v>71</v>
      </c>
      <c r="E671" s="4" t="str">
        <f t="shared" si="70"/>
        <v>42|U|C</v>
      </c>
      <c r="F671" s="12">
        <v>3</v>
      </c>
      <c r="G671" s="4">
        <f t="shared" si="71"/>
        <v>26</v>
      </c>
      <c r="H671" s="12">
        <v>1</v>
      </c>
      <c r="I671" s="14">
        <f t="shared" si="72"/>
        <v>0.11538461538461539</v>
      </c>
      <c r="J671" s="14">
        <f t="shared" si="73"/>
        <v>0.13333333333333333</v>
      </c>
      <c r="K671" s="4">
        <f t="shared" si="74"/>
        <v>4</v>
      </c>
      <c r="L671" s="4">
        <f t="shared" si="75"/>
        <v>30</v>
      </c>
      <c r="M671" s="4" t="s">
        <v>519</v>
      </c>
      <c r="N671" s="4">
        <f t="shared" si="76"/>
        <v>1</v>
      </c>
    </row>
    <row r="672" spans="1:14">
      <c r="A672" s="4">
        <v>42</v>
      </c>
      <c r="B672" s="4" t="s">
        <v>560</v>
      </c>
      <c r="C672" s="4" t="s">
        <v>72</v>
      </c>
      <c r="D672" s="4" t="s">
        <v>70</v>
      </c>
      <c r="E672" s="4" t="str">
        <f t="shared" si="70"/>
        <v>42|U|G</v>
      </c>
      <c r="F672" s="12">
        <v>18</v>
      </c>
      <c r="G672" s="4">
        <f t="shared" si="71"/>
        <v>26</v>
      </c>
      <c r="H672" s="12">
        <v>1</v>
      </c>
      <c r="I672" s="14">
        <f t="shared" si="72"/>
        <v>0.69230769230769229</v>
      </c>
      <c r="J672" s="14">
        <f t="shared" si="73"/>
        <v>0.6333333333333333</v>
      </c>
      <c r="K672" s="4">
        <f t="shared" si="74"/>
        <v>19</v>
      </c>
      <c r="L672" s="4">
        <f t="shared" si="75"/>
        <v>30</v>
      </c>
      <c r="M672" s="4" t="s">
        <v>519</v>
      </c>
      <c r="N672" s="4">
        <f t="shared" si="76"/>
        <v>1</v>
      </c>
    </row>
    <row r="673" spans="1:14">
      <c r="A673" s="4">
        <v>42</v>
      </c>
      <c r="B673" s="4" t="s">
        <v>560</v>
      </c>
      <c r="C673" s="4" t="s">
        <v>72</v>
      </c>
      <c r="D673" s="4" t="s">
        <v>72</v>
      </c>
      <c r="E673" s="4" t="str">
        <f t="shared" si="70"/>
        <v>42|U|U</v>
      </c>
      <c r="F673" s="12">
        <v>3</v>
      </c>
      <c r="G673" s="4">
        <f t="shared" si="71"/>
        <v>26</v>
      </c>
      <c r="H673" s="12">
        <v>1</v>
      </c>
      <c r="I673" s="14">
        <f t="shared" si="72"/>
        <v>0.11538461538461539</v>
      </c>
      <c r="J673" s="14">
        <f t="shared" si="73"/>
        <v>0.13333333333333333</v>
      </c>
      <c r="K673" s="4">
        <f t="shared" si="74"/>
        <v>4</v>
      </c>
      <c r="L673" s="4">
        <f t="shared" si="75"/>
        <v>30</v>
      </c>
      <c r="M673" s="4" t="s">
        <v>519</v>
      </c>
      <c r="N673" s="4">
        <f t="shared" si="76"/>
        <v>1</v>
      </c>
    </row>
    <row r="674" spans="1:14">
      <c r="A674" s="4">
        <v>43</v>
      </c>
      <c r="B674" s="4" t="s">
        <v>561</v>
      </c>
      <c r="C674" s="4" t="s">
        <v>73</v>
      </c>
      <c r="D674" s="4" t="s">
        <v>73</v>
      </c>
      <c r="E674" s="4" t="str">
        <f t="shared" si="70"/>
        <v>43|A|A</v>
      </c>
      <c r="F674" s="12">
        <v>22</v>
      </c>
      <c r="G674" s="4">
        <f t="shared" si="71"/>
        <v>45</v>
      </c>
      <c r="H674" s="12">
        <v>1</v>
      </c>
      <c r="I674" s="14">
        <f t="shared" si="72"/>
        <v>0.48888888888888887</v>
      </c>
      <c r="J674" s="14">
        <f t="shared" si="73"/>
        <v>0.46938775510204084</v>
      </c>
      <c r="K674" s="4">
        <f t="shared" si="74"/>
        <v>23</v>
      </c>
      <c r="L674" s="4">
        <f t="shared" si="75"/>
        <v>49</v>
      </c>
      <c r="M674" s="4" t="s">
        <v>519</v>
      </c>
      <c r="N674" s="4">
        <f t="shared" si="76"/>
        <v>1</v>
      </c>
    </row>
    <row r="675" spans="1:14">
      <c r="A675" s="4">
        <v>43</v>
      </c>
      <c r="B675" s="4" t="s">
        <v>561</v>
      </c>
      <c r="C675" s="4" t="s">
        <v>73</v>
      </c>
      <c r="D675" s="4" t="s">
        <v>71</v>
      </c>
      <c r="E675" s="4" t="str">
        <f t="shared" si="70"/>
        <v>43|A|C</v>
      </c>
      <c r="F675" s="12">
        <v>6</v>
      </c>
      <c r="G675" s="4">
        <f t="shared" si="71"/>
        <v>45</v>
      </c>
      <c r="H675" s="12">
        <v>1</v>
      </c>
      <c r="I675" s="14">
        <f t="shared" si="72"/>
        <v>0.13333333333333333</v>
      </c>
      <c r="J675" s="14">
        <f t="shared" si="73"/>
        <v>0.14285714285714285</v>
      </c>
      <c r="K675" s="4">
        <f t="shared" si="74"/>
        <v>7</v>
      </c>
      <c r="L675" s="4">
        <f t="shared" si="75"/>
        <v>49</v>
      </c>
      <c r="M675" s="4" t="s">
        <v>519</v>
      </c>
      <c r="N675" s="4">
        <f t="shared" si="76"/>
        <v>1</v>
      </c>
    </row>
    <row r="676" spans="1:14">
      <c r="A676" s="4">
        <v>43</v>
      </c>
      <c r="B676" s="4" t="s">
        <v>561</v>
      </c>
      <c r="C676" s="4" t="s">
        <v>73</v>
      </c>
      <c r="D676" s="4" t="s">
        <v>70</v>
      </c>
      <c r="E676" s="4" t="str">
        <f t="shared" si="70"/>
        <v>43|A|G</v>
      </c>
      <c r="F676" s="12">
        <v>13</v>
      </c>
      <c r="G676" s="4">
        <f t="shared" si="71"/>
        <v>45</v>
      </c>
      <c r="H676" s="12">
        <v>1</v>
      </c>
      <c r="I676" s="14">
        <f t="shared" si="72"/>
        <v>0.28888888888888886</v>
      </c>
      <c r="J676" s="14">
        <f t="shared" si="73"/>
        <v>0.2857142857142857</v>
      </c>
      <c r="K676" s="4">
        <f t="shared" si="74"/>
        <v>14</v>
      </c>
      <c r="L676" s="4">
        <f t="shared" si="75"/>
        <v>49</v>
      </c>
      <c r="M676" s="4" t="s">
        <v>519</v>
      </c>
      <c r="N676" s="4">
        <f t="shared" si="76"/>
        <v>1</v>
      </c>
    </row>
    <row r="677" spans="1:14">
      <c r="A677" s="4">
        <v>43</v>
      </c>
      <c r="B677" s="4" t="s">
        <v>561</v>
      </c>
      <c r="C677" s="4" t="s">
        <v>73</v>
      </c>
      <c r="D677" s="4" t="s">
        <v>72</v>
      </c>
      <c r="E677" s="4" t="str">
        <f t="shared" si="70"/>
        <v>43|A|U</v>
      </c>
      <c r="F677" s="12">
        <v>4</v>
      </c>
      <c r="G677" s="4">
        <f t="shared" si="71"/>
        <v>45</v>
      </c>
      <c r="H677" s="12">
        <v>1</v>
      </c>
      <c r="I677" s="14">
        <f t="shared" si="72"/>
        <v>8.8888888888888892E-2</v>
      </c>
      <c r="J677" s="14">
        <f t="shared" si="73"/>
        <v>0.10204081632653061</v>
      </c>
      <c r="K677" s="4">
        <f t="shared" si="74"/>
        <v>5</v>
      </c>
      <c r="L677" s="4">
        <f t="shared" si="75"/>
        <v>49</v>
      </c>
      <c r="M677" s="4" t="s">
        <v>519</v>
      </c>
      <c r="N677" s="4">
        <f t="shared" si="76"/>
        <v>1</v>
      </c>
    </row>
    <row r="678" spans="1:14">
      <c r="A678" s="4">
        <v>43</v>
      </c>
      <c r="B678" s="4" t="s">
        <v>561</v>
      </c>
      <c r="C678" s="4" t="s">
        <v>71</v>
      </c>
      <c r="D678" s="4" t="s">
        <v>73</v>
      </c>
      <c r="E678" s="4" t="str">
        <f t="shared" si="70"/>
        <v>43|C|A</v>
      </c>
      <c r="F678" s="12">
        <v>9</v>
      </c>
      <c r="G678" s="4">
        <f t="shared" si="71"/>
        <v>23</v>
      </c>
      <c r="H678" s="12">
        <v>1</v>
      </c>
      <c r="I678" s="14">
        <f t="shared" si="72"/>
        <v>0.39130434782608697</v>
      </c>
      <c r="J678" s="14">
        <f t="shared" si="73"/>
        <v>0.37037037037037035</v>
      </c>
      <c r="K678" s="4">
        <f t="shared" si="74"/>
        <v>10</v>
      </c>
      <c r="L678" s="4">
        <f t="shared" si="75"/>
        <v>27</v>
      </c>
      <c r="M678" s="4" t="s">
        <v>519</v>
      </c>
      <c r="N678" s="4">
        <f t="shared" si="76"/>
        <v>1</v>
      </c>
    </row>
    <row r="679" spans="1:14">
      <c r="A679" s="4">
        <v>43</v>
      </c>
      <c r="B679" s="4" t="s">
        <v>561</v>
      </c>
      <c r="C679" s="4" t="s">
        <v>71</v>
      </c>
      <c r="D679" s="4" t="s">
        <v>71</v>
      </c>
      <c r="E679" s="4" t="str">
        <f t="shared" si="70"/>
        <v>43|C|C</v>
      </c>
      <c r="F679" s="12">
        <v>4</v>
      </c>
      <c r="G679" s="4">
        <f t="shared" si="71"/>
        <v>23</v>
      </c>
      <c r="H679" s="12">
        <v>1</v>
      </c>
      <c r="I679" s="14">
        <f t="shared" si="72"/>
        <v>0.17391304347826086</v>
      </c>
      <c r="J679" s="14">
        <f t="shared" si="73"/>
        <v>0.18518518518518517</v>
      </c>
      <c r="K679" s="4">
        <f t="shared" si="74"/>
        <v>5</v>
      </c>
      <c r="L679" s="4">
        <f t="shared" si="75"/>
        <v>27</v>
      </c>
      <c r="M679" s="4" t="s">
        <v>519</v>
      </c>
      <c r="N679" s="4">
        <f t="shared" si="76"/>
        <v>1</v>
      </c>
    </row>
    <row r="680" spans="1:14">
      <c r="A680" s="4">
        <v>43</v>
      </c>
      <c r="B680" s="4" t="s">
        <v>561</v>
      </c>
      <c r="C680" s="4" t="s">
        <v>71</v>
      </c>
      <c r="D680" s="4" t="s">
        <v>70</v>
      </c>
      <c r="E680" s="4" t="str">
        <f t="shared" si="70"/>
        <v>43|C|G</v>
      </c>
      <c r="F680" s="12">
        <v>7</v>
      </c>
      <c r="G680" s="4">
        <f t="shared" si="71"/>
        <v>23</v>
      </c>
      <c r="H680" s="12">
        <v>1</v>
      </c>
      <c r="I680" s="14">
        <f t="shared" si="72"/>
        <v>0.30434782608695654</v>
      </c>
      <c r="J680" s="14">
        <f t="shared" si="73"/>
        <v>0.29629629629629628</v>
      </c>
      <c r="K680" s="4">
        <f t="shared" si="74"/>
        <v>8</v>
      </c>
      <c r="L680" s="4">
        <f t="shared" si="75"/>
        <v>27</v>
      </c>
      <c r="M680" s="4" t="s">
        <v>519</v>
      </c>
      <c r="N680" s="4">
        <f t="shared" si="76"/>
        <v>1</v>
      </c>
    </row>
    <row r="681" spans="1:14">
      <c r="A681" s="4">
        <v>43</v>
      </c>
      <c r="B681" s="4" t="s">
        <v>561</v>
      </c>
      <c r="C681" s="4" t="s">
        <v>71</v>
      </c>
      <c r="D681" s="4" t="s">
        <v>72</v>
      </c>
      <c r="E681" s="4" t="str">
        <f t="shared" si="70"/>
        <v>43|C|U</v>
      </c>
      <c r="F681" s="12">
        <v>3</v>
      </c>
      <c r="G681" s="4">
        <f t="shared" si="71"/>
        <v>23</v>
      </c>
      <c r="H681" s="12">
        <v>1</v>
      </c>
      <c r="I681" s="14">
        <f t="shared" si="72"/>
        <v>0.13043478260869565</v>
      </c>
      <c r="J681" s="14">
        <f t="shared" si="73"/>
        <v>0.14814814814814814</v>
      </c>
      <c r="K681" s="4">
        <f t="shared" si="74"/>
        <v>4</v>
      </c>
      <c r="L681" s="4">
        <f t="shared" si="75"/>
        <v>27</v>
      </c>
      <c r="M681" s="4" t="s">
        <v>519</v>
      </c>
      <c r="N681" s="4">
        <f t="shared" si="76"/>
        <v>1</v>
      </c>
    </row>
    <row r="682" spans="1:14">
      <c r="A682" s="4">
        <v>43</v>
      </c>
      <c r="B682" s="4" t="s">
        <v>561</v>
      </c>
      <c r="C682" s="4" t="s">
        <v>70</v>
      </c>
      <c r="D682" s="4" t="s">
        <v>73</v>
      </c>
      <c r="E682" s="4" t="str">
        <f t="shared" si="70"/>
        <v>43|G|A</v>
      </c>
      <c r="F682" s="12">
        <v>54</v>
      </c>
      <c r="G682" s="4">
        <f t="shared" si="71"/>
        <v>100</v>
      </c>
      <c r="H682" s="12">
        <v>1</v>
      </c>
      <c r="I682" s="14">
        <f t="shared" si="72"/>
        <v>0.54</v>
      </c>
      <c r="J682" s="14">
        <f t="shared" si="73"/>
        <v>0.52884615384615385</v>
      </c>
      <c r="K682" s="4">
        <f t="shared" si="74"/>
        <v>55</v>
      </c>
      <c r="L682" s="4">
        <f t="shared" si="75"/>
        <v>104</v>
      </c>
      <c r="M682" s="4" t="s">
        <v>519</v>
      </c>
      <c r="N682" s="4">
        <f t="shared" si="76"/>
        <v>1</v>
      </c>
    </row>
    <row r="683" spans="1:14">
      <c r="A683" s="4">
        <v>43</v>
      </c>
      <c r="B683" s="4" t="s">
        <v>561</v>
      </c>
      <c r="C683" s="4" t="s">
        <v>70</v>
      </c>
      <c r="D683" s="4" t="s">
        <v>71</v>
      </c>
      <c r="E683" s="4" t="str">
        <f t="shared" si="70"/>
        <v>43|G|C</v>
      </c>
      <c r="F683" s="12">
        <v>13</v>
      </c>
      <c r="G683" s="4">
        <f t="shared" si="71"/>
        <v>100</v>
      </c>
      <c r="H683" s="12">
        <v>1</v>
      </c>
      <c r="I683" s="14">
        <f t="shared" si="72"/>
        <v>0.13</v>
      </c>
      <c r="J683" s="14">
        <f t="shared" si="73"/>
        <v>0.13461538461538461</v>
      </c>
      <c r="K683" s="4">
        <f t="shared" si="74"/>
        <v>14</v>
      </c>
      <c r="L683" s="4">
        <f t="shared" si="75"/>
        <v>104</v>
      </c>
      <c r="M683" s="4" t="s">
        <v>519</v>
      </c>
      <c r="N683" s="4">
        <f t="shared" si="76"/>
        <v>1</v>
      </c>
    </row>
    <row r="684" spans="1:14">
      <c r="A684" s="4">
        <v>43</v>
      </c>
      <c r="B684" s="4" t="s">
        <v>561</v>
      </c>
      <c r="C684" s="4" t="s">
        <v>70</v>
      </c>
      <c r="D684" s="4" t="s">
        <v>70</v>
      </c>
      <c r="E684" s="4" t="str">
        <f t="shared" si="70"/>
        <v>43|G|G</v>
      </c>
      <c r="F684" s="12">
        <v>20</v>
      </c>
      <c r="G684" s="4">
        <f t="shared" si="71"/>
        <v>100</v>
      </c>
      <c r="H684" s="12">
        <v>1</v>
      </c>
      <c r="I684" s="14">
        <f t="shared" si="72"/>
        <v>0.2</v>
      </c>
      <c r="J684" s="14">
        <f t="shared" si="73"/>
        <v>0.20192307692307693</v>
      </c>
      <c r="K684" s="4">
        <f t="shared" si="74"/>
        <v>21</v>
      </c>
      <c r="L684" s="4">
        <f t="shared" si="75"/>
        <v>104</v>
      </c>
      <c r="M684" s="4" t="s">
        <v>519</v>
      </c>
      <c r="N684" s="4">
        <f t="shared" si="76"/>
        <v>1</v>
      </c>
    </row>
    <row r="685" spans="1:14">
      <c r="A685" s="4">
        <v>43</v>
      </c>
      <c r="B685" s="4" t="s">
        <v>561</v>
      </c>
      <c r="C685" s="4" t="s">
        <v>70</v>
      </c>
      <c r="D685" s="4" t="s">
        <v>72</v>
      </c>
      <c r="E685" s="4" t="str">
        <f t="shared" si="70"/>
        <v>43|G|U</v>
      </c>
      <c r="F685" s="12">
        <v>13</v>
      </c>
      <c r="G685" s="4">
        <f t="shared" si="71"/>
        <v>100</v>
      </c>
      <c r="H685" s="12">
        <v>1</v>
      </c>
      <c r="I685" s="14">
        <f t="shared" si="72"/>
        <v>0.13</v>
      </c>
      <c r="J685" s="14">
        <f t="shared" si="73"/>
        <v>0.13461538461538461</v>
      </c>
      <c r="K685" s="4">
        <f t="shared" si="74"/>
        <v>14</v>
      </c>
      <c r="L685" s="4">
        <f t="shared" si="75"/>
        <v>104</v>
      </c>
      <c r="M685" s="4" t="s">
        <v>519</v>
      </c>
      <c r="N685" s="4">
        <f t="shared" si="76"/>
        <v>1</v>
      </c>
    </row>
    <row r="686" spans="1:14">
      <c r="A686" s="4">
        <v>43</v>
      </c>
      <c r="B686" s="4" t="s">
        <v>561</v>
      </c>
      <c r="C686" s="4" t="s">
        <v>72</v>
      </c>
      <c r="D686" s="4" t="s">
        <v>73</v>
      </c>
      <c r="E686" s="4" t="str">
        <f t="shared" si="70"/>
        <v>43|U|A</v>
      </c>
      <c r="F686" s="12">
        <v>15</v>
      </c>
      <c r="G686" s="4">
        <f t="shared" si="71"/>
        <v>32</v>
      </c>
      <c r="H686" s="12">
        <v>1</v>
      </c>
      <c r="I686" s="14">
        <f t="shared" si="72"/>
        <v>0.46875</v>
      </c>
      <c r="J686" s="14">
        <f t="shared" si="73"/>
        <v>0.44444444444444442</v>
      </c>
      <c r="K686" s="4">
        <f t="shared" si="74"/>
        <v>16</v>
      </c>
      <c r="L686" s="4">
        <f t="shared" si="75"/>
        <v>36</v>
      </c>
      <c r="M686" s="4" t="s">
        <v>519</v>
      </c>
      <c r="N686" s="4">
        <f t="shared" si="76"/>
        <v>1</v>
      </c>
    </row>
    <row r="687" spans="1:14">
      <c r="A687" s="4">
        <v>43</v>
      </c>
      <c r="B687" s="4" t="s">
        <v>561</v>
      </c>
      <c r="C687" s="4" t="s">
        <v>72</v>
      </c>
      <c r="D687" s="4" t="s">
        <v>71</v>
      </c>
      <c r="E687" s="4" t="str">
        <f t="shared" si="70"/>
        <v>43|U|C</v>
      </c>
      <c r="F687" s="12">
        <v>8</v>
      </c>
      <c r="G687" s="4">
        <f t="shared" si="71"/>
        <v>32</v>
      </c>
      <c r="H687" s="12">
        <v>1</v>
      </c>
      <c r="I687" s="14">
        <f t="shared" si="72"/>
        <v>0.25</v>
      </c>
      <c r="J687" s="14">
        <f t="shared" si="73"/>
        <v>0.25</v>
      </c>
      <c r="K687" s="4">
        <f t="shared" si="74"/>
        <v>9</v>
      </c>
      <c r="L687" s="4">
        <f t="shared" si="75"/>
        <v>36</v>
      </c>
      <c r="M687" s="4" t="s">
        <v>519</v>
      </c>
      <c r="N687" s="4">
        <f t="shared" si="76"/>
        <v>1</v>
      </c>
    </row>
    <row r="688" spans="1:14">
      <c r="A688" s="4">
        <v>43</v>
      </c>
      <c r="B688" s="4" t="s">
        <v>561</v>
      </c>
      <c r="C688" s="4" t="s">
        <v>72</v>
      </c>
      <c r="D688" s="4" t="s">
        <v>70</v>
      </c>
      <c r="E688" s="4" t="str">
        <f t="shared" si="70"/>
        <v>43|U|G</v>
      </c>
      <c r="F688" s="12">
        <v>6</v>
      </c>
      <c r="G688" s="4">
        <f t="shared" si="71"/>
        <v>32</v>
      </c>
      <c r="H688" s="12">
        <v>1</v>
      </c>
      <c r="I688" s="14">
        <f t="shared" si="72"/>
        <v>0.1875</v>
      </c>
      <c r="J688" s="14">
        <f t="shared" si="73"/>
        <v>0.19444444444444445</v>
      </c>
      <c r="K688" s="4">
        <f t="shared" si="74"/>
        <v>7</v>
      </c>
      <c r="L688" s="4">
        <f t="shared" si="75"/>
        <v>36</v>
      </c>
      <c r="M688" s="4" t="s">
        <v>519</v>
      </c>
      <c r="N688" s="4">
        <f t="shared" si="76"/>
        <v>1</v>
      </c>
    </row>
    <row r="689" spans="1:14">
      <c r="A689" s="4">
        <v>43</v>
      </c>
      <c r="B689" s="4" t="s">
        <v>561</v>
      </c>
      <c r="C689" s="4" t="s">
        <v>72</v>
      </c>
      <c r="D689" s="4" t="s">
        <v>72</v>
      </c>
      <c r="E689" s="4" t="str">
        <f t="shared" si="70"/>
        <v>43|U|U</v>
      </c>
      <c r="F689" s="12">
        <v>3</v>
      </c>
      <c r="G689" s="4">
        <f t="shared" si="71"/>
        <v>32</v>
      </c>
      <c r="H689" s="12">
        <v>1</v>
      </c>
      <c r="I689" s="14">
        <f t="shared" si="72"/>
        <v>9.375E-2</v>
      </c>
      <c r="J689" s="14">
        <f t="shared" si="73"/>
        <v>0.1111111111111111</v>
      </c>
      <c r="K689" s="4">
        <f t="shared" si="74"/>
        <v>4</v>
      </c>
      <c r="L689" s="4">
        <f t="shared" si="75"/>
        <v>36</v>
      </c>
      <c r="M689" s="4" t="s">
        <v>519</v>
      </c>
      <c r="N689" s="4">
        <f t="shared" si="76"/>
        <v>1</v>
      </c>
    </row>
    <row r="690" spans="1:14">
      <c r="A690" s="4">
        <v>44</v>
      </c>
      <c r="B690" s="4" t="s">
        <v>562</v>
      </c>
      <c r="C690" s="4" t="s">
        <v>73</v>
      </c>
      <c r="D690" s="4" t="s">
        <v>73</v>
      </c>
      <c r="E690" s="4" t="str">
        <f t="shared" si="70"/>
        <v>44|A|A</v>
      </c>
      <c r="F690" s="12">
        <v>1</v>
      </c>
      <c r="G690" s="4">
        <f t="shared" si="71"/>
        <v>99</v>
      </c>
      <c r="H690" s="12">
        <v>1</v>
      </c>
      <c r="I690" s="14">
        <f t="shared" si="72"/>
        <v>1.0101010101010102E-2</v>
      </c>
      <c r="J690" s="14">
        <f t="shared" si="73"/>
        <v>1.9417475728155338E-2</v>
      </c>
      <c r="K690" s="4">
        <f t="shared" si="74"/>
        <v>2</v>
      </c>
      <c r="L690" s="4">
        <f t="shared" si="75"/>
        <v>103</v>
      </c>
      <c r="M690" s="4" t="s">
        <v>519</v>
      </c>
      <c r="N690" s="4">
        <f t="shared" si="76"/>
        <v>1</v>
      </c>
    </row>
    <row r="691" spans="1:14">
      <c r="A691" s="4">
        <v>44</v>
      </c>
      <c r="B691" s="4" t="s">
        <v>562</v>
      </c>
      <c r="C691" s="4" t="s">
        <v>73</v>
      </c>
      <c r="D691" s="4" t="s">
        <v>71</v>
      </c>
      <c r="E691" s="4" t="str">
        <f t="shared" si="70"/>
        <v>44|A|C</v>
      </c>
      <c r="F691" s="12">
        <v>2</v>
      </c>
      <c r="G691" s="4">
        <f t="shared" si="71"/>
        <v>99</v>
      </c>
      <c r="H691" s="12">
        <v>1</v>
      </c>
      <c r="I691" s="14">
        <f t="shared" si="72"/>
        <v>2.0202020202020204E-2</v>
      </c>
      <c r="J691" s="14">
        <f t="shared" si="73"/>
        <v>2.9126213592233011E-2</v>
      </c>
      <c r="K691" s="4">
        <f t="shared" si="74"/>
        <v>3</v>
      </c>
      <c r="L691" s="4">
        <f t="shared" si="75"/>
        <v>103</v>
      </c>
      <c r="M691" s="4" t="s">
        <v>519</v>
      </c>
      <c r="N691" s="4">
        <f t="shared" si="76"/>
        <v>1</v>
      </c>
    </row>
    <row r="692" spans="1:14">
      <c r="A692" s="4">
        <v>44</v>
      </c>
      <c r="B692" s="4" t="s">
        <v>562</v>
      </c>
      <c r="C692" s="4" t="s">
        <v>73</v>
      </c>
      <c r="D692" s="4" t="s">
        <v>70</v>
      </c>
      <c r="E692" s="4" t="str">
        <f t="shared" si="70"/>
        <v>44|A|G</v>
      </c>
      <c r="F692" s="12">
        <v>87</v>
      </c>
      <c r="G692" s="4">
        <f t="shared" si="71"/>
        <v>99</v>
      </c>
      <c r="H692" s="12">
        <v>1</v>
      </c>
      <c r="I692" s="14">
        <f t="shared" si="72"/>
        <v>0.87878787878787878</v>
      </c>
      <c r="J692" s="14">
        <f t="shared" si="73"/>
        <v>0.85436893203883491</v>
      </c>
      <c r="K692" s="4">
        <f t="shared" si="74"/>
        <v>88</v>
      </c>
      <c r="L692" s="4">
        <f t="shared" si="75"/>
        <v>103</v>
      </c>
      <c r="M692" s="4" t="s">
        <v>519</v>
      </c>
      <c r="N692" s="4">
        <f t="shared" si="76"/>
        <v>1</v>
      </c>
    </row>
    <row r="693" spans="1:14">
      <c r="A693" s="4">
        <v>44</v>
      </c>
      <c r="B693" s="4" t="s">
        <v>562</v>
      </c>
      <c r="C693" s="4" t="s">
        <v>73</v>
      </c>
      <c r="D693" s="4" t="s">
        <v>72</v>
      </c>
      <c r="E693" s="4" t="str">
        <f t="shared" si="70"/>
        <v>44|A|U</v>
      </c>
      <c r="F693" s="12">
        <v>9</v>
      </c>
      <c r="G693" s="4">
        <f t="shared" si="71"/>
        <v>99</v>
      </c>
      <c r="H693" s="12">
        <v>1</v>
      </c>
      <c r="I693" s="14">
        <f t="shared" si="72"/>
        <v>9.0909090909090912E-2</v>
      </c>
      <c r="J693" s="14">
        <f t="shared" si="73"/>
        <v>9.7087378640776698E-2</v>
      </c>
      <c r="K693" s="4">
        <f t="shared" si="74"/>
        <v>10</v>
      </c>
      <c r="L693" s="4">
        <f t="shared" si="75"/>
        <v>103</v>
      </c>
      <c r="M693" s="4" t="s">
        <v>519</v>
      </c>
      <c r="N693" s="4">
        <f t="shared" si="76"/>
        <v>1</v>
      </c>
    </row>
    <row r="694" spans="1:14">
      <c r="A694" s="4">
        <v>44</v>
      </c>
      <c r="B694" s="4" t="s">
        <v>562</v>
      </c>
      <c r="C694" s="4" t="s">
        <v>71</v>
      </c>
      <c r="D694" s="4" t="s">
        <v>73</v>
      </c>
      <c r="E694" s="4" t="str">
        <f t="shared" si="70"/>
        <v>44|C|A</v>
      </c>
      <c r="F694" s="12">
        <v>7</v>
      </c>
      <c r="G694" s="4">
        <f t="shared" si="71"/>
        <v>30</v>
      </c>
      <c r="H694" s="12">
        <v>1</v>
      </c>
      <c r="I694" s="14">
        <f t="shared" si="72"/>
        <v>0.23333333333333334</v>
      </c>
      <c r="J694" s="14">
        <f t="shared" si="73"/>
        <v>0.23529411764705882</v>
      </c>
      <c r="K694" s="4">
        <f t="shared" si="74"/>
        <v>8</v>
      </c>
      <c r="L694" s="4">
        <f t="shared" si="75"/>
        <v>34</v>
      </c>
      <c r="M694" s="4" t="s">
        <v>519</v>
      </c>
      <c r="N694" s="4">
        <f t="shared" si="76"/>
        <v>1</v>
      </c>
    </row>
    <row r="695" spans="1:14">
      <c r="A695" s="4">
        <v>44</v>
      </c>
      <c r="B695" s="4" t="s">
        <v>562</v>
      </c>
      <c r="C695" s="4" t="s">
        <v>71</v>
      </c>
      <c r="D695" s="4" t="s">
        <v>71</v>
      </c>
      <c r="E695" s="4" t="str">
        <f t="shared" si="70"/>
        <v>44|C|C</v>
      </c>
      <c r="F695" s="12">
        <v>1</v>
      </c>
      <c r="G695" s="4">
        <f t="shared" si="71"/>
        <v>30</v>
      </c>
      <c r="H695" s="12">
        <v>1</v>
      </c>
      <c r="I695" s="14">
        <f t="shared" si="72"/>
        <v>3.3333333333333333E-2</v>
      </c>
      <c r="J695" s="14">
        <f t="shared" si="73"/>
        <v>5.8823529411764705E-2</v>
      </c>
      <c r="K695" s="4">
        <f t="shared" si="74"/>
        <v>2</v>
      </c>
      <c r="L695" s="4">
        <f t="shared" si="75"/>
        <v>34</v>
      </c>
      <c r="M695" s="4" t="s">
        <v>519</v>
      </c>
      <c r="N695" s="4">
        <f t="shared" si="76"/>
        <v>1</v>
      </c>
    </row>
    <row r="696" spans="1:14">
      <c r="A696" s="4">
        <v>44</v>
      </c>
      <c r="B696" s="4" t="s">
        <v>562</v>
      </c>
      <c r="C696" s="4" t="s">
        <v>71</v>
      </c>
      <c r="D696" s="4" t="s">
        <v>70</v>
      </c>
      <c r="E696" s="4" t="str">
        <f t="shared" si="70"/>
        <v>44|C|G</v>
      </c>
      <c r="F696" s="12">
        <v>16</v>
      </c>
      <c r="G696" s="4">
        <f t="shared" si="71"/>
        <v>30</v>
      </c>
      <c r="H696" s="12">
        <v>1</v>
      </c>
      <c r="I696" s="14">
        <f t="shared" si="72"/>
        <v>0.53333333333333333</v>
      </c>
      <c r="J696" s="14">
        <f t="shared" si="73"/>
        <v>0.5</v>
      </c>
      <c r="K696" s="4">
        <f t="shared" si="74"/>
        <v>17</v>
      </c>
      <c r="L696" s="4">
        <f t="shared" si="75"/>
        <v>34</v>
      </c>
      <c r="M696" s="4" t="s">
        <v>519</v>
      </c>
      <c r="N696" s="4">
        <f t="shared" si="76"/>
        <v>1</v>
      </c>
    </row>
    <row r="697" spans="1:14">
      <c r="A697" s="4">
        <v>44</v>
      </c>
      <c r="B697" s="4" t="s">
        <v>562</v>
      </c>
      <c r="C697" s="4" t="s">
        <v>71</v>
      </c>
      <c r="D697" s="4" t="s">
        <v>72</v>
      </c>
      <c r="E697" s="4" t="str">
        <f t="shared" si="70"/>
        <v>44|C|U</v>
      </c>
      <c r="F697" s="12">
        <v>6</v>
      </c>
      <c r="G697" s="4">
        <f t="shared" si="71"/>
        <v>30</v>
      </c>
      <c r="H697" s="12">
        <v>1</v>
      </c>
      <c r="I697" s="14">
        <f t="shared" si="72"/>
        <v>0.2</v>
      </c>
      <c r="J697" s="14">
        <f t="shared" si="73"/>
        <v>0.20588235294117646</v>
      </c>
      <c r="K697" s="4">
        <f t="shared" si="74"/>
        <v>7</v>
      </c>
      <c r="L697" s="4">
        <f t="shared" si="75"/>
        <v>34</v>
      </c>
      <c r="M697" s="4" t="s">
        <v>519</v>
      </c>
      <c r="N697" s="4">
        <f t="shared" si="76"/>
        <v>1</v>
      </c>
    </row>
    <row r="698" spans="1:14">
      <c r="A698" s="4">
        <v>44</v>
      </c>
      <c r="B698" s="4" t="s">
        <v>562</v>
      </c>
      <c r="C698" s="4" t="s">
        <v>70</v>
      </c>
      <c r="D698" s="4" t="s">
        <v>73</v>
      </c>
      <c r="E698" s="4" t="str">
        <f t="shared" si="70"/>
        <v>44|G|A</v>
      </c>
      <c r="F698" s="12">
        <v>6</v>
      </c>
      <c r="G698" s="4">
        <f t="shared" si="71"/>
        <v>46</v>
      </c>
      <c r="H698" s="12">
        <v>1</v>
      </c>
      <c r="I698" s="14">
        <f t="shared" si="72"/>
        <v>0.13043478260869565</v>
      </c>
      <c r="J698" s="14">
        <f t="shared" si="73"/>
        <v>0.14000000000000001</v>
      </c>
      <c r="K698" s="4">
        <f t="shared" si="74"/>
        <v>7</v>
      </c>
      <c r="L698" s="4">
        <f t="shared" si="75"/>
        <v>50</v>
      </c>
      <c r="M698" s="4" t="s">
        <v>519</v>
      </c>
      <c r="N698" s="4">
        <f t="shared" si="76"/>
        <v>1</v>
      </c>
    </row>
    <row r="699" spans="1:14">
      <c r="A699" s="4">
        <v>44</v>
      </c>
      <c r="B699" s="4" t="s">
        <v>562</v>
      </c>
      <c r="C699" s="4" t="s">
        <v>70</v>
      </c>
      <c r="D699" s="4" t="s">
        <v>71</v>
      </c>
      <c r="E699" s="4" t="str">
        <f t="shared" si="70"/>
        <v>44|G|C</v>
      </c>
      <c r="F699" s="12">
        <v>1</v>
      </c>
      <c r="G699" s="4">
        <f t="shared" si="71"/>
        <v>46</v>
      </c>
      <c r="H699" s="12">
        <v>1</v>
      </c>
      <c r="I699" s="14">
        <f t="shared" si="72"/>
        <v>2.1739130434782608E-2</v>
      </c>
      <c r="J699" s="14">
        <f t="shared" si="73"/>
        <v>0.04</v>
      </c>
      <c r="K699" s="4">
        <f t="shared" si="74"/>
        <v>2</v>
      </c>
      <c r="L699" s="4">
        <f t="shared" si="75"/>
        <v>50</v>
      </c>
      <c r="M699" s="4" t="s">
        <v>519</v>
      </c>
      <c r="N699" s="4">
        <f t="shared" si="76"/>
        <v>1</v>
      </c>
    </row>
    <row r="700" spans="1:14">
      <c r="A700" s="4">
        <v>44</v>
      </c>
      <c r="B700" s="4" t="s">
        <v>562</v>
      </c>
      <c r="C700" s="4" t="s">
        <v>70</v>
      </c>
      <c r="D700" s="4" t="s">
        <v>70</v>
      </c>
      <c r="E700" s="4" t="str">
        <f t="shared" si="70"/>
        <v>44|G|G</v>
      </c>
      <c r="F700" s="12">
        <v>32</v>
      </c>
      <c r="G700" s="4">
        <f t="shared" si="71"/>
        <v>46</v>
      </c>
      <c r="H700" s="12">
        <v>1</v>
      </c>
      <c r="I700" s="14">
        <f t="shared" si="72"/>
        <v>0.69565217391304346</v>
      </c>
      <c r="J700" s="14">
        <f t="shared" si="73"/>
        <v>0.66</v>
      </c>
      <c r="K700" s="4">
        <f t="shared" si="74"/>
        <v>33</v>
      </c>
      <c r="L700" s="4">
        <f t="shared" si="75"/>
        <v>50</v>
      </c>
      <c r="M700" s="4" t="s">
        <v>519</v>
      </c>
      <c r="N700" s="4">
        <f t="shared" si="76"/>
        <v>1</v>
      </c>
    </row>
    <row r="701" spans="1:14">
      <c r="A701" s="4">
        <v>44</v>
      </c>
      <c r="B701" s="4" t="s">
        <v>562</v>
      </c>
      <c r="C701" s="4" t="s">
        <v>70</v>
      </c>
      <c r="D701" s="4" t="s">
        <v>72</v>
      </c>
      <c r="E701" s="4" t="str">
        <f t="shared" si="70"/>
        <v>44|G|U</v>
      </c>
      <c r="F701" s="12">
        <v>7</v>
      </c>
      <c r="G701" s="4">
        <f t="shared" si="71"/>
        <v>46</v>
      </c>
      <c r="H701" s="12">
        <v>1</v>
      </c>
      <c r="I701" s="14">
        <f t="shared" si="72"/>
        <v>0.15217391304347827</v>
      </c>
      <c r="J701" s="14">
        <f t="shared" si="73"/>
        <v>0.16</v>
      </c>
      <c r="K701" s="4">
        <f t="shared" si="74"/>
        <v>8</v>
      </c>
      <c r="L701" s="4">
        <f t="shared" si="75"/>
        <v>50</v>
      </c>
      <c r="M701" s="4" t="s">
        <v>519</v>
      </c>
      <c r="N701" s="4">
        <f t="shared" si="76"/>
        <v>1</v>
      </c>
    </row>
    <row r="702" spans="1:14">
      <c r="A702" s="4">
        <v>44</v>
      </c>
      <c r="B702" s="4" t="s">
        <v>562</v>
      </c>
      <c r="C702" s="4" t="s">
        <v>72</v>
      </c>
      <c r="D702" s="4" t="s">
        <v>73</v>
      </c>
      <c r="E702" s="4" t="str">
        <f t="shared" si="70"/>
        <v>44|U|A</v>
      </c>
      <c r="F702" s="12">
        <v>1</v>
      </c>
      <c r="G702" s="4">
        <f t="shared" si="71"/>
        <v>23</v>
      </c>
      <c r="H702" s="12">
        <v>1</v>
      </c>
      <c r="I702" s="14">
        <f t="shared" si="72"/>
        <v>4.3478260869565216E-2</v>
      </c>
      <c r="J702" s="14">
        <f t="shared" si="73"/>
        <v>7.407407407407407E-2</v>
      </c>
      <c r="K702" s="4">
        <f t="shared" si="74"/>
        <v>2</v>
      </c>
      <c r="L702" s="4">
        <f t="shared" si="75"/>
        <v>27</v>
      </c>
      <c r="M702" s="4" t="s">
        <v>519</v>
      </c>
      <c r="N702" s="4">
        <f t="shared" si="76"/>
        <v>1</v>
      </c>
    </row>
    <row r="703" spans="1:14">
      <c r="A703" s="4">
        <v>44</v>
      </c>
      <c r="B703" s="4" t="s">
        <v>562</v>
      </c>
      <c r="C703" s="4" t="s">
        <v>72</v>
      </c>
      <c r="D703" s="4" t="s">
        <v>71</v>
      </c>
      <c r="E703" s="4" t="str">
        <f t="shared" si="70"/>
        <v>44|U|C</v>
      </c>
      <c r="F703" s="12">
        <v>1</v>
      </c>
      <c r="G703" s="4">
        <f t="shared" si="71"/>
        <v>23</v>
      </c>
      <c r="H703" s="12">
        <v>1</v>
      </c>
      <c r="I703" s="14">
        <f t="shared" si="72"/>
        <v>4.3478260869565216E-2</v>
      </c>
      <c r="J703" s="14">
        <f t="shared" si="73"/>
        <v>7.407407407407407E-2</v>
      </c>
      <c r="K703" s="4">
        <f t="shared" si="74"/>
        <v>2</v>
      </c>
      <c r="L703" s="4">
        <f t="shared" si="75"/>
        <v>27</v>
      </c>
      <c r="M703" s="4" t="s">
        <v>519</v>
      </c>
      <c r="N703" s="4">
        <f t="shared" si="76"/>
        <v>1</v>
      </c>
    </row>
    <row r="704" spans="1:14">
      <c r="A704" s="4">
        <v>44</v>
      </c>
      <c r="B704" s="4" t="s">
        <v>562</v>
      </c>
      <c r="C704" s="4" t="s">
        <v>72</v>
      </c>
      <c r="D704" s="4" t="s">
        <v>70</v>
      </c>
      <c r="E704" s="4" t="str">
        <f t="shared" si="70"/>
        <v>44|U|G</v>
      </c>
      <c r="F704" s="12">
        <v>15</v>
      </c>
      <c r="G704" s="4">
        <f t="shared" si="71"/>
        <v>23</v>
      </c>
      <c r="H704" s="12">
        <v>1</v>
      </c>
      <c r="I704" s="14">
        <f t="shared" si="72"/>
        <v>0.65217391304347827</v>
      </c>
      <c r="J704" s="14">
        <f t="shared" si="73"/>
        <v>0.59259259259259256</v>
      </c>
      <c r="K704" s="4">
        <f t="shared" si="74"/>
        <v>16</v>
      </c>
      <c r="L704" s="4">
        <f t="shared" si="75"/>
        <v>27</v>
      </c>
      <c r="M704" s="4" t="s">
        <v>519</v>
      </c>
      <c r="N704" s="4">
        <f t="shared" si="76"/>
        <v>1</v>
      </c>
    </row>
    <row r="705" spans="1:14">
      <c r="A705" s="4">
        <v>44</v>
      </c>
      <c r="B705" s="4" t="s">
        <v>562</v>
      </c>
      <c r="C705" s="4" t="s">
        <v>72</v>
      </c>
      <c r="D705" s="4" t="s">
        <v>72</v>
      </c>
      <c r="E705" s="4" t="str">
        <f t="shared" si="70"/>
        <v>44|U|U</v>
      </c>
      <c r="F705" s="12">
        <v>6</v>
      </c>
      <c r="G705" s="4">
        <f t="shared" si="71"/>
        <v>23</v>
      </c>
      <c r="H705" s="12">
        <v>1</v>
      </c>
      <c r="I705" s="14">
        <f t="shared" si="72"/>
        <v>0.2608695652173913</v>
      </c>
      <c r="J705" s="14">
        <f t="shared" si="73"/>
        <v>0.25925925925925924</v>
      </c>
      <c r="K705" s="4">
        <f t="shared" si="74"/>
        <v>7</v>
      </c>
      <c r="L705" s="4">
        <f t="shared" si="75"/>
        <v>27</v>
      </c>
      <c r="M705" s="4" t="s">
        <v>519</v>
      </c>
      <c r="N705" s="4">
        <f t="shared" si="76"/>
        <v>1</v>
      </c>
    </row>
    <row r="706" spans="1:14">
      <c r="A706" s="4">
        <v>45</v>
      </c>
      <c r="B706" s="4" t="s">
        <v>563</v>
      </c>
      <c r="C706" s="4" t="s">
        <v>73</v>
      </c>
      <c r="D706" s="4" t="s">
        <v>73</v>
      </c>
      <c r="E706" s="4" t="str">
        <f t="shared" ref="E706:E769" si="77">A706&amp;"|"&amp;C706&amp;"|"&amp;D706</f>
        <v>45|A|A</v>
      </c>
      <c r="F706" s="12">
        <v>0</v>
      </c>
      <c r="G706" s="4">
        <f t="shared" ref="G706:G769" si="78">SUMIFS($F$2:$F$1137,$A$2:$A$1137,A706,$C$2:$C$1137,C706)</f>
        <v>9</v>
      </c>
      <c r="H706" s="12">
        <v>1</v>
      </c>
      <c r="I706" s="14">
        <f t="shared" ref="I706:I769" si="79">IF(G706=0,"",F706/G706)</f>
        <v>0</v>
      </c>
      <c r="J706" s="14">
        <f t="shared" ref="J706:J769" si="80">K706/L706</f>
        <v>7.6923076923076927E-2</v>
      </c>
      <c r="K706" s="4">
        <f t="shared" ref="K706:K769" si="81">F706+H706</f>
        <v>1</v>
      </c>
      <c r="L706" s="4">
        <f t="shared" ref="L706:L769" si="82">G706+4*H706</f>
        <v>13</v>
      </c>
      <c r="M706" s="4" t="s">
        <v>519</v>
      </c>
      <c r="N706" s="4">
        <f t="shared" ref="N706:N769" si="83">ROUND(SUMIFS($J$2:$J$1137,$A$2:$A$1137,A706,$C$2:$C$1137,C706),9)</f>
        <v>1</v>
      </c>
    </row>
    <row r="707" spans="1:14">
      <c r="A707" s="4">
        <v>45</v>
      </c>
      <c r="B707" s="4" t="s">
        <v>563</v>
      </c>
      <c r="C707" s="4" t="s">
        <v>73</v>
      </c>
      <c r="D707" s="4" t="s">
        <v>71</v>
      </c>
      <c r="E707" s="4" t="str">
        <f t="shared" si="77"/>
        <v>45|A|C</v>
      </c>
      <c r="F707" s="12">
        <v>1</v>
      </c>
      <c r="G707" s="4">
        <f t="shared" si="78"/>
        <v>9</v>
      </c>
      <c r="H707" s="12">
        <v>1</v>
      </c>
      <c r="I707" s="14">
        <f t="shared" si="79"/>
        <v>0.1111111111111111</v>
      </c>
      <c r="J707" s="14">
        <f t="shared" si="80"/>
        <v>0.15384615384615385</v>
      </c>
      <c r="K707" s="4">
        <f t="shared" si="81"/>
        <v>2</v>
      </c>
      <c r="L707" s="4">
        <f t="shared" si="82"/>
        <v>13</v>
      </c>
      <c r="M707" s="4" t="s">
        <v>519</v>
      </c>
      <c r="N707" s="4">
        <f t="shared" si="83"/>
        <v>1</v>
      </c>
    </row>
    <row r="708" spans="1:14">
      <c r="A708" s="4">
        <v>45</v>
      </c>
      <c r="B708" s="4" t="s">
        <v>563</v>
      </c>
      <c r="C708" s="4" t="s">
        <v>73</v>
      </c>
      <c r="D708" s="4" t="s">
        <v>70</v>
      </c>
      <c r="E708" s="4" t="str">
        <f t="shared" si="77"/>
        <v>45|A|G</v>
      </c>
      <c r="F708" s="12">
        <v>5</v>
      </c>
      <c r="G708" s="4">
        <f t="shared" si="78"/>
        <v>9</v>
      </c>
      <c r="H708" s="12">
        <v>1</v>
      </c>
      <c r="I708" s="14">
        <f t="shared" si="79"/>
        <v>0.55555555555555558</v>
      </c>
      <c r="J708" s="14">
        <f t="shared" si="80"/>
        <v>0.46153846153846156</v>
      </c>
      <c r="K708" s="4">
        <f t="shared" si="81"/>
        <v>6</v>
      </c>
      <c r="L708" s="4">
        <f t="shared" si="82"/>
        <v>13</v>
      </c>
      <c r="M708" s="4" t="s">
        <v>519</v>
      </c>
      <c r="N708" s="4">
        <f t="shared" si="83"/>
        <v>1</v>
      </c>
    </row>
    <row r="709" spans="1:14">
      <c r="A709" s="4">
        <v>45</v>
      </c>
      <c r="B709" s="4" t="s">
        <v>563</v>
      </c>
      <c r="C709" s="4" t="s">
        <v>73</v>
      </c>
      <c r="D709" s="4" t="s">
        <v>72</v>
      </c>
      <c r="E709" s="4" t="str">
        <f t="shared" si="77"/>
        <v>45|A|U</v>
      </c>
      <c r="F709" s="12">
        <v>3</v>
      </c>
      <c r="G709" s="4">
        <f t="shared" si="78"/>
        <v>9</v>
      </c>
      <c r="H709" s="12">
        <v>1</v>
      </c>
      <c r="I709" s="14">
        <f t="shared" si="79"/>
        <v>0.33333333333333331</v>
      </c>
      <c r="J709" s="14">
        <f t="shared" si="80"/>
        <v>0.30769230769230771</v>
      </c>
      <c r="K709" s="4">
        <f t="shared" si="81"/>
        <v>4</v>
      </c>
      <c r="L709" s="4">
        <f t="shared" si="82"/>
        <v>13</v>
      </c>
      <c r="M709" s="4" t="s">
        <v>519</v>
      </c>
      <c r="N709" s="4">
        <f t="shared" si="83"/>
        <v>1</v>
      </c>
    </row>
    <row r="710" spans="1:14">
      <c r="A710" s="4">
        <v>45</v>
      </c>
      <c r="B710" s="4" t="s">
        <v>563</v>
      </c>
      <c r="C710" s="4" t="s">
        <v>71</v>
      </c>
      <c r="D710" s="4" t="s">
        <v>73</v>
      </c>
      <c r="E710" s="4" t="str">
        <f t="shared" si="77"/>
        <v>45|C|A</v>
      </c>
      <c r="F710" s="12">
        <v>0</v>
      </c>
      <c r="G710" s="4">
        <f t="shared" si="78"/>
        <v>5</v>
      </c>
      <c r="H710" s="12">
        <v>1</v>
      </c>
      <c r="I710" s="14">
        <f t="shared" si="79"/>
        <v>0</v>
      </c>
      <c r="J710" s="14">
        <f t="shared" si="80"/>
        <v>0.1111111111111111</v>
      </c>
      <c r="K710" s="4">
        <f t="shared" si="81"/>
        <v>1</v>
      </c>
      <c r="L710" s="4">
        <f t="shared" si="82"/>
        <v>9</v>
      </c>
      <c r="M710" s="4" t="s">
        <v>519</v>
      </c>
      <c r="N710" s="4">
        <f t="shared" si="83"/>
        <v>1</v>
      </c>
    </row>
    <row r="711" spans="1:14">
      <c r="A711" s="4">
        <v>45</v>
      </c>
      <c r="B711" s="4" t="s">
        <v>563</v>
      </c>
      <c r="C711" s="4" t="s">
        <v>71</v>
      </c>
      <c r="D711" s="4" t="s">
        <v>71</v>
      </c>
      <c r="E711" s="4" t="str">
        <f t="shared" si="77"/>
        <v>45|C|C</v>
      </c>
      <c r="F711" s="12">
        <v>1</v>
      </c>
      <c r="G711" s="4">
        <f t="shared" si="78"/>
        <v>5</v>
      </c>
      <c r="H711" s="12">
        <v>1</v>
      </c>
      <c r="I711" s="14">
        <f t="shared" si="79"/>
        <v>0.2</v>
      </c>
      <c r="J711" s="14">
        <f t="shared" si="80"/>
        <v>0.22222222222222221</v>
      </c>
      <c r="K711" s="4">
        <f t="shared" si="81"/>
        <v>2</v>
      </c>
      <c r="L711" s="4">
        <f t="shared" si="82"/>
        <v>9</v>
      </c>
      <c r="M711" s="4" t="s">
        <v>519</v>
      </c>
      <c r="N711" s="4">
        <f t="shared" si="83"/>
        <v>1</v>
      </c>
    </row>
    <row r="712" spans="1:14">
      <c r="A712" s="4">
        <v>45</v>
      </c>
      <c r="B712" s="4" t="s">
        <v>563</v>
      </c>
      <c r="C712" s="4" t="s">
        <v>71</v>
      </c>
      <c r="D712" s="4" t="s">
        <v>70</v>
      </c>
      <c r="E712" s="4" t="str">
        <f t="shared" si="77"/>
        <v>45|C|G</v>
      </c>
      <c r="F712" s="12">
        <v>3</v>
      </c>
      <c r="G712" s="4">
        <f t="shared" si="78"/>
        <v>5</v>
      </c>
      <c r="H712" s="12">
        <v>1</v>
      </c>
      <c r="I712" s="14">
        <f t="shared" si="79"/>
        <v>0.6</v>
      </c>
      <c r="J712" s="14">
        <f t="shared" si="80"/>
        <v>0.44444444444444442</v>
      </c>
      <c r="K712" s="4">
        <f t="shared" si="81"/>
        <v>4</v>
      </c>
      <c r="L712" s="4">
        <f t="shared" si="82"/>
        <v>9</v>
      </c>
      <c r="M712" s="4" t="s">
        <v>519</v>
      </c>
      <c r="N712" s="4">
        <f t="shared" si="83"/>
        <v>1</v>
      </c>
    </row>
    <row r="713" spans="1:14">
      <c r="A713" s="4">
        <v>45</v>
      </c>
      <c r="B713" s="4" t="s">
        <v>563</v>
      </c>
      <c r="C713" s="4" t="s">
        <v>71</v>
      </c>
      <c r="D713" s="4" t="s">
        <v>72</v>
      </c>
      <c r="E713" s="4" t="str">
        <f t="shared" si="77"/>
        <v>45|C|U</v>
      </c>
      <c r="F713" s="12">
        <v>1</v>
      </c>
      <c r="G713" s="4">
        <f t="shared" si="78"/>
        <v>5</v>
      </c>
      <c r="H713" s="12">
        <v>1</v>
      </c>
      <c r="I713" s="14">
        <f t="shared" si="79"/>
        <v>0.2</v>
      </c>
      <c r="J713" s="14">
        <f t="shared" si="80"/>
        <v>0.22222222222222221</v>
      </c>
      <c r="K713" s="4">
        <f t="shared" si="81"/>
        <v>2</v>
      </c>
      <c r="L713" s="4">
        <f t="shared" si="82"/>
        <v>9</v>
      </c>
      <c r="M713" s="4" t="s">
        <v>519</v>
      </c>
      <c r="N713" s="4">
        <f t="shared" si="83"/>
        <v>1</v>
      </c>
    </row>
    <row r="714" spans="1:14">
      <c r="A714" s="4">
        <v>45</v>
      </c>
      <c r="B714" s="4" t="s">
        <v>563</v>
      </c>
      <c r="C714" s="4" t="s">
        <v>70</v>
      </c>
      <c r="D714" s="4" t="s">
        <v>73</v>
      </c>
      <c r="E714" s="4" t="str">
        <f t="shared" si="77"/>
        <v>45|G|A</v>
      </c>
      <c r="F714" s="12">
        <v>15</v>
      </c>
      <c r="G714" s="4">
        <f t="shared" si="78"/>
        <v>134</v>
      </c>
      <c r="H714" s="12">
        <v>1</v>
      </c>
      <c r="I714" s="14">
        <f t="shared" si="79"/>
        <v>0.11194029850746269</v>
      </c>
      <c r="J714" s="14">
        <f t="shared" si="80"/>
        <v>0.11594202898550725</v>
      </c>
      <c r="K714" s="4">
        <f t="shared" si="81"/>
        <v>16</v>
      </c>
      <c r="L714" s="4">
        <f t="shared" si="82"/>
        <v>138</v>
      </c>
      <c r="M714" s="4" t="s">
        <v>519</v>
      </c>
      <c r="N714" s="4">
        <f t="shared" si="83"/>
        <v>1</v>
      </c>
    </row>
    <row r="715" spans="1:14">
      <c r="A715" s="4">
        <v>45</v>
      </c>
      <c r="B715" s="4" t="s">
        <v>563</v>
      </c>
      <c r="C715" s="4" t="s">
        <v>70</v>
      </c>
      <c r="D715" s="4" t="s">
        <v>71</v>
      </c>
      <c r="E715" s="4" t="str">
        <f t="shared" si="77"/>
        <v>45|G|C</v>
      </c>
      <c r="F715" s="12">
        <v>2</v>
      </c>
      <c r="G715" s="4">
        <f t="shared" si="78"/>
        <v>134</v>
      </c>
      <c r="H715" s="12">
        <v>1</v>
      </c>
      <c r="I715" s="14">
        <f t="shared" si="79"/>
        <v>1.4925373134328358E-2</v>
      </c>
      <c r="J715" s="14">
        <f t="shared" si="80"/>
        <v>2.1739130434782608E-2</v>
      </c>
      <c r="K715" s="4">
        <f t="shared" si="81"/>
        <v>3</v>
      </c>
      <c r="L715" s="4">
        <f t="shared" si="82"/>
        <v>138</v>
      </c>
      <c r="M715" s="4" t="s">
        <v>519</v>
      </c>
      <c r="N715" s="4">
        <f t="shared" si="83"/>
        <v>1</v>
      </c>
    </row>
    <row r="716" spans="1:14">
      <c r="A716" s="4">
        <v>45</v>
      </c>
      <c r="B716" s="4" t="s">
        <v>563</v>
      </c>
      <c r="C716" s="4" t="s">
        <v>70</v>
      </c>
      <c r="D716" s="4" t="s">
        <v>70</v>
      </c>
      <c r="E716" s="4" t="str">
        <f t="shared" si="77"/>
        <v>45|G|G</v>
      </c>
      <c r="F716" s="12">
        <v>113</v>
      </c>
      <c r="G716" s="4">
        <f t="shared" si="78"/>
        <v>134</v>
      </c>
      <c r="H716" s="12">
        <v>1</v>
      </c>
      <c r="I716" s="14">
        <f t="shared" si="79"/>
        <v>0.84328358208955223</v>
      </c>
      <c r="J716" s="14">
        <f t="shared" si="80"/>
        <v>0.82608695652173914</v>
      </c>
      <c r="K716" s="4">
        <f t="shared" si="81"/>
        <v>114</v>
      </c>
      <c r="L716" s="4">
        <f t="shared" si="82"/>
        <v>138</v>
      </c>
      <c r="M716" s="4" t="s">
        <v>519</v>
      </c>
      <c r="N716" s="4">
        <f t="shared" si="83"/>
        <v>1</v>
      </c>
    </row>
    <row r="717" spans="1:14">
      <c r="A717" s="4">
        <v>45</v>
      </c>
      <c r="B717" s="4" t="s">
        <v>563</v>
      </c>
      <c r="C717" s="4" t="s">
        <v>70</v>
      </c>
      <c r="D717" s="4" t="s">
        <v>72</v>
      </c>
      <c r="E717" s="4" t="str">
        <f t="shared" si="77"/>
        <v>45|G|U</v>
      </c>
      <c r="F717" s="12">
        <v>4</v>
      </c>
      <c r="G717" s="4">
        <f t="shared" si="78"/>
        <v>134</v>
      </c>
      <c r="H717" s="12">
        <v>1</v>
      </c>
      <c r="I717" s="14">
        <f t="shared" si="79"/>
        <v>2.9850746268656716E-2</v>
      </c>
      <c r="J717" s="14">
        <f t="shared" si="80"/>
        <v>3.6231884057971016E-2</v>
      </c>
      <c r="K717" s="4">
        <f t="shared" si="81"/>
        <v>5</v>
      </c>
      <c r="L717" s="4">
        <f t="shared" si="82"/>
        <v>138</v>
      </c>
      <c r="M717" s="4" t="s">
        <v>519</v>
      </c>
      <c r="N717" s="4">
        <f t="shared" si="83"/>
        <v>1</v>
      </c>
    </row>
    <row r="718" spans="1:14">
      <c r="A718" s="4">
        <v>45</v>
      </c>
      <c r="B718" s="4" t="s">
        <v>563</v>
      </c>
      <c r="C718" s="4" t="s">
        <v>72</v>
      </c>
      <c r="D718" s="4" t="s">
        <v>73</v>
      </c>
      <c r="E718" s="4" t="str">
        <f t="shared" si="77"/>
        <v>45|U|A</v>
      </c>
      <c r="F718" s="12">
        <v>1</v>
      </c>
      <c r="G718" s="4">
        <f t="shared" si="78"/>
        <v>21</v>
      </c>
      <c r="H718" s="12">
        <v>1</v>
      </c>
      <c r="I718" s="14">
        <f t="shared" si="79"/>
        <v>4.7619047619047616E-2</v>
      </c>
      <c r="J718" s="14">
        <f t="shared" si="80"/>
        <v>0.08</v>
      </c>
      <c r="K718" s="4">
        <f t="shared" si="81"/>
        <v>2</v>
      </c>
      <c r="L718" s="4">
        <f t="shared" si="82"/>
        <v>25</v>
      </c>
      <c r="M718" s="4" t="s">
        <v>519</v>
      </c>
      <c r="N718" s="4">
        <f t="shared" si="83"/>
        <v>1</v>
      </c>
    </row>
    <row r="719" spans="1:14">
      <c r="A719" s="4">
        <v>45</v>
      </c>
      <c r="B719" s="4" t="s">
        <v>563</v>
      </c>
      <c r="C719" s="4" t="s">
        <v>72</v>
      </c>
      <c r="D719" s="4" t="s">
        <v>71</v>
      </c>
      <c r="E719" s="4" t="str">
        <f t="shared" si="77"/>
        <v>45|U|C</v>
      </c>
      <c r="F719" s="12">
        <v>0</v>
      </c>
      <c r="G719" s="4">
        <f t="shared" si="78"/>
        <v>21</v>
      </c>
      <c r="H719" s="12">
        <v>1</v>
      </c>
      <c r="I719" s="14">
        <f t="shared" si="79"/>
        <v>0</v>
      </c>
      <c r="J719" s="14">
        <f t="shared" si="80"/>
        <v>0.04</v>
      </c>
      <c r="K719" s="4">
        <f t="shared" si="81"/>
        <v>1</v>
      </c>
      <c r="L719" s="4">
        <f t="shared" si="82"/>
        <v>25</v>
      </c>
      <c r="M719" s="4" t="s">
        <v>519</v>
      </c>
      <c r="N719" s="4">
        <f t="shared" si="83"/>
        <v>1</v>
      </c>
    </row>
    <row r="720" spans="1:14">
      <c r="A720" s="4">
        <v>45</v>
      </c>
      <c r="B720" s="4" t="s">
        <v>563</v>
      </c>
      <c r="C720" s="4" t="s">
        <v>72</v>
      </c>
      <c r="D720" s="4" t="s">
        <v>70</v>
      </c>
      <c r="E720" s="4" t="str">
        <f t="shared" si="77"/>
        <v>45|U|G</v>
      </c>
      <c r="F720" s="12">
        <v>16</v>
      </c>
      <c r="G720" s="4">
        <f t="shared" si="78"/>
        <v>21</v>
      </c>
      <c r="H720" s="12">
        <v>1</v>
      </c>
      <c r="I720" s="14">
        <f t="shared" si="79"/>
        <v>0.76190476190476186</v>
      </c>
      <c r="J720" s="14">
        <f t="shared" si="80"/>
        <v>0.68</v>
      </c>
      <c r="K720" s="4">
        <f t="shared" si="81"/>
        <v>17</v>
      </c>
      <c r="L720" s="4">
        <f t="shared" si="82"/>
        <v>25</v>
      </c>
      <c r="M720" s="4" t="s">
        <v>519</v>
      </c>
      <c r="N720" s="4">
        <f t="shared" si="83"/>
        <v>1</v>
      </c>
    </row>
    <row r="721" spans="1:14">
      <c r="A721" s="4">
        <v>45</v>
      </c>
      <c r="B721" s="4" t="s">
        <v>563</v>
      </c>
      <c r="C721" s="4" t="s">
        <v>72</v>
      </c>
      <c r="D721" s="4" t="s">
        <v>72</v>
      </c>
      <c r="E721" s="4" t="str">
        <f t="shared" si="77"/>
        <v>45|U|U</v>
      </c>
      <c r="F721" s="12">
        <v>4</v>
      </c>
      <c r="G721" s="4">
        <f t="shared" si="78"/>
        <v>21</v>
      </c>
      <c r="H721" s="12">
        <v>1</v>
      </c>
      <c r="I721" s="14">
        <f t="shared" si="79"/>
        <v>0.19047619047619047</v>
      </c>
      <c r="J721" s="14">
        <f t="shared" si="80"/>
        <v>0.2</v>
      </c>
      <c r="K721" s="4">
        <f t="shared" si="81"/>
        <v>5</v>
      </c>
      <c r="L721" s="4">
        <f t="shared" si="82"/>
        <v>25</v>
      </c>
      <c r="M721" s="4" t="s">
        <v>519</v>
      </c>
      <c r="N721" s="4">
        <f t="shared" si="83"/>
        <v>1</v>
      </c>
    </row>
    <row r="722" spans="1:14">
      <c r="A722" s="4">
        <v>46</v>
      </c>
      <c r="B722" s="4" t="s">
        <v>564</v>
      </c>
      <c r="C722" s="4" t="s">
        <v>73</v>
      </c>
      <c r="D722" s="4" t="s">
        <v>73</v>
      </c>
      <c r="E722" s="4" t="str">
        <f t="shared" si="77"/>
        <v>46|A|A</v>
      </c>
      <c r="F722" s="12">
        <v>0</v>
      </c>
      <c r="G722" s="4">
        <f t="shared" si="78"/>
        <v>16</v>
      </c>
      <c r="H722" s="12">
        <v>1</v>
      </c>
      <c r="I722" s="14">
        <f t="shared" si="79"/>
        <v>0</v>
      </c>
      <c r="J722" s="14">
        <f t="shared" si="80"/>
        <v>0.05</v>
      </c>
      <c r="K722" s="4">
        <f t="shared" si="81"/>
        <v>1</v>
      </c>
      <c r="L722" s="4">
        <f t="shared" si="82"/>
        <v>20</v>
      </c>
      <c r="M722" s="4" t="s">
        <v>519</v>
      </c>
      <c r="N722" s="4">
        <f t="shared" si="83"/>
        <v>1</v>
      </c>
    </row>
    <row r="723" spans="1:14">
      <c r="A723" s="4">
        <v>46</v>
      </c>
      <c r="B723" s="4" t="s">
        <v>564</v>
      </c>
      <c r="C723" s="4" t="s">
        <v>73</v>
      </c>
      <c r="D723" s="4" t="s">
        <v>71</v>
      </c>
      <c r="E723" s="4" t="str">
        <f t="shared" si="77"/>
        <v>46|A|C</v>
      </c>
      <c r="F723" s="12">
        <v>3</v>
      </c>
      <c r="G723" s="4">
        <f t="shared" si="78"/>
        <v>16</v>
      </c>
      <c r="H723" s="12">
        <v>1</v>
      </c>
      <c r="I723" s="14">
        <f t="shared" si="79"/>
        <v>0.1875</v>
      </c>
      <c r="J723" s="14">
        <f t="shared" si="80"/>
        <v>0.2</v>
      </c>
      <c r="K723" s="4">
        <f t="shared" si="81"/>
        <v>4</v>
      </c>
      <c r="L723" s="4">
        <f t="shared" si="82"/>
        <v>20</v>
      </c>
      <c r="M723" s="4" t="s">
        <v>519</v>
      </c>
      <c r="N723" s="4">
        <f t="shared" si="83"/>
        <v>1</v>
      </c>
    </row>
    <row r="724" spans="1:14">
      <c r="A724" s="4">
        <v>46</v>
      </c>
      <c r="B724" s="4" t="s">
        <v>564</v>
      </c>
      <c r="C724" s="4" t="s">
        <v>73</v>
      </c>
      <c r="D724" s="4" t="s">
        <v>70</v>
      </c>
      <c r="E724" s="4" t="str">
        <f t="shared" si="77"/>
        <v>46|A|G</v>
      </c>
      <c r="F724" s="12">
        <v>1</v>
      </c>
      <c r="G724" s="4">
        <f t="shared" si="78"/>
        <v>16</v>
      </c>
      <c r="H724" s="12">
        <v>1</v>
      </c>
      <c r="I724" s="14">
        <f t="shared" si="79"/>
        <v>6.25E-2</v>
      </c>
      <c r="J724" s="14">
        <f t="shared" si="80"/>
        <v>0.1</v>
      </c>
      <c r="K724" s="4">
        <f t="shared" si="81"/>
        <v>2</v>
      </c>
      <c r="L724" s="4">
        <f t="shared" si="82"/>
        <v>20</v>
      </c>
      <c r="M724" s="4" t="s">
        <v>519</v>
      </c>
      <c r="N724" s="4">
        <f t="shared" si="83"/>
        <v>1</v>
      </c>
    </row>
    <row r="725" spans="1:14">
      <c r="A725" s="4">
        <v>46</v>
      </c>
      <c r="B725" s="4" t="s">
        <v>564</v>
      </c>
      <c r="C725" s="4" t="s">
        <v>73</v>
      </c>
      <c r="D725" s="4" t="s">
        <v>72</v>
      </c>
      <c r="E725" s="4" t="str">
        <f t="shared" si="77"/>
        <v>46|A|U</v>
      </c>
      <c r="F725" s="12">
        <v>12</v>
      </c>
      <c r="G725" s="4">
        <f t="shared" si="78"/>
        <v>16</v>
      </c>
      <c r="H725" s="12">
        <v>1</v>
      </c>
      <c r="I725" s="14">
        <f t="shared" si="79"/>
        <v>0.75</v>
      </c>
      <c r="J725" s="14">
        <f t="shared" si="80"/>
        <v>0.65</v>
      </c>
      <c r="K725" s="4">
        <f t="shared" si="81"/>
        <v>13</v>
      </c>
      <c r="L725" s="4">
        <f t="shared" si="82"/>
        <v>20</v>
      </c>
      <c r="M725" s="4" t="s">
        <v>519</v>
      </c>
      <c r="N725" s="4">
        <f t="shared" si="83"/>
        <v>1</v>
      </c>
    </row>
    <row r="726" spans="1:14">
      <c r="A726" s="4">
        <v>46</v>
      </c>
      <c r="B726" s="4" t="s">
        <v>564</v>
      </c>
      <c r="C726" s="4" t="s">
        <v>71</v>
      </c>
      <c r="D726" s="4" t="s">
        <v>73</v>
      </c>
      <c r="E726" s="4" t="str">
        <f t="shared" si="77"/>
        <v>46|C|A</v>
      </c>
      <c r="F726" s="12">
        <v>1</v>
      </c>
      <c r="G726" s="4">
        <f t="shared" si="78"/>
        <v>4</v>
      </c>
      <c r="H726" s="12">
        <v>1</v>
      </c>
      <c r="I726" s="14">
        <f t="shared" si="79"/>
        <v>0.25</v>
      </c>
      <c r="J726" s="14">
        <f t="shared" si="80"/>
        <v>0.25</v>
      </c>
      <c r="K726" s="4">
        <f t="shared" si="81"/>
        <v>2</v>
      </c>
      <c r="L726" s="4">
        <f t="shared" si="82"/>
        <v>8</v>
      </c>
      <c r="M726" s="4" t="s">
        <v>519</v>
      </c>
      <c r="N726" s="4">
        <f t="shared" si="83"/>
        <v>1</v>
      </c>
    </row>
    <row r="727" spans="1:14">
      <c r="A727" s="4">
        <v>46</v>
      </c>
      <c r="B727" s="4" t="s">
        <v>564</v>
      </c>
      <c r="C727" s="4" t="s">
        <v>71</v>
      </c>
      <c r="D727" s="4" t="s">
        <v>71</v>
      </c>
      <c r="E727" s="4" t="str">
        <f t="shared" si="77"/>
        <v>46|C|C</v>
      </c>
      <c r="F727" s="12">
        <v>1</v>
      </c>
      <c r="G727" s="4">
        <f t="shared" si="78"/>
        <v>4</v>
      </c>
      <c r="H727" s="12">
        <v>1</v>
      </c>
      <c r="I727" s="14">
        <f t="shared" si="79"/>
        <v>0.25</v>
      </c>
      <c r="J727" s="14">
        <f t="shared" si="80"/>
        <v>0.25</v>
      </c>
      <c r="K727" s="4">
        <f t="shared" si="81"/>
        <v>2</v>
      </c>
      <c r="L727" s="4">
        <f t="shared" si="82"/>
        <v>8</v>
      </c>
      <c r="M727" s="4" t="s">
        <v>519</v>
      </c>
      <c r="N727" s="4">
        <f t="shared" si="83"/>
        <v>1</v>
      </c>
    </row>
    <row r="728" spans="1:14">
      <c r="A728" s="4">
        <v>46</v>
      </c>
      <c r="B728" s="4" t="s">
        <v>564</v>
      </c>
      <c r="C728" s="4" t="s">
        <v>71</v>
      </c>
      <c r="D728" s="4" t="s">
        <v>70</v>
      </c>
      <c r="E728" s="4" t="str">
        <f t="shared" si="77"/>
        <v>46|C|G</v>
      </c>
      <c r="F728" s="12">
        <v>1</v>
      </c>
      <c r="G728" s="4">
        <f t="shared" si="78"/>
        <v>4</v>
      </c>
      <c r="H728" s="12">
        <v>1</v>
      </c>
      <c r="I728" s="14">
        <f t="shared" si="79"/>
        <v>0.25</v>
      </c>
      <c r="J728" s="14">
        <f t="shared" si="80"/>
        <v>0.25</v>
      </c>
      <c r="K728" s="4">
        <f t="shared" si="81"/>
        <v>2</v>
      </c>
      <c r="L728" s="4">
        <f t="shared" si="82"/>
        <v>8</v>
      </c>
      <c r="M728" s="4" t="s">
        <v>519</v>
      </c>
      <c r="N728" s="4">
        <f t="shared" si="83"/>
        <v>1</v>
      </c>
    </row>
    <row r="729" spans="1:14">
      <c r="A729" s="4">
        <v>46</v>
      </c>
      <c r="B729" s="4" t="s">
        <v>564</v>
      </c>
      <c r="C729" s="4" t="s">
        <v>71</v>
      </c>
      <c r="D729" s="4" t="s">
        <v>72</v>
      </c>
      <c r="E729" s="4" t="str">
        <f t="shared" si="77"/>
        <v>46|C|U</v>
      </c>
      <c r="F729" s="12">
        <v>1</v>
      </c>
      <c r="G729" s="4">
        <f t="shared" si="78"/>
        <v>4</v>
      </c>
      <c r="H729" s="12">
        <v>1</v>
      </c>
      <c r="I729" s="14">
        <f t="shared" si="79"/>
        <v>0.25</v>
      </c>
      <c r="J729" s="14">
        <f t="shared" si="80"/>
        <v>0.25</v>
      </c>
      <c r="K729" s="4">
        <f t="shared" si="81"/>
        <v>2</v>
      </c>
      <c r="L729" s="4">
        <f t="shared" si="82"/>
        <v>8</v>
      </c>
      <c r="M729" s="4" t="s">
        <v>519</v>
      </c>
      <c r="N729" s="4">
        <f t="shared" si="83"/>
        <v>1</v>
      </c>
    </row>
    <row r="730" spans="1:14">
      <c r="A730" s="4">
        <v>46</v>
      </c>
      <c r="B730" s="4" t="s">
        <v>564</v>
      </c>
      <c r="C730" s="4" t="s">
        <v>70</v>
      </c>
      <c r="D730" s="4" t="s">
        <v>73</v>
      </c>
      <c r="E730" s="4" t="str">
        <f t="shared" si="77"/>
        <v>46|G|A</v>
      </c>
      <c r="F730" s="12">
        <v>0</v>
      </c>
      <c r="G730" s="4">
        <f t="shared" si="78"/>
        <v>137</v>
      </c>
      <c r="H730" s="12">
        <v>1</v>
      </c>
      <c r="I730" s="14">
        <f t="shared" si="79"/>
        <v>0</v>
      </c>
      <c r="J730" s="14">
        <f t="shared" si="80"/>
        <v>7.0921985815602835E-3</v>
      </c>
      <c r="K730" s="4">
        <f t="shared" si="81"/>
        <v>1</v>
      </c>
      <c r="L730" s="4">
        <f t="shared" si="82"/>
        <v>141</v>
      </c>
      <c r="M730" s="4" t="s">
        <v>519</v>
      </c>
      <c r="N730" s="4">
        <f t="shared" si="83"/>
        <v>1</v>
      </c>
    </row>
    <row r="731" spans="1:14">
      <c r="A731" s="4">
        <v>46</v>
      </c>
      <c r="B731" s="4" t="s">
        <v>564</v>
      </c>
      <c r="C731" s="4" t="s">
        <v>70</v>
      </c>
      <c r="D731" s="4" t="s">
        <v>71</v>
      </c>
      <c r="E731" s="4" t="str">
        <f t="shared" si="77"/>
        <v>46|G|C</v>
      </c>
      <c r="F731" s="12">
        <v>15</v>
      </c>
      <c r="G731" s="4">
        <f t="shared" si="78"/>
        <v>137</v>
      </c>
      <c r="H731" s="12">
        <v>1</v>
      </c>
      <c r="I731" s="14">
        <f t="shared" si="79"/>
        <v>0.10948905109489052</v>
      </c>
      <c r="J731" s="14">
        <f t="shared" si="80"/>
        <v>0.11347517730496454</v>
      </c>
      <c r="K731" s="4">
        <f t="shared" si="81"/>
        <v>16</v>
      </c>
      <c r="L731" s="4">
        <f t="shared" si="82"/>
        <v>141</v>
      </c>
      <c r="M731" s="4" t="s">
        <v>519</v>
      </c>
      <c r="N731" s="4">
        <f t="shared" si="83"/>
        <v>1</v>
      </c>
    </row>
    <row r="732" spans="1:14">
      <c r="A732" s="4">
        <v>46</v>
      </c>
      <c r="B732" s="4" t="s">
        <v>564</v>
      </c>
      <c r="C732" s="4" t="s">
        <v>70</v>
      </c>
      <c r="D732" s="4" t="s">
        <v>70</v>
      </c>
      <c r="E732" s="4" t="str">
        <f t="shared" si="77"/>
        <v>46|G|G</v>
      </c>
      <c r="F732" s="12">
        <v>4</v>
      </c>
      <c r="G732" s="4">
        <f t="shared" si="78"/>
        <v>137</v>
      </c>
      <c r="H732" s="12">
        <v>1</v>
      </c>
      <c r="I732" s="14">
        <f t="shared" si="79"/>
        <v>2.9197080291970802E-2</v>
      </c>
      <c r="J732" s="14">
        <f t="shared" si="80"/>
        <v>3.5460992907801421E-2</v>
      </c>
      <c r="K732" s="4">
        <f t="shared" si="81"/>
        <v>5</v>
      </c>
      <c r="L732" s="4">
        <f t="shared" si="82"/>
        <v>141</v>
      </c>
      <c r="M732" s="4" t="s">
        <v>519</v>
      </c>
      <c r="N732" s="4">
        <f t="shared" si="83"/>
        <v>1</v>
      </c>
    </row>
    <row r="733" spans="1:14">
      <c r="A733" s="4">
        <v>46</v>
      </c>
      <c r="B733" s="4" t="s">
        <v>564</v>
      </c>
      <c r="C733" s="4" t="s">
        <v>70</v>
      </c>
      <c r="D733" s="4" t="s">
        <v>72</v>
      </c>
      <c r="E733" s="4" t="str">
        <f t="shared" si="77"/>
        <v>46|G|U</v>
      </c>
      <c r="F733" s="12">
        <v>118</v>
      </c>
      <c r="G733" s="4">
        <f t="shared" si="78"/>
        <v>137</v>
      </c>
      <c r="H733" s="12">
        <v>1</v>
      </c>
      <c r="I733" s="14">
        <f t="shared" si="79"/>
        <v>0.86131386861313863</v>
      </c>
      <c r="J733" s="14">
        <f t="shared" si="80"/>
        <v>0.84397163120567376</v>
      </c>
      <c r="K733" s="4">
        <f t="shared" si="81"/>
        <v>119</v>
      </c>
      <c r="L733" s="4">
        <f t="shared" si="82"/>
        <v>141</v>
      </c>
      <c r="M733" s="4" t="s">
        <v>519</v>
      </c>
      <c r="N733" s="4">
        <f t="shared" si="83"/>
        <v>1</v>
      </c>
    </row>
    <row r="734" spans="1:14">
      <c r="A734" s="4">
        <v>46</v>
      </c>
      <c r="B734" s="4" t="s">
        <v>564</v>
      </c>
      <c r="C734" s="4" t="s">
        <v>72</v>
      </c>
      <c r="D734" s="4" t="s">
        <v>73</v>
      </c>
      <c r="E734" s="4" t="str">
        <f t="shared" si="77"/>
        <v>46|U|A</v>
      </c>
      <c r="F734" s="12">
        <v>5</v>
      </c>
      <c r="G734" s="4">
        <f t="shared" si="78"/>
        <v>12</v>
      </c>
      <c r="H734" s="12">
        <v>1</v>
      </c>
      <c r="I734" s="14">
        <f t="shared" si="79"/>
        <v>0.41666666666666669</v>
      </c>
      <c r="J734" s="14">
        <f t="shared" si="80"/>
        <v>0.375</v>
      </c>
      <c r="K734" s="4">
        <f t="shared" si="81"/>
        <v>6</v>
      </c>
      <c r="L734" s="4">
        <f t="shared" si="82"/>
        <v>16</v>
      </c>
      <c r="M734" s="4" t="s">
        <v>519</v>
      </c>
      <c r="N734" s="4">
        <f t="shared" si="83"/>
        <v>1</v>
      </c>
    </row>
    <row r="735" spans="1:14">
      <c r="A735" s="4">
        <v>46</v>
      </c>
      <c r="B735" s="4" t="s">
        <v>564</v>
      </c>
      <c r="C735" s="4" t="s">
        <v>72</v>
      </c>
      <c r="D735" s="4" t="s">
        <v>71</v>
      </c>
      <c r="E735" s="4" t="str">
        <f t="shared" si="77"/>
        <v>46|U|C</v>
      </c>
      <c r="F735" s="12">
        <v>3</v>
      </c>
      <c r="G735" s="4">
        <f t="shared" si="78"/>
        <v>12</v>
      </c>
      <c r="H735" s="12">
        <v>1</v>
      </c>
      <c r="I735" s="14">
        <f t="shared" si="79"/>
        <v>0.25</v>
      </c>
      <c r="J735" s="14">
        <f t="shared" si="80"/>
        <v>0.25</v>
      </c>
      <c r="K735" s="4">
        <f t="shared" si="81"/>
        <v>4</v>
      </c>
      <c r="L735" s="4">
        <f t="shared" si="82"/>
        <v>16</v>
      </c>
      <c r="M735" s="4" t="s">
        <v>519</v>
      </c>
      <c r="N735" s="4">
        <f t="shared" si="83"/>
        <v>1</v>
      </c>
    </row>
    <row r="736" spans="1:14">
      <c r="A736" s="4">
        <v>46</v>
      </c>
      <c r="B736" s="4" t="s">
        <v>564</v>
      </c>
      <c r="C736" s="4" t="s">
        <v>72</v>
      </c>
      <c r="D736" s="4" t="s">
        <v>70</v>
      </c>
      <c r="E736" s="4" t="str">
        <f t="shared" si="77"/>
        <v>46|U|G</v>
      </c>
      <c r="F736" s="12">
        <v>3</v>
      </c>
      <c r="G736" s="4">
        <f t="shared" si="78"/>
        <v>12</v>
      </c>
      <c r="H736" s="12">
        <v>1</v>
      </c>
      <c r="I736" s="14">
        <f t="shared" si="79"/>
        <v>0.25</v>
      </c>
      <c r="J736" s="14">
        <f t="shared" si="80"/>
        <v>0.25</v>
      </c>
      <c r="K736" s="4">
        <f t="shared" si="81"/>
        <v>4</v>
      </c>
      <c r="L736" s="4">
        <f t="shared" si="82"/>
        <v>16</v>
      </c>
      <c r="M736" s="4" t="s">
        <v>519</v>
      </c>
      <c r="N736" s="4">
        <f t="shared" si="83"/>
        <v>1</v>
      </c>
    </row>
    <row r="737" spans="1:14">
      <c r="A737" s="4">
        <v>46</v>
      </c>
      <c r="B737" s="4" t="s">
        <v>564</v>
      </c>
      <c r="C737" s="4" t="s">
        <v>72</v>
      </c>
      <c r="D737" s="4" t="s">
        <v>72</v>
      </c>
      <c r="E737" s="4" t="str">
        <f t="shared" si="77"/>
        <v>46|U|U</v>
      </c>
      <c r="F737" s="12">
        <v>1</v>
      </c>
      <c r="G737" s="4">
        <f t="shared" si="78"/>
        <v>12</v>
      </c>
      <c r="H737" s="12">
        <v>1</v>
      </c>
      <c r="I737" s="14">
        <f t="shared" si="79"/>
        <v>8.3333333333333329E-2</v>
      </c>
      <c r="J737" s="14">
        <f t="shared" si="80"/>
        <v>0.125</v>
      </c>
      <c r="K737" s="4">
        <f t="shared" si="81"/>
        <v>2</v>
      </c>
      <c r="L737" s="4">
        <f t="shared" si="82"/>
        <v>16</v>
      </c>
      <c r="M737" s="4" t="s">
        <v>519</v>
      </c>
      <c r="N737" s="4">
        <f t="shared" si="83"/>
        <v>1</v>
      </c>
    </row>
    <row r="738" spans="1:14">
      <c r="A738" s="4">
        <v>47</v>
      </c>
      <c r="B738" s="4" t="s">
        <v>565</v>
      </c>
      <c r="C738" s="4" t="s">
        <v>73</v>
      </c>
      <c r="D738" s="4" t="s">
        <v>73</v>
      </c>
      <c r="E738" s="4" t="str">
        <f t="shared" si="77"/>
        <v>47|A|A</v>
      </c>
      <c r="F738" s="12">
        <v>1</v>
      </c>
      <c r="G738" s="4">
        <f t="shared" si="78"/>
        <v>26</v>
      </c>
      <c r="H738" s="12">
        <v>1</v>
      </c>
      <c r="I738" s="14">
        <f t="shared" si="79"/>
        <v>3.8461538461538464E-2</v>
      </c>
      <c r="J738" s="14">
        <f t="shared" si="80"/>
        <v>6.6666666666666666E-2</v>
      </c>
      <c r="K738" s="4">
        <f t="shared" si="81"/>
        <v>2</v>
      </c>
      <c r="L738" s="4">
        <f t="shared" si="82"/>
        <v>30</v>
      </c>
      <c r="M738" s="4" t="s">
        <v>519</v>
      </c>
      <c r="N738" s="4">
        <f t="shared" si="83"/>
        <v>1</v>
      </c>
    </row>
    <row r="739" spans="1:14">
      <c r="A739" s="4">
        <v>47</v>
      </c>
      <c r="B739" s="4" t="s">
        <v>565</v>
      </c>
      <c r="C739" s="4" t="s">
        <v>73</v>
      </c>
      <c r="D739" s="4" t="s">
        <v>71</v>
      </c>
      <c r="E739" s="4" t="str">
        <f t="shared" si="77"/>
        <v>47|A|C</v>
      </c>
      <c r="F739" s="12">
        <v>20</v>
      </c>
      <c r="G739" s="4">
        <f t="shared" si="78"/>
        <v>26</v>
      </c>
      <c r="H739" s="12">
        <v>1</v>
      </c>
      <c r="I739" s="14">
        <f t="shared" si="79"/>
        <v>0.76923076923076927</v>
      </c>
      <c r="J739" s="14">
        <f t="shared" si="80"/>
        <v>0.7</v>
      </c>
      <c r="K739" s="4">
        <f t="shared" si="81"/>
        <v>21</v>
      </c>
      <c r="L739" s="4">
        <f t="shared" si="82"/>
        <v>30</v>
      </c>
      <c r="M739" s="4" t="s">
        <v>519</v>
      </c>
      <c r="N739" s="4">
        <f t="shared" si="83"/>
        <v>1</v>
      </c>
    </row>
    <row r="740" spans="1:14">
      <c r="A740" s="4">
        <v>47</v>
      </c>
      <c r="B740" s="4" t="s">
        <v>565</v>
      </c>
      <c r="C740" s="4" t="s">
        <v>73</v>
      </c>
      <c r="D740" s="4" t="s">
        <v>70</v>
      </c>
      <c r="E740" s="4" t="str">
        <f t="shared" si="77"/>
        <v>47|A|G</v>
      </c>
      <c r="F740" s="12">
        <v>1</v>
      </c>
      <c r="G740" s="4">
        <f t="shared" si="78"/>
        <v>26</v>
      </c>
      <c r="H740" s="12">
        <v>1</v>
      </c>
      <c r="I740" s="14">
        <f t="shared" si="79"/>
        <v>3.8461538461538464E-2</v>
      </c>
      <c r="J740" s="14">
        <f t="shared" si="80"/>
        <v>6.6666666666666666E-2</v>
      </c>
      <c r="K740" s="4">
        <f t="shared" si="81"/>
        <v>2</v>
      </c>
      <c r="L740" s="4">
        <f t="shared" si="82"/>
        <v>30</v>
      </c>
      <c r="M740" s="4" t="s">
        <v>519</v>
      </c>
      <c r="N740" s="4">
        <f t="shared" si="83"/>
        <v>1</v>
      </c>
    </row>
    <row r="741" spans="1:14">
      <c r="A741" s="4">
        <v>47</v>
      </c>
      <c r="B741" s="4" t="s">
        <v>565</v>
      </c>
      <c r="C741" s="4" t="s">
        <v>73</v>
      </c>
      <c r="D741" s="4" t="s">
        <v>72</v>
      </c>
      <c r="E741" s="4" t="str">
        <f t="shared" si="77"/>
        <v>47|A|U</v>
      </c>
      <c r="F741" s="12">
        <v>4</v>
      </c>
      <c r="G741" s="4">
        <f t="shared" si="78"/>
        <v>26</v>
      </c>
      <c r="H741" s="12">
        <v>1</v>
      </c>
      <c r="I741" s="14">
        <f t="shared" si="79"/>
        <v>0.15384615384615385</v>
      </c>
      <c r="J741" s="14">
        <f t="shared" si="80"/>
        <v>0.16666666666666666</v>
      </c>
      <c r="K741" s="4">
        <f t="shared" si="81"/>
        <v>5</v>
      </c>
      <c r="L741" s="4">
        <f t="shared" si="82"/>
        <v>30</v>
      </c>
      <c r="M741" s="4" t="s">
        <v>519</v>
      </c>
      <c r="N741" s="4">
        <f t="shared" si="83"/>
        <v>1</v>
      </c>
    </row>
    <row r="742" spans="1:14">
      <c r="A742" s="4">
        <v>47</v>
      </c>
      <c r="B742" s="4" t="s">
        <v>565</v>
      </c>
      <c r="C742" s="4" t="s">
        <v>71</v>
      </c>
      <c r="D742" s="4" t="s">
        <v>73</v>
      </c>
      <c r="E742" s="4" t="str">
        <f t="shared" si="77"/>
        <v>47|C|A</v>
      </c>
      <c r="F742" s="12">
        <v>0</v>
      </c>
      <c r="G742" s="4">
        <f t="shared" si="78"/>
        <v>23</v>
      </c>
      <c r="H742" s="12">
        <v>1</v>
      </c>
      <c r="I742" s="14">
        <f t="shared" si="79"/>
        <v>0</v>
      </c>
      <c r="J742" s="14">
        <f t="shared" si="80"/>
        <v>3.7037037037037035E-2</v>
      </c>
      <c r="K742" s="4">
        <f t="shared" si="81"/>
        <v>1</v>
      </c>
      <c r="L742" s="4">
        <f t="shared" si="82"/>
        <v>27</v>
      </c>
      <c r="M742" s="4" t="s">
        <v>519</v>
      </c>
      <c r="N742" s="4">
        <f t="shared" si="83"/>
        <v>1</v>
      </c>
    </row>
    <row r="743" spans="1:14">
      <c r="A743" s="4">
        <v>47</v>
      </c>
      <c r="B743" s="4" t="s">
        <v>565</v>
      </c>
      <c r="C743" s="4" t="s">
        <v>71</v>
      </c>
      <c r="D743" s="4" t="s">
        <v>71</v>
      </c>
      <c r="E743" s="4" t="str">
        <f t="shared" si="77"/>
        <v>47|C|C</v>
      </c>
      <c r="F743" s="12">
        <v>22</v>
      </c>
      <c r="G743" s="4">
        <f t="shared" si="78"/>
        <v>23</v>
      </c>
      <c r="H743" s="12">
        <v>1</v>
      </c>
      <c r="I743" s="14">
        <f t="shared" si="79"/>
        <v>0.95652173913043481</v>
      </c>
      <c r="J743" s="14">
        <f t="shared" si="80"/>
        <v>0.85185185185185186</v>
      </c>
      <c r="K743" s="4">
        <f t="shared" si="81"/>
        <v>23</v>
      </c>
      <c r="L743" s="4">
        <f t="shared" si="82"/>
        <v>27</v>
      </c>
      <c r="M743" s="4" t="s">
        <v>519</v>
      </c>
      <c r="N743" s="4">
        <f t="shared" si="83"/>
        <v>1</v>
      </c>
    </row>
    <row r="744" spans="1:14">
      <c r="A744" s="4">
        <v>47</v>
      </c>
      <c r="B744" s="4" t="s">
        <v>565</v>
      </c>
      <c r="C744" s="4" t="s">
        <v>71</v>
      </c>
      <c r="D744" s="4" t="s">
        <v>70</v>
      </c>
      <c r="E744" s="4" t="str">
        <f t="shared" si="77"/>
        <v>47|C|G</v>
      </c>
      <c r="F744" s="12">
        <v>0</v>
      </c>
      <c r="G744" s="4">
        <f t="shared" si="78"/>
        <v>23</v>
      </c>
      <c r="H744" s="12">
        <v>1</v>
      </c>
      <c r="I744" s="14">
        <f t="shared" si="79"/>
        <v>0</v>
      </c>
      <c r="J744" s="14">
        <f t="shared" si="80"/>
        <v>3.7037037037037035E-2</v>
      </c>
      <c r="K744" s="4">
        <f t="shared" si="81"/>
        <v>1</v>
      </c>
      <c r="L744" s="4">
        <f t="shared" si="82"/>
        <v>27</v>
      </c>
      <c r="M744" s="4" t="s">
        <v>519</v>
      </c>
      <c r="N744" s="4">
        <f t="shared" si="83"/>
        <v>1</v>
      </c>
    </row>
    <row r="745" spans="1:14">
      <c r="A745" s="4">
        <v>47</v>
      </c>
      <c r="B745" s="4" t="s">
        <v>565</v>
      </c>
      <c r="C745" s="4" t="s">
        <v>71</v>
      </c>
      <c r="D745" s="4" t="s">
        <v>72</v>
      </c>
      <c r="E745" s="4" t="str">
        <f t="shared" si="77"/>
        <v>47|C|U</v>
      </c>
      <c r="F745" s="12">
        <v>1</v>
      </c>
      <c r="G745" s="4">
        <f t="shared" si="78"/>
        <v>23</v>
      </c>
      <c r="H745" s="12">
        <v>1</v>
      </c>
      <c r="I745" s="14">
        <f t="shared" si="79"/>
        <v>4.3478260869565216E-2</v>
      </c>
      <c r="J745" s="14">
        <f t="shared" si="80"/>
        <v>7.407407407407407E-2</v>
      </c>
      <c r="K745" s="4">
        <f t="shared" si="81"/>
        <v>2</v>
      </c>
      <c r="L745" s="4">
        <f t="shared" si="82"/>
        <v>27</v>
      </c>
      <c r="M745" s="4" t="s">
        <v>519</v>
      </c>
      <c r="N745" s="4">
        <f t="shared" si="83"/>
        <v>1</v>
      </c>
    </row>
    <row r="746" spans="1:14">
      <c r="A746" s="4">
        <v>47</v>
      </c>
      <c r="B746" s="4" t="s">
        <v>565</v>
      </c>
      <c r="C746" s="4" t="s">
        <v>70</v>
      </c>
      <c r="D746" s="4" t="s">
        <v>73</v>
      </c>
      <c r="E746" s="4" t="str">
        <f t="shared" si="77"/>
        <v>47|G|A</v>
      </c>
      <c r="F746" s="12">
        <v>0</v>
      </c>
      <c r="G746" s="4">
        <f t="shared" si="78"/>
        <v>16</v>
      </c>
      <c r="H746" s="12">
        <v>1</v>
      </c>
      <c r="I746" s="14">
        <f t="shared" si="79"/>
        <v>0</v>
      </c>
      <c r="J746" s="14">
        <f t="shared" si="80"/>
        <v>0.05</v>
      </c>
      <c r="K746" s="4">
        <f t="shared" si="81"/>
        <v>1</v>
      </c>
      <c r="L746" s="4">
        <f t="shared" si="82"/>
        <v>20</v>
      </c>
      <c r="M746" s="4" t="s">
        <v>519</v>
      </c>
      <c r="N746" s="4">
        <f t="shared" si="83"/>
        <v>1</v>
      </c>
    </row>
    <row r="747" spans="1:14">
      <c r="A747" s="4">
        <v>47</v>
      </c>
      <c r="B747" s="4" t="s">
        <v>565</v>
      </c>
      <c r="C747" s="4" t="s">
        <v>70</v>
      </c>
      <c r="D747" s="4" t="s">
        <v>71</v>
      </c>
      <c r="E747" s="4" t="str">
        <f t="shared" si="77"/>
        <v>47|G|C</v>
      </c>
      <c r="F747" s="12">
        <v>8</v>
      </c>
      <c r="G747" s="4">
        <f t="shared" si="78"/>
        <v>16</v>
      </c>
      <c r="H747" s="12">
        <v>1</v>
      </c>
      <c r="I747" s="14">
        <f t="shared" si="79"/>
        <v>0.5</v>
      </c>
      <c r="J747" s="14">
        <f t="shared" si="80"/>
        <v>0.45</v>
      </c>
      <c r="K747" s="4">
        <f t="shared" si="81"/>
        <v>9</v>
      </c>
      <c r="L747" s="4">
        <f t="shared" si="82"/>
        <v>20</v>
      </c>
      <c r="M747" s="4" t="s">
        <v>519</v>
      </c>
      <c r="N747" s="4">
        <f t="shared" si="83"/>
        <v>1</v>
      </c>
    </row>
    <row r="748" spans="1:14">
      <c r="A748" s="4">
        <v>47</v>
      </c>
      <c r="B748" s="4" t="s">
        <v>565</v>
      </c>
      <c r="C748" s="4" t="s">
        <v>70</v>
      </c>
      <c r="D748" s="4" t="s">
        <v>70</v>
      </c>
      <c r="E748" s="4" t="str">
        <f t="shared" si="77"/>
        <v>47|G|G</v>
      </c>
      <c r="F748" s="12">
        <v>0</v>
      </c>
      <c r="G748" s="4">
        <f t="shared" si="78"/>
        <v>16</v>
      </c>
      <c r="H748" s="12">
        <v>1</v>
      </c>
      <c r="I748" s="14">
        <f t="shared" si="79"/>
        <v>0</v>
      </c>
      <c r="J748" s="14">
        <f t="shared" si="80"/>
        <v>0.05</v>
      </c>
      <c r="K748" s="4">
        <f t="shared" si="81"/>
        <v>1</v>
      </c>
      <c r="L748" s="4">
        <f t="shared" si="82"/>
        <v>20</v>
      </c>
      <c r="M748" s="4" t="s">
        <v>519</v>
      </c>
      <c r="N748" s="4">
        <f t="shared" si="83"/>
        <v>1</v>
      </c>
    </row>
    <row r="749" spans="1:14">
      <c r="A749" s="4">
        <v>47</v>
      </c>
      <c r="B749" s="4" t="s">
        <v>565</v>
      </c>
      <c r="C749" s="4" t="s">
        <v>70</v>
      </c>
      <c r="D749" s="4" t="s">
        <v>72</v>
      </c>
      <c r="E749" s="4" t="str">
        <f t="shared" si="77"/>
        <v>47|G|U</v>
      </c>
      <c r="F749" s="12">
        <v>8</v>
      </c>
      <c r="G749" s="4">
        <f t="shared" si="78"/>
        <v>16</v>
      </c>
      <c r="H749" s="12">
        <v>1</v>
      </c>
      <c r="I749" s="14">
        <f t="shared" si="79"/>
        <v>0.5</v>
      </c>
      <c r="J749" s="14">
        <f t="shared" si="80"/>
        <v>0.45</v>
      </c>
      <c r="K749" s="4">
        <f t="shared" si="81"/>
        <v>9</v>
      </c>
      <c r="L749" s="4">
        <f t="shared" si="82"/>
        <v>20</v>
      </c>
      <c r="M749" s="4" t="s">
        <v>519</v>
      </c>
      <c r="N749" s="4">
        <f t="shared" si="83"/>
        <v>1</v>
      </c>
    </row>
    <row r="750" spans="1:14">
      <c r="A750" s="4">
        <v>47</v>
      </c>
      <c r="B750" s="4" t="s">
        <v>565</v>
      </c>
      <c r="C750" s="4" t="s">
        <v>72</v>
      </c>
      <c r="D750" s="4" t="s">
        <v>73</v>
      </c>
      <c r="E750" s="4" t="str">
        <f t="shared" si="77"/>
        <v>47|U|A</v>
      </c>
      <c r="F750" s="12">
        <v>0</v>
      </c>
      <c r="G750" s="4">
        <f t="shared" si="78"/>
        <v>135</v>
      </c>
      <c r="H750" s="12">
        <v>1</v>
      </c>
      <c r="I750" s="14">
        <f t="shared" si="79"/>
        <v>0</v>
      </c>
      <c r="J750" s="14">
        <f t="shared" si="80"/>
        <v>7.1942446043165471E-3</v>
      </c>
      <c r="K750" s="4">
        <f t="shared" si="81"/>
        <v>1</v>
      </c>
      <c r="L750" s="4">
        <f t="shared" si="82"/>
        <v>139</v>
      </c>
      <c r="M750" s="4" t="s">
        <v>519</v>
      </c>
      <c r="N750" s="4">
        <f t="shared" si="83"/>
        <v>1</v>
      </c>
    </row>
    <row r="751" spans="1:14">
      <c r="A751" s="4">
        <v>47</v>
      </c>
      <c r="B751" s="4" t="s">
        <v>565</v>
      </c>
      <c r="C751" s="4" t="s">
        <v>72</v>
      </c>
      <c r="D751" s="4" t="s">
        <v>71</v>
      </c>
      <c r="E751" s="4" t="str">
        <f t="shared" si="77"/>
        <v>47|U|C</v>
      </c>
      <c r="F751" s="12">
        <v>118</v>
      </c>
      <c r="G751" s="4">
        <f t="shared" si="78"/>
        <v>135</v>
      </c>
      <c r="H751" s="12">
        <v>1</v>
      </c>
      <c r="I751" s="14">
        <f t="shared" si="79"/>
        <v>0.87407407407407411</v>
      </c>
      <c r="J751" s="14">
        <f t="shared" si="80"/>
        <v>0.85611510791366907</v>
      </c>
      <c r="K751" s="4">
        <f t="shared" si="81"/>
        <v>119</v>
      </c>
      <c r="L751" s="4">
        <f t="shared" si="82"/>
        <v>139</v>
      </c>
      <c r="M751" s="4" t="s">
        <v>519</v>
      </c>
      <c r="N751" s="4">
        <f t="shared" si="83"/>
        <v>1</v>
      </c>
    </row>
    <row r="752" spans="1:14">
      <c r="A752" s="4">
        <v>47</v>
      </c>
      <c r="B752" s="4" t="s">
        <v>565</v>
      </c>
      <c r="C752" s="4" t="s">
        <v>72</v>
      </c>
      <c r="D752" s="4" t="s">
        <v>70</v>
      </c>
      <c r="E752" s="4" t="str">
        <f t="shared" si="77"/>
        <v>47|U|G</v>
      </c>
      <c r="F752" s="12">
        <v>1</v>
      </c>
      <c r="G752" s="4">
        <f t="shared" si="78"/>
        <v>135</v>
      </c>
      <c r="H752" s="12">
        <v>1</v>
      </c>
      <c r="I752" s="14">
        <f t="shared" si="79"/>
        <v>7.4074074074074077E-3</v>
      </c>
      <c r="J752" s="14">
        <f t="shared" si="80"/>
        <v>1.4388489208633094E-2</v>
      </c>
      <c r="K752" s="4">
        <f t="shared" si="81"/>
        <v>2</v>
      </c>
      <c r="L752" s="4">
        <f t="shared" si="82"/>
        <v>139</v>
      </c>
      <c r="M752" s="4" t="s">
        <v>519</v>
      </c>
      <c r="N752" s="4">
        <f t="shared" si="83"/>
        <v>1</v>
      </c>
    </row>
    <row r="753" spans="1:14">
      <c r="A753" s="4">
        <v>47</v>
      </c>
      <c r="B753" s="4" t="s">
        <v>565</v>
      </c>
      <c r="C753" s="4" t="s">
        <v>72</v>
      </c>
      <c r="D753" s="4" t="s">
        <v>72</v>
      </c>
      <c r="E753" s="4" t="str">
        <f t="shared" si="77"/>
        <v>47|U|U</v>
      </c>
      <c r="F753" s="12">
        <v>16</v>
      </c>
      <c r="G753" s="4">
        <f t="shared" si="78"/>
        <v>135</v>
      </c>
      <c r="H753" s="12">
        <v>1</v>
      </c>
      <c r="I753" s="14">
        <f t="shared" si="79"/>
        <v>0.11851851851851852</v>
      </c>
      <c r="J753" s="14">
        <f t="shared" si="80"/>
        <v>0.1223021582733813</v>
      </c>
      <c r="K753" s="4">
        <f t="shared" si="81"/>
        <v>17</v>
      </c>
      <c r="L753" s="4">
        <f t="shared" si="82"/>
        <v>139</v>
      </c>
      <c r="M753" s="4" t="s">
        <v>519</v>
      </c>
      <c r="N753" s="4">
        <f t="shared" si="83"/>
        <v>1</v>
      </c>
    </row>
    <row r="754" spans="1:14">
      <c r="A754" s="4">
        <v>48</v>
      </c>
      <c r="B754" s="4" t="s">
        <v>566</v>
      </c>
      <c r="C754" s="4" t="s">
        <v>73</v>
      </c>
      <c r="D754" s="4" t="s">
        <v>73</v>
      </c>
      <c r="E754" s="4" t="str">
        <f t="shared" si="77"/>
        <v>48|A|A</v>
      </c>
      <c r="F754" s="12">
        <v>1</v>
      </c>
      <c r="G754" s="4">
        <f t="shared" si="78"/>
        <v>1</v>
      </c>
      <c r="H754" s="12">
        <v>1</v>
      </c>
      <c r="I754" s="14">
        <f t="shared" si="79"/>
        <v>1</v>
      </c>
      <c r="J754" s="14">
        <f t="shared" si="80"/>
        <v>0.4</v>
      </c>
      <c r="K754" s="4">
        <f t="shared" si="81"/>
        <v>2</v>
      </c>
      <c r="L754" s="4">
        <f t="shared" si="82"/>
        <v>5</v>
      </c>
      <c r="M754" s="4" t="s">
        <v>519</v>
      </c>
      <c r="N754" s="4">
        <f t="shared" si="83"/>
        <v>1</v>
      </c>
    </row>
    <row r="755" spans="1:14">
      <c r="A755" s="4">
        <v>48</v>
      </c>
      <c r="B755" s="4" t="s">
        <v>566</v>
      </c>
      <c r="C755" s="4" t="s">
        <v>73</v>
      </c>
      <c r="D755" s="4" t="s">
        <v>71</v>
      </c>
      <c r="E755" s="4" t="str">
        <f t="shared" si="77"/>
        <v>48|A|C</v>
      </c>
      <c r="F755" s="12">
        <v>0</v>
      </c>
      <c r="G755" s="4">
        <f t="shared" si="78"/>
        <v>1</v>
      </c>
      <c r="H755" s="12">
        <v>1</v>
      </c>
      <c r="I755" s="14">
        <f t="shared" si="79"/>
        <v>0</v>
      </c>
      <c r="J755" s="14">
        <f t="shared" si="80"/>
        <v>0.2</v>
      </c>
      <c r="K755" s="4">
        <f t="shared" si="81"/>
        <v>1</v>
      </c>
      <c r="L755" s="4">
        <f t="shared" si="82"/>
        <v>5</v>
      </c>
      <c r="M755" s="4" t="s">
        <v>519</v>
      </c>
      <c r="N755" s="4">
        <f t="shared" si="83"/>
        <v>1</v>
      </c>
    </row>
    <row r="756" spans="1:14">
      <c r="A756" s="4">
        <v>48</v>
      </c>
      <c r="B756" s="4" t="s">
        <v>566</v>
      </c>
      <c r="C756" s="4" t="s">
        <v>73</v>
      </c>
      <c r="D756" s="4" t="s">
        <v>70</v>
      </c>
      <c r="E756" s="4" t="str">
        <f t="shared" si="77"/>
        <v>48|A|G</v>
      </c>
      <c r="F756" s="12">
        <v>0</v>
      </c>
      <c r="G756" s="4">
        <f t="shared" si="78"/>
        <v>1</v>
      </c>
      <c r="H756" s="12">
        <v>1</v>
      </c>
      <c r="I756" s="14">
        <f t="shared" si="79"/>
        <v>0</v>
      </c>
      <c r="J756" s="14">
        <f t="shared" si="80"/>
        <v>0.2</v>
      </c>
      <c r="K756" s="4">
        <f t="shared" si="81"/>
        <v>1</v>
      </c>
      <c r="L756" s="4">
        <f t="shared" si="82"/>
        <v>5</v>
      </c>
      <c r="M756" s="4" t="s">
        <v>519</v>
      </c>
      <c r="N756" s="4">
        <f t="shared" si="83"/>
        <v>1</v>
      </c>
    </row>
    <row r="757" spans="1:14">
      <c r="A757" s="4">
        <v>48</v>
      </c>
      <c r="B757" s="4" t="s">
        <v>566</v>
      </c>
      <c r="C757" s="4" t="s">
        <v>73</v>
      </c>
      <c r="D757" s="4" t="s">
        <v>72</v>
      </c>
      <c r="E757" s="4" t="str">
        <f t="shared" si="77"/>
        <v>48|A|U</v>
      </c>
      <c r="F757" s="12">
        <v>0</v>
      </c>
      <c r="G757" s="4">
        <f t="shared" si="78"/>
        <v>1</v>
      </c>
      <c r="H757" s="12">
        <v>1</v>
      </c>
      <c r="I757" s="14">
        <f t="shared" si="79"/>
        <v>0</v>
      </c>
      <c r="J757" s="14">
        <f t="shared" si="80"/>
        <v>0.2</v>
      </c>
      <c r="K757" s="4">
        <f t="shared" si="81"/>
        <v>1</v>
      </c>
      <c r="L757" s="4">
        <f t="shared" si="82"/>
        <v>5</v>
      </c>
      <c r="M757" s="4" t="s">
        <v>519</v>
      </c>
      <c r="N757" s="4">
        <f t="shared" si="83"/>
        <v>1</v>
      </c>
    </row>
    <row r="758" spans="1:14">
      <c r="A758" s="4">
        <v>48</v>
      </c>
      <c r="B758" s="4" t="s">
        <v>566</v>
      </c>
      <c r="C758" s="4" t="s">
        <v>71</v>
      </c>
      <c r="D758" s="4" t="s">
        <v>73</v>
      </c>
      <c r="E758" s="4" t="str">
        <f t="shared" si="77"/>
        <v>48|C|A</v>
      </c>
      <c r="F758" s="12">
        <v>23</v>
      </c>
      <c r="G758" s="4">
        <f t="shared" si="78"/>
        <v>168</v>
      </c>
      <c r="H758" s="12">
        <v>1</v>
      </c>
      <c r="I758" s="14">
        <f t="shared" si="79"/>
        <v>0.13690476190476192</v>
      </c>
      <c r="J758" s="14">
        <f t="shared" si="80"/>
        <v>0.13953488372093023</v>
      </c>
      <c r="K758" s="4">
        <f t="shared" si="81"/>
        <v>24</v>
      </c>
      <c r="L758" s="4">
        <f t="shared" si="82"/>
        <v>172</v>
      </c>
      <c r="M758" s="4" t="s">
        <v>519</v>
      </c>
      <c r="N758" s="4">
        <f t="shared" si="83"/>
        <v>1</v>
      </c>
    </row>
    <row r="759" spans="1:14">
      <c r="A759" s="4">
        <v>48</v>
      </c>
      <c r="B759" s="4" t="s">
        <v>566</v>
      </c>
      <c r="C759" s="4" t="s">
        <v>71</v>
      </c>
      <c r="D759" s="4" t="s">
        <v>71</v>
      </c>
      <c r="E759" s="4" t="str">
        <f t="shared" si="77"/>
        <v>48|C|C</v>
      </c>
      <c r="F759" s="12">
        <v>51</v>
      </c>
      <c r="G759" s="4">
        <f t="shared" si="78"/>
        <v>168</v>
      </c>
      <c r="H759" s="12">
        <v>1</v>
      </c>
      <c r="I759" s="14">
        <f t="shared" si="79"/>
        <v>0.30357142857142855</v>
      </c>
      <c r="J759" s="14">
        <f t="shared" si="80"/>
        <v>0.30232558139534882</v>
      </c>
      <c r="K759" s="4">
        <f t="shared" si="81"/>
        <v>52</v>
      </c>
      <c r="L759" s="4">
        <f t="shared" si="82"/>
        <v>172</v>
      </c>
      <c r="M759" s="4" t="s">
        <v>519</v>
      </c>
      <c r="N759" s="4">
        <f t="shared" si="83"/>
        <v>1</v>
      </c>
    </row>
    <row r="760" spans="1:14">
      <c r="A760" s="4">
        <v>48</v>
      </c>
      <c r="B760" s="4" t="s">
        <v>566</v>
      </c>
      <c r="C760" s="4" t="s">
        <v>71</v>
      </c>
      <c r="D760" s="4" t="s">
        <v>70</v>
      </c>
      <c r="E760" s="4" t="str">
        <f t="shared" si="77"/>
        <v>48|C|G</v>
      </c>
      <c r="F760" s="12">
        <v>85</v>
      </c>
      <c r="G760" s="4">
        <f t="shared" si="78"/>
        <v>168</v>
      </c>
      <c r="H760" s="12">
        <v>1</v>
      </c>
      <c r="I760" s="14">
        <f t="shared" si="79"/>
        <v>0.50595238095238093</v>
      </c>
      <c r="J760" s="14">
        <f t="shared" si="80"/>
        <v>0.5</v>
      </c>
      <c r="K760" s="4">
        <f t="shared" si="81"/>
        <v>86</v>
      </c>
      <c r="L760" s="4">
        <f t="shared" si="82"/>
        <v>172</v>
      </c>
      <c r="M760" s="4" t="s">
        <v>519</v>
      </c>
      <c r="N760" s="4">
        <f t="shared" si="83"/>
        <v>1</v>
      </c>
    </row>
    <row r="761" spans="1:14">
      <c r="A761" s="4">
        <v>48</v>
      </c>
      <c r="B761" s="4" t="s">
        <v>566</v>
      </c>
      <c r="C761" s="4" t="s">
        <v>71</v>
      </c>
      <c r="D761" s="4" t="s">
        <v>72</v>
      </c>
      <c r="E761" s="4" t="str">
        <f t="shared" si="77"/>
        <v>48|C|U</v>
      </c>
      <c r="F761" s="12">
        <v>9</v>
      </c>
      <c r="G761" s="4">
        <f t="shared" si="78"/>
        <v>168</v>
      </c>
      <c r="H761" s="12">
        <v>1</v>
      </c>
      <c r="I761" s="14">
        <f t="shared" si="79"/>
        <v>5.3571428571428568E-2</v>
      </c>
      <c r="J761" s="14">
        <f t="shared" si="80"/>
        <v>5.8139534883720929E-2</v>
      </c>
      <c r="K761" s="4">
        <f t="shared" si="81"/>
        <v>10</v>
      </c>
      <c r="L761" s="4">
        <f t="shared" si="82"/>
        <v>172</v>
      </c>
      <c r="M761" s="4" t="s">
        <v>519</v>
      </c>
      <c r="N761" s="4">
        <f t="shared" si="83"/>
        <v>1</v>
      </c>
    </row>
    <row r="762" spans="1:14">
      <c r="A762" s="4">
        <v>48</v>
      </c>
      <c r="B762" s="4" t="s">
        <v>566</v>
      </c>
      <c r="C762" s="4" t="s">
        <v>70</v>
      </c>
      <c r="D762" s="4" t="s">
        <v>73</v>
      </c>
      <c r="E762" s="4" t="str">
        <f t="shared" si="77"/>
        <v>48|G|A</v>
      </c>
      <c r="F762" s="12">
        <v>0</v>
      </c>
      <c r="G762" s="4">
        <f t="shared" si="78"/>
        <v>2</v>
      </c>
      <c r="H762" s="12">
        <v>1</v>
      </c>
      <c r="I762" s="14">
        <f t="shared" si="79"/>
        <v>0</v>
      </c>
      <c r="J762" s="14">
        <f t="shared" si="80"/>
        <v>0.16666666666666666</v>
      </c>
      <c r="K762" s="4">
        <f t="shared" si="81"/>
        <v>1</v>
      </c>
      <c r="L762" s="4">
        <f t="shared" si="82"/>
        <v>6</v>
      </c>
      <c r="M762" s="4" t="s">
        <v>519</v>
      </c>
      <c r="N762" s="4">
        <f t="shared" si="83"/>
        <v>1</v>
      </c>
    </row>
    <row r="763" spans="1:14">
      <c r="A763" s="4">
        <v>48</v>
      </c>
      <c r="B763" s="4" t="s">
        <v>566</v>
      </c>
      <c r="C763" s="4" t="s">
        <v>70</v>
      </c>
      <c r="D763" s="4" t="s">
        <v>71</v>
      </c>
      <c r="E763" s="4" t="str">
        <f t="shared" si="77"/>
        <v>48|G|C</v>
      </c>
      <c r="F763" s="12">
        <v>2</v>
      </c>
      <c r="G763" s="4">
        <f t="shared" si="78"/>
        <v>2</v>
      </c>
      <c r="H763" s="12">
        <v>1</v>
      </c>
      <c r="I763" s="14">
        <f t="shared" si="79"/>
        <v>1</v>
      </c>
      <c r="J763" s="14">
        <f t="shared" si="80"/>
        <v>0.5</v>
      </c>
      <c r="K763" s="4">
        <f t="shared" si="81"/>
        <v>3</v>
      </c>
      <c r="L763" s="4">
        <f t="shared" si="82"/>
        <v>6</v>
      </c>
      <c r="M763" s="4" t="s">
        <v>519</v>
      </c>
      <c r="N763" s="4">
        <f t="shared" si="83"/>
        <v>1</v>
      </c>
    </row>
    <row r="764" spans="1:14">
      <c r="A764" s="4">
        <v>48</v>
      </c>
      <c r="B764" s="4" t="s">
        <v>566</v>
      </c>
      <c r="C764" s="4" t="s">
        <v>70</v>
      </c>
      <c r="D764" s="4" t="s">
        <v>70</v>
      </c>
      <c r="E764" s="4" t="str">
        <f t="shared" si="77"/>
        <v>48|G|G</v>
      </c>
      <c r="F764" s="12">
        <v>0</v>
      </c>
      <c r="G764" s="4">
        <f t="shared" si="78"/>
        <v>2</v>
      </c>
      <c r="H764" s="12">
        <v>1</v>
      </c>
      <c r="I764" s="14">
        <f t="shared" si="79"/>
        <v>0</v>
      </c>
      <c r="J764" s="14">
        <f t="shared" si="80"/>
        <v>0.16666666666666666</v>
      </c>
      <c r="K764" s="4">
        <f t="shared" si="81"/>
        <v>1</v>
      </c>
      <c r="L764" s="4">
        <f t="shared" si="82"/>
        <v>6</v>
      </c>
      <c r="M764" s="4" t="s">
        <v>519</v>
      </c>
      <c r="N764" s="4">
        <f t="shared" si="83"/>
        <v>1</v>
      </c>
    </row>
    <row r="765" spans="1:14">
      <c r="A765" s="4">
        <v>48</v>
      </c>
      <c r="B765" s="4" t="s">
        <v>566</v>
      </c>
      <c r="C765" s="4" t="s">
        <v>70</v>
      </c>
      <c r="D765" s="4" t="s">
        <v>72</v>
      </c>
      <c r="E765" s="4" t="str">
        <f t="shared" si="77"/>
        <v>48|G|U</v>
      </c>
      <c r="F765" s="12">
        <v>0</v>
      </c>
      <c r="G765" s="4">
        <f t="shared" si="78"/>
        <v>2</v>
      </c>
      <c r="H765" s="12">
        <v>1</v>
      </c>
      <c r="I765" s="14">
        <f t="shared" si="79"/>
        <v>0</v>
      </c>
      <c r="J765" s="14">
        <f t="shared" si="80"/>
        <v>0.16666666666666666</v>
      </c>
      <c r="K765" s="4">
        <f t="shared" si="81"/>
        <v>1</v>
      </c>
      <c r="L765" s="4">
        <f t="shared" si="82"/>
        <v>6</v>
      </c>
      <c r="M765" s="4" t="s">
        <v>519</v>
      </c>
      <c r="N765" s="4">
        <f t="shared" si="83"/>
        <v>1</v>
      </c>
    </row>
    <row r="766" spans="1:14">
      <c r="A766" s="4">
        <v>48</v>
      </c>
      <c r="B766" s="4" t="s">
        <v>566</v>
      </c>
      <c r="C766" s="4" t="s">
        <v>72</v>
      </c>
      <c r="D766" s="4" t="s">
        <v>73</v>
      </c>
      <c r="E766" s="4" t="str">
        <f t="shared" si="77"/>
        <v>48|U|A</v>
      </c>
      <c r="F766" s="12">
        <v>7</v>
      </c>
      <c r="G766" s="4">
        <f t="shared" si="78"/>
        <v>29</v>
      </c>
      <c r="H766" s="12">
        <v>1</v>
      </c>
      <c r="I766" s="14">
        <f t="shared" si="79"/>
        <v>0.2413793103448276</v>
      </c>
      <c r="J766" s="14">
        <f t="shared" si="80"/>
        <v>0.24242424242424243</v>
      </c>
      <c r="K766" s="4">
        <f t="shared" si="81"/>
        <v>8</v>
      </c>
      <c r="L766" s="4">
        <f t="shared" si="82"/>
        <v>33</v>
      </c>
      <c r="M766" s="4" t="s">
        <v>519</v>
      </c>
      <c r="N766" s="4">
        <f t="shared" si="83"/>
        <v>1</v>
      </c>
    </row>
    <row r="767" spans="1:14">
      <c r="A767" s="4">
        <v>48</v>
      </c>
      <c r="B767" s="4" t="s">
        <v>566</v>
      </c>
      <c r="C767" s="4" t="s">
        <v>72</v>
      </c>
      <c r="D767" s="4" t="s">
        <v>71</v>
      </c>
      <c r="E767" s="4" t="str">
        <f t="shared" si="77"/>
        <v>48|U|C</v>
      </c>
      <c r="F767" s="12">
        <v>4</v>
      </c>
      <c r="G767" s="4">
        <f t="shared" si="78"/>
        <v>29</v>
      </c>
      <c r="H767" s="12">
        <v>1</v>
      </c>
      <c r="I767" s="14">
        <f t="shared" si="79"/>
        <v>0.13793103448275862</v>
      </c>
      <c r="J767" s="14">
        <f t="shared" si="80"/>
        <v>0.15151515151515152</v>
      </c>
      <c r="K767" s="4">
        <f t="shared" si="81"/>
        <v>5</v>
      </c>
      <c r="L767" s="4">
        <f t="shared" si="82"/>
        <v>33</v>
      </c>
      <c r="M767" s="4" t="s">
        <v>519</v>
      </c>
      <c r="N767" s="4">
        <f t="shared" si="83"/>
        <v>1</v>
      </c>
    </row>
    <row r="768" spans="1:14">
      <c r="A768" s="4">
        <v>48</v>
      </c>
      <c r="B768" s="4" t="s">
        <v>566</v>
      </c>
      <c r="C768" s="4" t="s">
        <v>72</v>
      </c>
      <c r="D768" s="4" t="s">
        <v>70</v>
      </c>
      <c r="E768" s="4" t="str">
        <f t="shared" si="77"/>
        <v>48|U|G</v>
      </c>
      <c r="F768" s="12">
        <v>16</v>
      </c>
      <c r="G768" s="4">
        <f t="shared" si="78"/>
        <v>29</v>
      </c>
      <c r="H768" s="12">
        <v>1</v>
      </c>
      <c r="I768" s="14">
        <f t="shared" si="79"/>
        <v>0.55172413793103448</v>
      </c>
      <c r="J768" s="14">
        <f t="shared" si="80"/>
        <v>0.51515151515151514</v>
      </c>
      <c r="K768" s="4">
        <f t="shared" si="81"/>
        <v>17</v>
      </c>
      <c r="L768" s="4">
        <f t="shared" si="82"/>
        <v>33</v>
      </c>
      <c r="M768" s="4" t="s">
        <v>519</v>
      </c>
      <c r="N768" s="4">
        <f t="shared" si="83"/>
        <v>1</v>
      </c>
    </row>
    <row r="769" spans="1:14">
      <c r="A769" s="4">
        <v>48</v>
      </c>
      <c r="B769" s="4" t="s">
        <v>566</v>
      </c>
      <c r="C769" s="4" t="s">
        <v>72</v>
      </c>
      <c r="D769" s="4" t="s">
        <v>72</v>
      </c>
      <c r="E769" s="4" t="str">
        <f t="shared" si="77"/>
        <v>48|U|U</v>
      </c>
      <c r="F769" s="12">
        <v>2</v>
      </c>
      <c r="G769" s="4">
        <f t="shared" si="78"/>
        <v>29</v>
      </c>
      <c r="H769" s="12">
        <v>1</v>
      </c>
      <c r="I769" s="14">
        <f t="shared" si="79"/>
        <v>6.8965517241379309E-2</v>
      </c>
      <c r="J769" s="14">
        <f t="shared" si="80"/>
        <v>9.0909090909090912E-2</v>
      </c>
      <c r="K769" s="4">
        <f t="shared" si="81"/>
        <v>3</v>
      </c>
      <c r="L769" s="4">
        <f t="shared" si="82"/>
        <v>33</v>
      </c>
      <c r="M769" s="4" t="s">
        <v>519</v>
      </c>
      <c r="N769" s="4">
        <f t="shared" si="83"/>
        <v>1</v>
      </c>
    </row>
    <row r="770" spans="1:14">
      <c r="A770" s="4">
        <v>49</v>
      </c>
      <c r="B770" s="4" t="s">
        <v>567</v>
      </c>
      <c r="C770" s="4" t="s">
        <v>73</v>
      </c>
      <c r="D770" s="4" t="s">
        <v>73</v>
      </c>
      <c r="E770" s="4" t="str">
        <f t="shared" ref="E770:E833" si="84">A770&amp;"|"&amp;C770&amp;"|"&amp;D770</f>
        <v>49|A|A</v>
      </c>
      <c r="F770" s="12">
        <v>2</v>
      </c>
      <c r="G770" s="4">
        <f t="shared" ref="G770:G833" si="85">SUMIFS($F$2:$F$1137,$A$2:$A$1137,A770,$C$2:$C$1137,C770)</f>
        <v>31</v>
      </c>
      <c r="H770" s="12">
        <v>1</v>
      </c>
      <c r="I770" s="14">
        <f t="shared" ref="I770:I833" si="86">IF(G770=0,"",F770/G770)</f>
        <v>6.4516129032258063E-2</v>
      </c>
      <c r="J770" s="14">
        <f t="shared" ref="J770:J833" si="87">K770/L770</f>
        <v>8.5714285714285715E-2</v>
      </c>
      <c r="K770" s="4">
        <f t="shared" ref="K770:K833" si="88">F770+H770</f>
        <v>3</v>
      </c>
      <c r="L770" s="4">
        <f t="shared" ref="L770:L833" si="89">G770+4*H770</f>
        <v>35</v>
      </c>
      <c r="M770" s="4" t="s">
        <v>519</v>
      </c>
      <c r="N770" s="4">
        <f t="shared" ref="N770:N833" si="90">ROUND(SUMIFS($J$2:$J$1137,$A$2:$A$1137,A770,$C$2:$C$1137,C770),9)</f>
        <v>1</v>
      </c>
    </row>
    <row r="771" spans="1:14">
      <c r="A771" s="4">
        <v>49</v>
      </c>
      <c r="B771" s="4" t="s">
        <v>567</v>
      </c>
      <c r="C771" s="4" t="s">
        <v>73</v>
      </c>
      <c r="D771" s="4" t="s">
        <v>71</v>
      </c>
      <c r="E771" s="4" t="str">
        <f t="shared" si="84"/>
        <v>49|A|C</v>
      </c>
      <c r="F771" s="12">
        <v>15</v>
      </c>
      <c r="G771" s="4">
        <f t="shared" si="85"/>
        <v>31</v>
      </c>
      <c r="H771" s="12">
        <v>1</v>
      </c>
      <c r="I771" s="14">
        <f t="shared" si="86"/>
        <v>0.4838709677419355</v>
      </c>
      <c r="J771" s="14">
        <f t="shared" si="87"/>
        <v>0.45714285714285713</v>
      </c>
      <c r="K771" s="4">
        <f t="shared" si="88"/>
        <v>16</v>
      </c>
      <c r="L771" s="4">
        <f t="shared" si="89"/>
        <v>35</v>
      </c>
      <c r="M771" s="4" t="s">
        <v>519</v>
      </c>
      <c r="N771" s="4">
        <f t="shared" si="90"/>
        <v>1</v>
      </c>
    </row>
    <row r="772" spans="1:14">
      <c r="A772" s="4">
        <v>49</v>
      </c>
      <c r="B772" s="4" t="s">
        <v>567</v>
      </c>
      <c r="C772" s="4" t="s">
        <v>73</v>
      </c>
      <c r="D772" s="4" t="s">
        <v>70</v>
      </c>
      <c r="E772" s="4" t="str">
        <f t="shared" si="84"/>
        <v>49|A|G</v>
      </c>
      <c r="F772" s="12">
        <v>8</v>
      </c>
      <c r="G772" s="4">
        <f t="shared" si="85"/>
        <v>31</v>
      </c>
      <c r="H772" s="12">
        <v>1</v>
      </c>
      <c r="I772" s="14">
        <f t="shared" si="86"/>
        <v>0.25806451612903225</v>
      </c>
      <c r="J772" s="14">
        <f t="shared" si="87"/>
        <v>0.25714285714285712</v>
      </c>
      <c r="K772" s="4">
        <f t="shared" si="88"/>
        <v>9</v>
      </c>
      <c r="L772" s="4">
        <f t="shared" si="89"/>
        <v>35</v>
      </c>
      <c r="M772" s="4" t="s">
        <v>519</v>
      </c>
      <c r="N772" s="4">
        <f t="shared" si="90"/>
        <v>1</v>
      </c>
    </row>
    <row r="773" spans="1:14">
      <c r="A773" s="4">
        <v>49</v>
      </c>
      <c r="B773" s="4" t="s">
        <v>567</v>
      </c>
      <c r="C773" s="4" t="s">
        <v>73</v>
      </c>
      <c r="D773" s="4" t="s">
        <v>72</v>
      </c>
      <c r="E773" s="4" t="str">
        <f t="shared" si="84"/>
        <v>49|A|U</v>
      </c>
      <c r="F773" s="12">
        <v>6</v>
      </c>
      <c r="G773" s="4">
        <f t="shared" si="85"/>
        <v>31</v>
      </c>
      <c r="H773" s="12">
        <v>1</v>
      </c>
      <c r="I773" s="14">
        <f t="shared" si="86"/>
        <v>0.19354838709677419</v>
      </c>
      <c r="J773" s="14">
        <f t="shared" si="87"/>
        <v>0.2</v>
      </c>
      <c r="K773" s="4">
        <f t="shared" si="88"/>
        <v>7</v>
      </c>
      <c r="L773" s="4">
        <f t="shared" si="89"/>
        <v>35</v>
      </c>
      <c r="M773" s="4" t="s">
        <v>519</v>
      </c>
      <c r="N773" s="4">
        <f t="shared" si="90"/>
        <v>1</v>
      </c>
    </row>
    <row r="774" spans="1:14">
      <c r="A774" s="4">
        <v>49</v>
      </c>
      <c r="B774" s="4" t="s">
        <v>567</v>
      </c>
      <c r="C774" s="4" t="s">
        <v>71</v>
      </c>
      <c r="D774" s="4" t="s">
        <v>73</v>
      </c>
      <c r="E774" s="4" t="str">
        <f t="shared" si="84"/>
        <v>49|C|A</v>
      </c>
      <c r="F774" s="12">
        <v>3</v>
      </c>
      <c r="G774" s="4">
        <f t="shared" si="85"/>
        <v>57</v>
      </c>
      <c r="H774" s="12">
        <v>1</v>
      </c>
      <c r="I774" s="14">
        <f t="shared" si="86"/>
        <v>5.2631578947368418E-2</v>
      </c>
      <c r="J774" s="14">
        <f t="shared" si="87"/>
        <v>6.5573770491803282E-2</v>
      </c>
      <c r="K774" s="4">
        <f t="shared" si="88"/>
        <v>4</v>
      </c>
      <c r="L774" s="4">
        <f t="shared" si="89"/>
        <v>61</v>
      </c>
      <c r="M774" s="4" t="s">
        <v>519</v>
      </c>
      <c r="N774" s="4">
        <f t="shared" si="90"/>
        <v>1</v>
      </c>
    </row>
    <row r="775" spans="1:14">
      <c r="A775" s="4">
        <v>49</v>
      </c>
      <c r="B775" s="4" t="s">
        <v>567</v>
      </c>
      <c r="C775" s="4" t="s">
        <v>71</v>
      </c>
      <c r="D775" s="4" t="s">
        <v>71</v>
      </c>
      <c r="E775" s="4" t="str">
        <f t="shared" si="84"/>
        <v>49|C|C</v>
      </c>
      <c r="F775" s="12">
        <v>34</v>
      </c>
      <c r="G775" s="4">
        <f t="shared" si="85"/>
        <v>57</v>
      </c>
      <c r="H775" s="12">
        <v>1</v>
      </c>
      <c r="I775" s="14">
        <f t="shared" si="86"/>
        <v>0.59649122807017541</v>
      </c>
      <c r="J775" s="14">
        <f t="shared" si="87"/>
        <v>0.57377049180327866</v>
      </c>
      <c r="K775" s="4">
        <f t="shared" si="88"/>
        <v>35</v>
      </c>
      <c r="L775" s="4">
        <f t="shared" si="89"/>
        <v>61</v>
      </c>
      <c r="M775" s="4" t="s">
        <v>519</v>
      </c>
      <c r="N775" s="4">
        <f t="shared" si="90"/>
        <v>1</v>
      </c>
    </row>
    <row r="776" spans="1:14">
      <c r="A776" s="4">
        <v>49</v>
      </c>
      <c r="B776" s="4" t="s">
        <v>567</v>
      </c>
      <c r="C776" s="4" t="s">
        <v>71</v>
      </c>
      <c r="D776" s="4" t="s">
        <v>70</v>
      </c>
      <c r="E776" s="4" t="str">
        <f t="shared" si="84"/>
        <v>49|C|G</v>
      </c>
      <c r="F776" s="12">
        <v>12</v>
      </c>
      <c r="G776" s="4">
        <f t="shared" si="85"/>
        <v>57</v>
      </c>
      <c r="H776" s="12">
        <v>1</v>
      </c>
      <c r="I776" s="14">
        <f t="shared" si="86"/>
        <v>0.21052631578947367</v>
      </c>
      <c r="J776" s="14">
        <f t="shared" si="87"/>
        <v>0.21311475409836064</v>
      </c>
      <c r="K776" s="4">
        <f t="shared" si="88"/>
        <v>13</v>
      </c>
      <c r="L776" s="4">
        <f t="shared" si="89"/>
        <v>61</v>
      </c>
      <c r="M776" s="4" t="s">
        <v>519</v>
      </c>
      <c r="N776" s="4">
        <f t="shared" si="90"/>
        <v>1</v>
      </c>
    </row>
    <row r="777" spans="1:14">
      <c r="A777" s="4">
        <v>49</v>
      </c>
      <c r="B777" s="4" t="s">
        <v>567</v>
      </c>
      <c r="C777" s="4" t="s">
        <v>71</v>
      </c>
      <c r="D777" s="4" t="s">
        <v>72</v>
      </c>
      <c r="E777" s="4" t="str">
        <f t="shared" si="84"/>
        <v>49|C|U</v>
      </c>
      <c r="F777" s="12">
        <v>8</v>
      </c>
      <c r="G777" s="4">
        <f t="shared" si="85"/>
        <v>57</v>
      </c>
      <c r="H777" s="12">
        <v>1</v>
      </c>
      <c r="I777" s="14">
        <f t="shared" si="86"/>
        <v>0.14035087719298245</v>
      </c>
      <c r="J777" s="14">
        <f t="shared" si="87"/>
        <v>0.14754098360655737</v>
      </c>
      <c r="K777" s="4">
        <f t="shared" si="88"/>
        <v>9</v>
      </c>
      <c r="L777" s="4">
        <f t="shared" si="89"/>
        <v>61</v>
      </c>
      <c r="M777" s="4" t="s">
        <v>519</v>
      </c>
      <c r="N777" s="4">
        <f t="shared" si="90"/>
        <v>1</v>
      </c>
    </row>
    <row r="778" spans="1:14">
      <c r="A778" s="4">
        <v>49</v>
      </c>
      <c r="B778" s="4" t="s">
        <v>567</v>
      </c>
      <c r="C778" s="4" t="s">
        <v>70</v>
      </c>
      <c r="D778" s="4" t="s">
        <v>73</v>
      </c>
      <c r="E778" s="4" t="str">
        <f t="shared" si="84"/>
        <v>49|G|A</v>
      </c>
      <c r="F778" s="12">
        <v>16</v>
      </c>
      <c r="G778" s="4">
        <f t="shared" si="85"/>
        <v>101</v>
      </c>
      <c r="H778" s="12">
        <v>1</v>
      </c>
      <c r="I778" s="14">
        <f t="shared" si="86"/>
        <v>0.15841584158415842</v>
      </c>
      <c r="J778" s="14">
        <f t="shared" si="87"/>
        <v>0.16190476190476191</v>
      </c>
      <c r="K778" s="4">
        <f t="shared" si="88"/>
        <v>17</v>
      </c>
      <c r="L778" s="4">
        <f t="shared" si="89"/>
        <v>105</v>
      </c>
      <c r="M778" s="4" t="s">
        <v>519</v>
      </c>
      <c r="N778" s="4">
        <f t="shared" si="90"/>
        <v>1</v>
      </c>
    </row>
    <row r="779" spans="1:14">
      <c r="A779" s="4">
        <v>49</v>
      </c>
      <c r="B779" s="4" t="s">
        <v>567</v>
      </c>
      <c r="C779" s="4" t="s">
        <v>70</v>
      </c>
      <c r="D779" s="4" t="s">
        <v>71</v>
      </c>
      <c r="E779" s="4" t="str">
        <f t="shared" si="84"/>
        <v>49|G|C</v>
      </c>
      <c r="F779" s="12">
        <v>33</v>
      </c>
      <c r="G779" s="4">
        <f t="shared" si="85"/>
        <v>101</v>
      </c>
      <c r="H779" s="12">
        <v>1</v>
      </c>
      <c r="I779" s="14">
        <f t="shared" si="86"/>
        <v>0.32673267326732675</v>
      </c>
      <c r="J779" s="14">
        <f t="shared" si="87"/>
        <v>0.32380952380952382</v>
      </c>
      <c r="K779" s="4">
        <f t="shared" si="88"/>
        <v>34</v>
      </c>
      <c r="L779" s="4">
        <f t="shared" si="89"/>
        <v>105</v>
      </c>
      <c r="M779" s="4" t="s">
        <v>519</v>
      </c>
      <c r="N779" s="4">
        <f t="shared" si="90"/>
        <v>1</v>
      </c>
    </row>
    <row r="780" spans="1:14">
      <c r="A780" s="4">
        <v>49</v>
      </c>
      <c r="B780" s="4" t="s">
        <v>567</v>
      </c>
      <c r="C780" s="4" t="s">
        <v>70</v>
      </c>
      <c r="D780" s="4" t="s">
        <v>70</v>
      </c>
      <c r="E780" s="4" t="str">
        <f t="shared" si="84"/>
        <v>49|G|G</v>
      </c>
      <c r="F780" s="12">
        <v>30</v>
      </c>
      <c r="G780" s="4">
        <f t="shared" si="85"/>
        <v>101</v>
      </c>
      <c r="H780" s="12">
        <v>1</v>
      </c>
      <c r="I780" s="14">
        <f t="shared" si="86"/>
        <v>0.29702970297029702</v>
      </c>
      <c r="J780" s="14">
        <f t="shared" si="87"/>
        <v>0.29523809523809524</v>
      </c>
      <c r="K780" s="4">
        <f t="shared" si="88"/>
        <v>31</v>
      </c>
      <c r="L780" s="4">
        <f t="shared" si="89"/>
        <v>105</v>
      </c>
      <c r="M780" s="4" t="s">
        <v>519</v>
      </c>
      <c r="N780" s="4">
        <f t="shared" si="90"/>
        <v>1</v>
      </c>
    </row>
    <row r="781" spans="1:14">
      <c r="A781" s="4">
        <v>49</v>
      </c>
      <c r="B781" s="4" t="s">
        <v>567</v>
      </c>
      <c r="C781" s="4" t="s">
        <v>70</v>
      </c>
      <c r="D781" s="4" t="s">
        <v>72</v>
      </c>
      <c r="E781" s="4" t="str">
        <f t="shared" si="84"/>
        <v>49|G|U</v>
      </c>
      <c r="F781" s="12">
        <v>22</v>
      </c>
      <c r="G781" s="4">
        <f t="shared" si="85"/>
        <v>101</v>
      </c>
      <c r="H781" s="12">
        <v>1</v>
      </c>
      <c r="I781" s="14">
        <f t="shared" si="86"/>
        <v>0.21782178217821782</v>
      </c>
      <c r="J781" s="14">
        <f t="shared" si="87"/>
        <v>0.21904761904761905</v>
      </c>
      <c r="K781" s="4">
        <f t="shared" si="88"/>
        <v>23</v>
      </c>
      <c r="L781" s="4">
        <f t="shared" si="89"/>
        <v>105</v>
      </c>
      <c r="M781" s="4" t="s">
        <v>519</v>
      </c>
      <c r="N781" s="4">
        <f t="shared" si="90"/>
        <v>1</v>
      </c>
    </row>
    <row r="782" spans="1:14">
      <c r="A782" s="4">
        <v>49</v>
      </c>
      <c r="B782" s="4" t="s">
        <v>567</v>
      </c>
      <c r="C782" s="4" t="s">
        <v>72</v>
      </c>
      <c r="D782" s="4" t="s">
        <v>73</v>
      </c>
      <c r="E782" s="4" t="str">
        <f t="shared" si="84"/>
        <v>49|U|A</v>
      </c>
      <c r="F782" s="12">
        <v>2</v>
      </c>
      <c r="G782" s="4">
        <f t="shared" si="85"/>
        <v>11</v>
      </c>
      <c r="H782" s="12">
        <v>1</v>
      </c>
      <c r="I782" s="14">
        <f t="shared" si="86"/>
        <v>0.18181818181818182</v>
      </c>
      <c r="J782" s="14">
        <f t="shared" si="87"/>
        <v>0.2</v>
      </c>
      <c r="K782" s="4">
        <f t="shared" si="88"/>
        <v>3</v>
      </c>
      <c r="L782" s="4">
        <f t="shared" si="89"/>
        <v>15</v>
      </c>
      <c r="M782" s="4" t="s">
        <v>519</v>
      </c>
      <c r="N782" s="4">
        <f t="shared" si="90"/>
        <v>1</v>
      </c>
    </row>
    <row r="783" spans="1:14">
      <c r="A783" s="4">
        <v>49</v>
      </c>
      <c r="B783" s="4" t="s">
        <v>567</v>
      </c>
      <c r="C783" s="4" t="s">
        <v>72</v>
      </c>
      <c r="D783" s="4" t="s">
        <v>71</v>
      </c>
      <c r="E783" s="4" t="str">
        <f t="shared" si="84"/>
        <v>49|U|C</v>
      </c>
      <c r="F783" s="12">
        <v>5</v>
      </c>
      <c r="G783" s="4">
        <f t="shared" si="85"/>
        <v>11</v>
      </c>
      <c r="H783" s="12">
        <v>1</v>
      </c>
      <c r="I783" s="14">
        <f t="shared" si="86"/>
        <v>0.45454545454545453</v>
      </c>
      <c r="J783" s="14">
        <f t="shared" si="87"/>
        <v>0.4</v>
      </c>
      <c r="K783" s="4">
        <f t="shared" si="88"/>
        <v>6</v>
      </c>
      <c r="L783" s="4">
        <f t="shared" si="89"/>
        <v>15</v>
      </c>
      <c r="M783" s="4" t="s">
        <v>519</v>
      </c>
      <c r="N783" s="4">
        <f t="shared" si="90"/>
        <v>1</v>
      </c>
    </row>
    <row r="784" spans="1:14">
      <c r="A784" s="4">
        <v>49</v>
      </c>
      <c r="B784" s="4" t="s">
        <v>567</v>
      </c>
      <c r="C784" s="4" t="s">
        <v>72</v>
      </c>
      <c r="D784" s="4" t="s">
        <v>70</v>
      </c>
      <c r="E784" s="4" t="str">
        <f t="shared" si="84"/>
        <v>49|U|G</v>
      </c>
      <c r="F784" s="12">
        <v>4</v>
      </c>
      <c r="G784" s="4">
        <f t="shared" si="85"/>
        <v>11</v>
      </c>
      <c r="H784" s="12">
        <v>1</v>
      </c>
      <c r="I784" s="14">
        <f t="shared" si="86"/>
        <v>0.36363636363636365</v>
      </c>
      <c r="J784" s="14">
        <f t="shared" si="87"/>
        <v>0.33333333333333331</v>
      </c>
      <c r="K784" s="4">
        <f t="shared" si="88"/>
        <v>5</v>
      </c>
      <c r="L784" s="4">
        <f t="shared" si="89"/>
        <v>15</v>
      </c>
      <c r="M784" s="4" t="s">
        <v>519</v>
      </c>
      <c r="N784" s="4">
        <f t="shared" si="90"/>
        <v>1</v>
      </c>
    </row>
    <row r="785" spans="1:14">
      <c r="A785" s="4">
        <v>49</v>
      </c>
      <c r="B785" s="4" t="s">
        <v>567</v>
      </c>
      <c r="C785" s="4" t="s">
        <v>72</v>
      </c>
      <c r="D785" s="4" t="s">
        <v>72</v>
      </c>
      <c r="E785" s="4" t="str">
        <f t="shared" si="84"/>
        <v>49|U|U</v>
      </c>
      <c r="F785" s="12">
        <v>0</v>
      </c>
      <c r="G785" s="4">
        <f t="shared" si="85"/>
        <v>11</v>
      </c>
      <c r="H785" s="12">
        <v>1</v>
      </c>
      <c r="I785" s="14">
        <f t="shared" si="86"/>
        <v>0</v>
      </c>
      <c r="J785" s="14">
        <f t="shared" si="87"/>
        <v>6.6666666666666666E-2</v>
      </c>
      <c r="K785" s="4">
        <f t="shared" si="88"/>
        <v>1</v>
      </c>
      <c r="L785" s="4">
        <f t="shared" si="89"/>
        <v>15</v>
      </c>
      <c r="M785" s="4" t="s">
        <v>519</v>
      </c>
      <c r="N785" s="4">
        <f t="shared" si="90"/>
        <v>1</v>
      </c>
    </row>
    <row r="786" spans="1:14">
      <c r="A786" s="4">
        <v>50</v>
      </c>
      <c r="B786" s="4" t="s">
        <v>568</v>
      </c>
      <c r="C786" s="4" t="s">
        <v>73</v>
      </c>
      <c r="D786" s="4" t="s">
        <v>73</v>
      </c>
      <c r="E786" s="4" t="str">
        <f t="shared" si="84"/>
        <v>50|A|A</v>
      </c>
      <c r="F786" s="12">
        <v>3</v>
      </c>
      <c r="G786" s="4">
        <f t="shared" si="85"/>
        <v>23</v>
      </c>
      <c r="H786" s="12">
        <v>1</v>
      </c>
      <c r="I786" s="14">
        <f t="shared" si="86"/>
        <v>0.13043478260869565</v>
      </c>
      <c r="J786" s="14">
        <f t="shared" si="87"/>
        <v>0.14814814814814814</v>
      </c>
      <c r="K786" s="4">
        <f t="shared" si="88"/>
        <v>4</v>
      </c>
      <c r="L786" s="4">
        <f t="shared" si="89"/>
        <v>27</v>
      </c>
      <c r="M786" s="4" t="s">
        <v>519</v>
      </c>
      <c r="N786" s="4">
        <f t="shared" si="90"/>
        <v>1</v>
      </c>
    </row>
    <row r="787" spans="1:14">
      <c r="A787" s="4">
        <v>50</v>
      </c>
      <c r="B787" s="4" t="s">
        <v>568</v>
      </c>
      <c r="C787" s="4" t="s">
        <v>73</v>
      </c>
      <c r="D787" s="4" t="s">
        <v>71</v>
      </c>
      <c r="E787" s="4" t="str">
        <f t="shared" si="84"/>
        <v>50|A|C</v>
      </c>
      <c r="F787" s="12">
        <v>2</v>
      </c>
      <c r="G787" s="4">
        <f t="shared" si="85"/>
        <v>23</v>
      </c>
      <c r="H787" s="12">
        <v>1</v>
      </c>
      <c r="I787" s="14">
        <f t="shared" si="86"/>
        <v>8.6956521739130432E-2</v>
      </c>
      <c r="J787" s="14">
        <f t="shared" si="87"/>
        <v>0.1111111111111111</v>
      </c>
      <c r="K787" s="4">
        <f t="shared" si="88"/>
        <v>3</v>
      </c>
      <c r="L787" s="4">
        <f t="shared" si="89"/>
        <v>27</v>
      </c>
      <c r="M787" s="4" t="s">
        <v>519</v>
      </c>
      <c r="N787" s="4">
        <f t="shared" si="90"/>
        <v>1</v>
      </c>
    </row>
    <row r="788" spans="1:14">
      <c r="A788" s="4">
        <v>50</v>
      </c>
      <c r="B788" s="4" t="s">
        <v>568</v>
      </c>
      <c r="C788" s="4" t="s">
        <v>73</v>
      </c>
      <c r="D788" s="4" t="s">
        <v>70</v>
      </c>
      <c r="E788" s="4" t="str">
        <f t="shared" si="84"/>
        <v>50|A|G</v>
      </c>
      <c r="F788" s="12">
        <v>16</v>
      </c>
      <c r="G788" s="4">
        <f t="shared" si="85"/>
        <v>23</v>
      </c>
      <c r="H788" s="12">
        <v>1</v>
      </c>
      <c r="I788" s="14">
        <f t="shared" si="86"/>
        <v>0.69565217391304346</v>
      </c>
      <c r="J788" s="14">
        <f t="shared" si="87"/>
        <v>0.62962962962962965</v>
      </c>
      <c r="K788" s="4">
        <f t="shared" si="88"/>
        <v>17</v>
      </c>
      <c r="L788" s="4">
        <f t="shared" si="89"/>
        <v>27</v>
      </c>
      <c r="M788" s="4" t="s">
        <v>519</v>
      </c>
      <c r="N788" s="4">
        <f t="shared" si="90"/>
        <v>1</v>
      </c>
    </row>
    <row r="789" spans="1:14">
      <c r="A789" s="4">
        <v>50</v>
      </c>
      <c r="B789" s="4" t="s">
        <v>568</v>
      </c>
      <c r="C789" s="4" t="s">
        <v>73</v>
      </c>
      <c r="D789" s="4" t="s">
        <v>72</v>
      </c>
      <c r="E789" s="4" t="str">
        <f t="shared" si="84"/>
        <v>50|A|U</v>
      </c>
      <c r="F789" s="12">
        <v>2</v>
      </c>
      <c r="G789" s="4">
        <f t="shared" si="85"/>
        <v>23</v>
      </c>
      <c r="H789" s="12">
        <v>1</v>
      </c>
      <c r="I789" s="14">
        <f t="shared" si="86"/>
        <v>8.6956521739130432E-2</v>
      </c>
      <c r="J789" s="14">
        <f t="shared" si="87"/>
        <v>0.1111111111111111</v>
      </c>
      <c r="K789" s="4">
        <f t="shared" si="88"/>
        <v>3</v>
      </c>
      <c r="L789" s="4">
        <f t="shared" si="89"/>
        <v>27</v>
      </c>
      <c r="M789" s="4" t="s">
        <v>519</v>
      </c>
      <c r="N789" s="4">
        <f t="shared" si="90"/>
        <v>1</v>
      </c>
    </row>
    <row r="790" spans="1:14">
      <c r="A790" s="4">
        <v>50</v>
      </c>
      <c r="B790" s="4" t="s">
        <v>568</v>
      </c>
      <c r="C790" s="4" t="s">
        <v>71</v>
      </c>
      <c r="D790" s="4" t="s">
        <v>73</v>
      </c>
      <c r="E790" s="4" t="str">
        <f t="shared" si="84"/>
        <v>50|C|A</v>
      </c>
      <c r="F790" s="12">
        <v>16</v>
      </c>
      <c r="G790" s="4">
        <f t="shared" si="85"/>
        <v>87</v>
      </c>
      <c r="H790" s="12">
        <v>1</v>
      </c>
      <c r="I790" s="14">
        <f t="shared" si="86"/>
        <v>0.18390804597701149</v>
      </c>
      <c r="J790" s="14">
        <f t="shared" si="87"/>
        <v>0.18681318681318682</v>
      </c>
      <c r="K790" s="4">
        <f t="shared" si="88"/>
        <v>17</v>
      </c>
      <c r="L790" s="4">
        <f t="shared" si="89"/>
        <v>91</v>
      </c>
      <c r="M790" s="4" t="s">
        <v>519</v>
      </c>
      <c r="N790" s="4">
        <f t="shared" si="90"/>
        <v>1</v>
      </c>
    </row>
    <row r="791" spans="1:14">
      <c r="A791" s="4">
        <v>50</v>
      </c>
      <c r="B791" s="4" t="s">
        <v>568</v>
      </c>
      <c r="C791" s="4" t="s">
        <v>71</v>
      </c>
      <c r="D791" s="4" t="s">
        <v>71</v>
      </c>
      <c r="E791" s="4" t="str">
        <f t="shared" si="84"/>
        <v>50|C|C</v>
      </c>
      <c r="F791" s="12">
        <v>18</v>
      </c>
      <c r="G791" s="4">
        <f t="shared" si="85"/>
        <v>87</v>
      </c>
      <c r="H791" s="12">
        <v>1</v>
      </c>
      <c r="I791" s="14">
        <f t="shared" si="86"/>
        <v>0.20689655172413793</v>
      </c>
      <c r="J791" s="14">
        <f t="shared" si="87"/>
        <v>0.2087912087912088</v>
      </c>
      <c r="K791" s="4">
        <f t="shared" si="88"/>
        <v>19</v>
      </c>
      <c r="L791" s="4">
        <f t="shared" si="89"/>
        <v>91</v>
      </c>
      <c r="M791" s="4" t="s">
        <v>519</v>
      </c>
      <c r="N791" s="4">
        <f t="shared" si="90"/>
        <v>1</v>
      </c>
    </row>
    <row r="792" spans="1:14">
      <c r="A792" s="4">
        <v>50</v>
      </c>
      <c r="B792" s="4" t="s">
        <v>568</v>
      </c>
      <c r="C792" s="4" t="s">
        <v>71</v>
      </c>
      <c r="D792" s="4" t="s">
        <v>70</v>
      </c>
      <c r="E792" s="4" t="str">
        <f t="shared" si="84"/>
        <v>50|C|G</v>
      </c>
      <c r="F792" s="12">
        <v>38</v>
      </c>
      <c r="G792" s="4">
        <f t="shared" si="85"/>
        <v>87</v>
      </c>
      <c r="H792" s="12">
        <v>1</v>
      </c>
      <c r="I792" s="14">
        <f t="shared" si="86"/>
        <v>0.43678160919540232</v>
      </c>
      <c r="J792" s="14">
        <f t="shared" si="87"/>
        <v>0.42857142857142855</v>
      </c>
      <c r="K792" s="4">
        <f t="shared" si="88"/>
        <v>39</v>
      </c>
      <c r="L792" s="4">
        <f t="shared" si="89"/>
        <v>91</v>
      </c>
      <c r="M792" s="4" t="s">
        <v>519</v>
      </c>
      <c r="N792" s="4">
        <f t="shared" si="90"/>
        <v>1</v>
      </c>
    </row>
    <row r="793" spans="1:14">
      <c r="A793" s="4">
        <v>50</v>
      </c>
      <c r="B793" s="4" t="s">
        <v>568</v>
      </c>
      <c r="C793" s="4" t="s">
        <v>71</v>
      </c>
      <c r="D793" s="4" t="s">
        <v>72</v>
      </c>
      <c r="E793" s="4" t="str">
        <f t="shared" si="84"/>
        <v>50|C|U</v>
      </c>
      <c r="F793" s="12">
        <v>15</v>
      </c>
      <c r="G793" s="4">
        <f t="shared" si="85"/>
        <v>87</v>
      </c>
      <c r="H793" s="12">
        <v>1</v>
      </c>
      <c r="I793" s="14">
        <f t="shared" si="86"/>
        <v>0.17241379310344829</v>
      </c>
      <c r="J793" s="14">
        <f t="shared" si="87"/>
        <v>0.17582417582417584</v>
      </c>
      <c r="K793" s="4">
        <f t="shared" si="88"/>
        <v>16</v>
      </c>
      <c r="L793" s="4">
        <f t="shared" si="89"/>
        <v>91</v>
      </c>
      <c r="M793" s="4" t="s">
        <v>519</v>
      </c>
      <c r="N793" s="4">
        <f t="shared" si="90"/>
        <v>1</v>
      </c>
    </row>
    <row r="794" spans="1:14">
      <c r="A794" s="4">
        <v>50</v>
      </c>
      <c r="B794" s="4" t="s">
        <v>568</v>
      </c>
      <c r="C794" s="4" t="s">
        <v>70</v>
      </c>
      <c r="D794" s="4" t="s">
        <v>73</v>
      </c>
      <c r="E794" s="4" t="str">
        <f t="shared" si="84"/>
        <v>50|G|A</v>
      </c>
      <c r="F794" s="12">
        <v>4</v>
      </c>
      <c r="G794" s="4">
        <f t="shared" si="85"/>
        <v>53</v>
      </c>
      <c r="H794" s="12">
        <v>1</v>
      </c>
      <c r="I794" s="14">
        <f t="shared" si="86"/>
        <v>7.5471698113207544E-2</v>
      </c>
      <c r="J794" s="14">
        <f t="shared" si="87"/>
        <v>8.771929824561403E-2</v>
      </c>
      <c r="K794" s="4">
        <f t="shared" si="88"/>
        <v>5</v>
      </c>
      <c r="L794" s="4">
        <f t="shared" si="89"/>
        <v>57</v>
      </c>
      <c r="M794" s="4" t="s">
        <v>519</v>
      </c>
      <c r="N794" s="4">
        <f t="shared" si="90"/>
        <v>1</v>
      </c>
    </row>
    <row r="795" spans="1:14">
      <c r="A795" s="4">
        <v>50</v>
      </c>
      <c r="B795" s="4" t="s">
        <v>568</v>
      </c>
      <c r="C795" s="4" t="s">
        <v>70</v>
      </c>
      <c r="D795" s="4" t="s">
        <v>71</v>
      </c>
      <c r="E795" s="4" t="str">
        <f t="shared" si="84"/>
        <v>50|G|C</v>
      </c>
      <c r="F795" s="12">
        <v>14</v>
      </c>
      <c r="G795" s="4">
        <f t="shared" si="85"/>
        <v>53</v>
      </c>
      <c r="H795" s="12">
        <v>1</v>
      </c>
      <c r="I795" s="14">
        <f t="shared" si="86"/>
        <v>0.26415094339622641</v>
      </c>
      <c r="J795" s="14">
        <f t="shared" si="87"/>
        <v>0.26315789473684209</v>
      </c>
      <c r="K795" s="4">
        <f t="shared" si="88"/>
        <v>15</v>
      </c>
      <c r="L795" s="4">
        <f t="shared" si="89"/>
        <v>57</v>
      </c>
      <c r="M795" s="4" t="s">
        <v>519</v>
      </c>
      <c r="N795" s="4">
        <f t="shared" si="90"/>
        <v>1</v>
      </c>
    </row>
    <row r="796" spans="1:14">
      <c r="A796" s="4">
        <v>50</v>
      </c>
      <c r="B796" s="4" t="s">
        <v>568</v>
      </c>
      <c r="C796" s="4" t="s">
        <v>70</v>
      </c>
      <c r="D796" s="4" t="s">
        <v>70</v>
      </c>
      <c r="E796" s="4" t="str">
        <f t="shared" si="84"/>
        <v>50|G|G</v>
      </c>
      <c r="F796" s="12">
        <v>26</v>
      </c>
      <c r="G796" s="4">
        <f t="shared" si="85"/>
        <v>53</v>
      </c>
      <c r="H796" s="12">
        <v>1</v>
      </c>
      <c r="I796" s="14">
        <f t="shared" si="86"/>
        <v>0.49056603773584906</v>
      </c>
      <c r="J796" s="14">
        <f t="shared" si="87"/>
        <v>0.47368421052631576</v>
      </c>
      <c r="K796" s="4">
        <f t="shared" si="88"/>
        <v>27</v>
      </c>
      <c r="L796" s="4">
        <f t="shared" si="89"/>
        <v>57</v>
      </c>
      <c r="M796" s="4" t="s">
        <v>519</v>
      </c>
      <c r="N796" s="4">
        <f t="shared" si="90"/>
        <v>1</v>
      </c>
    </row>
    <row r="797" spans="1:14">
      <c r="A797" s="4">
        <v>50</v>
      </c>
      <c r="B797" s="4" t="s">
        <v>568</v>
      </c>
      <c r="C797" s="4" t="s">
        <v>70</v>
      </c>
      <c r="D797" s="4" t="s">
        <v>72</v>
      </c>
      <c r="E797" s="4" t="str">
        <f t="shared" si="84"/>
        <v>50|G|U</v>
      </c>
      <c r="F797" s="12">
        <v>9</v>
      </c>
      <c r="G797" s="4">
        <f t="shared" si="85"/>
        <v>53</v>
      </c>
      <c r="H797" s="12">
        <v>1</v>
      </c>
      <c r="I797" s="14">
        <f t="shared" si="86"/>
        <v>0.16981132075471697</v>
      </c>
      <c r="J797" s="14">
        <f t="shared" si="87"/>
        <v>0.17543859649122806</v>
      </c>
      <c r="K797" s="4">
        <f t="shared" si="88"/>
        <v>10</v>
      </c>
      <c r="L797" s="4">
        <f t="shared" si="89"/>
        <v>57</v>
      </c>
      <c r="M797" s="4" t="s">
        <v>519</v>
      </c>
      <c r="N797" s="4">
        <f t="shared" si="90"/>
        <v>1</v>
      </c>
    </row>
    <row r="798" spans="1:14">
      <c r="A798" s="4">
        <v>50</v>
      </c>
      <c r="B798" s="4" t="s">
        <v>568</v>
      </c>
      <c r="C798" s="4" t="s">
        <v>72</v>
      </c>
      <c r="D798" s="4" t="s">
        <v>73</v>
      </c>
      <c r="E798" s="4" t="str">
        <f t="shared" si="84"/>
        <v>50|U|A</v>
      </c>
      <c r="F798" s="12">
        <v>5</v>
      </c>
      <c r="G798" s="4">
        <f t="shared" si="85"/>
        <v>36</v>
      </c>
      <c r="H798" s="12">
        <v>1</v>
      </c>
      <c r="I798" s="14">
        <f t="shared" si="86"/>
        <v>0.1388888888888889</v>
      </c>
      <c r="J798" s="14">
        <f t="shared" si="87"/>
        <v>0.15</v>
      </c>
      <c r="K798" s="4">
        <f t="shared" si="88"/>
        <v>6</v>
      </c>
      <c r="L798" s="4">
        <f t="shared" si="89"/>
        <v>40</v>
      </c>
      <c r="M798" s="4" t="s">
        <v>519</v>
      </c>
      <c r="N798" s="4">
        <f t="shared" si="90"/>
        <v>1</v>
      </c>
    </row>
    <row r="799" spans="1:14">
      <c r="A799" s="4">
        <v>50</v>
      </c>
      <c r="B799" s="4" t="s">
        <v>568</v>
      </c>
      <c r="C799" s="4" t="s">
        <v>72</v>
      </c>
      <c r="D799" s="4" t="s">
        <v>71</v>
      </c>
      <c r="E799" s="4" t="str">
        <f t="shared" si="84"/>
        <v>50|U|C</v>
      </c>
      <c r="F799" s="12">
        <v>7</v>
      </c>
      <c r="G799" s="4">
        <f t="shared" si="85"/>
        <v>36</v>
      </c>
      <c r="H799" s="12">
        <v>1</v>
      </c>
      <c r="I799" s="14">
        <f t="shared" si="86"/>
        <v>0.19444444444444445</v>
      </c>
      <c r="J799" s="14">
        <f t="shared" si="87"/>
        <v>0.2</v>
      </c>
      <c r="K799" s="4">
        <f t="shared" si="88"/>
        <v>8</v>
      </c>
      <c r="L799" s="4">
        <f t="shared" si="89"/>
        <v>40</v>
      </c>
      <c r="M799" s="4" t="s">
        <v>519</v>
      </c>
      <c r="N799" s="4">
        <f t="shared" si="90"/>
        <v>1</v>
      </c>
    </row>
    <row r="800" spans="1:14">
      <c r="A800" s="4">
        <v>50</v>
      </c>
      <c r="B800" s="4" t="s">
        <v>568</v>
      </c>
      <c r="C800" s="4" t="s">
        <v>72</v>
      </c>
      <c r="D800" s="4" t="s">
        <v>70</v>
      </c>
      <c r="E800" s="4" t="str">
        <f t="shared" si="84"/>
        <v>50|U|G</v>
      </c>
      <c r="F800" s="12">
        <v>19</v>
      </c>
      <c r="G800" s="4">
        <f t="shared" si="85"/>
        <v>36</v>
      </c>
      <c r="H800" s="12">
        <v>1</v>
      </c>
      <c r="I800" s="14">
        <f t="shared" si="86"/>
        <v>0.52777777777777779</v>
      </c>
      <c r="J800" s="14">
        <f t="shared" si="87"/>
        <v>0.5</v>
      </c>
      <c r="K800" s="4">
        <f t="shared" si="88"/>
        <v>20</v>
      </c>
      <c r="L800" s="4">
        <f t="shared" si="89"/>
        <v>40</v>
      </c>
      <c r="M800" s="4" t="s">
        <v>519</v>
      </c>
      <c r="N800" s="4">
        <f t="shared" si="90"/>
        <v>1</v>
      </c>
    </row>
    <row r="801" spans="1:14">
      <c r="A801" s="4">
        <v>50</v>
      </c>
      <c r="B801" s="4" t="s">
        <v>568</v>
      </c>
      <c r="C801" s="4" t="s">
        <v>72</v>
      </c>
      <c r="D801" s="4" t="s">
        <v>72</v>
      </c>
      <c r="E801" s="4" t="str">
        <f t="shared" si="84"/>
        <v>50|U|U</v>
      </c>
      <c r="F801" s="12">
        <v>5</v>
      </c>
      <c r="G801" s="4">
        <f t="shared" si="85"/>
        <v>36</v>
      </c>
      <c r="H801" s="12">
        <v>1</v>
      </c>
      <c r="I801" s="14">
        <f t="shared" si="86"/>
        <v>0.1388888888888889</v>
      </c>
      <c r="J801" s="14">
        <f t="shared" si="87"/>
        <v>0.15</v>
      </c>
      <c r="K801" s="4">
        <f t="shared" si="88"/>
        <v>6</v>
      </c>
      <c r="L801" s="4">
        <f t="shared" si="89"/>
        <v>40</v>
      </c>
      <c r="M801" s="4" t="s">
        <v>519</v>
      </c>
      <c r="N801" s="4">
        <f t="shared" si="90"/>
        <v>1</v>
      </c>
    </row>
    <row r="802" spans="1:14">
      <c r="A802" s="4">
        <v>51</v>
      </c>
      <c r="B802" s="4" t="s">
        <v>569</v>
      </c>
      <c r="C802" s="4" t="s">
        <v>73</v>
      </c>
      <c r="D802" s="4" t="s">
        <v>73</v>
      </c>
      <c r="E802" s="4" t="str">
        <f t="shared" si="84"/>
        <v>51|A|A</v>
      </c>
      <c r="F802" s="12">
        <v>1</v>
      </c>
      <c r="G802" s="4">
        <f t="shared" si="85"/>
        <v>28</v>
      </c>
      <c r="H802" s="12">
        <v>1</v>
      </c>
      <c r="I802" s="14">
        <f t="shared" si="86"/>
        <v>3.5714285714285712E-2</v>
      </c>
      <c r="J802" s="14">
        <f t="shared" si="87"/>
        <v>6.25E-2</v>
      </c>
      <c r="K802" s="4">
        <f t="shared" si="88"/>
        <v>2</v>
      </c>
      <c r="L802" s="4">
        <f t="shared" si="89"/>
        <v>32</v>
      </c>
      <c r="M802" s="4" t="s">
        <v>519</v>
      </c>
      <c r="N802" s="4">
        <f t="shared" si="90"/>
        <v>1</v>
      </c>
    </row>
    <row r="803" spans="1:14">
      <c r="A803" s="4">
        <v>51</v>
      </c>
      <c r="B803" s="4" t="s">
        <v>569</v>
      </c>
      <c r="C803" s="4" t="s">
        <v>73</v>
      </c>
      <c r="D803" s="4" t="s">
        <v>71</v>
      </c>
      <c r="E803" s="4" t="str">
        <f t="shared" si="84"/>
        <v>51|A|C</v>
      </c>
      <c r="F803" s="12">
        <v>0</v>
      </c>
      <c r="G803" s="4">
        <f t="shared" si="85"/>
        <v>28</v>
      </c>
      <c r="H803" s="12">
        <v>1</v>
      </c>
      <c r="I803" s="14">
        <f t="shared" si="86"/>
        <v>0</v>
      </c>
      <c r="J803" s="14">
        <f t="shared" si="87"/>
        <v>3.125E-2</v>
      </c>
      <c r="K803" s="4">
        <f t="shared" si="88"/>
        <v>1</v>
      </c>
      <c r="L803" s="4">
        <f t="shared" si="89"/>
        <v>32</v>
      </c>
      <c r="M803" s="4" t="s">
        <v>519</v>
      </c>
      <c r="N803" s="4">
        <f t="shared" si="90"/>
        <v>1</v>
      </c>
    </row>
    <row r="804" spans="1:14">
      <c r="A804" s="4">
        <v>51</v>
      </c>
      <c r="B804" s="4" t="s">
        <v>569</v>
      </c>
      <c r="C804" s="4" t="s">
        <v>73</v>
      </c>
      <c r="D804" s="4" t="s">
        <v>70</v>
      </c>
      <c r="E804" s="4" t="str">
        <f t="shared" si="84"/>
        <v>51|A|G</v>
      </c>
      <c r="F804" s="12">
        <v>27</v>
      </c>
      <c r="G804" s="4">
        <f t="shared" si="85"/>
        <v>28</v>
      </c>
      <c r="H804" s="12">
        <v>1</v>
      </c>
      <c r="I804" s="14">
        <f t="shared" si="86"/>
        <v>0.9642857142857143</v>
      </c>
      <c r="J804" s="14">
        <f t="shared" si="87"/>
        <v>0.875</v>
      </c>
      <c r="K804" s="4">
        <f t="shared" si="88"/>
        <v>28</v>
      </c>
      <c r="L804" s="4">
        <f t="shared" si="89"/>
        <v>32</v>
      </c>
      <c r="M804" s="4" t="s">
        <v>519</v>
      </c>
      <c r="N804" s="4">
        <f t="shared" si="90"/>
        <v>1</v>
      </c>
    </row>
    <row r="805" spans="1:14">
      <c r="A805" s="4">
        <v>51</v>
      </c>
      <c r="B805" s="4" t="s">
        <v>569</v>
      </c>
      <c r="C805" s="4" t="s">
        <v>73</v>
      </c>
      <c r="D805" s="4" t="s">
        <v>72</v>
      </c>
      <c r="E805" s="4" t="str">
        <f t="shared" si="84"/>
        <v>51|A|U</v>
      </c>
      <c r="F805" s="12">
        <v>0</v>
      </c>
      <c r="G805" s="4">
        <f t="shared" si="85"/>
        <v>28</v>
      </c>
      <c r="H805" s="12">
        <v>1</v>
      </c>
      <c r="I805" s="14">
        <f t="shared" si="86"/>
        <v>0</v>
      </c>
      <c r="J805" s="14">
        <f t="shared" si="87"/>
        <v>3.125E-2</v>
      </c>
      <c r="K805" s="4">
        <f t="shared" si="88"/>
        <v>1</v>
      </c>
      <c r="L805" s="4">
        <f t="shared" si="89"/>
        <v>32</v>
      </c>
      <c r="M805" s="4" t="s">
        <v>519</v>
      </c>
      <c r="N805" s="4">
        <f t="shared" si="90"/>
        <v>1</v>
      </c>
    </row>
    <row r="806" spans="1:14">
      <c r="A806" s="4">
        <v>51</v>
      </c>
      <c r="B806" s="4" t="s">
        <v>569</v>
      </c>
      <c r="C806" s="4" t="s">
        <v>71</v>
      </c>
      <c r="D806" s="4" t="s">
        <v>73</v>
      </c>
      <c r="E806" s="4" t="str">
        <f t="shared" si="84"/>
        <v>51|C|A</v>
      </c>
      <c r="F806" s="12">
        <v>9</v>
      </c>
      <c r="G806" s="4">
        <f t="shared" si="85"/>
        <v>41</v>
      </c>
      <c r="H806" s="12">
        <v>1</v>
      </c>
      <c r="I806" s="14">
        <f t="shared" si="86"/>
        <v>0.21951219512195122</v>
      </c>
      <c r="J806" s="14">
        <f t="shared" si="87"/>
        <v>0.22222222222222221</v>
      </c>
      <c r="K806" s="4">
        <f t="shared" si="88"/>
        <v>10</v>
      </c>
      <c r="L806" s="4">
        <f t="shared" si="89"/>
        <v>45</v>
      </c>
      <c r="M806" s="4" t="s">
        <v>519</v>
      </c>
      <c r="N806" s="4">
        <f t="shared" si="90"/>
        <v>1</v>
      </c>
    </row>
    <row r="807" spans="1:14">
      <c r="A807" s="4">
        <v>51</v>
      </c>
      <c r="B807" s="4" t="s">
        <v>569</v>
      </c>
      <c r="C807" s="4" t="s">
        <v>71</v>
      </c>
      <c r="D807" s="4" t="s">
        <v>71</v>
      </c>
      <c r="E807" s="4" t="str">
        <f t="shared" si="84"/>
        <v>51|C|C</v>
      </c>
      <c r="F807" s="12">
        <v>0</v>
      </c>
      <c r="G807" s="4">
        <f t="shared" si="85"/>
        <v>41</v>
      </c>
      <c r="H807" s="12">
        <v>1</v>
      </c>
      <c r="I807" s="14">
        <f t="shared" si="86"/>
        <v>0</v>
      </c>
      <c r="J807" s="14">
        <f t="shared" si="87"/>
        <v>2.2222222222222223E-2</v>
      </c>
      <c r="K807" s="4">
        <f t="shared" si="88"/>
        <v>1</v>
      </c>
      <c r="L807" s="4">
        <f t="shared" si="89"/>
        <v>45</v>
      </c>
      <c r="M807" s="4" t="s">
        <v>519</v>
      </c>
      <c r="N807" s="4">
        <f t="shared" si="90"/>
        <v>1</v>
      </c>
    </row>
    <row r="808" spans="1:14">
      <c r="A808" s="4">
        <v>51</v>
      </c>
      <c r="B808" s="4" t="s">
        <v>569</v>
      </c>
      <c r="C808" s="4" t="s">
        <v>71</v>
      </c>
      <c r="D808" s="4" t="s">
        <v>70</v>
      </c>
      <c r="E808" s="4" t="str">
        <f t="shared" si="84"/>
        <v>51|C|G</v>
      </c>
      <c r="F808" s="12">
        <v>32</v>
      </c>
      <c r="G808" s="4">
        <f t="shared" si="85"/>
        <v>41</v>
      </c>
      <c r="H808" s="12">
        <v>1</v>
      </c>
      <c r="I808" s="14">
        <f t="shared" si="86"/>
        <v>0.78048780487804881</v>
      </c>
      <c r="J808" s="14">
        <f t="shared" si="87"/>
        <v>0.73333333333333328</v>
      </c>
      <c r="K808" s="4">
        <f t="shared" si="88"/>
        <v>33</v>
      </c>
      <c r="L808" s="4">
        <f t="shared" si="89"/>
        <v>45</v>
      </c>
      <c r="M808" s="4" t="s">
        <v>519</v>
      </c>
      <c r="N808" s="4">
        <f t="shared" si="90"/>
        <v>1</v>
      </c>
    </row>
    <row r="809" spans="1:14">
      <c r="A809" s="4">
        <v>51</v>
      </c>
      <c r="B809" s="4" t="s">
        <v>569</v>
      </c>
      <c r="C809" s="4" t="s">
        <v>71</v>
      </c>
      <c r="D809" s="4" t="s">
        <v>72</v>
      </c>
      <c r="E809" s="4" t="str">
        <f t="shared" si="84"/>
        <v>51|C|U</v>
      </c>
      <c r="F809" s="12">
        <v>0</v>
      </c>
      <c r="G809" s="4">
        <f t="shared" si="85"/>
        <v>41</v>
      </c>
      <c r="H809" s="12">
        <v>1</v>
      </c>
      <c r="I809" s="14">
        <f t="shared" si="86"/>
        <v>0</v>
      </c>
      <c r="J809" s="14">
        <f t="shared" si="87"/>
        <v>2.2222222222222223E-2</v>
      </c>
      <c r="K809" s="4">
        <f t="shared" si="88"/>
        <v>1</v>
      </c>
      <c r="L809" s="4">
        <f t="shared" si="89"/>
        <v>45</v>
      </c>
      <c r="M809" s="4" t="s">
        <v>519</v>
      </c>
      <c r="N809" s="4">
        <f t="shared" si="90"/>
        <v>1</v>
      </c>
    </row>
    <row r="810" spans="1:14">
      <c r="A810" s="4">
        <v>51</v>
      </c>
      <c r="B810" s="4" t="s">
        <v>569</v>
      </c>
      <c r="C810" s="4" t="s">
        <v>70</v>
      </c>
      <c r="D810" s="4" t="s">
        <v>73</v>
      </c>
      <c r="E810" s="4" t="str">
        <f t="shared" si="84"/>
        <v>51|G|A</v>
      </c>
      <c r="F810" s="12">
        <v>15</v>
      </c>
      <c r="G810" s="4">
        <f t="shared" si="85"/>
        <v>99</v>
      </c>
      <c r="H810" s="12">
        <v>1</v>
      </c>
      <c r="I810" s="14">
        <f t="shared" si="86"/>
        <v>0.15151515151515152</v>
      </c>
      <c r="J810" s="14">
        <f t="shared" si="87"/>
        <v>0.1553398058252427</v>
      </c>
      <c r="K810" s="4">
        <f t="shared" si="88"/>
        <v>16</v>
      </c>
      <c r="L810" s="4">
        <f t="shared" si="89"/>
        <v>103</v>
      </c>
      <c r="M810" s="4" t="s">
        <v>519</v>
      </c>
      <c r="N810" s="4">
        <f t="shared" si="90"/>
        <v>1</v>
      </c>
    </row>
    <row r="811" spans="1:14">
      <c r="A811" s="4">
        <v>51</v>
      </c>
      <c r="B811" s="4" t="s">
        <v>569</v>
      </c>
      <c r="C811" s="4" t="s">
        <v>70</v>
      </c>
      <c r="D811" s="4" t="s">
        <v>71</v>
      </c>
      <c r="E811" s="4" t="str">
        <f t="shared" si="84"/>
        <v>51|G|C</v>
      </c>
      <c r="F811" s="12">
        <v>1</v>
      </c>
      <c r="G811" s="4">
        <f t="shared" si="85"/>
        <v>99</v>
      </c>
      <c r="H811" s="12">
        <v>1</v>
      </c>
      <c r="I811" s="14">
        <f t="shared" si="86"/>
        <v>1.0101010101010102E-2</v>
      </c>
      <c r="J811" s="14">
        <f t="shared" si="87"/>
        <v>1.9417475728155338E-2</v>
      </c>
      <c r="K811" s="4">
        <f t="shared" si="88"/>
        <v>2</v>
      </c>
      <c r="L811" s="4">
        <f t="shared" si="89"/>
        <v>103</v>
      </c>
      <c r="M811" s="4" t="s">
        <v>519</v>
      </c>
      <c r="N811" s="4">
        <f t="shared" si="90"/>
        <v>1</v>
      </c>
    </row>
    <row r="812" spans="1:14">
      <c r="A812" s="4">
        <v>51</v>
      </c>
      <c r="B812" s="4" t="s">
        <v>569</v>
      </c>
      <c r="C812" s="4" t="s">
        <v>70</v>
      </c>
      <c r="D812" s="4" t="s">
        <v>70</v>
      </c>
      <c r="E812" s="4" t="str">
        <f t="shared" si="84"/>
        <v>51|G|G</v>
      </c>
      <c r="F812" s="12">
        <v>80</v>
      </c>
      <c r="G812" s="4">
        <f t="shared" si="85"/>
        <v>99</v>
      </c>
      <c r="H812" s="12">
        <v>1</v>
      </c>
      <c r="I812" s="14">
        <f t="shared" si="86"/>
        <v>0.80808080808080807</v>
      </c>
      <c r="J812" s="14">
        <f t="shared" si="87"/>
        <v>0.78640776699029125</v>
      </c>
      <c r="K812" s="4">
        <f t="shared" si="88"/>
        <v>81</v>
      </c>
      <c r="L812" s="4">
        <f t="shared" si="89"/>
        <v>103</v>
      </c>
      <c r="M812" s="4" t="s">
        <v>519</v>
      </c>
      <c r="N812" s="4">
        <f t="shared" si="90"/>
        <v>1</v>
      </c>
    </row>
    <row r="813" spans="1:14">
      <c r="A813" s="4">
        <v>51</v>
      </c>
      <c r="B813" s="4" t="s">
        <v>569</v>
      </c>
      <c r="C813" s="4" t="s">
        <v>70</v>
      </c>
      <c r="D813" s="4" t="s">
        <v>72</v>
      </c>
      <c r="E813" s="4" t="str">
        <f t="shared" si="84"/>
        <v>51|G|U</v>
      </c>
      <c r="F813" s="12">
        <v>3</v>
      </c>
      <c r="G813" s="4">
        <f t="shared" si="85"/>
        <v>99</v>
      </c>
      <c r="H813" s="12">
        <v>1</v>
      </c>
      <c r="I813" s="14">
        <f t="shared" si="86"/>
        <v>3.0303030303030304E-2</v>
      </c>
      <c r="J813" s="14">
        <f t="shared" si="87"/>
        <v>3.8834951456310676E-2</v>
      </c>
      <c r="K813" s="4">
        <f t="shared" si="88"/>
        <v>4</v>
      </c>
      <c r="L813" s="4">
        <f t="shared" si="89"/>
        <v>103</v>
      </c>
      <c r="M813" s="4" t="s">
        <v>519</v>
      </c>
      <c r="N813" s="4">
        <f t="shared" si="90"/>
        <v>1</v>
      </c>
    </row>
    <row r="814" spans="1:14">
      <c r="A814" s="4">
        <v>51</v>
      </c>
      <c r="B814" s="4" t="s">
        <v>569</v>
      </c>
      <c r="C814" s="4" t="s">
        <v>72</v>
      </c>
      <c r="D814" s="4" t="s">
        <v>73</v>
      </c>
      <c r="E814" s="4" t="str">
        <f t="shared" si="84"/>
        <v>51|U|A</v>
      </c>
      <c r="F814" s="12">
        <v>1</v>
      </c>
      <c r="G814" s="4">
        <f t="shared" si="85"/>
        <v>31</v>
      </c>
      <c r="H814" s="12">
        <v>1</v>
      </c>
      <c r="I814" s="14">
        <f t="shared" si="86"/>
        <v>3.2258064516129031E-2</v>
      </c>
      <c r="J814" s="14">
        <f t="shared" si="87"/>
        <v>5.7142857142857141E-2</v>
      </c>
      <c r="K814" s="4">
        <f t="shared" si="88"/>
        <v>2</v>
      </c>
      <c r="L814" s="4">
        <f t="shared" si="89"/>
        <v>35</v>
      </c>
      <c r="M814" s="4" t="s">
        <v>519</v>
      </c>
      <c r="N814" s="4">
        <f t="shared" si="90"/>
        <v>1</v>
      </c>
    </row>
    <row r="815" spans="1:14">
      <c r="A815" s="4">
        <v>51</v>
      </c>
      <c r="B815" s="4" t="s">
        <v>569</v>
      </c>
      <c r="C815" s="4" t="s">
        <v>72</v>
      </c>
      <c r="D815" s="4" t="s">
        <v>71</v>
      </c>
      <c r="E815" s="4" t="str">
        <f t="shared" si="84"/>
        <v>51|U|C</v>
      </c>
      <c r="F815" s="12">
        <v>0</v>
      </c>
      <c r="G815" s="4">
        <f t="shared" si="85"/>
        <v>31</v>
      </c>
      <c r="H815" s="12">
        <v>1</v>
      </c>
      <c r="I815" s="14">
        <f t="shared" si="86"/>
        <v>0</v>
      </c>
      <c r="J815" s="14">
        <f t="shared" si="87"/>
        <v>2.8571428571428571E-2</v>
      </c>
      <c r="K815" s="4">
        <f t="shared" si="88"/>
        <v>1</v>
      </c>
      <c r="L815" s="4">
        <f t="shared" si="89"/>
        <v>35</v>
      </c>
      <c r="M815" s="4" t="s">
        <v>519</v>
      </c>
      <c r="N815" s="4">
        <f t="shared" si="90"/>
        <v>1</v>
      </c>
    </row>
    <row r="816" spans="1:14">
      <c r="A816" s="4">
        <v>51</v>
      </c>
      <c r="B816" s="4" t="s">
        <v>569</v>
      </c>
      <c r="C816" s="4" t="s">
        <v>72</v>
      </c>
      <c r="D816" s="4" t="s">
        <v>70</v>
      </c>
      <c r="E816" s="4" t="str">
        <f t="shared" si="84"/>
        <v>51|U|G</v>
      </c>
      <c r="F816" s="12">
        <v>29</v>
      </c>
      <c r="G816" s="4">
        <f t="shared" si="85"/>
        <v>31</v>
      </c>
      <c r="H816" s="12">
        <v>1</v>
      </c>
      <c r="I816" s="14">
        <f t="shared" si="86"/>
        <v>0.93548387096774188</v>
      </c>
      <c r="J816" s="14">
        <f t="shared" si="87"/>
        <v>0.8571428571428571</v>
      </c>
      <c r="K816" s="4">
        <f t="shared" si="88"/>
        <v>30</v>
      </c>
      <c r="L816" s="4">
        <f t="shared" si="89"/>
        <v>35</v>
      </c>
      <c r="M816" s="4" t="s">
        <v>519</v>
      </c>
      <c r="N816" s="4">
        <f t="shared" si="90"/>
        <v>1</v>
      </c>
    </row>
    <row r="817" spans="1:14">
      <c r="A817" s="4">
        <v>51</v>
      </c>
      <c r="B817" s="4" t="s">
        <v>569</v>
      </c>
      <c r="C817" s="4" t="s">
        <v>72</v>
      </c>
      <c r="D817" s="4" t="s">
        <v>72</v>
      </c>
      <c r="E817" s="4" t="str">
        <f t="shared" si="84"/>
        <v>51|U|U</v>
      </c>
      <c r="F817" s="12">
        <v>1</v>
      </c>
      <c r="G817" s="4">
        <f t="shared" si="85"/>
        <v>31</v>
      </c>
      <c r="H817" s="12">
        <v>1</v>
      </c>
      <c r="I817" s="14">
        <f t="shared" si="86"/>
        <v>3.2258064516129031E-2</v>
      </c>
      <c r="J817" s="14">
        <f t="shared" si="87"/>
        <v>5.7142857142857141E-2</v>
      </c>
      <c r="K817" s="4">
        <f t="shared" si="88"/>
        <v>2</v>
      </c>
      <c r="L817" s="4">
        <f t="shared" si="89"/>
        <v>35</v>
      </c>
      <c r="M817" s="4" t="s">
        <v>519</v>
      </c>
      <c r="N817" s="4">
        <f t="shared" si="90"/>
        <v>1</v>
      </c>
    </row>
    <row r="818" spans="1:14">
      <c r="A818" s="4">
        <v>52</v>
      </c>
      <c r="B818" s="4" t="s">
        <v>570</v>
      </c>
      <c r="C818" s="4" t="s">
        <v>73</v>
      </c>
      <c r="D818" s="4" t="s">
        <v>73</v>
      </c>
      <c r="E818" s="4" t="str">
        <f t="shared" si="84"/>
        <v>52|A|A</v>
      </c>
      <c r="F818" s="12">
        <v>0</v>
      </c>
      <c r="G818" s="4">
        <f t="shared" si="85"/>
        <v>26</v>
      </c>
      <c r="H818" s="12">
        <v>1</v>
      </c>
      <c r="I818" s="14">
        <f t="shared" si="86"/>
        <v>0</v>
      </c>
      <c r="J818" s="14">
        <f t="shared" si="87"/>
        <v>3.3333333333333333E-2</v>
      </c>
      <c r="K818" s="4">
        <f t="shared" si="88"/>
        <v>1</v>
      </c>
      <c r="L818" s="4">
        <f t="shared" si="89"/>
        <v>30</v>
      </c>
      <c r="M818" s="4" t="s">
        <v>519</v>
      </c>
      <c r="N818" s="4">
        <f t="shared" si="90"/>
        <v>1</v>
      </c>
    </row>
    <row r="819" spans="1:14">
      <c r="A819" s="4">
        <v>52</v>
      </c>
      <c r="B819" s="4" t="s">
        <v>570</v>
      </c>
      <c r="C819" s="4" t="s">
        <v>73</v>
      </c>
      <c r="D819" s="4" t="s">
        <v>71</v>
      </c>
      <c r="E819" s="4" t="str">
        <f t="shared" si="84"/>
        <v>52|A|C</v>
      </c>
      <c r="F819" s="12">
        <v>0</v>
      </c>
      <c r="G819" s="4">
        <f t="shared" si="85"/>
        <v>26</v>
      </c>
      <c r="H819" s="12">
        <v>1</v>
      </c>
      <c r="I819" s="14">
        <f t="shared" si="86"/>
        <v>0</v>
      </c>
      <c r="J819" s="14">
        <f t="shared" si="87"/>
        <v>3.3333333333333333E-2</v>
      </c>
      <c r="K819" s="4">
        <f t="shared" si="88"/>
        <v>1</v>
      </c>
      <c r="L819" s="4">
        <f t="shared" si="89"/>
        <v>30</v>
      </c>
      <c r="M819" s="4" t="s">
        <v>519</v>
      </c>
      <c r="N819" s="4">
        <f t="shared" si="90"/>
        <v>1</v>
      </c>
    </row>
    <row r="820" spans="1:14">
      <c r="A820" s="4">
        <v>52</v>
      </c>
      <c r="B820" s="4" t="s">
        <v>570</v>
      </c>
      <c r="C820" s="4" t="s">
        <v>73</v>
      </c>
      <c r="D820" s="4" t="s">
        <v>70</v>
      </c>
      <c r="E820" s="4" t="str">
        <f t="shared" si="84"/>
        <v>52|A|G</v>
      </c>
      <c r="F820" s="12">
        <v>26</v>
      </c>
      <c r="G820" s="4">
        <f t="shared" si="85"/>
        <v>26</v>
      </c>
      <c r="H820" s="12">
        <v>1</v>
      </c>
      <c r="I820" s="14">
        <f t="shared" si="86"/>
        <v>1</v>
      </c>
      <c r="J820" s="14">
        <f t="shared" si="87"/>
        <v>0.9</v>
      </c>
      <c r="K820" s="4">
        <f t="shared" si="88"/>
        <v>27</v>
      </c>
      <c r="L820" s="4">
        <f t="shared" si="89"/>
        <v>30</v>
      </c>
      <c r="M820" s="4" t="s">
        <v>519</v>
      </c>
      <c r="N820" s="4">
        <f t="shared" si="90"/>
        <v>1</v>
      </c>
    </row>
    <row r="821" spans="1:14">
      <c r="A821" s="4">
        <v>52</v>
      </c>
      <c r="B821" s="4" t="s">
        <v>570</v>
      </c>
      <c r="C821" s="4" t="s">
        <v>73</v>
      </c>
      <c r="D821" s="4" t="s">
        <v>72</v>
      </c>
      <c r="E821" s="4" t="str">
        <f t="shared" si="84"/>
        <v>52|A|U</v>
      </c>
      <c r="F821" s="12">
        <v>0</v>
      </c>
      <c r="G821" s="4">
        <f t="shared" si="85"/>
        <v>26</v>
      </c>
      <c r="H821" s="12">
        <v>1</v>
      </c>
      <c r="I821" s="14">
        <f t="shared" si="86"/>
        <v>0</v>
      </c>
      <c r="J821" s="14">
        <f t="shared" si="87"/>
        <v>3.3333333333333333E-2</v>
      </c>
      <c r="K821" s="4">
        <f t="shared" si="88"/>
        <v>1</v>
      </c>
      <c r="L821" s="4">
        <f t="shared" si="89"/>
        <v>30</v>
      </c>
      <c r="M821" s="4" t="s">
        <v>519</v>
      </c>
      <c r="N821" s="4">
        <f t="shared" si="90"/>
        <v>1</v>
      </c>
    </row>
    <row r="822" spans="1:14">
      <c r="A822" s="4">
        <v>52</v>
      </c>
      <c r="B822" s="4" t="s">
        <v>570</v>
      </c>
      <c r="C822" s="4" t="s">
        <v>71</v>
      </c>
      <c r="D822" s="4" t="s">
        <v>73</v>
      </c>
      <c r="E822" s="4" t="str">
        <f t="shared" si="84"/>
        <v>52|C|A</v>
      </c>
      <c r="F822" s="12">
        <v>0</v>
      </c>
      <c r="G822" s="4">
        <f t="shared" si="85"/>
        <v>2</v>
      </c>
      <c r="H822" s="12">
        <v>1</v>
      </c>
      <c r="I822" s="14">
        <f t="shared" si="86"/>
        <v>0</v>
      </c>
      <c r="J822" s="14">
        <f t="shared" si="87"/>
        <v>0.16666666666666666</v>
      </c>
      <c r="K822" s="4">
        <f t="shared" si="88"/>
        <v>1</v>
      </c>
      <c r="L822" s="4">
        <f t="shared" si="89"/>
        <v>6</v>
      </c>
      <c r="M822" s="4" t="s">
        <v>519</v>
      </c>
      <c r="N822" s="4">
        <f t="shared" si="90"/>
        <v>1</v>
      </c>
    </row>
    <row r="823" spans="1:14">
      <c r="A823" s="4">
        <v>52</v>
      </c>
      <c r="B823" s="4" t="s">
        <v>570</v>
      </c>
      <c r="C823" s="4" t="s">
        <v>71</v>
      </c>
      <c r="D823" s="4" t="s">
        <v>71</v>
      </c>
      <c r="E823" s="4" t="str">
        <f t="shared" si="84"/>
        <v>52|C|C</v>
      </c>
      <c r="F823" s="12">
        <v>0</v>
      </c>
      <c r="G823" s="4">
        <f t="shared" si="85"/>
        <v>2</v>
      </c>
      <c r="H823" s="12">
        <v>1</v>
      </c>
      <c r="I823" s="14">
        <f t="shared" si="86"/>
        <v>0</v>
      </c>
      <c r="J823" s="14">
        <f t="shared" si="87"/>
        <v>0.16666666666666666</v>
      </c>
      <c r="K823" s="4">
        <f t="shared" si="88"/>
        <v>1</v>
      </c>
      <c r="L823" s="4">
        <f t="shared" si="89"/>
        <v>6</v>
      </c>
      <c r="M823" s="4" t="s">
        <v>519</v>
      </c>
      <c r="N823" s="4">
        <f t="shared" si="90"/>
        <v>1</v>
      </c>
    </row>
    <row r="824" spans="1:14">
      <c r="A824" s="4">
        <v>52</v>
      </c>
      <c r="B824" s="4" t="s">
        <v>570</v>
      </c>
      <c r="C824" s="4" t="s">
        <v>71</v>
      </c>
      <c r="D824" s="4" t="s">
        <v>70</v>
      </c>
      <c r="E824" s="4" t="str">
        <f t="shared" si="84"/>
        <v>52|C|G</v>
      </c>
      <c r="F824" s="12">
        <v>2</v>
      </c>
      <c r="G824" s="4">
        <f t="shared" si="85"/>
        <v>2</v>
      </c>
      <c r="H824" s="12">
        <v>1</v>
      </c>
      <c r="I824" s="14">
        <f t="shared" si="86"/>
        <v>1</v>
      </c>
      <c r="J824" s="14">
        <f t="shared" si="87"/>
        <v>0.5</v>
      </c>
      <c r="K824" s="4">
        <f t="shared" si="88"/>
        <v>3</v>
      </c>
      <c r="L824" s="4">
        <f t="shared" si="89"/>
        <v>6</v>
      </c>
      <c r="M824" s="4" t="s">
        <v>519</v>
      </c>
      <c r="N824" s="4">
        <f t="shared" si="90"/>
        <v>1</v>
      </c>
    </row>
    <row r="825" spans="1:14">
      <c r="A825" s="4">
        <v>52</v>
      </c>
      <c r="B825" s="4" t="s">
        <v>570</v>
      </c>
      <c r="C825" s="4" t="s">
        <v>71</v>
      </c>
      <c r="D825" s="4" t="s">
        <v>72</v>
      </c>
      <c r="E825" s="4" t="str">
        <f t="shared" si="84"/>
        <v>52|C|U</v>
      </c>
      <c r="F825" s="12">
        <v>0</v>
      </c>
      <c r="G825" s="4">
        <f t="shared" si="85"/>
        <v>2</v>
      </c>
      <c r="H825" s="12">
        <v>1</v>
      </c>
      <c r="I825" s="14">
        <f t="shared" si="86"/>
        <v>0</v>
      </c>
      <c r="J825" s="14">
        <f t="shared" si="87"/>
        <v>0.16666666666666666</v>
      </c>
      <c r="K825" s="4">
        <f t="shared" si="88"/>
        <v>1</v>
      </c>
      <c r="L825" s="4">
        <f t="shared" si="89"/>
        <v>6</v>
      </c>
      <c r="M825" s="4" t="s">
        <v>519</v>
      </c>
      <c r="N825" s="4">
        <f t="shared" si="90"/>
        <v>1</v>
      </c>
    </row>
    <row r="826" spans="1:14">
      <c r="A826" s="4">
        <v>52</v>
      </c>
      <c r="B826" s="4" t="s">
        <v>570</v>
      </c>
      <c r="C826" s="4" t="s">
        <v>70</v>
      </c>
      <c r="D826" s="4" t="s">
        <v>73</v>
      </c>
      <c r="E826" s="4" t="str">
        <f t="shared" si="84"/>
        <v>52|G|A</v>
      </c>
      <c r="F826" s="12">
        <v>1</v>
      </c>
      <c r="G826" s="4">
        <f t="shared" si="85"/>
        <v>168</v>
      </c>
      <c r="H826" s="12">
        <v>1</v>
      </c>
      <c r="I826" s="14">
        <f t="shared" si="86"/>
        <v>5.9523809523809521E-3</v>
      </c>
      <c r="J826" s="14">
        <f t="shared" si="87"/>
        <v>1.1627906976744186E-2</v>
      </c>
      <c r="K826" s="4">
        <f t="shared" si="88"/>
        <v>2</v>
      </c>
      <c r="L826" s="4">
        <f t="shared" si="89"/>
        <v>172</v>
      </c>
      <c r="M826" s="4" t="s">
        <v>519</v>
      </c>
      <c r="N826" s="4">
        <f t="shared" si="90"/>
        <v>1</v>
      </c>
    </row>
    <row r="827" spans="1:14">
      <c r="A827" s="4">
        <v>52</v>
      </c>
      <c r="B827" s="4" t="s">
        <v>570</v>
      </c>
      <c r="C827" s="4" t="s">
        <v>70</v>
      </c>
      <c r="D827" s="4" t="s">
        <v>71</v>
      </c>
      <c r="E827" s="4" t="str">
        <f t="shared" si="84"/>
        <v>52|G|C</v>
      </c>
      <c r="F827" s="12">
        <v>0</v>
      </c>
      <c r="G827" s="4">
        <f t="shared" si="85"/>
        <v>168</v>
      </c>
      <c r="H827" s="12">
        <v>1</v>
      </c>
      <c r="I827" s="14">
        <f t="shared" si="86"/>
        <v>0</v>
      </c>
      <c r="J827" s="14">
        <f t="shared" si="87"/>
        <v>5.8139534883720929E-3</v>
      </c>
      <c r="K827" s="4">
        <f t="shared" si="88"/>
        <v>1</v>
      </c>
      <c r="L827" s="4">
        <f t="shared" si="89"/>
        <v>172</v>
      </c>
      <c r="M827" s="4" t="s">
        <v>519</v>
      </c>
      <c r="N827" s="4">
        <f t="shared" si="90"/>
        <v>1</v>
      </c>
    </row>
    <row r="828" spans="1:14">
      <c r="A828" s="4">
        <v>52</v>
      </c>
      <c r="B828" s="4" t="s">
        <v>570</v>
      </c>
      <c r="C828" s="4" t="s">
        <v>70</v>
      </c>
      <c r="D828" s="4" t="s">
        <v>70</v>
      </c>
      <c r="E828" s="4" t="str">
        <f t="shared" si="84"/>
        <v>52|G|G</v>
      </c>
      <c r="F828" s="12">
        <v>165</v>
      </c>
      <c r="G828" s="4">
        <f t="shared" si="85"/>
        <v>168</v>
      </c>
      <c r="H828" s="12">
        <v>1</v>
      </c>
      <c r="I828" s="14">
        <f t="shared" si="86"/>
        <v>0.9821428571428571</v>
      </c>
      <c r="J828" s="14">
        <f t="shared" si="87"/>
        <v>0.96511627906976749</v>
      </c>
      <c r="K828" s="4">
        <f t="shared" si="88"/>
        <v>166</v>
      </c>
      <c r="L828" s="4">
        <f t="shared" si="89"/>
        <v>172</v>
      </c>
      <c r="M828" s="4" t="s">
        <v>519</v>
      </c>
      <c r="N828" s="4">
        <f t="shared" si="90"/>
        <v>1</v>
      </c>
    </row>
    <row r="829" spans="1:14">
      <c r="A829" s="4">
        <v>52</v>
      </c>
      <c r="B829" s="4" t="s">
        <v>570</v>
      </c>
      <c r="C829" s="4" t="s">
        <v>70</v>
      </c>
      <c r="D829" s="4" t="s">
        <v>72</v>
      </c>
      <c r="E829" s="4" t="str">
        <f t="shared" si="84"/>
        <v>52|G|U</v>
      </c>
      <c r="F829" s="12">
        <v>2</v>
      </c>
      <c r="G829" s="4">
        <f t="shared" si="85"/>
        <v>168</v>
      </c>
      <c r="H829" s="12">
        <v>1</v>
      </c>
      <c r="I829" s="14">
        <f t="shared" si="86"/>
        <v>1.1904761904761904E-2</v>
      </c>
      <c r="J829" s="14">
        <f t="shared" si="87"/>
        <v>1.7441860465116279E-2</v>
      </c>
      <c r="K829" s="4">
        <f t="shared" si="88"/>
        <v>3</v>
      </c>
      <c r="L829" s="4">
        <f t="shared" si="89"/>
        <v>172</v>
      </c>
      <c r="M829" s="4" t="s">
        <v>519</v>
      </c>
      <c r="N829" s="4">
        <f t="shared" si="90"/>
        <v>1</v>
      </c>
    </row>
    <row r="830" spans="1:14">
      <c r="A830" s="4">
        <v>52</v>
      </c>
      <c r="B830" s="4" t="s">
        <v>570</v>
      </c>
      <c r="C830" s="4" t="s">
        <v>72</v>
      </c>
      <c r="D830" s="4" t="s">
        <v>73</v>
      </c>
      <c r="E830" s="4" t="str">
        <f t="shared" si="84"/>
        <v>52|U|A</v>
      </c>
      <c r="F830" s="12">
        <v>0</v>
      </c>
      <c r="G830" s="4">
        <f t="shared" si="85"/>
        <v>4</v>
      </c>
      <c r="H830" s="12">
        <v>1</v>
      </c>
      <c r="I830" s="14">
        <f t="shared" si="86"/>
        <v>0</v>
      </c>
      <c r="J830" s="14">
        <f t="shared" si="87"/>
        <v>0.125</v>
      </c>
      <c r="K830" s="4">
        <f t="shared" si="88"/>
        <v>1</v>
      </c>
      <c r="L830" s="4">
        <f t="shared" si="89"/>
        <v>8</v>
      </c>
      <c r="M830" s="4" t="s">
        <v>519</v>
      </c>
      <c r="N830" s="4">
        <f t="shared" si="90"/>
        <v>1</v>
      </c>
    </row>
    <row r="831" spans="1:14">
      <c r="A831" s="4">
        <v>52</v>
      </c>
      <c r="B831" s="4" t="s">
        <v>570</v>
      </c>
      <c r="C831" s="4" t="s">
        <v>72</v>
      </c>
      <c r="D831" s="4" t="s">
        <v>71</v>
      </c>
      <c r="E831" s="4" t="str">
        <f t="shared" si="84"/>
        <v>52|U|C</v>
      </c>
      <c r="F831" s="12">
        <v>1</v>
      </c>
      <c r="G831" s="4">
        <f t="shared" si="85"/>
        <v>4</v>
      </c>
      <c r="H831" s="12">
        <v>1</v>
      </c>
      <c r="I831" s="14">
        <f t="shared" si="86"/>
        <v>0.25</v>
      </c>
      <c r="J831" s="14">
        <f t="shared" si="87"/>
        <v>0.25</v>
      </c>
      <c r="K831" s="4">
        <f t="shared" si="88"/>
        <v>2</v>
      </c>
      <c r="L831" s="4">
        <f t="shared" si="89"/>
        <v>8</v>
      </c>
      <c r="M831" s="4" t="s">
        <v>519</v>
      </c>
      <c r="N831" s="4">
        <f t="shared" si="90"/>
        <v>1</v>
      </c>
    </row>
    <row r="832" spans="1:14">
      <c r="A832" s="4">
        <v>52</v>
      </c>
      <c r="B832" s="4" t="s">
        <v>570</v>
      </c>
      <c r="C832" s="4" t="s">
        <v>72</v>
      </c>
      <c r="D832" s="4" t="s">
        <v>70</v>
      </c>
      <c r="E832" s="4" t="str">
        <f t="shared" si="84"/>
        <v>52|U|G</v>
      </c>
      <c r="F832" s="12">
        <v>3</v>
      </c>
      <c r="G832" s="4">
        <f t="shared" si="85"/>
        <v>4</v>
      </c>
      <c r="H832" s="12">
        <v>1</v>
      </c>
      <c r="I832" s="14">
        <f t="shared" si="86"/>
        <v>0.75</v>
      </c>
      <c r="J832" s="14">
        <f t="shared" si="87"/>
        <v>0.5</v>
      </c>
      <c r="K832" s="4">
        <f t="shared" si="88"/>
        <v>4</v>
      </c>
      <c r="L832" s="4">
        <f t="shared" si="89"/>
        <v>8</v>
      </c>
      <c r="M832" s="4" t="s">
        <v>519</v>
      </c>
      <c r="N832" s="4">
        <f t="shared" si="90"/>
        <v>1</v>
      </c>
    </row>
    <row r="833" spans="1:14">
      <c r="A833" s="4">
        <v>52</v>
      </c>
      <c r="B833" s="4" t="s">
        <v>570</v>
      </c>
      <c r="C833" s="4" t="s">
        <v>72</v>
      </c>
      <c r="D833" s="4" t="s">
        <v>72</v>
      </c>
      <c r="E833" s="4" t="str">
        <f t="shared" si="84"/>
        <v>52|U|U</v>
      </c>
      <c r="F833" s="12">
        <v>0</v>
      </c>
      <c r="G833" s="4">
        <f t="shared" si="85"/>
        <v>4</v>
      </c>
      <c r="H833" s="12">
        <v>1</v>
      </c>
      <c r="I833" s="14">
        <f t="shared" si="86"/>
        <v>0</v>
      </c>
      <c r="J833" s="14">
        <f t="shared" si="87"/>
        <v>0.125</v>
      </c>
      <c r="K833" s="4">
        <f t="shared" si="88"/>
        <v>1</v>
      </c>
      <c r="L833" s="4">
        <f t="shared" si="89"/>
        <v>8</v>
      </c>
      <c r="M833" s="4" t="s">
        <v>519</v>
      </c>
      <c r="N833" s="4">
        <f t="shared" si="90"/>
        <v>1</v>
      </c>
    </row>
    <row r="834" spans="1:14">
      <c r="A834" s="4">
        <v>53</v>
      </c>
      <c r="B834" s="4" t="s">
        <v>571</v>
      </c>
      <c r="C834" s="4" t="s">
        <v>73</v>
      </c>
      <c r="D834" s="4" t="s">
        <v>73</v>
      </c>
      <c r="E834" s="4" t="str">
        <f t="shared" ref="E834:E897" si="91">A834&amp;"|"&amp;C834&amp;"|"&amp;D834</f>
        <v>53|A|A</v>
      </c>
      <c r="F834" s="12">
        <v>0</v>
      </c>
      <c r="G834" s="4">
        <f t="shared" ref="G834:G897" si="92">SUMIFS($F$2:$F$1137,$A$2:$A$1137,A834,$C$2:$C$1137,C834)</f>
        <v>1</v>
      </c>
      <c r="H834" s="12">
        <v>1</v>
      </c>
      <c r="I834" s="14">
        <f t="shared" ref="I834:I897" si="93">IF(G834=0,"",F834/G834)</f>
        <v>0</v>
      </c>
      <c r="J834" s="14">
        <f t="shared" ref="J834:J897" si="94">K834/L834</f>
        <v>0.2</v>
      </c>
      <c r="K834" s="4">
        <f t="shared" ref="K834:K897" si="95">F834+H834</f>
        <v>1</v>
      </c>
      <c r="L834" s="4">
        <f t="shared" ref="L834:L897" si="96">G834+4*H834</f>
        <v>5</v>
      </c>
      <c r="M834" s="4" t="s">
        <v>519</v>
      </c>
      <c r="N834" s="4">
        <f t="shared" ref="N834:N897" si="97">ROUND(SUMIFS($J$2:$J$1137,$A$2:$A$1137,A834,$C$2:$C$1137,C834),9)</f>
        <v>1</v>
      </c>
    </row>
    <row r="835" spans="1:14">
      <c r="A835" s="4">
        <v>53</v>
      </c>
      <c r="B835" s="4" t="s">
        <v>571</v>
      </c>
      <c r="C835" s="4" t="s">
        <v>73</v>
      </c>
      <c r="D835" s="4" t="s">
        <v>71</v>
      </c>
      <c r="E835" s="4" t="str">
        <f t="shared" si="91"/>
        <v>53|A|C</v>
      </c>
      <c r="F835" s="12">
        <v>0</v>
      </c>
      <c r="G835" s="4">
        <f t="shared" si="92"/>
        <v>1</v>
      </c>
      <c r="H835" s="12">
        <v>1</v>
      </c>
      <c r="I835" s="14">
        <f t="shared" si="93"/>
        <v>0</v>
      </c>
      <c r="J835" s="14">
        <f t="shared" si="94"/>
        <v>0.2</v>
      </c>
      <c r="K835" s="4">
        <f t="shared" si="95"/>
        <v>1</v>
      </c>
      <c r="L835" s="4">
        <f t="shared" si="96"/>
        <v>5</v>
      </c>
      <c r="M835" s="4" t="s">
        <v>519</v>
      </c>
      <c r="N835" s="4">
        <f t="shared" si="97"/>
        <v>1</v>
      </c>
    </row>
    <row r="836" spans="1:14">
      <c r="A836" s="4">
        <v>53</v>
      </c>
      <c r="B836" s="4" t="s">
        <v>571</v>
      </c>
      <c r="C836" s="4" t="s">
        <v>73</v>
      </c>
      <c r="D836" s="4" t="s">
        <v>70</v>
      </c>
      <c r="E836" s="4" t="str">
        <f t="shared" si="91"/>
        <v>53|A|G</v>
      </c>
      <c r="F836" s="12">
        <v>0</v>
      </c>
      <c r="G836" s="4">
        <f t="shared" si="92"/>
        <v>1</v>
      </c>
      <c r="H836" s="12">
        <v>1</v>
      </c>
      <c r="I836" s="14">
        <f t="shared" si="93"/>
        <v>0</v>
      </c>
      <c r="J836" s="14">
        <f t="shared" si="94"/>
        <v>0.2</v>
      </c>
      <c r="K836" s="4">
        <f t="shared" si="95"/>
        <v>1</v>
      </c>
      <c r="L836" s="4">
        <f t="shared" si="96"/>
        <v>5</v>
      </c>
      <c r="M836" s="4" t="s">
        <v>519</v>
      </c>
      <c r="N836" s="4">
        <f t="shared" si="97"/>
        <v>1</v>
      </c>
    </row>
    <row r="837" spans="1:14">
      <c r="A837" s="4">
        <v>53</v>
      </c>
      <c r="B837" s="4" t="s">
        <v>571</v>
      </c>
      <c r="C837" s="4" t="s">
        <v>73</v>
      </c>
      <c r="D837" s="4" t="s">
        <v>72</v>
      </c>
      <c r="E837" s="4" t="str">
        <f t="shared" si="91"/>
        <v>53|A|U</v>
      </c>
      <c r="F837" s="12">
        <v>1</v>
      </c>
      <c r="G837" s="4">
        <f t="shared" si="92"/>
        <v>1</v>
      </c>
      <c r="H837" s="12">
        <v>1</v>
      </c>
      <c r="I837" s="14">
        <f t="shared" si="93"/>
        <v>1</v>
      </c>
      <c r="J837" s="14">
        <f t="shared" si="94"/>
        <v>0.4</v>
      </c>
      <c r="K837" s="4">
        <f t="shared" si="95"/>
        <v>2</v>
      </c>
      <c r="L837" s="4">
        <f t="shared" si="96"/>
        <v>5</v>
      </c>
      <c r="M837" s="4" t="s">
        <v>519</v>
      </c>
      <c r="N837" s="4">
        <f t="shared" si="97"/>
        <v>1</v>
      </c>
    </row>
    <row r="838" spans="1:14">
      <c r="A838" s="4">
        <v>53</v>
      </c>
      <c r="B838" s="4" t="s">
        <v>571</v>
      </c>
      <c r="C838" s="4" t="s">
        <v>71</v>
      </c>
      <c r="D838" s="4" t="s">
        <v>73</v>
      </c>
      <c r="E838" s="4" t="str">
        <f t="shared" si="91"/>
        <v>53|C|A</v>
      </c>
      <c r="F838" s="12">
        <v>0</v>
      </c>
      <c r="G838" s="4">
        <f t="shared" si="92"/>
        <v>1</v>
      </c>
      <c r="H838" s="12">
        <v>1</v>
      </c>
      <c r="I838" s="14">
        <f t="shared" si="93"/>
        <v>0</v>
      </c>
      <c r="J838" s="14">
        <f t="shared" si="94"/>
        <v>0.2</v>
      </c>
      <c r="K838" s="4">
        <f t="shared" si="95"/>
        <v>1</v>
      </c>
      <c r="L838" s="4">
        <f t="shared" si="96"/>
        <v>5</v>
      </c>
      <c r="M838" s="4" t="s">
        <v>519</v>
      </c>
      <c r="N838" s="4">
        <f t="shared" si="97"/>
        <v>1</v>
      </c>
    </row>
    <row r="839" spans="1:14">
      <c r="A839" s="4">
        <v>53</v>
      </c>
      <c r="B839" s="4" t="s">
        <v>571</v>
      </c>
      <c r="C839" s="4" t="s">
        <v>71</v>
      </c>
      <c r="D839" s="4" t="s">
        <v>71</v>
      </c>
      <c r="E839" s="4" t="str">
        <f t="shared" si="91"/>
        <v>53|C|C</v>
      </c>
      <c r="F839" s="12">
        <v>0</v>
      </c>
      <c r="G839" s="4">
        <f t="shared" si="92"/>
        <v>1</v>
      </c>
      <c r="H839" s="12">
        <v>1</v>
      </c>
      <c r="I839" s="14">
        <f t="shared" si="93"/>
        <v>0</v>
      </c>
      <c r="J839" s="14">
        <f t="shared" si="94"/>
        <v>0.2</v>
      </c>
      <c r="K839" s="4">
        <f t="shared" si="95"/>
        <v>1</v>
      </c>
      <c r="L839" s="4">
        <f t="shared" si="96"/>
        <v>5</v>
      </c>
      <c r="M839" s="4" t="s">
        <v>519</v>
      </c>
      <c r="N839" s="4">
        <f t="shared" si="97"/>
        <v>1</v>
      </c>
    </row>
    <row r="840" spans="1:14">
      <c r="A840" s="4">
        <v>53</v>
      </c>
      <c r="B840" s="4" t="s">
        <v>571</v>
      </c>
      <c r="C840" s="4" t="s">
        <v>71</v>
      </c>
      <c r="D840" s="4" t="s">
        <v>70</v>
      </c>
      <c r="E840" s="4" t="str">
        <f t="shared" si="91"/>
        <v>53|C|G</v>
      </c>
      <c r="F840" s="12">
        <v>0</v>
      </c>
      <c r="G840" s="4">
        <f t="shared" si="92"/>
        <v>1</v>
      </c>
      <c r="H840" s="12">
        <v>1</v>
      </c>
      <c r="I840" s="14">
        <f t="shared" si="93"/>
        <v>0</v>
      </c>
      <c r="J840" s="14">
        <f t="shared" si="94"/>
        <v>0.2</v>
      </c>
      <c r="K840" s="4">
        <f t="shared" si="95"/>
        <v>1</v>
      </c>
      <c r="L840" s="4">
        <f t="shared" si="96"/>
        <v>5</v>
      </c>
      <c r="M840" s="4" t="s">
        <v>519</v>
      </c>
      <c r="N840" s="4">
        <f t="shared" si="97"/>
        <v>1</v>
      </c>
    </row>
    <row r="841" spans="1:14">
      <c r="A841" s="4">
        <v>53</v>
      </c>
      <c r="B841" s="4" t="s">
        <v>571</v>
      </c>
      <c r="C841" s="4" t="s">
        <v>71</v>
      </c>
      <c r="D841" s="4" t="s">
        <v>72</v>
      </c>
      <c r="E841" s="4" t="str">
        <f t="shared" si="91"/>
        <v>53|C|U</v>
      </c>
      <c r="F841" s="12">
        <v>1</v>
      </c>
      <c r="G841" s="4">
        <f t="shared" si="92"/>
        <v>1</v>
      </c>
      <c r="H841" s="12">
        <v>1</v>
      </c>
      <c r="I841" s="14">
        <f t="shared" si="93"/>
        <v>1</v>
      </c>
      <c r="J841" s="14">
        <f t="shared" si="94"/>
        <v>0.4</v>
      </c>
      <c r="K841" s="4">
        <f t="shared" si="95"/>
        <v>2</v>
      </c>
      <c r="L841" s="4">
        <f t="shared" si="96"/>
        <v>5</v>
      </c>
      <c r="M841" s="4" t="s">
        <v>519</v>
      </c>
      <c r="N841" s="4">
        <f t="shared" si="97"/>
        <v>1</v>
      </c>
    </row>
    <row r="842" spans="1:14">
      <c r="A842" s="4">
        <v>53</v>
      </c>
      <c r="B842" s="4" t="s">
        <v>571</v>
      </c>
      <c r="C842" s="4" t="s">
        <v>70</v>
      </c>
      <c r="D842" s="4" t="s">
        <v>73</v>
      </c>
      <c r="E842" s="4" t="str">
        <f t="shared" si="91"/>
        <v>53|G|A</v>
      </c>
      <c r="F842" s="12">
        <v>2</v>
      </c>
      <c r="G842" s="4">
        <f t="shared" si="92"/>
        <v>196</v>
      </c>
      <c r="H842" s="12">
        <v>1</v>
      </c>
      <c r="I842" s="14">
        <f t="shared" si="93"/>
        <v>1.020408163265306E-2</v>
      </c>
      <c r="J842" s="14">
        <f t="shared" si="94"/>
        <v>1.4999999999999999E-2</v>
      </c>
      <c r="K842" s="4">
        <f t="shared" si="95"/>
        <v>3</v>
      </c>
      <c r="L842" s="4">
        <f t="shared" si="96"/>
        <v>200</v>
      </c>
      <c r="M842" s="4" t="s">
        <v>519</v>
      </c>
      <c r="N842" s="4">
        <f t="shared" si="97"/>
        <v>1</v>
      </c>
    </row>
    <row r="843" spans="1:14">
      <c r="A843" s="4">
        <v>53</v>
      </c>
      <c r="B843" s="4" t="s">
        <v>571</v>
      </c>
      <c r="C843" s="4" t="s">
        <v>70</v>
      </c>
      <c r="D843" s="4" t="s">
        <v>71</v>
      </c>
      <c r="E843" s="4" t="str">
        <f t="shared" si="91"/>
        <v>53|G|C</v>
      </c>
      <c r="F843" s="12">
        <v>0</v>
      </c>
      <c r="G843" s="4">
        <f t="shared" si="92"/>
        <v>196</v>
      </c>
      <c r="H843" s="12">
        <v>1</v>
      </c>
      <c r="I843" s="14">
        <f t="shared" si="93"/>
        <v>0</v>
      </c>
      <c r="J843" s="14">
        <f t="shared" si="94"/>
        <v>5.0000000000000001E-3</v>
      </c>
      <c r="K843" s="4">
        <f t="shared" si="95"/>
        <v>1</v>
      </c>
      <c r="L843" s="4">
        <f t="shared" si="96"/>
        <v>200</v>
      </c>
      <c r="M843" s="4" t="s">
        <v>519</v>
      </c>
      <c r="N843" s="4">
        <f t="shared" si="97"/>
        <v>1</v>
      </c>
    </row>
    <row r="844" spans="1:14">
      <c r="A844" s="4">
        <v>53</v>
      </c>
      <c r="B844" s="4" t="s">
        <v>571</v>
      </c>
      <c r="C844" s="4" t="s">
        <v>70</v>
      </c>
      <c r="D844" s="4" t="s">
        <v>70</v>
      </c>
      <c r="E844" s="4" t="str">
        <f t="shared" si="91"/>
        <v>53|G|G</v>
      </c>
      <c r="F844" s="12">
        <v>0</v>
      </c>
      <c r="G844" s="4">
        <f t="shared" si="92"/>
        <v>196</v>
      </c>
      <c r="H844" s="12">
        <v>1</v>
      </c>
      <c r="I844" s="14">
        <f t="shared" si="93"/>
        <v>0</v>
      </c>
      <c r="J844" s="14">
        <f t="shared" si="94"/>
        <v>5.0000000000000001E-3</v>
      </c>
      <c r="K844" s="4">
        <f t="shared" si="95"/>
        <v>1</v>
      </c>
      <c r="L844" s="4">
        <f t="shared" si="96"/>
        <v>200</v>
      </c>
      <c r="M844" s="4" t="s">
        <v>519</v>
      </c>
      <c r="N844" s="4">
        <f t="shared" si="97"/>
        <v>1</v>
      </c>
    </row>
    <row r="845" spans="1:14">
      <c r="A845" s="4">
        <v>53</v>
      </c>
      <c r="B845" s="4" t="s">
        <v>571</v>
      </c>
      <c r="C845" s="4" t="s">
        <v>70</v>
      </c>
      <c r="D845" s="4" t="s">
        <v>72</v>
      </c>
      <c r="E845" s="4" t="str">
        <f t="shared" si="91"/>
        <v>53|G|U</v>
      </c>
      <c r="F845" s="12">
        <v>194</v>
      </c>
      <c r="G845" s="4">
        <f t="shared" si="92"/>
        <v>196</v>
      </c>
      <c r="H845" s="12">
        <v>1</v>
      </c>
      <c r="I845" s="14">
        <f t="shared" si="93"/>
        <v>0.98979591836734693</v>
      </c>
      <c r="J845" s="14">
        <f t="shared" si="94"/>
        <v>0.97499999999999998</v>
      </c>
      <c r="K845" s="4">
        <f t="shared" si="95"/>
        <v>195</v>
      </c>
      <c r="L845" s="4">
        <f t="shared" si="96"/>
        <v>200</v>
      </c>
      <c r="M845" s="4" t="s">
        <v>519</v>
      </c>
      <c r="N845" s="4">
        <f t="shared" si="97"/>
        <v>1</v>
      </c>
    </row>
    <row r="846" spans="1:14">
      <c r="A846" s="4">
        <v>53</v>
      </c>
      <c r="B846" s="4" t="s">
        <v>571</v>
      </c>
      <c r="C846" s="4" t="s">
        <v>72</v>
      </c>
      <c r="D846" s="4" t="s">
        <v>73</v>
      </c>
      <c r="E846" s="4" t="str">
        <f t="shared" si="91"/>
        <v>53|U|A</v>
      </c>
      <c r="F846" s="12">
        <v>0</v>
      </c>
      <c r="G846" s="4">
        <f t="shared" si="92"/>
        <v>2</v>
      </c>
      <c r="H846" s="12">
        <v>1</v>
      </c>
      <c r="I846" s="14">
        <f t="shared" si="93"/>
        <v>0</v>
      </c>
      <c r="J846" s="14">
        <f t="shared" si="94"/>
        <v>0.16666666666666666</v>
      </c>
      <c r="K846" s="4">
        <f t="shared" si="95"/>
        <v>1</v>
      </c>
      <c r="L846" s="4">
        <f t="shared" si="96"/>
        <v>6</v>
      </c>
      <c r="M846" s="4" t="s">
        <v>519</v>
      </c>
      <c r="N846" s="4">
        <f t="shared" si="97"/>
        <v>1</v>
      </c>
    </row>
    <row r="847" spans="1:14">
      <c r="A847" s="4">
        <v>53</v>
      </c>
      <c r="B847" s="4" t="s">
        <v>571</v>
      </c>
      <c r="C847" s="4" t="s">
        <v>72</v>
      </c>
      <c r="D847" s="4" t="s">
        <v>71</v>
      </c>
      <c r="E847" s="4" t="str">
        <f t="shared" si="91"/>
        <v>53|U|C</v>
      </c>
      <c r="F847" s="12">
        <v>0</v>
      </c>
      <c r="G847" s="4">
        <f t="shared" si="92"/>
        <v>2</v>
      </c>
      <c r="H847" s="12">
        <v>1</v>
      </c>
      <c r="I847" s="14">
        <f t="shared" si="93"/>
        <v>0</v>
      </c>
      <c r="J847" s="14">
        <f t="shared" si="94"/>
        <v>0.16666666666666666</v>
      </c>
      <c r="K847" s="4">
        <f t="shared" si="95"/>
        <v>1</v>
      </c>
      <c r="L847" s="4">
        <f t="shared" si="96"/>
        <v>6</v>
      </c>
      <c r="M847" s="4" t="s">
        <v>519</v>
      </c>
      <c r="N847" s="4">
        <f t="shared" si="97"/>
        <v>1</v>
      </c>
    </row>
    <row r="848" spans="1:14">
      <c r="A848" s="4">
        <v>53</v>
      </c>
      <c r="B848" s="4" t="s">
        <v>571</v>
      </c>
      <c r="C848" s="4" t="s">
        <v>72</v>
      </c>
      <c r="D848" s="4" t="s">
        <v>70</v>
      </c>
      <c r="E848" s="4" t="str">
        <f t="shared" si="91"/>
        <v>53|U|G</v>
      </c>
      <c r="F848" s="12">
        <v>0</v>
      </c>
      <c r="G848" s="4">
        <f t="shared" si="92"/>
        <v>2</v>
      </c>
      <c r="H848" s="12">
        <v>1</v>
      </c>
      <c r="I848" s="14">
        <f t="shared" si="93"/>
        <v>0</v>
      </c>
      <c r="J848" s="14">
        <f t="shared" si="94"/>
        <v>0.16666666666666666</v>
      </c>
      <c r="K848" s="4">
        <f t="shared" si="95"/>
        <v>1</v>
      </c>
      <c r="L848" s="4">
        <f t="shared" si="96"/>
        <v>6</v>
      </c>
      <c r="M848" s="4" t="s">
        <v>519</v>
      </c>
      <c r="N848" s="4">
        <f t="shared" si="97"/>
        <v>1</v>
      </c>
    </row>
    <row r="849" spans="1:14">
      <c r="A849" s="4">
        <v>53</v>
      </c>
      <c r="B849" s="4" t="s">
        <v>571</v>
      </c>
      <c r="C849" s="4" t="s">
        <v>72</v>
      </c>
      <c r="D849" s="4" t="s">
        <v>72</v>
      </c>
      <c r="E849" s="4" t="str">
        <f t="shared" si="91"/>
        <v>53|U|U</v>
      </c>
      <c r="F849" s="12">
        <v>2</v>
      </c>
      <c r="G849" s="4">
        <f t="shared" si="92"/>
        <v>2</v>
      </c>
      <c r="H849" s="12">
        <v>1</v>
      </c>
      <c r="I849" s="14">
        <f t="shared" si="93"/>
        <v>1</v>
      </c>
      <c r="J849" s="14">
        <f t="shared" si="94"/>
        <v>0.5</v>
      </c>
      <c r="K849" s="4">
        <f t="shared" si="95"/>
        <v>3</v>
      </c>
      <c r="L849" s="4">
        <f t="shared" si="96"/>
        <v>6</v>
      </c>
      <c r="M849" s="4" t="s">
        <v>519</v>
      </c>
      <c r="N849" s="4">
        <f t="shared" si="97"/>
        <v>1</v>
      </c>
    </row>
    <row r="850" spans="1:14">
      <c r="A850" s="4">
        <v>54</v>
      </c>
      <c r="B850" s="4" t="s">
        <v>572</v>
      </c>
      <c r="C850" s="4" t="s">
        <v>73</v>
      </c>
      <c r="D850" s="4" t="s">
        <v>73</v>
      </c>
      <c r="E850" s="4" t="str">
        <f t="shared" si="91"/>
        <v>54|A|A</v>
      </c>
      <c r="F850" s="12">
        <v>0</v>
      </c>
      <c r="G850" s="4">
        <f t="shared" si="92"/>
        <v>2</v>
      </c>
      <c r="H850" s="12">
        <v>1</v>
      </c>
      <c r="I850" s="14">
        <f t="shared" si="93"/>
        <v>0</v>
      </c>
      <c r="J850" s="14">
        <f t="shared" si="94"/>
        <v>0.16666666666666666</v>
      </c>
      <c r="K850" s="4">
        <f t="shared" si="95"/>
        <v>1</v>
      </c>
      <c r="L850" s="4">
        <f t="shared" si="96"/>
        <v>6</v>
      </c>
      <c r="M850" s="4" t="s">
        <v>519</v>
      </c>
      <c r="N850" s="4">
        <f t="shared" si="97"/>
        <v>1</v>
      </c>
    </row>
    <row r="851" spans="1:14">
      <c r="A851" s="4">
        <v>54</v>
      </c>
      <c r="B851" s="4" t="s">
        <v>572</v>
      </c>
      <c r="C851" s="4" t="s">
        <v>73</v>
      </c>
      <c r="D851" s="4" t="s">
        <v>71</v>
      </c>
      <c r="E851" s="4" t="str">
        <f t="shared" si="91"/>
        <v>54|A|C</v>
      </c>
      <c r="F851" s="12">
        <v>0</v>
      </c>
      <c r="G851" s="4">
        <f t="shared" si="92"/>
        <v>2</v>
      </c>
      <c r="H851" s="12">
        <v>1</v>
      </c>
      <c r="I851" s="14">
        <f t="shared" si="93"/>
        <v>0</v>
      </c>
      <c r="J851" s="14">
        <f t="shared" si="94"/>
        <v>0.16666666666666666</v>
      </c>
      <c r="K851" s="4">
        <f t="shared" si="95"/>
        <v>1</v>
      </c>
      <c r="L851" s="4">
        <f t="shared" si="96"/>
        <v>6</v>
      </c>
      <c r="M851" s="4" t="s">
        <v>519</v>
      </c>
      <c r="N851" s="4">
        <f t="shared" si="97"/>
        <v>1</v>
      </c>
    </row>
    <row r="852" spans="1:14">
      <c r="A852" s="4">
        <v>54</v>
      </c>
      <c r="B852" s="4" t="s">
        <v>572</v>
      </c>
      <c r="C852" s="4" t="s">
        <v>73</v>
      </c>
      <c r="D852" s="4" t="s">
        <v>70</v>
      </c>
      <c r="E852" s="4" t="str">
        <f t="shared" si="91"/>
        <v>54|A|G</v>
      </c>
      <c r="F852" s="12">
        <v>0</v>
      </c>
      <c r="G852" s="4">
        <f t="shared" si="92"/>
        <v>2</v>
      </c>
      <c r="H852" s="12">
        <v>1</v>
      </c>
      <c r="I852" s="14">
        <f t="shared" si="93"/>
        <v>0</v>
      </c>
      <c r="J852" s="14">
        <f t="shared" si="94"/>
        <v>0.16666666666666666</v>
      </c>
      <c r="K852" s="4">
        <f t="shared" si="95"/>
        <v>1</v>
      </c>
      <c r="L852" s="4">
        <f t="shared" si="96"/>
        <v>6</v>
      </c>
      <c r="M852" s="4" t="s">
        <v>519</v>
      </c>
      <c r="N852" s="4">
        <f t="shared" si="97"/>
        <v>1</v>
      </c>
    </row>
    <row r="853" spans="1:14">
      <c r="A853" s="4">
        <v>54</v>
      </c>
      <c r="B853" s="4" t="s">
        <v>572</v>
      </c>
      <c r="C853" s="4" t="s">
        <v>73</v>
      </c>
      <c r="D853" s="4" t="s">
        <v>72</v>
      </c>
      <c r="E853" s="4" t="str">
        <f t="shared" si="91"/>
        <v>54|A|U</v>
      </c>
      <c r="F853" s="12">
        <v>2</v>
      </c>
      <c r="G853" s="4">
        <f t="shared" si="92"/>
        <v>2</v>
      </c>
      <c r="H853" s="12">
        <v>1</v>
      </c>
      <c r="I853" s="14">
        <f t="shared" si="93"/>
        <v>1</v>
      </c>
      <c r="J853" s="14">
        <f t="shared" si="94"/>
        <v>0.5</v>
      </c>
      <c r="K853" s="4">
        <f t="shared" si="95"/>
        <v>3</v>
      </c>
      <c r="L853" s="4">
        <f t="shared" si="96"/>
        <v>6</v>
      </c>
      <c r="M853" s="4" t="s">
        <v>519</v>
      </c>
      <c r="N853" s="4">
        <f t="shared" si="97"/>
        <v>1</v>
      </c>
    </row>
    <row r="854" spans="1:14">
      <c r="A854" s="4">
        <v>54</v>
      </c>
      <c r="B854" s="4" t="s">
        <v>572</v>
      </c>
      <c r="C854" s="4" t="s">
        <v>71</v>
      </c>
      <c r="D854" s="4" t="s">
        <v>73</v>
      </c>
      <c r="E854" s="4" t="str">
        <f t="shared" si="91"/>
        <v>54|C|A</v>
      </c>
      <c r="F854" s="12">
        <v>0</v>
      </c>
      <c r="G854" s="4">
        <f t="shared" si="92"/>
        <v>0</v>
      </c>
      <c r="H854" s="12">
        <v>1</v>
      </c>
      <c r="I854" s="14" t="str">
        <f t="shared" si="93"/>
        <v/>
      </c>
      <c r="J854" s="14">
        <f t="shared" si="94"/>
        <v>0.25</v>
      </c>
      <c r="K854" s="4">
        <f t="shared" si="95"/>
        <v>1</v>
      </c>
      <c r="L854" s="4">
        <f t="shared" si="96"/>
        <v>4</v>
      </c>
      <c r="M854" s="4" t="s">
        <v>519</v>
      </c>
      <c r="N854" s="4">
        <f t="shared" si="97"/>
        <v>1</v>
      </c>
    </row>
    <row r="855" spans="1:14">
      <c r="A855" s="4">
        <v>54</v>
      </c>
      <c r="B855" s="4" t="s">
        <v>572</v>
      </c>
      <c r="C855" s="4" t="s">
        <v>71</v>
      </c>
      <c r="D855" s="4" t="s">
        <v>71</v>
      </c>
      <c r="E855" s="4" t="str">
        <f t="shared" si="91"/>
        <v>54|C|C</v>
      </c>
      <c r="F855" s="12">
        <v>0</v>
      </c>
      <c r="G855" s="4">
        <f t="shared" si="92"/>
        <v>0</v>
      </c>
      <c r="H855" s="12">
        <v>1</v>
      </c>
      <c r="I855" s="14" t="str">
        <f t="shared" si="93"/>
        <v/>
      </c>
      <c r="J855" s="14">
        <f t="shared" si="94"/>
        <v>0.25</v>
      </c>
      <c r="K855" s="4">
        <f t="shared" si="95"/>
        <v>1</v>
      </c>
      <c r="L855" s="4">
        <f t="shared" si="96"/>
        <v>4</v>
      </c>
      <c r="M855" s="4" t="s">
        <v>519</v>
      </c>
      <c r="N855" s="4">
        <f t="shared" si="97"/>
        <v>1</v>
      </c>
    </row>
    <row r="856" spans="1:14">
      <c r="A856" s="4">
        <v>54</v>
      </c>
      <c r="B856" s="4" t="s">
        <v>572</v>
      </c>
      <c r="C856" s="4" t="s">
        <v>71</v>
      </c>
      <c r="D856" s="4" t="s">
        <v>70</v>
      </c>
      <c r="E856" s="4" t="str">
        <f t="shared" si="91"/>
        <v>54|C|G</v>
      </c>
      <c r="F856" s="12">
        <v>0</v>
      </c>
      <c r="G856" s="4">
        <f t="shared" si="92"/>
        <v>0</v>
      </c>
      <c r="H856" s="12">
        <v>1</v>
      </c>
      <c r="I856" s="14" t="str">
        <f t="shared" si="93"/>
        <v/>
      </c>
      <c r="J856" s="14">
        <f t="shared" si="94"/>
        <v>0.25</v>
      </c>
      <c r="K856" s="4">
        <f t="shared" si="95"/>
        <v>1</v>
      </c>
      <c r="L856" s="4">
        <f t="shared" si="96"/>
        <v>4</v>
      </c>
      <c r="M856" s="4" t="s">
        <v>519</v>
      </c>
      <c r="N856" s="4">
        <f t="shared" si="97"/>
        <v>1</v>
      </c>
    </row>
    <row r="857" spans="1:14">
      <c r="A857" s="4">
        <v>54</v>
      </c>
      <c r="B857" s="4" t="s">
        <v>572</v>
      </c>
      <c r="C857" s="4" t="s">
        <v>71</v>
      </c>
      <c r="D857" s="4" t="s">
        <v>72</v>
      </c>
      <c r="E857" s="4" t="str">
        <f t="shared" si="91"/>
        <v>54|C|U</v>
      </c>
      <c r="F857" s="12">
        <v>0</v>
      </c>
      <c r="G857" s="4">
        <f t="shared" si="92"/>
        <v>0</v>
      </c>
      <c r="H857" s="12">
        <v>1</v>
      </c>
      <c r="I857" s="14" t="str">
        <f t="shared" si="93"/>
        <v/>
      </c>
      <c r="J857" s="14">
        <f t="shared" si="94"/>
        <v>0.25</v>
      </c>
      <c r="K857" s="4">
        <f t="shared" si="95"/>
        <v>1</v>
      </c>
      <c r="L857" s="4">
        <f t="shared" si="96"/>
        <v>4</v>
      </c>
      <c r="M857" s="4" t="s">
        <v>519</v>
      </c>
      <c r="N857" s="4">
        <f t="shared" si="97"/>
        <v>1</v>
      </c>
    </row>
    <row r="858" spans="1:14">
      <c r="A858" s="4">
        <v>54</v>
      </c>
      <c r="B858" s="4" t="s">
        <v>572</v>
      </c>
      <c r="C858" s="4" t="s">
        <v>70</v>
      </c>
      <c r="D858" s="4" t="s">
        <v>73</v>
      </c>
      <c r="E858" s="4" t="str">
        <f t="shared" si="91"/>
        <v>54|G|A</v>
      </c>
      <c r="F858" s="12">
        <v>0</v>
      </c>
      <c r="G858" s="4">
        <f t="shared" si="92"/>
        <v>0</v>
      </c>
      <c r="H858" s="12">
        <v>1</v>
      </c>
      <c r="I858" s="14" t="str">
        <f t="shared" si="93"/>
        <v/>
      </c>
      <c r="J858" s="14">
        <f t="shared" si="94"/>
        <v>0.25</v>
      </c>
      <c r="K858" s="4">
        <f t="shared" si="95"/>
        <v>1</v>
      </c>
      <c r="L858" s="4">
        <f t="shared" si="96"/>
        <v>4</v>
      </c>
      <c r="M858" s="4" t="s">
        <v>519</v>
      </c>
      <c r="N858" s="4">
        <f t="shared" si="97"/>
        <v>1</v>
      </c>
    </row>
    <row r="859" spans="1:14">
      <c r="A859" s="4">
        <v>54</v>
      </c>
      <c r="B859" s="4" t="s">
        <v>572</v>
      </c>
      <c r="C859" s="4" t="s">
        <v>70</v>
      </c>
      <c r="D859" s="4" t="s">
        <v>71</v>
      </c>
      <c r="E859" s="4" t="str">
        <f t="shared" si="91"/>
        <v>54|G|C</v>
      </c>
      <c r="F859" s="12">
        <v>0</v>
      </c>
      <c r="G859" s="4">
        <f t="shared" si="92"/>
        <v>0</v>
      </c>
      <c r="H859" s="12">
        <v>1</v>
      </c>
      <c r="I859" s="14" t="str">
        <f t="shared" si="93"/>
        <v/>
      </c>
      <c r="J859" s="14">
        <f t="shared" si="94"/>
        <v>0.25</v>
      </c>
      <c r="K859" s="4">
        <f t="shared" si="95"/>
        <v>1</v>
      </c>
      <c r="L859" s="4">
        <f t="shared" si="96"/>
        <v>4</v>
      </c>
      <c r="M859" s="4" t="s">
        <v>519</v>
      </c>
      <c r="N859" s="4">
        <f t="shared" si="97"/>
        <v>1</v>
      </c>
    </row>
    <row r="860" spans="1:14">
      <c r="A860" s="4">
        <v>54</v>
      </c>
      <c r="B860" s="4" t="s">
        <v>572</v>
      </c>
      <c r="C860" s="4" t="s">
        <v>70</v>
      </c>
      <c r="D860" s="4" t="s">
        <v>70</v>
      </c>
      <c r="E860" s="4" t="str">
        <f t="shared" si="91"/>
        <v>54|G|G</v>
      </c>
      <c r="F860" s="12">
        <v>0</v>
      </c>
      <c r="G860" s="4">
        <f t="shared" si="92"/>
        <v>0</v>
      </c>
      <c r="H860" s="12">
        <v>1</v>
      </c>
      <c r="I860" s="14" t="str">
        <f t="shared" si="93"/>
        <v/>
      </c>
      <c r="J860" s="14">
        <f t="shared" si="94"/>
        <v>0.25</v>
      </c>
      <c r="K860" s="4">
        <f t="shared" si="95"/>
        <v>1</v>
      </c>
      <c r="L860" s="4">
        <f t="shared" si="96"/>
        <v>4</v>
      </c>
      <c r="M860" s="4" t="s">
        <v>519</v>
      </c>
      <c r="N860" s="4">
        <f t="shared" si="97"/>
        <v>1</v>
      </c>
    </row>
    <row r="861" spans="1:14">
      <c r="A861" s="4">
        <v>54</v>
      </c>
      <c r="B861" s="4" t="s">
        <v>572</v>
      </c>
      <c r="C861" s="4" t="s">
        <v>70</v>
      </c>
      <c r="D861" s="4" t="s">
        <v>72</v>
      </c>
      <c r="E861" s="4" t="str">
        <f t="shared" si="91"/>
        <v>54|G|U</v>
      </c>
      <c r="F861" s="12">
        <v>0</v>
      </c>
      <c r="G861" s="4">
        <f t="shared" si="92"/>
        <v>0</v>
      </c>
      <c r="H861" s="12">
        <v>1</v>
      </c>
      <c r="I861" s="14" t="str">
        <f t="shared" si="93"/>
        <v/>
      </c>
      <c r="J861" s="14">
        <f t="shared" si="94"/>
        <v>0.25</v>
      </c>
      <c r="K861" s="4">
        <f t="shared" si="95"/>
        <v>1</v>
      </c>
      <c r="L861" s="4">
        <f t="shared" si="96"/>
        <v>4</v>
      </c>
      <c r="M861" s="4" t="s">
        <v>519</v>
      </c>
      <c r="N861" s="4">
        <f t="shared" si="97"/>
        <v>1</v>
      </c>
    </row>
    <row r="862" spans="1:14">
      <c r="A862" s="4">
        <v>54</v>
      </c>
      <c r="B862" s="4" t="s">
        <v>572</v>
      </c>
      <c r="C862" s="4" t="s">
        <v>72</v>
      </c>
      <c r="D862" s="4" t="s">
        <v>73</v>
      </c>
      <c r="E862" s="4" t="str">
        <f t="shared" si="91"/>
        <v>54|U|A</v>
      </c>
      <c r="F862" s="12">
        <v>1</v>
      </c>
      <c r="G862" s="4">
        <f t="shared" si="92"/>
        <v>198</v>
      </c>
      <c r="H862" s="12">
        <v>1</v>
      </c>
      <c r="I862" s="14">
        <f t="shared" si="93"/>
        <v>5.0505050505050509E-3</v>
      </c>
      <c r="J862" s="14">
        <f t="shared" si="94"/>
        <v>9.9009900990099011E-3</v>
      </c>
      <c r="K862" s="4">
        <f t="shared" si="95"/>
        <v>2</v>
      </c>
      <c r="L862" s="4">
        <f t="shared" si="96"/>
        <v>202</v>
      </c>
      <c r="M862" s="4" t="s">
        <v>519</v>
      </c>
      <c r="N862" s="4">
        <f t="shared" si="97"/>
        <v>1</v>
      </c>
    </row>
    <row r="863" spans="1:14">
      <c r="A863" s="4">
        <v>54</v>
      </c>
      <c r="B863" s="4" t="s">
        <v>572</v>
      </c>
      <c r="C863" s="4" t="s">
        <v>72</v>
      </c>
      <c r="D863" s="4" t="s">
        <v>71</v>
      </c>
      <c r="E863" s="4" t="str">
        <f t="shared" si="91"/>
        <v>54|U|C</v>
      </c>
      <c r="F863" s="12">
        <v>1</v>
      </c>
      <c r="G863" s="4">
        <f t="shared" si="92"/>
        <v>198</v>
      </c>
      <c r="H863" s="12">
        <v>1</v>
      </c>
      <c r="I863" s="14">
        <f t="shared" si="93"/>
        <v>5.0505050505050509E-3</v>
      </c>
      <c r="J863" s="14">
        <f t="shared" si="94"/>
        <v>9.9009900990099011E-3</v>
      </c>
      <c r="K863" s="4">
        <f t="shared" si="95"/>
        <v>2</v>
      </c>
      <c r="L863" s="4">
        <f t="shared" si="96"/>
        <v>202</v>
      </c>
      <c r="M863" s="4" t="s">
        <v>519</v>
      </c>
      <c r="N863" s="4">
        <f t="shared" si="97"/>
        <v>1</v>
      </c>
    </row>
    <row r="864" spans="1:14">
      <c r="A864" s="4">
        <v>54</v>
      </c>
      <c r="B864" s="4" t="s">
        <v>572</v>
      </c>
      <c r="C864" s="4" t="s">
        <v>72</v>
      </c>
      <c r="D864" s="4" t="s">
        <v>70</v>
      </c>
      <c r="E864" s="4" t="str">
        <f t="shared" si="91"/>
        <v>54|U|G</v>
      </c>
      <c r="F864" s="12">
        <v>1</v>
      </c>
      <c r="G864" s="4">
        <f t="shared" si="92"/>
        <v>198</v>
      </c>
      <c r="H864" s="12">
        <v>1</v>
      </c>
      <c r="I864" s="14">
        <f t="shared" si="93"/>
        <v>5.0505050505050509E-3</v>
      </c>
      <c r="J864" s="14">
        <f t="shared" si="94"/>
        <v>9.9009900990099011E-3</v>
      </c>
      <c r="K864" s="4">
        <f t="shared" si="95"/>
        <v>2</v>
      </c>
      <c r="L864" s="4">
        <f t="shared" si="96"/>
        <v>202</v>
      </c>
      <c r="M864" s="4" t="s">
        <v>519</v>
      </c>
      <c r="N864" s="4">
        <f t="shared" si="97"/>
        <v>1</v>
      </c>
    </row>
    <row r="865" spans="1:14">
      <c r="A865" s="4">
        <v>54</v>
      </c>
      <c r="B865" s="4" t="s">
        <v>572</v>
      </c>
      <c r="C865" s="4" t="s">
        <v>72</v>
      </c>
      <c r="D865" s="4" t="s">
        <v>72</v>
      </c>
      <c r="E865" s="4" t="str">
        <f t="shared" si="91"/>
        <v>54|U|U</v>
      </c>
      <c r="F865" s="12">
        <v>195</v>
      </c>
      <c r="G865" s="4">
        <f t="shared" si="92"/>
        <v>198</v>
      </c>
      <c r="H865" s="12">
        <v>1</v>
      </c>
      <c r="I865" s="14">
        <f t="shared" si="93"/>
        <v>0.98484848484848486</v>
      </c>
      <c r="J865" s="14">
        <f t="shared" si="94"/>
        <v>0.97029702970297027</v>
      </c>
      <c r="K865" s="4">
        <f t="shared" si="95"/>
        <v>196</v>
      </c>
      <c r="L865" s="4">
        <f t="shared" si="96"/>
        <v>202</v>
      </c>
      <c r="M865" s="4" t="s">
        <v>519</v>
      </c>
      <c r="N865" s="4">
        <f t="shared" si="97"/>
        <v>1</v>
      </c>
    </row>
    <row r="866" spans="1:14">
      <c r="A866" s="4">
        <v>55</v>
      </c>
      <c r="B866" s="4" t="s">
        <v>573</v>
      </c>
      <c r="C866" s="4" t="s">
        <v>73</v>
      </c>
      <c r="D866" s="4" t="s">
        <v>73</v>
      </c>
      <c r="E866" s="4" t="str">
        <f t="shared" si="91"/>
        <v>55|A|A</v>
      </c>
      <c r="F866" s="12">
        <v>1</v>
      </c>
      <c r="G866" s="4">
        <f t="shared" si="92"/>
        <v>1</v>
      </c>
      <c r="H866" s="12">
        <v>1</v>
      </c>
      <c r="I866" s="14">
        <f t="shared" si="93"/>
        <v>1</v>
      </c>
      <c r="J866" s="14">
        <f t="shared" si="94"/>
        <v>0.4</v>
      </c>
      <c r="K866" s="4">
        <f t="shared" si="95"/>
        <v>2</v>
      </c>
      <c r="L866" s="4">
        <f t="shared" si="96"/>
        <v>5</v>
      </c>
      <c r="M866" s="4" t="s">
        <v>519</v>
      </c>
      <c r="N866" s="4">
        <f t="shared" si="97"/>
        <v>1</v>
      </c>
    </row>
    <row r="867" spans="1:14">
      <c r="A867" s="4">
        <v>55</v>
      </c>
      <c r="B867" s="4" t="s">
        <v>573</v>
      </c>
      <c r="C867" s="4" t="s">
        <v>73</v>
      </c>
      <c r="D867" s="4" t="s">
        <v>71</v>
      </c>
      <c r="E867" s="4" t="str">
        <f t="shared" si="91"/>
        <v>55|A|C</v>
      </c>
      <c r="F867" s="12">
        <v>0</v>
      </c>
      <c r="G867" s="4">
        <f t="shared" si="92"/>
        <v>1</v>
      </c>
      <c r="H867" s="12">
        <v>1</v>
      </c>
      <c r="I867" s="14">
        <f t="shared" si="93"/>
        <v>0</v>
      </c>
      <c r="J867" s="14">
        <f t="shared" si="94"/>
        <v>0.2</v>
      </c>
      <c r="K867" s="4">
        <f t="shared" si="95"/>
        <v>1</v>
      </c>
      <c r="L867" s="4">
        <f t="shared" si="96"/>
        <v>5</v>
      </c>
      <c r="M867" s="4" t="s">
        <v>519</v>
      </c>
      <c r="N867" s="4">
        <f t="shared" si="97"/>
        <v>1</v>
      </c>
    </row>
    <row r="868" spans="1:14">
      <c r="A868" s="4">
        <v>55</v>
      </c>
      <c r="B868" s="4" t="s">
        <v>573</v>
      </c>
      <c r="C868" s="4" t="s">
        <v>73</v>
      </c>
      <c r="D868" s="4" t="s">
        <v>70</v>
      </c>
      <c r="E868" s="4" t="str">
        <f t="shared" si="91"/>
        <v>55|A|G</v>
      </c>
      <c r="F868" s="12">
        <v>0</v>
      </c>
      <c r="G868" s="4">
        <f t="shared" si="92"/>
        <v>1</v>
      </c>
      <c r="H868" s="12">
        <v>1</v>
      </c>
      <c r="I868" s="14">
        <f t="shared" si="93"/>
        <v>0</v>
      </c>
      <c r="J868" s="14">
        <f t="shared" si="94"/>
        <v>0.2</v>
      </c>
      <c r="K868" s="4">
        <f t="shared" si="95"/>
        <v>1</v>
      </c>
      <c r="L868" s="4">
        <f t="shared" si="96"/>
        <v>5</v>
      </c>
      <c r="M868" s="4" t="s">
        <v>519</v>
      </c>
      <c r="N868" s="4">
        <f t="shared" si="97"/>
        <v>1</v>
      </c>
    </row>
    <row r="869" spans="1:14">
      <c r="A869" s="4">
        <v>55</v>
      </c>
      <c r="B869" s="4" t="s">
        <v>573</v>
      </c>
      <c r="C869" s="4" t="s">
        <v>73</v>
      </c>
      <c r="D869" s="4" t="s">
        <v>72</v>
      </c>
      <c r="E869" s="4" t="str">
        <f t="shared" si="91"/>
        <v>55|A|U</v>
      </c>
      <c r="F869" s="12">
        <v>0</v>
      </c>
      <c r="G869" s="4">
        <f t="shared" si="92"/>
        <v>1</v>
      </c>
      <c r="H869" s="12">
        <v>1</v>
      </c>
      <c r="I869" s="14">
        <f t="shared" si="93"/>
        <v>0</v>
      </c>
      <c r="J869" s="14">
        <f t="shared" si="94"/>
        <v>0.2</v>
      </c>
      <c r="K869" s="4">
        <f t="shared" si="95"/>
        <v>1</v>
      </c>
      <c r="L869" s="4">
        <f t="shared" si="96"/>
        <v>5</v>
      </c>
      <c r="M869" s="4" t="s">
        <v>519</v>
      </c>
      <c r="N869" s="4">
        <f t="shared" si="97"/>
        <v>1</v>
      </c>
    </row>
    <row r="870" spans="1:14">
      <c r="A870" s="4">
        <v>55</v>
      </c>
      <c r="B870" s="4" t="s">
        <v>573</v>
      </c>
      <c r="C870" s="4" t="s">
        <v>71</v>
      </c>
      <c r="D870" s="4" t="s">
        <v>73</v>
      </c>
      <c r="E870" s="4" t="str">
        <f t="shared" si="91"/>
        <v>55|C|A</v>
      </c>
      <c r="F870" s="12">
        <v>0</v>
      </c>
      <c r="G870" s="4">
        <f t="shared" si="92"/>
        <v>1</v>
      </c>
      <c r="H870" s="12">
        <v>1</v>
      </c>
      <c r="I870" s="14">
        <f t="shared" si="93"/>
        <v>0</v>
      </c>
      <c r="J870" s="14">
        <f t="shared" si="94"/>
        <v>0.2</v>
      </c>
      <c r="K870" s="4">
        <f t="shared" si="95"/>
        <v>1</v>
      </c>
      <c r="L870" s="4">
        <f t="shared" si="96"/>
        <v>5</v>
      </c>
      <c r="M870" s="4" t="s">
        <v>519</v>
      </c>
      <c r="N870" s="4">
        <f t="shared" si="97"/>
        <v>1</v>
      </c>
    </row>
    <row r="871" spans="1:14">
      <c r="A871" s="4">
        <v>55</v>
      </c>
      <c r="B871" s="4" t="s">
        <v>573</v>
      </c>
      <c r="C871" s="4" t="s">
        <v>71</v>
      </c>
      <c r="D871" s="4" t="s">
        <v>71</v>
      </c>
      <c r="E871" s="4" t="str">
        <f t="shared" si="91"/>
        <v>55|C|C</v>
      </c>
      <c r="F871" s="12">
        <v>0</v>
      </c>
      <c r="G871" s="4">
        <f t="shared" si="92"/>
        <v>1</v>
      </c>
      <c r="H871" s="12">
        <v>1</v>
      </c>
      <c r="I871" s="14">
        <f t="shared" si="93"/>
        <v>0</v>
      </c>
      <c r="J871" s="14">
        <f t="shared" si="94"/>
        <v>0.2</v>
      </c>
      <c r="K871" s="4">
        <f t="shared" si="95"/>
        <v>1</v>
      </c>
      <c r="L871" s="4">
        <f t="shared" si="96"/>
        <v>5</v>
      </c>
      <c r="M871" s="4" t="s">
        <v>519</v>
      </c>
      <c r="N871" s="4">
        <f t="shared" si="97"/>
        <v>1</v>
      </c>
    </row>
    <row r="872" spans="1:14">
      <c r="A872" s="4">
        <v>55</v>
      </c>
      <c r="B872" s="4" t="s">
        <v>573</v>
      </c>
      <c r="C872" s="4" t="s">
        <v>71</v>
      </c>
      <c r="D872" s="4" t="s">
        <v>70</v>
      </c>
      <c r="E872" s="4" t="str">
        <f t="shared" si="91"/>
        <v>55|C|G</v>
      </c>
      <c r="F872" s="12">
        <v>1</v>
      </c>
      <c r="G872" s="4">
        <f t="shared" si="92"/>
        <v>1</v>
      </c>
      <c r="H872" s="12">
        <v>1</v>
      </c>
      <c r="I872" s="14">
        <f t="shared" si="93"/>
        <v>1</v>
      </c>
      <c r="J872" s="14">
        <f t="shared" si="94"/>
        <v>0.4</v>
      </c>
      <c r="K872" s="4">
        <f t="shared" si="95"/>
        <v>2</v>
      </c>
      <c r="L872" s="4">
        <f t="shared" si="96"/>
        <v>5</v>
      </c>
      <c r="M872" s="4" t="s">
        <v>519</v>
      </c>
      <c r="N872" s="4">
        <f t="shared" si="97"/>
        <v>1</v>
      </c>
    </row>
    <row r="873" spans="1:14">
      <c r="A873" s="4">
        <v>55</v>
      </c>
      <c r="B873" s="4" t="s">
        <v>573</v>
      </c>
      <c r="C873" s="4" t="s">
        <v>71</v>
      </c>
      <c r="D873" s="4" t="s">
        <v>72</v>
      </c>
      <c r="E873" s="4" t="str">
        <f t="shared" si="91"/>
        <v>55|C|U</v>
      </c>
      <c r="F873" s="12">
        <v>0</v>
      </c>
      <c r="G873" s="4">
        <f t="shared" si="92"/>
        <v>1</v>
      </c>
      <c r="H873" s="12">
        <v>1</v>
      </c>
      <c r="I873" s="14">
        <f t="shared" si="93"/>
        <v>0</v>
      </c>
      <c r="J873" s="14">
        <f t="shared" si="94"/>
        <v>0.2</v>
      </c>
      <c r="K873" s="4">
        <f t="shared" si="95"/>
        <v>1</v>
      </c>
      <c r="L873" s="4">
        <f t="shared" si="96"/>
        <v>5</v>
      </c>
      <c r="M873" s="4" t="s">
        <v>519</v>
      </c>
      <c r="N873" s="4">
        <f t="shared" si="97"/>
        <v>1</v>
      </c>
    </row>
    <row r="874" spans="1:14">
      <c r="A874" s="4">
        <v>55</v>
      </c>
      <c r="B874" s="4" t="s">
        <v>573</v>
      </c>
      <c r="C874" s="4" t="s">
        <v>70</v>
      </c>
      <c r="D874" s="4" t="s">
        <v>73</v>
      </c>
      <c r="E874" s="4" t="str">
        <f t="shared" si="91"/>
        <v>55|G|A</v>
      </c>
      <c r="F874" s="12">
        <v>0</v>
      </c>
      <c r="G874" s="4">
        <f t="shared" si="92"/>
        <v>1</v>
      </c>
      <c r="H874" s="12">
        <v>1</v>
      </c>
      <c r="I874" s="14">
        <f t="shared" si="93"/>
        <v>0</v>
      </c>
      <c r="J874" s="14">
        <f t="shared" si="94"/>
        <v>0.2</v>
      </c>
      <c r="K874" s="4">
        <f t="shared" si="95"/>
        <v>1</v>
      </c>
      <c r="L874" s="4">
        <f t="shared" si="96"/>
        <v>5</v>
      </c>
      <c r="M874" s="4" t="s">
        <v>519</v>
      </c>
      <c r="N874" s="4">
        <f t="shared" si="97"/>
        <v>1</v>
      </c>
    </row>
    <row r="875" spans="1:14">
      <c r="A875" s="4">
        <v>55</v>
      </c>
      <c r="B875" s="4" t="s">
        <v>573</v>
      </c>
      <c r="C875" s="4" t="s">
        <v>70</v>
      </c>
      <c r="D875" s="4" t="s">
        <v>71</v>
      </c>
      <c r="E875" s="4" t="str">
        <f t="shared" si="91"/>
        <v>55|G|C</v>
      </c>
      <c r="F875" s="12">
        <v>1</v>
      </c>
      <c r="G875" s="4">
        <f t="shared" si="92"/>
        <v>1</v>
      </c>
      <c r="H875" s="12">
        <v>1</v>
      </c>
      <c r="I875" s="14">
        <f t="shared" si="93"/>
        <v>1</v>
      </c>
      <c r="J875" s="14">
        <f t="shared" si="94"/>
        <v>0.4</v>
      </c>
      <c r="K875" s="4">
        <f t="shared" si="95"/>
        <v>2</v>
      </c>
      <c r="L875" s="4">
        <f t="shared" si="96"/>
        <v>5</v>
      </c>
      <c r="M875" s="4" t="s">
        <v>519</v>
      </c>
      <c r="N875" s="4">
        <f t="shared" si="97"/>
        <v>1</v>
      </c>
    </row>
    <row r="876" spans="1:14">
      <c r="A876" s="4">
        <v>55</v>
      </c>
      <c r="B876" s="4" t="s">
        <v>573</v>
      </c>
      <c r="C876" s="4" t="s">
        <v>70</v>
      </c>
      <c r="D876" s="4" t="s">
        <v>70</v>
      </c>
      <c r="E876" s="4" t="str">
        <f t="shared" si="91"/>
        <v>55|G|G</v>
      </c>
      <c r="F876" s="12">
        <v>0</v>
      </c>
      <c r="G876" s="4">
        <f t="shared" si="92"/>
        <v>1</v>
      </c>
      <c r="H876" s="12">
        <v>1</v>
      </c>
      <c r="I876" s="14">
        <f t="shared" si="93"/>
        <v>0</v>
      </c>
      <c r="J876" s="14">
        <f t="shared" si="94"/>
        <v>0.2</v>
      </c>
      <c r="K876" s="4">
        <f t="shared" si="95"/>
        <v>1</v>
      </c>
      <c r="L876" s="4">
        <f t="shared" si="96"/>
        <v>5</v>
      </c>
      <c r="M876" s="4" t="s">
        <v>519</v>
      </c>
      <c r="N876" s="4">
        <f t="shared" si="97"/>
        <v>1</v>
      </c>
    </row>
    <row r="877" spans="1:14">
      <c r="A877" s="4">
        <v>55</v>
      </c>
      <c r="B877" s="4" t="s">
        <v>573</v>
      </c>
      <c r="C877" s="4" t="s">
        <v>70</v>
      </c>
      <c r="D877" s="4" t="s">
        <v>72</v>
      </c>
      <c r="E877" s="4" t="str">
        <f t="shared" si="91"/>
        <v>55|G|U</v>
      </c>
      <c r="F877" s="12">
        <v>0</v>
      </c>
      <c r="G877" s="4">
        <f t="shared" si="92"/>
        <v>1</v>
      </c>
      <c r="H877" s="12">
        <v>1</v>
      </c>
      <c r="I877" s="14">
        <f t="shared" si="93"/>
        <v>0</v>
      </c>
      <c r="J877" s="14">
        <f t="shared" si="94"/>
        <v>0.2</v>
      </c>
      <c r="K877" s="4">
        <f t="shared" si="95"/>
        <v>1</v>
      </c>
      <c r="L877" s="4">
        <f t="shared" si="96"/>
        <v>5</v>
      </c>
      <c r="M877" s="4" t="s">
        <v>519</v>
      </c>
      <c r="N877" s="4">
        <f t="shared" si="97"/>
        <v>1</v>
      </c>
    </row>
    <row r="878" spans="1:14">
      <c r="A878" s="4">
        <v>55</v>
      </c>
      <c r="B878" s="4" t="s">
        <v>573</v>
      </c>
      <c r="C878" s="4" t="s">
        <v>72</v>
      </c>
      <c r="D878" s="4" t="s">
        <v>73</v>
      </c>
      <c r="E878" s="4" t="str">
        <f t="shared" si="91"/>
        <v>55|U|A</v>
      </c>
      <c r="F878" s="12">
        <v>1</v>
      </c>
      <c r="G878" s="4">
        <f t="shared" si="92"/>
        <v>197</v>
      </c>
      <c r="H878" s="12">
        <v>1</v>
      </c>
      <c r="I878" s="14">
        <f t="shared" si="93"/>
        <v>5.076142131979695E-3</v>
      </c>
      <c r="J878" s="14">
        <f t="shared" si="94"/>
        <v>9.9502487562189053E-3</v>
      </c>
      <c r="K878" s="4">
        <f t="shared" si="95"/>
        <v>2</v>
      </c>
      <c r="L878" s="4">
        <f t="shared" si="96"/>
        <v>201</v>
      </c>
      <c r="M878" s="4" t="s">
        <v>519</v>
      </c>
      <c r="N878" s="4">
        <f t="shared" si="97"/>
        <v>1</v>
      </c>
    </row>
    <row r="879" spans="1:14">
      <c r="A879" s="4">
        <v>55</v>
      </c>
      <c r="B879" s="4" t="s">
        <v>573</v>
      </c>
      <c r="C879" s="4" t="s">
        <v>72</v>
      </c>
      <c r="D879" s="4" t="s">
        <v>71</v>
      </c>
      <c r="E879" s="4" t="str">
        <f t="shared" si="91"/>
        <v>55|U|C</v>
      </c>
      <c r="F879" s="12">
        <v>195</v>
      </c>
      <c r="G879" s="4">
        <f t="shared" si="92"/>
        <v>197</v>
      </c>
      <c r="H879" s="12">
        <v>1</v>
      </c>
      <c r="I879" s="14">
        <f t="shared" si="93"/>
        <v>0.98984771573604058</v>
      </c>
      <c r="J879" s="14">
        <f t="shared" si="94"/>
        <v>0.97512437810945274</v>
      </c>
      <c r="K879" s="4">
        <f t="shared" si="95"/>
        <v>196</v>
      </c>
      <c r="L879" s="4">
        <f t="shared" si="96"/>
        <v>201</v>
      </c>
      <c r="M879" s="4" t="s">
        <v>519</v>
      </c>
      <c r="N879" s="4">
        <f t="shared" si="97"/>
        <v>1</v>
      </c>
    </row>
    <row r="880" spans="1:14">
      <c r="A880" s="4">
        <v>55</v>
      </c>
      <c r="B880" s="4" t="s">
        <v>573</v>
      </c>
      <c r="C880" s="4" t="s">
        <v>72</v>
      </c>
      <c r="D880" s="4" t="s">
        <v>70</v>
      </c>
      <c r="E880" s="4" t="str">
        <f t="shared" si="91"/>
        <v>55|U|G</v>
      </c>
      <c r="F880" s="12">
        <v>0</v>
      </c>
      <c r="G880" s="4">
        <f t="shared" si="92"/>
        <v>197</v>
      </c>
      <c r="H880" s="12">
        <v>1</v>
      </c>
      <c r="I880" s="14">
        <f t="shared" si="93"/>
        <v>0</v>
      </c>
      <c r="J880" s="14">
        <f t="shared" si="94"/>
        <v>4.9751243781094526E-3</v>
      </c>
      <c r="K880" s="4">
        <f t="shared" si="95"/>
        <v>1</v>
      </c>
      <c r="L880" s="4">
        <f t="shared" si="96"/>
        <v>201</v>
      </c>
      <c r="M880" s="4" t="s">
        <v>519</v>
      </c>
      <c r="N880" s="4">
        <f t="shared" si="97"/>
        <v>1</v>
      </c>
    </row>
    <row r="881" spans="1:14">
      <c r="A881" s="4">
        <v>55</v>
      </c>
      <c r="B881" s="4" t="s">
        <v>573</v>
      </c>
      <c r="C881" s="4" t="s">
        <v>72</v>
      </c>
      <c r="D881" s="4" t="s">
        <v>72</v>
      </c>
      <c r="E881" s="4" t="str">
        <f t="shared" si="91"/>
        <v>55|U|U</v>
      </c>
      <c r="F881" s="12">
        <v>1</v>
      </c>
      <c r="G881" s="4">
        <f t="shared" si="92"/>
        <v>197</v>
      </c>
      <c r="H881" s="12">
        <v>1</v>
      </c>
      <c r="I881" s="14">
        <f t="shared" si="93"/>
        <v>5.076142131979695E-3</v>
      </c>
      <c r="J881" s="14">
        <f t="shared" si="94"/>
        <v>9.9502487562189053E-3</v>
      </c>
      <c r="K881" s="4">
        <f t="shared" si="95"/>
        <v>2</v>
      </c>
      <c r="L881" s="4">
        <f t="shared" si="96"/>
        <v>201</v>
      </c>
      <c r="M881" s="4" t="s">
        <v>519</v>
      </c>
      <c r="N881" s="4">
        <f t="shared" si="97"/>
        <v>1</v>
      </c>
    </row>
    <row r="882" spans="1:14">
      <c r="A882" s="4">
        <v>56</v>
      </c>
      <c r="B882" s="4" t="s">
        <v>574</v>
      </c>
      <c r="C882" s="4" t="s">
        <v>73</v>
      </c>
      <c r="D882" s="4" t="s">
        <v>73</v>
      </c>
      <c r="E882" s="4" t="str">
        <f t="shared" si="91"/>
        <v>56|A|A</v>
      </c>
      <c r="F882" s="12">
        <v>0</v>
      </c>
      <c r="G882" s="4">
        <f t="shared" si="92"/>
        <v>2</v>
      </c>
      <c r="H882" s="12">
        <v>1</v>
      </c>
      <c r="I882" s="14">
        <f t="shared" si="93"/>
        <v>0</v>
      </c>
      <c r="J882" s="14">
        <f t="shared" si="94"/>
        <v>0.16666666666666666</v>
      </c>
      <c r="K882" s="4">
        <f t="shared" si="95"/>
        <v>1</v>
      </c>
      <c r="L882" s="4">
        <f t="shared" si="96"/>
        <v>6</v>
      </c>
      <c r="M882" s="4" t="s">
        <v>519</v>
      </c>
      <c r="N882" s="4">
        <f t="shared" si="97"/>
        <v>1</v>
      </c>
    </row>
    <row r="883" spans="1:14">
      <c r="A883" s="4">
        <v>56</v>
      </c>
      <c r="B883" s="4" t="s">
        <v>574</v>
      </c>
      <c r="C883" s="4" t="s">
        <v>73</v>
      </c>
      <c r="D883" s="4" t="s">
        <v>71</v>
      </c>
      <c r="E883" s="4" t="str">
        <f t="shared" si="91"/>
        <v>56|A|C</v>
      </c>
      <c r="F883" s="12">
        <v>0</v>
      </c>
      <c r="G883" s="4">
        <f t="shared" si="92"/>
        <v>2</v>
      </c>
      <c r="H883" s="12">
        <v>1</v>
      </c>
      <c r="I883" s="14">
        <f t="shared" si="93"/>
        <v>0</v>
      </c>
      <c r="J883" s="14">
        <f t="shared" si="94"/>
        <v>0.16666666666666666</v>
      </c>
      <c r="K883" s="4">
        <f t="shared" si="95"/>
        <v>1</v>
      </c>
      <c r="L883" s="4">
        <f t="shared" si="96"/>
        <v>6</v>
      </c>
      <c r="M883" s="4" t="s">
        <v>519</v>
      </c>
      <c r="N883" s="4">
        <f t="shared" si="97"/>
        <v>1</v>
      </c>
    </row>
    <row r="884" spans="1:14">
      <c r="A884" s="4">
        <v>56</v>
      </c>
      <c r="B884" s="4" t="s">
        <v>574</v>
      </c>
      <c r="C884" s="4" t="s">
        <v>73</v>
      </c>
      <c r="D884" s="4" t="s">
        <v>70</v>
      </c>
      <c r="E884" s="4" t="str">
        <f t="shared" si="91"/>
        <v>56|A|G</v>
      </c>
      <c r="F884" s="12">
        <v>1</v>
      </c>
      <c r="G884" s="4">
        <f t="shared" si="92"/>
        <v>2</v>
      </c>
      <c r="H884" s="12">
        <v>1</v>
      </c>
      <c r="I884" s="14">
        <f t="shared" si="93"/>
        <v>0.5</v>
      </c>
      <c r="J884" s="14">
        <f t="shared" si="94"/>
        <v>0.33333333333333331</v>
      </c>
      <c r="K884" s="4">
        <f t="shared" si="95"/>
        <v>2</v>
      </c>
      <c r="L884" s="4">
        <f t="shared" si="96"/>
        <v>6</v>
      </c>
      <c r="M884" s="4" t="s">
        <v>519</v>
      </c>
      <c r="N884" s="4">
        <f t="shared" si="97"/>
        <v>1</v>
      </c>
    </row>
    <row r="885" spans="1:14">
      <c r="A885" s="4">
        <v>56</v>
      </c>
      <c r="B885" s="4" t="s">
        <v>574</v>
      </c>
      <c r="C885" s="4" t="s">
        <v>73</v>
      </c>
      <c r="D885" s="4" t="s">
        <v>72</v>
      </c>
      <c r="E885" s="4" t="str">
        <f t="shared" si="91"/>
        <v>56|A|U</v>
      </c>
      <c r="F885" s="12">
        <v>1</v>
      </c>
      <c r="G885" s="4">
        <f t="shared" si="92"/>
        <v>2</v>
      </c>
      <c r="H885" s="12">
        <v>1</v>
      </c>
      <c r="I885" s="14">
        <f t="shared" si="93"/>
        <v>0.5</v>
      </c>
      <c r="J885" s="14">
        <f t="shared" si="94"/>
        <v>0.33333333333333331</v>
      </c>
      <c r="K885" s="4">
        <f t="shared" si="95"/>
        <v>2</v>
      </c>
      <c r="L885" s="4">
        <f t="shared" si="96"/>
        <v>6</v>
      </c>
      <c r="M885" s="4" t="s">
        <v>519</v>
      </c>
      <c r="N885" s="4">
        <f t="shared" si="97"/>
        <v>1</v>
      </c>
    </row>
    <row r="886" spans="1:14">
      <c r="A886" s="4">
        <v>56</v>
      </c>
      <c r="B886" s="4" t="s">
        <v>574</v>
      </c>
      <c r="C886" s="4" t="s">
        <v>71</v>
      </c>
      <c r="D886" s="4" t="s">
        <v>73</v>
      </c>
      <c r="E886" s="4" t="str">
        <f t="shared" si="91"/>
        <v>56|C|A</v>
      </c>
      <c r="F886" s="12">
        <v>76</v>
      </c>
      <c r="G886" s="4">
        <f t="shared" si="92"/>
        <v>196</v>
      </c>
      <c r="H886" s="12">
        <v>1</v>
      </c>
      <c r="I886" s="14">
        <f t="shared" si="93"/>
        <v>0.38775510204081631</v>
      </c>
      <c r="J886" s="14">
        <f t="shared" si="94"/>
        <v>0.38500000000000001</v>
      </c>
      <c r="K886" s="4">
        <f t="shared" si="95"/>
        <v>77</v>
      </c>
      <c r="L886" s="4">
        <f t="shared" si="96"/>
        <v>200</v>
      </c>
      <c r="M886" s="4" t="s">
        <v>519</v>
      </c>
      <c r="N886" s="4">
        <f t="shared" si="97"/>
        <v>1</v>
      </c>
    </row>
    <row r="887" spans="1:14">
      <c r="A887" s="4">
        <v>56</v>
      </c>
      <c r="B887" s="4" t="s">
        <v>574</v>
      </c>
      <c r="C887" s="4" t="s">
        <v>71</v>
      </c>
      <c r="D887" s="4" t="s">
        <v>71</v>
      </c>
      <c r="E887" s="4" t="str">
        <f t="shared" si="91"/>
        <v>56|C|C</v>
      </c>
      <c r="F887" s="12">
        <v>0</v>
      </c>
      <c r="G887" s="4">
        <f t="shared" si="92"/>
        <v>196</v>
      </c>
      <c r="H887" s="12">
        <v>1</v>
      </c>
      <c r="I887" s="14">
        <f t="shared" si="93"/>
        <v>0</v>
      </c>
      <c r="J887" s="14">
        <f t="shared" si="94"/>
        <v>5.0000000000000001E-3</v>
      </c>
      <c r="K887" s="4">
        <f t="shared" si="95"/>
        <v>1</v>
      </c>
      <c r="L887" s="4">
        <f t="shared" si="96"/>
        <v>200</v>
      </c>
      <c r="M887" s="4" t="s">
        <v>519</v>
      </c>
      <c r="N887" s="4">
        <f t="shared" si="97"/>
        <v>1</v>
      </c>
    </row>
    <row r="888" spans="1:14">
      <c r="A888" s="4">
        <v>56</v>
      </c>
      <c r="B888" s="4" t="s">
        <v>574</v>
      </c>
      <c r="C888" s="4" t="s">
        <v>71</v>
      </c>
      <c r="D888" s="4" t="s">
        <v>70</v>
      </c>
      <c r="E888" s="4" t="str">
        <f t="shared" si="91"/>
        <v>56|C|G</v>
      </c>
      <c r="F888" s="12">
        <v>120</v>
      </c>
      <c r="G888" s="4">
        <f t="shared" si="92"/>
        <v>196</v>
      </c>
      <c r="H888" s="12">
        <v>1</v>
      </c>
      <c r="I888" s="14">
        <f t="shared" si="93"/>
        <v>0.61224489795918369</v>
      </c>
      <c r="J888" s="14">
        <f t="shared" si="94"/>
        <v>0.60499999999999998</v>
      </c>
      <c r="K888" s="4">
        <f t="shared" si="95"/>
        <v>121</v>
      </c>
      <c r="L888" s="4">
        <f t="shared" si="96"/>
        <v>200</v>
      </c>
      <c r="M888" s="4" t="s">
        <v>519</v>
      </c>
      <c r="N888" s="4">
        <f t="shared" si="97"/>
        <v>1</v>
      </c>
    </row>
    <row r="889" spans="1:14">
      <c r="A889" s="4">
        <v>56</v>
      </c>
      <c r="B889" s="4" t="s">
        <v>574</v>
      </c>
      <c r="C889" s="4" t="s">
        <v>71</v>
      </c>
      <c r="D889" s="4" t="s">
        <v>72</v>
      </c>
      <c r="E889" s="4" t="str">
        <f t="shared" si="91"/>
        <v>56|C|U</v>
      </c>
      <c r="F889" s="12">
        <v>0</v>
      </c>
      <c r="G889" s="4">
        <f t="shared" si="92"/>
        <v>196</v>
      </c>
      <c r="H889" s="12">
        <v>1</v>
      </c>
      <c r="I889" s="14">
        <f t="shared" si="93"/>
        <v>0</v>
      </c>
      <c r="J889" s="14">
        <f t="shared" si="94"/>
        <v>5.0000000000000001E-3</v>
      </c>
      <c r="K889" s="4">
        <f t="shared" si="95"/>
        <v>1</v>
      </c>
      <c r="L889" s="4">
        <f t="shared" si="96"/>
        <v>200</v>
      </c>
      <c r="M889" s="4" t="s">
        <v>519</v>
      </c>
      <c r="N889" s="4">
        <f t="shared" si="97"/>
        <v>1</v>
      </c>
    </row>
    <row r="890" spans="1:14">
      <c r="A890" s="4">
        <v>56</v>
      </c>
      <c r="B890" s="4" t="s">
        <v>574</v>
      </c>
      <c r="C890" s="4" t="s">
        <v>70</v>
      </c>
      <c r="D890" s="4" t="s">
        <v>73</v>
      </c>
      <c r="E890" s="4" t="str">
        <f t="shared" si="91"/>
        <v>56|G|A</v>
      </c>
      <c r="F890" s="12">
        <v>1</v>
      </c>
      <c r="G890" s="4">
        <f t="shared" si="92"/>
        <v>1</v>
      </c>
      <c r="H890" s="12">
        <v>1</v>
      </c>
      <c r="I890" s="14">
        <f t="shared" si="93"/>
        <v>1</v>
      </c>
      <c r="J890" s="14">
        <f t="shared" si="94"/>
        <v>0.4</v>
      </c>
      <c r="K890" s="4">
        <f t="shared" si="95"/>
        <v>2</v>
      </c>
      <c r="L890" s="4">
        <f t="shared" si="96"/>
        <v>5</v>
      </c>
      <c r="M890" s="4" t="s">
        <v>519</v>
      </c>
      <c r="N890" s="4">
        <f t="shared" si="97"/>
        <v>1</v>
      </c>
    </row>
    <row r="891" spans="1:14">
      <c r="A891" s="4">
        <v>56</v>
      </c>
      <c r="B891" s="4" t="s">
        <v>574</v>
      </c>
      <c r="C891" s="4" t="s">
        <v>70</v>
      </c>
      <c r="D891" s="4" t="s">
        <v>71</v>
      </c>
      <c r="E891" s="4" t="str">
        <f t="shared" si="91"/>
        <v>56|G|C</v>
      </c>
      <c r="F891" s="12">
        <v>0</v>
      </c>
      <c r="G891" s="4">
        <f t="shared" si="92"/>
        <v>1</v>
      </c>
      <c r="H891" s="12">
        <v>1</v>
      </c>
      <c r="I891" s="14">
        <f t="shared" si="93"/>
        <v>0</v>
      </c>
      <c r="J891" s="14">
        <f t="shared" si="94"/>
        <v>0.2</v>
      </c>
      <c r="K891" s="4">
        <f t="shared" si="95"/>
        <v>1</v>
      </c>
      <c r="L891" s="4">
        <f t="shared" si="96"/>
        <v>5</v>
      </c>
      <c r="M891" s="4" t="s">
        <v>519</v>
      </c>
      <c r="N891" s="4">
        <f t="shared" si="97"/>
        <v>1</v>
      </c>
    </row>
    <row r="892" spans="1:14">
      <c r="A892" s="4">
        <v>56</v>
      </c>
      <c r="B892" s="4" t="s">
        <v>574</v>
      </c>
      <c r="C892" s="4" t="s">
        <v>70</v>
      </c>
      <c r="D892" s="4" t="s">
        <v>70</v>
      </c>
      <c r="E892" s="4" t="str">
        <f t="shared" si="91"/>
        <v>56|G|G</v>
      </c>
      <c r="F892" s="12">
        <v>0</v>
      </c>
      <c r="G892" s="4">
        <f t="shared" si="92"/>
        <v>1</v>
      </c>
      <c r="H892" s="12">
        <v>1</v>
      </c>
      <c r="I892" s="14">
        <f t="shared" si="93"/>
        <v>0</v>
      </c>
      <c r="J892" s="14">
        <f t="shared" si="94"/>
        <v>0.2</v>
      </c>
      <c r="K892" s="4">
        <f t="shared" si="95"/>
        <v>1</v>
      </c>
      <c r="L892" s="4">
        <f t="shared" si="96"/>
        <v>5</v>
      </c>
      <c r="M892" s="4" t="s">
        <v>519</v>
      </c>
      <c r="N892" s="4">
        <f t="shared" si="97"/>
        <v>1</v>
      </c>
    </row>
    <row r="893" spans="1:14">
      <c r="A893" s="4">
        <v>56</v>
      </c>
      <c r="B893" s="4" t="s">
        <v>574</v>
      </c>
      <c r="C893" s="4" t="s">
        <v>70</v>
      </c>
      <c r="D893" s="4" t="s">
        <v>72</v>
      </c>
      <c r="E893" s="4" t="str">
        <f t="shared" si="91"/>
        <v>56|G|U</v>
      </c>
      <c r="F893" s="12">
        <v>0</v>
      </c>
      <c r="G893" s="4">
        <f t="shared" si="92"/>
        <v>1</v>
      </c>
      <c r="H893" s="12">
        <v>1</v>
      </c>
      <c r="I893" s="14">
        <f t="shared" si="93"/>
        <v>0</v>
      </c>
      <c r="J893" s="14">
        <f t="shared" si="94"/>
        <v>0.2</v>
      </c>
      <c r="K893" s="4">
        <f t="shared" si="95"/>
        <v>1</v>
      </c>
      <c r="L893" s="4">
        <f t="shared" si="96"/>
        <v>5</v>
      </c>
      <c r="M893" s="4" t="s">
        <v>519</v>
      </c>
      <c r="N893" s="4">
        <f t="shared" si="97"/>
        <v>1</v>
      </c>
    </row>
    <row r="894" spans="1:14">
      <c r="A894" s="4">
        <v>56</v>
      </c>
      <c r="B894" s="4" t="s">
        <v>574</v>
      </c>
      <c r="C894" s="4" t="s">
        <v>72</v>
      </c>
      <c r="D894" s="4" t="s">
        <v>73</v>
      </c>
      <c r="E894" s="4" t="str">
        <f t="shared" si="91"/>
        <v>56|U|A</v>
      </c>
      <c r="F894" s="12">
        <v>0</v>
      </c>
      <c r="G894" s="4">
        <f t="shared" si="92"/>
        <v>0</v>
      </c>
      <c r="H894" s="12">
        <v>1</v>
      </c>
      <c r="I894" s="14" t="str">
        <f t="shared" si="93"/>
        <v/>
      </c>
      <c r="J894" s="14">
        <f t="shared" si="94"/>
        <v>0.25</v>
      </c>
      <c r="K894" s="4">
        <f t="shared" si="95"/>
        <v>1</v>
      </c>
      <c r="L894" s="4">
        <f t="shared" si="96"/>
        <v>4</v>
      </c>
      <c r="M894" s="4" t="s">
        <v>519</v>
      </c>
      <c r="N894" s="4">
        <f t="shared" si="97"/>
        <v>1</v>
      </c>
    </row>
    <row r="895" spans="1:14">
      <c r="A895" s="4">
        <v>56</v>
      </c>
      <c r="B895" s="4" t="s">
        <v>574</v>
      </c>
      <c r="C895" s="4" t="s">
        <v>72</v>
      </c>
      <c r="D895" s="4" t="s">
        <v>71</v>
      </c>
      <c r="E895" s="4" t="str">
        <f t="shared" si="91"/>
        <v>56|U|C</v>
      </c>
      <c r="F895" s="12">
        <v>0</v>
      </c>
      <c r="G895" s="4">
        <f t="shared" si="92"/>
        <v>0</v>
      </c>
      <c r="H895" s="12">
        <v>1</v>
      </c>
      <c r="I895" s="14" t="str">
        <f t="shared" si="93"/>
        <v/>
      </c>
      <c r="J895" s="14">
        <f t="shared" si="94"/>
        <v>0.25</v>
      </c>
      <c r="K895" s="4">
        <f t="shared" si="95"/>
        <v>1</v>
      </c>
      <c r="L895" s="4">
        <f t="shared" si="96"/>
        <v>4</v>
      </c>
      <c r="M895" s="4" t="s">
        <v>519</v>
      </c>
      <c r="N895" s="4">
        <f t="shared" si="97"/>
        <v>1</v>
      </c>
    </row>
    <row r="896" spans="1:14">
      <c r="A896" s="4">
        <v>56</v>
      </c>
      <c r="B896" s="4" t="s">
        <v>574</v>
      </c>
      <c r="C896" s="4" t="s">
        <v>72</v>
      </c>
      <c r="D896" s="4" t="s">
        <v>70</v>
      </c>
      <c r="E896" s="4" t="str">
        <f t="shared" si="91"/>
        <v>56|U|G</v>
      </c>
      <c r="F896" s="12">
        <v>0</v>
      </c>
      <c r="G896" s="4">
        <f t="shared" si="92"/>
        <v>0</v>
      </c>
      <c r="H896" s="12">
        <v>1</v>
      </c>
      <c r="I896" s="14" t="str">
        <f t="shared" si="93"/>
        <v/>
      </c>
      <c r="J896" s="14">
        <f t="shared" si="94"/>
        <v>0.25</v>
      </c>
      <c r="K896" s="4">
        <f t="shared" si="95"/>
        <v>1</v>
      </c>
      <c r="L896" s="4">
        <f t="shared" si="96"/>
        <v>4</v>
      </c>
      <c r="M896" s="4" t="s">
        <v>519</v>
      </c>
      <c r="N896" s="4">
        <f t="shared" si="97"/>
        <v>1</v>
      </c>
    </row>
    <row r="897" spans="1:14">
      <c r="A897" s="4">
        <v>56</v>
      </c>
      <c r="B897" s="4" t="s">
        <v>574</v>
      </c>
      <c r="C897" s="4" t="s">
        <v>72</v>
      </c>
      <c r="D897" s="4" t="s">
        <v>72</v>
      </c>
      <c r="E897" s="4" t="str">
        <f t="shared" si="91"/>
        <v>56|U|U</v>
      </c>
      <c r="F897" s="12">
        <v>0</v>
      </c>
      <c r="G897" s="4">
        <f t="shared" si="92"/>
        <v>0</v>
      </c>
      <c r="H897" s="12">
        <v>1</v>
      </c>
      <c r="I897" s="14" t="str">
        <f t="shared" si="93"/>
        <v/>
      </c>
      <c r="J897" s="14">
        <f t="shared" si="94"/>
        <v>0.25</v>
      </c>
      <c r="K897" s="4">
        <f t="shared" si="95"/>
        <v>1</v>
      </c>
      <c r="L897" s="4">
        <f t="shared" si="96"/>
        <v>4</v>
      </c>
      <c r="M897" s="4" t="s">
        <v>519</v>
      </c>
      <c r="N897" s="4">
        <f t="shared" si="97"/>
        <v>1</v>
      </c>
    </row>
    <row r="898" spans="1:14">
      <c r="A898" s="4">
        <v>57</v>
      </c>
      <c r="B898" s="4" t="s">
        <v>575</v>
      </c>
      <c r="C898" s="4" t="s">
        <v>73</v>
      </c>
      <c r="D898" s="4" t="s">
        <v>73</v>
      </c>
      <c r="E898" s="4" t="str">
        <f t="shared" ref="E898:E961" si="98">A898&amp;"|"&amp;C898&amp;"|"&amp;D898</f>
        <v>57|A|A</v>
      </c>
      <c r="F898" s="12">
        <v>76</v>
      </c>
      <c r="G898" s="4">
        <f t="shared" ref="G898:G961" si="99">SUMIFS($F$2:$F$1137,$A$2:$A$1137,A898,$C$2:$C$1137,C898)</f>
        <v>77</v>
      </c>
      <c r="H898" s="12">
        <v>1</v>
      </c>
      <c r="I898" s="14">
        <f t="shared" ref="I898:I961" si="100">IF(G898=0,"",F898/G898)</f>
        <v>0.98701298701298701</v>
      </c>
      <c r="J898" s="14">
        <f t="shared" ref="J898:J961" si="101">K898/L898</f>
        <v>0.95061728395061729</v>
      </c>
      <c r="K898" s="4">
        <f t="shared" ref="K898:K961" si="102">F898+H898</f>
        <v>77</v>
      </c>
      <c r="L898" s="4">
        <f t="shared" ref="L898:L961" si="103">G898+4*H898</f>
        <v>81</v>
      </c>
      <c r="M898" s="4" t="s">
        <v>519</v>
      </c>
      <c r="N898" s="4">
        <f t="shared" ref="N898:N961" si="104">ROUND(SUMIFS($J$2:$J$1137,$A$2:$A$1137,A898,$C$2:$C$1137,C898),9)</f>
        <v>1</v>
      </c>
    </row>
    <row r="899" spans="1:14">
      <c r="A899" s="4">
        <v>57</v>
      </c>
      <c r="B899" s="4" t="s">
        <v>575</v>
      </c>
      <c r="C899" s="4" t="s">
        <v>73</v>
      </c>
      <c r="D899" s="4" t="s">
        <v>71</v>
      </c>
      <c r="E899" s="4" t="str">
        <f t="shared" si="98"/>
        <v>57|A|C</v>
      </c>
      <c r="F899" s="12">
        <v>0</v>
      </c>
      <c r="G899" s="4">
        <f t="shared" si="99"/>
        <v>77</v>
      </c>
      <c r="H899" s="12">
        <v>1</v>
      </c>
      <c r="I899" s="14">
        <f t="shared" si="100"/>
        <v>0</v>
      </c>
      <c r="J899" s="14">
        <f t="shared" si="101"/>
        <v>1.2345679012345678E-2</v>
      </c>
      <c r="K899" s="4">
        <f t="shared" si="102"/>
        <v>1</v>
      </c>
      <c r="L899" s="4">
        <f t="shared" si="103"/>
        <v>81</v>
      </c>
      <c r="M899" s="4" t="s">
        <v>519</v>
      </c>
      <c r="N899" s="4">
        <f t="shared" si="104"/>
        <v>1</v>
      </c>
    </row>
    <row r="900" spans="1:14">
      <c r="A900" s="4">
        <v>57</v>
      </c>
      <c r="B900" s="4" t="s">
        <v>575</v>
      </c>
      <c r="C900" s="4" t="s">
        <v>73</v>
      </c>
      <c r="D900" s="4" t="s">
        <v>70</v>
      </c>
      <c r="E900" s="4" t="str">
        <f t="shared" si="98"/>
        <v>57|A|G</v>
      </c>
      <c r="F900" s="12">
        <v>0</v>
      </c>
      <c r="G900" s="4">
        <f t="shared" si="99"/>
        <v>77</v>
      </c>
      <c r="H900" s="12">
        <v>1</v>
      </c>
      <c r="I900" s="14">
        <f t="shared" si="100"/>
        <v>0</v>
      </c>
      <c r="J900" s="14">
        <f t="shared" si="101"/>
        <v>1.2345679012345678E-2</v>
      </c>
      <c r="K900" s="4">
        <f t="shared" si="102"/>
        <v>1</v>
      </c>
      <c r="L900" s="4">
        <f t="shared" si="103"/>
        <v>81</v>
      </c>
      <c r="M900" s="4" t="s">
        <v>519</v>
      </c>
      <c r="N900" s="4">
        <f t="shared" si="104"/>
        <v>1</v>
      </c>
    </row>
    <row r="901" spans="1:14">
      <c r="A901" s="4">
        <v>57</v>
      </c>
      <c r="B901" s="4" t="s">
        <v>575</v>
      </c>
      <c r="C901" s="4" t="s">
        <v>73</v>
      </c>
      <c r="D901" s="4" t="s">
        <v>72</v>
      </c>
      <c r="E901" s="4" t="str">
        <f t="shared" si="98"/>
        <v>57|A|U</v>
      </c>
      <c r="F901" s="12">
        <v>1</v>
      </c>
      <c r="G901" s="4">
        <f t="shared" si="99"/>
        <v>77</v>
      </c>
      <c r="H901" s="12">
        <v>1</v>
      </c>
      <c r="I901" s="14">
        <f t="shared" si="100"/>
        <v>1.2987012987012988E-2</v>
      </c>
      <c r="J901" s="14">
        <f t="shared" si="101"/>
        <v>2.4691358024691357E-2</v>
      </c>
      <c r="K901" s="4">
        <f t="shared" si="102"/>
        <v>2</v>
      </c>
      <c r="L901" s="4">
        <f t="shared" si="103"/>
        <v>81</v>
      </c>
      <c r="M901" s="4" t="s">
        <v>519</v>
      </c>
      <c r="N901" s="4">
        <f t="shared" si="104"/>
        <v>1</v>
      </c>
    </row>
    <row r="902" spans="1:14">
      <c r="A902" s="4">
        <v>57</v>
      </c>
      <c r="B902" s="4" t="s">
        <v>575</v>
      </c>
      <c r="C902" s="4" t="s">
        <v>71</v>
      </c>
      <c r="D902" s="4" t="s">
        <v>73</v>
      </c>
      <c r="E902" s="4" t="str">
        <f t="shared" si="98"/>
        <v>57|C|A</v>
      </c>
      <c r="F902" s="12">
        <v>0</v>
      </c>
      <c r="G902" s="4">
        <f t="shared" si="99"/>
        <v>0</v>
      </c>
      <c r="H902" s="12">
        <v>1</v>
      </c>
      <c r="I902" s="14" t="str">
        <f t="shared" si="100"/>
        <v/>
      </c>
      <c r="J902" s="14">
        <f t="shared" si="101"/>
        <v>0.25</v>
      </c>
      <c r="K902" s="4">
        <f t="shared" si="102"/>
        <v>1</v>
      </c>
      <c r="L902" s="4">
        <f t="shared" si="103"/>
        <v>4</v>
      </c>
      <c r="M902" s="4" t="s">
        <v>519</v>
      </c>
      <c r="N902" s="4">
        <f t="shared" si="104"/>
        <v>1</v>
      </c>
    </row>
    <row r="903" spans="1:14">
      <c r="A903" s="4">
        <v>57</v>
      </c>
      <c r="B903" s="4" t="s">
        <v>575</v>
      </c>
      <c r="C903" s="4" t="s">
        <v>71</v>
      </c>
      <c r="D903" s="4" t="s">
        <v>71</v>
      </c>
      <c r="E903" s="4" t="str">
        <f t="shared" si="98"/>
        <v>57|C|C</v>
      </c>
      <c r="F903" s="12">
        <v>0</v>
      </c>
      <c r="G903" s="4">
        <f t="shared" si="99"/>
        <v>0</v>
      </c>
      <c r="H903" s="12">
        <v>1</v>
      </c>
      <c r="I903" s="14" t="str">
        <f t="shared" si="100"/>
        <v/>
      </c>
      <c r="J903" s="14">
        <f t="shared" si="101"/>
        <v>0.25</v>
      </c>
      <c r="K903" s="4">
        <f t="shared" si="102"/>
        <v>1</v>
      </c>
      <c r="L903" s="4">
        <f t="shared" si="103"/>
        <v>4</v>
      </c>
      <c r="M903" s="4" t="s">
        <v>519</v>
      </c>
      <c r="N903" s="4">
        <f t="shared" si="104"/>
        <v>1</v>
      </c>
    </row>
    <row r="904" spans="1:14">
      <c r="A904" s="4">
        <v>57</v>
      </c>
      <c r="B904" s="4" t="s">
        <v>575</v>
      </c>
      <c r="C904" s="4" t="s">
        <v>71</v>
      </c>
      <c r="D904" s="4" t="s">
        <v>70</v>
      </c>
      <c r="E904" s="4" t="str">
        <f t="shared" si="98"/>
        <v>57|C|G</v>
      </c>
      <c r="F904" s="12">
        <v>0</v>
      </c>
      <c r="G904" s="4">
        <f t="shared" si="99"/>
        <v>0</v>
      </c>
      <c r="H904" s="12">
        <v>1</v>
      </c>
      <c r="I904" s="14" t="str">
        <f t="shared" si="100"/>
        <v/>
      </c>
      <c r="J904" s="14">
        <f t="shared" si="101"/>
        <v>0.25</v>
      </c>
      <c r="K904" s="4">
        <f t="shared" si="102"/>
        <v>1</v>
      </c>
      <c r="L904" s="4">
        <f t="shared" si="103"/>
        <v>4</v>
      </c>
      <c r="M904" s="4" t="s">
        <v>519</v>
      </c>
      <c r="N904" s="4">
        <f t="shared" si="104"/>
        <v>1</v>
      </c>
    </row>
    <row r="905" spans="1:14">
      <c r="A905" s="4">
        <v>57</v>
      </c>
      <c r="B905" s="4" t="s">
        <v>575</v>
      </c>
      <c r="C905" s="4" t="s">
        <v>71</v>
      </c>
      <c r="D905" s="4" t="s">
        <v>72</v>
      </c>
      <c r="E905" s="4" t="str">
        <f t="shared" si="98"/>
        <v>57|C|U</v>
      </c>
      <c r="F905" s="12">
        <v>0</v>
      </c>
      <c r="G905" s="4">
        <f t="shared" si="99"/>
        <v>0</v>
      </c>
      <c r="H905" s="12">
        <v>1</v>
      </c>
      <c r="I905" s="14" t="str">
        <f t="shared" si="100"/>
        <v/>
      </c>
      <c r="J905" s="14">
        <f t="shared" si="101"/>
        <v>0.25</v>
      </c>
      <c r="K905" s="4">
        <f t="shared" si="102"/>
        <v>1</v>
      </c>
      <c r="L905" s="4">
        <f t="shared" si="103"/>
        <v>4</v>
      </c>
      <c r="M905" s="4" t="s">
        <v>519</v>
      </c>
      <c r="N905" s="4">
        <f t="shared" si="104"/>
        <v>1</v>
      </c>
    </row>
    <row r="906" spans="1:14">
      <c r="A906" s="4">
        <v>57</v>
      </c>
      <c r="B906" s="4" t="s">
        <v>575</v>
      </c>
      <c r="C906" s="4" t="s">
        <v>70</v>
      </c>
      <c r="D906" s="4" t="s">
        <v>73</v>
      </c>
      <c r="E906" s="4" t="str">
        <f t="shared" si="98"/>
        <v>57|G|A</v>
      </c>
      <c r="F906" s="12">
        <v>121</v>
      </c>
      <c r="G906" s="4">
        <f t="shared" si="99"/>
        <v>121</v>
      </c>
      <c r="H906" s="12">
        <v>1</v>
      </c>
      <c r="I906" s="14">
        <f t="shared" si="100"/>
        <v>1</v>
      </c>
      <c r="J906" s="14">
        <f t="shared" si="101"/>
        <v>0.97599999999999998</v>
      </c>
      <c r="K906" s="4">
        <f t="shared" si="102"/>
        <v>122</v>
      </c>
      <c r="L906" s="4">
        <f t="shared" si="103"/>
        <v>125</v>
      </c>
      <c r="M906" s="4" t="s">
        <v>519</v>
      </c>
      <c r="N906" s="4">
        <f t="shared" si="104"/>
        <v>1</v>
      </c>
    </row>
    <row r="907" spans="1:14">
      <c r="A907" s="4">
        <v>57</v>
      </c>
      <c r="B907" s="4" t="s">
        <v>575</v>
      </c>
      <c r="C907" s="4" t="s">
        <v>70</v>
      </c>
      <c r="D907" s="4" t="s">
        <v>71</v>
      </c>
      <c r="E907" s="4" t="str">
        <f t="shared" si="98"/>
        <v>57|G|C</v>
      </c>
      <c r="F907" s="12">
        <v>0</v>
      </c>
      <c r="G907" s="4">
        <f t="shared" si="99"/>
        <v>121</v>
      </c>
      <c r="H907" s="12">
        <v>1</v>
      </c>
      <c r="I907" s="14">
        <f t="shared" si="100"/>
        <v>0</v>
      </c>
      <c r="J907" s="14">
        <f t="shared" si="101"/>
        <v>8.0000000000000002E-3</v>
      </c>
      <c r="K907" s="4">
        <f t="shared" si="102"/>
        <v>1</v>
      </c>
      <c r="L907" s="4">
        <f t="shared" si="103"/>
        <v>125</v>
      </c>
      <c r="M907" s="4" t="s">
        <v>519</v>
      </c>
      <c r="N907" s="4">
        <f t="shared" si="104"/>
        <v>1</v>
      </c>
    </row>
    <row r="908" spans="1:14">
      <c r="A908" s="4">
        <v>57</v>
      </c>
      <c r="B908" s="4" t="s">
        <v>575</v>
      </c>
      <c r="C908" s="4" t="s">
        <v>70</v>
      </c>
      <c r="D908" s="4" t="s">
        <v>70</v>
      </c>
      <c r="E908" s="4" t="str">
        <f t="shared" si="98"/>
        <v>57|G|G</v>
      </c>
      <c r="F908" s="12">
        <v>0</v>
      </c>
      <c r="G908" s="4">
        <f t="shared" si="99"/>
        <v>121</v>
      </c>
      <c r="H908" s="12">
        <v>1</v>
      </c>
      <c r="I908" s="14">
        <f t="shared" si="100"/>
        <v>0</v>
      </c>
      <c r="J908" s="14">
        <f t="shared" si="101"/>
        <v>8.0000000000000002E-3</v>
      </c>
      <c r="K908" s="4">
        <f t="shared" si="102"/>
        <v>1</v>
      </c>
      <c r="L908" s="4">
        <f t="shared" si="103"/>
        <v>125</v>
      </c>
      <c r="M908" s="4" t="s">
        <v>519</v>
      </c>
      <c r="N908" s="4">
        <f t="shared" si="104"/>
        <v>1</v>
      </c>
    </row>
    <row r="909" spans="1:14">
      <c r="A909" s="4">
        <v>57</v>
      </c>
      <c r="B909" s="4" t="s">
        <v>575</v>
      </c>
      <c r="C909" s="4" t="s">
        <v>70</v>
      </c>
      <c r="D909" s="4" t="s">
        <v>72</v>
      </c>
      <c r="E909" s="4" t="str">
        <f t="shared" si="98"/>
        <v>57|G|U</v>
      </c>
      <c r="F909" s="12">
        <v>0</v>
      </c>
      <c r="G909" s="4">
        <f t="shared" si="99"/>
        <v>121</v>
      </c>
      <c r="H909" s="12">
        <v>1</v>
      </c>
      <c r="I909" s="14">
        <f t="shared" si="100"/>
        <v>0</v>
      </c>
      <c r="J909" s="14">
        <f t="shared" si="101"/>
        <v>8.0000000000000002E-3</v>
      </c>
      <c r="K909" s="4">
        <f t="shared" si="102"/>
        <v>1</v>
      </c>
      <c r="L909" s="4">
        <f t="shared" si="103"/>
        <v>125</v>
      </c>
      <c r="M909" s="4" t="s">
        <v>519</v>
      </c>
      <c r="N909" s="4">
        <f t="shared" si="104"/>
        <v>1</v>
      </c>
    </row>
    <row r="910" spans="1:14">
      <c r="A910" s="4">
        <v>57</v>
      </c>
      <c r="B910" s="4" t="s">
        <v>575</v>
      </c>
      <c r="C910" s="4" t="s">
        <v>72</v>
      </c>
      <c r="D910" s="4" t="s">
        <v>73</v>
      </c>
      <c r="E910" s="4" t="str">
        <f t="shared" si="98"/>
        <v>57|U|A</v>
      </c>
      <c r="F910" s="12">
        <v>0</v>
      </c>
      <c r="G910" s="4">
        <f t="shared" si="99"/>
        <v>1</v>
      </c>
      <c r="H910" s="12">
        <v>1</v>
      </c>
      <c r="I910" s="14">
        <f t="shared" si="100"/>
        <v>0</v>
      </c>
      <c r="J910" s="14">
        <f t="shared" si="101"/>
        <v>0.2</v>
      </c>
      <c r="K910" s="4">
        <f t="shared" si="102"/>
        <v>1</v>
      </c>
      <c r="L910" s="4">
        <f t="shared" si="103"/>
        <v>5</v>
      </c>
      <c r="M910" s="4" t="s">
        <v>519</v>
      </c>
      <c r="N910" s="4">
        <f t="shared" si="104"/>
        <v>1</v>
      </c>
    </row>
    <row r="911" spans="1:14">
      <c r="A911" s="4">
        <v>57</v>
      </c>
      <c r="B911" s="4" t="s">
        <v>575</v>
      </c>
      <c r="C911" s="4" t="s">
        <v>72</v>
      </c>
      <c r="D911" s="4" t="s">
        <v>71</v>
      </c>
      <c r="E911" s="4" t="str">
        <f t="shared" si="98"/>
        <v>57|U|C</v>
      </c>
      <c r="F911" s="12">
        <v>1</v>
      </c>
      <c r="G911" s="4">
        <f t="shared" si="99"/>
        <v>1</v>
      </c>
      <c r="H911" s="12">
        <v>1</v>
      </c>
      <c r="I911" s="14">
        <f t="shared" si="100"/>
        <v>1</v>
      </c>
      <c r="J911" s="14">
        <f t="shared" si="101"/>
        <v>0.4</v>
      </c>
      <c r="K911" s="4">
        <f t="shared" si="102"/>
        <v>2</v>
      </c>
      <c r="L911" s="4">
        <f t="shared" si="103"/>
        <v>5</v>
      </c>
      <c r="M911" s="4" t="s">
        <v>519</v>
      </c>
      <c r="N911" s="4">
        <f t="shared" si="104"/>
        <v>1</v>
      </c>
    </row>
    <row r="912" spans="1:14">
      <c r="A912" s="4">
        <v>57</v>
      </c>
      <c r="B912" s="4" t="s">
        <v>575</v>
      </c>
      <c r="C912" s="4" t="s">
        <v>72</v>
      </c>
      <c r="D912" s="4" t="s">
        <v>70</v>
      </c>
      <c r="E912" s="4" t="str">
        <f t="shared" si="98"/>
        <v>57|U|G</v>
      </c>
      <c r="F912" s="12">
        <v>0</v>
      </c>
      <c r="G912" s="4">
        <f t="shared" si="99"/>
        <v>1</v>
      </c>
      <c r="H912" s="12">
        <v>1</v>
      </c>
      <c r="I912" s="14">
        <f t="shared" si="100"/>
        <v>0</v>
      </c>
      <c r="J912" s="14">
        <f t="shared" si="101"/>
        <v>0.2</v>
      </c>
      <c r="K912" s="4">
        <f t="shared" si="102"/>
        <v>1</v>
      </c>
      <c r="L912" s="4">
        <f t="shared" si="103"/>
        <v>5</v>
      </c>
      <c r="M912" s="4" t="s">
        <v>519</v>
      </c>
      <c r="N912" s="4">
        <f t="shared" si="104"/>
        <v>1</v>
      </c>
    </row>
    <row r="913" spans="1:14">
      <c r="A913" s="4">
        <v>57</v>
      </c>
      <c r="B913" s="4" t="s">
        <v>575</v>
      </c>
      <c r="C913" s="4" t="s">
        <v>72</v>
      </c>
      <c r="D913" s="4" t="s">
        <v>72</v>
      </c>
      <c r="E913" s="4" t="str">
        <f t="shared" si="98"/>
        <v>57|U|U</v>
      </c>
      <c r="F913" s="12">
        <v>0</v>
      </c>
      <c r="G913" s="4">
        <f t="shared" si="99"/>
        <v>1</v>
      </c>
      <c r="H913" s="12">
        <v>1</v>
      </c>
      <c r="I913" s="14">
        <f t="shared" si="100"/>
        <v>0</v>
      </c>
      <c r="J913" s="14">
        <f t="shared" si="101"/>
        <v>0.2</v>
      </c>
      <c r="K913" s="4">
        <f t="shared" si="102"/>
        <v>1</v>
      </c>
      <c r="L913" s="4">
        <f t="shared" si="103"/>
        <v>5</v>
      </c>
      <c r="M913" s="4" t="s">
        <v>519</v>
      </c>
      <c r="N913" s="4">
        <f t="shared" si="104"/>
        <v>1</v>
      </c>
    </row>
    <row r="914" spans="1:14">
      <c r="A914" s="4">
        <v>58</v>
      </c>
      <c r="B914" s="4" t="s">
        <v>576</v>
      </c>
      <c r="C914" s="4" t="s">
        <v>73</v>
      </c>
      <c r="D914" s="4" t="s">
        <v>73</v>
      </c>
      <c r="E914" s="4" t="str">
        <f t="shared" si="98"/>
        <v>58|A|A</v>
      </c>
      <c r="F914" s="12">
        <v>91</v>
      </c>
      <c r="G914" s="4">
        <f t="shared" si="99"/>
        <v>198</v>
      </c>
      <c r="H914" s="12">
        <v>1</v>
      </c>
      <c r="I914" s="14">
        <f t="shared" si="100"/>
        <v>0.45959595959595961</v>
      </c>
      <c r="J914" s="14">
        <f t="shared" si="101"/>
        <v>0.45544554455445546</v>
      </c>
      <c r="K914" s="4">
        <f t="shared" si="102"/>
        <v>92</v>
      </c>
      <c r="L914" s="4">
        <f t="shared" si="103"/>
        <v>202</v>
      </c>
      <c r="M914" s="4" t="s">
        <v>519</v>
      </c>
      <c r="N914" s="4">
        <f t="shared" si="104"/>
        <v>1</v>
      </c>
    </row>
    <row r="915" spans="1:14">
      <c r="A915" s="4">
        <v>58</v>
      </c>
      <c r="B915" s="4" t="s">
        <v>576</v>
      </c>
      <c r="C915" s="4" t="s">
        <v>73</v>
      </c>
      <c r="D915" s="4" t="s">
        <v>71</v>
      </c>
      <c r="E915" s="4" t="str">
        <f t="shared" si="98"/>
        <v>58|A|C</v>
      </c>
      <c r="F915" s="12">
        <v>10</v>
      </c>
      <c r="G915" s="4">
        <f t="shared" si="99"/>
        <v>198</v>
      </c>
      <c r="H915" s="12">
        <v>1</v>
      </c>
      <c r="I915" s="14">
        <f t="shared" si="100"/>
        <v>5.0505050505050504E-2</v>
      </c>
      <c r="J915" s="14">
        <f t="shared" si="101"/>
        <v>5.4455445544554455E-2</v>
      </c>
      <c r="K915" s="4">
        <f t="shared" si="102"/>
        <v>11</v>
      </c>
      <c r="L915" s="4">
        <f t="shared" si="103"/>
        <v>202</v>
      </c>
      <c r="M915" s="4" t="s">
        <v>519</v>
      </c>
      <c r="N915" s="4">
        <f t="shared" si="104"/>
        <v>1</v>
      </c>
    </row>
    <row r="916" spans="1:14">
      <c r="A916" s="4">
        <v>58</v>
      </c>
      <c r="B916" s="4" t="s">
        <v>576</v>
      </c>
      <c r="C916" s="4" t="s">
        <v>73</v>
      </c>
      <c r="D916" s="4" t="s">
        <v>70</v>
      </c>
      <c r="E916" s="4" t="str">
        <f t="shared" si="98"/>
        <v>58|A|G</v>
      </c>
      <c r="F916" s="12">
        <v>47</v>
      </c>
      <c r="G916" s="4">
        <f t="shared" si="99"/>
        <v>198</v>
      </c>
      <c r="H916" s="12">
        <v>1</v>
      </c>
      <c r="I916" s="14">
        <f t="shared" si="100"/>
        <v>0.23737373737373738</v>
      </c>
      <c r="J916" s="14">
        <f t="shared" si="101"/>
        <v>0.23762376237623761</v>
      </c>
      <c r="K916" s="4">
        <f t="shared" si="102"/>
        <v>48</v>
      </c>
      <c r="L916" s="4">
        <f t="shared" si="103"/>
        <v>202</v>
      </c>
      <c r="M916" s="4" t="s">
        <v>519</v>
      </c>
      <c r="N916" s="4">
        <f t="shared" si="104"/>
        <v>1</v>
      </c>
    </row>
    <row r="917" spans="1:14">
      <c r="A917" s="4">
        <v>58</v>
      </c>
      <c r="B917" s="4" t="s">
        <v>576</v>
      </c>
      <c r="C917" s="4" t="s">
        <v>73</v>
      </c>
      <c r="D917" s="4" t="s">
        <v>72</v>
      </c>
      <c r="E917" s="4" t="str">
        <f t="shared" si="98"/>
        <v>58|A|U</v>
      </c>
      <c r="F917" s="12">
        <v>50</v>
      </c>
      <c r="G917" s="4">
        <f t="shared" si="99"/>
        <v>198</v>
      </c>
      <c r="H917" s="12">
        <v>1</v>
      </c>
      <c r="I917" s="14">
        <f t="shared" si="100"/>
        <v>0.25252525252525254</v>
      </c>
      <c r="J917" s="14">
        <f t="shared" si="101"/>
        <v>0.25247524752475248</v>
      </c>
      <c r="K917" s="4">
        <f t="shared" si="102"/>
        <v>51</v>
      </c>
      <c r="L917" s="4">
        <f t="shared" si="103"/>
        <v>202</v>
      </c>
      <c r="M917" s="4" t="s">
        <v>519</v>
      </c>
      <c r="N917" s="4">
        <f t="shared" si="104"/>
        <v>1</v>
      </c>
    </row>
    <row r="918" spans="1:14">
      <c r="A918" s="4">
        <v>58</v>
      </c>
      <c r="B918" s="4" t="s">
        <v>576</v>
      </c>
      <c r="C918" s="4" t="s">
        <v>71</v>
      </c>
      <c r="D918" s="4" t="s">
        <v>73</v>
      </c>
      <c r="E918" s="4" t="str">
        <f t="shared" si="98"/>
        <v>58|C|A</v>
      </c>
      <c r="F918" s="12">
        <v>0</v>
      </c>
      <c r="G918" s="4">
        <f t="shared" si="99"/>
        <v>1</v>
      </c>
      <c r="H918" s="12">
        <v>1</v>
      </c>
      <c r="I918" s="14">
        <f t="shared" si="100"/>
        <v>0</v>
      </c>
      <c r="J918" s="14">
        <f t="shared" si="101"/>
        <v>0.2</v>
      </c>
      <c r="K918" s="4">
        <f t="shared" si="102"/>
        <v>1</v>
      </c>
      <c r="L918" s="4">
        <f t="shared" si="103"/>
        <v>5</v>
      </c>
      <c r="M918" s="4" t="s">
        <v>519</v>
      </c>
      <c r="N918" s="4">
        <f t="shared" si="104"/>
        <v>1</v>
      </c>
    </row>
    <row r="919" spans="1:14">
      <c r="A919" s="4">
        <v>58</v>
      </c>
      <c r="B919" s="4" t="s">
        <v>576</v>
      </c>
      <c r="C919" s="4" t="s">
        <v>71</v>
      </c>
      <c r="D919" s="4" t="s">
        <v>71</v>
      </c>
      <c r="E919" s="4" t="str">
        <f t="shared" si="98"/>
        <v>58|C|C</v>
      </c>
      <c r="F919" s="12">
        <v>1</v>
      </c>
      <c r="G919" s="4">
        <f t="shared" si="99"/>
        <v>1</v>
      </c>
      <c r="H919" s="12">
        <v>1</v>
      </c>
      <c r="I919" s="14">
        <f t="shared" si="100"/>
        <v>1</v>
      </c>
      <c r="J919" s="14">
        <f t="shared" si="101"/>
        <v>0.4</v>
      </c>
      <c r="K919" s="4">
        <f t="shared" si="102"/>
        <v>2</v>
      </c>
      <c r="L919" s="4">
        <f t="shared" si="103"/>
        <v>5</v>
      </c>
      <c r="M919" s="4" t="s">
        <v>519</v>
      </c>
      <c r="N919" s="4">
        <f t="shared" si="104"/>
        <v>1</v>
      </c>
    </row>
    <row r="920" spans="1:14">
      <c r="A920" s="4">
        <v>58</v>
      </c>
      <c r="B920" s="4" t="s">
        <v>576</v>
      </c>
      <c r="C920" s="4" t="s">
        <v>71</v>
      </c>
      <c r="D920" s="4" t="s">
        <v>70</v>
      </c>
      <c r="E920" s="4" t="str">
        <f t="shared" si="98"/>
        <v>58|C|G</v>
      </c>
      <c r="F920" s="12">
        <v>0</v>
      </c>
      <c r="G920" s="4">
        <f t="shared" si="99"/>
        <v>1</v>
      </c>
      <c r="H920" s="12">
        <v>1</v>
      </c>
      <c r="I920" s="14">
        <f t="shared" si="100"/>
        <v>0</v>
      </c>
      <c r="J920" s="14">
        <f t="shared" si="101"/>
        <v>0.2</v>
      </c>
      <c r="K920" s="4">
        <f t="shared" si="102"/>
        <v>1</v>
      </c>
      <c r="L920" s="4">
        <f t="shared" si="103"/>
        <v>5</v>
      </c>
      <c r="M920" s="4" t="s">
        <v>519</v>
      </c>
      <c r="N920" s="4">
        <f t="shared" si="104"/>
        <v>1</v>
      </c>
    </row>
    <row r="921" spans="1:14">
      <c r="A921" s="4">
        <v>58</v>
      </c>
      <c r="B921" s="4" t="s">
        <v>576</v>
      </c>
      <c r="C921" s="4" t="s">
        <v>71</v>
      </c>
      <c r="D921" s="4" t="s">
        <v>72</v>
      </c>
      <c r="E921" s="4" t="str">
        <f t="shared" si="98"/>
        <v>58|C|U</v>
      </c>
      <c r="F921" s="12">
        <v>0</v>
      </c>
      <c r="G921" s="4">
        <f t="shared" si="99"/>
        <v>1</v>
      </c>
      <c r="H921" s="12">
        <v>1</v>
      </c>
      <c r="I921" s="14">
        <f t="shared" si="100"/>
        <v>0</v>
      </c>
      <c r="J921" s="14">
        <f t="shared" si="101"/>
        <v>0.2</v>
      </c>
      <c r="K921" s="4">
        <f t="shared" si="102"/>
        <v>1</v>
      </c>
      <c r="L921" s="4">
        <f t="shared" si="103"/>
        <v>5</v>
      </c>
      <c r="M921" s="4" t="s">
        <v>519</v>
      </c>
      <c r="N921" s="4">
        <f t="shared" si="104"/>
        <v>1</v>
      </c>
    </row>
    <row r="922" spans="1:14">
      <c r="A922" s="4">
        <v>58</v>
      </c>
      <c r="B922" s="4" t="s">
        <v>576</v>
      </c>
      <c r="C922" s="4" t="s">
        <v>70</v>
      </c>
      <c r="D922" s="4" t="s">
        <v>73</v>
      </c>
      <c r="E922" s="4" t="str">
        <f t="shared" si="98"/>
        <v>58|G|A</v>
      </c>
      <c r="F922" s="12">
        <v>0</v>
      </c>
      <c r="G922" s="4">
        <f t="shared" si="99"/>
        <v>0</v>
      </c>
      <c r="H922" s="12">
        <v>1</v>
      </c>
      <c r="I922" s="14" t="str">
        <f t="shared" si="100"/>
        <v/>
      </c>
      <c r="J922" s="14">
        <f t="shared" si="101"/>
        <v>0.25</v>
      </c>
      <c r="K922" s="4">
        <f t="shared" si="102"/>
        <v>1</v>
      </c>
      <c r="L922" s="4">
        <f t="shared" si="103"/>
        <v>4</v>
      </c>
      <c r="M922" s="4" t="s">
        <v>519</v>
      </c>
      <c r="N922" s="4">
        <f t="shared" si="104"/>
        <v>1</v>
      </c>
    </row>
    <row r="923" spans="1:14">
      <c r="A923" s="4">
        <v>58</v>
      </c>
      <c r="B923" s="4" t="s">
        <v>576</v>
      </c>
      <c r="C923" s="4" t="s">
        <v>70</v>
      </c>
      <c r="D923" s="4" t="s">
        <v>71</v>
      </c>
      <c r="E923" s="4" t="str">
        <f t="shared" si="98"/>
        <v>58|G|C</v>
      </c>
      <c r="F923" s="12">
        <v>0</v>
      </c>
      <c r="G923" s="4">
        <f t="shared" si="99"/>
        <v>0</v>
      </c>
      <c r="H923" s="12">
        <v>1</v>
      </c>
      <c r="I923" s="14" t="str">
        <f t="shared" si="100"/>
        <v/>
      </c>
      <c r="J923" s="14">
        <f t="shared" si="101"/>
        <v>0.25</v>
      </c>
      <c r="K923" s="4">
        <f t="shared" si="102"/>
        <v>1</v>
      </c>
      <c r="L923" s="4">
        <f t="shared" si="103"/>
        <v>4</v>
      </c>
      <c r="M923" s="4" t="s">
        <v>519</v>
      </c>
      <c r="N923" s="4">
        <f t="shared" si="104"/>
        <v>1</v>
      </c>
    </row>
    <row r="924" spans="1:14">
      <c r="A924" s="4">
        <v>58</v>
      </c>
      <c r="B924" s="4" t="s">
        <v>576</v>
      </c>
      <c r="C924" s="4" t="s">
        <v>70</v>
      </c>
      <c r="D924" s="4" t="s">
        <v>70</v>
      </c>
      <c r="E924" s="4" t="str">
        <f t="shared" si="98"/>
        <v>58|G|G</v>
      </c>
      <c r="F924" s="12">
        <v>0</v>
      </c>
      <c r="G924" s="4">
        <f t="shared" si="99"/>
        <v>0</v>
      </c>
      <c r="H924" s="12">
        <v>1</v>
      </c>
      <c r="I924" s="14" t="str">
        <f t="shared" si="100"/>
        <v/>
      </c>
      <c r="J924" s="14">
        <f t="shared" si="101"/>
        <v>0.25</v>
      </c>
      <c r="K924" s="4">
        <f t="shared" si="102"/>
        <v>1</v>
      </c>
      <c r="L924" s="4">
        <f t="shared" si="103"/>
        <v>4</v>
      </c>
      <c r="M924" s="4" t="s">
        <v>519</v>
      </c>
      <c r="N924" s="4">
        <f t="shared" si="104"/>
        <v>1</v>
      </c>
    </row>
    <row r="925" spans="1:14">
      <c r="A925" s="4">
        <v>58</v>
      </c>
      <c r="B925" s="4" t="s">
        <v>576</v>
      </c>
      <c r="C925" s="4" t="s">
        <v>70</v>
      </c>
      <c r="D925" s="4" t="s">
        <v>72</v>
      </c>
      <c r="E925" s="4" t="str">
        <f t="shared" si="98"/>
        <v>58|G|U</v>
      </c>
      <c r="F925" s="12">
        <v>0</v>
      </c>
      <c r="G925" s="4">
        <f t="shared" si="99"/>
        <v>0</v>
      </c>
      <c r="H925" s="12">
        <v>1</v>
      </c>
      <c r="I925" s="14" t="str">
        <f t="shared" si="100"/>
        <v/>
      </c>
      <c r="J925" s="14">
        <f t="shared" si="101"/>
        <v>0.25</v>
      </c>
      <c r="K925" s="4">
        <f t="shared" si="102"/>
        <v>1</v>
      </c>
      <c r="L925" s="4">
        <f t="shared" si="103"/>
        <v>4</v>
      </c>
      <c r="M925" s="4" t="s">
        <v>519</v>
      </c>
      <c r="N925" s="4">
        <f t="shared" si="104"/>
        <v>1</v>
      </c>
    </row>
    <row r="926" spans="1:14">
      <c r="A926" s="4">
        <v>58</v>
      </c>
      <c r="B926" s="4" t="s">
        <v>576</v>
      </c>
      <c r="C926" s="4" t="s">
        <v>72</v>
      </c>
      <c r="D926" s="4" t="s">
        <v>73</v>
      </c>
      <c r="E926" s="4" t="str">
        <f t="shared" si="98"/>
        <v>58|U|A</v>
      </c>
      <c r="F926" s="12">
        <v>0</v>
      </c>
      <c r="G926" s="4">
        <f t="shared" si="99"/>
        <v>1</v>
      </c>
      <c r="H926" s="12">
        <v>1</v>
      </c>
      <c r="I926" s="14">
        <f t="shared" si="100"/>
        <v>0</v>
      </c>
      <c r="J926" s="14">
        <f t="shared" si="101"/>
        <v>0.2</v>
      </c>
      <c r="K926" s="4">
        <f t="shared" si="102"/>
        <v>1</v>
      </c>
      <c r="L926" s="4">
        <f t="shared" si="103"/>
        <v>5</v>
      </c>
      <c r="M926" s="4" t="s">
        <v>519</v>
      </c>
      <c r="N926" s="4">
        <f t="shared" si="104"/>
        <v>1</v>
      </c>
    </row>
    <row r="927" spans="1:14">
      <c r="A927" s="4">
        <v>58</v>
      </c>
      <c r="B927" s="4" t="s">
        <v>576</v>
      </c>
      <c r="C927" s="4" t="s">
        <v>72</v>
      </c>
      <c r="D927" s="4" t="s">
        <v>71</v>
      </c>
      <c r="E927" s="4" t="str">
        <f t="shared" si="98"/>
        <v>58|U|C</v>
      </c>
      <c r="F927" s="12">
        <v>1</v>
      </c>
      <c r="G927" s="4">
        <f t="shared" si="99"/>
        <v>1</v>
      </c>
      <c r="H927" s="12">
        <v>1</v>
      </c>
      <c r="I927" s="14">
        <f t="shared" si="100"/>
        <v>1</v>
      </c>
      <c r="J927" s="14">
        <f t="shared" si="101"/>
        <v>0.4</v>
      </c>
      <c r="K927" s="4">
        <f t="shared" si="102"/>
        <v>2</v>
      </c>
      <c r="L927" s="4">
        <f t="shared" si="103"/>
        <v>5</v>
      </c>
      <c r="M927" s="4" t="s">
        <v>519</v>
      </c>
      <c r="N927" s="4">
        <f t="shared" si="104"/>
        <v>1</v>
      </c>
    </row>
    <row r="928" spans="1:14">
      <c r="A928" s="4">
        <v>58</v>
      </c>
      <c r="B928" s="4" t="s">
        <v>576</v>
      </c>
      <c r="C928" s="4" t="s">
        <v>72</v>
      </c>
      <c r="D928" s="4" t="s">
        <v>70</v>
      </c>
      <c r="E928" s="4" t="str">
        <f t="shared" si="98"/>
        <v>58|U|G</v>
      </c>
      <c r="F928" s="12">
        <v>0</v>
      </c>
      <c r="G928" s="4">
        <f t="shared" si="99"/>
        <v>1</v>
      </c>
      <c r="H928" s="12">
        <v>1</v>
      </c>
      <c r="I928" s="14">
        <f t="shared" si="100"/>
        <v>0</v>
      </c>
      <c r="J928" s="14">
        <f t="shared" si="101"/>
        <v>0.2</v>
      </c>
      <c r="K928" s="4">
        <f t="shared" si="102"/>
        <v>1</v>
      </c>
      <c r="L928" s="4">
        <f t="shared" si="103"/>
        <v>5</v>
      </c>
      <c r="M928" s="4" t="s">
        <v>519</v>
      </c>
      <c r="N928" s="4">
        <f t="shared" si="104"/>
        <v>1</v>
      </c>
    </row>
    <row r="929" spans="1:14">
      <c r="A929" s="4">
        <v>58</v>
      </c>
      <c r="B929" s="4" t="s">
        <v>576</v>
      </c>
      <c r="C929" s="4" t="s">
        <v>72</v>
      </c>
      <c r="D929" s="4" t="s">
        <v>72</v>
      </c>
      <c r="E929" s="4" t="str">
        <f t="shared" si="98"/>
        <v>58|U|U</v>
      </c>
      <c r="F929" s="12">
        <v>0</v>
      </c>
      <c r="G929" s="4">
        <f t="shared" si="99"/>
        <v>1</v>
      </c>
      <c r="H929" s="12">
        <v>1</v>
      </c>
      <c r="I929" s="14">
        <f t="shared" si="100"/>
        <v>0</v>
      </c>
      <c r="J929" s="14">
        <f t="shared" si="101"/>
        <v>0.2</v>
      </c>
      <c r="K929" s="4">
        <f t="shared" si="102"/>
        <v>1</v>
      </c>
      <c r="L929" s="4">
        <f t="shared" si="103"/>
        <v>5</v>
      </c>
      <c r="M929" s="4" t="s">
        <v>519</v>
      </c>
      <c r="N929" s="4">
        <f t="shared" si="104"/>
        <v>1</v>
      </c>
    </row>
    <row r="930" spans="1:14">
      <c r="A930" s="4">
        <v>59</v>
      </c>
      <c r="B930" s="4" t="s">
        <v>577</v>
      </c>
      <c r="C930" s="4" t="s">
        <v>73</v>
      </c>
      <c r="D930" s="4" t="s">
        <v>73</v>
      </c>
      <c r="E930" s="4" t="str">
        <f t="shared" si="98"/>
        <v>59|A|A</v>
      </c>
      <c r="F930" s="12">
        <v>1</v>
      </c>
      <c r="G930" s="4">
        <f t="shared" si="99"/>
        <v>91</v>
      </c>
      <c r="H930" s="12">
        <v>1</v>
      </c>
      <c r="I930" s="14">
        <f t="shared" si="100"/>
        <v>1.098901098901099E-2</v>
      </c>
      <c r="J930" s="14">
        <f t="shared" si="101"/>
        <v>2.1052631578947368E-2</v>
      </c>
      <c r="K930" s="4">
        <f t="shared" si="102"/>
        <v>2</v>
      </c>
      <c r="L930" s="4">
        <f t="shared" si="103"/>
        <v>95</v>
      </c>
      <c r="M930" s="4" t="s">
        <v>519</v>
      </c>
      <c r="N930" s="4">
        <f t="shared" si="104"/>
        <v>1</v>
      </c>
    </row>
    <row r="931" spans="1:14">
      <c r="A931" s="4">
        <v>59</v>
      </c>
      <c r="B931" s="4" t="s">
        <v>577</v>
      </c>
      <c r="C931" s="4" t="s">
        <v>73</v>
      </c>
      <c r="D931" s="4" t="s">
        <v>71</v>
      </c>
      <c r="E931" s="4" t="str">
        <f t="shared" si="98"/>
        <v>59|A|C</v>
      </c>
      <c r="F931" s="12">
        <v>9</v>
      </c>
      <c r="G931" s="4">
        <f t="shared" si="99"/>
        <v>91</v>
      </c>
      <c r="H931" s="12">
        <v>1</v>
      </c>
      <c r="I931" s="14">
        <f t="shared" si="100"/>
        <v>9.8901098901098897E-2</v>
      </c>
      <c r="J931" s="14">
        <f t="shared" si="101"/>
        <v>0.10526315789473684</v>
      </c>
      <c r="K931" s="4">
        <f t="shared" si="102"/>
        <v>10</v>
      </c>
      <c r="L931" s="4">
        <f t="shared" si="103"/>
        <v>95</v>
      </c>
      <c r="M931" s="4" t="s">
        <v>519</v>
      </c>
      <c r="N931" s="4">
        <f t="shared" si="104"/>
        <v>1</v>
      </c>
    </row>
    <row r="932" spans="1:14">
      <c r="A932" s="4">
        <v>59</v>
      </c>
      <c r="B932" s="4" t="s">
        <v>577</v>
      </c>
      <c r="C932" s="4" t="s">
        <v>73</v>
      </c>
      <c r="D932" s="4" t="s">
        <v>70</v>
      </c>
      <c r="E932" s="4" t="str">
        <f t="shared" si="98"/>
        <v>59|A|G</v>
      </c>
      <c r="F932" s="12">
        <v>1</v>
      </c>
      <c r="G932" s="4">
        <f t="shared" si="99"/>
        <v>91</v>
      </c>
      <c r="H932" s="12">
        <v>1</v>
      </c>
      <c r="I932" s="14">
        <f t="shared" si="100"/>
        <v>1.098901098901099E-2</v>
      </c>
      <c r="J932" s="14">
        <f t="shared" si="101"/>
        <v>2.1052631578947368E-2</v>
      </c>
      <c r="K932" s="4">
        <f t="shared" si="102"/>
        <v>2</v>
      </c>
      <c r="L932" s="4">
        <f t="shared" si="103"/>
        <v>95</v>
      </c>
      <c r="M932" s="4" t="s">
        <v>519</v>
      </c>
      <c r="N932" s="4">
        <f t="shared" si="104"/>
        <v>1</v>
      </c>
    </row>
    <row r="933" spans="1:14">
      <c r="A933" s="4">
        <v>59</v>
      </c>
      <c r="B933" s="4" t="s">
        <v>577</v>
      </c>
      <c r="C933" s="4" t="s">
        <v>73</v>
      </c>
      <c r="D933" s="4" t="s">
        <v>72</v>
      </c>
      <c r="E933" s="4" t="str">
        <f t="shared" si="98"/>
        <v>59|A|U</v>
      </c>
      <c r="F933" s="12">
        <v>80</v>
      </c>
      <c r="G933" s="4">
        <f t="shared" si="99"/>
        <v>91</v>
      </c>
      <c r="H933" s="12">
        <v>1</v>
      </c>
      <c r="I933" s="14">
        <f t="shared" si="100"/>
        <v>0.87912087912087911</v>
      </c>
      <c r="J933" s="14">
        <f t="shared" si="101"/>
        <v>0.85263157894736841</v>
      </c>
      <c r="K933" s="4">
        <f t="shared" si="102"/>
        <v>81</v>
      </c>
      <c r="L933" s="4">
        <f t="shared" si="103"/>
        <v>95</v>
      </c>
      <c r="M933" s="4" t="s">
        <v>519</v>
      </c>
      <c r="N933" s="4">
        <f t="shared" si="104"/>
        <v>1</v>
      </c>
    </row>
    <row r="934" spans="1:14">
      <c r="A934" s="4">
        <v>59</v>
      </c>
      <c r="B934" s="4" t="s">
        <v>577</v>
      </c>
      <c r="C934" s="4" t="s">
        <v>71</v>
      </c>
      <c r="D934" s="4" t="s">
        <v>73</v>
      </c>
      <c r="E934" s="4" t="str">
        <f t="shared" si="98"/>
        <v>59|C|A</v>
      </c>
      <c r="F934" s="12">
        <v>0</v>
      </c>
      <c r="G934" s="4">
        <f t="shared" si="99"/>
        <v>12</v>
      </c>
      <c r="H934" s="12">
        <v>1</v>
      </c>
      <c r="I934" s="14">
        <f t="shared" si="100"/>
        <v>0</v>
      </c>
      <c r="J934" s="14">
        <f t="shared" si="101"/>
        <v>6.25E-2</v>
      </c>
      <c r="K934" s="4">
        <f t="shared" si="102"/>
        <v>1</v>
      </c>
      <c r="L934" s="4">
        <f t="shared" si="103"/>
        <v>16</v>
      </c>
      <c r="M934" s="4" t="s">
        <v>519</v>
      </c>
      <c r="N934" s="4">
        <f t="shared" si="104"/>
        <v>1</v>
      </c>
    </row>
    <row r="935" spans="1:14">
      <c r="A935" s="4">
        <v>59</v>
      </c>
      <c r="B935" s="4" t="s">
        <v>577</v>
      </c>
      <c r="C935" s="4" t="s">
        <v>71</v>
      </c>
      <c r="D935" s="4" t="s">
        <v>71</v>
      </c>
      <c r="E935" s="4" t="str">
        <f t="shared" si="98"/>
        <v>59|C|C</v>
      </c>
      <c r="F935" s="12">
        <v>3</v>
      </c>
      <c r="G935" s="4">
        <f t="shared" si="99"/>
        <v>12</v>
      </c>
      <c r="H935" s="12">
        <v>1</v>
      </c>
      <c r="I935" s="14">
        <f t="shared" si="100"/>
        <v>0.25</v>
      </c>
      <c r="J935" s="14">
        <f t="shared" si="101"/>
        <v>0.25</v>
      </c>
      <c r="K935" s="4">
        <f t="shared" si="102"/>
        <v>4</v>
      </c>
      <c r="L935" s="4">
        <f t="shared" si="103"/>
        <v>16</v>
      </c>
      <c r="M935" s="4" t="s">
        <v>519</v>
      </c>
      <c r="N935" s="4">
        <f t="shared" si="104"/>
        <v>1</v>
      </c>
    </row>
    <row r="936" spans="1:14">
      <c r="A936" s="4">
        <v>59</v>
      </c>
      <c r="B936" s="4" t="s">
        <v>577</v>
      </c>
      <c r="C936" s="4" t="s">
        <v>71</v>
      </c>
      <c r="D936" s="4" t="s">
        <v>70</v>
      </c>
      <c r="E936" s="4" t="str">
        <f t="shared" si="98"/>
        <v>59|C|G</v>
      </c>
      <c r="F936" s="12">
        <v>1</v>
      </c>
      <c r="G936" s="4">
        <f t="shared" si="99"/>
        <v>12</v>
      </c>
      <c r="H936" s="12">
        <v>1</v>
      </c>
      <c r="I936" s="14">
        <f t="shared" si="100"/>
        <v>8.3333333333333329E-2</v>
      </c>
      <c r="J936" s="14">
        <f t="shared" si="101"/>
        <v>0.125</v>
      </c>
      <c r="K936" s="4">
        <f t="shared" si="102"/>
        <v>2</v>
      </c>
      <c r="L936" s="4">
        <f t="shared" si="103"/>
        <v>16</v>
      </c>
      <c r="M936" s="4" t="s">
        <v>519</v>
      </c>
      <c r="N936" s="4">
        <f t="shared" si="104"/>
        <v>1</v>
      </c>
    </row>
    <row r="937" spans="1:14">
      <c r="A937" s="4">
        <v>59</v>
      </c>
      <c r="B937" s="4" t="s">
        <v>577</v>
      </c>
      <c r="C937" s="4" t="s">
        <v>71</v>
      </c>
      <c r="D937" s="4" t="s">
        <v>72</v>
      </c>
      <c r="E937" s="4" t="str">
        <f t="shared" si="98"/>
        <v>59|C|U</v>
      </c>
      <c r="F937" s="12">
        <v>8</v>
      </c>
      <c r="G937" s="4">
        <f t="shared" si="99"/>
        <v>12</v>
      </c>
      <c r="H937" s="12">
        <v>1</v>
      </c>
      <c r="I937" s="14">
        <f t="shared" si="100"/>
        <v>0.66666666666666663</v>
      </c>
      <c r="J937" s="14">
        <f t="shared" si="101"/>
        <v>0.5625</v>
      </c>
      <c r="K937" s="4">
        <f t="shared" si="102"/>
        <v>9</v>
      </c>
      <c r="L937" s="4">
        <f t="shared" si="103"/>
        <v>16</v>
      </c>
      <c r="M937" s="4" t="s">
        <v>519</v>
      </c>
      <c r="N937" s="4">
        <f t="shared" si="104"/>
        <v>1</v>
      </c>
    </row>
    <row r="938" spans="1:14">
      <c r="A938" s="4">
        <v>59</v>
      </c>
      <c r="B938" s="4" t="s">
        <v>577</v>
      </c>
      <c r="C938" s="4" t="s">
        <v>70</v>
      </c>
      <c r="D938" s="4" t="s">
        <v>73</v>
      </c>
      <c r="E938" s="4" t="str">
        <f t="shared" si="98"/>
        <v>59|G|A</v>
      </c>
      <c r="F938" s="12">
        <v>0</v>
      </c>
      <c r="G938" s="4">
        <f t="shared" si="99"/>
        <v>47</v>
      </c>
      <c r="H938" s="12">
        <v>1</v>
      </c>
      <c r="I938" s="14">
        <f t="shared" si="100"/>
        <v>0</v>
      </c>
      <c r="J938" s="14">
        <f t="shared" si="101"/>
        <v>1.9607843137254902E-2</v>
      </c>
      <c r="K938" s="4">
        <f t="shared" si="102"/>
        <v>1</v>
      </c>
      <c r="L938" s="4">
        <f t="shared" si="103"/>
        <v>51</v>
      </c>
      <c r="M938" s="4" t="s">
        <v>519</v>
      </c>
      <c r="N938" s="4">
        <f t="shared" si="104"/>
        <v>1</v>
      </c>
    </row>
    <row r="939" spans="1:14">
      <c r="A939" s="4">
        <v>59</v>
      </c>
      <c r="B939" s="4" t="s">
        <v>577</v>
      </c>
      <c r="C939" s="4" t="s">
        <v>70</v>
      </c>
      <c r="D939" s="4" t="s">
        <v>71</v>
      </c>
      <c r="E939" s="4" t="str">
        <f t="shared" si="98"/>
        <v>59|G|C</v>
      </c>
      <c r="F939" s="12">
        <v>6</v>
      </c>
      <c r="G939" s="4">
        <f t="shared" si="99"/>
        <v>47</v>
      </c>
      <c r="H939" s="12">
        <v>1</v>
      </c>
      <c r="I939" s="14">
        <f t="shared" si="100"/>
        <v>0.1276595744680851</v>
      </c>
      <c r="J939" s="14">
        <f t="shared" si="101"/>
        <v>0.13725490196078433</v>
      </c>
      <c r="K939" s="4">
        <f t="shared" si="102"/>
        <v>7</v>
      </c>
      <c r="L939" s="4">
        <f t="shared" si="103"/>
        <v>51</v>
      </c>
      <c r="M939" s="4" t="s">
        <v>519</v>
      </c>
      <c r="N939" s="4">
        <f t="shared" si="104"/>
        <v>1</v>
      </c>
    </row>
    <row r="940" spans="1:14">
      <c r="A940" s="4">
        <v>59</v>
      </c>
      <c r="B940" s="4" t="s">
        <v>577</v>
      </c>
      <c r="C940" s="4" t="s">
        <v>70</v>
      </c>
      <c r="D940" s="4" t="s">
        <v>70</v>
      </c>
      <c r="E940" s="4" t="str">
        <f t="shared" si="98"/>
        <v>59|G|G</v>
      </c>
      <c r="F940" s="12">
        <v>0</v>
      </c>
      <c r="G940" s="4">
        <f t="shared" si="99"/>
        <v>47</v>
      </c>
      <c r="H940" s="12">
        <v>1</v>
      </c>
      <c r="I940" s="14">
        <f t="shared" si="100"/>
        <v>0</v>
      </c>
      <c r="J940" s="14">
        <f t="shared" si="101"/>
        <v>1.9607843137254902E-2</v>
      </c>
      <c r="K940" s="4">
        <f t="shared" si="102"/>
        <v>1</v>
      </c>
      <c r="L940" s="4">
        <f t="shared" si="103"/>
        <v>51</v>
      </c>
      <c r="M940" s="4" t="s">
        <v>519</v>
      </c>
      <c r="N940" s="4">
        <f t="shared" si="104"/>
        <v>1</v>
      </c>
    </row>
    <row r="941" spans="1:14">
      <c r="A941" s="4">
        <v>59</v>
      </c>
      <c r="B941" s="4" t="s">
        <v>577</v>
      </c>
      <c r="C941" s="4" t="s">
        <v>70</v>
      </c>
      <c r="D941" s="4" t="s">
        <v>72</v>
      </c>
      <c r="E941" s="4" t="str">
        <f t="shared" si="98"/>
        <v>59|G|U</v>
      </c>
      <c r="F941" s="12">
        <v>41</v>
      </c>
      <c r="G941" s="4">
        <f t="shared" si="99"/>
        <v>47</v>
      </c>
      <c r="H941" s="12">
        <v>1</v>
      </c>
      <c r="I941" s="14">
        <f t="shared" si="100"/>
        <v>0.87234042553191493</v>
      </c>
      <c r="J941" s="14">
        <f t="shared" si="101"/>
        <v>0.82352941176470584</v>
      </c>
      <c r="K941" s="4">
        <f t="shared" si="102"/>
        <v>42</v>
      </c>
      <c r="L941" s="4">
        <f t="shared" si="103"/>
        <v>51</v>
      </c>
      <c r="M941" s="4" t="s">
        <v>519</v>
      </c>
      <c r="N941" s="4">
        <f t="shared" si="104"/>
        <v>1</v>
      </c>
    </row>
    <row r="942" spans="1:14">
      <c r="A942" s="4">
        <v>59</v>
      </c>
      <c r="B942" s="4" t="s">
        <v>577</v>
      </c>
      <c r="C942" s="4" t="s">
        <v>72</v>
      </c>
      <c r="D942" s="4" t="s">
        <v>73</v>
      </c>
      <c r="E942" s="4" t="str">
        <f t="shared" si="98"/>
        <v>59|U|A</v>
      </c>
      <c r="F942" s="12">
        <v>0</v>
      </c>
      <c r="G942" s="4">
        <f t="shared" si="99"/>
        <v>50</v>
      </c>
      <c r="H942" s="12">
        <v>1</v>
      </c>
      <c r="I942" s="14">
        <f t="shared" si="100"/>
        <v>0</v>
      </c>
      <c r="J942" s="14">
        <f t="shared" si="101"/>
        <v>1.8518518518518517E-2</v>
      </c>
      <c r="K942" s="4">
        <f t="shared" si="102"/>
        <v>1</v>
      </c>
      <c r="L942" s="4">
        <f t="shared" si="103"/>
        <v>54</v>
      </c>
      <c r="M942" s="4" t="s">
        <v>519</v>
      </c>
      <c r="N942" s="4">
        <f t="shared" si="104"/>
        <v>1</v>
      </c>
    </row>
    <row r="943" spans="1:14">
      <c r="A943" s="4">
        <v>59</v>
      </c>
      <c r="B943" s="4" t="s">
        <v>577</v>
      </c>
      <c r="C943" s="4" t="s">
        <v>72</v>
      </c>
      <c r="D943" s="4" t="s">
        <v>71</v>
      </c>
      <c r="E943" s="4" t="str">
        <f t="shared" si="98"/>
        <v>59|U|C</v>
      </c>
      <c r="F943" s="12">
        <v>22</v>
      </c>
      <c r="G943" s="4">
        <f t="shared" si="99"/>
        <v>50</v>
      </c>
      <c r="H943" s="12">
        <v>1</v>
      </c>
      <c r="I943" s="14">
        <f t="shared" si="100"/>
        <v>0.44</v>
      </c>
      <c r="J943" s="14">
        <f t="shared" si="101"/>
        <v>0.42592592592592593</v>
      </c>
      <c r="K943" s="4">
        <f t="shared" si="102"/>
        <v>23</v>
      </c>
      <c r="L943" s="4">
        <f t="shared" si="103"/>
        <v>54</v>
      </c>
      <c r="M943" s="4" t="s">
        <v>519</v>
      </c>
      <c r="N943" s="4">
        <f t="shared" si="104"/>
        <v>1</v>
      </c>
    </row>
    <row r="944" spans="1:14">
      <c r="A944" s="4">
        <v>59</v>
      </c>
      <c r="B944" s="4" t="s">
        <v>577</v>
      </c>
      <c r="C944" s="4" t="s">
        <v>72</v>
      </c>
      <c r="D944" s="4" t="s">
        <v>70</v>
      </c>
      <c r="E944" s="4" t="str">
        <f t="shared" si="98"/>
        <v>59|U|G</v>
      </c>
      <c r="F944" s="12">
        <v>0</v>
      </c>
      <c r="G944" s="4">
        <f t="shared" si="99"/>
        <v>50</v>
      </c>
      <c r="H944" s="12">
        <v>1</v>
      </c>
      <c r="I944" s="14">
        <f t="shared" si="100"/>
        <v>0</v>
      </c>
      <c r="J944" s="14">
        <f t="shared" si="101"/>
        <v>1.8518518518518517E-2</v>
      </c>
      <c r="K944" s="4">
        <f t="shared" si="102"/>
        <v>1</v>
      </c>
      <c r="L944" s="4">
        <f t="shared" si="103"/>
        <v>54</v>
      </c>
      <c r="M944" s="4" t="s">
        <v>519</v>
      </c>
      <c r="N944" s="4">
        <f t="shared" si="104"/>
        <v>1</v>
      </c>
    </row>
    <row r="945" spans="1:14">
      <c r="A945" s="4">
        <v>59</v>
      </c>
      <c r="B945" s="4" t="s">
        <v>577</v>
      </c>
      <c r="C945" s="4" t="s">
        <v>72</v>
      </c>
      <c r="D945" s="4" t="s">
        <v>72</v>
      </c>
      <c r="E945" s="4" t="str">
        <f t="shared" si="98"/>
        <v>59|U|U</v>
      </c>
      <c r="F945" s="12">
        <v>28</v>
      </c>
      <c r="G945" s="4">
        <f t="shared" si="99"/>
        <v>50</v>
      </c>
      <c r="H945" s="12">
        <v>1</v>
      </c>
      <c r="I945" s="14">
        <f t="shared" si="100"/>
        <v>0.56000000000000005</v>
      </c>
      <c r="J945" s="14">
        <f t="shared" si="101"/>
        <v>0.53703703703703709</v>
      </c>
      <c r="K945" s="4">
        <f t="shared" si="102"/>
        <v>29</v>
      </c>
      <c r="L945" s="4">
        <f t="shared" si="103"/>
        <v>54</v>
      </c>
      <c r="M945" s="4" t="s">
        <v>519</v>
      </c>
      <c r="N945" s="4">
        <f t="shared" si="104"/>
        <v>1</v>
      </c>
    </row>
    <row r="946" spans="1:14">
      <c r="A946" s="4">
        <v>60</v>
      </c>
      <c r="B946" s="4" t="s">
        <v>578</v>
      </c>
      <c r="C946" s="4" t="s">
        <v>73</v>
      </c>
      <c r="D946" s="4" t="s">
        <v>73</v>
      </c>
      <c r="E946" s="4" t="str">
        <f t="shared" si="98"/>
        <v>60|A|A</v>
      </c>
      <c r="F946" s="12">
        <v>0</v>
      </c>
      <c r="G946" s="4">
        <f t="shared" si="99"/>
        <v>1</v>
      </c>
      <c r="H946" s="12">
        <v>1</v>
      </c>
      <c r="I946" s="14">
        <f t="shared" si="100"/>
        <v>0</v>
      </c>
      <c r="J946" s="14">
        <f t="shared" si="101"/>
        <v>0.2</v>
      </c>
      <c r="K946" s="4">
        <f t="shared" si="102"/>
        <v>1</v>
      </c>
      <c r="L946" s="4">
        <f t="shared" si="103"/>
        <v>5</v>
      </c>
      <c r="M946" s="4" t="s">
        <v>519</v>
      </c>
      <c r="N946" s="4">
        <f t="shared" si="104"/>
        <v>1</v>
      </c>
    </row>
    <row r="947" spans="1:14">
      <c r="A947" s="4">
        <v>60</v>
      </c>
      <c r="B947" s="4" t="s">
        <v>578</v>
      </c>
      <c r="C947" s="4" t="s">
        <v>73</v>
      </c>
      <c r="D947" s="4" t="s">
        <v>71</v>
      </c>
      <c r="E947" s="4" t="str">
        <f t="shared" si="98"/>
        <v>60|A|C</v>
      </c>
      <c r="F947" s="12">
        <v>1</v>
      </c>
      <c r="G947" s="4">
        <f t="shared" si="99"/>
        <v>1</v>
      </c>
      <c r="H947" s="12">
        <v>1</v>
      </c>
      <c r="I947" s="14">
        <f t="shared" si="100"/>
        <v>1</v>
      </c>
      <c r="J947" s="14">
        <f t="shared" si="101"/>
        <v>0.4</v>
      </c>
      <c r="K947" s="4">
        <f t="shared" si="102"/>
        <v>2</v>
      </c>
      <c r="L947" s="4">
        <f t="shared" si="103"/>
        <v>5</v>
      </c>
      <c r="M947" s="4" t="s">
        <v>519</v>
      </c>
      <c r="N947" s="4">
        <f t="shared" si="104"/>
        <v>1</v>
      </c>
    </row>
    <row r="948" spans="1:14">
      <c r="A948" s="4">
        <v>60</v>
      </c>
      <c r="B948" s="4" t="s">
        <v>578</v>
      </c>
      <c r="C948" s="4" t="s">
        <v>73</v>
      </c>
      <c r="D948" s="4" t="s">
        <v>70</v>
      </c>
      <c r="E948" s="4" t="str">
        <f t="shared" si="98"/>
        <v>60|A|G</v>
      </c>
      <c r="F948" s="12">
        <v>0</v>
      </c>
      <c r="G948" s="4">
        <f t="shared" si="99"/>
        <v>1</v>
      </c>
      <c r="H948" s="12">
        <v>1</v>
      </c>
      <c r="I948" s="14">
        <f t="shared" si="100"/>
        <v>0</v>
      </c>
      <c r="J948" s="14">
        <f t="shared" si="101"/>
        <v>0.2</v>
      </c>
      <c r="K948" s="4">
        <f t="shared" si="102"/>
        <v>1</v>
      </c>
      <c r="L948" s="4">
        <f t="shared" si="103"/>
        <v>5</v>
      </c>
      <c r="M948" s="4" t="s">
        <v>519</v>
      </c>
      <c r="N948" s="4">
        <f t="shared" si="104"/>
        <v>1</v>
      </c>
    </row>
    <row r="949" spans="1:14">
      <c r="A949" s="4">
        <v>60</v>
      </c>
      <c r="B949" s="4" t="s">
        <v>578</v>
      </c>
      <c r="C949" s="4" t="s">
        <v>73</v>
      </c>
      <c r="D949" s="4" t="s">
        <v>72</v>
      </c>
      <c r="E949" s="4" t="str">
        <f t="shared" si="98"/>
        <v>60|A|U</v>
      </c>
      <c r="F949" s="12">
        <v>0</v>
      </c>
      <c r="G949" s="4">
        <f t="shared" si="99"/>
        <v>1</v>
      </c>
      <c r="H949" s="12">
        <v>1</v>
      </c>
      <c r="I949" s="14">
        <f t="shared" si="100"/>
        <v>0</v>
      </c>
      <c r="J949" s="14">
        <f t="shared" si="101"/>
        <v>0.2</v>
      </c>
      <c r="K949" s="4">
        <f t="shared" si="102"/>
        <v>1</v>
      </c>
      <c r="L949" s="4">
        <f t="shared" si="103"/>
        <v>5</v>
      </c>
      <c r="M949" s="4" t="s">
        <v>519</v>
      </c>
      <c r="N949" s="4">
        <f t="shared" si="104"/>
        <v>1</v>
      </c>
    </row>
    <row r="950" spans="1:14">
      <c r="A950" s="4">
        <v>60</v>
      </c>
      <c r="B950" s="4" t="s">
        <v>578</v>
      </c>
      <c r="C950" s="4" t="s">
        <v>71</v>
      </c>
      <c r="D950" s="4" t="s">
        <v>73</v>
      </c>
      <c r="E950" s="4" t="str">
        <f t="shared" si="98"/>
        <v>60|C|A</v>
      </c>
      <c r="F950" s="12">
        <v>0</v>
      </c>
      <c r="G950" s="4">
        <f t="shared" si="99"/>
        <v>40</v>
      </c>
      <c r="H950" s="12">
        <v>1</v>
      </c>
      <c r="I950" s="14">
        <f t="shared" si="100"/>
        <v>0</v>
      </c>
      <c r="J950" s="14">
        <f t="shared" si="101"/>
        <v>2.2727272727272728E-2</v>
      </c>
      <c r="K950" s="4">
        <f t="shared" si="102"/>
        <v>1</v>
      </c>
      <c r="L950" s="4">
        <f t="shared" si="103"/>
        <v>44</v>
      </c>
      <c r="M950" s="4" t="s">
        <v>519</v>
      </c>
      <c r="N950" s="4">
        <f t="shared" si="104"/>
        <v>1</v>
      </c>
    </row>
    <row r="951" spans="1:14">
      <c r="A951" s="4">
        <v>60</v>
      </c>
      <c r="B951" s="4" t="s">
        <v>578</v>
      </c>
      <c r="C951" s="4" t="s">
        <v>71</v>
      </c>
      <c r="D951" s="4" t="s">
        <v>71</v>
      </c>
      <c r="E951" s="4" t="str">
        <f t="shared" si="98"/>
        <v>60|C|C</v>
      </c>
      <c r="F951" s="12">
        <v>40</v>
      </c>
      <c r="G951" s="4">
        <f t="shared" si="99"/>
        <v>40</v>
      </c>
      <c r="H951" s="12">
        <v>1</v>
      </c>
      <c r="I951" s="14">
        <f t="shared" si="100"/>
        <v>1</v>
      </c>
      <c r="J951" s="14">
        <f t="shared" si="101"/>
        <v>0.93181818181818177</v>
      </c>
      <c r="K951" s="4">
        <f t="shared" si="102"/>
        <v>41</v>
      </c>
      <c r="L951" s="4">
        <f t="shared" si="103"/>
        <v>44</v>
      </c>
      <c r="M951" s="4" t="s">
        <v>519</v>
      </c>
      <c r="N951" s="4">
        <f t="shared" si="104"/>
        <v>1</v>
      </c>
    </row>
    <row r="952" spans="1:14">
      <c r="A952" s="4">
        <v>60</v>
      </c>
      <c r="B952" s="4" t="s">
        <v>578</v>
      </c>
      <c r="C952" s="4" t="s">
        <v>71</v>
      </c>
      <c r="D952" s="4" t="s">
        <v>70</v>
      </c>
      <c r="E952" s="4" t="str">
        <f t="shared" si="98"/>
        <v>60|C|G</v>
      </c>
      <c r="F952" s="12">
        <v>0</v>
      </c>
      <c r="G952" s="4">
        <f t="shared" si="99"/>
        <v>40</v>
      </c>
      <c r="H952" s="12">
        <v>1</v>
      </c>
      <c r="I952" s="14">
        <f t="shared" si="100"/>
        <v>0</v>
      </c>
      <c r="J952" s="14">
        <f t="shared" si="101"/>
        <v>2.2727272727272728E-2</v>
      </c>
      <c r="K952" s="4">
        <f t="shared" si="102"/>
        <v>1</v>
      </c>
      <c r="L952" s="4">
        <f t="shared" si="103"/>
        <v>44</v>
      </c>
      <c r="M952" s="4" t="s">
        <v>519</v>
      </c>
      <c r="N952" s="4">
        <f t="shared" si="104"/>
        <v>1</v>
      </c>
    </row>
    <row r="953" spans="1:14">
      <c r="A953" s="4">
        <v>60</v>
      </c>
      <c r="B953" s="4" t="s">
        <v>578</v>
      </c>
      <c r="C953" s="4" t="s">
        <v>71</v>
      </c>
      <c r="D953" s="4" t="s">
        <v>72</v>
      </c>
      <c r="E953" s="4" t="str">
        <f t="shared" si="98"/>
        <v>60|C|U</v>
      </c>
      <c r="F953" s="12">
        <v>0</v>
      </c>
      <c r="G953" s="4">
        <f t="shared" si="99"/>
        <v>40</v>
      </c>
      <c r="H953" s="12">
        <v>1</v>
      </c>
      <c r="I953" s="14">
        <f t="shared" si="100"/>
        <v>0</v>
      </c>
      <c r="J953" s="14">
        <f t="shared" si="101"/>
        <v>2.2727272727272728E-2</v>
      </c>
      <c r="K953" s="4">
        <f t="shared" si="102"/>
        <v>1</v>
      </c>
      <c r="L953" s="4">
        <f t="shared" si="103"/>
        <v>44</v>
      </c>
      <c r="M953" s="4" t="s">
        <v>519</v>
      </c>
      <c r="N953" s="4">
        <f t="shared" si="104"/>
        <v>1</v>
      </c>
    </row>
    <row r="954" spans="1:14">
      <c r="A954" s="4">
        <v>60</v>
      </c>
      <c r="B954" s="4" t="s">
        <v>578</v>
      </c>
      <c r="C954" s="4" t="s">
        <v>70</v>
      </c>
      <c r="D954" s="4" t="s">
        <v>73</v>
      </c>
      <c r="E954" s="4" t="str">
        <f t="shared" si="98"/>
        <v>60|G|A</v>
      </c>
      <c r="F954" s="12">
        <v>0</v>
      </c>
      <c r="G954" s="4">
        <f t="shared" si="99"/>
        <v>2</v>
      </c>
      <c r="H954" s="12">
        <v>1</v>
      </c>
      <c r="I954" s="14">
        <f t="shared" si="100"/>
        <v>0</v>
      </c>
      <c r="J954" s="14">
        <f t="shared" si="101"/>
        <v>0.16666666666666666</v>
      </c>
      <c r="K954" s="4">
        <f t="shared" si="102"/>
        <v>1</v>
      </c>
      <c r="L954" s="4">
        <f t="shared" si="103"/>
        <v>6</v>
      </c>
      <c r="M954" s="4" t="s">
        <v>519</v>
      </c>
      <c r="N954" s="4">
        <f t="shared" si="104"/>
        <v>1</v>
      </c>
    </row>
    <row r="955" spans="1:14">
      <c r="A955" s="4">
        <v>60</v>
      </c>
      <c r="B955" s="4" t="s">
        <v>578</v>
      </c>
      <c r="C955" s="4" t="s">
        <v>70</v>
      </c>
      <c r="D955" s="4" t="s">
        <v>71</v>
      </c>
      <c r="E955" s="4" t="str">
        <f t="shared" si="98"/>
        <v>60|G|C</v>
      </c>
      <c r="F955" s="12">
        <v>1</v>
      </c>
      <c r="G955" s="4">
        <f t="shared" si="99"/>
        <v>2</v>
      </c>
      <c r="H955" s="12">
        <v>1</v>
      </c>
      <c r="I955" s="14">
        <f t="shared" si="100"/>
        <v>0.5</v>
      </c>
      <c r="J955" s="14">
        <f t="shared" si="101"/>
        <v>0.33333333333333331</v>
      </c>
      <c r="K955" s="4">
        <f t="shared" si="102"/>
        <v>2</v>
      </c>
      <c r="L955" s="4">
        <f t="shared" si="103"/>
        <v>6</v>
      </c>
      <c r="M955" s="4" t="s">
        <v>519</v>
      </c>
      <c r="N955" s="4">
        <f t="shared" si="104"/>
        <v>1</v>
      </c>
    </row>
    <row r="956" spans="1:14">
      <c r="A956" s="4">
        <v>60</v>
      </c>
      <c r="B956" s="4" t="s">
        <v>578</v>
      </c>
      <c r="C956" s="4" t="s">
        <v>70</v>
      </c>
      <c r="D956" s="4" t="s">
        <v>70</v>
      </c>
      <c r="E956" s="4" t="str">
        <f t="shared" si="98"/>
        <v>60|G|G</v>
      </c>
      <c r="F956" s="12">
        <v>1</v>
      </c>
      <c r="G956" s="4">
        <f t="shared" si="99"/>
        <v>2</v>
      </c>
      <c r="H956" s="12">
        <v>1</v>
      </c>
      <c r="I956" s="14">
        <f t="shared" si="100"/>
        <v>0.5</v>
      </c>
      <c r="J956" s="14">
        <f t="shared" si="101"/>
        <v>0.33333333333333331</v>
      </c>
      <c r="K956" s="4">
        <f t="shared" si="102"/>
        <v>2</v>
      </c>
      <c r="L956" s="4">
        <f t="shared" si="103"/>
        <v>6</v>
      </c>
      <c r="M956" s="4" t="s">
        <v>519</v>
      </c>
      <c r="N956" s="4">
        <f t="shared" si="104"/>
        <v>1</v>
      </c>
    </row>
    <row r="957" spans="1:14">
      <c r="A957" s="4">
        <v>60</v>
      </c>
      <c r="B957" s="4" t="s">
        <v>578</v>
      </c>
      <c r="C957" s="4" t="s">
        <v>70</v>
      </c>
      <c r="D957" s="4" t="s">
        <v>72</v>
      </c>
      <c r="E957" s="4" t="str">
        <f t="shared" si="98"/>
        <v>60|G|U</v>
      </c>
      <c r="F957" s="12">
        <v>0</v>
      </c>
      <c r="G957" s="4">
        <f t="shared" si="99"/>
        <v>2</v>
      </c>
      <c r="H957" s="12">
        <v>1</v>
      </c>
      <c r="I957" s="14">
        <f t="shared" si="100"/>
        <v>0</v>
      </c>
      <c r="J957" s="14">
        <f t="shared" si="101"/>
        <v>0.16666666666666666</v>
      </c>
      <c r="K957" s="4">
        <f t="shared" si="102"/>
        <v>1</v>
      </c>
      <c r="L957" s="4">
        <f t="shared" si="103"/>
        <v>6</v>
      </c>
      <c r="M957" s="4" t="s">
        <v>519</v>
      </c>
      <c r="N957" s="4">
        <f t="shared" si="104"/>
        <v>1</v>
      </c>
    </row>
    <row r="958" spans="1:14">
      <c r="A958" s="4">
        <v>60</v>
      </c>
      <c r="B958" s="4" t="s">
        <v>578</v>
      </c>
      <c r="C958" s="4" t="s">
        <v>72</v>
      </c>
      <c r="D958" s="4" t="s">
        <v>73</v>
      </c>
      <c r="E958" s="4" t="str">
        <f t="shared" si="98"/>
        <v>60|U|A</v>
      </c>
      <c r="F958" s="12">
        <v>0</v>
      </c>
      <c r="G958" s="4">
        <f t="shared" si="99"/>
        <v>157</v>
      </c>
      <c r="H958" s="12">
        <v>1</v>
      </c>
      <c r="I958" s="14">
        <f t="shared" si="100"/>
        <v>0</v>
      </c>
      <c r="J958" s="14">
        <f t="shared" si="101"/>
        <v>6.2111801242236021E-3</v>
      </c>
      <c r="K958" s="4">
        <f t="shared" si="102"/>
        <v>1</v>
      </c>
      <c r="L958" s="4">
        <f t="shared" si="103"/>
        <v>161</v>
      </c>
      <c r="M958" s="4" t="s">
        <v>519</v>
      </c>
      <c r="N958" s="4">
        <f t="shared" si="104"/>
        <v>1</v>
      </c>
    </row>
    <row r="959" spans="1:14">
      <c r="A959" s="4">
        <v>60</v>
      </c>
      <c r="B959" s="4" t="s">
        <v>578</v>
      </c>
      <c r="C959" s="4" t="s">
        <v>72</v>
      </c>
      <c r="D959" s="4" t="s">
        <v>71</v>
      </c>
      <c r="E959" s="4" t="str">
        <f t="shared" si="98"/>
        <v>60|U|C</v>
      </c>
      <c r="F959" s="12">
        <v>156</v>
      </c>
      <c r="G959" s="4">
        <f t="shared" si="99"/>
        <v>157</v>
      </c>
      <c r="H959" s="12">
        <v>1</v>
      </c>
      <c r="I959" s="14">
        <f t="shared" si="100"/>
        <v>0.99363057324840764</v>
      </c>
      <c r="J959" s="14">
        <f t="shared" si="101"/>
        <v>0.97515527950310554</v>
      </c>
      <c r="K959" s="4">
        <f t="shared" si="102"/>
        <v>157</v>
      </c>
      <c r="L959" s="4">
        <f t="shared" si="103"/>
        <v>161</v>
      </c>
      <c r="M959" s="4" t="s">
        <v>519</v>
      </c>
      <c r="N959" s="4">
        <f t="shared" si="104"/>
        <v>1</v>
      </c>
    </row>
    <row r="960" spans="1:14">
      <c r="A960" s="4">
        <v>60</v>
      </c>
      <c r="B960" s="4" t="s">
        <v>578</v>
      </c>
      <c r="C960" s="4" t="s">
        <v>72</v>
      </c>
      <c r="D960" s="4" t="s">
        <v>70</v>
      </c>
      <c r="E960" s="4" t="str">
        <f t="shared" si="98"/>
        <v>60|U|G</v>
      </c>
      <c r="F960" s="12">
        <v>0</v>
      </c>
      <c r="G960" s="4">
        <f t="shared" si="99"/>
        <v>157</v>
      </c>
      <c r="H960" s="12">
        <v>1</v>
      </c>
      <c r="I960" s="14">
        <f t="shared" si="100"/>
        <v>0</v>
      </c>
      <c r="J960" s="14">
        <f t="shared" si="101"/>
        <v>6.2111801242236021E-3</v>
      </c>
      <c r="K960" s="4">
        <f t="shared" si="102"/>
        <v>1</v>
      </c>
      <c r="L960" s="4">
        <f t="shared" si="103"/>
        <v>161</v>
      </c>
      <c r="M960" s="4" t="s">
        <v>519</v>
      </c>
      <c r="N960" s="4">
        <f t="shared" si="104"/>
        <v>1</v>
      </c>
    </row>
    <row r="961" spans="1:14">
      <c r="A961" s="4">
        <v>60</v>
      </c>
      <c r="B961" s="4" t="s">
        <v>578</v>
      </c>
      <c r="C961" s="4" t="s">
        <v>72</v>
      </c>
      <c r="D961" s="4" t="s">
        <v>72</v>
      </c>
      <c r="E961" s="4" t="str">
        <f t="shared" si="98"/>
        <v>60|U|U</v>
      </c>
      <c r="F961" s="12">
        <v>1</v>
      </c>
      <c r="G961" s="4">
        <f t="shared" si="99"/>
        <v>157</v>
      </c>
      <c r="H961" s="12">
        <v>1</v>
      </c>
      <c r="I961" s="14">
        <f t="shared" si="100"/>
        <v>6.369426751592357E-3</v>
      </c>
      <c r="J961" s="14">
        <f t="shared" si="101"/>
        <v>1.2422360248447204E-2</v>
      </c>
      <c r="K961" s="4">
        <f t="shared" si="102"/>
        <v>2</v>
      </c>
      <c r="L961" s="4">
        <f t="shared" si="103"/>
        <v>161</v>
      </c>
      <c r="M961" s="4" t="s">
        <v>519</v>
      </c>
      <c r="N961" s="4">
        <f t="shared" si="104"/>
        <v>1</v>
      </c>
    </row>
    <row r="962" spans="1:14">
      <c r="A962" s="4">
        <v>61</v>
      </c>
      <c r="B962" s="4" t="s">
        <v>579</v>
      </c>
      <c r="C962" s="4" t="s">
        <v>73</v>
      </c>
      <c r="D962" s="4" t="s">
        <v>73</v>
      </c>
      <c r="E962" s="4" t="str">
        <f t="shared" ref="E962:E1025" si="105">A962&amp;"|"&amp;C962&amp;"|"&amp;D962</f>
        <v>61|A|A</v>
      </c>
      <c r="F962" s="12">
        <v>0</v>
      </c>
      <c r="G962" s="4">
        <f t="shared" ref="G962:G1025" si="106">SUMIFS($F$2:$F$1137,$A$2:$A$1137,A962,$C$2:$C$1137,C962)</f>
        <v>0</v>
      </c>
      <c r="H962" s="12">
        <v>1</v>
      </c>
      <c r="I962" s="14" t="str">
        <f t="shared" ref="I962:I1025" si="107">IF(G962=0,"",F962/G962)</f>
        <v/>
      </c>
      <c r="J962" s="14">
        <f t="shared" ref="J962:J1025" si="108">K962/L962</f>
        <v>0.25</v>
      </c>
      <c r="K962" s="4">
        <f t="shared" ref="K962:K1025" si="109">F962+H962</f>
        <v>1</v>
      </c>
      <c r="L962" s="4">
        <f t="shared" ref="L962:L1025" si="110">G962+4*H962</f>
        <v>4</v>
      </c>
      <c r="M962" s="4" t="s">
        <v>519</v>
      </c>
      <c r="N962" s="4">
        <f t="shared" ref="N962:N1025" si="111">ROUND(SUMIFS($J$2:$J$1137,$A$2:$A$1137,A962,$C$2:$C$1137,C962),9)</f>
        <v>1</v>
      </c>
    </row>
    <row r="963" spans="1:14">
      <c r="A963" s="4">
        <v>61</v>
      </c>
      <c r="B963" s="4" t="s">
        <v>579</v>
      </c>
      <c r="C963" s="4" t="s">
        <v>73</v>
      </c>
      <c r="D963" s="4" t="s">
        <v>71</v>
      </c>
      <c r="E963" s="4" t="str">
        <f t="shared" si="105"/>
        <v>61|A|C</v>
      </c>
      <c r="F963" s="12">
        <v>0</v>
      </c>
      <c r="G963" s="4">
        <f t="shared" si="106"/>
        <v>0</v>
      </c>
      <c r="H963" s="12">
        <v>1</v>
      </c>
      <c r="I963" s="14" t="str">
        <f t="shared" si="107"/>
        <v/>
      </c>
      <c r="J963" s="14">
        <f t="shared" si="108"/>
        <v>0.25</v>
      </c>
      <c r="K963" s="4">
        <f t="shared" si="109"/>
        <v>1</v>
      </c>
      <c r="L963" s="4">
        <f t="shared" si="110"/>
        <v>4</v>
      </c>
      <c r="M963" s="4" t="s">
        <v>519</v>
      </c>
      <c r="N963" s="4">
        <f t="shared" si="111"/>
        <v>1</v>
      </c>
    </row>
    <row r="964" spans="1:14">
      <c r="A964" s="4">
        <v>61</v>
      </c>
      <c r="B964" s="4" t="s">
        <v>579</v>
      </c>
      <c r="C964" s="4" t="s">
        <v>73</v>
      </c>
      <c r="D964" s="4" t="s">
        <v>70</v>
      </c>
      <c r="E964" s="4" t="str">
        <f t="shared" si="105"/>
        <v>61|A|G</v>
      </c>
      <c r="F964" s="12">
        <v>0</v>
      </c>
      <c r="G964" s="4">
        <f t="shared" si="106"/>
        <v>0</v>
      </c>
      <c r="H964" s="12">
        <v>1</v>
      </c>
      <c r="I964" s="14" t="str">
        <f t="shared" si="107"/>
        <v/>
      </c>
      <c r="J964" s="14">
        <f t="shared" si="108"/>
        <v>0.25</v>
      </c>
      <c r="K964" s="4">
        <f t="shared" si="109"/>
        <v>1</v>
      </c>
      <c r="L964" s="4">
        <f t="shared" si="110"/>
        <v>4</v>
      </c>
      <c r="M964" s="4" t="s">
        <v>519</v>
      </c>
      <c r="N964" s="4">
        <f t="shared" si="111"/>
        <v>1</v>
      </c>
    </row>
    <row r="965" spans="1:14">
      <c r="A965" s="4">
        <v>61</v>
      </c>
      <c r="B965" s="4" t="s">
        <v>579</v>
      </c>
      <c r="C965" s="4" t="s">
        <v>73</v>
      </c>
      <c r="D965" s="4" t="s">
        <v>72</v>
      </c>
      <c r="E965" s="4" t="str">
        <f t="shared" si="105"/>
        <v>61|A|U</v>
      </c>
      <c r="F965" s="12">
        <v>0</v>
      </c>
      <c r="G965" s="4">
        <f t="shared" si="106"/>
        <v>0</v>
      </c>
      <c r="H965" s="12">
        <v>1</v>
      </c>
      <c r="I965" s="14" t="str">
        <f t="shared" si="107"/>
        <v/>
      </c>
      <c r="J965" s="14">
        <f t="shared" si="108"/>
        <v>0.25</v>
      </c>
      <c r="K965" s="4">
        <f t="shared" si="109"/>
        <v>1</v>
      </c>
      <c r="L965" s="4">
        <f t="shared" si="110"/>
        <v>4</v>
      </c>
      <c r="M965" s="4" t="s">
        <v>519</v>
      </c>
      <c r="N965" s="4">
        <f t="shared" si="111"/>
        <v>1</v>
      </c>
    </row>
    <row r="966" spans="1:14">
      <c r="A966" s="4">
        <v>61</v>
      </c>
      <c r="B966" s="4" t="s">
        <v>579</v>
      </c>
      <c r="C966" s="4" t="s">
        <v>71</v>
      </c>
      <c r="D966" s="4" t="s">
        <v>73</v>
      </c>
      <c r="E966" s="4" t="str">
        <f t="shared" si="105"/>
        <v>61|C|A</v>
      </c>
      <c r="F966" s="12">
        <v>3</v>
      </c>
      <c r="G966" s="4">
        <f t="shared" si="106"/>
        <v>198</v>
      </c>
      <c r="H966" s="12">
        <v>1</v>
      </c>
      <c r="I966" s="14">
        <f t="shared" si="107"/>
        <v>1.5151515151515152E-2</v>
      </c>
      <c r="J966" s="14">
        <f t="shared" si="108"/>
        <v>1.9801980198019802E-2</v>
      </c>
      <c r="K966" s="4">
        <f t="shared" si="109"/>
        <v>4</v>
      </c>
      <c r="L966" s="4">
        <f t="shared" si="110"/>
        <v>202</v>
      </c>
      <c r="M966" s="4" t="s">
        <v>519</v>
      </c>
      <c r="N966" s="4">
        <f t="shared" si="111"/>
        <v>1</v>
      </c>
    </row>
    <row r="967" spans="1:14">
      <c r="A967" s="4">
        <v>61</v>
      </c>
      <c r="B967" s="4" t="s">
        <v>579</v>
      </c>
      <c r="C967" s="4" t="s">
        <v>71</v>
      </c>
      <c r="D967" s="4" t="s">
        <v>71</v>
      </c>
      <c r="E967" s="4" t="str">
        <f t="shared" si="105"/>
        <v>61|C|C</v>
      </c>
      <c r="F967" s="12">
        <v>168</v>
      </c>
      <c r="G967" s="4">
        <f t="shared" si="106"/>
        <v>198</v>
      </c>
      <c r="H967" s="12">
        <v>1</v>
      </c>
      <c r="I967" s="14">
        <f t="shared" si="107"/>
        <v>0.84848484848484851</v>
      </c>
      <c r="J967" s="14">
        <f t="shared" si="108"/>
        <v>0.8366336633663366</v>
      </c>
      <c r="K967" s="4">
        <f t="shared" si="109"/>
        <v>169</v>
      </c>
      <c r="L967" s="4">
        <f t="shared" si="110"/>
        <v>202</v>
      </c>
      <c r="M967" s="4" t="s">
        <v>519</v>
      </c>
      <c r="N967" s="4">
        <f t="shared" si="111"/>
        <v>1</v>
      </c>
    </row>
    <row r="968" spans="1:14">
      <c r="A968" s="4">
        <v>61</v>
      </c>
      <c r="B968" s="4" t="s">
        <v>579</v>
      </c>
      <c r="C968" s="4" t="s">
        <v>71</v>
      </c>
      <c r="D968" s="4" t="s">
        <v>70</v>
      </c>
      <c r="E968" s="4" t="str">
        <f t="shared" si="105"/>
        <v>61|C|G</v>
      </c>
      <c r="F968" s="12">
        <v>2</v>
      </c>
      <c r="G968" s="4">
        <f t="shared" si="106"/>
        <v>198</v>
      </c>
      <c r="H968" s="12">
        <v>1</v>
      </c>
      <c r="I968" s="14">
        <f t="shared" si="107"/>
        <v>1.0101010101010102E-2</v>
      </c>
      <c r="J968" s="14">
        <f t="shared" si="108"/>
        <v>1.4851485148514851E-2</v>
      </c>
      <c r="K968" s="4">
        <f t="shared" si="109"/>
        <v>3</v>
      </c>
      <c r="L968" s="4">
        <f t="shared" si="110"/>
        <v>202</v>
      </c>
      <c r="M968" s="4" t="s">
        <v>519</v>
      </c>
      <c r="N968" s="4">
        <f t="shared" si="111"/>
        <v>1</v>
      </c>
    </row>
    <row r="969" spans="1:14">
      <c r="A969" s="4">
        <v>61</v>
      </c>
      <c r="B969" s="4" t="s">
        <v>579</v>
      </c>
      <c r="C969" s="4" t="s">
        <v>71</v>
      </c>
      <c r="D969" s="4" t="s">
        <v>72</v>
      </c>
      <c r="E969" s="4" t="str">
        <f t="shared" si="105"/>
        <v>61|C|U</v>
      </c>
      <c r="F969" s="12">
        <v>25</v>
      </c>
      <c r="G969" s="4">
        <f t="shared" si="106"/>
        <v>198</v>
      </c>
      <c r="H969" s="12">
        <v>1</v>
      </c>
      <c r="I969" s="14">
        <f t="shared" si="107"/>
        <v>0.12626262626262627</v>
      </c>
      <c r="J969" s="14">
        <f t="shared" si="108"/>
        <v>0.12871287128712872</v>
      </c>
      <c r="K969" s="4">
        <f t="shared" si="109"/>
        <v>26</v>
      </c>
      <c r="L969" s="4">
        <f t="shared" si="110"/>
        <v>202</v>
      </c>
      <c r="M969" s="4" t="s">
        <v>519</v>
      </c>
      <c r="N969" s="4">
        <f t="shared" si="111"/>
        <v>1</v>
      </c>
    </row>
    <row r="970" spans="1:14">
      <c r="A970" s="4">
        <v>61</v>
      </c>
      <c r="B970" s="4" t="s">
        <v>579</v>
      </c>
      <c r="C970" s="4" t="s">
        <v>70</v>
      </c>
      <c r="D970" s="4" t="s">
        <v>73</v>
      </c>
      <c r="E970" s="4" t="str">
        <f t="shared" si="105"/>
        <v>61|G|A</v>
      </c>
      <c r="F970" s="12">
        <v>0</v>
      </c>
      <c r="G970" s="4">
        <f t="shared" si="106"/>
        <v>1</v>
      </c>
      <c r="H970" s="12">
        <v>1</v>
      </c>
      <c r="I970" s="14">
        <f t="shared" si="107"/>
        <v>0</v>
      </c>
      <c r="J970" s="14">
        <f t="shared" si="108"/>
        <v>0.2</v>
      </c>
      <c r="K970" s="4">
        <f t="shared" si="109"/>
        <v>1</v>
      </c>
      <c r="L970" s="4">
        <f t="shared" si="110"/>
        <v>5</v>
      </c>
      <c r="M970" s="4" t="s">
        <v>519</v>
      </c>
      <c r="N970" s="4">
        <f t="shared" si="111"/>
        <v>1</v>
      </c>
    </row>
    <row r="971" spans="1:14">
      <c r="A971" s="4">
        <v>61</v>
      </c>
      <c r="B971" s="4" t="s">
        <v>579</v>
      </c>
      <c r="C971" s="4" t="s">
        <v>70</v>
      </c>
      <c r="D971" s="4" t="s">
        <v>71</v>
      </c>
      <c r="E971" s="4" t="str">
        <f t="shared" si="105"/>
        <v>61|G|C</v>
      </c>
      <c r="F971" s="12">
        <v>0</v>
      </c>
      <c r="G971" s="4">
        <f t="shared" si="106"/>
        <v>1</v>
      </c>
      <c r="H971" s="12">
        <v>1</v>
      </c>
      <c r="I971" s="14">
        <f t="shared" si="107"/>
        <v>0</v>
      </c>
      <c r="J971" s="14">
        <f t="shared" si="108"/>
        <v>0.2</v>
      </c>
      <c r="K971" s="4">
        <f t="shared" si="109"/>
        <v>1</v>
      </c>
      <c r="L971" s="4">
        <f t="shared" si="110"/>
        <v>5</v>
      </c>
      <c r="M971" s="4" t="s">
        <v>519</v>
      </c>
      <c r="N971" s="4">
        <f t="shared" si="111"/>
        <v>1</v>
      </c>
    </row>
    <row r="972" spans="1:14">
      <c r="A972" s="4">
        <v>61</v>
      </c>
      <c r="B972" s="4" t="s">
        <v>579</v>
      </c>
      <c r="C972" s="4" t="s">
        <v>70</v>
      </c>
      <c r="D972" s="4" t="s">
        <v>70</v>
      </c>
      <c r="E972" s="4" t="str">
        <f t="shared" si="105"/>
        <v>61|G|G</v>
      </c>
      <c r="F972" s="12">
        <v>0</v>
      </c>
      <c r="G972" s="4">
        <f t="shared" si="106"/>
        <v>1</v>
      </c>
      <c r="H972" s="12">
        <v>1</v>
      </c>
      <c r="I972" s="14">
        <f t="shared" si="107"/>
        <v>0</v>
      </c>
      <c r="J972" s="14">
        <f t="shared" si="108"/>
        <v>0.2</v>
      </c>
      <c r="K972" s="4">
        <f t="shared" si="109"/>
        <v>1</v>
      </c>
      <c r="L972" s="4">
        <f t="shared" si="110"/>
        <v>5</v>
      </c>
      <c r="M972" s="4" t="s">
        <v>519</v>
      </c>
      <c r="N972" s="4">
        <f t="shared" si="111"/>
        <v>1</v>
      </c>
    </row>
    <row r="973" spans="1:14">
      <c r="A973" s="4">
        <v>61</v>
      </c>
      <c r="B973" s="4" t="s">
        <v>579</v>
      </c>
      <c r="C973" s="4" t="s">
        <v>70</v>
      </c>
      <c r="D973" s="4" t="s">
        <v>72</v>
      </c>
      <c r="E973" s="4" t="str">
        <f t="shared" si="105"/>
        <v>61|G|U</v>
      </c>
      <c r="F973" s="12">
        <v>1</v>
      </c>
      <c r="G973" s="4">
        <f t="shared" si="106"/>
        <v>1</v>
      </c>
      <c r="H973" s="12">
        <v>1</v>
      </c>
      <c r="I973" s="14">
        <f t="shared" si="107"/>
        <v>1</v>
      </c>
      <c r="J973" s="14">
        <f t="shared" si="108"/>
        <v>0.4</v>
      </c>
      <c r="K973" s="4">
        <f t="shared" si="109"/>
        <v>2</v>
      </c>
      <c r="L973" s="4">
        <f t="shared" si="110"/>
        <v>5</v>
      </c>
      <c r="M973" s="4" t="s">
        <v>519</v>
      </c>
      <c r="N973" s="4">
        <f t="shared" si="111"/>
        <v>1</v>
      </c>
    </row>
    <row r="974" spans="1:14">
      <c r="A974" s="4">
        <v>61</v>
      </c>
      <c r="B974" s="4" t="s">
        <v>579</v>
      </c>
      <c r="C974" s="4" t="s">
        <v>72</v>
      </c>
      <c r="D974" s="4" t="s">
        <v>73</v>
      </c>
      <c r="E974" s="4" t="str">
        <f t="shared" si="105"/>
        <v>61|U|A</v>
      </c>
      <c r="F974" s="12">
        <v>0</v>
      </c>
      <c r="G974" s="4">
        <f t="shared" si="106"/>
        <v>1</v>
      </c>
      <c r="H974" s="12">
        <v>1</v>
      </c>
      <c r="I974" s="14">
        <f t="shared" si="107"/>
        <v>0</v>
      </c>
      <c r="J974" s="14">
        <f t="shared" si="108"/>
        <v>0.2</v>
      </c>
      <c r="K974" s="4">
        <f t="shared" si="109"/>
        <v>1</v>
      </c>
      <c r="L974" s="4">
        <f t="shared" si="110"/>
        <v>5</v>
      </c>
      <c r="M974" s="4" t="s">
        <v>519</v>
      </c>
      <c r="N974" s="4">
        <f t="shared" si="111"/>
        <v>1</v>
      </c>
    </row>
    <row r="975" spans="1:14">
      <c r="A975" s="4">
        <v>61</v>
      </c>
      <c r="B975" s="4" t="s">
        <v>579</v>
      </c>
      <c r="C975" s="4" t="s">
        <v>72</v>
      </c>
      <c r="D975" s="4" t="s">
        <v>71</v>
      </c>
      <c r="E975" s="4" t="str">
        <f t="shared" si="105"/>
        <v>61|U|C</v>
      </c>
      <c r="F975" s="12">
        <v>1</v>
      </c>
      <c r="G975" s="4">
        <f t="shared" si="106"/>
        <v>1</v>
      </c>
      <c r="H975" s="12">
        <v>1</v>
      </c>
      <c r="I975" s="14">
        <f t="shared" si="107"/>
        <v>1</v>
      </c>
      <c r="J975" s="14">
        <f t="shared" si="108"/>
        <v>0.4</v>
      </c>
      <c r="K975" s="4">
        <f t="shared" si="109"/>
        <v>2</v>
      </c>
      <c r="L975" s="4">
        <f t="shared" si="110"/>
        <v>5</v>
      </c>
      <c r="M975" s="4" t="s">
        <v>519</v>
      </c>
      <c r="N975" s="4">
        <f t="shared" si="111"/>
        <v>1</v>
      </c>
    </row>
    <row r="976" spans="1:14">
      <c r="A976" s="4">
        <v>61</v>
      </c>
      <c r="B976" s="4" t="s">
        <v>579</v>
      </c>
      <c r="C976" s="4" t="s">
        <v>72</v>
      </c>
      <c r="D976" s="4" t="s">
        <v>70</v>
      </c>
      <c r="E976" s="4" t="str">
        <f t="shared" si="105"/>
        <v>61|U|G</v>
      </c>
      <c r="F976" s="12">
        <v>0</v>
      </c>
      <c r="G976" s="4">
        <f t="shared" si="106"/>
        <v>1</v>
      </c>
      <c r="H976" s="12">
        <v>1</v>
      </c>
      <c r="I976" s="14">
        <f t="shared" si="107"/>
        <v>0</v>
      </c>
      <c r="J976" s="14">
        <f t="shared" si="108"/>
        <v>0.2</v>
      </c>
      <c r="K976" s="4">
        <f t="shared" si="109"/>
        <v>1</v>
      </c>
      <c r="L976" s="4">
        <f t="shared" si="110"/>
        <v>5</v>
      </c>
      <c r="M976" s="4" t="s">
        <v>519</v>
      </c>
      <c r="N976" s="4">
        <f t="shared" si="111"/>
        <v>1</v>
      </c>
    </row>
    <row r="977" spans="1:14">
      <c r="A977" s="4">
        <v>61</v>
      </c>
      <c r="B977" s="4" t="s">
        <v>579</v>
      </c>
      <c r="C977" s="4" t="s">
        <v>72</v>
      </c>
      <c r="D977" s="4" t="s">
        <v>72</v>
      </c>
      <c r="E977" s="4" t="str">
        <f t="shared" si="105"/>
        <v>61|U|U</v>
      </c>
      <c r="F977" s="12">
        <v>0</v>
      </c>
      <c r="G977" s="4">
        <f t="shared" si="106"/>
        <v>1</v>
      </c>
      <c r="H977" s="12">
        <v>1</v>
      </c>
      <c r="I977" s="14">
        <f t="shared" si="107"/>
        <v>0</v>
      </c>
      <c r="J977" s="14">
        <f t="shared" si="108"/>
        <v>0.2</v>
      </c>
      <c r="K977" s="4">
        <f t="shared" si="109"/>
        <v>1</v>
      </c>
      <c r="L977" s="4">
        <f t="shared" si="110"/>
        <v>5</v>
      </c>
      <c r="M977" s="4" t="s">
        <v>519</v>
      </c>
      <c r="N977" s="4">
        <f t="shared" si="111"/>
        <v>1</v>
      </c>
    </row>
    <row r="978" spans="1:14">
      <c r="A978" s="4">
        <v>62</v>
      </c>
      <c r="B978" s="4" t="s">
        <v>580</v>
      </c>
      <c r="C978" s="4" t="s">
        <v>73</v>
      </c>
      <c r="D978" s="4" t="s">
        <v>73</v>
      </c>
      <c r="E978" s="4" t="str">
        <f t="shared" si="105"/>
        <v>62|A|A</v>
      </c>
      <c r="F978" s="12">
        <v>0</v>
      </c>
      <c r="G978" s="4">
        <f t="shared" si="106"/>
        <v>3</v>
      </c>
      <c r="H978" s="12">
        <v>1</v>
      </c>
      <c r="I978" s="14">
        <f t="shared" si="107"/>
        <v>0</v>
      </c>
      <c r="J978" s="14">
        <f t="shared" si="108"/>
        <v>0.14285714285714285</v>
      </c>
      <c r="K978" s="4">
        <f t="shared" si="109"/>
        <v>1</v>
      </c>
      <c r="L978" s="4">
        <f t="shared" si="110"/>
        <v>7</v>
      </c>
      <c r="M978" s="4" t="s">
        <v>519</v>
      </c>
      <c r="N978" s="4">
        <f t="shared" si="111"/>
        <v>1</v>
      </c>
    </row>
    <row r="979" spans="1:14">
      <c r="A979" s="4">
        <v>62</v>
      </c>
      <c r="B979" s="4" t="s">
        <v>580</v>
      </c>
      <c r="C979" s="4" t="s">
        <v>73</v>
      </c>
      <c r="D979" s="4" t="s">
        <v>71</v>
      </c>
      <c r="E979" s="4" t="str">
        <f t="shared" si="105"/>
        <v>62|A|C</v>
      </c>
      <c r="F979" s="12">
        <v>3</v>
      </c>
      <c r="G979" s="4">
        <f t="shared" si="106"/>
        <v>3</v>
      </c>
      <c r="H979" s="12">
        <v>1</v>
      </c>
      <c r="I979" s="14">
        <f t="shared" si="107"/>
        <v>1</v>
      </c>
      <c r="J979" s="14">
        <f t="shared" si="108"/>
        <v>0.5714285714285714</v>
      </c>
      <c r="K979" s="4">
        <f t="shared" si="109"/>
        <v>4</v>
      </c>
      <c r="L979" s="4">
        <f t="shared" si="110"/>
        <v>7</v>
      </c>
      <c r="M979" s="4" t="s">
        <v>519</v>
      </c>
      <c r="N979" s="4">
        <f t="shared" si="111"/>
        <v>1</v>
      </c>
    </row>
    <row r="980" spans="1:14">
      <c r="A980" s="4">
        <v>62</v>
      </c>
      <c r="B980" s="4" t="s">
        <v>580</v>
      </c>
      <c r="C980" s="4" t="s">
        <v>73</v>
      </c>
      <c r="D980" s="4" t="s">
        <v>70</v>
      </c>
      <c r="E980" s="4" t="str">
        <f t="shared" si="105"/>
        <v>62|A|G</v>
      </c>
      <c r="F980" s="12">
        <v>0</v>
      </c>
      <c r="G980" s="4">
        <f t="shared" si="106"/>
        <v>3</v>
      </c>
      <c r="H980" s="12">
        <v>1</v>
      </c>
      <c r="I980" s="14">
        <f t="shared" si="107"/>
        <v>0</v>
      </c>
      <c r="J980" s="14">
        <f t="shared" si="108"/>
        <v>0.14285714285714285</v>
      </c>
      <c r="K980" s="4">
        <f t="shared" si="109"/>
        <v>1</v>
      </c>
      <c r="L980" s="4">
        <f t="shared" si="110"/>
        <v>7</v>
      </c>
      <c r="M980" s="4" t="s">
        <v>519</v>
      </c>
      <c r="N980" s="4">
        <f t="shared" si="111"/>
        <v>1</v>
      </c>
    </row>
    <row r="981" spans="1:14">
      <c r="A981" s="4">
        <v>62</v>
      </c>
      <c r="B981" s="4" t="s">
        <v>580</v>
      </c>
      <c r="C981" s="4" t="s">
        <v>73</v>
      </c>
      <c r="D981" s="4" t="s">
        <v>72</v>
      </c>
      <c r="E981" s="4" t="str">
        <f t="shared" si="105"/>
        <v>62|A|U</v>
      </c>
      <c r="F981" s="12">
        <v>0</v>
      </c>
      <c r="G981" s="4">
        <f t="shared" si="106"/>
        <v>3</v>
      </c>
      <c r="H981" s="12">
        <v>1</v>
      </c>
      <c r="I981" s="14">
        <f t="shared" si="107"/>
        <v>0</v>
      </c>
      <c r="J981" s="14">
        <f t="shared" si="108"/>
        <v>0.14285714285714285</v>
      </c>
      <c r="K981" s="4">
        <f t="shared" si="109"/>
        <v>1</v>
      </c>
      <c r="L981" s="4">
        <f t="shared" si="110"/>
        <v>7</v>
      </c>
      <c r="M981" s="4" t="s">
        <v>519</v>
      </c>
      <c r="N981" s="4">
        <f t="shared" si="111"/>
        <v>1</v>
      </c>
    </row>
    <row r="982" spans="1:14">
      <c r="A982" s="4">
        <v>62</v>
      </c>
      <c r="B982" s="4" t="s">
        <v>580</v>
      </c>
      <c r="C982" s="4" t="s">
        <v>71</v>
      </c>
      <c r="D982" s="4" t="s">
        <v>73</v>
      </c>
      <c r="E982" s="4" t="str">
        <f t="shared" si="105"/>
        <v>62|C|A</v>
      </c>
      <c r="F982" s="12">
        <v>21</v>
      </c>
      <c r="G982" s="4">
        <f t="shared" si="106"/>
        <v>169</v>
      </c>
      <c r="H982" s="12">
        <v>1</v>
      </c>
      <c r="I982" s="14">
        <f t="shared" si="107"/>
        <v>0.1242603550295858</v>
      </c>
      <c r="J982" s="14">
        <f t="shared" si="108"/>
        <v>0.12716763005780346</v>
      </c>
      <c r="K982" s="4">
        <f t="shared" si="109"/>
        <v>22</v>
      </c>
      <c r="L982" s="4">
        <f t="shared" si="110"/>
        <v>173</v>
      </c>
      <c r="M982" s="4" t="s">
        <v>519</v>
      </c>
      <c r="N982" s="4">
        <f t="shared" si="111"/>
        <v>1</v>
      </c>
    </row>
    <row r="983" spans="1:14">
      <c r="A983" s="4">
        <v>62</v>
      </c>
      <c r="B983" s="4" t="s">
        <v>580</v>
      </c>
      <c r="C983" s="4" t="s">
        <v>71</v>
      </c>
      <c r="D983" s="4" t="s">
        <v>71</v>
      </c>
      <c r="E983" s="4" t="str">
        <f t="shared" si="105"/>
        <v>62|C|C</v>
      </c>
      <c r="F983" s="12">
        <v>77</v>
      </c>
      <c r="G983" s="4">
        <f t="shared" si="106"/>
        <v>169</v>
      </c>
      <c r="H983" s="12">
        <v>1</v>
      </c>
      <c r="I983" s="14">
        <f t="shared" si="107"/>
        <v>0.45562130177514792</v>
      </c>
      <c r="J983" s="14">
        <f t="shared" si="108"/>
        <v>0.45086705202312138</v>
      </c>
      <c r="K983" s="4">
        <f t="shared" si="109"/>
        <v>78</v>
      </c>
      <c r="L983" s="4">
        <f t="shared" si="110"/>
        <v>173</v>
      </c>
      <c r="M983" s="4" t="s">
        <v>519</v>
      </c>
      <c r="N983" s="4">
        <f t="shared" si="111"/>
        <v>1</v>
      </c>
    </row>
    <row r="984" spans="1:14">
      <c r="A984" s="4">
        <v>62</v>
      </c>
      <c r="B984" s="4" t="s">
        <v>580</v>
      </c>
      <c r="C984" s="4" t="s">
        <v>71</v>
      </c>
      <c r="D984" s="4" t="s">
        <v>70</v>
      </c>
      <c r="E984" s="4" t="str">
        <f t="shared" si="105"/>
        <v>62|C|G</v>
      </c>
      <c r="F984" s="12">
        <v>41</v>
      </c>
      <c r="G984" s="4">
        <f t="shared" si="106"/>
        <v>169</v>
      </c>
      <c r="H984" s="12">
        <v>1</v>
      </c>
      <c r="I984" s="14">
        <f t="shared" si="107"/>
        <v>0.24260355029585798</v>
      </c>
      <c r="J984" s="14">
        <f t="shared" si="108"/>
        <v>0.24277456647398843</v>
      </c>
      <c r="K984" s="4">
        <f t="shared" si="109"/>
        <v>42</v>
      </c>
      <c r="L984" s="4">
        <f t="shared" si="110"/>
        <v>173</v>
      </c>
      <c r="M984" s="4" t="s">
        <v>519</v>
      </c>
      <c r="N984" s="4">
        <f t="shared" si="111"/>
        <v>1</v>
      </c>
    </row>
    <row r="985" spans="1:14">
      <c r="A985" s="4">
        <v>62</v>
      </c>
      <c r="B985" s="4" t="s">
        <v>580</v>
      </c>
      <c r="C985" s="4" t="s">
        <v>71</v>
      </c>
      <c r="D985" s="4" t="s">
        <v>72</v>
      </c>
      <c r="E985" s="4" t="str">
        <f t="shared" si="105"/>
        <v>62|C|U</v>
      </c>
      <c r="F985" s="12">
        <v>30</v>
      </c>
      <c r="G985" s="4">
        <f t="shared" si="106"/>
        <v>169</v>
      </c>
      <c r="H985" s="12">
        <v>1</v>
      </c>
      <c r="I985" s="14">
        <f t="shared" si="107"/>
        <v>0.17751479289940827</v>
      </c>
      <c r="J985" s="14">
        <f t="shared" si="108"/>
        <v>0.1791907514450867</v>
      </c>
      <c r="K985" s="4">
        <f t="shared" si="109"/>
        <v>31</v>
      </c>
      <c r="L985" s="4">
        <f t="shared" si="110"/>
        <v>173</v>
      </c>
      <c r="M985" s="4" t="s">
        <v>519</v>
      </c>
      <c r="N985" s="4">
        <f t="shared" si="111"/>
        <v>1</v>
      </c>
    </row>
    <row r="986" spans="1:14">
      <c r="A986" s="4">
        <v>62</v>
      </c>
      <c r="B986" s="4" t="s">
        <v>580</v>
      </c>
      <c r="C986" s="4" t="s">
        <v>70</v>
      </c>
      <c r="D986" s="4" t="s">
        <v>73</v>
      </c>
      <c r="E986" s="4" t="str">
        <f t="shared" si="105"/>
        <v>62|G|A</v>
      </c>
      <c r="F986" s="12">
        <v>0</v>
      </c>
      <c r="G986" s="4">
        <f t="shared" si="106"/>
        <v>2</v>
      </c>
      <c r="H986" s="12">
        <v>1</v>
      </c>
      <c r="I986" s="14">
        <f t="shared" si="107"/>
        <v>0</v>
      </c>
      <c r="J986" s="14">
        <f t="shared" si="108"/>
        <v>0.16666666666666666</v>
      </c>
      <c r="K986" s="4">
        <f t="shared" si="109"/>
        <v>1</v>
      </c>
      <c r="L986" s="4">
        <f t="shared" si="110"/>
        <v>6</v>
      </c>
      <c r="M986" s="4" t="s">
        <v>519</v>
      </c>
      <c r="N986" s="4">
        <f t="shared" si="111"/>
        <v>1</v>
      </c>
    </row>
    <row r="987" spans="1:14">
      <c r="A987" s="4">
        <v>62</v>
      </c>
      <c r="B987" s="4" t="s">
        <v>580</v>
      </c>
      <c r="C987" s="4" t="s">
        <v>70</v>
      </c>
      <c r="D987" s="4" t="s">
        <v>71</v>
      </c>
      <c r="E987" s="4" t="str">
        <f t="shared" si="105"/>
        <v>62|G|C</v>
      </c>
      <c r="F987" s="12">
        <v>2</v>
      </c>
      <c r="G987" s="4">
        <f t="shared" si="106"/>
        <v>2</v>
      </c>
      <c r="H987" s="12">
        <v>1</v>
      </c>
      <c r="I987" s="14">
        <f t="shared" si="107"/>
        <v>1</v>
      </c>
      <c r="J987" s="14">
        <f t="shared" si="108"/>
        <v>0.5</v>
      </c>
      <c r="K987" s="4">
        <f t="shared" si="109"/>
        <v>3</v>
      </c>
      <c r="L987" s="4">
        <f t="shared" si="110"/>
        <v>6</v>
      </c>
      <c r="M987" s="4" t="s">
        <v>519</v>
      </c>
      <c r="N987" s="4">
        <f t="shared" si="111"/>
        <v>1</v>
      </c>
    </row>
    <row r="988" spans="1:14">
      <c r="A988" s="4">
        <v>62</v>
      </c>
      <c r="B988" s="4" t="s">
        <v>580</v>
      </c>
      <c r="C988" s="4" t="s">
        <v>70</v>
      </c>
      <c r="D988" s="4" t="s">
        <v>70</v>
      </c>
      <c r="E988" s="4" t="str">
        <f t="shared" si="105"/>
        <v>62|G|G</v>
      </c>
      <c r="F988" s="12">
        <v>0</v>
      </c>
      <c r="G988" s="4">
        <f t="shared" si="106"/>
        <v>2</v>
      </c>
      <c r="H988" s="12">
        <v>1</v>
      </c>
      <c r="I988" s="14">
        <f t="shared" si="107"/>
        <v>0</v>
      </c>
      <c r="J988" s="14">
        <f t="shared" si="108"/>
        <v>0.16666666666666666</v>
      </c>
      <c r="K988" s="4">
        <f t="shared" si="109"/>
        <v>1</v>
      </c>
      <c r="L988" s="4">
        <f t="shared" si="110"/>
        <v>6</v>
      </c>
      <c r="M988" s="4" t="s">
        <v>519</v>
      </c>
      <c r="N988" s="4">
        <f t="shared" si="111"/>
        <v>1</v>
      </c>
    </row>
    <row r="989" spans="1:14">
      <c r="A989" s="4">
        <v>62</v>
      </c>
      <c r="B989" s="4" t="s">
        <v>580</v>
      </c>
      <c r="C989" s="4" t="s">
        <v>70</v>
      </c>
      <c r="D989" s="4" t="s">
        <v>72</v>
      </c>
      <c r="E989" s="4" t="str">
        <f t="shared" si="105"/>
        <v>62|G|U</v>
      </c>
      <c r="F989" s="12">
        <v>0</v>
      </c>
      <c r="G989" s="4">
        <f t="shared" si="106"/>
        <v>2</v>
      </c>
      <c r="H989" s="12">
        <v>1</v>
      </c>
      <c r="I989" s="14">
        <f t="shared" si="107"/>
        <v>0</v>
      </c>
      <c r="J989" s="14">
        <f t="shared" si="108"/>
        <v>0.16666666666666666</v>
      </c>
      <c r="K989" s="4">
        <f t="shared" si="109"/>
        <v>1</v>
      </c>
      <c r="L989" s="4">
        <f t="shared" si="110"/>
        <v>6</v>
      </c>
      <c r="M989" s="4" t="s">
        <v>519</v>
      </c>
      <c r="N989" s="4">
        <f t="shared" si="111"/>
        <v>1</v>
      </c>
    </row>
    <row r="990" spans="1:14">
      <c r="A990" s="4">
        <v>62</v>
      </c>
      <c r="B990" s="4" t="s">
        <v>580</v>
      </c>
      <c r="C990" s="4" t="s">
        <v>72</v>
      </c>
      <c r="D990" s="4" t="s">
        <v>73</v>
      </c>
      <c r="E990" s="4" t="str">
        <f t="shared" si="105"/>
        <v>62|U|A</v>
      </c>
      <c r="F990" s="12">
        <v>2</v>
      </c>
      <c r="G990" s="4">
        <f t="shared" si="106"/>
        <v>26</v>
      </c>
      <c r="H990" s="12">
        <v>1</v>
      </c>
      <c r="I990" s="14">
        <f t="shared" si="107"/>
        <v>7.6923076923076927E-2</v>
      </c>
      <c r="J990" s="14">
        <f t="shared" si="108"/>
        <v>0.1</v>
      </c>
      <c r="K990" s="4">
        <f t="shared" si="109"/>
        <v>3</v>
      </c>
      <c r="L990" s="4">
        <f t="shared" si="110"/>
        <v>30</v>
      </c>
      <c r="M990" s="4" t="s">
        <v>519</v>
      </c>
      <c r="N990" s="4">
        <f t="shared" si="111"/>
        <v>1</v>
      </c>
    </row>
    <row r="991" spans="1:14">
      <c r="A991" s="4">
        <v>62</v>
      </c>
      <c r="B991" s="4" t="s">
        <v>580</v>
      </c>
      <c r="C991" s="4" t="s">
        <v>72</v>
      </c>
      <c r="D991" s="4" t="s">
        <v>71</v>
      </c>
      <c r="E991" s="4" t="str">
        <f t="shared" si="105"/>
        <v>62|U|C</v>
      </c>
      <c r="F991" s="12">
        <v>15</v>
      </c>
      <c r="G991" s="4">
        <f t="shared" si="106"/>
        <v>26</v>
      </c>
      <c r="H991" s="12">
        <v>1</v>
      </c>
      <c r="I991" s="14">
        <f t="shared" si="107"/>
        <v>0.57692307692307687</v>
      </c>
      <c r="J991" s="14">
        <f t="shared" si="108"/>
        <v>0.53333333333333333</v>
      </c>
      <c r="K991" s="4">
        <f t="shared" si="109"/>
        <v>16</v>
      </c>
      <c r="L991" s="4">
        <f t="shared" si="110"/>
        <v>30</v>
      </c>
      <c r="M991" s="4" t="s">
        <v>519</v>
      </c>
      <c r="N991" s="4">
        <f t="shared" si="111"/>
        <v>1</v>
      </c>
    </row>
    <row r="992" spans="1:14">
      <c r="A992" s="4">
        <v>62</v>
      </c>
      <c r="B992" s="4" t="s">
        <v>580</v>
      </c>
      <c r="C992" s="4" t="s">
        <v>72</v>
      </c>
      <c r="D992" s="4" t="s">
        <v>70</v>
      </c>
      <c r="E992" s="4" t="str">
        <f t="shared" si="105"/>
        <v>62|U|G</v>
      </c>
      <c r="F992" s="12">
        <v>7</v>
      </c>
      <c r="G992" s="4">
        <f t="shared" si="106"/>
        <v>26</v>
      </c>
      <c r="H992" s="12">
        <v>1</v>
      </c>
      <c r="I992" s="14">
        <f t="shared" si="107"/>
        <v>0.26923076923076922</v>
      </c>
      <c r="J992" s="14">
        <f t="shared" si="108"/>
        <v>0.26666666666666666</v>
      </c>
      <c r="K992" s="4">
        <f t="shared" si="109"/>
        <v>8</v>
      </c>
      <c r="L992" s="4">
        <f t="shared" si="110"/>
        <v>30</v>
      </c>
      <c r="M992" s="4" t="s">
        <v>519</v>
      </c>
      <c r="N992" s="4">
        <f t="shared" si="111"/>
        <v>1</v>
      </c>
    </row>
    <row r="993" spans="1:14">
      <c r="A993" s="4">
        <v>62</v>
      </c>
      <c r="B993" s="4" t="s">
        <v>580</v>
      </c>
      <c r="C993" s="4" t="s">
        <v>72</v>
      </c>
      <c r="D993" s="4" t="s">
        <v>72</v>
      </c>
      <c r="E993" s="4" t="str">
        <f t="shared" si="105"/>
        <v>62|U|U</v>
      </c>
      <c r="F993" s="12">
        <v>2</v>
      </c>
      <c r="G993" s="4">
        <f t="shared" si="106"/>
        <v>26</v>
      </c>
      <c r="H993" s="12">
        <v>1</v>
      </c>
      <c r="I993" s="14">
        <f t="shared" si="107"/>
        <v>7.6923076923076927E-2</v>
      </c>
      <c r="J993" s="14">
        <f t="shared" si="108"/>
        <v>0.1</v>
      </c>
      <c r="K993" s="4">
        <f t="shared" si="109"/>
        <v>3</v>
      </c>
      <c r="L993" s="4">
        <f t="shared" si="110"/>
        <v>30</v>
      </c>
      <c r="M993" s="4" t="s">
        <v>519</v>
      </c>
      <c r="N993" s="4">
        <f t="shared" si="111"/>
        <v>1</v>
      </c>
    </row>
    <row r="994" spans="1:14">
      <c r="A994" s="4">
        <v>63</v>
      </c>
      <c r="B994" s="4" t="s">
        <v>581</v>
      </c>
      <c r="C994" s="4" t="s">
        <v>73</v>
      </c>
      <c r="D994" s="4" t="s">
        <v>73</v>
      </c>
      <c r="E994" s="4" t="str">
        <f t="shared" si="105"/>
        <v>63|A|A</v>
      </c>
      <c r="F994" s="12">
        <v>5</v>
      </c>
      <c r="G994" s="4">
        <f t="shared" si="106"/>
        <v>23</v>
      </c>
      <c r="H994" s="12">
        <v>1</v>
      </c>
      <c r="I994" s="14">
        <f t="shared" si="107"/>
        <v>0.21739130434782608</v>
      </c>
      <c r="J994" s="14">
        <f t="shared" si="108"/>
        <v>0.22222222222222221</v>
      </c>
      <c r="K994" s="4">
        <f t="shared" si="109"/>
        <v>6</v>
      </c>
      <c r="L994" s="4">
        <f t="shared" si="110"/>
        <v>27</v>
      </c>
      <c r="M994" s="4" t="s">
        <v>519</v>
      </c>
      <c r="N994" s="4">
        <f t="shared" si="111"/>
        <v>1</v>
      </c>
    </row>
    <row r="995" spans="1:14">
      <c r="A995" s="4">
        <v>63</v>
      </c>
      <c r="B995" s="4" t="s">
        <v>581</v>
      </c>
      <c r="C995" s="4" t="s">
        <v>73</v>
      </c>
      <c r="D995" s="4" t="s">
        <v>71</v>
      </c>
      <c r="E995" s="4" t="str">
        <f t="shared" si="105"/>
        <v>63|A|C</v>
      </c>
      <c r="F995" s="12">
        <v>7</v>
      </c>
      <c r="G995" s="4">
        <f t="shared" si="106"/>
        <v>23</v>
      </c>
      <c r="H995" s="12">
        <v>1</v>
      </c>
      <c r="I995" s="14">
        <f t="shared" si="107"/>
        <v>0.30434782608695654</v>
      </c>
      <c r="J995" s="14">
        <f t="shared" si="108"/>
        <v>0.29629629629629628</v>
      </c>
      <c r="K995" s="4">
        <f t="shared" si="109"/>
        <v>8</v>
      </c>
      <c r="L995" s="4">
        <f t="shared" si="110"/>
        <v>27</v>
      </c>
      <c r="M995" s="4" t="s">
        <v>519</v>
      </c>
      <c r="N995" s="4">
        <f t="shared" si="111"/>
        <v>1</v>
      </c>
    </row>
    <row r="996" spans="1:14">
      <c r="A996" s="4">
        <v>63</v>
      </c>
      <c r="B996" s="4" t="s">
        <v>581</v>
      </c>
      <c r="C996" s="4" t="s">
        <v>73</v>
      </c>
      <c r="D996" s="4" t="s">
        <v>70</v>
      </c>
      <c r="E996" s="4" t="str">
        <f t="shared" si="105"/>
        <v>63|A|G</v>
      </c>
      <c r="F996" s="12">
        <v>9</v>
      </c>
      <c r="G996" s="4">
        <f t="shared" si="106"/>
        <v>23</v>
      </c>
      <c r="H996" s="12">
        <v>1</v>
      </c>
      <c r="I996" s="14">
        <f t="shared" si="107"/>
        <v>0.39130434782608697</v>
      </c>
      <c r="J996" s="14">
        <f t="shared" si="108"/>
        <v>0.37037037037037035</v>
      </c>
      <c r="K996" s="4">
        <f t="shared" si="109"/>
        <v>10</v>
      </c>
      <c r="L996" s="4">
        <f t="shared" si="110"/>
        <v>27</v>
      </c>
      <c r="M996" s="4" t="s">
        <v>519</v>
      </c>
      <c r="N996" s="4">
        <f t="shared" si="111"/>
        <v>1</v>
      </c>
    </row>
    <row r="997" spans="1:14">
      <c r="A997" s="4">
        <v>63</v>
      </c>
      <c r="B997" s="4" t="s">
        <v>581</v>
      </c>
      <c r="C997" s="4" t="s">
        <v>73</v>
      </c>
      <c r="D997" s="4" t="s">
        <v>72</v>
      </c>
      <c r="E997" s="4" t="str">
        <f t="shared" si="105"/>
        <v>63|A|U</v>
      </c>
      <c r="F997" s="12">
        <v>2</v>
      </c>
      <c r="G997" s="4">
        <f t="shared" si="106"/>
        <v>23</v>
      </c>
      <c r="H997" s="12">
        <v>1</v>
      </c>
      <c r="I997" s="14">
        <f t="shared" si="107"/>
        <v>8.6956521739130432E-2</v>
      </c>
      <c r="J997" s="14">
        <f t="shared" si="108"/>
        <v>0.1111111111111111</v>
      </c>
      <c r="K997" s="4">
        <f t="shared" si="109"/>
        <v>3</v>
      </c>
      <c r="L997" s="4">
        <f t="shared" si="110"/>
        <v>27</v>
      </c>
      <c r="M997" s="4" t="s">
        <v>519</v>
      </c>
      <c r="N997" s="4">
        <f t="shared" si="111"/>
        <v>1</v>
      </c>
    </row>
    <row r="998" spans="1:14">
      <c r="A998" s="4">
        <v>63</v>
      </c>
      <c r="B998" s="4" t="s">
        <v>581</v>
      </c>
      <c r="C998" s="4" t="s">
        <v>71</v>
      </c>
      <c r="D998" s="4" t="s">
        <v>73</v>
      </c>
      <c r="E998" s="4" t="str">
        <f t="shared" si="105"/>
        <v>63|C|A</v>
      </c>
      <c r="F998" s="12">
        <v>18</v>
      </c>
      <c r="G998" s="4">
        <f t="shared" si="106"/>
        <v>97</v>
      </c>
      <c r="H998" s="12">
        <v>1</v>
      </c>
      <c r="I998" s="14">
        <f t="shared" si="107"/>
        <v>0.18556701030927836</v>
      </c>
      <c r="J998" s="14">
        <f t="shared" si="108"/>
        <v>0.18811881188118812</v>
      </c>
      <c r="K998" s="4">
        <f t="shared" si="109"/>
        <v>19</v>
      </c>
      <c r="L998" s="4">
        <f t="shared" si="110"/>
        <v>101</v>
      </c>
      <c r="M998" s="4" t="s">
        <v>519</v>
      </c>
      <c r="N998" s="4">
        <f t="shared" si="111"/>
        <v>1</v>
      </c>
    </row>
    <row r="999" spans="1:14">
      <c r="A999" s="4">
        <v>63</v>
      </c>
      <c r="B999" s="4" t="s">
        <v>581</v>
      </c>
      <c r="C999" s="4" t="s">
        <v>71</v>
      </c>
      <c r="D999" s="4" t="s">
        <v>71</v>
      </c>
      <c r="E999" s="4" t="str">
        <f t="shared" si="105"/>
        <v>63|C|C</v>
      </c>
      <c r="F999" s="12">
        <v>18</v>
      </c>
      <c r="G999" s="4">
        <f t="shared" si="106"/>
        <v>97</v>
      </c>
      <c r="H999" s="12">
        <v>1</v>
      </c>
      <c r="I999" s="14">
        <f t="shared" si="107"/>
        <v>0.18556701030927836</v>
      </c>
      <c r="J999" s="14">
        <f t="shared" si="108"/>
        <v>0.18811881188118812</v>
      </c>
      <c r="K999" s="4">
        <f t="shared" si="109"/>
        <v>19</v>
      </c>
      <c r="L999" s="4">
        <f t="shared" si="110"/>
        <v>101</v>
      </c>
      <c r="M999" s="4" t="s">
        <v>519</v>
      </c>
      <c r="N999" s="4">
        <f t="shared" si="111"/>
        <v>1</v>
      </c>
    </row>
    <row r="1000" spans="1:14">
      <c r="A1000" s="4">
        <v>63</v>
      </c>
      <c r="B1000" s="4" t="s">
        <v>581</v>
      </c>
      <c r="C1000" s="4" t="s">
        <v>71</v>
      </c>
      <c r="D1000" s="4" t="s">
        <v>70</v>
      </c>
      <c r="E1000" s="4" t="str">
        <f t="shared" si="105"/>
        <v>63|C|G</v>
      </c>
      <c r="F1000" s="12">
        <v>39</v>
      </c>
      <c r="G1000" s="4">
        <f t="shared" si="106"/>
        <v>97</v>
      </c>
      <c r="H1000" s="12">
        <v>1</v>
      </c>
      <c r="I1000" s="14">
        <f t="shared" si="107"/>
        <v>0.40206185567010311</v>
      </c>
      <c r="J1000" s="14">
        <f t="shared" si="108"/>
        <v>0.39603960396039606</v>
      </c>
      <c r="K1000" s="4">
        <f t="shared" si="109"/>
        <v>40</v>
      </c>
      <c r="L1000" s="4">
        <f t="shared" si="110"/>
        <v>101</v>
      </c>
      <c r="M1000" s="4" t="s">
        <v>519</v>
      </c>
      <c r="N1000" s="4">
        <f t="shared" si="111"/>
        <v>1</v>
      </c>
    </row>
    <row r="1001" spans="1:14">
      <c r="A1001" s="4">
        <v>63</v>
      </c>
      <c r="B1001" s="4" t="s">
        <v>581</v>
      </c>
      <c r="C1001" s="4" t="s">
        <v>71</v>
      </c>
      <c r="D1001" s="4" t="s">
        <v>72</v>
      </c>
      <c r="E1001" s="4" t="str">
        <f t="shared" si="105"/>
        <v>63|C|U</v>
      </c>
      <c r="F1001" s="12">
        <v>22</v>
      </c>
      <c r="G1001" s="4">
        <f t="shared" si="106"/>
        <v>97</v>
      </c>
      <c r="H1001" s="12">
        <v>1</v>
      </c>
      <c r="I1001" s="14">
        <f t="shared" si="107"/>
        <v>0.22680412371134021</v>
      </c>
      <c r="J1001" s="14">
        <f t="shared" si="108"/>
        <v>0.22772277227722773</v>
      </c>
      <c r="K1001" s="4">
        <f t="shared" si="109"/>
        <v>23</v>
      </c>
      <c r="L1001" s="4">
        <f t="shared" si="110"/>
        <v>101</v>
      </c>
      <c r="M1001" s="4" t="s">
        <v>519</v>
      </c>
      <c r="N1001" s="4">
        <f t="shared" si="111"/>
        <v>1</v>
      </c>
    </row>
    <row r="1002" spans="1:14">
      <c r="A1002" s="4">
        <v>63</v>
      </c>
      <c r="B1002" s="4" t="s">
        <v>581</v>
      </c>
      <c r="C1002" s="4" t="s">
        <v>70</v>
      </c>
      <c r="D1002" s="4" t="s">
        <v>73</v>
      </c>
      <c r="E1002" s="4" t="str">
        <f t="shared" si="105"/>
        <v>63|G|A</v>
      </c>
      <c r="F1002" s="12">
        <v>5</v>
      </c>
      <c r="G1002" s="4">
        <f t="shared" si="106"/>
        <v>48</v>
      </c>
      <c r="H1002" s="12">
        <v>1</v>
      </c>
      <c r="I1002" s="14">
        <f t="shared" si="107"/>
        <v>0.10416666666666667</v>
      </c>
      <c r="J1002" s="14">
        <f t="shared" si="108"/>
        <v>0.11538461538461539</v>
      </c>
      <c r="K1002" s="4">
        <f t="shared" si="109"/>
        <v>6</v>
      </c>
      <c r="L1002" s="4">
        <f t="shared" si="110"/>
        <v>52</v>
      </c>
      <c r="M1002" s="4" t="s">
        <v>519</v>
      </c>
      <c r="N1002" s="4">
        <f t="shared" si="111"/>
        <v>1</v>
      </c>
    </row>
    <row r="1003" spans="1:14">
      <c r="A1003" s="4">
        <v>63</v>
      </c>
      <c r="B1003" s="4" t="s">
        <v>581</v>
      </c>
      <c r="C1003" s="4" t="s">
        <v>70</v>
      </c>
      <c r="D1003" s="4" t="s">
        <v>71</v>
      </c>
      <c r="E1003" s="4" t="str">
        <f t="shared" si="105"/>
        <v>63|G|C</v>
      </c>
      <c r="F1003" s="12">
        <v>12</v>
      </c>
      <c r="G1003" s="4">
        <f t="shared" si="106"/>
        <v>48</v>
      </c>
      <c r="H1003" s="12">
        <v>1</v>
      </c>
      <c r="I1003" s="14">
        <f t="shared" si="107"/>
        <v>0.25</v>
      </c>
      <c r="J1003" s="14">
        <f t="shared" si="108"/>
        <v>0.25</v>
      </c>
      <c r="K1003" s="4">
        <f t="shared" si="109"/>
        <v>13</v>
      </c>
      <c r="L1003" s="4">
        <f t="shared" si="110"/>
        <v>52</v>
      </c>
      <c r="M1003" s="4" t="s">
        <v>519</v>
      </c>
      <c r="N1003" s="4">
        <f t="shared" si="111"/>
        <v>1</v>
      </c>
    </row>
    <row r="1004" spans="1:14">
      <c r="A1004" s="4">
        <v>63</v>
      </c>
      <c r="B1004" s="4" t="s">
        <v>581</v>
      </c>
      <c r="C1004" s="4" t="s">
        <v>70</v>
      </c>
      <c r="D1004" s="4" t="s">
        <v>70</v>
      </c>
      <c r="E1004" s="4" t="str">
        <f t="shared" si="105"/>
        <v>63|G|G</v>
      </c>
      <c r="F1004" s="12">
        <v>26</v>
      </c>
      <c r="G1004" s="4">
        <f t="shared" si="106"/>
        <v>48</v>
      </c>
      <c r="H1004" s="12">
        <v>1</v>
      </c>
      <c r="I1004" s="14">
        <f t="shared" si="107"/>
        <v>0.54166666666666663</v>
      </c>
      <c r="J1004" s="14">
        <f t="shared" si="108"/>
        <v>0.51923076923076927</v>
      </c>
      <c r="K1004" s="4">
        <f t="shared" si="109"/>
        <v>27</v>
      </c>
      <c r="L1004" s="4">
        <f t="shared" si="110"/>
        <v>52</v>
      </c>
      <c r="M1004" s="4" t="s">
        <v>519</v>
      </c>
      <c r="N1004" s="4">
        <f t="shared" si="111"/>
        <v>1</v>
      </c>
    </row>
    <row r="1005" spans="1:14">
      <c r="A1005" s="4">
        <v>63</v>
      </c>
      <c r="B1005" s="4" t="s">
        <v>581</v>
      </c>
      <c r="C1005" s="4" t="s">
        <v>70</v>
      </c>
      <c r="D1005" s="4" t="s">
        <v>72</v>
      </c>
      <c r="E1005" s="4" t="str">
        <f t="shared" si="105"/>
        <v>63|G|U</v>
      </c>
      <c r="F1005" s="12">
        <v>5</v>
      </c>
      <c r="G1005" s="4">
        <f t="shared" si="106"/>
        <v>48</v>
      </c>
      <c r="H1005" s="12">
        <v>1</v>
      </c>
      <c r="I1005" s="14">
        <f t="shared" si="107"/>
        <v>0.10416666666666667</v>
      </c>
      <c r="J1005" s="14">
        <f t="shared" si="108"/>
        <v>0.11538461538461539</v>
      </c>
      <c r="K1005" s="4">
        <f t="shared" si="109"/>
        <v>6</v>
      </c>
      <c r="L1005" s="4">
        <f t="shared" si="110"/>
        <v>52</v>
      </c>
      <c r="M1005" s="4" t="s">
        <v>519</v>
      </c>
      <c r="N1005" s="4">
        <f t="shared" si="111"/>
        <v>1</v>
      </c>
    </row>
    <row r="1006" spans="1:14">
      <c r="A1006" s="4">
        <v>63</v>
      </c>
      <c r="B1006" s="4" t="s">
        <v>581</v>
      </c>
      <c r="C1006" s="4" t="s">
        <v>72</v>
      </c>
      <c r="D1006" s="4" t="s">
        <v>73</v>
      </c>
      <c r="E1006" s="4" t="str">
        <f t="shared" si="105"/>
        <v>63|U|A</v>
      </c>
      <c r="F1006" s="12">
        <v>5</v>
      </c>
      <c r="G1006" s="4">
        <f t="shared" si="106"/>
        <v>32</v>
      </c>
      <c r="H1006" s="12">
        <v>1</v>
      </c>
      <c r="I1006" s="14">
        <f t="shared" si="107"/>
        <v>0.15625</v>
      </c>
      <c r="J1006" s="14">
        <f t="shared" si="108"/>
        <v>0.16666666666666666</v>
      </c>
      <c r="K1006" s="4">
        <f t="shared" si="109"/>
        <v>6</v>
      </c>
      <c r="L1006" s="4">
        <f t="shared" si="110"/>
        <v>36</v>
      </c>
      <c r="M1006" s="4" t="s">
        <v>519</v>
      </c>
      <c r="N1006" s="4">
        <f t="shared" si="111"/>
        <v>1</v>
      </c>
    </row>
    <row r="1007" spans="1:14">
      <c r="A1007" s="4">
        <v>63</v>
      </c>
      <c r="B1007" s="4" t="s">
        <v>581</v>
      </c>
      <c r="C1007" s="4" t="s">
        <v>72</v>
      </c>
      <c r="D1007" s="4" t="s">
        <v>71</v>
      </c>
      <c r="E1007" s="4" t="str">
        <f t="shared" si="105"/>
        <v>63|U|C</v>
      </c>
      <c r="F1007" s="12">
        <v>5</v>
      </c>
      <c r="G1007" s="4">
        <f t="shared" si="106"/>
        <v>32</v>
      </c>
      <c r="H1007" s="12">
        <v>1</v>
      </c>
      <c r="I1007" s="14">
        <f t="shared" si="107"/>
        <v>0.15625</v>
      </c>
      <c r="J1007" s="14">
        <f t="shared" si="108"/>
        <v>0.16666666666666666</v>
      </c>
      <c r="K1007" s="4">
        <f t="shared" si="109"/>
        <v>6</v>
      </c>
      <c r="L1007" s="4">
        <f t="shared" si="110"/>
        <v>36</v>
      </c>
      <c r="M1007" s="4" t="s">
        <v>519</v>
      </c>
      <c r="N1007" s="4">
        <f t="shared" si="111"/>
        <v>1</v>
      </c>
    </row>
    <row r="1008" spans="1:14">
      <c r="A1008" s="4">
        <v>63</v>
      </c>
      <c r="B1008" s="4" t="s">
        <v>581</v>
      </c>
      <c r="C1008" s="4" t="s">
        <v>72</v>
      </c>
      <c r="D1008" s="4" t="s">
        <v>70</v>
      </c>
      <c r="E1008" s="4" t="str">
        <f t="shared" si="105"/>
        <v>63|U|G</v>
      </c>
      <c r="F1008" s="12">
        <v>18</v>
      </c>
      <c r="G1008" s="4">
        <f t="shared" si="106"/>
        <v>32</v>
      </c>
      <c r="H1008" s="12">
        <v>1</v>
      </c>
      <c r="I1008" s="14">
        <f t="shared" si="107"/>
        <v>0.5625</v>
      </c>
      <c r="J1008" s="14">
        <f t="shared" si="108"/>
        <v>0.52777777777777779</v>
      </c>
      <c r="K1008" s="4">
        <f t="shared" si="109"/>
        <v>19</v>
      </c>
      <c r="L1008" s="4">
        <f t="shared" si="110"/>
        <v>36</v>
      </c>
      <c r="M1008" s="4" t="s">
        <v>519</v>
      </c>
      <c r="N1008" s="4">
        <f t="shared" si="111"/>
        <v>1</v>
      </c>
    </row>
    <row r="1009" spans="1:14">
      <c r="A1009" s="4">
        <v>63</v>
      </c>
      <c r="B1009" s="4" t="s">
        <v>581</v>
      </c>
      <c r="C1009" s="4" t="s">
        <v>72</v>
      </c>
      <c r="D1009" s="4" t="s">
        <v>72</v>
      </c>
      <c r="E1009" s="4" t="str">
        <f t="shared" si="105"/>
        <v>63|U|U</v>
      </c>
      <c r="F1009" s="12">
        <v>4</v>
      </c>
      <c r="G1009" s="4">
        <f t="shared" si="106"/>
        <v>32</v>
      </c>
      <c r="H1009" s="12">
        <v>1</v>
      </c>
      <c r="I1009" s="14">
        <f t="shared" si="107"/>
        <v>0.125</v>
      </c>
      <c r="J1009" s="14">
        <f t="shared" si="108"/>
        <v>0.1388888888888889</v>
      </c>
      <c r="K1009" s="4">
        <f t="shared" si="109"/>
        <v>5</v>
      </c>
      <c r="L1009" s="4">
        <f t="shared" si="110"/>
        <v>36</v>
      </c>
      <c r="M1009" s="4" t="s">
        <v>519</v>
      </c>
      <c r="N1009" s="4">
        <f t="shared" si="111"/>
        <v>1</v>
      </c>
    </row>
    <row r="1010" spans="1:14">
      <c r="A1010" s="4">
        <v>64</v>
      </c>
      <c r="B1010" s="4" t="s">
        <v>582</v>
      </c>
      <c r="C1010" s="4" t="s">
        <v>73</v>
      </c>
      <c r="D1010" s="4" t="s">
        <v>73</v>
      </c>
      <c r="E1010" s="4" t="str">
        <f t="shared" si="105"/>
        <v>64|A|A</v>
      </c>
      <c r="F1010" s="12">
        <v>1</v>
      </c>
      <c r="G1010" s="4">
        <f t="shared" si="106"/>
        <v>32</v>
      </c>
      <c r="H1010" s="12">
        <v>1</v>
      </c>
      <c r="I1010" s="14">
        <f t="shared" si="107"/>
        <v>3.125E-2</v>
      </c>
      <c r="J1010" s="14">
        <f t="shared" si="108"/>
        <v>5.5555555555555552E-2</v>
      </c>
      <c r="K1010" s="4">
        <f t="shared" si="109"/>
        <v>2</v>
      </c>
      <c r="L1010" s="4">
        <f t="shared" si="110"/>
        <v>36</v>
      </c>
      <c r="M1010" s="4" t="s">
        <v>519</v>
      </c>
      <c r="N1010" s="4">
        <f t="shared" si="111"/>
        <v>1</v>
      </c>
    </row>
    <row r="1011" spans="1:14">
      <c r="A1011" s="4">
        <v>64</v>
      </c>
      <c r="B1011" s="4" t="s">
        <v>582</v>
      </c>
      <c r="C1011" s="4" t="s">
        <v>73</v>
      </c>
      <c r="D1011" s="4" t="s">
        <v>71</v>
      </c>
      <c r="E1011" s="4" t="str">
        <f t="shared" si="105"/>
        <v>64|A|C</v>
      </c>
      <c r="F1011" s="12">
        <v>14</v>
      </c>
      <c r="G1011" s="4">
        <f t="shared" si="106"/>
        <v>32</v>
      </c>
      <c r="H1011" s="12">
        <v>1</v>
      </c>
      <c r="I1011" s="14">
        <f t="shared" si="107"/>
        <v>0.4375</v>
      </c>
      <c r="J1011" s="14">
        <f t="shared" si="108"/>
        <v>0.41666666666666669</v>
      </c>
      <c r="K1011" s="4">
        <f t="shared" si="109"/>
        <v>15</v>
      </c>
      <c r="L1011" s="4">
        <f t="shared" si="110"/>
        <v>36</v>
      </c>
      <c r="M1011" s="4" t="s">
        <v>519</v>
      </c>
      <c r="N1011" s="4">
        <f t="shared" si="111"/>
        <v>1</v>
      </c>
    </row>
    <row r="1012" spans="1:14">
      <c r="A1012" s="4">
        <v>64</v>
      </c>
      <c r="B1012" s="4" t="s">
        <v>582</v>
      </c>
      <c r="C1012" s="4" t="s">
        <v>73</v>
      </c>
      <c r="D1012" s="4" t="s">
        <v>70</v>
      </c>
      <c r="E1012" s="4" t="str">
        <f t="shared" si="105"/>
        <v>64|A|G</v>
      </c>
      <c r="F1012" s="12">
        <v>5</v>
      </c>
      <c r="G1012" s="4">
        <f t="shared" si="106"/>
        <v>32</v>
      </c>
      <c r="H1012" s="12">
        <v>1</v>
      </c>
      <c r="I1012" s="14">
        <f t="shared" si="107"/>
        <v>0.15625</v>
      </c>
      <c r="J1012" s="14">
        <f t="shared" si="108"/>
        <v>0.16666666666666666</v>
      </c>
      <c r="K1012" s="4">
        <f t="shared" si="109"/>
        <v>6</v>
      </c>
      <c r="L1012" s="4">
        <f t="shared" si="110"/>
        <v>36</v>
      </c>
      <c r="M1012" s="4" t="s">
        <v>519</v>
      </c>
      <c r="N1012" s="4">
        <f t="shared" si="111"/>
        <v>1</v>
      </c>
    </row>
    <row r="1013" spans="1:14">
      <c r="A1013" s="4">
        <v>64</v>
      </c>
      <c r="B1013" s="4" t="s">
        <v>582</v>
      </c>
      <c r="C1013" s="4" t="s">
        <v>73</v>
      </c>
      <c r="D1013" s="4" t="s">
        <v>72</v>
      </c>
      <c r="E1013" s="4" t="str">
        <f t="shared" si="105"/>
        <v>64|A|U</v>
      </c>
      <c r="F1013" s="12">
        <v>12</v>
      </c>
      <c r="G1013" s="4">
        <f t="shared" si="106"/>
        <v>32</v>
      </c>
      <c r="H1013" s="12">
        <v>1</v>
      </c>
      <c r="I1013" s="14">
        <f t="shared" si="107"/>
        <v>0.375</v>
      </c>
      <c r="J1013" s="14">
        <f t="shared" si="108"/>
        <v>0.3611111111111111</v>
      </c>
      <c r="K1013" s="4">
        <f t="shared" si="109"/>
        <v>13</v>
      </c>
      <c r="L1013" s="4">
        <f t="shared" si="110"/>
        <v>36</v>
      </c>
      <c r="M1013" s="4" t="s">
        <v>519</v>
      </c>
      <c r="N1013" s="4">
        <f t="shared" si="111"/>
        <v>1</v>
      </c>
    </row>
    <row r="1014" spans="1:14">
      <c r="A1014" s="4">
        <v>64</v>
      </c>
      <c r="B1014" s="4" t="s">
        <v>582</v>
      </c>
      <c r="C1014" s="4" t="s">
        <v>71</v>
      </c>
      <c r="D1014" s="4" t="s">
        <v>73</v>
      </c>
      <c r="E1014" s="4" t="str">
        <f t="shared" si="105"/>
        <v>64|C|A</v>
      </c>
      <c r="F1014" s="12">
        <v>4</v>
      </c>
      <c r="G1014" s="4">
        <f t="shared" si="106"/>
        <v>42</v>
      </c>
      <c r="H1014" s="12">
        <v>1</v>
      </c>
      <c r="I1014" s="14">
        <f t="shared" si="107"/>
        <v>9.5238095238095233E-2</v>
      </c>
      <c r="J1014" s="14">
        <f t="shared" si="108"/>
        <v>0.10869565217391304</v>
      </c>
      <c r="K1014" s="4">
        <f t="shared" si="109"/>
        <v>5</v>
      </c>
      <c r="L1014" s="4">
        <f t="shared" si="110"/>
        <v>46</v>
      </c>
      <c r="M1014" s="4" t="s">
        <v>519</v>
      </c>
      <c r="N1014" s="4">
        <f t="shared" si="111"/>
        <v>1</v>
      </c>
    </row>
    <row r="1015" spans="1:14">
      <c r="A1015" s="4">
        <v>64</v>
      </c>
      <c r="B1015" s="4" t="s">
        <v>582</v>
      </c>
      <c r="C1015" s="4" t="s">
        <v>71</v>
      </c>
      <c r="D1015" s="4" t="s">
        <v>71</v>
      </c>
      <c r="E1015" s="4" t="str">
        <f t="shared" si="105"/>
        <v>64|C|C</v>
      </c>
      <c r="F1015" s="12">
        <v>10</v>
      </c>
      <c r="G1015" s="4">
        <f t="shared" si="106"/>
        <v>42</v>
      </c>
      <c r="H1015" s="12">
        <v>1</v>
      </c>
      <c r="I1015" s="14">
        <f t="shared" si="107"/>
        <v>0.23809523809523808</v>
      </c>
      <c r="J1015" s="14">
        <f t="shared" si="108"/>
        <v>0.2391304347826087</v>
      </c>
      <c r="K1015" s="4">
        <f t="shared" si="109"/>
        <v>11</v>
      </c>
      <c r="L1015" s="4">
        <f t="shared" si="110"/>
        <v>46</v>
      </c>
      <c r="M1015" s="4" t="s">
        <v>519</v>
      </c>
      <c r="N1015" s="4">
        <f t="shared" si="111"/>
        <v>1</v>
      </c>
    </row>
    <row r="1016" spans="1:14">
      <c r="A1016" s="4">
        <v>64</v>
      </c>
      <c r="B1016" s="4" t="s">
        <v>582</v>
      </c>
      <c r="C1016" s="4" t="s">
        <v>71</v>
      </c>
      <c r="D1016" s="4" t="s">
        <v>70</v>
      </c>
      <c r="E1016" s="4" t="str">
        <f t="shared" si="105"/>
        <v>64|C|G</v>
      </c>
      <c r="F1016" s="12">
        <v>11</v>
      </c>
      <c r="G1016" s="4">
        <f t="shared" si="106"/>
        <v>42</v>
      </c>
      <c r="H1016" s="12">
        <v>1</v>
      </c>
      <c r="I1016" s="14">
        <f t="shared" si="107"/>
        <v>0.26190476190476192</v>
      </c>
      <c r="J1016" s="14">
        <f t="shared" si="108"/>
        <v>0.2608695652173913</v>
      </c>
      <c r="K1016" s="4">
        <f t="shared" si="109"/>
        <v>12</v>
      </c>
      <c r="L1016" s="4">
        <f t="shared" si="110"/>
        <v>46</v>
      </c>
      <c r="M1016" s="4" t="s">
        <v>519</v>
      </c>
      <c r="N1016" s="4">
        <f t="shared" si="111"/>
        <v>1</v>
      </c>
    </row>
    <row r="1017" spans="1:14">
      <c r="A1017" s="4">
        <v>64</v>
      </c>
      <c r="B1017" s="4" t="s">
        <v>582</v>
      </c>
      <c r="C1017" s="4" t="s">
        <v>71</v>
      </c>
      <c r="D1017" s="4" t="s">
        <v>72</v>
      </c>
      <c r="E1017" s="4" t="str">
        <f t="shared" si="105"/>
        <v>64|C|U</v>
      </c>
      <c r="F1017" s="12">
        <v>17</v>
      </c>
      <c r="G1017" s="4">
        <f t="shared" si="106"/>
        <v>42</v>
      </c>
      <c r="H1017" s="12">
        <v>1</v>
      </c>
      <c r="I1017" s="14">
        <f t="shared" si="107"/>
        <v>0.40476190476190477</v>
      </c>
      <c r="J1017" s="14">
        <f t="shared" si="108"/>
        <v>0.39130434782608697</v>
      </c>
      <c r="K1017" s="4">
        <f t="shared" si="109"/>
        <v>18</v>
      </c>
      <c r="L1017" s="4">
        <f t="shared" si="110"/>
        <v>46</v>
      </c>
      <c r="M1017" s="4" t="s">
        <v>519</v>
      </c>
      <c r="N1017" s="4">
        <f t="shared" si="111"/>
        <v>1</v>
      </c>
    </row>
    <row r="1018" spans="1:14">
      <c r="A1018" s="4">
        <v>64</v>
      </c>
      <c r="B1018" s="4" t="s">
        <v>582</v>
      </c>
      <c r="C1018" s="4" t="s">
        <v>70</v>
      </c>
      <c r="D1018" s="4" t="s">
        <v>73</v>
      </c>
      <c r="E1018" s="4" t="str">
        <f t="shared" si="105"/>
        <v>64|G|A</v>
      </c>
      <c r="F1018" s="12">
        <v>2</v>
      </c>
      <c r="G1018" s="4">
        <f t="shared" si="106"/>
        <v>92</v>
      </c>
      <c r="H1018" s="12">
        <v>1</v>
      </c>
      <c r="I1018" s="14">
        <f t="shared" si="107"/>
        <v>2.1739130434782608E-2</v>
      </c>
      <c r="J1018" s="14">
        <f t="shared" si="108"/>
        <v>3.125E-2</v>
      </c>
      <c r="K1018" s="4">
        <f t="shared" si="109"/>
        <v>3</v>
      </c>
      <c r="L1018" s="4">
        <f t="shared" si="110"/>
        <v>96</v>
      </c>
      <c r="M1018" s="4" t="s">
        <v>519</v>
      </c>
      <c r="N1018" s="4">
        <f t="shared" si="111"/>
        <v>1</v>
      </c>
    </row>
    <row r="1019" spans="1:14">
      <c r="A1019" s="4">
        <v>64</v>
      </c>
      <c r="B1019" s="4" t="s">
        <v>582</v>
      </c>
      <c r="C1019" s="4" t="s">
        <v>70</v>
      </c>
      <c r="D1019" s="4" t="s">
        <v>71</v>
      </c>
      <c r="E1019" s="4" t="str">
        <f t="shared" si="105"/>
        <v>64|G|C</v>
      </c>
      <c r="F1019" s="12">
        <v>22</v>
      </c>
      <c r="G1019" s="4">
        <f t="shared" si="106"/>
        <v>92</v>
      </c>
      <c r="H1019" s="12">
        <v>1</v>
      </c>
      <c r="I1019" s="14">
        <f t="shared" si="107"/>
        <v>0.2391304347826087</v>
      </c>
      <c r="J1019" s="14">
        <f t="shared" si="108"/>
        <v>0.23958333333333334</v>
      </c>
      <c r="K1019" s="4">
        <f t="shared" si="109"/>
        <v>23</v>
      </c>
      <c r="L1019" s="4">
        <f t="shared" si="110"/>
        <v>96</v>
      </c>
      <c r="M1019" s="4" t="s">
        <v>519</v>
      </c>
      <c r="N1019" s="4">
        <f t="shared" si="111"/>
        <v>1</v>
      </c>
    </row>
    <row r="1020" spans="1:14">
      <c r="A1020" s="4">
        <v>64</v>
      </c>
      <c r="B1020" s="4" t="s">
        <v>582</v>
      </c>
      <c r="C1020" s="4" t="s">
        <v>70</v>
      </c>
      <c r="D1020" s="4" t="s">
        <v>70</v>
      </c>
      <c r="E1020" s="4" t="str">
        <f t="shared" si="105"/>
        <v>64|G|G</v>
      </c>
      <c r="F1020" s="12">
        <v>37</v>
      </c>
      <c r="G1020" s="4">
        <f t="shared" si="106"/>
        <v>92</v>
      </c>
      <c r="H1020" s="12">
        <v>1</v>
      </c>
      <c r="I1020" s="14">
        <f t="shared" si="107"/>
        <v>0.40217391304347827</v>
      </c>
      <c r="J1020" s="14">
        <f t="shared" si="108"/>
        <v>0.39583333333333331</v>
      </c>
      <c r="K1020" s="4">
        <f t="shared" si="109"/>
        <v>38</v>
      </c>
      <c r="L1020" s="4">
        <f t="shared" si="110"/>
        <v>96</v>
      </c>
      <c r="M1020" s="4" t="s">
        <v>519</v>
      </c>
      <c r="N1020" s="4">
        <f t="shared" si="111"/>
        <v>1</v>
      </c>
    </row>
    <row r="1021" spans="1:14">
      <c r="A1021" s="4">
        <v>64</v>
      </c>
      <c r="B1021" s="4" t="s">
        <v>582</v>
      </c>
      <c r="C1021" s="4" t="s">
        <v>70</v>
      </c>
      <c r="D1021" s="4" t="s">
        <v>72</v>
      </c>
      <c r="E1021" s="4" t="str">
        <f t="shared" si="105"/>
        <v>64|G|U</v>
      </c>
      <c r="F1021" s="12">
        <v>31</v>
      </c>
      <c r="G1021" s="4">
        <f t="shared" si="106"/>
        <v>92</v>
      </c>
      <c r="H1021" s="12">
        <v>1</v>
      </c>
      <c r="I1021" s="14">
        <f t="shared" si="107"/>
        <v>0.33695652173913043</v>
      </c>
      <c r="J1021" s="14">
        <f t="shared" si="108"/>
        <v>0.33333333333333331</v>
      </c>
      <c r="K1021" s="4">
        <f t="shared" si="109"/>
        <v>32</v>
      </c>
      <c r="L1021" s="4">
        <f t="shared" si="110"/>
        <v>96</v>
      </c>
      <c r="M1021" s="4" t="s">
        <v>519</v>
      </c>
      <c r="N1021" s="4">
        <f t="shared" si="111"/>
        <v>1</v>
      </c>
    </row>
    <row r="1022" spans="1:14">
      <c r="A1022" s="4">
        <v>64</v>
      </c>
      <c r="B1022" s="4" t="s">
        <v>582</v>
      </c>
      <c r="C1022" s="4" t="s">
        <v>72</v>
      </c>
      <c r="D1022" s="4" t="s">
        <v>73</v>
      </c>
      <c r="E1022" s="4" t="str">
        <f t="shared" si="105"/>
        <v>64|U|A</v>
      </c>
      <c r="F1022" s="12">
        <v>2</v>
      </c>
      <c r="G1022" s="4">
        <f t="shared" si="106"/>
        <v>33</v>
      </c>
      <c r="H1022" s="12">
        <v>1</v>
      </c>
      <c r="I1022" s="14">
        <f t="shared" si="107"/>
        <v>6.0606060606060608E-2</v>
      </c>
      <c r="J1022" s="14">
        <f t="shared" si="108"/>
        <v>8.1081081081081086E-2</v>
      </c>
      <c r="K1022" s="4">
        <f t="shared" si="109"/>
        <v>3</v>
      </c>
      <c r="L1022" s="4">
        <f t="shared" si="110"/>
        <v>37</v>
      </c>
      <c r="M1022" s="4" t="s">
        <v>519</v>
      </c>
      <c r="N1022" s="4">
        <f t="shared" si="111"/>
        <v>1</v>
      </c>
    </row>
    <row r="1023" spans="1:14">
      <c r="A1023" s="4">
        <v>64</v>
      </c>
      <c r="B1023" s="4" t="s">
        <v>582</v>
      </c>
      <c r="C1023" s="4" t="s">
        <v>72</v>
      </c>
      <c r="D1023" s="4" t="s">
        <v>71</v>
      </c>
      <c r="E1023" s="4" t="str">
        <f t="shared" si="105"/>
        <v>64|U|C</v>
      </c>
      <c r="F1023" s="12">
        <v>17</v>
      </c>
      <c r="G1023" s="4">
        <f t="shared" si="106"/>
        <v>33</v>
      </c>
      <c r="H1023" s="12">
        <v>1</v>
      </c>
      <c r="I1023" s="14">
        <f t="shared" si="107"/>
        <v>0.51515151515151514</v>
      </c>
      <c r="J1023" s="14">
        <f t="shared" si="108"/>
        <v>0.48648648648648651</v>
      </c>
      <c r="K1023" s="4">
        <f t="shared" si="109"/>
        <v>18</v>
      </c>
      <c r="L1023" s="4">
        <f t="shared" si="110"/>
        <v>37</v>
      </c>
      <c r="M1023" s="4" t="s">
        <v>519</v>
      </c>
      <c r="N1023" s="4">
        <f t="shared" si="111"/>
        <v>1</v>
      </c>
    </row>
    <row r="1024" spans="1:14">
      <c r="A1024" s="4">
        <v>64</v>
      </c>
      <c r="B1024" s="4" t="s">
        <v>582</v>
      </c>
      <c r="C1024" s="4" t="s">
        <v>72</v>
      </c>
      <c r="D1024" s="4" t="s">
        <v>70</v>
      </c>
      <c r="E1024" s="4" t="str">
        <f t="shared" si="105"/>
        <v>64|U|G</v>
      </c>
      <c r="F1024" s="12">
        <v>4</v>
      </c>
      <c r="G1024" s="4">
        <f t="shared" si="106"/>
        <v>33</v>
      </c>
      <c r="H1024" s="12">
        <v>1</v>
      </c>
      <c r="I1024" s="14">
        <f t="shared" si="107"/>
        <v>0.12121212121212122</v>
      </c>
      <c r="J1024" s="14">
        <f t="shared" si="108"/>
        <v>0.13513513513513514</v>
      </c>
      <c r="K1024" s="4">
        <f t="shared" si="109"/>
        <v>5</v>
      </c>
      <c r="L1024" s="4">
        <f t="shared" si="110"/>
        <v>37</v>
      </c>
      <c r="M1024" s="4" t="s">
        <v>519</v>
      </c>
      <c r="N1024" s="4">
        <f t="shared" si="111"/>
        <v>1</v>
      </c>
    </row>
    <row r="1025" spans="1:14">
      <c r="A1025" s="4">
        <v>64</v>
      </c>
      <c r="B1025" s="4" t="s">
        <v>582</v>
      </c>
      <c r="C1025" s="4" t="s">
        <v>72</v>
      </c>
      <c r="D1025" s="4" t="s">
        <v>72</v>
      </c>
      <c r="E1025" s="4" t="str">
        <f t="shared" si="105"/>
        <v>64|U|U</v>
      </c>
      <c r="F1025" s="12">
        <v>10</v>
      </c>
      <c r="G1025" s="4">
        <f t="shared" si="106"/>
        <v>33</v>
      </c>
      <c r="H1025" s="12">
        <v>1</v>
      </c>
      <c r="I1025" s="14">
        <f t="shared" si="107"/>
        <v>0.30303030303030304</v>
      </c>
      <c r="J1025" s="14">
        <f t="shared" si="108"/>
        <v>0.29729729729729731</v>
      </c>
      <c r="K1025" s="4">
        <f t="shared" si="109"/>
        <v>11</v>
      </c>
      <c r="L1025" s="4">
        <f t="shared" si="110"/>
        <v>37</v>
      </c>
      <c r="M1025" s="4" t="s">
        <v>519</v>
      </c>
      <c r="N1025" s="4">
        <f t="shared" si="111"/>
        <v>1</v>
      </c>
    </row>
    <row r="1026" spans="1:14">
      <c r="A1026" s="4">
        <v>65</v>
      </c>
      <c r="B1026" s="4" t="s">
        <v>583</v>
      </c>
      <c r="C1026" s="4" t="s">
        <v>73</v>
      </c>
      <c r="D1026" s="4" t="s">
        <v>73</v>
      </c>
      <c r="E1026" s="4" t="str">
        <f t="shared" ref="E1026:E1089" si="112">A1026&amp;"|"&amp;C1026&amp;"|"&amp;D1026</f>
        <v>65|A|A</v>
      </c>
      <c r="F1026" s="12">
        <v>1</v>
      </c>
      <c r="G1026" s="4">
        <f t="shared" ref="G1026:G1089" si="113">SUMIFS($F$2:$F$1137,$A$2:$A$1137,A1026,$C$2:$C$1137,C1026)</f>
        <v>9</v>
      </c>
      <c r="H1026" s="12">
        <v>1</v>
      </c>
      <c r="I1026" s="14">
        <f t="shared" ref="I1026:I1089" si="114">IF(G1026=0,"",F1026/G1026)</f>
        <v>0.1111111111111111</v>
      </c>
      <c r="J1026" s="14">
        <f t="shared" ref="J1026:J1089" si="115">K1026/L1026</f>
        <v>0.15384615384615385</v>
      </c>
      <c r="K1026" s="4">
        <f t="shared" ref="K1026:K1089" si="116">F1026+H1026</f>
        <v>2</v>
      </c>
      <c r="L1026" s="4">
        <f t="shared" ref="L1026:L1089" si="117">G1026+4*H1026</f>
        <v>13</v>
      </c>
      <c r="M1026" s="4" t="s">
        <v>519</v>
      </c>
      <c r="N1026" s="4">
        <f t="shared" ref="N1026:N1089" si="118">ROUND(SUMIFS($J$2:$J$1137,$A$2:$A$1137,A1026,$C$2:$C$1137,C1026),9)</f>
        <v>1</v>
      </c>
    </row>
    <row r="1027" spans="1:14">
      <c r="A1027" s="4">
        <v>65</v>
      </c>
      <c r="B1027" s="4" t="s">
        <v>583</v>
      </c>
      <c r="C1027" s="4" t="s">
        <v>73</v>
      </c>
      <c r="D1027" s="4" t="s">
        <v>71</v>
      </c>
      <c r="E1027" s="4" t="str">
        <f t="shared" si="112"/>
        <v>65|A|C</v>
      </c>
      <c r="F1027" s="12">
        <v>2</v>
      </c>
      <c r="G1027" s="4">
        <f t="shared" si="113"/>
        <v>9</v>
      </c>
      <c r="H1027" s="12">
        <v>1</v>
      </c>
      <c r="I1027" s="14">
        <f t="shared" si="114"/>
        <v>0.22222222222222221</v>
      </c>
      <c r="J1027" s="14">
        <f t="shared" si="115"/>
        <v>0.23076923076923078</v>
      </c>
      <c r="K1027" s="4">
        <f t="shared" si="116"/>
        <v>3</v>
      </c>
      <c r="L1027" s="4">
        <f t="shared" si="117"/>
        <v>13</v>
      </c>
      <c r="M1027" s="4" t="s">
        <v>519</v>
      </c>
      <c r="N1027" s="4">
        <f t="shared" si="118"/>
        <v>1</v>
      </c>
    </row>
    <row r="1028" spans="1:14">
      <c r="A1028" s="4">
        <v>65</v>
      </c>
      <c r="B1028" s="4" t="s">
        <v>583</v>
      </c>
      <c r="C1028" s="4" t="s">
        <v>73</v>
      </c>
      <c r="D1028" s="4" t="s">
        <v>70</v>
      </c>
      <c r="E1028" s="4" t="str">
        <f t="shared" si="112"/>
        <v>65|A|G</v>
      </c>
      <c r="F1028" s="12">
        <v>0</v>
      </c>
      <c r="G1028" s="4">
        <f t="shared" si="113"/>
        <v>9</v>
      </c>
      <c r="H1028" s="12">
        <v>1</v>
      </c>
      <c r="I1028" s="14">
        <f t="shared" si="114"/>
        <v>0</v>
      </c>
      <c r="J1028" s="14">
        <f t="shared" si="115"/>
        <v>7.6923076923076927E-2</v>
      </c>
      <c r="K1028" s="4">
        <f t="shared" si="116"/>
        <v>1</v>
      </c>
      <c r="L1028" s="4">
        <f t="shared" si="117"/>
        <v>13</v>
      </c>
      <c r="M1028" s="4" t="s">
        <v>519</v>
      </c>
      <c r="N1028" s="4">
        <f t="shared" si="118"/>
        <v>1</v>
      </c>
    </row>
    <row r="1029" spans="1:14">
      <c r="A1029" s="4">
        <v>65</v>
      </c>
      <c r="B1029" s="4" t="s">
        <v>583</v>
      </c>
      <c r="C1029" s="4" t="s">
        <v>73</v>
      </c>
      <c r="D1029" s="4" t="s">
        <v>72</v>
      </c>
      <c r="E1029" s="4" t="str">
        <f t="shared" si="112"/>
        <v>65|A|U</v>
      </c>
      <c r="F1029" s="12">
        <v>6</v>
      </c>
      <c r="G1029" s="4">
        <f t="shared" si="113"/>
        <v>9</v>
      </c>
      <c r="H1029" s="12">
        <v>1</v>
      </c>
      <c r="I1029" s="14">
        <f t="shared" si="114"/>
        <v>0.66666666666666663</v>
      </c>
      <c r="J1029" s="14">
        <f t="shared" si="115"/>
        <v>0.53846153846153844</v>
      </c>
      <c r="K1029" s="4">
        <f t="shared" si="116"/>
        <v>7</v>
      </c>
      <c r="L1029" s="4">
        <f t="shared" si="117"/>
        <v>13</v>
      </c>
      <c r="M1029" s="4" t="s">
        <v>519</v>
      </c>
      <c r="N1029" s="4">
        <f t="shared" si="118"/>
        <v>1</v>
      </c>
    </row>
    <row r="1030" spans="1:14">
      <c r="A1030" s="4">
        <v>65</v>
      </c>
      <c r="B1030" s="4" t="s">
        <v>583</v>
      </c>
      <c r="C1030" s="4" t="s">
        <v>71</v>
      </c>
      <c r="D1030" s="4" t="s">
        <v>73</v>
      </c>
      <c r="E1030" s="4" t="str">
        <f t="shared" si="112"/>
        <v>65|C|A</v>
      </c>
      <c r="F1030" s="12">
        <v>11</v>
      </c>
      <c r="G1030" s="4">
        <f t="shared" si="113"/>
        <v>63</v>
      </c>
      <c r="H1030" s="12">
        <v>1</v>
      </c>
      <c r="I1030" s="14">
        <f t="shared" si="114"/>
        <v>0.17460317460317459</v>
      </c>
      <c r="J1030" s="14">
        <f t="shared" si="115"/>
        <v>0.17910447761194029</v>
      </c>
      <c r="K1030" s="4">
        <f t="shared" si="116"/>
        <v>12</v>
      </c>
      <c r="L1030" s="4">
        <f t="shared" si="117"/>
        <v>67</v>
      </c>
      <c r="M1030" s="4" t="s">
        <v>519</v>
      </c>
      <c r="N1030" s="4">
        <f t="shared" si="118"/>
        <v>1</v>
      </c>
    </row>
    <row r="1031" spans="1:14">
      <c r="A1031" s="4">
        <v>65</v>
      </c>
      <c r="B1031" s="4" t="s">
        <v>583</v>
      </c>
      <c r="C1031" s="4" t="s">
        <v>71</v>
      </c>
      <c r="D1031" s="4" t="s">
        <v>71</v>
      </c>
      <c r="E1031" s="4" t="str">
        <f t="shared" si="112"/>
        <v>65|C|C</v>
      </c>
      <c r="F1031" s="12">
        <v>37</v>
      </c>
      <c r="G1031" s="4">
        <f t="shared" si="113"/>
        <v>63</v>
      </c>
      <c r="H1031" s="12">
        <v>1</v>
      </c>
      <c r="I1031" s="14">
        <f t="shared" si="114"/>
        <v>0.58730158730158732</v>
      </c>
      <c r="J1031" s="14">
        <f t="shared" si="115"/>
        <v>0.56716417910447758</v>
      </c>
      <c r="K1031" s="4">
        <f t="shared" si="116"/>
        <v>38</v>
      </c>
      <c r="L1031" s="4">
        <f t="shared" si="117"/>
        <v>67</v>
      </c>
      <c r="M1031" s="4" t="s">
        <v>519</v>
      </c>
      <c r="N1031" s="4">
        <f t="shared" si="118"/>
        <v>1</v>
      </c>
    </row>
    <row r="1032" spans="1:14">
      <c r="A1032" s="4">
        <v>65</v>
      </c>
      <c r="B1032" s="4" t="s">
        <v>583</v>
      </c>
      <c r="C1032" s="4" t="s">
        <v>71</v>
      </c>
      <c r="D1032" s="4" t="s">
        <v>70</v>
      </c>
      <c r="E1032" s="4" t="str">
        <f t="shared" si="112"/>
        <v>65|C|G</v>
      </c>
      <c r="F1032" s="12">
        <v>1</v>
      </c>
      <c r="G1032" s="4">
        <f t="shared" si="113"/>
        <v>63</v>
      </c>
      <c r="H1032" s="12">
        <v>1</v>
      </c>
      <c r="I1032" s="14">
        <f t="shared" si="114"/>
        <v>1.5873015873015872E-2</v>
      </c>
      <c r="J1032" s="14">
        <f t="shared" si="115"/>
        <v>2.9850746268656716E-2</v>
      </c>
      <c r="K1032" s="4">
        <f t="shared" si="116"/>
        <v>2</v>
      </c>
      <c r="L1032" s="4">
        <f t="shared" si="117"/>
        <v>67</v>
      </c>
      <c r="M1032" s="4" t="s">
        <v>519</v>
      </c>
      <c r="N1032" s="4">
        <f t="shared" si="118"/>
        <v>1</v>
      </c>
    </row>
    <row r="1033" spans="1:14">
      <c r="A1033" s="4">
        <v>65</v>
      </c>
      <c r="B1033" s="4" t="s">
        <v>583</v>
      </c>
      <c r="C1033" s="4" t="s">
        <v>71</v>
      </c>
      <c r="D1033" s="4" t="s">
        <v>72</v>
      </c>
      <c r="E1033" s="4" t="str">
        <f t="shared" si="112"/>
        <v>65|C|U</v>
      </c>
      <c r="F1033" s="12">
        <v>14</v>
      </c>
      <c r="G1033" s="4">
        <f t="shared" si="113"/>
        <v>63</v>
      </c>
      <c r="H1033" s="12">
        <v>1</v>
      </c>
      <c r="I1033" s="14">
        <f t="shared" si="114"/>
        <v>0.22222222222222221</v>
      </c>
      <c r="J1033" s="14">
        <f t="shared" si="115"/>
        <v>0.22388059701492538</v>
      </c>
      <c r="K1033" s="4">
        <f t="shared" si="116"/>
        <v>15</v>
      </c>
      <c r="L1033" s="4">
        <f t="shared" si="117"/>
        <v>67</v>
      </c>
      <c r="M1033" s="4" t="s">
        <v>519</v>
      </c>
      <c r="N1033" s="4">
        <f t="shared" si="118"/>
        <v>1</v>
      </c>
    </row>
    <row r="1034" spans="1:14">
      <c r="A1034" s="4">
        <v>65</v>
      </c>
      <c r="B1034" s="4" t="s">
        <v>583</v>
      </c>
      <c r="C1034" s="4" t="s">
        <v>70</v>
      </c>
      <c r="D1034" s="4" t="s">
        <v>73</v>
      </c>
      <c r="E1034" s="4" t="str">
        <f t="shared" si="112"/>
        <v>65|G|A</v>
      </c>
      <c r="F1034" s="12">
        <v>9</v>
      </c>
      <c r="G1034" s="4">
        <f t="shared" si="113"/>
        <v>57</v>
      </c>
      <c r="H1034" s="12">
        <v>1</v>
      </c>
      <c r="I1034" s="14">
        <f t="shared" si="114"/>
        <v>0.15789473684210525</v>
      </c>
      <c r="J1034" s="14">
        <f t="shared" si="115"/>
        <v>0.16393442622950818</v>
      </c>
      <c r="K1034" s="4">
        <f t="shared" si="116"/>
        <v>10</v>
      </c>
      <c r="L1034" s="4">
        <f t="shared" si="117"/>
        <v>61</v>
      </c>
      <c r="M1034" s="4" t="s">
        <v>519</v>
      </c>
      <c r="N1034" s="4">
        <f t="shared" si="118"/>
        <v>1</v>
      </c>
    </row>
    <row r="1035" spans="1:14">
      <c r="A1035" s="4">
        <v>65</v>
      </c>
      <c r="B1035" s="4" t="s">
        <v>583</v>
      </c>
      <c r="C1035" s="4" t="s">
        <v>70</v>
      </c>
      <c r="D1035" s="4" t="s">
        <v>71</v>
      </c>
      <c r="E1035" s="4" t="str">
        <f t="shared" si="112"/>
        <v>65|G|C</v>
      </c>
      <c r="F1035" s="12">
        <v>30</v>
      </c>
      <c r="G1035" s="4">
        <f t="shared" si="113"/>
        <v>57</v>
      </c>
      <c r="H1035" s="12">
        <v>1</v>
      </c>
      <c r="I1035" s="14">
        <f t="shared" si="114"/>
        <v>0.52631578947368418</v>
      </c>
      <c r="J1035" s="14">
        <f t="shared" si="115"/>
        <v>0.50819672131147542</v>
      </c>
      <c r="K1035" s="4">
        <f t="shared" si="116"/>
        <v>31</v>
      </c>
      <c r="L1035" s="4">
        <f t="shared" si="117"/>
        <v>61</v>
      </c>
      <c r="M1035" s="4" t="s">
        <v>519</v>
      </c>
      <c r="N1035" s="4">
        <f t="shared" si="118"/>
        <v>1</v>
      </c>
    </row>
    <row r="1036" spans="1:14">
      <c r="A1036" s="4">
        <v>65</v>
      </c>
      <c r="B1036" s="4" t="s">
        <v>583</v>
      </c>
      <c r="C1036" s="4" t="s">
        <v>70</v>
      </c>
      <c r="D1036" s="4" t="s">
        <v>70</v>
      </c>
      <c r="E1036" s="4" t="str">
        <f t="shared" si="112"/>
        <v>65|G|G</v>
      </c>
      <c r="F1036" s="12">
        <v>1</v>
      </c>
      <c r="G1036" s="4">
        <f t="shared" si="113"/>
        <v>57</v>
      </c>
      <c r="H1036" s="12">
        <v>1</v>
      </c>
      <c r="I1036" s="14">
        <f t="shared" si="114"/>
        <v>1.7543859649122806E-2</v>
      </c>
      <c r="J1036" s="14">
        <f t="shared" si="115"/>
        <v>3.2786885245901641E-2</v>
      </c>
      <c r="K1036" s="4">
        <f t="shared" si="116"/>
        <v>2</v>
      </c>
      <c r="L1036" s="4">
        <f t="shared" si="117"/>
        <v>61</v>
      </c>
      <c r="M1036" s="4" t="s">
        <v>519</v>
      </c>
      <c r="N1036" s="4">
        <f t="shared" si="118"/>
        <v>1</v>
      </c>
    </row>
    <row r="1037" spans="1:14">
      <c r="A1037" s="4">
        <v>65</v>
      </c>
      <c r="B1037" s="4" t="s">
        <v>583</v>
      </c>
      <c r="C1037" s="4" t="s">
        <v>70</v>
      </c>
      <c r="D1037" s="4" t="s">
        <v>72</v>
      </c>
      <c r="E1037" s="4" t="str">
        <f t="shared" si="112"/>
        <v>65|G|U</v>
      </c>
      <c r="F1037" s="12">
        <v>17</v>
      </c>
      <c r="G1037" s="4">
        <f t="shared" si="113"/>
        <v>57</v>
      </c>
      <c r="H1037" s="12">
        <v>1</v>
      </c>
      <c r="I1037" s="14">
        <f t="shared" si="114"/>
        <v>0.2982456140350877</v>
      </c>
      <c r="J1037" s="14">
        <f t="shared" si="115"/>
        <v>0.29508196721311475</v>
      </c>
      <c r="K1037" s="4">
        <f t="shared" si="116"/>
        <v>18</v>
      </c>
      <c r="L1037" s="4">
        <f t="shared" si="117"/>
        <v>61</v>
      </c>
      <c r="M1037" s="4" t="s">
        <v>519</v>
      </c>
      <c r="N1037" s="4">
        <f t="shared" si="118"/>
        <v>1</v>
      </c>
    </row>
    <row r="1038" spans="1:14">
      <c r="A1038" s="4">
        <v>65</v>
      </c>
      <c r="B1038" s="4" t="s">
        <v>583</v>
      </c>
      <c r="C1038" s="4" t="s">
        <v>72</v>
      </c>
      <c r="D1038" s="4" t="s">
        <v>73</v>
      </c>
      <c r="E1038" s="4" t="str">
        <f t="shared" si="112"/>
        <v>65|U|A</v>
      </c>
      <c r="F1038" s="12">
        <v>22</v>
      </c>
      <c r="G1038" s="4">
        <f t="shared" si="113"/>
        <v>70</v>
      </c>
      <c r="H1038" s="12">
        <v>1</v>
      </c>
      <c r="I1038" s="14">
        <f t="shared" si="114"/>
        <v>0.31428571428571428</v>
      </c>
      <c r="J1038" s="14">
        <f t="shared" si="115"/>
        <v>0.3108108108108108</v>
      </c>
      <c r="K1038" s="4">
        <f t="shared" si="116"/>
        <v>23</v>
      </c>
      <c r="L1038" s="4">
        <f t="shared" si="117"/>
        <v>74</v>
      </c>
      <c r="M1038" s="4" t="s">
        <v>519</v>
      </c>
      <c r="N1038" s="4">
        <f t="shared" si="118"/>
        <v>1</v>
      </c>
    </row>
    <row r="1039" spans="1:14">
      <c r="A1039" s="4">
        <v>65</v>
      </c>
      <c r="B1039" s="4" t="s">
        <v>583</v>
      </c>
      <c r="C1039" s="4" t="s">
        <v>72</v>
      </c>
      <c r="D1039" s="4" t="s">
        <v>71</v>
      </c>
      <c r="E1039" s="4" t="str">
        <f t="shared" si="112"/>
        <v>65|U|C</v>
      </c>
      <c r="F1039" s="12">
        <v>35</v>
      </c>
      <c r="G1039" s="4">
        <f t="shared" si="113"/>
        <v>70</v>
      </c>
      <c r="H1039" s="12">
        <v>1</v>
      </c>
      <c r="I1039" s="14">
        <f t="shared" si="114"/>
        <v>0.5</v>
      </c>
      <c r="J1039" s="14">
        <f t="shared" si="115"/>
        <v>0.48648648648648651</v>
      </c>
      <c r="K1039" s="4">
        <f t="shared" si="116"/>
        <v>36</v>
      </c>
      <c r="L1039" s="4">
        <f t="shared" si="117"/>
        <v>74</v>
      </c>
      <c r="M1039" s="4" t="s">
        <v>519</v>
      </c>
      <c r="N1039" s="4">
        <f t="shared" si="118"/>
        <v>1</v>
      </c>
    </row>
    <row r="1040" spans="1:14">
      <c r="A1040" s="4">
        <v>65</v>
      </c>
      <c r="B1040" s="4" t="s">
        <v>583</v>
      </c>
      <c r="C1040" s="4" t="s">
        <v>72</v>
      </c>
      <c r="D1040" s="4" t="s">
        <v>70</v>
      </c>
      <c r="E1040" s="4" t="str">
        <f t="shared" si="112"/>
        <v>65|U|G</v>
      </c>
      <c r="F1040" s="12">
        <v>0</v>
      </c>
      <c r="G1040" s="4">
        <f t="shared" si="113"/>
        <v>70</v>
      </c>
      <c r="H1040" s="12">
        <v>1</v>
      </c>
      <c r="I1040" s="14">
        <f t="shared" si="114"/>
        <v>0</v>
      </c>
      <c r="J1040" s="14">
        <f t="shared" si="115"/>
        <v>1.3513513513513514E-2</v>
      </c>
      <c r="K1040" s="4">
        <f t="shared" si="116"/>
        <v>1</v>
      </c>
      <c r="L1040" s="4">
        <f t="shared" si="117"/>
        <v>74</v>
      </c>
      <c r="M1040" s="4" t="s">
        <v>519</v>
      </c>
      <c r="N1040" s="4">
        <f t="shared" si="118"/>
        <v>1</v>
      </c>
    </row>
    <row r="1041" spans="1:14">
      <c r="A1041" s="4">
        <v>65</v>
      </c>
      <c r="B1041" s="4" t="s">
        <v>583</v>
      </c>
      <c r="C1041" s="4" t="s">
        <v>72</v>
      </c>
      <c r="D1041" s="4" t="s">
        <v>72</v>
      </c>
      <c r="E1041" s="4" t="str">
        <f t="shared" si="112"/>
        <v>65|U|U</v>
      </c>
      <c r="F1041" s="12">
        <v>13</v>
      </c>
      <c r="G1041" s="4">
        <f t="shared" si="113"/>
        <v>70</v>
      </c>
      <c r="H1041" s="12">
        <v>1</v>
      </c>
      <c r="I1041" s="14">
        <f t="shared" si="114"/>
        <v>0.18571428571428572</v>
      </c>
      <c r="J1041" s="14">
        <f t="shared" si="115"/>
        <v>0.1891891891891892</v>
      </c>
      <c r="K1041" s="4">
        <f t="shared" si="116"/>
        <v>14</v>
      </c>
      <c r="L1041" s="4">
        <f t="shared" si="117"/>
        <v>74</v>
      </c>
      <c r="M1041" s="4" t="s">
        <v>519</v>
      </c>
      <c r="N1041" s="4">
        <f t="shared" si="118"/>
        <v>1</v>
      </c>
    </row>
    <row r="1042" spans="1:14">
      <c r="A1042" s="4">
        <v>66</v>
      </c>
      <c r="B1042" s="4" t="s">
        <v>584</v>
      </c>
      <c r="C1042" s="4" t="s">
        <v>73</v>
      </c>
      <c r="D1042" s="4" t="s">
        <v>73</v>
      </c>
      <c r="E1042" s="4" t="str">
        <f t="shared" si="112"/>
        <v>66|A|A</v>
      </c>
      <c r="F1042" s="12">
        <v>4</v>
      </c>
      <c r="G1042" s="4">
        <f t="shared" si="113"/>
        <v>43</v>
      </c>
      <c r="H1042" s="12">
        <v>1</v>
      </c>
      <c r="I1042" s="14">
        <f t="shared" si="114"/>
        <v>9.3023255813953487E-2</v>
      </c>
      <c r="J1042" s="14">
        <f t="shared" si="115"/>
        <v>0.10638297872340426</v>
      </c>
      <c r="K1042" s="4">
        <f t="shared" si="116"/>
        <v>5</v>
      </c>
      <c r="L1042" s="4">
        <f t="shared" si="117"/>
        <v>47</v>
      </c>
      <c r="M1042" s="4" t="s">
        <v>519</v>
      </c>
      <c r="N1042" s="4">
        <f t="shared" si="118"/>
        <v>1</v>
      </c>
    </row>
    <row r="1043" spans="1:14">
      <c r="A1043" s="4">
        <v>66</v>
      </c>
      <c r="B1043" s="4" t="s">
        <v>584</v>
      </c>
      <c r="C1043" s="4" t="s">
        <v>73</v>
      </c>
      <c r="D1043" s="4" t="s">
        <v>71</v>
      </c>
      <c r="E1043" s="4" t="str">
        <f t="shared" si="112"/>
        <v>66|A|C</v>
      </c>
      <c r="F1043" s="12">
        <v>13</v>
      </c>
      <c r="G1043" s="4">
        <f t="shared" si="113"/>
        <v>43</v>
      </c>
      <c r="H1043" s="12">
        <v>1</v>
      </c>
      <c r="I1043" s="14">
        <f t="shared" si="114"/>
        <v>0.30232558139534882</v>
      </c>
      <c r="J1043" s="14">
        <f t="shared" si="115"/>
        <v>0.2978723404255319</v>
      </c>
      <c r="K1043" s="4">
        <f t="shared" si="116"/>
        <v>14</v>
      </c>
      <c r="L1043" s="4">
        <f t="shared" si="117"/>
        <v>47</v>
      </c>
      <c r="M1043" s="4" t="s">
        <v>519</v>
      </c>
      <c r="N1043" s="4">
        <f t="shared" si="118"/>
        <v>1</v>
      </c>
    </row>
    <row r="1044" spans="1:14">
      <c r="A1044" s="4">
        <v>66</v>
      </c>
      <c r="B1044" s="4" t="s">
        <v>584</v>
      </c>
      <c r="C1044" s="4" t="s">
        <v>73</v>
      </c>
      <c r="D1044" s="4" t="s">
        <v>70</v>
      </c>
      <c r="E1044" s="4" t="str">
        <f t="shared" si="112"/>
        <v>66|A|G</v>
      </c>
      <c r="F1044" s="12">
        <v>15</v>
      </c>
      <c r="G1044" s="4">
        <f t="shared" si="113"/>
        <v>43</v>
      </c>
      <c r="H1044" s="12">
        <v>1</v>
      </c>
      <c r="I1044" s="14">
        <f t="shared" si="114"/>
        <v>0.34883720930232559</v>
      </c>
      <c r="J1044" s="14">
        <f t="shared" si="115"/>
        <v>0.34042553191489361</v>
      </c>
      <c r="K1044" s="4">
        <f t="shared" si="116"/>
        <v>16</v>
      </c>
      <c r="L1044" s="4">
        <f t="shared" si="117"/>
        <v>47</v>
      </c>
      <c r="M1044" s="4" t="s">
        <v>519</v>
      </c>
      <c r="N1044" s="4">
        <f t="shared" si="118"/>
        <v>1</v>
      </c>
    </row>
    <row r="1045" spans="1:14">
      <c r="A1045" s="4">
        <v>66</v>
      </c>
      <c r="B1045" s="4" t="s">
        <v>584</v>
      </c>
      <c r="C1045" s="4" t="s">
        <v>73</v>
      </c>
      <c r="D1045" s="4" t="s">
        <v>72</v>
      </c>
      <c r="E1045" s="4" t="str">
        <f t="shared" si="112"/>
        <v>66|A|U</v>
      </c>
      <c r="F1045" s="12">
        <v>11</v>
      </c>
      <c r="G1045" s="4">
        <f t="shared" si="113"/>
        <v>43</v>
      </c>
      <c r="H1045" s="12">
        <v>1</v>
      </c>
      <c r="I1045" s="14">
        <f t="shared" si="114"/>
        <v>0.2558139534883721</v>
      </c>
      <c r="J1045" s="14">
        <f t="shared" si="115"/>
        <v>0.25531914893617019</v>
      </c>
      <c r="K1045" s="4">
        <f t="shared" si="116"/>
        <v>12</v>
      </c>
      <c r="L1045" s="4">
        <f t="shared" si="117"/>
        <v>47</v>
      </c>
      <c r="M1045" s="4" t="s">
        <v>519</v>
      </c>
      <c r="N1045" s="4">
        <f t="shared" si="118"/>
        <v>1</v>
      </c>
    </row>
    <row r="1046" spans="1:14">
      <c r="A1046" s="4">
        <v>66</v>
      </c>
      <c r="B1046" s="4" t="s">
        <v>584</v>
      </c>
      <c r="C1046" s="4" t="s">
        <v>71</v>
      </c>
      <c r="D1046" s="4" t="s">
        <v>73</v>
      </c>
      <c r="E1046" s="4" t="str">
        <f t="shared" si="112"/>
        <v>66|C|A</v>
      </c>
      <c r="F1046" s="12">
        <v>19</v>
      </c>
      <c r="G1046" s="4">
        <f t="shared" si="113"/>
        <v>105</v>
      </c>
      <c r="H1046" s="12">
        <v>1</v>
      </c>
      <c r="I1046" s="14">
        <f t="shared" si="114"/>
        <v>0.18095238095238095</v>
      </c>
      <c r="J1046" s="14">
        <f t="shared" si="115"/>
        <v>0.1834862385321101</v>
      </c>
      <c r="K1046" s="4">
        <f t="shared" si="116"/>
        <v>20</v>
      </c>
      <c r="L1046" s="4">
        <f t="shared" si="117"/>
        <v>109</v>
      </c>
      <c r="M1046" s="4" t="s">
        <v>519</v>
      </c>
      <c r="N1046" s="4">
        <f t="shared" si="118"/>
        <v>1</v>
      </c>
    </row>
    <row r="1047" spans="1:14">
      <c r="A1047" s="4">
        <v>66</v>
      </c>
      <c r="B1047" s="4" t="s">
        <v>584</v>
      </c>
      <c r="C1047" s="4" t="s">
        <v>71</v>
      </c>
      <c r="D1047" s="4" t="s">
        <v>71</v>
      </c>
      <c r="E1047" s="4" t="str">
        <f t="shared" si="112"/>
        <v>66|C|C</v>
      </c>
      <c r="F1047" s="12">
        <v>22</v>
      </c>
      <c r="G1047" s="4">
        <f t="shared" si="113"/>
        <v>105</v>
      </c>
      <c r="H1047" s="12">
        <v>1</v>
      </c>
      <c r="I1047" s="14">
        <f t="shared" si="114"/>
        <v>0.20952380952380953</v>
      </c>
      <c r="J1047" s="14">
        <f t="shared" si="115"/>
        <v>0.21100917431192662</v>
      </c>
      <c r="K1047" s="4">
        <f t="shared" si="116"/>
        <v>23</v>
      </c>
      <c r="L1047" s="4">
        <f t="shared" si="117"/>
        <v>109</v>
      </c>
      <c r="M1047" s="4" t="s">
        <v>519</v>
      </c>
      <c r="N1047" s="4">
        <f t="shared" si="118"/>
        <v>1</v>
      </c>
    </row>
    <row r="1048" spans="1:14">
      <c r="A1048" s="4">
        <v>66</v>
      </c>
      <c r="B1048" s="4" t="s">
        <v>584</v>
      </c>
      <c r="C1048" s="4" t="s">
        <v>71</v>
      </c>
      <c r="D1048" s="4" t="s">
        <v>70</v>
      </c>
      <c r="E1048" s="4" t="str">
        <f t="shared" si="112"/>
        <v>66|C|G</v>
      </c>
      <c r="F1048" s="12">
        <v>48</v>
      </c>
      <c r="G1048" s="4">
        <f t="shared" si="113"/>
        <v>105</v>
      </c>
      <c r="H1048" s="12">
        <v>1</v>
      </c>
      <c r="I1048" s="14">
        <f t="shared" si="114"/>
        <v>0.45714285714285713</v>
      </c>
      <c r="J1048" s="14">
        <f t="shared" si="115"/>
        <v>0.44954128440366975</v>
      </c>
      <c r="K1048" s="4">
        <f t="shared" si="116"/>
        <v>49</v>
      </c>
      <c r="L1048" s="4">
        <f t="shared" si="117"/>
        <v>109</v>
      </c>
      <c r="M1048" s="4" t="s">
        <v>519</v>
      </c>
      <c r="N1048" s="4">
        <f t="shared" si="118"/>
        <v>1</v>
      </c>
    </row>
    <row r="1049" spans="1:14">
      <c r="A1049" s="4">
        <v>66</v>
      </c>
      <c r="B1049" s="4" t="s">
        <v>584</v>
      </c>
      <c r="C1049" s="4" t="s">
        <v>71</v>
      </c>
      <c r="D1049" s="4" t="s">
        <v>72</v>
      </c>
      <c r="E1049" s="4" t="str">
        <f t="shared" si="112"/>
        <v>66|C|U</v>
      </c>
      <c r="F1049" s="12">
        <v>16</v>
      </c>
      <c r="G1049" s="4">
        <f t="shared" si="113"/>
        <v>105</v>
      </c>
      <c r="H1049" s="12">
        <v>1</v>
      </c>
      <c r="I1049" s="14">
        <f t="shared" si="114"/>
        <v>0.15238095238095239</v>
      </c>
      <c r="J1049" s="14">
        <f t="shared" si="115"/>
        <v>0.15596330275229359</v>
      </c>
      <c r="K1049" s="4">
        <f t="shared" si="116"/>
        <v>17</v>
      </c>
      <c r="L1049" s="4">
        <f t="shared" si="117"/>
        <v>109</v>
      </c>
      <c r="M1049" s="4" t="s">
        <v>519</v>
      </c>
      <c r="N1049" s="4">
        <f t="shared" si="118"/>
        <v>1</v>
      </c>
    </row>
    <row r="1050" spans="1:14">
      <c r="A1050" s="4">
        <v>66</v>
      </c>
      <c r="B1050" s="4" t="s">
        <v>584</v>
      </c>
      <c r="C1050" s="4" t="s">
        <v>70</v>
      </c>
      <c r="D1050" s="4" t="s">
        <v>73</v>
      </c>
      <c r="E1050" s="4" t="str">
        <f t="shared" si="112"/>
        <v>66|G|A</v>
      </c>
      <c r="F1050" s="12">
        <v>0</v>
      </c>
      <c r="G1050" s="4">
        <f t="shared" si="113"/>
        <v>2</v>
      </c>
      <c r="H1050" s="12">
        <v>1</v>
      </c>
      <c r="I1050" s="14">
        <f t="shared" si="114"/>
        <v>0</v>
      </c>
      <c r="J1050" s="14">
        <f t="shared" si="115"/>
        <v>0.16666666666666666</v>
      </c>
      <c r="K1050" s="4">
        <f t="shared" si="116"/>
        <v>1</v>
      </c>
      <c r="L1050" s="4">
        <f t="shared" si="117"/>
        <v>6</v>
      </c>
      <c r="M1050" s="4" t="s">
        <v>519</v>
      </c>
      <c r="N1050" s="4">
        <f t="shared" si="118"/>
        <v>1</v>
      </c>
    </row>
    <row r="1051" spans="1:14">
      <c r="A1051" s="4">
        <v>66</v>
      </c>
      <c r="B1051" s="4" t="s">
        <v>584</v>
      </c>
      <c r="C1051" s="4" t="s">
        <v>70</v>
      </c>
      <c r="D1051" s="4" t="s">
        <v>71</v>
      </c>
      <c r="E1051" s="4" t="str">
        <f t="shared" si="112"/>
        <v>66|G|C</v>
      </c>
      <c r="F1051" s="12">
        <v>0</v>
      </c>
      <c r="G1051" s="4">
        <f t="shared" si="113"/>
        <v>2</v>
      </c>
      <c r="H1051" s="12">
        <v>1</v>
      </c>
      <c r="I1051" s="14">
        <f t="shared" si="114"/>
        <v>0</v>
      </c>
      <c r="J1051" s="14">
        <f t="shared" si="115"/>
        <v>0.16666666666666666</v>
      </c>
      <c r="K1051" s="4">
        <f t="shared" si="116"/>
        <v>1</v>
      </c>
      <c r="L1051" s="4">
        <f t="shared" si="117"/>
        <v>6</v>
      </c>
      <c r="M1051" s="4" t="s">
        <v>519</v>
      </c>
      <c r="N1051" s="4">
        <f t="shared" si="118"/>
        <v>1</v>
      </c>
    </row>
    <row r="1052" spans="1:14">
      <c r="A1052" s="4">
        <v>66</v>
      </c>
      <c r="B1052" s="4" t="s">
        <v>584</v>
      </c>
      <c r="C1052" s="4" t="s">
        <v>70</v>
      </c>
      <c r="D1052" s="4" t="s">
        <v>70</v>
      </c>
      <c r="E1052" s="4" t="str">
        <f t="shared" si="112"/>
        <v>66|G|G</v>
      </c>
      <c r="F1052" s="12">
        <v>2</v>
      </c>
      <c r="G1052" s="4">
        <f t="shared" si="113"/>
        <v>2</v>
      </c>
      <c r="H1052" s="12">
        <v>1</v>
      </c>
      <c r="I1052" s="14">
        <f t="shared" si="114"/>
        <v>1</v>
      </c>
      <c r="J1052" s="14">
        <f t="shared" si="115"/>
        <v>0.5</v>
      </c>
      <c r="K1052" s="4">
        <f t="shared" si="116"/>
        <v>3</v>
      </c>
      <c r="L1052" s="4">
        <f t="shared" si="117"/>
        <v>6</v>
      </c>
      <c r="M1052" s="4" t="s">
        <v>519</v>
      </c>
      <c r="N1052" s="4">
        <f t="shared" si="118"/>
        <v>1</v>
      </c>
    </row>
    <row r="1053" spans="1:14">
      <c r="A1053" s="4">
        <v>66</v>
      </c>
      <c r="B1053" s="4" t="s">
        <v>584</v>
      </c>
      <c r="C1053" s="4" t="s">
        <v>70</v>
      </c>
      <c r="D1053" s="4" t="s">
        <v>72</v>
      </c>
      <c r="E1053" s="4" t="str">
        <f t="shared" si="112"/>
        <v>66|G|U</v>
      </c>
      <c r="F1053" s="12">
        <v>0</v>
      </c>
      <c r="G1053" s="4">
        <f t="shared" si="113"/>
        <v>2</v>
      </c>
      <c r="H1053" s="12">
        <v>1</v>
      </c>
      <c r="I1053" s="14">
        <f t="shared" si="114"/>
        <v>0</v>
      </c>
      <c r="J1053" s="14">
        <f t="shared" si="115"/>
        <v>0.16666666666666666</v>
      </c>
      <c r="K1053" s="4">
        <f t="shared" si="116"/>
        <v>1</v>
      </c>
      <c r="L1053" s="4">
        <f t="shared" si="117"/>
        <v>6</v>
      </c>
      <c r="M1053" s="4" t="s">
        <v>519</v>
      </c>
      <c r="N1053" s="4">
        <f t="shared" si="118"/>
        <v>1</v>
      </c>
    </row>
    <row r="1054" spans="1:14">
      <c r="A1054" s="4">
        <v>66</v>
      </c>
      <c r="B1054" s="4" t="s">
        <v>584</v>
      </c>
      <c r="C1054" s="4" t="s">
        <v>72</v>
      </c>
      <c r="D1054" s="4" t="s">
        <v>73</v>
      </c>
      <c r="E1054" s="4" t="str">
        <f t="shared" si="112"/>
        <v>66|U|A</v>
      </c>
      <c r="F1054" s="12">
        <v>19</v>
      </c>
      <c r="G1054" s="4">
        <f t="shared" si="113"/>
        <v>50</v>
      </c>
      <c r="H1054" s="12">
        <v>1</v>
      </c>
      <c r="I1054" s="14">
        <f t="shared" si="114"/>
        <v>0.38</v>
      </c>
      <c r="J1054" s="14">
        <f t="shared" si="115"/>
        <v>0.37037037037037035</v>
      </c>
      <c r="K1054" s="4">
        <f t="shared" si="116"/>
        <v>20</v>
      </c>
      <c r="L1054" s="4">
        <f t="shared" si="117"/>
        <v>54</v>
      </c>
      <c r="M1054" s="4" t="s">
        <v>519</v>
      </c>
      <c r="N1054" s="4">
        <f t="shared" si="118"/>
        <v>1</v>
      </c>
    </row>
    <row r="1055" spans="1:14">
      <c r="A1055" s="4">
        <v>66</v>
      </c>
      <c r="B1055" s="4" t="s">
        <v>584</v>
      </c>
      <c r="C1055" s="4" t="s">
        <v>72</v>
      </c>
      <c r="D1055" s="4" t="s">
        <v>71</v>
      </c>
      <c r="E1055" s="4" t="str">
        <f t="shared" si="112"/>
        <v>66|U|C</v>
      </c>
      <c r="F1055" s="12">
        <v>10</v>
      </c>
      <c r="G1055" s="4">
        <f t="shared" si="113"/>
        <v>50</v>
      </c>
      <c r="H1055" s="12">
        <v>1</v>
      </c>
      <c r="I1055" s="14">
        <f t="shared" si="114"/>
        <v>0.2</v>
      </c>
      <c r="J1055" s="14">
        <f t="shared" si="115"/>
        <v>0.20370370370370369</v>
      </c>
      <c r="K1055" s="4">
        <f t="shared" si="116"/>
        <v>11</v>
      </c>
      <c r="L1055" s="4">
        <f t="shared" si="117"/>
        <v>54</v>
      </c>
      <c r="M1055" s="4" t="s">
        <v>519</v>
      </c>
      <c r="N1055" s="4">
        <f t="shared" si="118"/>
        <v>1</v>
      </c>
    </row>
    <row r="1056" spans="1:14">
      <c r="A1056" s="4">
        <v>66</v>
      </c>
      <c r="B1056" s="4" t="s">
        <v>584</v>
      </c>
      <c r="C1056" s="4" t="s">
        <v>72</v>
      </c>
      <c r="D1056" s="4" t="s">
        <v>70</v>
      </c>
      <c r="E1056" s="4" t="str">
        <f t="shared" si="112"/>
        <v>66|U|G</v>
      </c>
      <c r="F1056" s="12">
        <v>10</v>
      </c>
      <c r="G1056" s="4">
        <f t="shared" si="113"/>
        <v>50</v>
      </c>
      <c r="H1056" s="12">
        <v>1</v>
      </c>
      <c r="I1056" s="14">
        <f t="shared" si="114"/>
        <v>0.2</v>
      </c>
      <c r="J1056" s="14">
        <f t="shared" si="115"/>
        <v>0.20370370370370369</v>
      </c>
      <c r="K1056" s="4">
        <f t="shared" si="116"/>
        <v>11</v>
      </c>
      <c r="L1056" s="4">
        <f t="shared" si="117"/>
        <v>54</v>
      </c>
      <c r="M1056" s="4" t="s">
        <v>519</v>
      </c>
      <c r="N1056" s="4">
        <f t="shared" si="118"/>
        <v>1</v>
      </c>
    </row>
    <row r="1057" spans="1:14">
      <c r="A1057" s="4">
        <v>66</v>
      </c>
      <c r="B1057" s="4" t="s">
        <v>584</v>
      </c>
      <c r="C1057" s="4" t="s">
        <v>72</v>
      </c>
      <c r="D1057" s="4" t="s">
        <v>72</v>
      </c>
      <c r="E1057" s="4" t="str">
        <f t="shared" si="112"/>
        <v>66|U|U</v>
      </c>
      <c r="F1057" s="12">
        <v>11</v>
      </c>
      <c r="G1057" s="4">
        <f t="shared" si="113"/>
        <v>50</v>
      </c>
      <c r="H1057" s="12">
        <v>1</v>
      </c>
      <c r="I1057" s="14">
        <f t="shared" si="114"/>
        <v>0.22</v>
      </c>
      <c r="J1057" s="14">
        <f t="shared" si="115"/>
        <v>0.22222222222222221</v>
      </c>
      <c r="K1057" s="4">
        <f t="shared" si="116"/>
        <v>12</v>
      </c>
      <c r="L1057" s="4">
        <f t="shared" si="117"/>
        <v>54</v>
      </c>
      <c r="M1057" s="4" t="s">
        <v>519</v>
      </c>
      <c r="N1057" s="4">
        <f t="shared" si="118"/>
        <v>1</v>
      </c>
    </row>
    <row r="1058" spans="1:14">
      <c r="A1058" s="4">
        <v>67</v>
      </c>
      <c r="B1058" s="4" t="s">
        <v>585</v>
      </c>
      <c r="C1058" s="4" t="s">
        <v>73</v>
      </c>
      <c r="D1058" s="4" t="s">
        <v>73</v>
      </c>
      <c r="E1058" s="4" t="str">
        <f t="shared" si="112"/>
        <v>67|A|A</v>
      </c>
      <c r="F1058" s="12">
        <v>3</v>
      </c>
      <c r="G1058" s="4">
        <f t="shared" si="113"/>
        <v>42</v>
      </c>
      <c r="H1058" s="12">
        <v>1</v>
      </c>
      <c r="I1058" s="14">
        <f t="shared" si="114"/>
        <v>7.1428571428571425E-2</v>
      </c>
      <c r="J1058" s="14">
        <f t="shared" si="115"/>
        <v>8.6956521739130432E-2</v>
      </c>
      <c r="K1058" s="4">
        <f t="shared" si="116"/>
        <v>4</v>
      </c>
      <c r="L1058" s="4">
        <f t="shared" si="117"/>
        <v>46</v>
      </c>
      <c r="M1058" s="4" t="s">
        <v>519</v>
      </c>
      <c r="N1058" s="4">
        <f t="shared" si="118"/>
        <v>1</v>
      </c>
    </row>
    <row r="1059" spans="1:14">
      <c r="A1059" s="4">
        <v>67</v>
      </c>
      <c r="B1059" s="4" t="s">
        <v>585</v>
      </c>
      <c r="C1059" s="4" t="s">
        <v>73</v>
      </c>
      <c r="D1059" s="4" t="s">
        <v>71</v>
      </c>
      <c r="E1059" s="4" t="str">
        <f t="shared" si="112"/>
        <v>67|A|C</v>
      </c>
      <c r="F1059" s="12">
        <v>15</v>
      </c>
      <c r="G1059" s="4">
        <f t="shared" si="113"/>
        <v>42</v>
      </c>
      <c r="H1059" s="12">
        <v>1</v>
      </c>
      <c r="I1059" s="14">
        <f t="shared" si="114"/>
        <v>0.35714285714285715</v>
      </c>
      <c r="J1059" s="14">
        <f t="shared" si="115"/>
        <v>0.34782608695652173</v>
      </c>
      <c r="K1059" s="4">
        <f t="shared" si="116"/>
        <v>16</v>
      </c>
      <c r="L1059" s="4">
        <f t="shared" si="117"/>
        <v>46</v>
      </c>
      <c r="M1059" s="4" t="s">
        <v>519</v>
      </c>
      <c r="N1059" s="4">
        <f t="shared" si="118"/>
        <v>1</v>
      </c>
    </row>
    <row r="1060" spans="1:14">
      <c r="A1060" s="4">
        <v>67</v>
      </c>
      <c r="B1060" s="4" t="s">
        <v>585</v>
      </c>
      <c r="C1060" s="4" t="s">
        <v>73</v>
      </c>
      <c r="D1060" s="4" t="s">
        <v>70</v>
      </c>
      <c r="E1060" s="4" t="str">
        <f t="shared" si="112"/>
        <v>67|A|G</v>
      </c>
      <c r="F1060" s="12">
        <v>13</v>
      </c>
      <c r="G1060" s="4">
        <f t="shared" si="113"/>
        <v>42</v>
      </c>
      <c r="H1060" s="12">
        <v>1</v>
      </c>
      <c r="I1060" s="14">
        <f t="shared" si="114"/>
        <v>0.30952380952380953</v>
      </c>
      <c r="J1060" s="14">
        <f t="shared" si="115"/>
        <v>0.30434782608695654</v>
      </c>
      <c r="K1060" s="4">
        <f t="shared" si="116"/>
        <v>14</v>
      </c>
      <c r="L1060" s="4">
        <f t="shared" si="117"/>
        <v>46</v>
      </c>
      <c r="M1060" s="4" t="s">
        <v>519</v>
      </c>
      <c r="N1060" s="4">
        <f t="shared" si="118"/>
        <v>1</v>
      </c>
    </row>
    <row r="1061" spans="1:14">
      <c r="A1061" s="4">
        <v>67</v>
      </c>
      <c r="B1061" s="4" t="s">
        <v>585</v>
      </c>
      <c r="C1061" s="4" t="s">
        <v>73</v>
      </c>
      <c r="D1061" s="4" t="s">
        <v>72</v>
      </c>
      <c r="E1061" s="4" t="str">
        <f t="shared" si="112"/>
        <v>67|A|U</v>
      </c>
      <c r="F1061" s="12">
        <v>11</v>
      </c>
      <c r="G1061" s="4">
        <f t="shared" si="113"/>
        <v>42</v>
      </c>
      <c r="H1061" s="12">
        <v>1</v>
      </c>
      <c r="I1061" s="14">
        <f t="shared" si="114"/>
        <v>0.26190476190476192</v>
      </c>
      <c r="J1061" s="14">
        <f t="shared" si="115"/>
        <v>0.2608695652173913</v>
      </c>
      <c r="K1061" s="4">
        <f t="shared" si="116"/>
        <v>12</v>
      </c>
      <c r="L1061" s="4">
        <f t="shared" si="117"/>
        <v>46</v>
      </c>
      <c r="M1061" s="4" t="s">
        <v>519</v>
      </c>
      <c r="N1061" s="4">
        <f t="shared" si="118"/>
        <v>1</v>
      </c>
    </row>
    <row r="1062" spans="1:14">
      <c r="A1062" s="4">
        <v>67</v>
      </c>
      <c r="B1062" s="4" t="s">
        <v>585</v>
      </c>
      <c r="C1062" s="4" t="s">
        <v>71</v>
      </c>
      <c r="D1062" s="4" t="s">
        <v>73</v>
      </c>
      <c r="E1062" s="4" t="str">
        <f t="shared" si="112"/>
        <v>67|C|A</v>
      </c>
      <c r="F1062" s="12">
        <v>7</v>
      </c>
      <c r="G1062" s="4">
        <f t="shared" si="113"/>
        <v>45</v>
      </c>
      <c r="H1062" s="12">
        <v>1</v>
      </c>
      <c r="I1062" s="14">
        <f t="shared" si="114"/>
        <v>0.15555555555555556</v>
      </c>
      <c r="J1062" s="14">
        <f t="shared" si="115"/>
        <v>0.16326530612244897</v>
      </c>
      <c r="K1062" s="4">
        <f t="shared" si="116"/>
        <v>8</v>
      </c>
      <c r="L1062" s="4">
        <f t="shared" si="117"/>
        <v>49</v>
      </c>
      <c r="M1062" s="4" t="s">
        <v>519</v>
      </c>
      <c r="N1062" s="4">
        <f t="shared" si="118"/>
        <v>1</v>
      </c>
    </row>
    <row r="1063" spans="1:14">
      <c r="A1063" s="4">
        <v>67</v>
      </c>
      <c r="B1063" s="4" t="s">
        <v>585</v>
      </c>
      <c r="C1063" s="4" t="s">
        <v>71</v>
      </c>
      <c r="D1063" s="4" t="s">
        <v>71</v>
      </c>
      <c r="E1063" s="4" t="str">
        <f t="shared" si="112"/>
        <v>67|C|C</v>
      </c>
      <c r="F1063" s="12">
        <v>15</v>
      </c>
      <c r="G1063" s="4">
        <f t="shared" si="113"/>
        <v>45</v>
      </c>
      <c r="H1063" s="12">
        <v>1</v>
      </c>
      <c r="I1063" s="14">
        <f t="shared" si="114"/>
        <v>0.33333333333333331</v>
      </c>
      <c r="J1063" s="14">
        <f t="shared" si="115"/>
        <v>0.32653061224489793</v>
      </c>
      <c r="K1063" s="4">
        <f t="shared" si="116"/>
        <v>16</v>
      </c>
      <c r="L1063" s="4">
        <f t="shared" si="117"/>
        <v>49</v>
      </c>
      <c r="M1063" s="4" t="s">
        <v>519</v>
      </c>
      <c r="N1063" s="4">
        <f t="shared" si="118"/>
        <v>1</v>
      </c>
    </row>
    <row r="1064" spans="1:14">
      <c r="A1064" s="4">
        <v>67</v>
      </c>
      <c r="B1064" s="4" t="s">
        <v>585</v>
      </c>
      <c r="C1064" s="4" t="s">
        <v>71</v>
      </c>
      <c r="D1064" s="4" t="s">
        <v>70</v>
      </c>
      <c r="E1064" s="4" t="str">
        <f t="shared" si="112"/>
        <v>67|C|G</v>
      </c>
      <c r="F1064" s="12">
        <v>17</v>
      </c>
      <c r="G1064" s="4">
        <f t="shared" si="113"/>
        <v>45</v>
      </c>
      <c r="H1064" s="12">
        <v>1</v>
      </c>
      <c r="I1064" s="14">
        <f t="shared" si="114"/>
        <v>0.37777777777777777</v>
      </c>
      <c r="J1064" s="14">
        <f t="shared" si="115"/>
        <v>0.36734693877551022</v>
      </c>
      <c r="K1064" s="4">
        <f t="shared" si="116"/>
        <v>18</v>
      </c>
      <c r="L1064" s="4">
        <f t="shared" si="117"/>
        <v>49</v>
      </c>
      <c r="M1064" s="4" t="s">
        <v>519</v>
      </c>
      <c r="N1064" s="4">
        <f t="shared" si="118"/>
        <v>1</v>
      </c>
    </row>
    <row r="1065" spans="1:14">
      <c r="A1065" s="4">
        <v>67</v>
      </c>
      <c r="B1065" s="4" t="s">
        <v>585</v>
      </c>
      <c r="C1065" s="4" t="s">
        <v>71</v>
      </c>
      <c r="D1065" s="4" t="s">
        <v>72</v>
      </c>
      <c r="E1065" s="4" t="str">
        <f t="shared" si="112"/>
        <v>67|C|U</v>
      </c>
      <c r="F1065" s="12">
        <v>6</v>
      </c>
      <c r="G1065" s="4">
        <f t="shared" si="113"/>
        <v>45</v>
      </c>
      <c r="H1065" s="12">
        <v>1</v>
      </c>
      <c r="I1065" s="14">
        <f t="shared" si="114"/>
        <v>0.13333333333333333</v>
      </c>
      <c r="J1065" s="14">
        <f t="shared" si="115"/>
        <v>0.14285714285714285</v>
      </c>
      <c r="K1065" s="4">
        <f t="shared" si="116"/>
        <v>7</v>
      </c>
      <c r="L1065" s="4">
        <f t="shared" si="117"/>
        <v>49</v>
      </c>
      <c r="M1065" s="4" t="s">
        <v>519</v>
      </c>
      <c r="N1065" s="4">
        <f t="shared" si="118"/>
        <v>1</v>
      </c>
    </row>
    <row r="1066" spans="1:14">
      <c r="A1066" s="4">
        <v>67</v>
      </c>
      <c r="B1066" s="4" t="s">
        <v>585</v>
      </c>
      <c r="C1066" s="4" t="s">
        <v>70</v>
      </c>
      <c r="D1066" s="4" t="s">
        <v>73</v>
      </c>
      <c r="E1066" s="4" t="str">
        <f t="shared" si="112"/>
        <v>67|G|A</v>
      </c>
      <c r="F1066" s="12">
        <v>5</v>
      </c>
      <c r="G1066" s="4">
        <f t="shared" si="113"/>
        <v>75</v>
      </c>
      <c r="H1066" s="12">
        <v>1</v>
      </c>
      <c r="I1066" s="14">
        <f t="shared" si="114"/>
        <v>6.6666666666666666E-2</v>
      </c>
      <c r="J1066" s="14">
        <f t="shared" si="115"/>
        <v>7.5949367088607597E-2</v>
      </c>
      <c r="K1066" s="4">
        <f t="shared" si="116"/>
        <v>6</v>
      </c>
      <c r="L1066" s="4">
        <f t="shared" si="117"/>
        <v>79</v>
      </c>
      <c r="M1066" s="4" t="s">
        <v>519</v>
      </c>
      <c r="N1066" s="4">
        <f t="shared" si="118"/>
        <v>1</v>
      </c>
    </row>
    <row r="1067" spans="1:14">
      <c r="A1067" s="4">
        <v>67</v>
      </c>
      <c r="B1067" s="4" t="s">
        <v>585</v>
      </c>
      <c r="C1067" s="4" t="s">
        <v>70</v>
      </c>
      <c r="D1067" s="4" t="s">
        <v>71</v>
      </c>
      <c r="E1067" s="4" t="str">
        <f t="shared" si="112"/>
        <v>67|G|C</v>
      </c>
      <c r="F1067" s="12">
        <v>14</v>
      </c>
      <c r="G1067" s="4">
        <f t="shared" si="113"/>
        <v>75</v>
      </c>
      <c r="H1067" s="12">
        <v>1</v>
      </c>
      <c r="I1067" s="14">
        <f t="shared" si="114"/>
        <v>0.18666666666666668</v>
      </c>
      <c r="J1067" s="14">
        <f t="shared" si="115"/>
        <v>0.189873417721519</v>
      </c>
      <c r="K1067" s="4">
        <f t="shared" si="116"/>
        <v>15</v>
      </c>
      <c r="L1067" s="4">
        <f t="shared" si="117"/>
        <v>79</v>
      </c>
      <c r="M1067" s="4" t="s">
        <v>519</v>
      </c>
      <c r="N1067" s="4">
        <f t="shared" si="118"/>
        <v>1</v>
      </c>
    </row>
    <row r="1068" spans="1:14">
      <c r="A1068" s="4">
        <v>67</v>
      </c>
      <c r="B1068" s="4" t="s">
        <v>585</v>
      </c>
      <c r="C1068" s="4" t="s">
        <v>70</v>
      </c>
      <c r="D1068" s="4" t="s">
        <v>70</v>
      </c>
      <c r="E1068" s="4" t="str">
        <f t="shared" si="112"/>
        <v>67|G|G</v>
      </c>
      <c r="F1068" s="12">
        <v>46</v>
      </c>
      <c r="G1068" s="4">
        <f t="shared" si="113"/>
        <v>75</v>
      </c>
      <c r="H1068" s="12">
        <v>1</v>
      </c>
      <c r="I1068" s="14">
        <f t="shared" si="114"/>
        <v>0.61333333333333329</v>
      </c>
      <c r="J1068" s="14">
        <f t="shared" si="115"/>
        <v>0.59493670886075944</v>
      </c>
      <c r="K1068" s="4">
        <f t="shared" si="116"/>
        <v>47</v>
      </c>
      <c r="L1068" s="4">
        <f t="shared" si="117"/>
        <v>79</v>
      </c>
      <c r="M1068" s="4" t="s">
        <v>519</v>
      </c>
      <c r="N1068" s="4">
        <f t="shared" si="118"/>
        <v>1</v>
      </c>
    </row>
    <row r="1069" spans="1:14">
      <c r="A1069" s="4">
        <v>67</v>
      </c>
      <c r="B1069" s="4" t="s">
        <v>585</v>
      </c>
      <c r="C1069" s="4" t="s">
        <v>70</v>
      </c>
      <c r="D1069" s="4" t="s">
        <v>72</v>
      </c>
      <c r="E1069" s="4" t="str">
        <f t="shared" si="112"/>
        <v>67|G|U</v>
      </c>
      <c r="F1069" s="12">
        <v>10</v>
      </c>
      <c r="G1069" s="4">
        <f t="shared" si="113"/>
        <v>75</v>
      </c>
      <c r="H1069" s="12">
        <v>1</v>
      </c>
      <c r="I1069" s="14">
        <f t="shared" si="114"/>
        <v>0.13333333333333333</v>
      </c>
      <c r="J1069" s="14">
        <f t="shared" si="115"/>
        <v>0.13924050632911392</v>
      </c>
      <c r="K1069" s="4">
        <f t="shared" si="116"/>
        <v>11</v>
      </c>
      <c r="L1069" s="4">
        <f t="shared" si="117"/>
        <v>79</v>
      </c>
      <c r="M1069" s="4" t="s">
        <v>519</v>
      </c>
      <c r="N1069" s="4">
        <f t="shared" si="118"/>
        <v>1</v>
      </c>
    </row>
    <row r="1070" spans="1:14">
      <c r="A1070" s="4">
        <v>67</v>
      </c>
      <c r="B1070" s="4" t="s">
        <v>585</v>
      </c>
      <c r="C1070" s="4" t="s">
        <v>72</v>
      </c>
      <c r="D1070" s="4" t="s">
        <v>73</v>
      </c>
      <c r="E1070" s="4" t="str">
        <f t="shared" si="112"/>
        <v>67|U|A</v>
      </c>
      <c r="F1070" s="12">
        <v>0</v>
      </c>
      <c r="G1070" s="4">
        <f t="shared" si="113"/>
        <v>38</v>
      </c>
      <c r="H1070" s="12">
        <v>1</v>
      </c>
      <c r="I1070" s="14">
        <f t="shared" si="114"/>
        <v>0</v>
      </c>
      <c r="J1070" s="14">
        <f t="shared" si="115"/>
        <v>2.3809523809523808E-2</v>
      </c>
      <c r="K1070" s="4">
        <f t="shared" si="116"/>
        <v>1</v>
      </c>
      <c r="L1070" s="4">
        <f t="shared" si="117"/>
        <v>42</v>
      </c>
      <c r="M1070" s="4" t="s">
        <v>519</v>
      </c>
      <c r="N1070" s="4">
        <f t="shared" si="118"/>
        <v>1</v>
      </c>
    </row>
    <row r="1071" spans="1:14">
      <c r="A1071" s="4">
        <v>67</v>
      </c>
      <c r="B1071" s="4" t="s">
        <v>585</v>
      </c>
      <c r="C1071" s="4" t="s">
        <v>72</v>
      </c>
      <c r="D1071" s="4" t="s">
        <v>71</v>
      </c>
      <c r="E1071" s="4" t="str">
        <f t="shared" si="112"/>
        <v>67|U|C</v>
      </c>
      <c r="F1071" s="12">
        <v>18</v>
      </c>
      <c r="G1071" s="4">
        <f t="shared" si="113"/>
        <v>38</v>
      </c>
      <c r="H1071" s="12">
        <v>1</v>
      </c>
      <c r="I1071" s="14">
        <f t="shared" si="114"/>
        <v>0.47368421052631576</v>
      </c>
      <c r="J1071" s="14">
        <f t="shared" si="115"/>
        <v>0.45238095238095238</v>
      </c>
      <c r="K1071" s="4">
        <f t="shared" si="116"/>
        <v>19</v>
      </c>
      <c r="L1071" s="4">
        <f t="shared" si="117"/>
        <v>42</v>
      </c>
      <c r="M1071" s="4" t="s">
        <v>519</v>
      </c>
      <c r="N1071" s="4">
        <f t="shared" si="118"/>
        <v>1</v>
      </c>
    </row>
    <row r="1072" spans="1:14">
      <c r="A1072" s="4">
        <v>67</v>
      </c>
      <c r="B1072" s="4" t="s">
        <v>585</v>
      </c>
      <c r="C1072" s="4" t="s">
        <v>72</v>
      </c>
      <c r="D1072" s="4" t="s">
        <v>70</v>
      </c>
      <c r="E1072" s="4" t="str">
        <f t="shared" si="112"/>
        <v>67|U|G</v>
      </c>
      <c r="F1072" s="12">
        <v>11</v>
      </c>
      <c r="G1072" s="4">
        <f t="shared" si="113"/>
        <v>38</v>
      </c>
      <c r="H1072" s="12">
        <v>1</v>
      </c>
      <c r="I1072" s="14">
        <f t="shared" si="114"/>
        <v>0.28947368421052633</v>
      </c>
      <c r="J1072" s="14">
        <f t="shared" si="115"/>
        <v>0.2857142857142857</v>
      </c>
      <c r="K1072" s="4">
        <f t="shared" si="116"/>
        <v>12</v>
      </c>
      <c r="L1072" s="4">
        <f t="shared" si="117"/>
        <v>42</v>
      </c>
      <c r="M1072" s="4" t="s">
        <v>519</v>
      </c>
      <c r="N1072" s="4">
        <f t="shared" si="118"/>
        <v>1</v>
      </c>
    </row>
    <row r="1073" spans="1:14">
      <c r="A1073" s="4">
        <v>67</v>
      </c>
      <c r="B1073" s="4" t="s">
        <v>585</v>
      </c>
      <c r="C1073" s="4" t="s">
        <v>72</v>
      </c>
      <c r="D1073" s="4" t="s">
        <v>72</v>
      </c>
      <c r="E1073" s="4" t="str">
        <f t="shared" si="112"/>
        <v>67|U|U</v>
      </c>
      <c r="F1073" s="12">
        <v>9</v>
      </c>
      <c r="G1073" s="4">
        <f t="shared" si="113"/>
        <v>38</v>
      </c>
      <c r="H1073" s="12">
        <v>1</v>
      </c>
      <c r="I1073" s="14">
        <f t="shared" si="114"/>
        <v>0.23684210526315788</v>
      </c>
      <c r="J1073" s="14">
        <f t="shared" si="115"/>
        <v>0.23809523809523808</v>
      </c>
      <c r="K1073" s="4">
        <f t="shared" si="116"/>
        <v>10</v>
      </c>
      <c r="L1073" s="4">
        <f t="shared" si="117"/>
        <v>42</v>
      </c>
      <c r="M1073" s="4" t="s">
        <v>519</v>
      </c>
      <c r="N1073" s="4">
        <f t="shared" si="118"/>
        <v>1</v>
      </c>
    </row>
    <row r="1074" spans="1:14">
      <c r="A1074" s="4">
        <v>68</v>
      </c>
      <c r="B1074" s="4" t="s">
        <v>586</v>
      </c>
      <c r="C1074" s="4" t="s">
        <v>73</v>
      </c>
      <c r="D1074" s="4" t="s">
        <v>73</v>
      </c>
      <c r="E1074" s="4" t="str">
        <f t="shared" si="112"/>
        <v>68|A|A</v>
      </c>
      <c r="F1074" s="12">
        <v>4</v>
      </c>
      <c r="G1074" s="4">
        <f t="shared" si="113"/>
        <v>15</v>
      </c>
      <c r="H1074" s="12">
        <v>1</v>
      </c>
      <c r="I1074" s="14">
        <f t="shared" si="114"/>
        <v>0.26666666666666666</v>
      </c>
      <c r="J1074" s="14">
        <f t="shared" si="115"/>
        <v>0.26315789473684209</v>
      </c>
      <c r="K1074" s="4">
        <f t="shared" si="116"/>
        <v>5</v>
      </c>
      <c r="L1074" s="4">
        <f t="shared" si="117"/>
        <v>19</v>
      </c>
      <c r="M1074" s="4" t="s">
        <v>519</v>
      </c>
      <c r="N1074" s="4">
        <f t="shared" si="118"/>
        <v>1</v>
      </c>
    </row>
    <row r="1075" spans="1:14">
      <c r="A1075" s="4">
        <v>68</v>
      </c>
      <c r="B1075" s="4" t="s">
        <v>586</v>
      </c>
      <c r="C1075" s="4" t="s">
        <v>73</v>
      </c>
      <c r="D1075" s="4" t="s">
        <v>71</v>
      </c>
      <c r="E1075" s="4" t="str">
        <f t="shared" si="112"/>
        <v>68|A|C</v>
      </c>
      <c r="F1075" s="12">
        <v>4</v>
      </c>
      <c r="G1075" s="4">
        <f t="shared" si="113"/>
        <v>15</v>
      </c>
      <c r="H1075" s="12">
        <v>1</v>
      </c>
      <c r="I1075" s="14">
        <f t="shared" si="114"/>
        <v>0.26666666666666666</v>
      </c>
      <c r="J1075" s="14">
        <f t="shared" si="115"/>
        <v>0.26315789473684209</v>
      </c>
      <c r="K1075" s="4">
        <f t="shared" si="116"/>
        <v>5</v>
      </c>
      <c r="L1075" s="4">
        <f t="shared" si="117"/>
        <v>19</v>
      </c>
      <c r="M1075" s="4" t="s">
        <v>519</v>
      </c>
      <c r="N1075" s="4">
        <f t="shared" si="118"/>
        <v>1</v>
      </c>
    </row>
    <row r="1076" spans="1:14">
      <c r="A1076" s="4">
        <v>68</v>
      </c>
      <c r="B1076" s="4" t="s">
        <v>586</v>
      </c>
      <c r="C1076" s="4" t="s">
        <v>73</v>
      </c>
      <c r="D1076" s="4" t="s">
        <v>70</v>
      </c>
      <c r="E1076" s="4" t="str">
        <f t="shared" si="112"/>
        <v>68|A|G</v>
      </c>
      <c r="F1076" s="12">
        <v>6</v>
      </c>
      <c r="G1076" s="4">
        <f t="shared" si="113"/>
        <v>15</v>
      </c>
      <c r="H1076" s="12">
        <v>1</v>
      </c>
      <c r="I1076" s="14">
        <f t="shared" si="114"/>
        <v>0.4</v>
      </c>
      <c r="J1076" s="14">
        <f t="shared" si="115"/>
        <v>0.36842105263157893</v>
      </c>
      <c r="K1076" s="4">
        <f t="shared" si="116"/>
        <v>7</v>
      </c>
      <c r="L1076" s="4">
        <f t="shared" si="117"/>
        <v>19</v>
      </c>
      <c r="M1076" s="4" t="s">
        <v>519</v>
      </c>
      <c r="N1076" s="4">
        <f t="shared" si="118"/>
        <v>1</v>
      </c>
    </row>
    <row r="1077" spans="1:14">
      <c r="A1077" s="4">
        <v>68</v>
      </c>
      <c r="B1077" s="4" t="s">
        <v>586</v>
      </c>
      <c r="C1077" s="4" t="s">
        <v>73</v>
      </c>
      <c r="D1077" s="4" t="s">
        <v>72</v>
      </c>
      <c r="E1077" s="4" t="str">
        <f t="shared" si="112"/>
        <v>68|A|U</v>
      </c>
      <c r="F1077" s="12">
        <v>1</v>
      </c>
      <c r="G1077" s="4">
        <f t="shared" si="113"/>
        <v>15</v>
      </c>
      <c r="H1077" s="12">
        <v>1</v>
      </c>
      <c r="I1077" s="14">
        <f t="shared" si="114"/>
        <v>6.6666666666666666E-2</v>
      </c>
      <c r="J1077" s="14">
        <f t="shared" si="115"/>
        <v>0.10526315789473684</v>
      </c>
      <c r="K1077" s="4">
        <f t="shared" si="116"/>
        <v>2</v>
      </c>
      <c r="L1077" s="4">
        <f t="shared" si="117"/>
        <v>19</v>
      </c>
      <c r="M1077" s="4" t="s">
        <v>519</v>
      </c>
      <c r="N1077" s="4">
        <f t="shared" si="118"/>
        <v>1</v>
      </c>
    </row>
    <row r="1078" spans="1:14">
      <c r="A1078" s="4">
        <v>68</v>
      </c>
      <c r="B1078" s="4" t="s">
        <v>586</v>
      </c>
      <c r="C1078" s="4" t="s">
        <v>71</v>
      </c>
      <c r="D1078" s="4" t="s">
        <v>73</v>
      </c>
      <c r="E1078" s="4" t="str">
        <f t="shared" si="112"/>
        <v>68|C|A</v>
      </c>
      <c r="F1078" s="12">
        <v>4</v>
      </c>
      <c r="G1078" s="4">
        <f t="shared" si="113"/>
        <v>62</v>
      </c>
      <c r="H1078" s="12">
        <v>1</v>
      </c>
      <c r="I1078" s="14">
        <f t="shared" si="114"/>
        <v>6.4516129032258063E-2</v>
      </c>
      <c r="J1078" s="14">
        <f t="shared" si="115"/>
        <v>7.575757575757576E-2</v>
      </c>
      <c r="K1078" s="4">
        <f t="shared" si="116"/>
        <v>5</v>
      </c>
      <c r="L1078" s="4">
        <f t="shared" si="117"/>
        <v>66</v>
      </c>
      <c r="M1078" s="4" t="s">
        <v>519</v>
      </c>
      <c r="N1078" s="4">
        <f t="shared" si="118"/>
        <v>1</v>
      </c>
    </row>
    <row r="1079" spans="1:14">
      <c r="A1079" s="4">
        <v>68</v>
      </c>
      <c r="B1079" s="4" t="s">
        <v>586</v>
      </c>
      <c r="C1079" s="4" t="s">
        <v>71</v>
      </c>
      <c r="D1079" s="4" t="s">
        <v>71</v>
      </c>
      <c r="E1079" s="4" t="str">
        <f t="shared" si="112"/>
        <v>68|C|C</v>
      </c>
      <c r="F1079" s="12">
        <v>42</v>
      </c>
      <c r="G1079" s="4">
        <f t="shared" si="113"/>
        <v>62</v>
      </c>
      <c r="H1079" s="12">
        <v>1</v>
      </c>
      <c r="I1079" s="14">
        <f t="shared" si="114"/>
        <v>0.67741935483870963</v>
      </c>
      <c r="J1079" s="14">
        <f t="shared" si="115"/>
        <v>0.65151515151515149</v>
      </c>
      <c r="K1079" s="4">
        <f t="shared" si="116"/>
        <v>43</v>
      </c>
      <c r="L1079" s="4">
        <f t="shared" si="117"/>
        <v>66</v>
      </c>
      <c r="M1079" s="4" t="s">
        <v>519</v>
      </c>
      <c r="N1079" s="4">
        <f t="shared" si="118"/>
        <v>1</v>
      </c>
    </row>
    <row r="1080" spans="1:14">
      <c r="A1080" s="4">
        <v>68</v>
      </c>
      <c r="B1080" s="4" t="s">
        <v>586</v>
      </c>
      <c r="C1080" s="4" t="s">
        <v>71</v>
      </c>
      <c r="D1080" s="4" t="s">
        <v>70</v>
      </c>
      <c r="E1080" s="4" t="str">
        <f t="shared" si="112"/>
        <v>68|C|G</v>
      </c>
      <c r="F1080" s="12">
        <v>9</v>
      </c>
      <c r="G1080" s="4">
        <f t="shared" si="113"/>
        <v>62</v>
      </c>
      <c r="H1080" s="12">
        <v>1</v>
      </c>
      <c r="I1080" s="14">
        <f t="shared" si="114"/>
        <v>0.14516129032258066</v>
      </c>
      <c r="J1080" s="14">
        <f t="shared" si="115"/>
        <v>0.15151515151515152</v>
      </c>
      <c r="K1080" s="4">
        <f t="shared" si="116"/>
        <v>10</v>
      </c>
      <c r="L1080" s="4">
        <f t="shared" si="117"/>
        <v>66</v>
      </c>
      <c r="M1080" s="4" t="s">
        <v>519</v>
      </c>
      <c r="N1080" s="4">
        <f t="shared" si="118"/>
        <v>1</v>
      </c>
    </row>
    <row r="1081" spans="1:14">
      <c r="A1081" s="4">
        <v>68</v>
      </c>
      <c r="B1081" s="4" t="s">
        <v>586</v>
      </c>
      <c r="C1081" s="4" t="s">
        <v>71</v>
      </c>
      <c r="D1081" s="4" t="s">
        <v>72</v>
      </c>
      <c r="E1081" s="4" t="str">
        <f t="shared" si="112"/>
        <v>68|C|U</v>
      </c>
      <c r="F1081" s="12">
        <v>7</v>
      </c>
      <c r="G1081" s="4">
        <f t="shared" si="113"/>
        <v>62</v>
      </c>
      <c r="H1081" s="12">
        <v>1</v>
      </c>
      <c r="I1081" s="14">
        <f t="shared" si="114"/>
        <v>0.11290322580645161</v>
      </c>
      <c r="J1081" s="14">
        <f t="shared" si="115"/>
        <v>0.12121212121212122</v>
      </c>
      <c r="K1081" s="4">
        <f t="shared" si="116"/>
        <v>8</v>
      </c>
      <c r="L1081" s="4">
        <f t="shared" si="117"/>
        <v>66</v>
      </c>
      <c r="M1081" s="4" t="s">
        <v>519</v>
      </c>
      <c r="N1081" s="4">
        <f t="shared" si="118"/>
        <v>1</v>
      </c>
    </row>
    <row r="1082" spans="1:14">
      <c r="A1082" s="4">
        <v>68</v>
      </c>
      <c r="B1082" s="4" t="s">
        <v>586</v>
      </c>
      <c r="C1082" s="4" t="s">
        <v>70</v>
      </c>
      <c r="D1082" s="4" t="s">
        <v>73</v>
      </c>
      <c r="E1082" s="4" t="str">
        <f t="shared" si="112"/>
        <v>68|G|A</v>
      </c>
      <c r="F1082" s="12">
        <v>13</v>
      </c>
      <c r="G1082" s="4">
        <f t="shared" si="113"/>
        <v>87</v>
      </c>
      <c r="H1082" s="12">
        <v>1</v>
      </c>
      <c r="I1082" s="14">
        <f t="shared" si="114"/>
        <v>0.14942528735632185</v>
      </c>
      <c r="J1082" s="14">
        <f t="shared" si="115"/>
        <v>0.15384615384615385</v>
      </c>
      <c r="K1082" s="4">
        <f t="shared" si="116"/>
        <v>14</v>
      </c>
      <c r="L1082" s="4">
        <f t="shared" si="117"/>
        <v>91</v>
      </c>
      <c r="M1082" s="4" t="s">
        <v>519</v>
      </c>
      <c r="N1082" s="4">
        <f t="shared" si="118"/>
        <v>1</v>
      </c>
    </row>
    <row r="1083" spans="1:14">
      <c r="A1083" s="4">
        <v>68</v>
      </c>
      <c r="B1083" s="4" t="s">
        <v>586</v>
      </c>
      <c r="C1083" s="4" t="s">
        <v>70</v>
      </c>
      <c r="D1083" s="4" t="s">
        <v>71</v>
      </c>
      <c r="E1083" s="4" t="str">
        <f t="shared" si="112"/>
        <v>68|G|C</v>
      </c>
      <c r="F1083" s="12">
        <v>22</v>
      </c>
      <c r="G1083" s="4">
        <f t="shared" si="113"/>
        <v>87</v>
      </c>
      <c r="H1083" s="12">
        <v>1</v>
      </c>
      <c r="I1083" s="14">
        <f t="shared" si="114"/>
        <v>0.25287356321839083</v>
      </c>
      <c r="J1083" s="14">
        <f t="shared" si="115"/>
        <v>0.25274725274725274</v>
      </c>
      <c r="K1083" s="4">
        <f t="shared" si="116"/>
        <v>23</v>
      </c>
      <c r="L1083" s="4">
        <f t="shared" si="117"/>
        <v>91</v>
      </c>
      <c r="M1083" s="4" t="s">
        <v>519</v>
      </c>
      <c r="N1083" s="4">
        <f t="shared" si="118"/>
        <v>1</v>
      </c>
    </row>
    <row r="1084" spans="1:14">
      <c r="A1084" s="4">
        <v>68</v>
      </c>
      <c r="B1084" s="4" t="s">
        <v>586</v>
      </c>
      <c r="C1084" s="4" t="s">
        <v>70</v>
      </c>
      <c r="D1084" s="4" t="s">
        <v>70</v>
      </c>
      <c r="E1084" s="4" t="str">
        <f t="shared" si="112"/>
        <v>68|G|G</v>
      </c>
      <c r="F1084" s="12">
        <v>49</v>
      </c>
      <c r="G1084" s="4">
        <f t="shared" si="113"/>
        <v>87</v>
      </c>
      <c r="H1084" s="12">
        <v>1</v>
      </c>
      <c r="I1084" s="14">
        <f t="shared" si="114"/>
        <v>0.56321839080459768</v>
      </c>
      <c r="J1084" s="14">
        <f t="shared" si="115"/>
        <v>0.5494505494505495</v>
      </c>
      <c r="K1084" s="4">
        <f t="shared" si="116"/>
        <v>50</v>
      </c>
      <c r="L1084" s="4">
        <f t="shared" si="117"/>
        <v>91</v>
      </c>
      <c r="M1084" s="4" t="s">
        <v>519</v>
      </c>
      <c r="N1084" s="4">
        <f t="shared" si="118"/>
        <v>1</v>
      </c>
    </row>
    <row r="1085" spans="1:14">
      <c r="A1085" s="4">
        <v>68</v>
      </c>
      <c r="B1085" s="4" t="s">
        <v>586</v>
      </c>
      <c r="C1085" s="4" t="s">
        <v>70</v>
      </c>
      <c r="D1085" s="4" t="s">
        <v>72</v>
      </c>
      <c r="E1085" s="4" t="str">
        <f t="shared" si="112"/>
        <v>68|G|U</v>
      </c>
      <c r="F1085" s="12">
        <v>3</v>
      </c>
      <c r="G1085" s="4">
        <f t="shared" si="113"/>
        <v>87</v>
      </c>
      <c r="H1085" s="12">
        <v>1</v>
      </c>
      <c r="I1085" s="14">
        <f t="shared" si="114"/>
        <v>3.4482758620689655E-2</v>
      </c>
      <c r="J1085" s="14">
        <f t="shared" si="115"/>
        <v>4.3956043956043959E-2</v>
      </c>
      <c r="K1085" s="4">
        <f t="shared" si="116"/>
        <v>4</v>
      </c>
      <c r="L1085" s="4">
        <f t="shared" si="117"/>
        <v>91</v>
      </c>
      <c r="M1085" s="4" t="s">
        <v>519</v>
      </c>
      <c r="N1085" s="4">
        <f t="shared" si="118"/>
        <v>1</v>
      </c>
    </row>
    <row r="1086" spans="1:14">
      <c r="A1086" s="4">
        <v>68</v>
      </c>
      <c r="B1086" s="4" t="s">
        <v>586</v>
      </c>
      <c r="C1086" s="4" t="s">
        <v>72</v>
      </c>
      <c r="D1086" s="4" t="s">
        <v>73</v>
      </c>
      <c r="E1086" s="4" t="str">
        <f t="shared" si="112"/>
        <v>68|U|A</v>
      </c>
      <c r="F1086" s="12">
        <v>4</v>
      </c>
      <c r="G1086" s="4">
        <f t="shared" si="113"/>
        <v>36</v>
      </c>
      <c r="H1086" s="12">
        <v>1</v>
      </c>
      <c r="I1086" s="14">
        <f t="shared" si="114"/>
        <v>0.1111111111111111</v>
      </c>
      <c r="J1086" s="14">
        <f t="shared" si="115"/>
        <v>0.125</v>
      </c>
      <c r="K1086" s="4">
        <f t="shared" si="116"/>
        <v>5</v>
      </c>
      <c r="L1086" s="4">
        <f t="shared" si="117"/>
        <v>40</v>
      </c>
      <c r="M1086" s="4" t="s">
        <v>519</v>
      </c>
      <c r="N1086" s="4">
        <f t="shared" si="118"/>
        <v>1</v>
      </c>
    </row>
    <row r="1087" spans="1:14">
      <c r="A1087" s="4">
        <v>68</v>
      </c>
      <c r="B1087" s="4" t="s">
        <v>586</v>
      </c>
      <c r="C1087" s="4" t="s">
        <v>72</v>
      </c>
      <c r="D1087" s="4" t="s">
        <v>71</v>
      </c>
      <c r="E1087" s="4" t="str">
        <f t="shared" si="112"/>
        <v>68|U|C</v>
      </c>
      <c r="F1087" s="12">
        <v>20</v>
      </c>
      <c r="G1087" s="4">
        <f t="shared" si="113"/>
        <v>36</v>
      </c>
      <c r="H1087" s="12">
        <v>1</v>
      </c>
      <c r="I1087" s="14">
        <f t="shared" si="114"/>
        <v>0.55555555555555558</v>
      </c>
      <c r="J1087" s="14">
        <f t="shared" si="115"/>
        <v>0.52500000000000002</v>
      </c>
      <c r="K1087" s="4">
        <f t="shared" si="116"/>
        <v>21</v>
      </c>
      <c r="L1087" s="4">
        <f t="shared" si="117"/>
        <v>40</v>
      </c>
      <c r="M1087" s="4" t="s">
        <v>519</v>
      </c>
      <c r="N1087" s="4">
        <f t="shared" si="118"/>
        <v>1</v>
      </c>
    </row>
    <row r="1088" spans="1:14">
      <c r="A1088" s="4">
        <v>68</v>
      </c>
      <c r="B1088" s="4" t="s">
        <v>586</v>
      </c>
      <c r="C1088" s="4" t="s">
        <v>72</v>
      </c>
      <c r="D1088" s="4" t="s">
        <v>70</v>
      </c>
      <c r="E1088" s="4" t="str">
        <f t="shared" si="112"/>
        <v>68|U|G</v>
      </c>
      <c r="F1088" s="12">
        <v>6</v>
      </c>
      <c r="G1088" s="4">
        <f t="shared" si="113"/>
        <v>36</v>
      </c>
      <c r="H1088" s="12">
        <v>1</v>
      </c>
      <c r="I1088" s="14">
        <f t="shared" si="114"/>
        <v>0.16666666666666666</v>
      </c>
      <c r="J1088" s="14">
        <f t="shared" si="115"/>
        <v>0.17499999999999999</v>
      </c>
      <c r="K1088" s="4">
        <f t="shared" si="116"/>
        <v>7</v>
      </c>
      <c r="L1088" s="4">
        <f t="shared" si="117"/>
        <v>40</v>
      </c>
      <c r="M1088" s="4" t="s">
        <v>519</v>
      </c>
      <c r="N1088" s="4">
        <f t="shared" si="118"/>
        <v>1</v>
      </c>
    </row>
    <row r="1089" spans="1:14">
      <c r="A1089" s="4">
        <v>68</v>
      </c>
      <c r="B1089" s="4" t="s">
        <v>586</v>
      </c>
      <c r="C1089" s="4" t="s">
        <v>72</v>
      </c>
      <c r="D1089" s="4" t="s">
        <v>72</v>
      </c>
      <c r="E1089" s="4" t="str">
        <f t="shared" si="112"/>
        <v>68|U|U</v>
      </c>
      <c r="F1089" s="12">
        <v>6</v>
      </c>
      <c r="G1089" s="4">
        <f t="shared" si="113"/>
        <v>36</v>
      </c>
      <c r="H1089" s="12">
        <v>1</v>
      </c>
      <c r="I1089" s="14">
        <f t="shared" si="114"/>
        <v>0.16666666666666666</v>
      </c>
      <c r="J1089" s="14">
        <f t="shared" si="115"/>
        <v>0.17499999999999999</v>
      </c>
      <c r="K1089" s="4">
        <f t="shared" si="116"/>
        <v>7</v>
      </c>
      <c r="L1089" s="4">
        <f t="shared" si="117"/>
        <v>40</v>
      </c>
      <c r="M1089" s="4" t="s">
        <v>519</v>
      </c>
      <c r="N1089" s="4">
        <f t="shared" si="118"/>
        <v>1</v>
      </c>
    </row>
    <row r="1090" spans="1:14">
      <c r="A1090" s="4">
        <v>69</v>
      </c>
      <c r="B1090" s="4" t="s">
        <v>587</v>
      </c>
      <c r="C1090" s="4" t="s">
        <v>73</v>
      </c>
      <c r="D1090" s="4" t="s">
        <v>73</v>
      </c>
      <c r="E1090" s="4" t="str">
        <f t="shared" ref="E1090:E1153" si="119">A1090&amp;"|"&amp;C1090&amp;"|"&amp;D1090</f>
        <v>69|A|A</v>
      </c>
      <c r="F1090" s="12">
        <v>5</v>
      </c>
      <c r="G1090" s="4">
        <f t="shared" ref="G1090:G1137" si="120">SUMIFS($F$2:$F$1137,$A$2:$A$1137,A1090,$C$2:$C$1137,C1090)</f>
        <v>25</v>
      </c>
      <c r="H1090" s="12">
        <v>1</v>
      </c>
      <c r="I1090" s="14">
        <f t="shared" ref="I1090:I1137" si="121">IF(G1090=0,"",F1090/G1090)</f>
        <v>0.2</v>
      </c>
      <c r="J1090" s="14">
        <f t="shared" ref="J1090:J1153" si="122">K1090/L1090</f>
        <v>0.20689655172413793</v>
      </c>
      <c r="K1090" s="4">
        <f t="shared" ref="K1090:K1137" si="123">F1090+H1090</f>
        <v>6</v>
      </c>
      <c r="L1090" s="4">
        <f t="shared" ref="L1090:L1137" si="124">G1090+4*H1090</f>
        <v>29</v>
      </c>
      <c r="M1090" s="4" t="s">
        <v>519</v>
      </c>
      <c r="N1090" s="4">
        <f t="shared" ref="N1090:N1137" si="125">ROUND(SUMIFS($J$2:$J$1137,$A$2:$A$1137,A1090,$C$2:$C$1137,C1090),9)</f>
        <v>1</v>
      </c>
    </row>
    <row r="1091" spans="1:14">
      <c r="A1091" s="4">
        <v>69</v>
      </c>
      <c r="B1091" s="4" t="s">
        <v>587</v>
      </c>
      <c r="C1091" s="4" t="s">
        <v>73</v>
      </c>
      <c r="D1091" s="4" t="s">
        <v>71</v>
      </c>
      <c r="E1091" s="4" t="str">
        <f t="shared" si="119"/>
        <v>69|A|C</v>
      </c>
      <c r="F1091" s="12">
        <v>10</v>
      </c>
      <c r="G1091" s="4">
        <f t="shared" si="120"/>
        <v>25</v>
      </c>
      <c r="H1091" s="12">
        <v>1</v>
      </c>
      <c r="I1091" s="14">
        <f t="shared" si="121"/>
        <v>0.4</v>
      </c>
      <c r="J1091" s="14">
        <f t="shared" si="122"/>
        <v>0.37931034482758619</v>
      </c>
      <c r="K1091" s="4">
        <f t="shared" si="123"/>
        <v>11</v>
      </c>
      <c r="L1091" s="4">
        <f t="shared" si="124"/>
        <v>29</v>
      </c>
      <c r="M1091" s="4" t="s">
        <v>519</v>
      </c>
      <c r="N1091" s="4">
        <f t="shared" si="125"/>
        <v>1</v>
      </c>
    </row>
    <row r="1092" spans="1:14">
      <c r="A1092" s="4">
        <v>69</v>
      </c>
      <c r="B1092" s="4" t="s">
        <v>587</v>
      </c>
      <c r="C1092" s="4" t="s">
        <v>73</v>
      </c>
      <c r="D1092" s="4" t="s">
        <v>70</v>
      </c>
      <c r="E1092" s="4" t="str">
        <f t="shared" si="119"/>
        <v>69|A|G</v>
      </c>
      <c r="F1092" s="12">
        <v>10</v>
      </c>
      <c r="G1092" s="4">
        <f t="shared" si="120"/>
        <v>25</v>
      </c>
      <c r="H1092" s="12">
        <v>1</v>
      </c>
      <c r="I1092" s="14">
        <f t="shared" si="121"/>
        <v>0.4</v>
      </c>
      <c r="J1092" s="14">
        <f t="shared" si="122"/>
        <v>0.37931034482758619</v>
      </c>
      <c r="K1092" s="4">
        <f t="shared" si="123"/>
        <v>11</v>
      </c>
      <c r="L1092" s="4">
        <f t="shared" si="124"/>
        <v>29</v>
      </c>
      <c r="M1092" s="4" t="s">
        <v>519</v>
      </c>
      <c r="N1092" s="4">
        <f t="shared" si="125"/>
        <v>1</v>
      </c>
    </row>
    <row r="1093" spans="1:14">
      <c r="A1093" s="4">
        <v>69</v>
      </c>
      <c r="B1093" s="4" t="s">
        <v>587</v>
      </c>
      <c r="C1093" s="4" t="s">
        <v>73</v>
      </c>
      <c r="D1093" s="4" t="s">
        <v>72</v>
      </c>
      <c r="E1093" s="4" t="str">
        <f t="shared" si="119"/>
        <v>69|A|U</v>
      </c>
      <c r="F1093" s="12">
        <v>0</v>
      </c>
      <c r="G1093" s="4">
        <f t="shared" si="120"/>
        <v>25</v>
      </c>
      <c r="H1093" s="12">
        <v>1</v>
      </c>
      <c r="I1093" s="14">
        <f t="shared" si="121"/>
        <v>0</v>
      </c>
      <c r="J1093" s="14">
        <f t="shared" si="122"/>
        <v>3.4482758620689655E-2</v>
      </c>
      <c r="K1093" s="4">
        <f t="shared" si="123"/>
        <v>1</v>
      </c>
      <c r="L1093" s="4">
        <f t="shared" si="124"/>
        <v>29</v>
      </c>
      <c r="M1093" s="4" t="s">
        <v>519</v>
      </c>
      <c r="N1093" s="4">
        <f t="shared" si="125"/>
        <v>1</v>
      </c>
    </row>
    <row r="1094" spans="1:14">
      <c r="A1094" s="4">
        <v>69</v>
      </c>
      <c r="B1094" s="4" t="s">
        <v>587</v>
      </c>
      <c r="C1094" s="4" t="s">
        <v>71</v>
      </c>
      <c r="D1094" s="4" t="s">
        <v>73</v>
      </c>
      <c r="E1094" s="4" t="str">
        <f t="shared" si="119"/>
        <v>69|C|A</v>
      </c>
      <c r="F1094" s="12">
        <v>9</v>
      </c>
      <c r="G1094" s="4">
        <f t="shared" si="120"/>
        <v>88</v>
      </c>
      <c r="H1094" s="12">
        <v>1</v>
      </c>
      <c r="I1094" s="14">
        <f t="shared" si="121"/>
        <v>0.10227272727272728</v>
      </c>
      <c r="J1094" s="14">
        <f t="shared" si="122"/>
        <v>0.10869565217391304</v>
      </c>
      <c r="K1094" s="4">
        <f t="shared" si="123"/>
        <v>10</v>
      </c>
      <c r="L1094" s="4">
        <f t="shared" si="124"/>
        <v>92</v>
      </c>
      <c r="M1094" s="4" t="s">
        <v>519</v>
      </c>
      <c r="N1094" s="4">
        <f t="shared" si="125"/>
        <v>1</v>
      </c>
    </row>
    <row r="1095" spans="1:14">
      <c r="A1095" s="4">
        <v>69</v>
      </c>
      <c r="B1095" s="4" t="s">
        <v>587</v>
      </c>
      <c r="C1095" s="4" t="s">
        <v>71</v>
      </c>
      <c r="D1095" s="4" t="s">
        <v>71</v>
      </c>
      <c r="E1095" s="4" t="str">
        <f t="shared" si="119"/>
        <v>69|C|C</v>
      </c>
      <c r="F1095" s="12">
        <v>31</v>
      </c>
      <c r="G1095" s="4">
        <f t="shared" si="120"/>
        <v>88</v>
      </c>
      <c r="H1095" s="12">
        <v>1</v>
      </c>
      <c r="I1095" s="14">
        <f t="shared" si="121"/>
        <v>0.35227272727272729</v>
      </c>
      <c r="J1095" s="14">
        <f t="shared" si="122"/>
        <v>0.34782608695652173</v>
      </c>
      <c r="K1095" s="4">
        <f t="shared" si="123"/>
        <v>32</v>
      </c>
      <c r="L1095" s="4">
        <f t="shared" si="124"/>
        <v>92</v>
      </c>
      <c r="M1095" s="4" t="s">
        <v>519</v>
      </c>
      <c r="N1095" s="4">
        <f t="shared" si="125"/>
        <v>1</v>
      </c>
    </row>
    <row r="1096" spans="1:14">
      <c r="A1096" s="4">
        <v>69</v>
      </c>
      <c r="B1096" s="4" t="s">
        <v>587</v>
      </c>
      <c r="C1096" s="4" t="s">
        <v>71</v>
      </c>
      <c r="D1096" s="4" t="s">
        <v>70</v>
      </c>
      <c r="E1096" s="4" t="str">
        <f t="shared" si="119"/>
        <v>69|C|G</v>
      </c>
      <c r="F1096" s="12">
        <v>30</v>
      </c>
      <c r="G1096" s="4">
        <f t="shared" si="120"/>
        <v>88</v>
      </c>
      <c r="H1096" s="12">
        <v>1</v>
      </c>
      <c r="I1096" s="14">
        <f t="shared" si="121"/>
        <v>0.34090909090909088</v>
      </c>
      <c r="J1096" s="14">
        <f t="shared" si="122"/>
        <v>0.33695652173913043</v>
      </c>
      <c r="K1096" s="4">
        <f t="shared" si="123"/>
        <v>31</v>
      </c>
      <c r="L1096" s="4">
        <f t="shared" si="124"/>
        <v>92</v>
      </c>
      <c r="M1096" s="4" t="s">
        <v>519</v>
      </c>
      <c r="N1096" s="4">
        <f t="shared" si="125"/>
        <v>1</v>
      </c>
    </row>
    <row r="1097" spans="1:14">
      <c r="A1097" s="4">
        <v>69</v>
      </c>
      <c r="B1097" s="4" t="s">
        <v>587</v>
      </c>
      <c r="C1097" s="4" t="s">
        <v>71</v>
      </c>
      <c r="D1097" s="4" t="s">
        <v>72</v>
      </c>
      <c r="E1097" s="4" t="str">
        <f t="shared" si="119"/>
        <v>69|C|U</v>
      </c>
      <c r="F1097" s="12">
        <v>18</v>
      </c>
      <c r="G1097" s="4">
        <f t="shared" si="120"/>
        <v>88</v>
      </c>
      <c r="H1097" s="12">
        <v>1</v>
      </c>
      <c r="I1097" s="14">
        <f t="shared" si="121"/>
        <v>0.20454545454545456</v>
      </c>
      <c r="J1097" s="14">
        <f t="shared" si="122"/>
        <v>0.20652173913043478</v>
      </c>
      <c r="K1097" s="4">
        <f t="shared" si="123"/>
        <v>19</v>
      </c>
      <c r="L1097" s="4">
        <f t="shared" si="124"/>
        <v>92</v>
      </c>
      <c r="M1097" s="4" t="s">
        <v>519</v>
      </c>
      <c r="N1097" s="4">
        <f t="shared" si="125"/>
        <v>1</v>
      </c>
    </row>
    <row r="1098" spans="1:14">
      <c r="A1098" s="4">
        <v>69</v>
      </c>
      <c r="B1098" s="4" t="s">
        <v>587</v>
      </c>
      <c r="C1098" s="4" t="s">
        <v>70</v>
      </c>
      <c r="D1098" s="4" t="s">
        <v>73</v>
      </c>
      <c r="E1098" s="4" t="str">
        <f t="shared" si="119"/>
        <v>69|G|A</v>
      </c>
      <c r="F1098" s="12">
        <v>9</v>
      </c>
      <c r="G1098" s="4">
        <f t="shared" si="120"/>
        <v>70</v>
      </c>
      <c r="H1098" s="12">
        <v>1</v>
      </c>
      <c r="I1098" s="14">
        <f t="shared" si="121"/>
        <v>0.12857142857142856</v>
      </c>
      <c r="J1098" s="14">
        <f t="shared" si="122"/>
        <v>0.13513513513513514</v>
      </c>
      <c r="K1098" s="4">
        <f t="shared" si="123"/>
        <v>10</v>
      </c>
      <c r="L1098" s="4">
        <f t="shared" si="124"/>
        <v>74</v>
      </c>
      <c r="M1098" s="4" t="s">
        <v>519</v>
      </c>
      <c r="N1098" s="4">
        <f t="shared" si="125"/>
        <v>1</v>
      </c>
    </row>
    <row r="1099" spans="1:14">
      <c r="A1099" s="4">
        <v>69</v>
      </c>
      <c r="B1099" s="4" t="s">
        <v>587</v>
      </c>
      <c r="C1099" s="4" t="s">
        <v>70</v>
      </c>
      <c r="D1099" s="4" t="s">
        <v>71</v>
      </c>
      <c r="E1099" s="4" t="str">
        <f t="shared" si="119"/>
        <v>69|G|C</v>
      </c>
      <c r="F1099" s="12">
        <v>22</v>
      </c>
      <c r="G1099" s="4">
        <f t="shared" si="120"/>
        <v>70</v>
      </c>
      <c r="H1099" s="12">
        <v>1</v>
      </c>
      <c r="I1099" s="14">
        <f t="shared" si="121"/>
        <v>0.31428571428571428</v>
      </c>
      <c r="J1099" s="14">
        <f t="shared" si="122"/>
        <v>0.3108108108108108</v>
      </c>
      <c r="K1099" s="4">
        <f t="shared" si="123"/>
        <v>23</v>
      </c>
      <c r="L1099" s="4">
        <f t="shared" si="124"/>
        <v>74</v>
      </c>
      <c r="M1099" s="4" t="s">
        <v>519</v>
      </c>
      <c r="N1099" s="4">
        <f t="shared" si="125"/>
        <v>1</v>
      </c>
    </row>
    <row r="1100" spans="1:14">
      <c r="A1100" s="4">
        <v>69</v>
      </c>
      <c r="B1100" s="4" t="s">
        <v>587</v>
      </c>
      <c r="C1100" s="4" t="s">
        <v>70</v>
      </c>
      <c r="D1100" s="4" t="s">
        <v>70</v>
      </c>
      <c r="E1100" s="4" t="str">
        <f t="shared" si="119"/>
        <v>69|G|G</v>
      </c>
      <c r="F1100" s="12">
        <v>29</v>
      </c>
      <c r="G1100" s="4">
        <f t="shared" si="120"/>
        <v>70</v>
      </c>
      <c r="H1100" s="12">
        <v>1</v>
      </c>
      <c r="I1100" s="14">
        <f t="shared" si="121"/>
        <v>0.41428571428571431</v>
      </c>
      <c r="J1100" s="14">
        <f t="shared" si="122"/>
        <v>0.40540540540540543</v>
      </c>
      <c r="K1100" s="4">
        <f t="shared" si="123"/>
        <v>30</v>
      </c>
      <c r="L1100" s="4">
        <f t="shared" si="124"/>
        <v>74</v>
      </c>
      <c r="M1100" s="4" t="s">
        <v>519</v>
      </c>
      <c r="N1100" s="4">
        <f t="shared" si="125"/>
        <v>1</v>
      </c>
    </row>
    <row r="1101" spans="1:14">
      <c r="A1101" s="4">
        <v>69</v>
      </c>
      <c r="B1101" s="4" t="s">
        <v>587</v>
      </c>
      <c r="C1101" s="4" t="s">
        <v>70</v>
      </c>
      <c r="D1101" s="4" t="s">
        <v>72</v>
      </c>
      <c r="E1101" s="4" t="str">
        <f t="shared" si="119"/>
        <v>69|G|U</v>
      </c>
      <c r="F1101" s="12">
        <v>10</v>
      </c>
      <c r="G1101" s="4">
        <f t="shared" si="120"/>
        <v>70</v>
      </c>
      <c r="H1101" s="12">
        <v>1</v>
      </c>
      <c r="I1101" s="14">
        <f t="shared" si="121"/>
        <v>0.14285714285714285</v>
      </c>
      <c r="J1101" s="14">
        <f t="shared" si="122"/>
        <v>0.14864864864864866</v>
      </c>
      <c r="K1101" s="4">
        <f t="shared" si="123"/>
        <v>11</v>
      </c>
      <c r="L1101" s="4">
        <f t="shared" si="124"/>
        <v>74</v>
      </c>
      <c r="M1101" s="4" t="s">
        <v>519</v>
      </c>
      <c r="N1101" s="4">
        <f t="shared" si="125"/>
        <v>1</v>
      </c>
    </row>
    <row r="1102" spans="1:14">
      <c r="A1102" s="4">
        <v>69</v>
      </c>
      <c r="B1102" s="4" t="s">
        <v>587</v>
      </c>
      <c r="C1102" s="4" t="s">
        <v>72</v>
      </c>
      <c r="D1102" s="4" t="s">
        <v>73</v>
      </c>
      <c r="E1102" s="4" t="str">
        <f t="shared" si="119"/>
        <v>69|U|A</v>
      </c>
      <c r="F1102" s="12">
        <v>0</v>
      </c>
      <c r="G1102" s="4">
        <f t="shared" si="120"/>
        <v>17</v>
      </c>
      <c r="H1102" s="12">
        <v>1</v>
      </c>
      <c r="I1102" s="14">
        <f t="shared" si="121"/>
        <v>0</v>
      </c>
      <c r="J1102" s="14">
        <f t="shared" si="122"/>
        <v>4.7619047619047616E-2</v>
      </c>
      <c r="K1102" s="4">
        <f t="shared" si="123"/>
        <v>1</v>
      </c>
      <c r="L1102" s="4">
        <f t="shared" si="124"/>
        <v>21</v>
      </c>
      <c r="M1102" s="4" t="s">
        <v>519</v>
      </c>
      <c r="N1102" s="4">
        <f t="shared" si="125"/>
        <v>1</v>
      </c>
    </row>
    <row r="1103" spans="1:14">
      <c r="A1103" s="4">
        <v>69</v>
      </c>
      <c r="B1103" s="4" t="s">
        <v>587</v>
      </c>
      <c r="C1103" s="4" t="s">
        <v>72</v>
      </c>
      <c r="D1103" s="4" t="s">
        <v>71</v>
      </c>
      <c r="E1103" s="4" t="str">
        <f t="shared" si="119"/>
        <v>69|U|C</v>
      </c>
      <c r="F1103" s="12">
        <v>9</v>
      </c>
      <c r="G1103" s="4">
        <f t="shared" si="120"/>
        <v>17</v>
      </c>
      <c r="H1103" s="12">
        <v>1</v>
      </c>
      <c r="I1103" s="14">
        <f t="shared" si="121"/>
        <v>0.52941176470588236</v>
      </c>
      <c r="J1103" s="14">
        <f t="shared" si="122"/>
        <v>0.47619047619047616</v>
      </c>
      <c r="K1103" s="4">
        <f t="shared" si="123"/>
        <v>10</v>
      </c>
      <c r="L1103" s="4">
        <f t="shared" si="124"/>
        <v>21</v>
      </c>
      <c r="M1103" s="4" t="s">
        <v>519</v>
      </c>
      <c r="N1103" s="4">
        <f t="shared" si="125"/>
        <v>1</v>
      </c>
    </row>
    <row r="1104" spans="1:14">
      <c r="A1104" s="4">
        <v>69</v>
      </c>
      <c r="B1104" s="4" t="s">
        <v>587</v>
      </c>
      <c r="C1104" s="4" t="s">
        <v>72</v>
      </c>
      <c r="D1104" s="4" t="s">
        <v>70</v>
      </c>
      <c r="E1104" s="4" t="str">
        <f t="shared" si="119"/>
        <v>69|U|G</v>
      </c>
      <c r="F1104" s="12">
        <v>6</v>
      </c>
      <c r="G1104" s="4">
        <f t="shared" si="120"/>
        <v>17</v>
      </c>
      <c r="H1104" s="12">
        <v>1</v>
      </c>
      <c r="I1104" s="14">
        <f t="shared" si="121"/>
        <v>0.35294117647058826</v>
      </c>
      <c r="J1104" s="14">
        <f t="shared" si="122"/>
        <v>0.33333333333333331</v>
      </c>
      <c r="K1104" s="4">
        <f t="shared" si="123"/>
        <v>7</v>
      </c>
      <c r="L1104" s="4">
        <f t="shared" si="124"/>
        <v>21</v>
      </c>
      <c r="M1104" s="4" t="s">
        <v>519</v>
      </c>
      <c r="N1104" s="4">
        <f t="shared" si="125"/>
        <v>1</v>
      </c>
    </row>
    <row r="1105" spans="1:14">
      <c r="A1105" s="4">
        <v>69</v>
      </c>
      <c r="B1105" s="4" t="s">
        <v>587</v>
      </c>
      <c r="C1105" s="4" t="s">
        <v>72</v>
      </c>
      <c r="D1105" s="4" t="s">
        <v>72</v>
      </c>
      <c r="E1105" s="4" t="str">
        <f t="shared" si="119"/>
        <v>69|U|U</v>
      </c>
      <c r="F1105" s="12">
        <v>2</v>
      </c>
      <c r="G1105" s="4">
        <f t="shared" si="120"/>
        <v>17</v>
      </c>
      <c r="H1105" s="12">
        <v>1</v>
      </c>
      <c r="I1105" s="14">
        <f t="shared" si="121"/>
        <v>0.11764705882352941</v>
      </c>
      <c r="J1105" s="14">
        <f t="shared" si="122"/>
        <v>0.14285714285714285</v>
      </c>
      <c r="K1105" s="4">
        <f t="shared" si="123"/>
        <v>3</v>
      </c>
      <c r="L1105" s="4">
        <f t="shared" si="124"/>
        <v>21</v>
      </c>
      <c r="M1105" s="4" t="s">
        <v>519</v>
      </c>
      <c r="N1105" s="4">
        <f t="shared" si="125"/>
        <v>1</v>
      </c>
    </row>
    <row r="1106" spans="1:14">
      <c r="A1106" s="4">
        <v>70</v>
      </c>
      <c r="B1106" s="4" t="s">
        <v>588</v>
      </c>
      <c r="C1106" s="4" t="s">
        <v>73</v>
      </c>
      <c r="D1106" s="4" t="s">
        <v>73</v>
      </c>
      <c r="E1106" s="4" t="str">
        <f t="shared" si="119"/>
        <v>70|A|A</v>
      </c>
      <c r="F1106" s="12">
        <v>1</v>
      </c>
      <c r="G1106" s="4">
        <f t="shared" si="120"/>
        <v>23</v>
      </c>
      <c r="H1106" s="12">
        <v>1</v>
      </c>
      <c r="I1106" s="14">
        <f t="shared" si="121"/>
        <v>4.3478260869565216E-2</v>
      </c>
      <c r="J1106" s="14">
        <f t="shared" si="122"/>
        <v>7.407407407407407E-2</v>
      </c>
      <c r="K1106" s="4">
        <f t="shared" si="123"/>
        <v>2</v>
      </c>
      <c r="L1106" s="4">
        <f t="shared" si="124"/>
        <v>27</v>
      </c>
      <c r="M1106" s="4" t="s">
        <v>519</v>
      </c>
      <c r="N1106" s="4">
        <f t="shared" si="125"/>
        <v>1</v>
      </c>
    </row>
    <row r="1107" spans="1:14">
      <c r="A1107" s="4">
        <v>70</v>
      </c>
      <c r="B1107" s="4" t="s">
        <v>588</v>
      </c>
      <c r="C1107" s="4" t="s">
        <v>73</v>
      </c>
      <c r="D1107" s="4" t="s">
        <v>71</v>
      </c>
      <c r="E1107" s="4" t="str">
        <f t="shared" si="119"/>
        <v>70|A|C</v>
      </c>
      <c r="F1107" s="12">
        <v>6</v>
      </c>
      <c r="G1107" s="4">
        <f t="shared" si="120"/>
        <v>23</v>
      </c>
      <c r="H1107" s="12">
        <v>1</v>
      </c>
      <c r="I1107" s="14">
        <f t="shared" si="121"/>
        <v>0.2608695652173913</v>
      </c>
      <c r="J1107" s="14">
        <f t="shared" si="122"/>
        <v>0.25925925925925924</v>
      </c>
      <c r="K1107" s="4">
        <f t="shared" si="123"/>
        <v>7</v>
      </c>
      <c r="L1107" s="4">
        <f t="shared" si="124"/>
        <v>27</v>
      </c>
      <c r="M1107" s="4" t="s">
        <v>519</v>
      </c>
      <c r="N1107" s="4">
        <f t="shared" si="125"/>
        <v>1</v>
      </c>
    </row>
    <row r="1108" spans="1:14">
      <c r="A1108" s="4">
        <v>70</v>
      </c>
      <c r="B1108" s="4" t="s">
        <v>588</v>
      </c>
      <c r="C1108" s="4" t="s">
        <v>73</v>
      </c>
      <c r="D1108" s="4" t="s">
        <v>70</v>
      </c>
      <c r="E1108" s="4" t="str">
        <f t="shared" si="119"/>
        <v>70|A|G</v>
      </c>
      <c r="F1108" s="12">
        <v>14</v>
      </c>
      <c r="G1108" s="4">
        <f t="shared" si="120"/>
        <v>23</v>
      </c>
      <c r="H1108" s="12">
        <v>1</v>
      </c>
      <c r="I1108" s="14">
        <f t="shared" si="121"/>
        <v>0.60869565217391308</v>
      </c>
      <c r="J1108" s="14">
        <f t="shared" si="122"/>
        <v>0.55555555555555558</v>
      </c>
      <c r="K1108" s="4">
        <f t="shared" si="123"/>
        <v>15</v>
      </c>
      <c r="L1108" s="4">
        <f t="shared" si="124"/>
        <v>27</v>
      </c>
      <c r="M1108" s="4" t="s">
        <v>519</v>
      </c>
      <c r="N1108" s="4">
        <f t="shared" si="125"/>
        <v>1</v>
      </c>
    </row>
    <row r="1109" spans="1:14">
      <c r="A1109" s="4">
        <v>70</v>
      </c>
      <c r="B1109" s="4" t="s">
        <v>588</v>
      </c>
      <c r="C1109" s="4" t="s">
        <v>73</v>
      </c>
      <c r="D1109" s="4" t="s">
        <v>72</v>
      </c>
      <c r="E1109" s="4" t="str">
        <f t="shared" si="119"/>
        <v>70|A|U</v>
      </c>
      <c r="F1109" s="12">
        <v>2</v>
      </c>
      <c r="G1109" s="4">
        <f t="shared" si="120"/>
        <v>23</v>
      </c>
      <c r="H1109" s="12">
        <v>1</v>
      </c>
      <c r="I1109" s="14">
        <f t="shared" si="121"/>
        <v>8.6956521739130432E-2</v>
      </c>
      <c r="J1109" s="14">
        <f t="shared" si="122"/>
        <v>0.1111111111111111</v>
      </c>
      <c r="K1109" s="4">
        <f t="shared" si="123"/>
        <v>3</v>
      </c>
      <c r="L1109" s="4">
        <f t="shared" si="124"/>
        <v>27</v>
      </c>
      <c r="M1109" s="4" t="s">
        <v>519</v>
      </c>
      <c r="N1109" s="4">
        <f t="shared" si="125"/>
        <v>1</v>
      </c>
    </row>
    <row r="1110" spans="1:14">
      <c r="A1110" s="4">
        <v>70</v>
      </c>
      <c r="B1110" s="4" t="s">
        <v>588</v>
      </c>
      <c r="C1110" s="4" t="s">
        <v>71</v>
      </c>
      <c r="D1110" s="4" t="s">
        <v>73</v>
      </c>
      <c r="E1110" s="4" t="str">
        <f t="shared" si="119"/>
        <v>70|C|A</v>
      </c>
      <c r="F1110" s="12">
        <v>1</v>
      </c>
      <c r="G1110" s="4">
        <f t="shared" si="120"/>
        <v>72</v>
      </c>
      <c r="H1110" s="12">
        <v>1</v>
      </c>
      <c r="I1110" s="14">
        <f t="shared" si="121"/>
        <v>1.3888888888888888E-2</v>
      </c>
      <c r="J1110" s="14">
        <f t="shared" si="122"/>
        <v>2.6315789473684209E-2</v>
      </c>
      <c r="K1110" s="4">
        <f t="shared" si="123"/>
        <v>2</v>
      </c>
      <c r="L1110" s="4">
        <f t="shared" si="124"/>
        <v>76</v>
      </c>
      <c r="M1110" s="4" t="s">
        <v>519</v>
      </c>
      <c r="N1110" s="4">
        <f t="shared" si="125"/>
        <v>1</v>
      </c>
    </row>
    <row r="1111" spans="1:14">
      <c r="A1111" s="4">
        <v>70</v>
      </c>
      <c r="B1111" s="4" t="s">
        <v>588</v>
      </c>
      <c r="C1111" s="4" t="s">
        <v>71</v>
      </c>
      <c r="D1111" s="4" t="s">
        <v>71</v>
      </c>
      <c r="E1111" s="4" t="str">
        <f t="shared" si="119"/>
        <v>70|C|C</v>
      </c>
      <c r="F1111" s="12">
        <v>48</v>
      </c>
      <c r="G1111" s="4">
        <f t="shared" si="120"/>
        <v>72</v>
      </c>
      <c r="H1111" s="12">
        <v>1</v>
      </c>
      <c r="I1111" s="14">
        <f t="shared" si="121"/>
        <v>0.66666666666666663</v>
      </c>
      <c r="J1111" s="14">
        <f t="shared" si="122"/>
        <v>0.64473684210526316</v>
      </c>
      <c r="K1111" s="4">
        <f t="shared" si="123"/>
        <v>49</v>
      </c>
      <c r="L1111" s="4">
        <f t="shared" si="124"/>
        <v>76</v>
      </c>
      <c r="M1111" s="4" t="s">
        <v>519</v>
      </c>
      <c r="N1111" s="4">
        <f t="shared" si="125"/>
        <v>1</v>
      </c>
    </row>
    <row r="1112" spans="1:14">
      <c r="A1112" s="4">
        <v>70</v>
      </c>
      <c r="B1112" s="4" t="s">
        <v>588</v>
      </c>
      <c r="C1112" s="4" t="s">
        <v>71</v>
      </c>
      <c r="D1112" s="4" t="s">
        <v>70</v>
      </c>
      <c r="E1112" s="4" t="str">
        <f t="shared" si="119"/>
        <v>70|C|G</v>
      </c>
      <c r="F1112" s="12">
        <v>22</v>
      </c>
      <c r="G1112" s="4">
        <f t="shared" si="120"/>
        <v>72</v>
      </c>
      <c r="H1112" s="12">
        <v>1</v>
      </c>
      <c r="I1112" s="14">
        <f t="shared" si="121"/>
        <v>0.30555555555555558</v>
      </c>
      <c r="J1112" s="14">
        <f t="shared" si="122"/>
        <v>0.30263157894736842</v>
      </c>
      <c r="K1112" s="4">
        <f t="shared" si="123"/>
        <v>23</v>
      </c>
      <c r="L1112" s="4">
        <f t="shared" si="124"/>
        <v>76</v>
      </c>
      <c r="M1112" s="4" t="s">
        <v>519</v>
      </c>
      <c r="N1112" s="4">
        <f t="shared" si="125"/>
        <v>1</v>
      </c>
    </row>
    <row r="1113" spans="1:14">
      <c r="A1113" s="4">
        <v>70</v>
      </c>
      <c r="B1113" s="4" t="s">
        <v>588</v>
      </c>
      <c r="C1113" s="4" t="s">
        <v>71</v>
      </c>
      <c r="D1113" s="4" t="s">
        <v>72</v>
      </c>
      <c r="E1113" s="4" t="str">
        <f t="shared" si="119"/>
        <v>70|C|U</v>
      </c>
      <c r="F1113" s="12">
        <v>1</v>
      </c>
      <c r="G1113" s="4">
        <f t="shared" si="120"/>
        <v>72</v>
      </c>
      <c r="H1113" s="12">
        <v>1</v>
      </c>
      <c r="I1113" s="14">
        <f t="shared" si="121"/>
        <v>1.3888888888888888E-2</v>
      </c>
      <c r="J1113" s="14">
        <f t="shared" si="122"/>
        <v>2.6315789473684209E-2</v>
      </c>
      <c r="K1113" s="4">
        <f t="shared" si="123"/>
        <v>2</v>
      </c>
      <c r="L1113" s="4">
        <f t="shared" si="124"/>
        <v>76</v>
      </c>
      <c r="M1113" s="4" t="s">
        <v>519</v>
      </c>
      <c r="N1113" s="4">
        <f t="shared" si="125"/>
        <v>1</v>
      </c>
    </row>
    <row r="1114" spans="1:14">
      <c r="A1114" s="4">
        <v>70</v>
      </c>
      <c r="B1114" s="4" t="s">
        <v>588</v>
      </c>
      <c r="C1114" s="4" t="s">
        <v>70</v>
      </c>
      <c r="D1114" s="4" t="s">
        <v>73</v>
      </c>
      <c r="E1114" s="4" t="str">
        <f t="shared" si="119"/>
        <v>70|G|A</v>
      </c>
      <c r="F1114" s="12">
        <v>3</v>
      </c>
      <c r="G1114" s="4">
        <f t="shared" si="120"/>
        <v>75</v>
      </c>
      <c r="H1114" s="12">
        <v>1</v>
      </c>
      <c r="I1114" s="14">
        <f t="shared" si="121"/>
        <v>0.04</v>
      </c>
      <c r="J1114" s="14">
        <f t="shared" si="122"/>
        <v>5.0632911392405063E-2</v>
      </c>
      <c r="K1114" s="4">
        <f t="shared" si="123"/>
        <v>4</v>
      </c>
      <c r="L1114" s="4">
        <f t="shared" si="124"/>
        <v>79</v>
      </c>
      <c r="M1114" s="4" t="s">
        <v>519</v>
      </c>
      <c r="N1114" s="4">
        <f t="shared" si="125"/>
        <v>1</v>
      </c>
    </row>
    <row r="1115" spans="1:14">
      <c r="A1115" s="4">
        <v>70</v>
      </c>
      <c r="B1115" s="4" t="s">
        <v>588</v>
      </c>
      <c r="C1115" s="4" t="s">
        <v>70</v>
      </c>
      <c r="D1115" s="4" t="s">
        <v>71</v>
      </c>
      <c r="E1115" s="4" t="str">
        <f t="shared" si="119"/>
        <v>70|G|C</v>
      </c>
      <c r="F1115" s="12">
        <v>22</v>
      </c>
      <c r="G1115" s="4">
        <f t="shared" si="120"/>
        <v>75</v>
      </c>
      <c r="H1115" s="12">
        <v>1</v>
      </c>
      <c r="I1115" s="14">
        <f t="shared" si="121"/>
        <v>0.29333333333333333</v>
      </c>
      <c r="J1115" s="14">
        <f t="shared" si="122"/>
        <v>0.29113924050632911</v>
      </c>
      <c r="K1115" s="4">
        <f t="shared" si="123"/>
        <v>23</v>
      </c>
      <c r="L1115" s="4">
        <f t="shared" si="124"/>
        <v>79</v>
      </c>
      <c r="M1115" s="4" t="s">
        <v>519</v>
      </c>
      <c r="N1115" s="4">
        <f t="shared" si="125"/>
        <v>1</v>
      </c>
    </row>
    <row r="1116" spans="1:14">
      <c r="A1116" s="4">
        <v>70</v>
      </c>
      <c r="B1116" s="4" t="s">
        <v>588</v>
      </c>
      <c r="C1116" s="4" t="s">
        <v>70</v>
      </c>
      <c r="D1116" s="4" t="s">
        <v>70</v>
      </c>
      <c r="E1116" s="4" t="str">
        <f t="shared" si="119"/>
        <v>70|G|G</v>
      </c>
      <c r="F1116" s="12">
        <v>44</v>
      </c>
      <c r="G1116" s="4">
        <f t="shared" si="120"/>
        <v>75</v>
      </c>
      <c r="H1116" s="12">
        <v>1</v>
      </c>
      <c r="I1116" s="14">
        <f t="shared" si="121"/>
        <v>0.58666666666666667</v>
      </c>
      <c r="J1116" s="14">
        <f t="shared" si="122"/>
        <v>0.569620253164557</v>
      </c>
      <c r="K1116" s="4">
        <f t="shared" si="123"/>
        <v>45</v>
      </c>
      <c r="L1116" s="4">
        <f t="shared" si="124"/>
        <v>79</v>
      </c>
      <c r="M1116" s="4" t="s">
        <v>519</v>
      </c>
      <c r="N1116" s="4">
        <f t="shared" si="125"/>
        <v>1</v>
      </c>
    </row>
    <row r="1117" spans="1:14">
      <c r="A1117" s="4">
        <v>70</v>
      </c>
      <c r="B1117" s="4" t="s">
        <v>588</v>
      </c>
      <c r="C1117" s="4" t="s">
        <v>70</v>
      </c>
      <c r="D1117" s="4" t="s">
        <v>72</v>
      </c>
      <c r="E1117" s="4" t="str">
        <f t="shared" si="119"/>
        <v>70|G|U</v>
      </c>
      <c r="F1117" s="12">
        <v>6</v>
      </c>
      <c r="G1117" s="4">
        <f t="shared" si="120"/>
        <v>75</v>
      </c>
      <c r="H1117" s="12">
        <v>1</v>
      </c>
      <c r="I1117" s="14">
        <f t="shared" si="121"/>
        <v>0.08</v>
      </c>
      <c r="J1117" s="14">
        <f t="shared" si="122"/>
        <v>8.8607594936708861E-2</v>
      </c>
      <c r="K1117" s="4">
        <f t="shared" si="123"/>
        <v>7</v>
      </c>
      <c r="L1117" s="4">
        <f t="shared" si="124"/>
        <v>79</v>
      </c>
      <c r="M1117" s="4" t="s">
        <v>519</v>
      </c>
      <c r="N1117" s="4">
        <f t="shared" si="125"/>
        <v>1</v>
      </c>
    </row>
    <row r="1118" spans="1:14">
      <c r="A1118" s="4">
        <v>70</v>
      </c>
      <c r="B1118" s="4" t="s">
        <v>588</v>
      </c>
      <c r="C1118" s="4" t="s">
        <v>72</v>
      </c>
      <c r="D1118" s="4" t="s">
        <v>73</v>
      </c>
      <c r="E1118" s="4" t="str">
        <f t="shared" si="119"/>
        <v>70|U|A</v>
      </c>
      <c r="F1118" s="12">
        <v>0</v>
      </c>
      <c r="G1118" s="4">
        <f t="shared" si="120"/>
        <v>30</v>
      </c>
      <c r="H1118" s="12">
        <v>1</v>
      </c>
      <c r="I1118" s="14">
        <f t="shared" si="121"/>
        <v>0</v>
      </c>
      <c r="J1118" s="14">
        <f t="shared" si="122"/>
        <v>2.9411764705882353E-2</v>
      </c>
      <c r="K1118" s="4">
        <f t="shared" si="123"/>
        <v>1</v>
      </c>
      <c r="L1118" s="4">
        <f t="shared" si="124"/>
        <v>34</v>
      </c>
      <c r="M1118" s="4" t="s">
        <v>519</v>
      </c>
      <c r="N1118" s="4">
        <f t="shared" si="125"/>
        <v>1</v>
      </c>
    </row>
    <row r="1119" spans="1:14">
      <c r="A1119" s="4">
        <v>70</v>
      </c>
      <c r="B1119" s="4" t="s">
        <v>588</v>
      </c>
      <c r="C1119" s="4" t="s">
        <v>72</v>
      </c>
      <c r="D1119" s="4" t="s">
        <v>71</v>
      </c>
      <c r="E1119" s="4" t="str">
        <f t="shared" si="119"/>
        <v>70|U|C</v>
      </c>
      <c r="F1119" s="12">
        <v>28</v>
      </c>
      <c r="G1119" s="4">
        <f t="shared" si="120"/>
        <v>30</v>
      </c>
      <c r="H1119" s="12">
        <v>1</v>
      </c>
      <c r="I1119" s="14">
        <f t="shared" si="121"/>
        <v>0.93333333333333335</v>
      </c>
      <c r="J1119" s="14">
        <f t="shared" si="122"/>
        <v>0.8529411764705882</v>
      </c>
      <c r="K1119" s="4">
        <f t="shared" si="123"/>
        <v>29</v>
      </c>
      <c r="L1119" s="4">
        <f t="shared" si="124"/>
        <v>34</v>
      </c>
      <c r="M1119" s="4" t="s">
        <v>519</v>
      </c>
      <c r="N1119" s="4">
        <f t="shared" si="125"/>
        <v>1</v>
      </c>
    </row>
    <row r="1120" spans="1:14">
      <c r="A1120" s="4">
        <v>70</v>
      </c>
      <c r="B1120" s="4" t="s">
        <v>588</v>
      </c>
      <c r="C1120" s="4" t="s">
        <v>72</v>
      </c>
      <c r="D1120" s="4" t="s">
        <v>70</v>
      </c>
      <c r="E1120" s="4" t="str">
        <f t="shared" si="119"/>
        <v>70|U|G</v>
      </c>
      <c r="F1120" s="12">
        <v>2</v>
      </c>
      <c r="G1120" s="4">
        <f t="shared" si="120"/>
        <v>30</v>
      </c>
      <c r="H1120" s="12">
        <v>1</v>
      </c>
      <c r="I1120" s="14">
        <f t="shared" si="121"/>
        <v>6.6666666666666666E-2</v>
      </c>
      <c r="J1120" s="14">
        <f t="shared" si="122"/>
        <v>8.8235294117647065E-2</v>
      </c>
      <c r="K1120" s="4">
        <f t="shared" si="123"/>
        <v>3</v>
      </c>
      <c r="L1120" s="4">
        <f t="shared" si="124"/>
        <v>34</v>
      </c>
      <c r="M1120" s="4" t="s">
        <v>519</v>
      </c>
      <c r="N1120" s="4">
        <f t="shared" si="125"/>
        <v>1</v>
      </c>
    </row>
    <row r="1121" spans="1:14">
      <c r="A1121" s="4">
        <v>70</v>
      </c>
      <c r="B1121" s="4" t="s">
        <v>588</v>
      </c>
      <c r="C1121" s="4" t="s">
        <v>72</v>
      </c>
      <c r="D1121" s="4" t="s">
        <v>72</v>
      </c>
      <c r="E1121" s="4" t="str">
        <f t="shared" si="119"/>
        <v>70|U|U</v>
      </c>
      <c r="F1121" s="12">
        <v>0</v>
      </c>
      <c r="G1121" s="4">
        <f t="shared" si="120"/>
        <v>30</v>
      </c>
      <c r="H1121" s="12">
        <v>1</v>
      </c>
      <c r="I1121" s="14">
        <f t="shared" si="121"/>
        <v>0</v>
      </c>
      <c r="J1121" s="14">
        <f t="shared" si="122"/>
        <v>2.9411764705882353E-2</v>
      </c>
      <c r="K1121" s="4">
        <f t="shared" si="123"/>
        <v>1</v>
      </c>
      <c r="L1121" s="4">
        <f t="shared" si="124"/>
        <v>34</v>
      </c>
      <c r="M1121" s="4" t="s">
        <v>519</v>
      </c>
      <c r="N1121" s="4">
        <f t="shared" si="125"/>
        <v>1</v>
      </c>
    </row>
    <row r="1122" spans="1:14">
      <c r="A1122" s="4">
        <v>71</v>
      </c>
      <c r="B1122" s="4" t="s">
        <v>589</v>
      </c>
      <c r="C1122" s="4" t="s">
        <v>73</v>
      </c>
      <c r="D1122" s="4" t="s">
        <v>73</v>
      </c>
      <c r="E1122" s="4" t="str">
        <f t="shared" si="119"/>
        <v>71|A|A</v>
      </c>
      <c r="F1122" s="12">
        <v>0</v>
      </c>
      <c r="G1122" s="4">
        <f t="shared" si="120"/>
        <v>5</v>
      </c>
      <c r="H1122" s="12">
        <v>1</v>
      </c>
      <c r="I1122" s="14">
        <f t="shared" si="121"/>
        <v>0</v>
      </c>
      <c r="J1122" s="14">
        <f t="shared" si="122"/>
        <v>0.1111111111111111</v>
      </c>
      <c r="K1122" s="4">
        <f t="shared" si="123"/>
        <v>1</v>
      </c>
      <c r="L1122" s="4">
        <f t="shared" si="124"/>
        <v>9</v>
      </c>
      <c r="M1122" s="4" t="s">
        <v>519</v>
      </c>
      <c r="N1122" s="4">
        <f t="shared" si="125"/>
        <v>1</v>
      </c>
    </row>
    <row r="1123" spans="1:14">
      <c r="A1123" s="4">
        <v>71</v>
      </c>
      <c r="B1123" s="4" t="s">
        <v>589</v>
      </c>
      <c r="C1123" s="4" t="s">
        <v>73</v>
      </c>
      <c r="D1123" s="4" t="s">
        <v>71</v>
      </c>
      <c r="E1123" s="4" t="str">
        <f t="shared" si="119"/>
        <v>71|A|C</v>
      </c>
      <c r="F1123" s="12">
        <v>4</v>
      </c>
      <c r="G1123" s="4">
        <f t="shared" si="120"/>
        <v>5</v>
      </c>
      <c r="H1123" s="12">
        <v>1</v>
      </c>
      <c r="I1123" s="14">
        <f t="shared" si="121"/>
        <v>0.8</v>
      </c>
      <c r="J1123" s="14">
        <f t="shared" si="122"/>
        <v>0.55555555555555558</v>
      </c>
      <c r="K1123" s="4">
        <f t="shared" si="123"/>
        <v>5</v>
      </c>
      <c r="L1123" s="4">
        <f t="shared" si="124"/>
        <v>9</v>
      </c>
      <c r="M1123" s="4" t="s">
        <v>519</v>
      </c>
      <c r="N1123" s="4">
        <f t="shared" si="125"/>
        <v>1</v>
      </c>
    </row>
    <row r="1124" spans="1:14">
      <c r="A1124" s="4">
        <v>71</v>
      </c>
      <c r="B1124" s="4" t="s">
        <v>589</v>
      </c>
      <c r="C1124" s="4" t="s">
        <v>73</v>
      </c>
      <c r="D1124" s="4" t="s">
        <v>70</v>
      </c>
      <c r="E1124" s="4" t="str">
        <f t="shared" si="119"/>
        <v>71|A|G</v>
      </c>
      <c r="F1124" s="12">
        <v>1</v>
      </c>
      <c r="G1124" s="4">
        <f t="shared" si="120"/>
        <v>5</v>
      </c>
      <c r="H1124" s="12">
        <v>1</v>
      </c>
      <c r="I1124" s="14">
        <f t="shared" si="121"/>
        <v>0.2</v>
      </c>
      <c r="J1124" s="14">
        <f t="shared" si="122"/>
        <v>0.22222222222222221</v>
      </c>
      <c r="K1124" s="4">
        <f t="shared" si="123"/>
        <v>2</v>
      </c>
      <c r="L1124" s="4">
        <f t="shared" si="124"/>
        <v>9</v>
      </c>
      <c r="M1124" s="4" t="s">
        <v>519</v>
      </c>
      <c r="N1124" s="4">
        <f t="shared" si="125"/>
        <v>1</v>
      </c>
    </row>
    <row r="1125" spans="1:14">
      <c r="A1125" s="4">
        <v>71</v>
      </c>
      <c r="B1125" s="4" t="s">
        <v>589</v>
      </c>
      <c r="C1125" s="4" t="s">
        <v>73</v>
      </c>
      <c r="D1125" s="4" t="s">
        <v>72</v>
      </c>
      <c r="E1125" s="4" t="str">
        <f t="shared" si="119"/>
        <v>71|A|U</v>
      </c>
      <c r="F1125" s="12">
        <v>0</v>
      </c>
      <c r="G1125" s="4">
        <f t="shared" si="120"/>
        <v>5</v>
      </c>
      <c r="H1125" s="12">
        <v>1</v>
      </c>
      <c r="I1125" s="14">
        <f t="shared" si="121"/>
        <v>0</v>
      </c>
      <c r="J1125" s="14">
        <f t="shared" si="122"/>
        <v>0.1111111111111111</v>
      </c>
      <c r="K1125" s="4">
        <f t="shared" si="123"/>
        <v>1</v>
      </c>
      <c r="L1125" s="4">
        <f t="shared" si="124"/>
        <v>9</v>
      </c>
      <c r="M1125" s="4" t="s">
        <v>519</v>
      </c>
      <c r="N1125" s="4">
        <f t="shared" si="125"/>
        <v>1</v>
      </c>
    </row>
    <row r="1126" spans="1:14">
      <c r="A1126" s="4">
        <v>71</v>
      </c>
      <c r="B1126" s="4" t="s">
        <v>589</v>
      </c>
      <c r="C1126" s="4" t="s">
        <v>71</v>
      </c>
      <c r="D1126" s="4" t="s">
        <v>73</v>
      </c>
      <c r="E1126" s="4" t="str">
        <f t="shared" si="119"/>
        <v>71|C|A</v>
      </c>
      <c r="F1126" s="12">
        <v>7</v>
      </c>
      <c r="G1126" s="4">
        <f t="shared" si="120"/>
        <v>104</v>
      </c>
      <c r="H1126" s="12">
        <v>1</v>
      </c>
      <c r="I1126" s="14">
        <f t="shared" si="121"/>
        <v>6.7307692307692304E-2</v>
      </c>
      <c r="J1126" s="14">
        <f t="shared" si="122"/>
        <v>7.407407407407407E-2</v>
      </c>
      <c r="K1126" s="4">
        <f t="shared" si="123"/>
        <v>8</v>
      </c>
      <c r="L1126" s="4">
        <f t="shared" si="124"/>
        <v>108</v>
      </c>
      <c r="M1126" s="4" t="s">
        <v>519</v>
      </c>
      <c r="N1126" s="4">
        <f t="shared" si="125"/>
        <v>1</v>
      </c>
    </row>
    <row r="1127" spans="1:14">
      <c r="A1127" s="4">
        <v>71</v>
      </c>
      <c r="B1127" s="4" t="s">
        <v>589</v>
      </c>
      <c r="C1127" s="4" t="s">
        <v>71</v>
      </c>
      <c r="D1127" s="4" t="s">
        <v>71</v>
      </c>
      <c r="E1127" s="4" t="str">
        <f t="shared" si="119"/>
        <v>71|C|C</v>
      </c>
      <c r="F1127" s="12">
        <v>66</v>
      </c>
      <c r="G1127" s="4">
        <f t="shared" si="120"/>
        <v>104</v>
      </c>
      <c r="H1127" s="12">
        <v>1</v>
      </c>
      <c r="I1127" s="14">
        <f t="shared" si="121"/>
        <v>0.63461538461538458</v>
      </c>
      <c r="J1127" s="14">
        <f t="shared" si="122"/>
        <v>0.62037037037037035</v>
      </c>
      <c r="K1127" s="4">
        <f t="shared" si="123"/>
        <v>67</v>
      </c>
      <c r="L1127" s="4">
        <f t="shared" si="124"/>
        <v>108</v>
      </c>
      <c r="M1127" s="4" t="s">
        <v>519</v>
      </c>
      <c r="N1127" s="4">
        <f t="shared" si="125"/>
        <v>1</v>
      </c>
    </row>
    <row r="1128" spans="1:14">
      <c r="A1128" s="4">
        <v>71</v>
      </c>
      <c r="B1128" s="4" t="s">
        <v>589</v>
      </c>
      <c r="C1128" s="4" t="s">
        <v>71</v>
      </c>
      <c r="D1128" s="4" t="s">
        <v>70</v>
      </c>
      <c r="E1128" s="4" t="str">
        <f t="shared" si="119"/>
        <v>71|C|G</v>
      </c>
      <c r="F1128" s="12">
        <v>13</v>
      </c>
      <c r="G1128" s="4">
        <f t="shared" si="120"/>
        <v>104</v>
      </c>
      <c r="H1128" s="12">
        <v>1</v>
      </c>
      <c r="I1128" s="14">
        <f t="shared" si="121"/>
        <v>0.125</v>
      </c>
      <c r="J1128" s="14">
        <f t="shared" si="122"/>
        <v>0.12962962962962962</v>
      </c>
      <c r="K1128" s="4">
        <f t="shared" si="123"/>
        <v>14</v>
      </c>
      <c r="L1128" s="4">
        <f t="shared" si="124"/>
        <v>108</v>
      </c>
      <c r="M1128" s="4" t="s">
        <v>519</v>
      </c>
      <c r="N1128" s="4">
        <f t="shared" si="125"/>
        <v>1</v>
      </c>
    </row>
    <row r="1129" spans="1:14">
      <c r="A1129" s="4">
        <v>71</v>
      </c>
      <c r="B1129" s="4" t="s">
        <v>589</v>
      </c>
      <c r="C1129" s="4" t="s">
        <v>71</v>
      </c>
      <c r="D1129" s="4" t="s">
        <v>72</v>
      </c>
      <c r="E1129" s="4" t="str">
        <f t="shared" si="119"/>
        <v>71|C|U</v>
      </c>
      <c r="F1129" s="12">
        <v>18</v>
      </c>
      <c r="G1129" s="4">
        <f t="shared" si="120"/>
        <v>104</v>
      </c>
      <c r="H1129" s="12">
        <v>1</v>
      </c>
      <c r="I1129" s="14">
        <f t="shared" si="121"/>
        <v>0.17307692307692307</v>
      </c>
      <c r="J1129" s="14">
        <f t="shared" si="122"/>
        <v>0.17592592592592593</v>
      </c>
      <c r="K1129" s="4">
        <f t="shared" si="123"/>
        <v>19</v>
      </c>
      <c r="L1129" s="4">
        <f t="shared" si="124"/>
        <v>108</v>
      </c>
      <c r="M1129" s="4" t="s">
        <v>519</v>
      </c>
      <c r="N1129" s="4">
        <f t="shared" si="125"/>
        <v>1</v>
      </c>
    </row>
    <row r="1130" spans="1:14">
      <c r="A1130" s="4">
        <v>71</v>
      </c>
      <c r="B1130" s="4" t="s">
        <v>589</v>
      </c>
      <c r="C1130" s="4" t="s">
        <v>70</v>
      </c>
      <c r="D1130" s="4" t="s">
        <v>73</v>
      </c>
      <c r="E1130" s="4" t="str">
        <f t="shared" si="119"/>
        <v>71|G|A</v>
      </c>
      <c r="F1130" s="12">
        <v>9</v>
      </c>
      <c r="G1130" s="4">
        <f t="shared" si="120"/>
        <v>82</v>
      </c>
      <c r="H1130" s="12">
        <v>1</v>
      </c>
      <c r="I1130" s="14">
        <f t="shared" si="121"/>
        <v>0.10975609756097561</v>
      </c>
      <c r="J1130" s="14">
        <f t="shared" si="122"/>
        <v>0.11627906976744186</v>
      </c>
      <c r="K1130" s="4">
        <f t="shared" si="123"/>
        <v>10</v>
      </c>
      <c r="L1130" s="4">
        <f t="shared" si="124"/>
        <v>86</v>
      </c>
      <c r="M1130" s="4" t="s">
        <v>519</v>
      </c>
      <c r="N1130" s="4">
        <f t="shared" si="125"/>
        <v>1</v>
      </c>
    </row>
    <row r="1131" spans="1:14">
      <c r="A1131" s="4">
        <v>71</v>
      </c>
      <c r="B1131" s="4" t="s">
        <v>589</v>
      </c>
      <c r="C1131" s="4" t="s">
        <v>70</v>
      </c>
      <c r="D1131" s="4" t="s">
        <v>71</v>
      </c>
      <c r="E1131" s="4" t="str">
        <f t="shared" si="119"/>
        <v>71|G|C</v>
      </c>
      <c r="F1131" s="12">
        <v>66</v>
      </c>
      <c r="G1131" s="4">
        <f t="shared" si="120"/>
        <v>82</v>
      </c>
      <c r="H1131" s="12">
        <v>1</v>
      </c>
      <c r="I1131" s="14">
        <f t="shared" si="121"/>
        <v>0.80487804878048785</v>
      </c>
      <c r="J1131" s="14">
        <f t="shared" si="122"/>
        <v>0.77906976744186052</v>
      </c>
      <c r="K1131" s="4">
        <f t="shared" si="123"/>
        <v>67</v>
      </c>
      <c r="L1131" s="4">
        <f t="shared" si="124"/>
        <v>86</v>
      </c>
      <c r="M1131" s="4" t="s">
        <v>519</v>
      </c>
      <c r="N1131" s="4">
        <f t="shared" si="125"/>
        <v>1</v>
      </c>
    </row>
    <row r="1132" spans="1:14">
      <c r="A1132" s="4">
        <v>71</v>
      </c>
      <c r="B1132" s="4" t="s">
        <v>589</v>
      </c>
      <c r="C1132" s="4" t="s">
        <v>70</v>
      </c>
      <c r="D1132" s="4" t="s">
        <v>70</v>
      </c>
      <c r="E1132" s="4" t="str">
        <f t="shared" si="119"/>
        <v>71|G|G</v>
      </c>
      <c r="F1132" s="12">
        <v>4</v>
      </c>
      <c r="G1132" s="4">
        <f t="shared" si="120"/>
        <v>82</v>
      </c>
      <c r="H1132" s="12">
        <v>1</v>
      </c>
      <c r="I1132" s="14">
        <f t="shared" si="121"/>
        <v>4.878048780487805E-2</v>
      </c>
      <c r="J1132" s="14">
        <f t="shared" si="122"/>
        <v>5.8139534883720929E-2</v>
      </c>
      <c r="K1132" s="4">
        <f t="shared" si="123"/>
        <v>5</v>
      </c>
      <c r="L1132" s="4">
        <f t="shared" si="124"/>
        <v>86</v>
      </c>
      <c r="M1132" s="4" t="s">
        <v>519</v>
      </c>
      <c r="N1132" s="4">
        <f t="shared" si="125"/>
        <v>1</v>
      </c>
    </row>
    <row r="1133" spans="1:14">
      <c r="A1133" s="4">
        <v>71</v>
      </c>
      <c r="B1133" s="4" t="s">
        <v>589</v>
      </c>
      <c r="C1133" s="4" t="s">
        <v>70</v>
      </c>
      <c r="D1133" s="4" t="s">
        <v>72</v>
      </c>
      <c r="E1133" s="4" t="str">
        <f t="shared" si="119"/>
        <v>71|G|U</v>
      </c>
      <c r="F1133" s="12">
        <v>3</v>
      </c>
      <c r="G1133" s="4">
        <f t="shared" si="120"/>
        <v>82</v>
      </c>
      <c r="H1133" s="12">
        <v>1</v>
      </c>
      <c r="I1133" s="14">
        <f t="shared" si="121"/>
        <v>3.6585365853658534E-2</v>
      </c>
      <c r="J1133" s="14">
        <f t="shared" si="122"/>
        <v>4.6511627906976744E-2</v>
      </c>
      <c r="K1133" s="4">
        <f t="shared" si="123"/>
        <v>4</v>
      </c>
      <c r="L1133" s="4">
        <f t="shared" si="124"/>
        <v>86</v>
      </c>
      <c r="M1133" s="4" t="s">
        <v>519</v>
      </c>
      <c r="N1133" s="4">
        <f t="shared" si="125"/>
        <v>1</v>
      </c>
    </row>
    <row r="1134" spans="1:14">
      <c r="A1134" s="4">
        <v>71</v>
      </c>
      <c r="B1134" s="4" t="s">
        <v>589</v>
      </c>
      <c r="C1134" s="4" t="s">
        <v>72</v>
      </c>
      <c r="D1134" s="4" t="s">
        <v>73</v>
      </c>
      <c r="E1134" s="4" t="str">
        <f t="shared" si="119"/>
        <v>71|U|A</v>
      </c>
      <c r="F1134" s="12">
        <v>0</v>
      </c>
      <c r="G1134" s="4">
        <f t="shared" si="120"/>
        <v>9</v>
      </c>
      <c r="H1134" s="12">
        <v>1</v>
      </c>
      <c r="I1134" s="14">
        <f t="shared" si="121"/>
        <v>0</v>
      </c>
      <c r="J1134" s="14">
        <f t="shared" si="122"/>
        <v>7.6923076923076927E-2</v>
      </c>
      <c r="K1134" s="4">
        <f t="shared" si="123"/>
        <v>1</v>
      </c>
      <c r="L1134" s="4">
        <f t="shared" si="124"/>
        <v>13</v>
      </c>
      <c r="M1134" s="4" t="s">
        <v>519</v>
      </c>
      <c r="N1134" s="4">
        <f t="shared" si="125"/>
        <v>1</v>
      </c>
    </row>
    <row r="1135" spans="1:14">
      <c r="A1135" s="4">
        <v>71</v>
      </c>
      <c r="B1135" s="4" t="s">
        <v>589</v>
      </c>
      <c r="C1135" s="4" t="s">
        <v>72</v>
      </c>
      <c r="D1135" s="4" t="s">
        <v>71</v>
      </c>
      <c r="E1135" s="4" t="str">
        <f t="shared" si="119"/>
        <v>71|U|C</v>
      </c>
      <c r="F1135" s="12">
        <v>9</v>
      </c>
      <c r="G1135" s="4">
        <f t="shared" si="120"/>
        <v>9</v>
      </c>
      <c r="H1135" s="12">
        <v>1</v>
      </c>
      <c r="I1135" s="14">
        <f t="shared" si="121"/>
        <v>1</v>
      </c>
      <c r="J1135" s="14">
        <f t="shared" si="122"/>
        <v>0.76923076923076927</v>
      </c>
      <c r="K1135" s="4">
        <f t="shared" si="123"/>
        <v>10</v>
      </c>
      <c r="L1135" s="4">
        <f t="shared" si="124"/>
        <v>13</v>
      </c>
      <c r="M1135" s="4" t="s">
        <v>519</v>
      </c>
      <c r="N1135" s="4">
        <f t="shared" si="125"/>
        <v>1</v>
      </c>
    </row>
    <row r="1136" spans="1:14">
      <c r="A1136" s="4">
        <v>71</v>
      </c>
      <c r="B1136" s="4" t="s">
        <v>589</v>
      </c>
      <c r="C1136" s="4" t="s">
        <v>72</v>
      </c>
      <c r="D1136" s="4" t="s">
        <v>70</v>
      </c>
      <c r="E1136" s="4" t="str">
        <f t="shared" si="119"/>
        <v>71|U|G</v>
      </c>
      <c r="F1136" s="12">
        <v>0</v>
      </c>
      <c r="G1136" s="4">
        <f t="shared" si="120"/>
        <v>9</v>
      </c>
      <c r="H1136" s="12">
        <v>1</v>
      </c>
      <c r="I1136" s="14">
        <f t="shared" si="121"/>
        <v>0</v>
      </c>
      <c r="J1136" s="14">
        <f t="shared" si="122"/>
        <v>7.6923076923076927E-2</v>
      </c>
      <c r="K1136" s="4">
        <f t="shared" si="123"/>
        <v>1</v>
      </c>
      <c r="L1136" s="4">
        <f t="shared" si="124"/>
        <v>13</v>
      </c>
      <c r="M1136" s="4" t="s">
        <v>519</v>
      </c>
      <c r="N1136" s="4">
        <f t="shared" si="125"/>
        <v>1</v>
      </c>
    </row>
    <row r="1137" spans="1:14">
      <c r="A1137" s="4">
        <v>71</v>
      </c>
      <c r="B1137" s="4" t="s">
        <v>589</v>
      </c>
      <c r="C1137" s="4" t="s">
        <v>72</v>
      </c>
      <c r="D1137" s="4" t="s">
        <v>72</v>
      </c>
      <c r="E1137" s="4" t="str">
        <f t="shared" si="119"/>
        <v>71|U|U</v>
      </c>
      <c r="F1137" s="12">
        <v>0</v>
      </c>
      <c r="G1137" s="4">
        <f t="shared" si="120"/>
        <v>9</v>
      </c>
      <c r="H1137" s="12">
        <v>1</v>
      </c>
      <c r="I1137" s="14">
        <f t="shared" si="121"/>
        <v>0</v>
      </c>
      <c r="J1137" s="14">
        <f t="shared" si="122"/>
        <v>7.6923076923076927E-2</v>
      </c>
      <c r="K1137" s="4">
        <f t="shared" si="123"/>
        <v>1</v>
      </c>
      <c r="L1137" s="4">
        <f t="shared" si="124"/>
        <v>13</v>
      </c>
      <c r="M1137" s="4" t="s">
        <v>519</v>
      </c>
      <c r="N1137" s="4">
        <f t="shared" si="125"/>
        <v>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dimension ref="A1:F569"/>
  <sheetViews>
    <sheetView workbookViewId="0"/>
  </sheetViews>
  <sheetFormatPr defaultColWidth="8.7109375" defaultRowHeight="15"/>
  <cols>
    <col min="1" max="1" width="16" customWidth="1"/>
    <col min="2" max="6" width="12" customWidth="1"/>
  </cols>
  <sheetData>
    <row r="1" spans="1:6" ht="15.75">
      <c r="A1" s="2" t="s">
        <v>590</v>
      </c>
      <c r="B1" s="4"/>
      <c r="C1" s="4"/>
      <c r="D1" s="4"/>
      <c r="E1" s="4"/>
      <c r="F1" s="4"/>
    </row>
    <row r="2" spans="1:6">
      <c r="A2" s="4" t="s">
        <v>591</v>
      </c>
      <c r="B2" s="4"/>
      <c r="C2" s="4"/>
      <c r="D2" s="4"/>
      <c r="E2" s="4"/>
      <c r="F2" s="4"/>
    </row>
    <row r="3" spans="1:6">
      <c r="A3" s="4"/>
      <c r="B3" s="4"/>
      <c r="C3" s="4"/>
      <c r="D3" s="4"/>
      <c r="E3" s="4"/>
      <c r="F3" s="4"/>
    </row>
    <row r="4" spans="1:6">
      <c r="A4" s="5" t="s">
        <v>592</v>
      </c>
      <c r="B4" s="4"/>
      <c r="C4" s="4"/>
      <c r="D4" s="4"/>
      <c r="E4" s="4"/>
      <c r="F4" s="4"/>
    </row>
    <row r="5" spans="1:6">
      <c r="A5" s="9" t="s">
        <v>593</v>
      </c>
      <c r="B5" s="9" t="s">
        <v>73</v>
      </c>
      <c r="C5" s="9" t="s">
        <v>71</v>
      </c>
      <c r="D5" s="9" t="s">
        <v>70</v>
      </c>
      <c r="E5" s="9" t="s">
        <v>72</v>
      </c>
      <c r="F5" s="9" t="s">
        <v>594</v>
      </c>
    </row>
    <row r="6" spans="1:6">
      <c r="A6" s="5" t="s">
        <v>73</v>
      </c>
      <c r="B6" s="4">
        <f>INDEX('Transition Stepwise'!$F$2:$F$1137,MATCH(1&amp;"|"&amp;$A6&amp;"|"&amp;B$5,'Transition Stepwise'!$E$2:$E$1137,0))</f>
        <v>0</v>
      </c>
      <c r="C6" s="4">
        <f>INDEX('Transition Stepwise'!$F$2:$F$1137,MATCH(1&amp;"|"&amp;$A6&amp;"|"&amp;C$5,'Transition Stepwise'!$E$2:$E$1137,0))</f>
        <v>1</v>
      </c>
      <c r="D6" s="4">
        <f>INDEX('Transition Stepwise'!$F$2:$F$1137,MATCH(1&amp;"|"&amp;$A6&amp;"|"&amp;D$5,'Transition Stepwise'!$E$2:$E$1137,0))</f>
        <v>12</v>
      </c>
      <c r="E6" s="4">
        <f>INDEX('Transition Stepwise'!$F$2:$F$1137,MATCH(1&amp;"|"&amp;$A6&amp;"|"&amp;E$5,'Transition Stepwise'!$E$2:$E$1137,0))</f>
        <v>0</v>
      </c>
      <c r="F6" s="4">
        <f>ROUND(SUM(B6:E6),9)</f>
        <v>13</v>
      </c>
    </row>
    <row r="7" spans="1:6">
      <c r="A7" s="5" t="s">
        <v>71</v>
      </c>
      <c r="B7" s="4">
        <f>INDEX('Transition Stepwise'!$F$2:$F$1137,MATCH(1&amp;"|"&amp;$A7&amp;"|"&amp;B$5,'Transition Stepwise'!$E$2:$E$1137,0))</f>
        <v>0</v>
      </c>
      <c r="C7" s="4">
        <f>INDEX('Transition Stepwise'!$F$2:$F$1137,MATCH(1&amp;"|"&amp;$A7&amp;"|"&amp;C$5,'Transition Stepwise'!$E$2:$E$1137,0))</f>
        <v>4</v>
      </c>
      <c r="D7" s="4">
        <f>INDEX('Transition Stepwise'!$F$2:$F$1137,MATCH(1&amp;"|"&amp;$A7&amp;"|"&amp;D$5,'Transition Stepwise'!$E$2:$E$1137,0))</f>
        <v>17</v>
      </c>
      <c r="E7" s="4">
        <f>INDEX('Transition Stepwise'!$F$2:$F$1137,MATCH(1&amp;"|"&amp;$A7&amp;"|"&amp;E$5,'Transition Stepwise'!$E$2:$E$1137,0))</f>
        <v>1</v>
      </c>
      <c r="F7" s="4">
        <f>ROUND(SUM(B7:E7),9)</f>
        <v>22</v>
      </c>
    </row>
    <row r="8" spans="1:6">
      <c r="A8" s="5" t="s">
        <v>70</v>
      </c>
      <c r="B8" s="4">
        <f>INDEX('Transition Stepwise'!$F$2:$F$1137,MATCH(1&amp;"|"&amp;$A8&amp;"|"&amp;B$5,'Transition Stepwise'!$E$2:$E$1137,0))</f>
        <v>6</v>
      </c>
      <c r="C8" s="4">
        <f>INDEX('Transition Stepwise'!$F$2:$F$1137,MATCH(1&amp;"|"&amp;$A8&amp;"|"&amp;C$5,'Transition Stepwise'!$E$2:$E$1137,0))</f>
        <v>68</v>
      </c>
      <c r="D8" s="4">
        <f>INDEX('Transition Stepwise'!$F$2:$F$1137,MATCH(1&amp;"|"&amp;$A8&amp;"|"&amp;D$5,'Transition Stepwise'!$E$2:$E$1137,0))</f>
        <v>73</v>
      </c>
      <c r="E8" s="4">
        <f>INDEX('Transition Stepwise'!$F$2:$F$1137,MATCH(1&amp;"|"&amp;$A8&amp;"|"&amp;E$5,'Transition Stepwise'!$E$2:$E$1137,0))</f>
        <v>5</v>
      </c>
      <c r="F8" s="4">
        <f>ROUND(SUM(B8:E8),9)</f>
        <v>152</v>
      </c>
    </row>
    <row r="9" spans="1:6">
      <c r="A9" s="5" t="s">
        <v>72</v>
      </c>
      <c r="B9" s="4">
        <f>INDEX('Transition Stepwise'!$F$2:$F$1137,MATCH(1&amp;"|"&amp;$A9&amp;"|"&amp;B$5,'Transition Stepwise'!$E$2:$E$1137,0))</f>
        <v>0</v>
      </c>
      <c r="C9" s="4">
        <f>INDEX('Transition Stepwise'!$F$2:$F$1137,MATCH(1&amp;"|"&amp;$A9&amp;"|"&amp;C$5,'Transition Stepwise'!$E$2:$E$1137,0))</f>
        <v>9</v>
      </c>
      <c r="D9" s="4">
        <f>INDEX('Transition Stepwise'!$F$2:$F$1137,MATCH(1&amp;"|"&amp;$A9&amp;"|"&amp;D$5,'Transition Stepwise'!$E$2:$E$1137,0))</f>
        <v>4</v>
      </c>
      <c r="E9" s="4">
        <f>INDEX('Transition Stepwise'!$F$2:$F$1137,MATCH(1&amp;"|"&amp;$A9&amp;"|"&amp;E$5,'Transition Stepwise'!$E$2:$E$1137,0))</f>
        <v>0</v>
      </c>
      <c r="F9" s="4">
        <f>ROUND(SUM(B9:E9),9)</f>
        <v>13</v>
      </c>
    </row>
    <row r="10" spans="1:6">
      <c r="A10" s="4"/>
      <c r="B10" s="4"/>
      <c r="C10" s="4"/>
      <c r="D10" s="4"/>
      <c r="E10" s="4"/>
      <c r="F10" s="4"/>
    </row>
    <row r="11" spans="1:6">
      <c r="A11" s="4"/>
      <c r="B11" s="4"/>
      <c r="C11" s="4"/>
      <c r="D11" s="4"/>
      <c r="E11" s="4"/>
      <c r="F11" s="4"/>
    </row>
    <row r="12" spans="1:6">
      <c r="A12" s="5" t="s">
        <v>595</v>
      </c>
      <c r="B12" s="4"/>
      <c r="C12" s="4"/>
      <c r="D12" s="4"/>
      <c r="E12" s="4"/>
      <c r="F12" s="4"/>
    </row>
    <row r="13" spans="1:6">
      <c r="A13" s="9" t="s">
        <v>593</v>
      </c>
      <c r="B13" s="9" t="s">
        <v>73</v>
      </c>
      <c r="C13" s="9" t="s">
        <v>71</v>
      </c>
      <c r="D13" s="9" t="s">
        <v>70</v>
      </c>
      <c r="E13" s="9" t="s">
        <v>72</v>
      </c>
      <c r="F13" s="9" t="s">
        <v>594</v>
      </c>
    </row>
    <row r="14" spans="1:6">
      <c r="A14" s="5" t="s">
        <v>73</v>
      </c>
      <c r="B14" s="4">
        <f>INDEX('Transition Stepwise'!$F$2:$F$1137,MATCH(2&amp;"|"&amp;$A14&amp;"|"&amp;B$13,'Transition Stepwise'!$E$2:$E$1137,0))</f>
        <v>0</v>
      </c>
      <c r="C14" s="4">
        <f>INDEX('Transition Stepwise'!$F$2:$F$1137,MATCH(2&amp;"|"&amp;$A14&amp;"|"&amp;C$13,'Transition Stepwise'!$E$2:$E$1137,0))</f>
        <v>5</v>
      </c>
      <c r="D14" s="4">
        <f>INDEX('Transition Stepwise'!$F$2:$F$1137,MATCH(2&amp;"|"&amp;$A14&amp;"|"&amp;D$13,'Transition Stepwise'!$E$2:$E$1137,0))</f>
        <v>1</v>
      </c>
      <c r="E14" s="4">
        <f>INDEX('Transition Stepwise'!$F$2:$F$1137,MATCH(2&amp;"|"&amp;$A14&amp;"|"&amp;E$13,'Transition Stepwise'!$E$2:$E$1137,0))</f>
        <v>0</v>
      </c>
      <c r="F14" s="4">
        <f>ROUND(SUM(B14:E14),9)</f>
        <v>6</v>
      </c>
    </row>
    <row r="15" spans="1:6">
      <c r="A15" s="5" t="s">
        <v>71</v>
      </c>
      <c r="B15" s="4">
        <f>INDEX('Transition Stepwise'!$F$2:$F$1137,MATCH(2&amp;"|"&amp;$A15&amp;"|"&amp;B$13,'Transition Stepwise'!$E$2:$E$1137,0))</f>
        <v>2</v>
      </c>
      <c r="C15" s="4">
        <f>INDEX('Transition Stepwise'!$F$2:$F$1137,MATCH(2&amp;"|"&amp;$A15&amp;"|"&amp;C$13,'Transition Stepwise'!$E$2:$E$1137,0))</f>
        <v>44</v>
      </c>
      <c r="D15" s="4">
        <f>INDEX('Transition Stepwise'!$F$2:$F$1137,MATCH(2&amp;"|"&amp;$A15&amp;"|"&amp;D$13,'Transition Stepwise'!$E$2:$E$1137,0))</f>
        <v>22</v>
      </c>
      <c r="E15" s="4">
        <f>INDEX('Transition Stepwise'!$F$2:$F$1137,MATCH(2&amp;"|"&amp;$A15&amp;"|"&amp;E$13,'Transition Stepwise'!$E$2:$E$1137,0))</f>
        <v>14</v>
      </c>
      <c r="F15" s="4">
        <f>ROUND(SUM(B15:E15),9)</f>
        <v>82</v>
      </c>
    </row>
    <row r="16" spans="1:6">
      <c r="A16" s="5" t="s">
        <v>70</v>
      </c>
      <c r="B16" s="4">
        <f>INDEX('Transition Stepwise'!$F$2:$F$1137,MATCH(2&amp;"|"&amp;$A16&amp;"|"&amp;B$13,'Transition Stepwise'!$E$2:$E$1137,0))</f>
        <v>12</v>
      </c>
      <c r="C16" s="4">
        <f>INDEX('Transition Stepwise'!$F$2:$F$1137,MATCH(2&amp;"|"&amp;$A16&amp;"|"&amp;C$13,'Transition Stepwise'!$E$2:$E$1137,0))</f>
        <v>24</v>
      </c>
      <c r="D16" s="4">
        <f>INDEX('Transition Stepwise'!$F$2:$F$1137,MATCH(2&amp;"|"&amp;$A16&amp;"|"&amp;D$13,'Transition Stepwise'!$E$2:$E$1137,0))</f>
        <v>62</v>
      </c>
      <c r="E16" s="4">
        <f>INDEX('Transition Stepwise'!$F$2:$F$1137,MATCH(2&amp;"|"&amp;$A16&amp;"|"&amp;E$13,'Transition Stepwise'!$E$2:$E$1137,0))</f>
        <v>8</v>
      </c>
      <c r="F16" s="4">
        <f>ROUND(SUM(B16:E16),9)</f>
        <v>106</v>
      </c>
    </row>
    <row r="17" spans="1:6">
      <c r="A17" s="5" t="s">
        <v>72</v>
      </c>
      <c r="B17" s="4">
        <f>INDEX('Transition Stepwise'!$F$2:$F$1137,MATCH(2&amp;"|"&amp;$A17&amp;"|"&amp;B$13,'Transition Stepwise'!$E$2:$E$1137,0))</f>
        <v>0</v>
      </c>
      <c r="C17" s="4">
        <f>INDEX('Transition Stepwise'!$F$2:$F$1137,MATCH(2&amp;"|"&amp;$A17&amp;"|"&amp;C$13,'Transition Stepwise'!$E$2:$E$1137,0))</f>
        <v>4</v>
      </c>
      <c r="D17" s="4">
        <f>INDEX('Transition Stepwise'!$F$2:$F$1137,MATCH(2&amp;"|"&amp;$A17&amp;"|"&amp;D$13,'Transition Stepwise'!$E$2:$E$1137,0))</f>
        <v>1</v>
      </c>
      <c r="E17" s="4">
        <f>INDEX('Transition Stepwise'!$F$2:$F$1137,MATCH(2&amp;"|"&amp;$A17&amp;"|"&amp;E$13,'Transition Stepwise'!$E$2:$E$1137,0))</f>
        <v>1</v>
      </c>
      <c r="F17" s="4">
        <f>ROUND(SUM(B17:E17),9)</f>
        <v>6</v>
      </c>
    </row>
    <row r="18" spans="1:6">
      <c r="A18" s="4"/>
      <c r="B18" s="4"/>
      <c r="C18" s="4"/>
      <c r="D18" s="4"/>
      <c r="E18" s="4"/>
      <c r="F18" s="4"/>
    </row>
    <row r="19" spans="1:6">
      <c r="A19" s="4"/>
      <c r="B19" s="4"/>
      <c r="C19" s="4"/>
      <c r="D19" s="4"/>
      <c r="E19" s="4"/>
      <c r="F19" s="4"/>
    </row>
    <row r="20" spans="1:6">
      <c r="A20" s="5" t="s">
        <v>596</v>
      </c>
      <c r="B20" s="4"/>
      <c r="C20" s="4"/>
      <c r="D20" s="4"/>
      <c r="E20" s="4"/>
      <c r="F20" s="4"/>
    </row>
    <row r="21" spans="1:6">
      <c r="A21" s="9" t="s">
        <v>593</v>
      </c>
      <c r="B21" s="9" t="s">
        <v>73</v>
      </c>
      <c r="C21" s="9" t="s">
        <v>71</v>
      </c>
      <c r="D21" s="9" t="s">
        <v>70</v>
      </c>
      <c r="E21" s="9" t="s">
        <v>72</v>
      </c>
      <c r="F21" s="9" t="s">
        <v>594</v>
      </c>
    </row>
    <row r="22" spans="1:6">
      <c r="A22" s="5" t="s">
        <v>73</v>
      </c>
      <c r="B22" s="4">
        <f>INDEX('Transition Stepwise'!$F$2:$F$1137,MATCH(3&amp;"|"&amp;$A22&amp;"|"&amp;B$21,'Transition Stepwise'!$E$2:$E$1137,0))</f>
        <v>2</v>
      </c>
      <c r="C22" s="4">
        <f>INDEX('Transition Stepwise'!$F$2:$F$1137,MATCH(3&amp;"|"&amp;$A22&amp;"|"&amp;C$21,'Transition Stepwise'!$E$2:$E$1137,0))</f>
        <v>3</v>
      </c>
      <c r="D22" s="4">
        <f>INDEX('Transition Stepwise'!$F$2:$F$1137,MATCH(3&amp;"|"&amp;$A22&amp;"|"&amp;D$21,'Transition Stepwise'!$E$2:$E$1137,0))</f>
        <v>9</v>
      </c>
      <c r="E22" s="4">
        <f>INDEX('Transition Stepwise'!$F$2:$F$1137,MATCH(3&amp;"|"&amp;$A22&amp;"|"&amp;E$21,'Transition Stepwise'!$E$2:$E$1137,0))</f>
        <v>0</v>
      </c>
      <c r="F22" s="4">
        <f>ROUND(SUM(B22:E22),9)</f>
        <v>14</v>
      </c>
    </row>
    <row r="23" spans="1:6">
      <c r="A23" s="5" t="s">
        <v>71</v>
      </c>
      <c r="B23" s="4">
        <f>INDEX('Transition Stepwise'!$F$2:$F$1137,MATCH(3&amp;"|"&amp;$A23&amp;"|"&amp;B$21,'Transition Stepwise'!$E$2:$E$1137,0))</f>
        <v>7</v>
      </c>
      <c r="C23" s="4">
        <f>INDEX('Transition Stepwise'!$F$2:$F$1137,MATCH(3&amp;"|"&amp;$A23&amp;"|"&amp;C$21,'Transition Stepwise'!$E$2:$E$1137,0))</f>
        <v>22</v>
      </c>
      <c r="D23" s="4">
        <f>INDEX('Transition Stepwise'!$F$2:$F$1137,MATCH(3&amp;"|"&amp;$A23&amp;"|"&amp;D$21,'Transition Stepwise'!$E$2:$E$1137,0))</f>
        <v>31</v>
      </c>
      <c r="E23" s="4">
        <f>INDEX('Transition Stepwise'!$F$2:$F$1137,MATCH(3&amp;"|"&amp;$A23&amp;"|"&amp;E$21,'Transition Stepwise'!$E$2:$E$1137,0))</f>
        <v>17</v>
      </c>
      <c r="F23" s="4">
        <f>ROUND(SUM(B23:E23),9)</f>
        <v>77</v>
      </c>
    </row>
    <row r="24" spans="1:6">
      <c r="A24" s="5" t="s">
        <v>70</v>
      </c>
      <c r="B24" s="4">
        <f>INDEX('Transition Stepwise'!$F$2:$F$1137,MATCH(3&amp;"|"&amp;$A24&amp;"|"&amp;B$21,'Transition Stepwise'!$E$2:$E$1137,0))</f>
        <v>7</v>
      </c>
      <c r="C24" s="4">
        <f>INDEX('Transition Stepwise'!$F$2:$F$1137,MATCH(3&amp;"|"&amp;$A24&amp;"|"&amp;C$21,'Transition Stepwise'!$E$2:$E$1137,0))</f>
        <v>28</v>
      </c>
      <c r="D24" s="4">
        <f>INDEX('Transition Stepwise'!$F$2:$F$1137,MATCH(3&amp;"|"&amp;$A24&amp;"|"&amp;D$21,'Transition Stepwise'!$E$2:$E$1137,0))</f>
        <v>40</v>
      </c>
      <c r="E24" s="4">
        <f>INDEX('Transition Stepwise'!$F$2:$F$1137,MATCH(3&amp;"|"&amp;$A24&amp;"|"&amp;E$21,'Transition Stepwise'!$E$2:$E$1137,0))</f>
        <v>11</v>
      </c>
      <c r="F24" s="4">
        <f>ROUND(SUM(B24:E24),9)</f>
        <v>86</v>
      </c>
    </row>
    <row r="25" spans="1:6">
      <c r="A25" s="5" t="s">
        <v>72</v>
      </c>
      <c r="B25" s="4">
        <f>INDEX('Transition Stepwise'!$F$2:$F$1137,MATCH(3&amp;"|"&amp;$A25&amp;"|"&amp;B$21,'Transition Stepwise'!$E$2:$E$1137,0))</f>
        <v>0</v>
      </c>
      <c r="C25" s="4">
        <f>INDEX('Transition Stepwise'!$F$2:$F$1137,MATCH(3&amp;"|"&amp;$A25&amp;"|"&amp;C$21,'Transition Stepwise'!$E$2:$E$1137,0))</f>
        <v>8</v>
      </c>
      <c r="D25" s="4">
        <f>INDEX('Transition Stepwise'!$F$2:$F$1137,MATCH(3&amp;"|"&amp;$A25&amp;"|"&amp;D$21,'Transition Stepwise'!$E$2:$E$1137,0))</f>
        <v>9</v>
      </c>
      <c r="E25" s="4">
        <f>INDEX('Transition Stepwise'!$F$2:$F$1137,MATCH(3&amp;"|"&amp;$A25&amp;"|"&amp;E$21,'Transition Stepwise'!$E$2:$E$1137,0))</f>
        <v>6</v>
      </c>
      <c r="F25" s="4">
        <f>ROUND(SUM(B25:E25),9)</f>
        <v>23</v>
      </c>
    </row>
    <row r="26" spans="1:6">
      <c r="A26" s="4"/>
      <c r="B26" s="4"/>
      <c r="C26" s="4"/>
      <c r="D26" s="4"/>
      <c r="E26" s="4"/>
      <c r="F26" s="4"/>
    </row>
    <row r="27" spans="1:6">
      <c r="A27" s="4"/>
      <c r="B27" s="4"/>
      <c r="C27" s="4"/>
      <c r="D27" s="4"/>
      <c r="E27" s="4"/>
      <c r="F27" s="4"/>
    </row>
    <row r="28" spans="1:6">
      <c r="A28" s="5" t="s">
        <v>597</v>
      </c>
      <c r="B28" s="4"/>
      <c r="C28" s="4"/>
      <c r="D28" s="4"/>
      <c r="E28" s="4"/>
      <c r="F28" s="4"/>
    </row>
    <row r="29" spans="1:6">
      <c r="A29" s="9" t="s">
        <v>593</v>
      </c>
      <c r="B29" s="9" t="s">
        <v>73</v>
      </c>
      <c r="C29" s="9" t="s">
        <v>71</v>
      </c>
      <c r="D29" s="9" t="s">
        <v>70</v>
      </c>
      <c r="E29" s="9" t="s">
        <v>72</v>
      </c>
      <c r="F29" s="9" t="s">
        <v>594</v>
      </c>
    </row>
    <row r="30" spans="1:6">
      <c r="A30" s="5" t="s">
        <v>73</v>
      </c>
      <c r="B30" s="4">
        <f>INDEX('Transition Stepwise'!$F$2:$F$1137,MATCH(4&amp;"|"&amp;$A30&amp;"|"&amp;B$29,'Transition Stepwise'!$E$2:$E$1137,0))</f>
        <v>5</v>
      </c>
      <c r="C30" s="4">
        <f>INDEX('Transition Stepwise'!$F$2:$F$1137,MATCH(4&amp;"|"&amp;$A30&amp;"|"&amp;C$29,'Transition Stepwise'!$E$2:$E$1137,0))</f>
        <v>3</v>
      </c>
      <c r="D30" s="4">
        <f>INDEX('Transition Stepwise'!$F$2:$F$1137,MATCH(4&amp;"|"&amp;$A30&amp;"|"&amp;D$29,'Transition Stepwise'!$E$2:$E$1137,0))</f>
        <v>7</v>
      </c>
      <c r="E30" s="4">
        <f>INDEX('Transition Stepwise'!$F$2:$F$1137,MATCH(4&amp;"|"&amp;$A30&amp;"|"&amp;E$29,'Transition Stepwise'!$E$2:$E$1137,0))</f>
        <v>1</v>
      </c>
      <c r="F30" s="4">
        <f>ROUND(SUM(B30:E30),9)</f>
        <v>16</v>
      </c>
    </row>
    <row r="31" spans="1:6">
      <c r="A31" s="5" t="s">
        <v>71</v>
      </c>
      <c r="B31" s="4">
        <f>INDEX('Transition Stepwise'!$F$2:$F$1137,MATCH(4&amp;"|"&amp;$A31&amp;"|"&amp;B$29,'Transition Stepwise'!$E$2:$E$1137,0))</f>
        <v>3</v>
      </c>
      <c r="C31" s="4">
        <f>INDEX('Transition Stepwise'!$F$2:$F$1137,MATCH(4&amp;"|"&amp;$A31&amp;"|"&amp;C$29,'Transition Stepwise'!$E$2:$E$1137,0))</f>
        <v>38</v>
      </c>
      <c r="D31" s="4">
        <f>INDEX('Transition Stepwise'!$F$2:$F$1137,MATCH(4&amp;"|"&amp;$A31&amp;"|"&amp;D$29,'Transition Stepwise'!$E$2:$E$1137,0))</f>
        <v>13</v>
      </c>
      <c r="E31" s="4">
        <f>INDEX('Transition Stepwise'!$F$2:$F$1137,MATCH(4&amp;"|"&amp;$A31&amp;"|"&amp;E$29,'Transition Stepwise'!$E$2:$E$1137,0))</f>
        <v>7</v>
      </c>
      <c r="F31" s="4">
        <f>ROUND(SUM(B31:E31),9)</f>
        <v>61</v>
      </c>
    </row>
    <row r="32" spans="1:6">
      <c r="A32" s="5" t="s">
        <v>70</v>
      </c>
      <c r="B32" s="4">
        <f>INDEX('Transition Stepwise'!$F$2:$F$1137,MATCH(4&amp;"|"&amp;$A32&amp;"|"&amp;B$29,'Transition Stepwise'!$E$2:$E$1137,0))</f>
        <v>20</v>
      </c>
      <c r="C32" s="4">
        <f>INDEX('Transition Stepwise'!$F$2:$F$1137,MATCH(4&amp;"|"&amp;$A32&amp;"|"&amp;C$29,'Transition Stepwise'!$E$2:$E$1137,0))</f>
        <v>20</v>
      </c>
      <c r="D32" s="4">
        <f>INDEX('Transition Stepwise'!$F$2:$F$1137,MATCH(4&amp;"|"&amp;$A32&amp;"|"&amp;D$29,'Transition Stepwise'!$E$2:$E$1137,0))</f>
        <v>43</v>
      </c>
      <c r="E32" s="4">
        <f>INDEX('Transition Stepwise'!$F$2:$F$1137,MATCH(4&amp;"|"&amp;$A32&amp;"|"&amp;E$29,'Transition Stepwise'!$E$2:$E$1137,0))</f>
        <v>6</v>
      </c>
      <c r="F32" s="4">
        <f>ROUND(SUM(B32:E32),9)</f>
        <v>89</v>
      </c>
    </row>
    <row r="33" spans="1:6">
      <c r="A33" s="5" t="s">
        <v>72</v>
      </c>
      <c r="B33" s="4">
        <f>INDEX('Transition Stepwise'!$F$2:$F$1137,MATCH(4&amp;"|"&amp;$A33&amp;"|"&amp;B$29,'Transition Stepwise'!$E$2:$E$1137,0))</f>
        <v>3</v>
      </c>
      <c r="C33" s="4">
        <f>INDEX('Transition Stepwise'!$F$2:$F$1137,MATCH(4&amp;"|"&amp;$A33&amp;"|"&amp;C$29,'Transition Stepwise'!$E$2:$E$1137,0))</f>
        <v>18</v>
      </c>
      <c r="D33" s="4">
        <f>INDEX('Transition Stepwise'!$F$2:$F$1137,MATCH(4&amp;"|"&amp;$A33&amp;"|"&amp;D$29,'Transition Stepwise'!$E$2:$E$1137,0))</f>
        <v>6</v>
      </c>
      <c r="E33" s="4">
        <f>INDEX('Transition Stepwise'!$F$2:$F$1137,MATCH(4&amp;"|"&amp;$A33&amp;"|"&amp;E$29,'Transition Stepwise'!$E$2:$E$1137,0))</f>
        <v>7</v>
      </c>
      <c r="F33" s="4">
        <f>ROUND(SUM(B33:E33),9)</f>
        <v>34</v>
      </c>
    </row>
    <row r="34" spans="1:6">
      <c r="A34" s="4"/>
      <c r="B34" s="4"/>
      <c r="C34" s="4"/>
      <c r="D34" s="4"/>
      <c r="E34" s="4"/>
      <c r="F34" s="4"/>
    </row>
    <row r="35" spans="1:6">
      <c r="A35" s="4"/>
      <c r="B35" s="4"/>
      <c r="C35" s="4"/>
      <c r="D35" s="4"/>
      <c r="E35" s="4"/>
      <c r="F35" s="4"/>
    </row>
    <row r="36" spans="1:6">
      <c r="A36" s="5" t="s">
        <v>598</v>
      </c>
      <c r="B36" s="4"/>
      <c r="C36" s="4"/>
      <c r="D36" s="4"/>
      <c r="E36" s="4"/>
      <c r="F36" s="4"/>
    </row>
    <row r="37" spans="1:6">
      <c r="A37" s="9" t="s">
        <v>593</v>
      </c>
      <c r="B37" s="9" t="s">
        <v>73</v>
      </c>
      <c r="C37" s="9" t="s">
        <v>71</v>
      </c>
      <c r="D37" s="9" t="s">
        <v>70</v>
      </c>
      <c r="E37" s="9" t="s">
        <v>72</v>
      </c>
      <c r="F37" s="9" t="s">
        <v>594</v>
      </c>
    </row>
    <row r="38" spans="1:6">
      <c r="A38" s="5" t="s">
        <v>73</v>
      </c>
      <c r="B38" s="4">
        <f>INDEX('Transition Stepwise'!$F$2:$F$1137,MATCH(5&amp;"|"&amp;$A38&amp;"|"&amp;B$37,'Transition Stepwise'!$E$2:$E$1137,0))</f>
        <v>6</v>
      </c>
      <c r="C38" s="4">
        <f>INDEX('Transition Stepwise'!$F$2:$F$1137,MATCH(5&amp;"|"&amp;$A38&amp;"|"&amp;C$37,'Transition Stepwise'!$E$2:$E$1137,0))</f>
        <v>8</v>
      </c>
      <c r="D38" s="4">
        <f>INDEX('Transition Stepwise'!$F$2:$F$1137,MATCH(5&amp;"|"&amp;$A38&amp;"|"&amp;D$37,'Transition Stepwise'!$E$2:$E$1137,0))</f>
        <v>5</v>
      </c>
      <c r="E38" s="4">
        <f>INDEX('Transition Stepwise'!$F$2:$F$1137,MATCH(5&amp;"|"&amp;$A38&amp;"|"&amp;E$37,'Transition Stepwise'!$E$2:$E$1137,0))</f>
        <v>12</v>
      </c>
      <c r="F38" s="4">
        <f>ROUND(SUM(B38:E38),9)</f>
        <v>31</v>
      </c>
    </row>
    <row r="39" spans="1:6">
      <c r="A39" s="5" t="s">
        <v>71</v>
      </c>
      <c r="B39" s="4">
        <f>INDEX('Transition Stepwise'!$F$2:$F$1137,MATCH(5&amp;"|"&amp;$A39&amp;"|"&amp;B$37,'Transition Stepwise'!$E$2:$E$1137,0))</f>
        <v>12</v>
      </c>
      <c r="C39" s="4">
        <f>INDEX('Transition Stepwise'!$F$2:$F$1137,MATCH(5&amp;"|"&amp;$A39&amp;"|"&amp;C$37,'Transition Stepwise'!$E$2:$E$1137,0))</f>
        <v>37</v>
      </c>
      <c r="D39" s="4">
        <f>INDEX('Transition Stepwise'!$F$2:$F$1137,MATCH(5&amp;"|"&amp;$A39&amp;"|"&amp;D$37,'Transition Stepwise'!$E$2:$E$1137,0))</f>
        <v>14</v>
      </c>
      <c r="E39" s="4">
        <f>INDEX('Transition Stepwise'!$F$2:$F$1137,MATCH(5&amp;"|"&amp;$A39&amp;"|"&amp;E$37,'Transition Stepwise'!$E$2:$E$1137,0))</f>
        <v>16</v>
      </c>
      <c r="F39" s="4">
        <f>ROUND(SUM(B39:E39),9)</f>
        <v>79</v>
      </c>
    </row>
    <row r="40" spans="1:6">
      <c r="A40" s="5" t="s">
        <v>70</v>
      </c>
      <c r="B40" s="4">
        <f>INDEX('Transition Stepwise'!$F$2:$F$1137,MATCH(5&amp;"|"&amp;$A40&amp;"|"&amp;B$37,'Transition Stepwise'!$E$2:$E$1137,0))</f>
        <v>16</v>
      </c>
      <c r="C40" s="4">
        <f>INDEX('Transition Stepwise'!$F$2:$F$1137,MATCH(5&amp;"|"&amp;$A40&amp;"|"&amp;C$37,'Transition Stepwise'!$E$2:$E$1137,0))</f>
        <v>12</v>
      </c>
      <c r="D40" s="4">
        <f>INDEX('Transition Stepwise'!$F$2:$F$1137,MATCH(5&amp;"|"&amp;$A40&amp;"|"&amp;D$37,'Transition Stepwise'!$E$2:$E$1137,0))</f>
        <v>21</v>
      </c>
      <c r="E40" s="4">
        <f>INDEX('Transition Stepwise'!$F$2:$F$1137,MATCH(5&amp;"|"&amp;$A40&amp;"|"&amp;E$37,'Transition Stepwise'!$E$2:$E$1137,0))</f>
        <v>20</v>
      </c>
      <c r="F40" s="4">
        <f>ROUND(SUM(B40:E40),9)</f>
        <v>69</v>
      </c>
    </row>
    <row r="41" spans="1:6">
      <c r="A41" s="5" t="s">
        <v>72</v>
      </c>
      <c r="B41" s="4">
        <f>INDEX('Transition Stepwise'!$F$2:$F$1137,MATCH(5&amp;"|"&amp;$A41&amp;"|"&amp;B$37,'Transition Stepwise'!$E$2:$E$1137,0))</f>
        <v>0</v>
      </c>
      <c r="C41" s="4">
        <f>INDEX('Transition Stepwise'!$F$2:$F$1137,MATCH(5&amp;"|"&amp;$A41&amp;"|"&amp;C$37,'Transition Stepwise'!$E$2:$E$1137,0))</f>
        <v>8</v>
      </c>
      <c r="D41" s="4">
        <f>INDEX('Transition Stepwise'!$F$2:$F$1137,MATCH(5&amp;"|"&amp;$A41&amp;"|"&amp;D$37,'Transition Stepwise'!$E$2:$E$1137,0))</f>
        <v>8</v>
      </c>
      <c r="E41" s="4">
        <f>INDEX('Transition Stepwise'!$F$2:$F$1137,MATCH(5&amp;"|"&amp;$A41&amp;"|"&amp;E$37,'Transition Stepwise'!$E$2:$E$1137,0))</f>
        <v>5</v>
      </c>
      <c r="F41" s="4">
        <f>ROUND(SUM(B41:E41),9)</f>
        <v>21</v>
      </c>
    </row>
    <row r="42" spans="1:6">
      <c r="A42" s="4"/>
      <c r="B42" s="4"/>
      <c r="C42" s="4"/>
      <c r="D42" s="4"/>
      <c r="E42" s="4"/>
      <c r="F42" s="4"/>
    </row>
    <row r="43" spans="1:6">
      <c r="A43" s="4"/>
      <c r="B43" s="4"/>
      <c r="C43" s="4"/>
      <c r="D43" s="4"/>
      <c r="E43" s="4"/>
      <c r="F43" s="4"/>
    </row>
    <row r="44" spans="1:6">
      <c r="A44" s="5" t="s">
        <v>599</v>
      </c>
      <c r="B44" s="4"/>
      <c r="C44" s="4"/>
      <c r="D44" s="4"/>
      <c r="E44" s="4"/>
      <c r="F44" s="4"/>
    </row>
    <row r="45" spans="1:6">
      <c r="A45" s="9" t="s">
        <v>593</v>
      </c>
      <c r="B45" s="9" t="s">
        <v>73</v>
      </c>
      <c r="C45" s="9" t="s">
        <v>71</v>
      </c>
      <c r="D45" s="9" t="s">
        <v>70</v>
      </c>
      <c r="E45" s="9" t="s">
        <v>72</v>
      </c>
      <c r="F45" s="9" t="s">
        <v>594</v>
      </c>
    </row>
    <row r="46" spans="1:6">
      <c r="A46" s="5" t="s">
        <v>73</v>
      </c>
      <c r="B46" s="4">
        <f>INDEX('Transition Stepwise'!$F$2:$F$1137,MATCH(6&amp;"|"&amp;$A46&amp;"|"&amp;B$45,'Transition Stepwise'!$E$2:$E$1137,0))</f>
        <v>9</v>
      </c>
      <c r="C46" s="4">
        <f>INDEX('Transition Stepwise'!$F$2:$F$1137,MATCH(6&amp;"|"&amp;$A46&amp;"|"&amp;C$45,'Transition Stepwise'!$E$2:$E$1137,0))</f>
        <v>1</v>
      </c>
      <c r="D46" s="4">
        <f>INDEX('Transition Stepwise'!$F$2:$F$1137,MATCH(6&amp;"|"&amp;$A46&amp;"|"&amp;D$45,'Transition Stepwise'!$E$2:$E$1137,0))</f>
        <v>14</v>
      </c>
      <c r="E46" s="4">
        <f>INDEX('Transition Stepwise'!$F$2:$F$1137,MATCH(6&amp;"|"&amp;$A46&amp;"|"&amp;E$45,'Transition Stepwise'!$E$2:$E$1137,0))</f>
        <v>10</v>
      </c>
      <c r="F46" s="4">
        <f>ROUND(SUM(B46:E46),9)</f>
        <v>34</v>
      </c>
    </row>
    <row r="47" spans="1:6">
      <c r="A47" s="5" t="s">
        <v>71</v>
      </c>
      <c r="B47" s="4">
        <f>INDEX('Transition Stepwise'!$F$2:$F$1137,MATCH(6&amp;"|"&amp;$A47&amp;"|"&amp;B$45,'Transition Stepwise'!$E$2:$E$1137,0))</f>
        <v>8</v>
      </c>
      <c r="C47" s="4">
        <f>INDEX('Transition Stepwise'!$F$2:$F$1137,MATCH(6&amp;"|"&amp;$A47&amp;"|"&amp;C$45,'Transition Stepwise'!$E$2:$E$1137,0))</f>
        <v>1</v>
      </c>
      <c r="D47" s="4">
        <f>INDEX('Transition Stepwise'!$F$2:$F$1137,MATCH(6&amp;"|"&amp;$A47&amp;"|"&amp;D$45,'Transition Stepwise'!$E$2:$E$1137,0))</f>
        <v>39</v>
      </c>
      <c r="E47" s="4">
        <f>INDEX('Transition Stepwise'!$F$2:$F$1137,MATCH(6&amp;"|"&amp;$A47&amp;"|"&amp;E$45,'Transition Stepwise'!$E$2:$E$1137,0))</f>
        <v>17</v>
      </c>
      <c r="F47" s="4">
        <f>ROUND(SUM(B47:E47),9)</f>
        <v>65</v>
      </c>
    </row>
    <row r="48" spans="1:6">
      <c r="A48" s="5" t="s">
        <v>70</v>
      </c>
      <c r="B48" s="4">
        <f>INDEX('Transition Stepwise'!$F$2:$F$1137,MATCH(6&amp;"|"&amp;$A48&amp;"|"&amp;B$45,'Transition Stepwise'!$E$2:$E$1137,0))</f>
        <v>11</v>
      </c>
      <c r="C48" s="4">
        <f>INDEX('Transition Stepwise'!$F$2:$F$1137,MATCH(6&amp;"|"&amp;$A48&amp;"|"&amp;C$45,'Transition Stepwise'!$E$2:$E$1137,0))</f>
        <v>1</v>
      </c>
      <c r="D48" s="4">
        <f>INDEX('Transition Stepwise'!$F$2:$F$1137,MATCH(6&amp;"|"&amp;$A48&amp;"|"&amp;D$45,'Transition Stepwise'!$E$2:$E$1137,0))</f>
        <v>23</v>
      </c>
      <c r="E48" s="4">
        <f>INDEX('Transition Stepwise'!$F$2:$F$1137,MATCH(6&amp;"|"&amp;$A48&amp;"|"&amp;E$45,'Transition Stepwise'!$E$2:$E$1137,0))</f>
        <v>13</v>
      </c>
      <c r="F48" s="4">
        <f>ROUND(SUM(B48:E48),9)</f>
        <v>48</v>
      </c>
    </row>
    <row r="49" spans="1:6">
      <c r="A49" s="5" t="s">
        <v>72</v>
      </c>
      <c r="B49" s="4">
        <f>INDEX('Transition Stepwise'!$F$2:$F$1137,MATCH(6&amp;"|"&amp;$A49&amp;"|"&amp;B$45,'Transition Stepwise'!$E$2:$E$1137,0))</f>
        <v>20</v>
      </c>
      <c r="C49" s="4">
        <f>INDEX('Transition Stepwise'!$F$2:$F$1137,MATCH(6&amp;"|"&amp;$A49&amp;"|"&amp;C$45,'Transition Stepwise'!$E$2:$E$1137,0))</f>
        <v>0</v>
      </c>
      <c r="D49" s="4">
        <f>INDEX('Transition Stepwise'!$F$2:$F$1137,MATCH(6&amp;"|"&amp;$A49&amp;"|"&amp;D$45,'Transition Stepwise'!$E$2:$E$1137,0))</f>
        <v>29</v>
      </c>
      <c r="E49" s="4">
        <f>INDEX('Transition Stepwise'!$F$2:$F$1137,MATCH(6&amp;"|"&amp;$A49&amp;"|"&amp;E$45,'Transition Stepwise'!$E$2:$E$1137,0))</f>
        <v>4</v>
      </c>
      <c r="F49" s="4">
        <f>ROUND(SUM(B49:E49),9)</f>
        <v>53</v>
      </c>
    </row>
    <row r="50" spans="1:6">
      <c r="A50" s="4"/>
      <c r="B50" s="4"/>
      <c r="C50" s="4"/>
      <c r="D50" s="4"/>
      <c r="E50" s="4"/>
      <c r="F50" s="4"/>
    </row>
    <row r="51" spans="1:6">
      <c r="A51" s="4"/>
      <c r="B51" s="4"/>
      <c r="C51" s="4"/>
      <c r="D51" s="4"/>
      <c r="E51" s="4"/>
      <c r="F51" s="4"/>
    </row>
    <row r="52" spans="1:6">
      <c r="A52" s="5" t="s">
        <v>600</v>
      </c>
      <c r="B52" s="4"/>
      <c r="C52" s="4"/>
      <c r="D52" s="4"/>
      <c r="E52" s="4"/>
      <c r="F52" s="4"/>
    </row>
    <row r="53" spans="1:6">
      <c r="A53" s="9" t="s">
        <v>593</v>
      </c>
      <c r="B53" s="9" t="s">
        <v>73</v>
      </c>
      <c r="C53" s="9" t="s">
        <v>71</v>
      </c>
      <c r="D53" s="9" t="s">
        <v>70</v>
      </c>
      <c r="E53" s="9" t="s">
        <v>72</v>
      </c>
      <c r="F53" s="9" t="s">
        <v>594</v>
      </c>
    </row>
    <row r="54" spans="1:6">
      <c r="A54" s="5" t="s">
        <v>73</v>
      </c>
      <c r="B54" s="4">
        <f>INDEX('Transition Stepwise'!$F$2:$F$1137,MATCH(7&amp;"|"&amp;$A54&amp;"|"&amp;B$53,'Transition Stepwise'!$E$2:$E$1137,0))</f>
        <v>1</v>
      </c>
      <c r="C54" s="4">
        <f>INDEX('Transition Stepwise'!$F$2:$F$1137,MATCH(7&amp;"|"&amp;$A54&amp;"|"&amp;C$53,'Transition Stepwise'!$E$2:$E$1137,0))</f>
        <v>0</v>
      </c>
      <c r="D54" s="4">
        <f>INDEX('Transition Stepwise'!$F$2:$F$1137,MATCH(7&amp;"|"&amp;$A54&amp;"|"&amp;D$53,'Transition Stepwise'!$E$2:$E$1137,0))</f>
        <v>0</v>
      </c>
      <c r="E54" s="4">
        <f>INDEX('Transition Stepwise'!$F$2:$F$1137,MATCH(7&amp;"|"&amp;$A54&amp;"|"&amp;E$53,'Transition Stepwise'!$E$2:$E$1137,0))</f>
        <v>47</v>
      </c>
      <c r="F54" s="4">
        <f>ROUND(SUM(B54:E54),9)</f>
        <v>48</v>
      </c>
    </row>
    <row r="55" spans="1:6">
      <c r="A55" s="5" t="s">
        <v>71</v>
      </c>
      <c r="B55" s="4">
        <f>INDEX('Transition Stepwise'!$F$2:$F$1137,MATCH(7&amp;"|"&amp;$A55&amp;"|"&amp;B$53,'Transition Stepwise'!$E$2:$E$1137,0))</f>
        <v>0</v>
      </c>
      <c r="C55" s="4">
        <f>INDEX('Transition Stepwise'!$F$2:$F$1137,MATCH(7&amp;"|"&amp;$A55&amp;"|"&amp;C$53,'Transition Stepwise'!$E$2:$E$1137,0))</f>
        <v>0</v>
      </c>
      <c r="D55" s="4">
        <f>INDEX('Transition Stepwise'!$F$2:$F$1137,MATCH(7&amp;"|"&amp;$A55&amp;"|"&amp;D$53,'Transition Stepwise'!$E$2:$E$1137,0))</f>
        <v>0</v>
      </c>
      <c r="E55" s="4">
        <f>INDEX('Transition Stepwise'!$F$2:$F$1137,MATCH(7&amp;"|"&amp;$A55&amp;"|"&amp;E$53,'Transition Stepwise'!$E$2:$E$1137,0))</f>
        <v>3</v>
      </c>
      <c r="F55" s="4">
        <f>ROUND(SUM(B55:E55),9)</f>
        <v>3</v>
      </c>
    </row>
    <row r="56" spans="1:6">
      <c r="A56" s="5" t="s">
        <v>70</v>
      </c>
      <c r="B56" s="4">
        <f>INDEX('Transition Stepwise'!$F$2:$F$1137,MATCH(7&amp;"|"&amp;$A56&amp;"|"&amp;B$53,'Transition Stepwise'!$E$2:$E$1137,0))</f>
        <v>0</v>
      </c>
      <c r="C56" s="4">
        <f>INDEX('Transition Stepwise'!$F$2:$F$1137,MATCH(7&amp;"|"&amp;$A56&amp;"|"&amp;C$53,'Transition Stepwise'!$E$2:$E$1137,0))</f>
        <v>0</v>
      </c>
      <c r="D56" s="4">
        <f>INDEX('Transition Stepwise'!$F$2:$F$1137,MATCH(7&amp;"|"&amp;$A56&amp;"|"&amp;D$53,'Transition Stepwise'!$E$2:$E$1137,0))</f>
        <v>1</v>
      </c>
      <c r="E56" s="4">
        <f>INDEX('Transition Stepwise'!$F$2:$F$1137,MATCH(7&amp;"|"&amp;$A56&amp;"|"&amp;E$53,'Transition Stepwise'!$E$2:$E$1137,0))</f>
        <v>104</v>
      </c>
      <c r="F56" s="4">
        <f>ROUND(SUM(B56:E56),9)</f>
        <v>105</v>
      </c>
    </row>
    <row r="57" spans="1:6">
      <c r="A57" s="5" t="s">
        <v>72</v>
      </c>
      <c r="B57" s="4">
        <f>INDEX('Transition Stepwise'!$F$2:$F$1137,MATCH(7&amp;"|"&amp;$A57&amp;"|"&amp;B$53,'Transition Stepwise'!$E$2:$E$1137,0))</f>
        <v>0</v>
      </c>
      <c r="C57" s="4">
        <f>INDEX('Transition Stepwise'!$F$2:$F$1137,MATCH(7&amp;"|"&amp;$A57&amp;"|"&amp;C$53,'Transition Stepwise'!$E$2:$E$1137,0))</f>
        <v>0</v>
      </c>
      <c r="D57" s="4">
        <f>INDEX('Transition Stepwise'!$F$2:$F$1137,MATCH(7&amp;"|"&amp;$A57&amp;"|"&amp;D$53,'Transition Stepwise'!$E$2:$E$1137,0))</f>
        <v>0</v>
      </c>
      <c r="E57" s="4">
        <f>INDEX('Transition Stepwise'!$F$2:$F$1137,MATCH(7&amp;"|"&amp;$A57&amp;"|"&amp;E$53,'Transition Stepwise'!$E$2:$E$1137,0))</f>
        <v>44</v>
      </c>
      <c r="F57" s="4">
        <f>ROUND(SUM(B57:E57),9)</f>
        <v>44</v>
      </c>
    </row>
    <row r="58" spans="1:6">
      <c r="A58" s="4"/>
      <c r="B58" s="4"/>
      <c r="C58" s="4"/>
      <c r="D58" s="4"/>
      <c r="E58" s="4"/>
      <c r="F58" s="4"/>
    </row>
    <row r="59" spans="1:6">
      <c r="A59" s="4"/>
      <c r="B59" s="4"/>
      <c r="C59" s="4"/>
      <c r="D59" s="4"/>
      <c r="E59" s="4"/>
      <c r="F59" s="4"/>
    </row>
    <row r="60" spans="1:6">
      <c r="A60" s="5" t="s">
        <v>601</v>
      </c>
      <c r="B60" s="4"/>
      <c r="C60" s="4"/>
      <c r="D60" s="4"/>
      <c r="E60" s="4"/>
      <c r="F60" s="4"/>
    </row>
    <row r="61" spans="1:6">
      <c r="A61" s="9" t="s">
        <v>593</v>
      </c>
      <c r="B61" s="9" t="s">
        <v>73</v>
      </c>
      <c r="C61" s="9" t="s">
        <v>71</v>
      </c>
      <c r="D61" s="9" t="s">
        <v>70</v>
      </c>
      <c r="E61" s="9" t="s">
        <v>72</v>
      </c>
      <c r="F61" s="9" t="s">
        <v>594</v>
      </c>
    </row>
    <row r="62" spans="1:6">
      <c r="A62" s="5" t="s">
        <v>73</v>
      </c>
      <c r="B62" s="4">
        <f>INDEX('Transition Stepwise'!$F$2:$F$1137,MATCH(8&amp;"|"&amp;$A62&amp;"|"&amp;B$61,'Transition Stepwise'!$E$2:$E$1137,0))</f>
        <v>1</v>
      </c>
      <c r="C62" s="4">
        <f>INDEX('Transition Stepwise'!$F$2:$F$1137,MATCH(8&amp;"|"&amp;$A62&amp;"|"&amp;C$61,'Transition Stepwise'!$E$2:$E$1137,0))</f>
        <v>0</v>
      </c>
      <c r="D62" s="4">
        <f>INDEX('Transition Stepwise'!$F$2:$F$1137,MATCH(8&amp;"|"&amp;$A62&amp;"|"&amp;D$61,'Transition Stepwise'!$E$2:$E$1137,0))</f>
        <v>0</v>
      </c>
      <c r="E62" s="4">
        <f>INDEX('Transition Stepwise'!$F$2:$F$1137,MATCH(8&amp;"|"&amp;$A62&amp;"|"&amp;E$61,'Transition Stepwise'!$E$2:$E$1137,0))</f>
        <v>0</v>
      </c>
      <c r="F62" s="4">
        <f>ROUND(SUM(B62:E62),9)</f>
        <v>1</v>
      </c>
    </row>
    <row r="63" spans="1:6">
      <c r="A63" s="5" t="s">
        <v>71</v>
      </c>
      <c r="B63" s="4">
        <f>INDEX('Transition Stepwise'!$F$2:$F$1137,MATCH(8&amp;"|"&amp;$A63&amp;"|"&amp;B$61,'Transition Stepwise'!$E$2:$E$1137,0))</f>
        <v>0</v>
      </c>
      <c r="C63" s="4">
        <f>INDEX('Transition Stepwise'!$F$2:$F$1137,MATCH(8&amp;"|"&amp;$A63&amp;"|"&amp;C$61,'Transition Stepwise'!$E$2:$E$1137,0))</f>
        <v>0</v>
      </c>
      <c r="D63" s="4">
        <f>INDEX('Transition Stepwise'!$F$2:$F$1137,MATCH(8&amp;"|"&amp;$A63&amp;"|"&amp;D$61,'Transition Stepwise'!$E$2:$E$1137,0))</f>
        <v>0</v>
      </c>
      <c r="E63" s="4">
        <f>INDEX('Transition Stepwise'!$F$2:$F$1137,MATCH(8&amp;"|"&amp;$A63&amp;"|"&amp;E$61,'Transition Stepwise'!$E$2:$E$1137,0))</f>
        <v>0</v>
      </c>
      <c r="F63" s="4">
        <f>ROUND(SUM(B63:E63),9)</f>
        <v>0</v>
      </c>
    </row>
    <row r="64" spans="1:6">
      <c r="A64" s="5" t="s">
        <v>70</v>
      </c>
      <c r="B64" s="4">
        <f>INDEX('Transition Stepwise'!$F$2:$F$1137,MATCH(8&amp;"|"&amp;$A64&amp;"|"&amp;B$61,'Transition Stepwise'!$E$2:$E$1137,0))</f>
        <v>0</v>
      </c>
      <c r="C64" s="4">
        <f>INDEX('Transition Stepwise'!$F$2:$F$1137,MATCH(8&amp;"|"&amp;$A64&amp;"|"&amp;C$61,'Transition Stepwise'!$E$2:$E$1137,0))</f>
        <v>1</v>
      </c>
      <c r="D64" s="4">
        <f>INDEX('Transition Stepwise'!$F$2:$F$1137,MATCH(8&amp;"|"&amp;$A64&amp;"|"&amp;D$61,'Transition Stepwise'!$E$2:$E$1137,0))</f>
        <v>0</v>
      </c>
      <c r="E64" s="4">
        <f>INDEX('Transition Stepwise'!$F$2:$F$1137,MATCH(8&amp;"|"&amp;$A64&amp;"|"&amp;E$61,'Transition Stepwise'!$E$2:$E$1137,0))</f>
        <v>0</v>
      </c>
      <c r="F64" s="4">
        <f>ROUND(SUM(B64:E64),9)</f>
        <v>1</v>
      </c>
    </row>
    <row r="65" spans="1:6">
      <c r="A65" s="5" t="s">
        <v>72</v>
      </c>
      <c r="B65" s="4">
        <f>INDEX('Transition Stepwise'!$F$2:$F$1137,MATCH(8&amp;"|"&amp;$A65&amp;"|"&amp;B$61,'Transition Stepwise'!$E$2:$E$1137,0))</f>
        <v>130</v>
      </c>
      <c r="C65" s="4">
        <f>INDEX('Transition Stepwise'!$F$2:$F$1137,MATCH(8&amp;"|"&amp;$A65&amp;"|"&amp;C$61,'Transition Stepwise'!$E$2:$E$1137,0))</f>
        <v>6</v>
      </c>
      <c r="D65" s="4">
        <f>INDEX('Transition Stepwise'!$F$2:$F$1137,MATCH(8&amp;"|"&amp;$A65&amp;"|"&amp;D$61,'Transition Stepwise'!$E$2:$E$1137,0))</f>
        <v>61</v>
      </c>
      <c r="E65" s="4">
        <f>INDEX('Transition Stepwise'!$F$2:$F$1137,MATCH(8&amp;"|"&amp;$A65&amp;"|"&amp;E$61,'Transition Stepwise'!$E$2:$E$1137,0))</f>
        <v>0</v>
      </c>
      <c r="F65" s="4">
        <f>ROUND(SUM(B65:E65),9)</f>
        <v>197</v>
      </c>
    </row>
    <row r="66" spans="1:6">
      <c r="A66" s="4"/>
      <c r="B66" s="4"/>
      <c r="C66" s="4"/>
      <c r="D66" s="4"/>
      <c r="E66" s="4"/>
      <c r="F66" s="4"/>
    </row>
    <row r="67" spans="1:6">
      <c r="A67" s="4"/>
      <c r="B67" s="4"/>
      <c r="C67" s="4"/>
      <c r="D67" s="4"/>
      <c r="E67" s="4"/>
      <c r="F67" s="4"/>
    </row>
    <row r="68" spans="1:6">
      <c r="A68" s="5" t="s">
        <v>602</v>
      </c>
      <c r="B68" s="4"/>
      <c r="C68" s="4"/>
      <c r="D68" s="4"/>
      <c r="E68" s="4"/>
      <c r="F68" s="4"/>
    </row>
    <row r="69" spans="1:6">
      <c r="A69" s="9" t="s">
        <v>593</v>
      </c>
      <c r="B69" s="9" t="s">
        <v>73</v>
      </c>
      <c r="C69" s="9" t="s">
        <v>71</v>
      </c>
      <c r="D69" s="9" t="s">
        <v>70</v>
      </c>
      <c r="E69" s="9" t="s">
        <v>72</v>
      </c>
      <c r="F69" s="9" t="s">
        <v>594</v>
      </c>
    </row>
    <row r="70" spans="1:6">
      <c r="A70" s="5" t="s">
        <v>73</v>
      </c>
      <c r="B70" s="4">
        <f>INDEX('Transition Stepwise'!$F$2:$F$1137,MATCH(9&amp;"|"&amp;$A70&amp;"|"&amp;B$69,'Transition Stepwise'!$E$2:$E$1137,0))</f>
        <v>0</v>
      </c>
      <c r="C70" s="4">
        <f>INDEX('Transition Stepwise'!$F$2:$F$1137,MATCH(9&amp;"|"&amp;$A70&amp;"|"&amp;C$69,'Transition Stepwise'!$E$2:$E$1137,0))</f>
        <v>2</v>
      </c>
      <c r="D70" s="4">
        <f>INDEX('Transition Stepwise'!$F$2:$F$1137,MATCH(9&amp;"|"&amp;$A70&amp;"|"&amp;D$69,'Transition Stepwise'!$E$2:$E$1137,0))</f>
        <v>129</v>
      </c>
      <c r="E70" s="4">
        <f>INDEX('Transition Stepwise'!$F$2:$F$1137,MATCH(9&amp;"|"&amp;$A70&amp;"|"&amp;E$69,'Transition Stepwise'!$E$2:$E$1137,0))</f>
        <v>0</v>
      </c>
      <c r="F70" s="4">
        <f>ROUND(SUM(B70:E70),9)</f>
        <v>131</v>
      </c>
    </row>
    <row r="71" spans="1:6">
      <c r="A71" s="5" t="s">
        <v>71</v>
      </c>
      <c r="B71" s="4">
        <f>INDEX('Transition Stepwise'!$F$2:$F$1137,MATCH(9&amp;"|"&amp;$A71&amp;"|"&amp;B$69,'Transition Stepwise'!$E$2:$E$1137,0))</f>
        <v>0</v>
      </c>
      <c r="C71" s="4">
        <f>INDEX('Transition Stepwise'!$F$2:$F$1137,MATCH(9&amp;"|"&amp;$A71&amp;"|"&amp;C$69,'Transition Stepwise'!$E$2:$E$1137,0))</f>
        <v>0</v>
      </c>
      <c r="D71" s="4">
        <f>INDEX('Transition Stepwise'!$F$2:$F$1137,MATCH(9&amp;"|"&amp;$A71&amp;"|"&amp;D$69,'Transition Stepwise'!$E$2:$E$1137,0))</f>
        <v>7</v>
      </c>
      <c r="E71" s="4">
        <f>INDEX('Transition Stepwise'!$F$2:$F$1137,MATCH(9&amp;"|"&amp;$A71&amp;"|"&amp;E$69,'Transition Stepwise'!$E$2:$E$1137,0))</f>
        <v>0</v>
      </c>
      <c r="F71" s="4">
        <f>ROUND(SUM(B71:E71),9)</f>
        <v>7</v>
      </c>
    </row>
    <row r="72" spans="1:6">
      <c r="A72" s="5" t="s">
        <v>70</v>
      </c>
      <c r="B72" s="4">
        <f>INDEX('Transition Stepwise'!$F$2:$F$1137,MATCH(9&amp;"|"&amp;$A72&amp;"|"&amp;B$69,'Transition Stepwise'!$E$2:$E$1137,0))</f>
        <v>0</v>
      </c>
      <c r="C72" s="4">
        <f>INDEX('Transition Stepwise'!$F$2:$F$1137,MATCH(9&amp;"|"&amp;$A72&amp;"|"&amp;C$69,'Transition Stepwise'!$E$2:$E$1137,0))</f>
        <v>6</v>
      </c>
      <c r="D72" s="4">
        <f>INDEX('Transition Stepwise'!$F$2:$F$1137,MATCH(9&amp;"|"&amp;$A72&amp;"|"&amp;D$69,'Transition Stepwise'!$E$2:$E$1137,0))</f>
        <v>55</v>
      </c>
      <c r="E72" s="4">
        <f>INDEX('Transition Stepwise'!$F$2:$F$1137,MATCH(9&amp;"|"&amp;$A72&amp;"|"&amp;E$69,'Transition Stepwise'!$E$2:$E$1137,0))</f>
        <v>0</v>
      </c>
      <c r="F72" s="4">
        <f>ROUND(SUM(B72:E72),9)</f>
        <v>61</v>
      </c>
    </row>
    <row r="73" spans="1:6">
      <c r="A73" s="5" t="s">
        <v>72</v>
      </c>
      <c r="B73" s="4">
        <f>INDEX('Transition Stepwise'!$F$2:$F$1137,MATCH(9&amp;"|"&amp;$A73&amp;"|"&amp;B$69,'Transition Stepwise'!$E$2:$E$1137,0))</f>
        <v>0</v>
      </c>
      <c r="C73" s="4">
        <f>INDEX('Transition Stepwise'!$F$2:$F$1137,MATCH(9&amp;"|"&amp;$A73&amp;"|"&amp;C$69,'Transition Stepwise'!$E$2:$E$1137,0))</f>
        <v>0</v>
      </c>
      <c r="D73" s="4">
        <f>INDEX('Transition Stepwise'!$F$2:$F$1137,MATCH(9&amp;"|"&amp;$A73&amp;"|"&amp;D$69,'Transition Stepwise'!$E$2:$E$1137,0))</f>
        <v>0</v>
      </c>
      <c r="E73" s="4">
        <f>INDEX('Transition Stepwise'!$F$2:$F$1137,MATCH(9&amp;"|"&amp;$A73&amp;"|"&amp;E$69,'Transition Stepwise'!$E$2:$E$1137,0))</f>
        <v>0</v>
      </c>
      <c r="F73" s="4">
        <f>ROUND(SUM(B73:E73),9)</f>
        <v>0</v>
      </c>
    </row>
    <row r="74" spans="1:6">
      <c r="A74" s="4"/>
      <c r="B74" s="4"/>
      <c r="C74" s="4"/>
      <c r="D74" s="4"/>
      <c r="E74" s="4"/>
      <c r="F74" s="4"/>
    </row>
    <row r="75" spans="1:6">
      <c r="A75" s="4"/>
      <c r="B75" s="4"/>
      <c r="C75" s="4"/>
      <c r="D75" s="4"/>
      <c r="E75" s="4"/>
      <c r="F75" s="4"/>
    </row>
    <row r="76" spans="1:6">
      <c r="A76" s="5" t="s">
        <v>603</v>
      </c>
      <c r="B76" s="4"/>
      <c r="C76" s="4"/>
      <c r="D76" s="4"/>
      <c r="E76" s="4"/>
      <c r="F76" s="4"/>
    </row>
    <row r="77" spans="1:6">
      <c r="A77" s="9" t="s">
        <v>593</v>
      </c>
      <c r="B77" s="9" t="s">
        <v>73</v>
      </c>
      <c r="C77" s="9" t="s">
        <v>71</v>
      </c>
      <c r="D77" s="9" t="s">
        <v>70</v>
      </c>
      <c r="E77" s="9" t="s">
        <v>72</v>
      </c>
      <c r="F77" s="9" t="s">
        <v>594</v>
      </c>
    </row>
    <row r="78" spans="1:6">
      <c r="A78" s="5" t="s">
        <v>73</v>
      </c>
      <c r="B78" s="4">
        <f>INDEX('Transition Stepwise'!$F$2:$F$1137,MATCH(10&amp;"|"&amp;$A78&amp;"|"&amp;B$77,'Transition Stepwise'!$E$2:$E$1137,0))</f>
        <v>0</v>
      </c>
      <c r="C78" s="4">
        <f>INDEX('Transition Stepwise'!$F$2:$F$1137,MATCH(10&amp;"|"&amp;$A78&amp;"|"&amp;C$77,'Transition Stepwise'!$E$2:$E$1137,0))</f>
        <v>0</v>
      </c>
      <c r="D78" s="4">
        <f>INDEX('Transition Stepwise'!$F$2:$F$1137,MATCH(10&amp;"|"&amp;$A78&amp;"|"&amp;D$77,'Transition Stepwise'!$E$2:$E$1137,0))</f>
        <v>0</v>
      </c>
      <c r="E78" s="4">
        <f>INDEX('Transition Stepwise'!$F$2:$F$1137,MATCH(10&amp;"|"&amp;$A78&amp;"|"&amp;E$77,'Transition Stepwise'!$E$2:$E$1137,0))</f>
        <v>0</v>
      </c>
      <c r="F78" s="4">
        <f>ROUND(SUM(B78:E78),9)</f>
        <v>0</v>
      </c>
    </row>
    <row r="79" spans="1:6">
      <c r="A79" s="5" t="s">
        <v>71</v>
      </c>
      <c r="B79" s="4">
        <f>INDEX('Transition Stepwise'!$F$2:$F$1137,MATCH(10&amp;"|"&amp;$A79&amp;"|"&amp;B$77,'Transition Stepwise'!$E$2:$E$1137,0))</f>
        <v>0</v>
      </c>
      <c r="C79" s="4">
        <f>INDEX('Transition Stepwise'!$F$2:$F$1137,MATCH(10&amp;"|"&amp;$A79&amp;"|"&amp;C$77,'Transition Stepwise'!$E$2:$E$1137,0))</f>
        <v>6</v>
      </c>
      <c r="D79" s="4">
        <f>INDEX('Transition Stepwise'!$F$2:$F$1137,MATCH(10&amp;"|"&amp;$A79&amp;"|"&amp;D$77,'Transition Stepwise'!$E$2:$E$1137,0))</f>
        <v>1</v>
      </c>
      <c r="E79" s="4">
        <f>INDEX('Transition Stepwise'!$F$2:$F$1137,MATCH(10&amp;"|"&amp;$A79&amp;"|"&amp;E$77,'Transition Stepwise'!$E$2:$E$1137,0))</f>
        <v>1</v>
      </c>
      <c r="F79" s="4">
        <f>ROUND(SUM(B79:E79),9)</f>
        <v>8</v>
      </c>
    </row>
    <row r="80" spans="1:6">
      <c r="A80" s="5" t="s">
        <v>70</v>
      </c>
      <c r="B80" s="4">
        <f>INDEX('Transition Stepwise'!$F$2:$F$1137,MATCH(10&amp;"|"&amp;$A80&amp;"|"&amp;B$77,'Transition Stepwise'!$E$2:$E$1137,0))</f>
        <v>7</v>
      </c>
      <c r="C80" s="4">
        <f>INDEX('Transition Stepwise'!$F$2:$F$1137,MATCH(10&amp;"|"&amp;$A80&amp;"|"&amp;C$77,'Transition Stepwise'!$E$2:$E$1137,0))</f>
        <v>141</v>
      </c>
      <c r="D80" s="4">
        <f>INDEX('Transition Stepwise'!$F$2:$F$1137,MATCH(10&amp;"|"&amp;$A80&amp;"|"&amp;D$77,'Transition Stepwise'!$E$2:$E$1137,0))</f>
        <v>5</v>
      </c>
      <c r="E80" s="4">
        <f>INDEX('Transition Stepwise'!$F$2:$F$1137,MATCH(10&amp;"|"&amp;$A80&amp;"|"&amp;E$77,'Transition Stepwise'!$E$2:$E$1137,0))</f>
        <v>39</v>
      </c>
      <c r="F80" s="4">
        <f>ROUND(SUM(B80:E80),9)</f>
        <v>192</v>
      </c>
    </row>
    <row r="81" spans="1:6">
      <c r="A81" s="5" t="s">
        <v>72</v>
      </c>
      <c r="B81" s="4">
        <f>INDEX('Transition Stepwise'!$F$2:$F$1137,MATCH(10&amp;"|"&amp;$A81&amp;"|"&amp;B$77,'Transition Stepwise'!$E$2:$E$1137,0))</f>
        <v>0</v>
      </c>
      <c r="C81" s="4">
        <f>INDEX('Transition Stepwise'!$F$2:$F$1137,MATCH(10&amp;"|"&amp;$A81&amp;"|"&amp;C$77,'Transition Stepwise'!$E$2:$E$1137,0))</f>
        <v>0</v>
      </c>
      <c r="D81" s="4">
        <f>INDEX('Transition Stepwise'!$F$2:$F$1137,MATCH(10&amp;"|"&amp;$A81&amp;"|"&amp;D$77,'Transition Stepwise'!$E$2:$E$1137,0))</f>
        <v>0</v>
      </c>
      <c r="E81" s="4">
        <f>INDEX('Transition Stepwise'!$F$2:$F$1137,MATCH(10&amp;"|"&amp;$A81&amp;"|"&amp;E$77,'Transition Stepwise'!$E$2:$E$1137,0))</f>
        <v>0</v>
      </c>
      <c r="F81" s="4">
        <f>ROUND(SUM(B81:E81),9)</f>
        <v>0</v>
      </c>
    </row>
    <row r="82" spans="1:6">
      <c r="A82" s="4"/>
      <c r="B82" s="4"/>
      <c r="C82" s="4"/>
      <c r="D82" s="4"/>
      <c r="E82" s="4"/>
      <c r="F82" s="4"/>
    </row>
    <row r="83" spans="1:6">
      <c r="A83" s="4"/>
      <c r="B83" s="4"/>
      <c r="C83" s="4"/>
      <c r="D83" s="4"/>
      <c r="E83" s="4"/>
      <c r="F83" s="4"/>
    </row>
    <row r="84" spans="1:6">
      <c r="A84" s="5" t="s">
        <v>604</v>
      </c>
      <c r="B84" s="4"/>
      <c r="C84" s="4"/>
      <c r="D84" s="4"/>
      <c r="E84" s="4"/>
      <c r="F84" s="4"/>
    </row>
    <row r="85" spans="1:6">
      <c r="A85" s="9" t="s">
        <v>593</v>
      </c>
      <c r="B85" s="9" t="s">
        <v>73</v>
      </c>
      <c r="C85" s="9" t="s">
        <v>71</v>
      </c>
      <c r="D85" s="9" t="s">
        <v>70</v>
      </c>
      <c r="E85" s="9" t="s">
        <v>72</v>
      </c>
      <c r="F85" s="9" t="s">
        <v>594</v>
      </c>
    </row>
    <row r="86" spans="1:6">
      <c r="A86" s="5" t="s">
        <v>73</v>
      </c>
      <c r="B86" s="4">
        <f>INDEX('Transition Stepwise'!$F$2:$F$1137,MATCH(11&amp;"|"&amp;$A86&amp;"|"&amp;B$85,'Transition Stepwise'!$E$2:$E$1137,0))</f>
        <v>0</v>
      </c>
      <c r="C86" s="4">
        <f>INDEX('Transition Stepwise'!$F$2:$F$1137,MATCH(11&amp;"|"&amp;$A86&amp;"|"&amp;C$85,'Transition Stepwise'!$E$2:$E$1137,0))</f>
        <v>0</v>
      </c>
      <c r="D86" s="4">
        <f>INDEX('Transition Stepwise'!$F$2:$F$1137,MATCH(11&amp;"|"&amp;$A86&amp;"|"&amp;D$85,'Transition Stepwise'!$E$2:$E$1137,0))</f>
        <v>4</v>
      </c>
      <c r="E86" s="4">
        <f>INDEX('Transition Stepwise'!$F$2:$F$1137,MATCH(11&amp;"|"&amp;$A86&amp;"|"&amp;E$85,'Transition Stepwise'!$E$2:$E$1137,0))</f>
        <v>3</v>
      </c>
      <c r="F86" s="4">
        <f>ROUND(SUM(B86:E86),9)</f>
        <v>7</v>
      </c>
    </row>
    <row r="87" spans="1:6">
      <c r="A87" s="5" t="s">
        <v>71</v>
      </c>
      <c r="B87" s="4">
        <f>INDEX('Transition Stepwise'!$F$2:$F$1137,MATCH(11&amp;"|"&amp;$A87&amp;"|"&amp;B$85,'Transition Stepwise'!$E$2:$E$1137,0))</f>
        <v>6</v>
      </c>
      <c r="C87" s="4">
        <f>INDEX('Transition Stepwise'!$F$2:$F$1137,MATCH(11&amp;"|"&amp;$A87&amp;"|"&amp;C$85,'Transition Stepwise'!$E$2:$E$1137,0))</f>
        <v>17</v>
      </c>
      <c r="D87" s="4">
        <f>INDEX('Transition Stepwise'!$F$2:$F$1137,MATCH(11&amp;"|"&amp;$A87&amp;"|"&amp;D$85,'Transition Stepwise'!$E$2:$E$1137,0))</f>
        <v>19</v>
      </c>
      <c r="E87" s="4">
        <f>INDEX('Transition Stepwise'!$F$2:$F$1137,MATCH(11&amp;"|"&amp;$A87&amp;"|"&amp;E$85,'Transition Stepwise'!$E$2:$E$1137,0))</f>
        <v>105</v>
      </c>
      <c r="F87" s="4">
        <f>ROUND(SUM(B87:E87),9)</f>
        <v>147</v>
      </c>
    </row>
    <row r="88" spans="1:6">
      <c r="A88" s="5" t="s">
        <v>70</v>
      </c>
      <c r="B88" s="4">
        <f>INDEX('Transition Stepwise'!$F$2:$F$1137,MATCH(11&amp;"|"&amp;$A88&amp;"|"&amp;B$85,'Transition Stepwise'!$E$2:$E$1137,0))</f>
        <v>2</v>
      </c>
      <c r="C88" s="4">
        <f>INDEX('Transition Stepwise'!$F$2:$F$1137,MATCH(11&amp;"|"&amp;$A88&amp;"|"&amp;C$85,'Transition Stepwise'!$E$2:$E$1137,0))</f>
        <v>0</v>
      </c>
      <c r="D88" s="4">
        <f>INDEX('Transition Stepwise'!$F$2:$F$1137,MATCH(11&amp;"|"&amp;$A88&amp;"|"&amp;D$85,'Transition Stepwise'!$E$2:$E$1137,0))</f>
        <v>3</v>
      </c>
      <c r="E88" s="4">
        <f>INDEX('Transition Stepwise'!$F$2:$F$1137,MATCH(11&amp;"|"&amp;$A88&amp;"|"&amp;E$85,'Transition Stepwise'!$E$2:$E$1137,0))</f>
        <v>1</v>
      </c>
      <c r="F88" s="4">
        <f>ROUND(SUM(B88:E88),9)</f>
        <v>6</v>
      </c>
    </row>
    <row r="89" spans="1:6">
      <c r="A89" s="5" t="s">
        <v>72</v>
      </c>
      <c r="B89" s="4">
        <f>INDEX('Transition Stepwise'!$F$2:$F$1137,MATCH(11&amp;"|"&amp;$A89&amp;"|"&amp;B$85,'Transition Stepwise'!$E$2:$E$1137,0))</f>
        <v>5</v>
      </c>
      <c r="C89" s="4">
        <f>INDEX('Transition Stepwise'!$F$2:$F$1137,MATCH(11&amp;"|"&amp;$A89&amp;"|"&amp;C$85,'Transition Stepwise'!$E$2:$E$1137,0))</f>
        <v>12</v>
      </c>
      <c r="D89" s="4">
        <f>INDEX('Transition Stepwise'!$F$2:$F$1137,MATCH(11&amp;"|"&amp;$A89&amp;"|"&amp;D$85,'Transition Stepwise'!$E$2:$E$1137,0))</f>
        <v>12</v>
      </c>
      <c r="E89" s="4">
        <f>INDEX('Transition Stepwise'!$F$2:$F$1137,MATCH(11&amp;"|"&amp;$A89&amp;"|"&amp;E$85,'Transition Stepwise'!$E$2:$E$1137,0))</f>
        <v>11</v>
      </c>
      <c r="F89" s="4">
        <f>ROUND(SUM(B89:E89),9)</f>
        <v>40</v>
      </c>
    </row>
    <row r="90" spans="1:6">
      <c r="A90" s="4"/>
      <c r="B90" s="4"/>
      <c r="C90" s="4"/>
      <c r="D90" s="4"/>
      <c r="E90" s="4"/>
      <c r="F90" s="4"/>
    </row>
    <row r="91" spans="1:6">
      <c r="A91" s="4"/>
      <c r="B91" s="4"/>
      <c r="C91" s="4"/>
      <c r="D91" s="4"/>
      <c r="E91" s="4"/>
      <c r="F91" s="4"/>
    </row>
    <row r="92" spans="1:6">
      <c r="A92" s="5" t="s">
        <v>605</v>
      </c>
      <c r="B92" s="4"/>
      <c r="C92" s="4"/>
      <c r="D92" s="4"/>
      <c r="E92" s="4"/>
      <c r="F92" s="4"/>
    </row>
    <row r="93" spans="1:6">
      <c r="A93" s="9" t="s">
        <v>593</v>
      </c>
      <c r="B93" s="9" t="s">
        <v>73</v>
      </c>
      <c r="C93" s="9" t="s">
        <v>71</v>
      </c>
      <c r="D93" s="9" t="s">
        <v>70</v>
      </c>
      <c r="E93" s="9" t="s">
        <v>72</v>
      </c>
      <c r="F93" s="9" t="s">
        <v>594</v>
      </c>
    </row>
    <row r="94" spans="1:6">
      <c r="A94" s="5" t="s">
        <v>73</v>
      </c>
      <c r="B94" s="4">
        <f>INDEX('Transition Stepwise'!$F$2:$F$1137,MATCH(12&amp;"|"&amp;$A94&amp;"|"&amp;B$93,'Transition Stepwise'!$E$2:$E$1137,0))</f>
        <v>0</v>
      </c>
      <c r="C94" s="4">
        <f>INDEX('Transition Stepwise'!$F$2:$F$1137,MATCH(12&amp;"|"&amp;$A94&amp;"|"&amp;C$93,'Transition Stepwise'!$E$2:$E$1137,0))</f>
        <v>0</v>
      </c>
      <c r="D94" s="4">
        <f>INDEX('Transition Stepwise'!$F$2:$F$1137,MATCH(12&amp;"|"&amp;$A94&amp;"|"&amp;D$93,'Transition Stepwise'!$E$2:$E$1137,0))</f>
        <v>6</v>
      </c>
      <c r="E94" s="4">
        <f>INDEX('Transition Stepwise'!$F$2:$F$1137,MATCH(12&amp;"|"&amp;$A94&amp;"|"&amp;E$93,'Transition Stepwise'!$E$2:$E$1137,0))</f>
        <v>7</v>
      </c>
      <c r="F94" s="4">
        <f>ROUND(SUM(B94:E94),9)</f>
        <v>13</v>
      </c>
    </row>
    <row r="95" spans="1:6">
      <c r="A95" s="5" t="s">
        <v>71</v>
      </c>
      <c r="B95" s="4">
        <f>INDEX('Transition Stepwise'!$F$2:$F$1137,MATCH(12&amp;"|"&amp;$A95&amp;"|"&amp;B$93,'Transition Stepwise'!$E$2:$E$1137,0))</f>
        <v>7</v>
      </c>
      <c r="C95" s="4">
        <f>INDEX('Transition Stepwise'!$F$2:$F$1137,MATCH(12&amp;"|"&amp;$A95&amp;"|"&amp;C$93,'Transition Stepwise'!$E$2:$E$1137,0))</f>
        <v>4</v>
      </c>
      <c r="D95" s="4">
        <f>INDEX('Transition Stepwise'!$F$2:$F$1137,MATCH(12&amp;"|"&amp;$A95&amp;"|"&amp;D$93,'Transition Stepwise'!$E$2:$E$1137,0))</f>
        <v>7</v>
      </c>
      <c r="E95" s="4">
        <f>INDEX('Transition Stepwise'!$F$2:$F$1137,MATCH(12&amp;"|"&amp;$A95&amp;"|"&amp;E$93,'Transition Stepwise'!$E$2:$E$1137,0))</f>
        <v>11</v>
      </c>
      <c r="F95" s="4">
        <f>ROUND(SUM(B95:E95),9)</f>
        <v>29</v>
      </c>
    </row>
    <row r="96" spans="1:6">
      <c r="A96" s="5" t="s">
        <v>70</v>
      </c>
      <c r="B96" s="4">
        <f>INDEX('Transition Stepwise'!$F$2:$F$1137,MATCH(12&amp;"|"&amp;$A96&amp;"|"&amp;B$93,'Transition Stepwise'!$E$2:$E$1137,0))</f>
        <v>5</v>
      </c>
      <c r="C96" s="4">
        <f>INDEX('Transition Stepwise'!$F$2:$F$1137,MATCH(12&amp;"|"&amp;$A96&amp;"|"&amp;C$93,'Transition Stepwise'!$E$2:$E$1137,0))</f>
        <v>19</v>
      </c>
      <c r="D96" s="4">
        <f>INDEX('Transition Stepwise'!$F$2:$F$1137,MATCH(12&amp;"|"&amp;$A96&amp;"|"&amp;D$93,'Transition Stepwise'!$E$2:$E$1137,0))</f>
        <v>5</v>
      </c>
      <c r="E96" s="4">
        <f>INDEX('Transition Stepwise'!$F$2:$F$1137,MATCH(12&amp;"|"&amp;$A96&amp;"|"&amp;E$93,'Transition Stepwise'!$E$2:$E$1137,0))</f>
        <v>9</v>
      </c>
      <c r="F96" s="4">
        <f>ROUND(SUM(B96:E96),9)</f>
        <v>38</v>
      </c>
    </row>
    <row r="97" spans="1:6">
      <c r="A97" s="5" t="s">
        <v>72</v>
      </c>
      <c r="B97" s="4">
        <f>INDEX('Transition Stepwise'!$F$2:$F$1137,MATCH(12&amp;"|"&amp;$A97&amp;"|"&amp;B$93,'Transition Stepwise'!$E$2:$E$1137,0))</f>
        <v>1</v>
      </c>
      <c r="C97" s="4">
        <f>INDEX('Transition Stepwise'!$F$2:$F$1137,MATCH(12&amp;"|"&amp;$A97&amp;"|"&amp;C$93,'Transition Stepwise'!$E$2:$E$1137,0))</f>
        <v>107</v>
      </c>
      <c r="D97" s="4">
        <f>INDEX('Transition Stepwise'!$F$2:$F$1137,MATCH(12&amp;"|"&amp;$A97&amp;"|"&amp;D$93,'Transition Stepwise'!$E$2:$E$1137,0))</f>
        <v>1</v>
      </c>
      <c r="E97" s="4">
        <f>INDEX('Transition Stepwise'!$F$2:$F$1137,MATCH(12&amp;"|"&amp;$A97&amp;"|"&amp;E$93,'Transition Stepwise'!$E$2:$E$1137,0))</f>
        <v>11</v>
      </c>
      <c r="F97" s="4">
        <f>ROUND(SUM(B97:E97),9)</f>
        <v>120</v>
      </c>
    </row>
    <row r="98" spans="1:6">
      <c r="A98" s="4"/>
      <c r="B98" s="4"/>
      <c r="C98" s="4"/>
      <c r="D98" s="4"/>
      <c r="E98" s="4"/>
      <c r="F98" s="4"/>
    </row>
    <row r="99" spans="1:6">
      <c r="A99" s="4"/>
      <c r="B99" s="4"/>
      <c r="C99" s="4"/>
      <c r="D99" s="4"/>
      <c r="E99" s="4"/>
      <c r="F99" s="4"/>
    </row>
    <row r="100" spans="1:6">
      <c r="A100" s="5" t="s">
        <v>606</v>
      </c>
      <c r="B100" s="4"/>
      <c r="C100" s="4"/>
      <c r="D100" s="4"/>
      <c r="E100" s="4"/>
      <c r="F100" s="4"/>
    </row>
    <row r="101" spans="1:6">
      <c r="A101" s="9" t="s">
        <v>593</v>
      </c>
      <c r="B101" s="9" t="s">
        <v>73</v>
      </c>
      <c r="C101" s="9" t="s">
        <v>71</v>
      </c>
      <c r="D101" s="9" t="s">
        <v>70</v>
      </c>
      <c r="E101" s="9" t="s">
        <v>72</v>
      </c>
      <c r="F101" s="9" t="s">
        <v>594</v>
      </c>
    </row>
    <row r="102" spans="1:6">
      <c r="A102" s="5" t="s">
        <v>73</v>
      </c>
      <c r="B102" s="4">
        <f>INDEX('Transition Stepwise'!$F$2:$F$1137,MATCH(13&amp;"|"&amp;$A102&amp;"|"&amp;B$101,'Transition Stepwise'!$E$2:$E$1137,0))</f>
        <v>12</v>
      </c>
      <c r="C102" s="4">
        <f>INDEX('Transition Stepwise'!$F$2:$F$1137,MATCH(13&amp;"|"&amp;$A102&amp;"|"&amp;C$101,'Transition Stepwise'!$E$2:$E$1137,0))</f>
        <v>0</v>
      </c>
      <c r="D102" s="4">
        <f>INDEX('Transition Stepwise'!$F$2:$F$1137,MATCH(13&amp;"|"&amp;$A102&amp;"|"&amp;D$101,'Transition Stepwise'!$E$2:$E$1137,0))</f>
        <v>1</v>
      </c>
      <c r="E102" s="4">
        <f>INDEX('Transition Stepwise'!$F$2:$F$1137,MATCH(13&amp;"|"&amp;$A102&amp;"|"&amp;E$101,'Transition Stepwise'!$E$2:$E$1137,0))</f>
        <v>0</v>
      </c>
      <c r="F102" s="4">
        <f>ROUND(SUM(B102:E102),9)</f>
        <v>13</v>
      </c>
    </row>
    <row r="103" spans="1:6">
      <c r="A103" s="5" t="s">
        <v>71</v>
      </c>
      <c r="B103" s="4">
        <f>INDEX('Transition Stepwise'!$F$2:$F$1137,MATCH(13&amp;"|"&amp;$A103&amp;"|"&amp;B$101,'Transition Stepwise'!$E$2:$E$1137,0))</f>
        <v>129</v>
      </c>
      <c r="C103" s="4">
        <f>INDEX('Transition Stepwise'!$F$2:$F$1137,MATCH(13&amp;"|"&amp;$A103&amp;"|"&amp;C$101,'Transition Stepwise'!$E$2:$E$1137,0))</f>
        <v>1</v>
      </c>
      <c r="D103" s="4">
        <f>INDEX('Transition Stepwise'!$F$2:$F$1137,MATCH(13&amp;"|"&amp;$A103&amp;"|"&amp;D$101,'Transition Stepwise'!$E$2:$E$1137,0))</f>
        <v>0</v>
      </c>
      <c r="E103" s="4">
        <f>INDEX('Transition Stepwise'!$F$2:$F$1137,MATCH(13&amp;"|"&amp;$A103&amp;"|"&amp;E$101,'Transition Stepwise'!$E$2:$E$1137,0))</f>
        <v>0</v>
      </c>
      <c r="F103" s="4">
        <f>ROUND(SUM(B103:E103),9)</f>
        <v>130</v>
      </c>
    </row>
    <row r="104" spans="1:6">
      <c r="A104" s="5" t="s">
        <v>70</v>
      </c>
      <c r="B104" s="4">
        <f>INDEX('Transition Stepwise'!$F$2:$F$1137,MATCH(13&amp;"|"&amp;$A104&amp;"|"&amp;B$101,'Transition Stepwise'!$E$2:$E$1137,0))</f>
        <v>19</v>
      </c>
      <c r="C104" s="4">
        <f>INDEX('Transition Stepwise'!$F$2:$F$1137,MATCH(13&amp;"|"&amp;$A104&amp;"|"&amp;C$101,'Transition Stepwise'!$E$2:$E$1137,0))</f>
        <v>0</v>
      </c>
      <c r="D104" s="4">
        <f>INDEX('Transition Stepwise'!$F$2:$F$1137,MATCH(13&amp;"|"&amp;$A104&amp;"|"&amp;D$101,'Transition Stepwise'!$E$2:$E$1137,0))</f>
        <v>0</v>
      </c>
      <c r="E104" s="4">
        <f>INDEX('Transition Stepwise'!$F$2:$F$1137,MATCH(13&amp;"|"&amp;$A104&amp;"|"&amp;E$101,'Transition Stepwise'!$E$2:$E$1137,0))</f>
        <v>0</v>
      </c>
      <c r="F104" s="4">
        <f>ROUND(SUM(B104:E104),9)</f>
        <v>19</v>
      </c>
    </row>
    <row r="105" spans="1:6">
      <c r="A105" s="5" t="s">
        <v>72</v>
      </c>
      <c r="B105" s="4">
        <f>INDEX('Transition Stepwise'!$F$2:$F$1137,MATCH(13&amp;"|"&amp;$A105&amp;"|"&amp;B$101,'Transition Stepwise'!$E$2:$E$1137,0))</f>
        <v>38</v>
      </c>
      <c r="C105" s="4">
        <f>INDEX('Transition Stepwise'!$F$2:$F$1137,MATCH(13&amp;"|"&amp;$A105&amp;"|"&amp;C$101,'Transition Stepwise'!$E$2:$E$1137,0))</f>
        <v>0</v>
      </c>
      <c r="D105" s="4">
        <f>INDEX('Transition Stepwise'!$F$2:$F$1137,MATCH(13&amp;"|"&amp;$A105&amp;"|"&amp;D$101,'Transition Stepwise'!$E$2:$E$1137,0))</f>
        <v>0</v>
      </c>
      <c r="E105" s="4">
        <f>INDEX('Transition Stepwise'!$F$2:$F$1137,MATCH(13&amp;"|"&amp;$A105&amp;"|"&amp;E$101,'Transition Stepwise'!$E$2:$E$1137,0))</f>
        <v>0</v>
      </c>
      <c r="F105" s="4">
        <f>ROUND(SUM(B105:E105),9)</f>
        <v>38</v>
      </c>
    </row>
    <row r="106" spans="1:6">
      <c r="A106" s="4"/>
      <c r="B106" s="4"/>
      <c r="C106" s="4"/>
      <c r="D106" s="4"/>
      <c r="E106" s="4"/>
      <c r="F106" s="4"/>
    </row>
    <row r="107" spans="1:6">
      <c r="A107" s="4"/>
      <c r="B107" s="4"/>
      <c r="C107" s="4"/>
      <c r="D107" s="4"/>
      <c r="E107" s="4"/>
      <c r="F107" s="4"/>
    </row>
    <row r="108" spans="1:6">
      <c r="A108" s="5" t="s">
        <v>607</v>
      </c>
      <c r="B108" s="4"/>
      <c r="C108" s="4"/>
      <c r="D108" s="4"/>
      <c r="E108" s="4"/>
      <c r="F108" s="4"/>
    </row>
    <row r="109" spans="1:6">
      <c r="A109" s="9" t="s">
        <v>593</v>
      </c>
      <c r="B109" s="9" t="s">
        <v>73</v>
      </c>
      <c r="C109" s="9" t="s">
        <v>71</v>
      </c>
      <c r="D109" s="9" t="s">
        <v>70</v>
      </c>
      <c r="E109" s="9" t="s">
        <v>72</v>
      </c>
      <c r="F109" s="9" t="s">
        <v>594</v>
      </c>
    </row>
    <row r="110" spans="1:6">
      <c r="A110" s="5" t="s">
        <v>73</v>
      </c>
      <c r="B110" s="4">
        <f>INDEX('Transition Stepwise'!$F$2:$F$1137,MATCH(14&amp;"|"&amp;$A110&amp;"|"&amp;B$109,'Transition Stepwise'!$E$2:$E$1137,0))</f>
        <v>32</v>
      </c>
      <c r="C110" s="4">
        <f>INDEX('Transition Stepwise'!$F$2:$F$1137,MATCH(14&amp;"|"&amp;$A110&amp;"|"&amp;C$109,'Transition Stepwise'!$E$2:$E$1137,0))</f>
        <v>1</v>
      </c>
      <c r="D110" s="4">
        <f>INDEX('Transition Stepwise'!$F$2:$F$1137,MATCH(14&amp;"|"&amp;$A110&amp;"|"&amp;D$109,'Transition Stepwise'!$E$2:$E$1137,0))</f>
        <v>162</v>
      </c>
      <c r="E110" s="4">
        <f>INDEX('Transition Stepwise'!$F$2:$F$1137,MATCH(14&amp;"|"&amp;$A110&amp;"|"&amp;E$109,'Transition Stepwise'!$E$2:$E$1137,0))</f>
        <v>2</v>
      </c>
      <c r="F110" s="4">
        <f>ROUND(SUM(B110:E110),9)</f>
        <v>197</v>
      </c>
    </row>
    <row r="111" spans="1:6">
      <c r="A111" s="5" t="s">
        <v>71</v>
      </c>
      <c r="B111" s="4">
        <f>INDEX('Transition Stepwise'!$F$2:$F$1137,MATCH(14&amp;"|"&amp;$A111&amp;"|"&amp;B$109,'Transition Stepwise'!$E$2:$E$1137,0))</f>
        <v>1</v>
      </c>
      <c r="C111" s="4">
        <f>INDEX('Transition Stepwise'!$F$2:$F$1137,MATCH(14&amp;"|"&amp;$A111&amp;"|"&amp;C$109,'Transition Stepwise'!$E$2:$E$1137,0))</f>
        <v>0</v>
      </c>
      <c r="D111" s="4">
        <f>INDEX('Transition Stepwise'!$F$2:$F$1137,MATCH(14&amp;"|"&amp;$A111&amp;"|"&amp;D$109,'Transition Stepwise'!$E$2:$E$1137,0))</f>
        <v>0</v>
      </c>
      <c r="E111" s="4">
        <f>INDEX('Transition Stepwise'!$F$2:$F$1137,MATCH(14&amp;"|"&amp;$A111&amp;"|"&amp;E$109,'Transition Stepwise'!$E$2:$E$1137,0))</f>
        <v>0</v>
      </c>
      <c r="F111" s="4">
        <f>ROUND(SUM(B111:E111),9)</f>
        <v>1</v>
      </c>
    </row>
    <row r="112" spans="1:6">
      <c r="A112" s="5" t="s">
        <v>70</v>
      </c>
      <c r="B112" s="4">
        <f>INDEX('Transition Stepwise'!$F$2:$F$1137,MATCH(14&amp;"|"&amp;$A112&amp;"|"&amp;B$109,'Transition Stepwise'!$E$2:$E$1137,0))</f>
        <v>0</v>
      </c>
      <c r="C112" s="4">
        <f>INDEX('Transition Stepwise'!$F$2:$F$1137,MATCH(14&amp;"|"&amp;$A112&amp;"|"&amp;C$109,'Transition Stepwise'!$E$2:$E$1137,0))</f>
        <v>1</v>
      </c>
      <c r="D112" s="4">
        <f>INDEX('Transition Stepwise'!$F$2:$F$1137,MATCH(14&amp;"|"&amp;$A112&amp;"|"&amp;D$109,'Transition Stepwise'!$E$2:$E$1137,0))</f>
        <v>0</v>
      </c>
      <c r="E112" s="4">
        <f>INDEX('Transition Stepwise'!$F$2:$F$1137,MATCH(14&amp;"|"&amp;$A112&amp;"|"&amp;E$109,'Transition Stepwise'!$E$2:$E$1137,0))</f>
        <v>0</v>
      </c>
      <c r="F112" s="4">
        <f>ROUND(SUM(B112:E112),9)</f>
        <v>1</v>
      </c>
    </row>
    <row r="113" spans="1:6">
      <c r="A113" s="5" t="s">
        <v>72</v>
      </c>
      <c r="B113" s="4">
        <f>INDEX('Transition Stepwise'!$F$2:$F$1137,MATCH(14&amp;"|"&amp;$A113&amp;"|"&amp;B$109,'Transition Stepwise'!$E$2:$E$1137,0))</f>
        <v>0</v>
      </c>
      <c r="C113" s="4">
        <f>INDEX('Transition Stepwise'!$F$2:$F$1137,MATCH(14&amp;"|"&amp;$A113&amp;"|"&amp;C$109,'Transition Stepwise'!$E$2:$E$1137,0))</f>
        <v>0</v>
      </c>
      <c r="D113" s="4">
        <f>INDEX('Transition Stepwise'!$F$2:$F$1137,MATCH(14&amp;"|"&amp;$A113&amp;"|"&amp;D$109,'Transition Stepwise'!$E$2:$E$1137,0))</f>
        <v>0</v>
      </c>
      <c r="E113" s="4">
        <f>INDEX('Transition Stepwise'!$F$2:$F$1137,MATCH(14&amp;"|"&amp;$A113&amp;"|"&amp;E$109,'Transition Stepwise'!$E$2:$E$1137,0))</f>
        <v>0</v>
      </c>
      <c r="F113" s="4">
        <f>ROUND(SUM(B113:E113),9)</f>
        <v>0</v>
      </c>
    </row>
    <row r="114" spans="1:6">
      <c r="A114" s="4"/>
      <c r="B114" s="4"/>
      <c r="C114" s="4"/>
      <c r="D114" s="4"/>
      <c r="E114" s="4"/>
      <c r="F114" s="4"/>
    </row>
    <row r="115" spans="1:6">
      <c r="A115" s="4"/>
      <c r="B115" s="4"/>
      <c r="C115" s="4"/>
      <c r="D115" s="4"/>
      <c r="E115" s="4"/>
      <c r="F115" s="4"/>
    </row>
    <row r="116" spans="1:6">
      <c r="A116" s="5" t="s">
        <v>608</v>
      </c>
      <c r="B116" s="4"/>
      <c r="C116" s="4"/>
      <c r="D116" s="4"/>
      <c r="E116" s="4"/>
      <c r="F116" s="4"/>
    </row>
    <row r="117" spans="1:6">
      <c r="A117" s="9" t="s">
        <v>593</v>
      </c>
      <c r="B117" s="9" t="s">
        <v>73</v>
      </c>
      <c r="C117" s="9" t="s">
        <v>71</v>
      </c>
      <c r="D117" s="9" t="s">
        <v>70</v>
      </c>
      <c r="E117" s="9" t="s">
        <v>72</v>
      </c>
      <c r="F117" s="9" t="s">
        <v>594</v>
      </c>
    </row>
    <row r="118" spans="1:6">
      <c r="A118" s="5" t="s">
        <v>73</v>
      </c>
      <c r="B118" s="4">
        <f>INDEX('Transition Stepwise'!$F$2:$F$1137,MATCH(15&amp;"|"&amp;$A118&amp;"|"&amp;B$117,'Transition Stepwise'!$E$2:$E$1137,0))</f>
        <v>1</v>
      </c>
      <c r="C118" s="4">
        <f>INDEX('Transition Stepwise'!$F$2:$F$1137,MATCH(15&amp;"|"&amp;$A118&amp;"|"&amp;C$117,'Transition Stepwise'!$E$2:$E$1137,0))</f>
        <v>1</v>
      </c>
      <c r="D118" s="4">
        <f>INDEX('Transition Stepwise'!$F$2:$F$1137,MATCH(15&amp;"|"&amp;$A118&amp;"|"&amp;D$117,'Transition Stepwise'!$E$2:$E$1137,0))</f>
        <v>0</v>
      </c>
      <c r="E118" s="4">
        <f>INDEX('Transition Stepwise'!$F$2:$F$1137,MATCH(15&amp;"|"&amp;$A118&amp;"|"&amp;E$117,'Transition Stepwise'!$E$2:$E$1137,0))</f>
        <v>15</v>
      </c>
      <c r="F118" s="4">
        <f>ROUND(SUM(B118:E118),9)</f>
        <v>17</v>
      </c>
    </row>
    <row r="119" spans="1:6">
      <c r="A119" s="5" t="s">
        <v>71</v>
      </c>
      <c r="B119" s="4">
        <f>INDEX('Transition Stepwise'!$F$2:$F$1137,MATCH(15&amp;"|"&amp;$A119&amp;"|"&amp;B$117,'Transition Stepwise'!$E$2:$E$1137,0))</f>
        <v>0</v>
      </c>
      <c r="C119" s="4">
        <f>INDEX('Transition Stepwise'!$F$2:$F$1137,MATCH(15&amp;"|"&amp;$A119&amp;"|"&amp;C$117,'Transition Stepwise'!$E$2:$E$1137,0))</f>
        <v>0</v>
      </c>
      <c r="D119" s="4">
        <f>INDEX('Transition Stepwise'!$F$2:$F$1137,MATCH(15&amp;"|"&amp;$A119&amp;"|"&amp;D$117,'Transition Stepwise'!$E$2:$E$1137,0))</f>
        <v>0</v>
      </c>
      <c r="E119" s="4">
        <f>INDEX('Transition Stepwise'!$F$2:$F$1137,MATCH(15&amp;"|"&amp;$A119&amp;"|"&amp;E$117,'Transition Stepwise'!$E$2:$E$1137,0))</f>
        <v>1</v>
      </c>
      <c r="F119" s="4">
        <f>ROUND(SUM(B119:E119),9)</f>
        <v>1</v>
      </c>
    </row>
    <row r="120" spans="1:6">
      <c r="A120" s="5" t="s">
        <v>70</v>
      </c>
      <c r="B120" s="4">
        <f>INDEX('Transition Stepwise'!$F$2:$F$1137,MATCH(15&amp;"|"&amp;$A120&amp;"|"&amp;B$117,'Transition Stepwise'!$E$2:$E$1137,0))</f>
        <v>2</v>
      </c>
      <c r="C120" s="4">
        <f>INDEX('Transition Stepwise'!$F$2:$F$1137,MATCH(15&amp;"|"&amp;$A120&amp;"|"&amp;C$117,'Transition Stepwise'!$E$2:$E$1137,0))</f>
        <v>46</v>
      </c>
      <c r="D120" s="4">
        <f>INDEX('Transition Stepwise'!$F$2:$F$1137,MATCH(15&amp;"|"&amp;$A120&amp;"|"&amp;D$117,'Transition Stepwise'!$E$2:$E$1137,0))</f>
        <v>3</v>
      </c>
      <c r="E120" s="4">
        <f>INDEX('Transition Stepwise'!$F$2:$F$1137,MATCH(15&amp;"|"&amp;$A120&amp;"|"&amp;E$117,'Transition Stepwise'!$E$2:$E$1137,0))</f>
        <v>63</v>
      </c>
      <c r="F120" s="4">
        <f>ROUND(SUM(B120:E120),9)</f>
        <v>114</v>
      </c>
    </row>
    <row r="121" spans="1:6">
      <c r="A121" s="5" t="s">
        <v>72</v>
      </c>
      <c r="B121" s="4">
        <f>INDEX('Transition Stepwise'!$F$2:$F$1137,MATCH(15&amp;"|"&amp;$A121&amp;"|"&amp;B$117,'Transition Stepwise'!$E$2:$E$1137,0))</f>
        <v>0</v>
      </c>
      <c r="C121" s="4">
        <f>INDEX('Transition Stepwise'!$F$2:$F$1137,MATCH(15&amp;"|"&amp;$A121&amp;"|"&amp;C$117,'Transition Stepwise'!$E$2:$E$1137,0))</f>
        <v>1</v>
      </c>
      <c r="D121" s="4">
        <f>INDEX('Transition Stepwise'!$F$2:$F$1137,MATCH(15&amp;"|"&amp;$A121&amp;"|"&amp;D$117,'Transition Stepwise'!$E$2:$E$1137,0))</f>
        <v>0</v>
      </c>
      <c r="E121" s="4">
        <f>INDEX('Transition Stepwise'!$F$2:$F$1137,MATCH(15&amp;"|"&amp;$A121&amp;"|"&amp;E$117,'Transition Stepwise'!$E$2:$E$1137,0))</f>
        <v>0</v>
      </c>
      <c r="F121" s="4">
        <f>ROUND(SUM(B121:E121),9)</f>
        <v>1</v>
      </c>
    </row>
    <row r="122" spans="1:6">
      <c r="A122" s="4"/>
      <c r="B122" s="4"/>
      <c r="C122" s="4"/>
      <c r="D122" s="4"/>
      <c r="E122" s="4"/>
      <c r="F122" s="4"/>
    </row>
    <row r="123" spans="1:6">
      <c r="A123" s="4"/>
      <c r="B123" s="4"/>
      <c r="C123" s="4"/>
      <c r="D123" s="4"/>
      <c r="E123" s="4"/>
      <c r="F123" s="4"/>
    </row>
    <row r="124" spans="1:6">
      <c r="A124" s="5" t="s">
        <v>609</v>
      </c>
      <c r="B124" s="4"/>
      <c r="C124" s="4"/>
      <c r="D124" s="4"/>
      <c r="E124" s="4"/>
      <c r="F124" s="4"/>
    </row>
    <row r="125" spans="1:6">
      <c r="A125" s="9" t="s">
        <v>593</v>
      </c>
      <c r="B125" s="9" t="s">
        <v>73</v>
      </c>
      <c r="C125" s="9" t="s">
        <v>71</v>
      </c>
      <c r="D125" s="9" t="s">
        <v>70</v>
      </c>
      <c r="E125" s="9" t="s">
        <v>72</v>
      </c>
      <c r="F125" s="9" t="s">
        <v>594</v>
      </c>
    </row>
    <row r="126" spans="1:6">
      <c r="A126" s="5" t="s">
        <v>73</v>
      </c>
      <c r="B126" s="4">
        <f>INDEX('Transition Stepwise'!$F$2:$F$1137,MATCH(16&amp;"|"&amp;$A126&amp;"|"&amp;B$125,'Transition Stepwise'!$E$2:$E$1137,0))</f>
        <v>0</v>
      </c>
      <c r="C126" s="4">
        <f>INDEX('Transition Stepwise'!$F$2:$F$1137,MATCH(16&amp;"|"&amp;$A126&amp;"|"&amp;C$125,'Transition Stepwise'!$E$2:$E$1137,0))</f>
        <v>1</v>
      </c>
      <c r="D126" s="4">
        <f>INDEX('Transition Stepwise'!$F$2:$F$1137,MATCH(16&amp;"|"&amp;$A126&amp;"|"&amp;D$125,'Transition Stepwise'!$E$2:$E$1137,0))</f>
        <v>0</v>
      </c>
      <c r="E126" s="4">
        <f>INDEX('Transition Stepwise'!$F$2:$F$1137,MATCH(16&amp;"|"&amp;$A126&amp;"|"&amp;E$125,'Transition Stepwise'!$E$2:$E$1137,0))</f>
        <v>2</v>
      </c>
      <c r="F126" s="4">
        <f>ROUND(SUM(B126:E126),9)</f>
        <v>3</v>
      </c>
    </row>
    <row r="127" spans="1:6">
      <c r="A127" s="5" t="s">
        <v>71</v>
      </c>
      <c r="B127" s="4">
        <f>INDEX('Transition Stepwise'!$F$2:$F$1137,MATCH(16&amp;"|"&amp;$A127&amp;"|"&amp;B$125,'Transition Stepwise'!$E$2:$E$1137,0))</f>
        <v>1</v>
      </c>
      <c r="C127" s="4">
        <f>INDEX('Transition Stepwise'!$F$2:$F$1137,MATCH(16&amp;"|"&amp;$A127&amp;"|"&amp;C$125,'Transition Stepwise'!$E$2:$E$1137,0))</f>
        <v>22</v>
      </c>
      <c r="D127" s="4">
        <f>INDEX('Transition Stepwise'!$F$2:$F$1137,MATCH(16&amp;"|"&amp;$A127&amp;"|"&amp;D$125,'Transition Stepwise'!$E$2:$E$1137,0))</f>
        <v>0</v>
      </c>
      <c r="E127" s="4">
        <f>INDEX('Transition Stepwise'!$F$2:$F$1137,MATCH(16&amp;"|"&amp;$A127&amp;"|"&amp;E$125,'Transition Stepwise'!$E$2:$E$1137,0))</f>
        <v>24</v>
      </c>
      <c r="F127" s="4">
        <f>ROUND(SUM(B127:E127),9)</f>
        <v>47</v>
      </c>
    </row>
    <row r="128" spans="1:6">
      <c r="A128" s="5" t="s">
        <v>70</v>
      </c>
      <c r="B128" s="4">
        <f>INDEX('Transition Stepwise'!$F$2:$F$1137,MATCH(16&amp;"|"&amp;$A128&amp;"|"&amp;B$125,'Transition Stepwise'!$E$2:$E$1137,0))</f>
        <v>0</v>
      </c>
      <c r="C128" s="4">
        <f>INDEX('Transition Stepwise'!$F$2:$F$1137,MATCH(16&amp;"|"&amp;$A128&amp;"|"&amp;C$125,'Transition Stepwise'!$E$2:$E$1137,0))</f>
        <v>0</v>
      </c>
      <c r="D128" s="4">
        <f>INDEX('Transition Stepwise'!$F$2:$F$1137,MATCH(16&amp;"|"&amp;$A128&amp;"|"&amp;D$125,'Transition Stepwise'!$E$2:$E$1137,0))</f>
        <v>1</v>
      </c>
      <c r="E128" s="4">
        <f>INDEX('Transition Stepwise'!$F$2:$F$1137,MATCH(16&amp;"|"&amp;$A128&amp;"|"&amp;E$125,'Transition Stepwise'!$E$2:$E$1137,0))</f>
        <v>2</v>
      </c>
      <c r="F128" s="4">
        <f>ROUND(SUM(B128:E128),9)</f>
        <v>3</v>
      </c>
    </row>
    <row r="129" spans="1:6">
      <c r="A129" s="5" t="s">
        <v>72</v>
      </c>
      <c r="B129" s="4">
        <f>INDEX('Transition Stepwise'!$F$2:$F$1137,MATCH(16&amp;"|"&amp;$A129&amp;"|"&amp;B$125,'Transition Stepwise'!$E$2:$E$1137,0))</f>
        <v>7</v>
      </c>
      <c r="C129" s="4">
        <f>INDEX('Transition Stepwise'!$F$2:$F$1137,MATCH(16&amp;"|"&amp;$A129&amp;"|"&amp;C$125,'Transition Stepwise'!$E$2:$E$1137,0))</f>
        <v>21</v>
      </c>
      <c r="D129" s="4">
        <f>INDEX('Transition Stepwise'!$F$2:$F$1137,MATCH(16&amp;"|"&amp;$A129&amp;"|"&amp;D$125,'Transition Stepwise'!$E$2:$E$1137,0))</f>
        <v>1</v>
      </c>
      <c r="E129" s="4">
        <f>INDEX('Transition Stepwise'!$F$2:$F$1137,MATCH(16&amp;"|"&amp;$A129&amp;"|"&amp;E$125,'Transition Stepwise'!$E$2:$E$1137,0))</f>
        <v>49</v>
      </c>
      <c r="F129" s="4">
        <f>ROUND(SUM(B129:E129),9)</f>
        <v>78</v>
      </c>
    </row>
    <row r="130" spans="1:6">
      <c r="A130" s="4"/>
      <c r="B130" s="4"/>
      <c r="C130" s="4"/>
      <c r="D130" s="4"/>
      <c r="E130" s="4"/>
      <c r="F130" s="4"/>
    </row>
    <row r="131" spans="1:6">
      <c r="A131" s="4"/>
      <c r="B131" s="4"/>
      <c r="C131" s="4"/>
      <c r="D131" s="4"/>
      <c r="E131" s="4"/>
      <c r="F131" s="4"/>
    </row>
    <row r="132" spans="1:6">
      <c r="A132" s="5" t="s">
        <v>610</v>
      </c>
      <c r="B132" s="4"/>
      <c r="C132" s="4"/>
      <c r="D132" s="4"/>
      <c r="E132" s="4"/>
      <c r="F132" s="4"/>
    </row>
    <row r="133" spans="1:6">
      <c r="A133" s="9" t="s">
        <v>593</v>
      </c>
      <c r="B133" s="9" t="s">
        <v>73</v>
      </c>
      <c r="C133" s="9" t="s">
        <v>71</v>
      </c>
      <c r="D133" s="9" t="s">
        <v>70</v>
      </c>
      <c r="E133" s="9" t="s">
        <v>72</v>
      </c>
      <c r="F133" s="9" t="s">
        <v>594</v>
      </c>
    </row>
    <row r="134" spans="1:6">
      <c r="A134" s="5" t="s">
        <v>73</v>
      </c>
      <c r="B134" s="4">
        <f>INDEX('Transition Stepwise'!$F$2:$F$1137,MATCH(17&amp;"|"&amp;$A134&amp;"|"&amp;B$133,'Transition Stepwise'!$E$2:$E$1137,0))</f>
        <v>1</v>
      </c>
      <c r="C134" s="4">
        <f>INDEX('Transition Stepwise'!$F$2:$F$1137,MATCH(17&amp;"|"&amp;$A134&amp;"|"&amp;C$133,'Transition Stepwise'!$E$2:$E$1137,0))</f>
        <v>0</v>
      </c>
      <c r="D134" s="4">
        <f>INDEX('Transition Stepwise'!$F$2:$F$1137,MATCH(17&amp;"|"&amp;$A134&amp;"|"&amp;D$133,'Transition Stepwise'!$E$2:$E$1137,0))</f>
        <v>11</v>
      </c>
      <c r="E134" s="4">
        <f>INDEX('Transition Stepwise'!$F$2:$F$1137,MATCH(17&amp;"|"&amp;$A134&amp;"|"&amp;E$133,'Transition Stepwise'!$E$2:$E$1137,0))</f>
        <v>0</v>
      </c>
      <c r="F134" s="4">
        <f>ROUND(SUM(B134:E134),9)</f>
        <v>12</v>
      </c>
    </row>
    <row r="135" spans="1:6">
      <c r="A135" s="5" t="s">
        <v>71</v>
      </c>
      <c r="B135" s="4">
        <f>INDEX('Transition Stepwise'!$F$2:$F$1137,MATCH(17&amp;"|"&amp;$A135&amp;"|"&amp;B$133,'Transition Stepwise'!$E$2:$E$1137,0))</f>
        <v>0</v>
      </c>
      <c r="C135" s="4">
        <f>INDEX('Transition Stepwise'!$F$2:$F$1137,MATCH(17&amp;"|"&amp;$A135&amp;"|"&amp;C$133,'Transition Stepwise'!$E$2:$E$1137,0))</f>
        <v>0</v>
      </c>
      <c r="D135" s="4">
        <f>INDEX('Transition Stepwise'!$F$2:$F$1137,MATCH(17&amp;"|"&amp;$A135&amp;"|"&amp;D$133,'Transition Stepwise'!$E$2:$E$1137,0))</f>
        <v>63</v>
      </c>
      <c r="E135" s="4">
        <f>INDEX('Transition Stepwise'!$F$2:$F$1137,MATCH(17&amp;"|"&amp;$A135&amp;"|"&amp;E$133,'Transition Stepwise'!$E$2:$E$1137,0))</f>
        <v>0</v>
      </c>
      <c r="F135" s="4">
        <f>ROUND(SUM(B135:E135),9)</f>
        <v>63</v>
      </c>
    </row>
    <row r="136" spans="1:6">
      <c r="A136" s="5" t="s">
        <v>70</v>
      </c>
      <c r="B136" s="4">
        <f>INDEX('Transition Stepwise'!$F$2:$F$1137,MATCH(17&amp;"|"&amp;$A136&amp;"|"&amp;B$133,'Transition Stepwise'!$E$2:$E$1137,0))</f>
        <v>0</v>
      </c>
      <c r="C136" s="4">
        <f>INDEX('Transition Stepwise'!$F$2:$F$1137,MATCH(17&amp;"|"&amp;$A136&amp;"|"&amp;C$133,'Transition Stepwise'!$E$2:$E$1137,0))</f>
        <v>0</v>
      </c>
      <c r="D136" s="4">
        <f>INDEX('Transition Stepwise'!$F$2:$F$1137,MATCH(17&amp;"|"&amp;$A136&amp;"|"&amp;D$133,'Transition Stepwise'!$E$2:$E$1137,0))</f>
        <v>8</v>
      </c>
      <c r="E136" s="4">
        <f>INDEX('Transition Stepwise'!$F$2:$F$1137,MATCH(17&amp;"|"&amp;$A136&amp;"|"&amp;E$133,'Transition Stepwise'!$E$2:$E$1137,0))</f>
        <v>0</v>
      </c>
      <c r="F136" s="4">
        <f>ROUND(SUM(B136:E136),9)</f>
        <v>8</v>
      </c>
    </row>
    <row r="137" spans="1:6">
      <c r="A137" s="5" t="s">
        <v>72</v>
      </c>
      <c r="B137" s="4">
        <f>INDEX('Transition Stepwise'!$F$2:$F$1137,MATCH(17&amp;"|"&amp;$A137&amp;"|"&amp;B$133,'Transition Stepwise'!$E$2:$E$1137,0))</f>
        <v>0</v>
      </c>
      <c r="C137" s="4">
        <f>INDEX('Transition Stepwise'!$F$2:$F$1137,MATCH(17&amp;"|"&amp;$A137&amp;"|"&amp;C$133,'Transition Stepwise'!$E$2:$E$1137,0))</f>
        <v>0</v>
      </c>
      <c r="D137" s="4">
        <f>INDEX('Transition Stepwise'!$F$2:$F$1137,MATCH(17&amp;"|"&amp;$A137&amp;"|"&amp;D$133,'Transition Stepwise'!$E$2:$E$1137,0))</f>
        <v>114</v>
      </c>
      <c r="E137" s="4">
        <f>INDEX('Transition Stepwise'!$F$2:$F$1137,MATCH(17&amp;"|"&amp;$A137&amp;"|"&amp;E$133,'Transition Stepwise'!$E$2:$E$1137,0))</f>
        <v>0</v>
      </c>
      <c r="F137" s="4">
        <f>ROUND(SUM(B137:E137),9)</f>
        <v>114</v>
      </c>
    </row>
    <row r="138" spans="1:6">
      <c r="A138" s="4"/>
      <c r="B138" s="4"/>
      <c r="C138" s="4"/>
      <c r="D138" s="4"/>
      <c r="E138" s="4"/>
      <c r="F138" s="4"/>
    </row>
    <row r="139" spans="1:6">
      <c r="A139" s="4"/>
      <c r="B139" s="4"/>
      <c r="C139" s="4"/>
      <c r="D139" s="4"/>
      <c r="E139" s="4"/>
      <c r="F139" s="4"/>
    </row>
    <row r="140" spans="1:6">
      <c r="A140" s="5" t="s">
        <v>611</v>
      </c>
      <c r="B140" s="4"/>
      <c r="C140" s="4"/>
      <c r="D140" s="4"/>
      <c r="E140" s="4"/>
      <c r="F140" s="4"/>
    </row>
    <row r="141" spans="1:6">
      <c r="A141" s="9" t="s">
        <v>593</v>
      </c>
      <c r="B141" s="9" t="s">
        <v>73</v>
      </c>
      <c r="C141" s="9" t="s">
        <v>71</v>
      </c>
      <c r="D141" s="9" t="s">
        <v>70</v>
      </c>
      <c r="E141" s="9" t="s">
        <v>72</v>
      </c>
      <c r="F141" s="9" t="s">
        <v>594</v>
      </c>
    </row>
    <row r="142" spans="1:6">
      <c r="A142" s="5" t="s">
        <v>73</v>
      </c>
      <c r="B142" s="4">
        <f>INDEX('Transition Stepwise'!$F$2:$F$1137,MATCH(18&amp;"|"&amp;$A142&amp;"|"&amp;B$141,'Transition Stepwise'!$E$2:$E$1137,0))</f>
        <v>1</v>
      </c>
      <c r="C142" s="4">
        <f>INDEX('Transition Stepwise'!$F$2:$F$1137,MATCH(18&amp;"|"&amp;$A142&amp;"|"&amp;C$141,'Transition Stepwise'!$E$2:$E$1137,0))</f>
        <v>0</v>
      </c>
      <c r="D142" s="4">
        <f>INDEX('Transition Stepwise'!$F$2:$F$1137,MATCH(18&amp;"|"&amp;$A142&amp;"|"&amp;D$141,'Transition Stepwise'!$E$2:$E$1137,0))</f>
        <v>0</v>
      </c>
      <c r="E142" s="4">
        <f>INDEX('Transition Stepwise'!$F$2:$F$1137,MATCH(18&amp;"|"&amp;$A142&amp;"|"&amp;E$141,'Transition Stepwise'!$E$2:$E$1137,0))</f>
        <v>0</v>
      </c>
      <c r="F142" s="4">
        <f>ROUND(SUM(B142:E142),9)</f>
        <v>1</v>
      </c>
    </row>
    <row r="143" spans="1:6">
      <c r="A143" s="5" t="s">
        <v>71</v>
      </c>
      <c r="B143" s="4">
        <f>INDEX('Transition Stepwise'!$F$2:$F$1137,MATCH(18&amp;"|"&amp;$A143&amp;"|"&amp;B$141,'Transition Stepwise'!$E$2:$E$1137,0))</f>
        <v>0</v>
      </c>
      <c r="C143" s="4">
        <f>INDEX('Transition Stepwise'!$F$2:$F$1137,MATCH(18&amp;"|"&amp;$A143&amp;"|"&amp;C$141,'Transition Stepwise'!$E$2:$E$1137,0))</f>
        <v>0</v>
      </c>
      <c r="D143" s="4">
        <f>INDEX('Transition Stepwise'!$F$2:$F$1137,MATCH(18&amp;"|"&amp;$A143&amp;"|"&amp;D$141,'Transition Stepwise'!$E$2:$E$1137,0))</f>
        <v>0</v>
      </c>
      <c r="E143" s="4">
        <f>INDEX('Transition Stepwise'!$F$2:$F$1137,MATCH(18&amp;"|"&amp;$A143&amp;"|"&amp;E$141,'Transition Stepwise'!$E$2:$E$1137,0))</f>
        <v>0</v>
      </c>
      <c r="F143" s="4">
        <f>ROUND(SUM(B143:E143),9)</f>
        <v>0</v>
      </c>
    </row>
    <row r="144" spans="1:6">
      <c r="A144" s="5" t="s">
        <v>70</v>
      </c>
      <c r="B144" s="4">
        <f>INDEX('Transition Stepwise'!$F$2:$F$1137,MATCH(18&amp;"|"&amp;$A144&amp;"|"&amp;B$141,'Transition Stepwise'!$E$2:$E$1137,0))</f>
        <v>0</v>
      </c>
      <c r="C144" s="4">
        <f>INDEX('Transition Stepwise'!$F$2:$F$1137,MATCH(18&amp;"|"&amp;$A144&amp;"|"&amp;C$141,'Transition Stepwise'!$E$2:$E$1137,0))</f>
        <v>0</v>
      </c>
      <c r="D144" s="4">
        <f>INDEX('Transition Stepwise'!$F$2:$F$1137,MATCH(18&amp;"|"&amp;$A144&amp;"|"&amp;D$141,'Transition Stepwise'!$E$2:$E$1137,0))</f>
        <v>197</v>
      </c>
      <c r="E144" s="4">
        <f>INDEX('Transition Stepwise'!$F$2:$F$1137,MATCH(18&amp;"|"&amp;$A144&amp;"|"&amp;E$141,'Transition Stepwise'!$E$2:$E$1137,0))</f>
        <v>2</v>
      </c>
      <c r="F144" s="4">
        <f>ROUND(SUM(B144:E144),9)</f>
        <v>199</v>
      </c>
    </row>
    <row r="145" spans="1:6">
      <c r="A145" s="5" t="s">
        <v>72</v>
      </c>
      <c r="B145" s="4">
        <f>INDEX('Transition Stepwise'!$F$2:$F$1137,MATCH(18&amp;"|"&amp;$A145&amp;"|"&amp;B$141,'Transition Stepwise'!$E$2:$E$1137,0))</f>
        <v>0</v>
      </c>
      <c r="C145" s="4">
        <f>INDEX('Transition Stepwise'!$F$2:$F$1137,MATCH(18&amp;"|"&amp;$A145&amp;"|"&amp;C$141,'Transition Stepwise'!$E$2:$E$1137,0))</f>
        <v>0</v>
      </c>
      <c r="D145" s="4">
        <f>INDEX('Transition Stepwise'!$F$2:$F$1137,MATCH(18&amp;"|"&amp;$A145&amp;"|"&amp;D$141,'Transition Stepwise'!$E$2:$E$1137,0))</f>
        <v>0</v>
      </c>
      <c r="E145" s="4">
        <f>INDEX('Transition Stepwise'!$F$2:$F$1137,MATCH(18&amp;"|"&amp;$A145&amp;"|"&amp;E$141,'Transition Stepwise'!$E$2:$E$1137,0))</f>
        <v>0</v>
      </c>
      <c r="F145" s="4">
        <f>ROUND(SUM(B145:E145),9)</f>
        <v>0</v>
      </c>
    </row>
    <row r="146" spans="1:6">
      <c r="A146" s="4"/>
      <c r="B146" s="4"/>
      <c r="C146" s="4"/>
      <c r="D146" s="4"/>
      <c r="E146" s="4"/>
      <c r="F146" s="4"/>
    </row>
    <row r="147" spans="1:6">
      <c r="A147" s="4"/>
      <c r="B147" s="4"/>
      <c r="C147" s="4"/>
      <c r="D147" s="4"/>
      <c r="E147" s="4"/>
      <c r="F147" s="4"/>
    </row>
    <row r="148" spans="1:6">
      <c r="A148" s="5" t="s">
        <v>612</v>
      </c>
      <c r="B148" s="4"/>
      <c r="C148" s="4"/>
      <c r="D148" s="4"/>
      <c r="E148" s="4"/>
      <c r="F148" s="4"/>
    </row>
    <row r="149" spans="1:6">
      <c r="A149" s="9" t="s">
        <v>593</v>
      </c>
      <c r="B149" s="9" t="s">
        <v>73</v>
      </c>
      <c r="C149" s="9" t="s">
        <v>71</v>
      </c>
      <c r="D149" s="9" t="s">
        <v>70</v>
      </c>
      <c r="E149" s="9" t="s">
        <v>72</v>
      </c>
      <c r="F149" s="9" t="s">
        <v>594</v>
      </c>
    </row>
    <row r="150" spans="1:6">
      <c r="A150" s="5" t="s">
        <v>73</v>
      </c>
      <c r="B150" s="4">
        <f>INDEX('Transition Stepwise'!$F$2:$F$1137,MATCH(19&amp;"|"&amp;$A150&amp;"|"&amp;B$149,'Transition Stepwise'!$E$2:$E$1137,0))</f>
        <v>0</v>
      </c>
      <c r="C150" s="4">
        <f>INDEX('Transition Stepwise'!$F$2:$F$1137,MATCH(19&amp;"|"&amp;$A150&amp;"|"&amp;C$149,'Transition Stepwise'!$E$2:$E$1137,0))</f>
        <v>0</v>
      </c>
      <c r="D150" s="4">
        <f>INDEX('Transition Stepwise'!$F$2:$F$1137,MATCH(19&amp;"|"&amp;$A150&amp;"|"&amp;D$149,'Transition Stepwise'!$E$2:$E$1137,0))</f>
        <v>0</v>
      </c>
      <c r="E150" s="4">
        <f>INDEX('Transition Stepwise'!$F$2:$F$1137,MATCH(19&amp;"|"&amp;$A150&amp;"|"&amp;E$149,'Transition Stepwise'!$E$2:$E$1137,0))</f>
        <v>1</v>
      </c>
      <c r="F150" s="4">
        <f>ROUND(SUM(B150:E150),9)</f>
        <v>1</v>
      </c>
    </row>
    <row r="151" spans="1:6">
      <c r="A151" s="5" t="s">
        <v>71</v>
      </c>
      <c r="B151" s="4">
        <f>INDEX('Transition Stepwise'!$F$2:$F$1137,MATCH(19&amp;"|"&amp;$A151&amp;"|"&amp;B$149,'Transition Stepwise'!$E$2:$E$1137,0))</f>
        <v>0</v>
      </c>
      <c r="C151" s="4">
        <f>INDEX('Transition Stepwise'!$F$2:$F$1137,MATCH(19&amp;"|"&amp;$A151&amp;"|"&amp;C$149,'Transition Stepwise'!$E$2:$E$1137,0))</f>
        <v>0</v>
      </c>
      <c r="D151" s="4">
        <f>INDEX('Transition Stepwise'!$F$2:$F$1137,MATCH(19&amp;"|"&amp;$A151&amp;"|"&amp;D$149,'Transition Stepwise'!$E$2:$E$1137,0))</f>
        <v>0</v>
      </c>
      <c r="E151" s="4">
        <f>INDEX('Transition Stepwise'!$F$2:$F$1137,MATCH(19&amp;"|"&amp;$A151&amp;"|"&amp;E$149,'Transition Stepwise'!$E$2:$E$1137,0))</f>
        <v>0</v>
      </c>
      <c r="F151" s="4">
        <f>ROUND(SUM(B151:E151),9)</f>
        <v>0</v>
      </c>
    </row>
    <row r="152" spans="1:6">
      <c r="A152" s="5" t="s">
        <v>70</v>
      </c>
      <c r="B152" s="4">
        <f>INDEX('Transition Stepwise'!$F$2:$F$1137,MATCH(19&amp;"|"&amp;$A152&amp;"|"&amp;B$149,'Transition Stepwise'!$E$2:$E$1137,0))</f>
        <v>17</v>
      </c>
      <c r="C152" s="4">
        <f>INDEX('Transition Stepwise'!$F$2:$F$1137,MATCH(19&amp;"|"&amp;$A152&amp;"|"&amp;C$149,'Transition Stepwise'!$E$2:$E$1137,0))</f>
        <v>45</v>
      </c>
      <c r="D152" s="4">
        <f>INDEX('Transition Stepwise'!$F$2:$F$1137,MATCH(19&amp;"|"&amp;$A152&amp;"|"&amp;D$149,'Transition Stepwise'!$E$2:$E$1137,0))</f>
        <v>18</v>
      </c>
      <c r="E152" s="4">
        <f>INDEX('Transition Stepwise'!$F$2:$F$1137,MATCH(19&amp;"|"&amp;$A152&amp;"|"&amp;E$149,'Transition Stepwise'!$E$2:$E$1137,0))</f>
        <v>117</v>
      </c>
      <c r="F152" s="4">
        <f>ROUND(SUM(B152:E152),9)</f>
        <v>197</v>
      </c>
    </row>
    <row r="153" spans="1:6">
      <c r="A153" s="5" t="s">
        <v>72</v>
      </c>
      <c r="B153" s="4">
        <f>INDEX('Transition Stepwise'!$F$2:$F$1137,MATCH(19&amp;"|"&amp;$A153&amp;"|"&amp;B$149,'Transition Stepwise'!$E$2:$E$1137,0))</f>
        <v>0</v>
      </c>
      <c r="C153" s="4">
        <f>INDEX('Transition Stepwise'!$F$2:$F$1137,MATCH(19&amp;"|"&amp;$A153&amp;"|"&amp;C$149,'Transition Stepwise'!$E$2:$E$1137,0))</f>
        <v>0</v>
      </c>
      <c r="D153" s="4">
        <f>INDEX('Transition Stepwise'!$F$2:$F$1137,MATCH(19&amp;"|"&amp;$A153&amp;"|"&amp;D$149,'Transition Stepwise'!$E$2:$E$1137,0))</f>
        <v>0</v>
      </c>
      <c r="E153" s="4">
        <f>INDEX('Transition Stepwise'!$F$2:$F$1137,MATCH(19&amp;"|"&amp;$A153&amp;"|"&amp;E$149,'Transition Stepwise'!$E$2:$E$1137,0))</f>
        <v>1</v>
      </c>
      <c r="F153" s="4">
        <f>ROUND(SUM(B153:E153),9)</f>
        <v>1</v>
      </c>
    </row>
    <row r="154" spans="1:6">
      <c r="A154" s="4"/>
      <c r="B154" s="4"/>
      <c r="C154" s="4"/>
      <c r="D154" s="4"/>
      <c r="E154" s="4"/>
      <c r="F154" s="4"/>
    </row>
    <row r="155" spans="1:6">
      <c r="A155" s="4"/>
      <c r="B155" s="4"/>
      <c r="C155" s="4"/>
      <c r="D155" s="4"/>
      <c r="E155" s="4"/>
      <c r="F155" s="4"/>
    </row>
    <row r="156" spans="1:6">
      <c r="A156" s="5" t="s">
        <v>613</v>
      </c>
      <c r="B156" s="4"/>
      <c r="C156" s="4"/>
      <c r="D156" s="4"/>
      <c r="E156" s="4"/>
      <c r="F156" s="4"/>
    </row>
    <row r="157" spans="1:6">
      <c r="A157" s="9" t="s">
        <v>593</v>
      </c>
      <c r="B157" s="9" t="s">
        <v>73</v>
      </c>
      <c r="C157" s="9" t="s">
        <v>71</v>
      </c>
      <c r="D157" s="9" t="s">
        <v>70</v>
      </c>
      <c r="E157" s="9" t="s">
        <v>72</v>
      </c>
      <c r="F157" s="9" t="s">
        <v>594</v>
      </c>
    </row>
    <row r="158" spans="1:6">
      <c r="A158" s="5" t="s">
        <v>73</v>
      </c>
      <c r="B158" s="4">
        <f>INDEX('Transition Stepwise'!$F$2:$F$1137,MATCH(20&amp;"|"&amp;$A158&amp;"|"&amp;B$157,'Transition Stepwise'!$E$2:$E$1137,0))</f>
        <v>16</v>
      </c>
      <c r="C158" s="4">
        <f>INDEX('Transition Stepwise'!$F$2:$F$1137,MATCH(20&amp;"|"&amp;$A158&amp;"|"&amp;C$157,'Transition Stepwise'!$E$2:$E$1137,0))</f>
        <v>0</v>
      </c>
      <c r="D158" s="4">
        <f>INDEX('Transition Stepwise'!$F$2:$F$1137,MATCH(20&amp;"|"&amp;$A158&amp;"|"&amp;D$157,'Transition Stepwise'!$E$2:$E$1137,0))</f>
        <v>0</v>
      </c>
      <c r="E158" s="4">
        <f>INDEX('Transition Stepwise'!$F$2:$F$1137,MATCH(20&amp;"|"&amp;$A158&amp;"|"&amp;E$157,'Transition Stepwise'!$E$2:$E$1137,0))</f>
        <v>1</v>
      </c>
      <c r="F158" s="4">
        <f>ROUND(SUM(B158:E158),9)</f>
        <v>17</v>
      </c>
    </row>
    <row r="159" spans="1:6">
      <c r="A159" s="5" t="s">
        <v>71</v>
      </c>
      <c r="B159" s="4">
        <f>INDEX('Transition Stepwise'!$F$2:$F$1137,MATCH(20&amp;"|"&amp;$A159&amp;"|"&amp;B$157,'Transition Stepwise'!$E$2:$E$1137,0))</f>
        <v>34</v>
      </c>
      <c r="C159" s="4">
        <f>INDEX('Transition Stepwise'!$F$2:$F$1137,MATCH(20&amp;"|"&amp;$A159&amp;"|"&amp;C$157,'Transition Stepwise'!$E$2:$E$1137,0))</f>
        <v>3</v>
      </c>
      <c r="D159" s="4">
        <f>INDEX('Transition Stepwise'!$F$2:$F$1137,MATCH(20&amp;"|"&amp;$A159&amp;"|"&amp;D$157,'Transition Stepwise'!$E$2:$E$1137,0))</f>
        <v>4</v>
      </c>
      <c r="E159" s="4">
        <f>INDEX('Transition Stepwise'!$F$2:$F$1137,MATCH(20&amp;"|"&amp;$A159&amp;"|"&amp;E$157,'Transition Stepwise'!$E$2:$E$1137,0))</f>
        <v>4</v>
      </c>
      <c r="F159" s="4">
        <f>ROUND(SUM(B159:E159),9)</f>
        <v>45</v>
      </c>
    </row>
    <row r="160" spans="1:6">
      <c r="A160" s="5" t="s">
        <v>70</v>
      </c>
      <c r="B160" s="4">
        <f>INDEX('Transition Stepwise'!$F$2:$F$1137,MATCH(20&amp;"|"&amp;$A160&amp;"|"&amp;B$157,'Transition Stepwise'!$E$2:$E$1137,0))</f>
        <v>18</v>
      </c>
      <c r="C160" s="4">
        <f>INDEX('Transition Stepwise'!$F$2:$F$1137,MATCH(20&amp;"|"&amp;$A160&amp;"|"&amp;C$157,'Transition Stepwise'!$E$2:$E$1137,0))</f>
        <v>0</v>
      </c>
      <c r="D160" s="4">
        <f>INDEX('Transition Stepwise'!$F$2:$F$1137,MATCH(20&amp;"|"&amp;$A160&amp;"|"&amp;D$157,'Transition Stepwise'!$E$2:$E$1137,0))</f>
        <v>0</v>
      </c>
      <c r="E160" s="4">
        <f>INDEX('Transition Stepwise'!$F$2:$F$1137,MATCH(20&amp;"|"&amp;$A160&amp;"|"&amp;E$157,'Transition Stepwise'!$E$2:$E$1137,0))</f>
        <v>0</v>
      </c>
      <c r="F160" s="4">
        <f>ROUND(SUM(B160:E160),9)</f>
        <v>18</v>
      </c>
    </row>
    <row r="161" spans="1:6">
      <c r="A161" s="5" t="s">
        <v>72</v>
      </c>
      <c r="B161" s="4">
        <f>INDEX('Transition Stepwise'!$F$2:$F$1137,MATCH(20&amp;"|"&amp;$A161&amp;"|"&amp;B$157,'Transition Stepwise'!$E$2:$E$1137,0))</f>
        <v>110</v>
      </c>
      <c r="C161" s="4">
        <f>INDEX('Transition Stepwise'!$F$2:$F$1137,MATCH(20&amp;"|"&amp;$A161&amp;"|"&amp;C$157,'Transition Stepwise'!$E$2:$E$1137,0))</f>
        <v>1</v>
      </c>
      <c r="D161" s="4">
        <f>INDEX('Transition Stepwise'!$F$2:$F$1137,MATCH(20&amp;"|"&amp;$A161&amp;"|"&amp;D$157,'Transition Stepwise'!$E$2:$E$1137,0))</f>
        <v>3</v>
      </c>
      <c r="E161" s="4">
        <f>INDEX('Transition Stepwise'!$F$2:$F$1137,MATCH(20&amp;"|"&amp;$A161&amp;"|"&amp;E$157,'Transition Stepwise'!$E$2:$E$1137,0))</f>
        <v>5</v>
      </c>
      <c r="F161" s="4">
        <f>ROUND(SUM(B161:E161),9)</f>
        <v>119</v>
      </c>
    </row>
    <row r="162" spans="1:6">
      <c r="A162" s="4"/>
      <c r="B162" s="4"/>
      <c r="C162" s="4"/>
      <c r="D162" s="4"/>
      <c r="E162" s="4"/>
      <c r="F162" s="4"/>
    </row>
    <row r="163" spans="1:6">
      <c r="A163" s="4"/>
      <c r="B163" s="4"/>
      <c r="C163" s="4"/>
      <c r="D163" s="4"/>
      <c r="E163" s="4"/>
      <c r="F163" s="4"/>
    </row>
    <row r="164" spans="1:6">
      <c r="A164" s="5" t="s">
        <v>614</v>
      </c>
      <c r="B164" s="4"/>
      <c r="C164" s="4"/>
      <c r="D164" s="4"/>
      <c r="E164" s="4"/>
      <c r="F164" s="4"/>
    </row>
    <row r="165" spans="1:6">
      <c r="A165" s="9" t="s">
        <v>593</v>
      </c>
      <c r="B165" s="9" t="s">
        <v>73</v>
      </c>
      <c r="C165" s="9" t="s">
        <v>71</v>
      </c>
      <c r="D165" s="9" t="s">
        <v>70</v>
      </c>
      <c r="E165" s="9" t="s">
        <v>72</v>
      </c>
      <c r="F165" s="9" t="s">
        <v>594</v>
      </c>
    </row>
    <row r="166" spans="1:6">
      <c r="A166" s="5" t="s">
        <v>73</v>
      </c>
      <c r="B166" s="4">
        <f>INDEX('Transition Stepwise'!$F$2:$F$1137,MATCH(21&amp;"|"&amp;$A166&amp;"|"&amp;B$165,'Transition Stepwise'!$E$2:$E$1137,0))</f>
        <v>28</v>
      </c>
      <c r="C166" s="4">
        <f>INDEX('Transition Stepwise'!$F$2:$F$1137,MATCH(21&amp;"|"&amp;$A166&amp;"|"&amp;C$165,'Transition Stepwise'!$E$2:$E$1137,0))</f>
        <v>0</v>
      </c>
      <c r="D166" s="4">
        <f>INDEX('Transition Stepwise'!$F$2:$F$1137,MATCH(21&amp;"|"&amp;$A166&amp;"|"&amp;D$165,'Transition Stepwise'!$E$2:$E$1137,0))</f>
        <v>140</v>
      </c>
      <c r="E166" s="4">
        <f>INDEX('Transition Stepwise'!$F$2:$F$1137,MATCH(21&amp;"|"&amp;$A166&amp;"|"&amp;E$165,'Transition Stepwise'!$E$2:$E$1137,0))</f>
        <v>11</v>
      </c>
      <c r="F166" s="4">
        <f>ROUND(SUM(B166:E166),9)</f>
        <v>179</v>
      </c>
    </row>
    <row r="167" spans="1:6">
      <c r="A167" s="5" t="s">
        <v>71</v>
      </c>
      <c r="B167" s="4">
        <f>INDEX('Transition Stepwise'!$F$2:$F$1137,MATCH(21&amp;"|"&amp;$A167&amp;"|"&amp;B$165,'Transition Stepwise'!$E$2:$E$1137,0))</f>
        <v>3</v>
      </c>
      <c r="C167" s="4">
        <f>INDEX('Transition Stepwise'!$F$2:$F$1137,MATCH(21&amp;"|"&amp;$A167&amp;"|"&amp;C$165,'Transition Stepwise'!$E$2:$E$1137,0))</f>
        <v>0</v>
      </c>
      <c r="D167" s="4">
        <f>INDEX('Transition Stepwise'!$F$2:$F$1137,MATCH(21&amp;"|"&amp;$A167&amp;"|"&amp;D$165,'Transition Stepwise'!$E$2:$E$1137,0))</f>
        <v>1</v>
      </c>
      <c r="E167" s="4">
        <f>INDEX('Transition Stepwise'!$F$2:$F$1137,MATCH(21&amp;"|"&amp;$A167&amp;"|"&amp;E$165,'Transition Stepwise'!$E$2:$E$1137,0))</f>
        <v>0</v>
      </c>
      <c r="F167" s="4">
        <f>ROUND(SUM(B167:E167),9)</f>
        <v>4</v>
      </c>
    </row>
    <row r="168" spans="1:6">
      <c r="A168" s="5" t="s">
        <v>70</v>
      </c>
      <c r="B168" s="4">
        <f>INDEX('Transition Stepwise'!$F$2:$F$1137,MATCH(21&amp;"|"&amp;$A168&amp;"|"&amp;B$165,'Transition Stepwise'!$E$2:$E$1137,0))</f>
        <v>7</v>
      </c>
      <c r="C168" s="4">
        <f>INDEX('Transition Stepwise'!$F$2:$F$1137,MATCH(21&amp;"|"&amp;$A168&amp;"|"&amp;C$165,'Transition Stepwise'!$E$2:$E$1137,0))</f>
        <v>0</v>
      </c>
      <c r="D168" s="4">
        <f>INDEX('Transition Stepwise'!$F$2:$F$1137,MATCH(21&amp;"|"&amp;$A168&amp;"|"&amp;D$165,'Transition Stepwise'!$E$2:$E$1137,0))</f>
        <v>0</v>
      </c>
      <c r="E168" s="4">
        <f>INDEX('Transition Stepwise'!$F$2:$F$1137,MATCH(21&amp;"|"&amp;$A168&amp;"|"&amp;E$165,'Transition Stepwise'!$E$2:$E$1137,0))</f>
        <v>0</v>
      </c>
      <c r="F168" s="4">
        <f>ROUND(SUM(B168:E168),9)</f>
        <v>7</v>
      </c>
    </row>
    <row r="169" spans="1:6">
      <c r="A169" s="5" t="s">
        <v>72</v>
      </c>
      <c r="B169" s="4">
        <f>INDEX('Transition Stepwise'!$F$2:$F$1137,MATCH(21&amp;"|"&amp;$A169&amp;"|"&amp;B$165,'Transition Stepwise'!$E$2:$E$1137,0))</f>
        <v>3</v>
      </c>
      <c r="C169" s="4">
        <f>INDEX('Transition Stepwise'!$F$2:$F$1137,MATCH(21&amp;"|"&amp;$A169&amp;"|"&amp;C$165,'Transition Stepwise'!$E$2:$E$1137,0))</f>
        <v>0</v>
      </c>
      <c r="D169" s="4">
        <f>INDEX('Transition Stepwise'!$F$2:$F$1137,MATCH(21&amp;"|"&amp;$A169&amp;"|"&amp;D$165,'Transition Stepwise'!$E$2:$E$1137,0))</f>
        <v>4</v>
      </c>
      <c r="E169" s="4">
        <f>INDEX('Transition Stepwise'!$F$2:$F$1137,MATCH(21&amp;"|"&amp;$A169&amp;"|"&amp;E$165,'Transition Stepwise'!$E$2:$E$1137,0))</f>
        <v>3</v>
      </c>
      <c r="F169" s="4">
        <f>ROUND(SUM(B169:E169),9)</f>
        <v>10</v>
      </c>
    </row>
    <row r="170" spans="1:6">
      <c r="A170" s="4"/>
      <c r="B170" s="4"/>
      <c r="C170" s="4"/>
      <c r="D170" s="4"/>
      <c r="E170" s="4"/>
      <c r="F170" s="4"/>
    </row>
    <row r="171" spans="1:6">
      <c r="A171" s="4"/>
      <c r="B171" s="4"/>
      <c r="C171" s="4"/>
      <c r="D171" s="4"/>
      <c r="E171" s="4"/>
      <c r="F171" s="4"/>
    </row>
    <row r="172" spans="1:6">
      <c r="A172" s="5" t="s">
        <v>615</v>
      </c>
      <c r="B172" s="4"/>
      <c r="C172" s="4"/>
      <c r="D172" s="4"/>
      <c r="E172" s="4"/>
      <c r="F172" s="4"/>
    </row>
    <row r="173" spans="1:6">
      <c r="A173" s="9" t="s">
        <v>593</v>
      </c>
      <c r="B173" s="9" t="s">
        <v>73</v>
      </c>
      <c r="C173" s="9" t="s">
        <v>71</v>
      </c>
      <c r="D173" s="9" t="s">
        <v>70</v>
      </c>
      <c r="E173" s="9" t="s">
        <v>72</v>
      </c>
      <c r="F173" s="9" t="s">
        <v>594</v>
      </c>
    </row>
    <row r="174" spans="1:6">
      <c r="A174" s="5" t="s">
        <v>73</v>
      </c>
      <c r="B174" s="4">
        <f>INDEX('Transition Stepwise'!$F$2:$F$1137,MATCH(22&amp;"|"&amp;$A174&amp;"|"&amp;B$173,'Transition Stepwise'!$E$2:$E$1137,0))</f>
        <v>6</v>
      </c>
      <c r="C174" s="4">
        <f>INDEX('Transition Stepwise'!$F$2:$F$1137,MATCH(22&amp;"|"&amp;$A174&amp;"|"&amp;C$173,'Transition Stepwise'!$E$2:$E$1137,0))</f>
        <v>11</v>
      </c>
      <c r="D174" s="4">
        <f>INDEX('Transition Stepwise'!$F$2:$F$1137,MATCH(22&amp;"|"&amp;$A174&amp;"|"&amp;D$173,'Transition Stepwise'!$E$2:$E$1137,0))</f>
        <v>21</v>
      </c>
      <c r="E174" s="4">
        <f>INDEX('Transition Stepwise'!$F$2:$F$1137,MATCH(22&amp;"|"&amp;$A174&amp;"|"&amp;E$173,'Transition Stepwise'!$E$2:$E$1137,0))</f>
        <v>3</v>
      </c>
      <c r="F174" s="4">
        <f>ROUND(SUM(B174:E174),9)</f>
        <v>41</v>
      </c>
    </row>
    <row r="175" spans="1:6">
      <c r="A175" s="5" t="s">
        <v>71</v>
      </c>
      <c r="B175" s="4">
        <f>INDEX('Transition Stepwise'!$F$2:$F$1137,MATCH(22&amp;"|"&amp;$A175&amp;"|"&amp;B$173,'Transition Stepwise'!$E$2:$E$1137,0))</f>
        <v>0</v>
      </c>
      <c r="C175" s="4">
        <f>INDEX('Transition Stepwise'!$F$2:$F$1137,MATCH(22&amp;"|"&amp;$A175&amp;"|"&amp;C$173,'Transition Stepwise'!$E$2:$E$1137,0))</f>
        <v>0</v>
      </c>
      <c r="D175" s="4">
        <f>INDEX('Transition Stepwise'!$F$2:$F$1137,MATCH(22&amp;"|"&amp;$A175&amp;"|"&amp;D$173,'Transition Stepwise'!$E$2:$E$1137,0))</f>
        <v>0</v>
      </c>
      <c r="E175" s="4">
        <f>INDEX('Transition Stepwise'!$F$2:$F$1137,MATCH(22&amp;"|"&amp;$A175&amp;"|"&amp;E$173,'Transition Stepwise'!$E$2:$E$1137,0))</f>
        <v>0</v>
      </c>
      <c r="F175" s="4">
        <f>ROUND(SUM(B175:E175),9)</f>
        <v>0</v>
      </c>
    </row>
    <row r="176" spans="1:6">
      <c r="A176" s="5" t="s">
        <v>70</v>
      </c>
      <c r="B176" s="4">
        <f>INDEX('Transition Stepwise'!$F$2:$F$1137,MATCH(22&amp;"|"&amp;$A176&amp;"|"&amp;B$173,'Transition Stepwise'!$E$2:$E$1137,0))</f>
        <v>114</v>
      </c>
      <c r="C176" s="4">
        <f>INDEX('Transition Stepwise'!$F$2:$F$1137,MATCH(22&amp;"|"&amp;$A176&amp;"|"&amp;C$173,'Transition Stepwise'!$E$2:$E$1137,0))</f>
        <v>22</v>
      </c>
      <c r="D176" s="4">
        <f>INDEX('Transition Stepwise'!$F$2:$F$1137,MATCH(22&amp;"|"&amp;$A176&amp;"|"&amp;D$173,'Transition Stepwise'!$E$2:$E$1137,0))</f>
        <v>5</v>
      </c>
      <c r="E176" s="4">
        <f>INDEX('Transition Stepwise'!$F$2:$F$1137,MATCH(22&amp;"|"&amp;$A176&amp;"|"&amp;E$173,'Transition Stepwise'!$E$2:$E$1137,0))</f>
        <v>4</v>
      </c>
      <c r="F176" s="4">
        <f>ROUND(SUM(B176:E176),9)</f>
        <v>145</v>
      </c>
    </row>
    <row r="177" spans="1:6">
      <c r="A177" s="5" t="s">
        <v>72</v>
      </c>
      <c r="B177" s="4">
        <f>INDEX('Transition Stepwise'!$F$2:$F$1137,MATCH(22&amp;"|"&amp;$A177&amp;"|"&amp;B$173,'Transition Stepwise'!$E$2:$E$1137,0))</f>
        <v>1</v>
      </c>
      <c r="C177" s="4">
        <f>INDEX('Transition Stepwise'!$F$2:$F$1137,MATCH(22&amp;"|"&amp;$A177&amp;"|"&amp;C$173,'Transition Stepwise'!$E$2:$E$1137,0))</f>
        <v>5</v>
      </c>
      <c r="D177" s="4">
        <f>INDEX('Transition Stepwise'!$F$2:$F$1137,MATCH(22&amp;"|"&amp;$A177&amp;"|"&amp;D$173,'Transition Stepwise'!$E$2:$E$1137,0))</f>
        <v>3</v>
      </c>
      <c r="E177" s="4">
        <f>INDEX('Transition Stepwise'!$F$2:$F$1137,MATCH(22&amp;"|"&amp;$A177&amp;"|"&amp;E$173,'Transition Stepwise'!$E$2:$E$1137,0))</f>
        <v>5</v>
      </c>
      <c r="F177" s="4">
        <f>ROUND(SUM(B177:E177),9)</f>
        <v>14</v>
      </c>
    </row>
    <row r="178" spans="1:6">
      <c r="A178" s="4"/>
      <c r="B178" s="4"/>
      <c r="C178" s="4"/>
      <c r="D178" s="4"/>
      <c r="E178" s="4"/>
      <c r="F178" s="4"/>
    </row>
    <row r="179" spans="1:6">
      <c r="A179" s="4"/>
      <c r="B179" s="4"/>
      <c r="C179" s="4"/>
      <c r="D179" s="4"/>
      <c r="E179" s="4"/>
      <c r="F179" s="4"/>
    </row>
    <row r="180" spans="1:6">
      <c r="A180" s="5" t="s">
        <v>616</v>
      </c>
      <c r="B180" s="4"/>
      <c r="C180" s="4"/>
      <c r="D180" s="4"/>
      <c r="E180" s="4"/>
      <c r="F180" s="4"/>
    </row>
    <row r="181" spans="1:6">
      <c r="A181" s="9" t="s">
        <v>593</v>
      </c>
      <c r="B181" s="9" t="s">
        <v>73</v>
      </c>
      <c r="C181" s="9" t="s">
        <v>71</v>
      </c>
      <c r="D181" s="9" t="s">
        <v>70</v>
      </c>
      <c r="E181" s="9" t="s">
        <v>72</v>
      </c>
      <c r="F181" s="9" t="s">
        <v>594</v>
      </c>
    </row>
    <row r="182" spans="1:6">
      <c r="A182" s="5" t="s">
        <v>73</v>
      </c>
      <c r="B182" s="4">
        <f>INDEX('Transition Stepwise'!$F$2:$F$1137,MATCH(23&amp;"|"&amp;$A182&amp;"|"&amp;B$181,'Transition Stepwise'!$E$2:$E$1137,0))</f>
        <v>11</v>
      </c>
      <c r="C182" s="4">
        <f>INDEX('Transition Stepwise'!$F$2:$F$1137,MATCH(23&amp;"|"&amp;$A182&amp;"|"&amp;C$181,'Transition Stepwise'!$E$2:$E$1137,0))</f>
        <v>1</v>
      </c>
      <c r="D182" s="4">
        <f>INDEX('Transition Stepwise'!$F$2:$F$1137,MATCH(23&amp;"|"&amp;$A182&amp;"|"&amp;D$181,'Transition Stepwise'!$E$2:$E$1137,0))</f>
        <v>106</v>
      </c>
      <c r="E182" s="4">
        <f>INDEX('Transition Stepwise'!$F$2:$F$1137,MATCH(23&amp;"|"&amp;$A182&amp;"|"&amp;E$181,'Transition Stepwise'!$E$2:$E$1137,0))</f>
        <v>3</v>
      </c>
      <c r="F182" s="4">
        <f>ROUND(SUM(B182:E182),9)</f>
        <v>121</v>
      </c>
    </row>
    <row r="183" spans="1:6">
      <c r="A183" s="5" t="s">
        <v>71</v>
      </c>
      <c r="B183" s="4">
        <f>INDEX('Transition Stepwise'!$F$2:$F$1137,MATCH(23&amp;"|"&amp;$A183&amp;"|"&amp;B$181,'Transition Stepwise'!$E$2:$E$1137,0))</f>
        <v>11</v>
      </c>
      <c r="C183" s="4">
        <f>INDEX('Transition Stepwise'!$F$2:$F$1137,MATCH(23&amp;"|"&amp;$A183&amp;"|"&amp;C$181,'Transition Stepwise'!$E$2:$E$1137,0))</f>
        <v>3</v>
      </c>
      <c r="D183" s="4">
        <f>INDEX('Transition Stepwise'!$F$2:$F$1137,MATCH(23&amp;"|"&amp;$A183&amp;"|"&amp;D$181,'Transition Stepwise'!$E$2:$E$1137,0))</f>
        <v>20</v>
      </c>
      <c r="E183" s="4">
        <f>INDEX('Transition Stepwise'!$F$2:$F$1137,MATCH(23&amp;"|"&amp;$A183&amp;"|"&amp;E$181,'Transition Stepwise'!$E$2:$E$1137,0))</f>
        <v>4</v>
      </c>
      <c r="F183" s="4">
        <f>ROUND(SUM(B183:E183),9)</f>
        <v>38</v>
      </c>
    </row>
    <row r="184" spans="1:6">
      <c r="A184" s="5" t="s">
        <v>70</v>
      </c>
      <c r="B184" s="4">
        <f>INDEX('Transition Stepwise'!$F$2:$F$1137,MATCH(23&amp;"|"&amp;$A184&amp;"|"&amp;B$181,'Transition Stepwise'!$E$2:$E$1137,0))</f>
        <v>10</v>
      </c>
      <c r="C184" s="4">
        <f>INDEX('Transition Stepwise'!$F$2:$F$1137,MATCH(23&amp;"|"&amp;$A184&amp;"|"&amp;C$181,'Transition Stepwise'!$E$2:$E$1137,0))</f>
        <v>0</v>
      </c>
      <c r="D184" s="4">
        <f>INDEX('Transition Stepwise'!$F$2:$F$1137,MATCH(23&amp;"|"&amp;$A184&amp;"|"&amp;D$181,'Transition Stepwise'!$E$2:$E$1137,0))</f>
        <v>19</v>
      </c>
      <c r="E184" s="4">
        <f>INDEX('Transition Stepwise'!$F$2:$F$1137,MATCH(23&amp;"|"&amp;$A184&amp;"|"&amp;E$181,'Transition Stepwise'!$E$2:$E$1137,0))</f>
        <v>0</v>
      </c>
      <c r="F184" s="4">
        <f>ROUND(SUM(B184:E184),9)</f>
        <v>29</v>
      </c>
    </row>
    <row r="185" spans="1:6">
      <c r="A185" s="5" t="s">
        <v>72</v>
      </c>
      <c r="B185" s="4">
        <f>INDEX('Transition Stepwise'!$F$2:$F$1137,MATCH(23&amp;"|"&amp;$A185&amp;"|"&amp;B$181,'Transition Stepwise'!$E$2:$E$1137,0))</f>
        <v>5</v>
      </c>
      <c r="C185" s="4">
        <f>INDEX('Transition Stepwise'!$F$2:$F$1137,MATCH(23&amp;"|"&amp;$A185&amp;"|"&amp;C$181,'Transition Stepwise'!$E$2:$E$1137,0))</f>
        <v>2</v>
      </c>
      <c r="D185" s="4">
        <f>INDEX('Transition Stepwise'!$F$2:$F$1137,MATCH(23&amp;"|"&amp;$A185&amp;"|"&amp;D$181,'Transition Stepwise'!$E$2:$E$1137,0))</f>
        <v>5</v>
      </c>
      <c r="E185" s="4">
        <f>INDEX('Transition Stepwise'!$F$2:$F$1137,MATCH(23&amp;"|"&amp;$A185&amp;"|"&amp;E$181,'Transition Stepwise'!$E$2:$E$1137,0))</f>
        <v>0</v>
      </c>
      <c r="F185" s="4">
        <f>ROUND(SUM(B185:E185),9)</f>
        <v>12</v>
      </c>
    </row>
    <row r="186" spans="1:6">
      <c r="A186" s="4"/>
      <c r="B186" s="4"/>
      <c r="C186" s="4"/>
      <c r="D186" s="4"/>
      <c r="E186" s="4"/>
      <c r="F186" s="4"/>
    </row>
    <row r="187" spans="1:6">
      <c r="A187" s="4"/>
      <c r="B187" s="4"/>
      <c r="C187" s="4"/>
      <c r="D187" s="4"/>
      <c r="E187" s="4"/>
      <c r="F187" s="4"/>
    </row>
    <row r="188" spans="1:6">
      <c r="A188" s="5" t="s">
        <v>617</v>
      </c>
      <c r="B188" s="4"/>
      <c r="C188" s="4"/>
      <c r="D188" s="4"/>
      <c r="E188" s="4"/>
      <c r="F188" s="4"/>
    </row>
    <row r="189" spans="1:6">
      <c r="A189" s="9" t="s">
        <v>593</v>
      </c>
      <c r="B189" s="9" t="s">
        <v>73</v>
      </c>
      <c r="C189" s="9" t="s">
        <v>71</v>
      </c>
      <c r="D189" s="9" t="s">
        <v>70</v>
      </c>
      <c r="E189" s="9" t="s">
        <v>72</v>
      </c>
      <c r="F189" s="9" t="s">
        <v>594</v>
      </c>
    </row>
    <row r="190" spans="1:6">
      <c r="A190" s="5" t="s">
        <v>73</v>
      </c>
      <c r="B190" s="4">
        <f>INDEX('Transition Stepwise'!$F$2:$F$1137,MATCH(24&amp;"|"&amp;$A190&amp;"|"&amp;B$189,'Transition Stepwise'!$E$2:$E$1137,0))</f>
        <v>0</v>
      </c>
      <c r="C190" s="4">
        <f>INDEX('Transition Stepwise'!$F$2:$F$1137,MATCH(24&amp;"|"&amp;$A190&amp;"|"&amp;C$189,'Transition Stepwise'!$E$2:$E$1137,0))</f>
        <v>27</v>
      </c>
      <c r="D190" s="4">
        <f>INDEX('Transition Stepwise'!$F$2:$F$1137,MATCH(24&amp;"|"&amp;$A190&amp;"|"&amp;D$189,'Transition Stepwise'!$E$2:$E$1137,0))</f>
        <v>0</v>
      </c>
      <c r="E190" s="4">
        <f>INDEX('Transition Stepwise'!$F$2:$F$1137,MATCH(24&amp;"|"&amp;$A190&amp;"|"&amp;E$189,'Transition Stepwise'!$E$2:$E$1137,0))</f>
        <v>10</v>
      </c>
      <c r="F190" s="4">
        <f>ROUND(SUM(B190:E190),9)</f>
        <v>37</v>
      </c>
    </row>
    <row r="191" spans="1:6">
      <c r="A191" s="5" t="s">
        <v>71</v>
      </c>
      <c r="B191" s="4">
        <f>INDEX('Transition Stepwise'!$F$2:$F$1137,MATCH(24&amp;"|"&amp;$A191&amp;"|"&amp;B$189,'Transition Stepwise'!$E$2:$E$1137,0))</f>
        <v>0</v>
      </c>
      <c r="C191" s="4">
        <f>INDEX('Transition Stepwise'!$F$2:$F$1137,MATCH(24&amp;"|"&amp;$A191&amp;"|"&amp;C$189,'Transition Stepwise'!$E$2:$E$1137,0))</f>
        <v>4</v>
      </c>
      <c r="D191" s="4">
        <f>INDEX('Transition Stepwise'!$F$2:$F$1137,MATCH(24&amp;"|"&amp;$A191&amp;"|"&amp;D$189,'Transition Stepwise'!$E$2:$E$1137,0))</f>
        <v>1</v>
      </c>
      <c r="E191" s="4">
        <f>INDEX('Transition Stepwise'!$F$2:$F$1137,MATCH(24&amp;"|"&amp;$A191&amp;"|"&amp;E$189,'Transition Stepwise'!$E$2:$E$1137,0))</f>
        <v>1</v>
      </c>
      <c r="F191" s="4">
        <f>ROUND(SUM(B191:E191),9)</f>
        <v>6</v>
      </c>
    </row>
    <row r="192" spans="1:6">
      <c r="A192" s="5" t="s">
        <v>70</v>
      </c>
      <c r="B192" s="4">
        <f>INDEX('Transition Stepwise'!$F$2:$F$1137,MATCH(24&amp;"|"&amp;$A192&amp;"|"&amp;B$189,'Transition Stepwise'!$E$2:$E$1137,0))</f>
        <v>1</v>
      </c>
      <c r="C192" s="4">
        <f>INDEX('Transition Stepwise'!$F$2:$F$1137,MATCH(24&amp;"|"&amp;$A192&amp;"|"&amp;C$189,'Transition Stepwise'!$E$2:$E$1137,0))</f>
        <v>140</v>
      </c>
      <c r="D192" s="4">
        <f>INDEX('Transition Stepwise'!$F$2:$F$1137,MATCH(24&amp;"|"&amp;$A192&amp;"|"&amp;D$189,'Transition Stepwise'!$E$2:$E$1137,0))</f>
        <v>6</v>
      </c>
      <c r="E192" s="4">
        <f>INDEX('Transition Stepwise'!$F$2:$F$1137,MATCH(24&amp;"|"&amp;$A192&amp;"|"&amp;E$189,'Transition Stepwise'!$E$2:$E$1137,0))</f>
        <v>3</v>
      </c>
      <c r="F192" s="4">
        <f>ROUND(SUM(B192:E192),9)</f>
        <v>150</v>
      </c>
    </row>
    <row r="193" spans="1:6">
      <c r="A193" s="5" t="s">
        <v>72</v>
      </c>
      <c r="B193" s="4">
        <f>INDEX('Transition Stepwise'!$F$2:$F$1137,MATCH(24&amp;"|"&amp;$A193&amp;"|"&amp;B$189,'Transition Stepwise'!$E$2:$E$1137,0))</f>
        <v>0</v>
      </c>
      <c r="C193" s="4">
        <f>INDEX('Transition Stepwise'!$F$2:$F$1137,MATCH(24&amp;"|"&amp;$A193&amp;"|"&amp;C$189,'Transition Stepwise'!$E$2:$E$1137,0))</f>
        <v>7</v>
      </c>
      <c r="D193" s="4">
        <f>INDEX('Transition Stepwise'!$F$2:$F$1137,MATCH(24&amp;"|"&amp;$A193&amp;"|"&amp;D$189,'Transition Stepwise'!$E$2:$E$1137,0))</f>
        <v>0</v>
      </c>
      <c r="E193" s="4">
        <f>INDEX('Transition Stepwise'!$F$2:$F$1137,MATCH(24&amp;"|"&amp;$A193&amp;"|"&amp;E$189,'Transition Stepwise'!$E$2:$E$1137,0))</f>
        <v>0</v>
      </c>
      <c r="F193" s="4">
        <f>ROUND(SUM(B193:E193),9)</f>
        <v>7</v>
      </c>
    </row>
    <row r="194" spans="1:6">
      <c r="A194" s="4"/>
      <c r="B194" s="4"/>
      <c r="C194" s="4"/>
      <c r="D194" s="4"/>
      <c r="E194" s="4"/>
      <c r="F194" s="4"/>
    </row>
    <row r="195" spans="1:6">
      <c r="A195" s="4"/>
      <c r="B195" s="4"/>
      <c r="C195" s="4"/>
      <c r="D195" s="4"/>
      <c r="E195" s="4"/>
      <c r="F195" s="4"/>
    </row>
    <row r="196" spans="1:6">
      <c r="A196" s="5" t="s">
        <v>618</v>
      </c>
      <c r="B196" s="4"/>
      <c r="C196" s="4"/>
      <c r="D196" s="4"/>
      <c r="E196" s="4"/>
      <c r="F196" s="4"/>
    </row>
    <row r="197" spans="1:6">
      <c r="A197" s="9" t="s">
        <v>593</v>
      </c>
      <c r="B197" s="9" t="s">
        <v>73</v>
      </c>
      <c r="C197" s="9" t="s">
        <v>71</v>
      </c>
      <c r="D197" s="9" t="s">
        <v>70</v>
      </c>
      <c r="E197" s="9" t="s">
        <v>72</v>
      </c>
      <c r="F197" s="9" t="s">
        <v>594</v>
      </c>
    </row>
    <row r="198" spans="1:6">
      <c r="A198" s="5" t="s">
        <v>73</v>
      </c>
      <c r="B198" s="4">
        <f>INDEX('Transition Stepwise'!$F$2:$F$1137,MATCH(25&amp;"|"&amp;$A198&amp;"|"&amp;B$197,'Transition Stepwise'!$E$2:$E$1137,0))</f>
        <v>0</v>
      </c>
      <c r="C198" s="4">
        <f>INDEX('Transition Stepwise'!$F$2:$F$1137,MATCH(25&amp;"|"&amp;$A198&amp;"|"&amp;C$197,'Transition Stepwise'!$E$2:$E$1137,0))</f>
        <v>0</v>
      </c>
      <c r="D198" s="4">
        <f>INDEX('Transition Stepwise'!$F$2:$F$1137,MATCH(25&amp;"|"&amp;$A198&amp;"|"&amp;D$197,'Transition Stepwise'!$E$2:$E$1137,0))</f>
        <v>1</v>
      </c>
      <c r="E198" s="4">
        <f>INDEX('Transition Stepwise'!$F$2:$F$1137,MATCH(25&amp;"|"&amp;$A198&amp;"|"&amp;E$197,'Transition Stepwise'!$E$2:$E$1137,0))</f>
        <v>0</v>
      </c>
      <c r="F198" s="4">
        <f>ROUND(SUM(B198:E198),9)</f>
        <v>1</v>
      </c>
    </row>
    <row r="199" spans="1:6">
      <c r="A199" s="5" t="s">
        <v>71</v>
      </c>
      <c r="B199" s="4">
        <f>INDEX('Transition Stepwise'!$F$2:$F$1137,MATCH(25&amp;"|"&amp;$A199&amp;"|"&amp;B$197,'Transition Stepwise'!$E$2:$E$1137,0))</f>
        <v>77</v>
      </c>
      <c r="C199" s="4">
        <f>INDEX('Transition Stepwise'!$F$2:$F$1137,MATCH(25&amp;"|"&amp;$A199&amp;"|"&amp;C$197,'Transition Stepwise'!$E$2:$E$1137,0))</f>
        <v>3</v>
      </c>
      <c r="D199" s="4">
        <f>INDEX('Transition Stepwise'!$F$2:$F$1137,MATCH(25&amp;"|"&amp;$A199&amp;"|"&amp;D$197,'Transition Stepwise'!$E$2:$E$1137,0))</f>
        <v>89</v>
      </c>
      <c r="E199" s="4">
        <f>INDEX('Transition Stepwise'!$F$2:$F$1137,MATCH(25&amp;"|"&amp;$A199&amp;"|"&amp;E$197,'Transition Stepwise'!$E$2:$E$1137,0))</f>
        <v>9</v>
      </c>
      <c r="F199" s="4">
        <f>ROUND(SUM(B199:E199),9)</f>
        <v>178</v>
      </c>
    </row>
    <row r="200" spans="1:6">
      <c r="A200" s="5" t="s">
        <v>70</v>
      </c>
      <c r="B200" s="4">
        <f>INDEX('Transition Stepwise'!$F$2:$F$1137,MATCH(25&amp;"|"&amp;$A200&amp;"|"&amp;B$197,'Transition Stepwise'!$E$2:$E$1137,0))</f>
        <v>5</v>
      </c>
      <c r="C200" s="4">
        <f>INDEX('Transition Stepwise'!$F$2:$F$1137,MATCH(25&amp;"|"&amp;$A200&amp;"|"&amp;C$197,'Transition Stepwise'!$E$2:$E$1137,0))</f>
        <v>0</v>
      </c>
      <c r="D200" s="4">
        <f>INDEX('Transition Stepwise'!$F$2:$F$1137,MATCH(25&amp;"|"&amp;$A200&amp;"|"&amp;D$197,'Transition Stepwise'!$E$2:$E$1137,0))</f>
        <v>2</v>
      </c>
      <c r="E200" s="4">
        <f>INDEX('Transition Stepwise'!$F$2:$F$1137,MATCH(25&amp;"|"&amp;$A200&amp;"|"&amp;E$197,'Transition Stepwise'!$E$2:$E$1137,0))</f>
        <v>0</v>
      </c>
      <c r="F200" s="4">
        <f>ROUND(SUM(B200:E200),9)</f>
        <v>7</v>
      </c>
    </row>
    <row r="201" spans="1:6">
      <c r="A201" s="5" t="s">
        <v>72</v>
      </c>
      <c r="B201" s="4">
        <f>INDEX('Transition Stepwise'!$F$2:$F$1137,MATCH(25&amp;"|"&amp;$A201&amp;"|"&amp;B$197,'Transition Stepwise'!$E$2:$E$1137,0))</f>
        <v>2</v>
      </c>
      <c r="C201" s="4">
        <f>INDEX('Transition Stepwise'!$F$2:$F$1137,MATCH(25&amp;"|"&amp;$A201&amp;"|"&amp;C$197,'Transition Stepwise'!$E$2:$E$1137,0))</f>
        <v>2</v>
      </c>
      <c r="D201" s="4">
        <f>INDEX('Transition Stepwise'!$F$2:$F$1137,MATCH(25&amp;"|"&amp;$A201&amp;"|"&amp;D$197,'Transition Stepwise'!$E$2:$E$1137,0))</f>
        <v>8</v>
      </c>
      <c r="E201" s="4">
        <f>INDEX('Transition Stepwise'!$F$2:$F$1137,MATCH(25&amp;"|"&amp;$A201&amp;"|"&amp;E$197,'Transition Stepwise'!$E$2:$E$1137,0))</f>
        <v>2</v>
      </c>
      <c r="F201" s="4">
        <f>ROUND(SUM(B201:E201),9)</f>
        <v>14</v>
      </c>
    </row>
    <row r="202" spans="1:6">
      <c r="A202" s="4"/>
      <c r="B202" s="4"/>
      <c r="C202" s="4"/>
      <c r="D202" s="4"/>
      <c r="E202" s="4"/>
      <c r="F202" s="4"/>
    </row>
    <row r="203" spans="1:6">
      <c r="A203" s="4"/>
      <c r="B203" s="4"/>
      <c r="C203" s="4"/>
      <c r="D203" s="4"/>
      <c r="E203" s="4"/>
      <c r="F203" s="4"/>
    </row>
    <row r="204" spans="1:6">
      <c r="A204" s="5" t="s">
        <v>619</v>
      </c>
      <c r="B204" s="4"/>
      <c r="C204" s="4"/>
      <c r="D204" s="4"/>
      <c r="E204" s="4"/>
      <c r="F204" s="4"/>
    </row>
    <row r="205" spans="1:6">
      <c r="A205" s="9" t="s">
        <v>593</v>
      </c>
      <c r="B205" s="9" t="s">
        <v>73</v>
      </c>
      <c r="C205" s="9" t="s">
        <v>71</v>
      </c>
      <c r="D205" s="9" t="s">
        <v>70</v>
      </c>
      <c r="E205" s="9" t="s">
        <v>72</v>
      </c>
      <c r="F205" s="9" t="s">
        <v>594</v>
      </c>
    </row>
    <row r="206" spans="1:6">
      <c r="A206" s="5" t="s">
        <v>73</v>
      </c>
      <c r="B206" s="4">
        <f>INDEX('Transition Stepwise'!$F$2:$F$1137,MATCH(26&amp;"|"&amp;$A206&amp;"|"&amp;B$205,'Transition Stepwise'!$E$2:$E$1137,0))</f>
        <v>15</v>
      </c>
      <c r="C206" s="4">
        <f>INDEX('Transition Stepwise'!$F$2:$F$1137,MATCH(26&amp;"|"&amp;$A206&amp;"|"&amp;C$205,'Transition Stepwise'!$E$2:$E$1137,0))</f>
        <v>31</v>
      </c>
      <c r="D206" s="4">
        <f>INDEX('Transition Stepwise'!$F$2:$F$1137,MATCH(26&amp;"|"&amp;$A206&amp;"|"&amp;D$205,'Transition Stepwise'!$E$2:$E$1137,0))</f>
        <v>13</v>
      </c>
      <c r="E206" s="4">
        <f>INDEX('Transition Stepwise'!$F$2:$F$1137,MATCH(26&amp;"|"&amp;$A206&amp;"|"&amp;E$205,'Transition Stepwise'!$E$2:$E$1137,0))</f>
        <v>25</v>
      </c>
      <c r="F206" s="4">
        <f>ROUND(SUM(B206:E206),9)</f>
        <v>84</v>
      </c>
    </row>
    <row r="207" spans="1:6">
      <c r="A207" s="5" t="s">
        <v>71</v>
      </c>
      <c r="B207" s="4">
        <f>INDEX('Transition Stepwise'!$F$2:$F$1137,MATCH(26&amp;"|"&amp;$A207&amp;"|"&amp;B$205,'Transition Stepwise'!$E$2:$E$1137,0))</f>
        <v>0</v>
      </c>
      <c r="C207" s="4">
        <f>INDEX('Transition Stepwise'!$F$2:$F$1137,MATCH(26&amp;"|"&amp;$A207&amp;"|"&amp;C$205,'Transition Stepwise'!$E$2:$E$1137,0))</f>
        <v>2</v>
      </c>
      <c r="D207" s="4">
        <f>INDEX('Transition Stepwise'!$F$2:$F$1137,MATCH(26&amp;"|"&amp;$A207&amp;"|"&amp;D$205,'Transition Stepwise'!$E$2:$E$1137,0))</f>
        <v>1</v>
      </c>
      <c r="E207" s="4">
        <f>INDEX('Transition Stepwise'!$F$2:$F$1137,MATCH(26&amp;"|"&amp;$A207&amp;"|"&amp;E$205,'Transition Stepwise'!$E$2:$E$1137,0))</f>
        <v>2</v>
      </c>
      <c r="F207" s="4">
        <f>ROUND(SUM(B207:E207),9)</f>
        <v>5</v>
      </c>
    </row>
    <row r="208" spans="1:6">
      <c r="A208" s="5" t="s">
        <v>70</v>
      </c>
      <c r="B208" s="4">
        <f>INDEX('Transition Stepwise'!$F$2:$F$1137,MATCH(26&amp;"|"&amp;$A208&amp;"|"&amp;B$205,'Transition Stepwise'!$E$2:$E$1137,0))</f>
        <v>8</v>
      </c>
      <c r="C208" s="4">
        <f>INDEX('Transition Stepwise'!$F$2:$F$1137,MATCH(26&amp;"|"&amp;$A208&amp;"|"&amp;C$205,'Transition Stepwise'!$E$2:$E$1137,0))</f>
        <v>54</v>
      </c>
      <c r="D208" s="4">
        <f>INDEX('Transition Stepwise'!$F$2:$F$1137,MATCH(26&amp;"|"&amp;$A208&amp;"|"&amp;D$205,'Transition Stepwise'!$E$2:$E$1137,0))</f>
        <v>16</v>
      </c>
      <c r="E208" s="4">
        <f>INDEX('Transition Stepwise'!$F$2:$F$1137,MATCH(26&amp;"|"&amp;$A208&amp;"|"&amp;E$205,'Transition Stepwise'!$E$2:$E$1137,0))</f>
        <v>22</v>
      </c>
      <c r="F208" s="4">
        <f>ROUND(SUM(B208:E208),9)</f>
        <v>100</v>
      </c>
    </row>
    <row r="209" spans="1:6">
      <c r="A209" s="5" t="s">
        <v>72</v>
      </c>
      <c r="B209" s="4">
        <f>INDEX('Transition Stepwise'!$F$2:$F$1137,MATCH(26&amp;"|"&amp;$A209&amp;"|"&amp;B$205,'Transition Stepwise'!$E$2:$E$1137,0))</f>
        <v>1</v>
      </c>
      <c r="C209" s="4">
        <f>INDEX('Transition Stepwise'!$F$2:$F$1137,MATCH(26&amp;"|"&amp;$A209&amp;"|"&amp;C$205,'Transition Stepwise'!$E$2:$E$1137,0))</f>
        <v>6</v>
      </c>
      <c r="D209" s="4">
        <f>INDEX('Transition Stepwise'!$F$2:$F$1137,MATCH(26&amp;"|"&amp;$A209&amp;"|"&amp;D$205,'Transition Stepwise'!$E$2:$E$1137,0))</f>
        <v>1</v>
      </c>
      <c r="E209" s="4">
        <f>INDEX('Transition Stepwise'!$F$2:$F$1137,MATCH(26&amp;"|"&amp;$A209&amp;"|"&amp;E$205,'Transition Stepwise'!$E$2:$E$1137,0))</f>
        <v>3</v>
      </c>
      <c r="F209" s="4">
        <f>ROUND(SUM(B209:E209),9)</f>
        <v>11</v>
      </c>
    </row>
    <row r="210" spans="1:6">
      <c r="A210" s="4"/>
      <c r="B210" s="4"/>
      <c r="C210" s="4"/>
      <c r="D210" s="4"/>
      <c r="E210" s="4"/>
      <c r="F210" s="4"/>
    </row>
    <row r="211" spans="1:6">
      <c r="A211" s="4"/>
      <c r="B211" s="4"/>
      <c r="C211" s="4"/>
      <c r="D211" s="4"/>
      <c r="E211" s="4"/>
      <c r="F211" s="4"/>
    </row>
    <row r="212" spans="1:6">
      <c r="A212" s="5" t="s">
        <v>620</v>
      </c>
      <c r="B212" s="4"/>
      <c r="C212" s="4"/>
      <c r="D212" s="4"/>
      <c r="E212" s="4"/>
      <c r="F212" s="4"/>
    </row>
    <row r="213" spans="1:6">
      <c r="A213" s="9" t="s">
        <v>593</v>
      </c>
      <c r="B213" s="9" t="s">
        <v>73</v>
      </c>
      <c r="C213" s="9" t="s">
        <v>71</v>
      </c>
      <c r="D213" s="9" t="s">
        <v>70</v>
      </c>
      <c r="E213" s="9" t="s">
        <v>72</v>
      </c>
      <c r="F213" s="9" t="s">
        <v>594</v>
      </c>
    </row>
    <row r="214" spans="1:6">
      <c r="A214" s="5" t="s">
        <v>73</v>
      </c>
      <c r="B214" s="4">
        <f>INDEX('Transition Stepwise'!$F$2:$F$1137,MATCH(27&amp;"|"&amp;$A214&amp;"|"&amp;B$213,'Transition Stepwise'!$E$2:$E$1137,0))</f>
        <v>2</v>
      </c>
      <c r="C214" s="4">
        <f>INDEX('Transition Stepwise'!$F$2:$F$1137,MATCH(27&amp;"|"&amp;$A214&amp;"|"&amp;C$213,'Transition Stepwise'!$E$2:$E$1137,0))</f>
        <v>14</v>
      </c>
      <c r="D214" s="4">
        <f>INDEX('Transition Stepwise'!$F$2:$F$1137,MATCH(27&amp;"|"&amp;$A214&amp;"|"&amp;D$213,'Transition Stepwise'!$E$2:$E$1137,0))</f>
        <v>3</v>
      </c>
      <c r="E214" s="4">
        <f>INDEX('Transition Stepwise'!$F$2:$F$1137,MATCH(27&amp;"|"&amp;$A214&amp;"|"&amp;E$213,'Transition Stepwise'!$E$2:$E$1137,0))</f>
        <v>5</v>
      </c>
      <c r="F214" s="4">
        <f>ROUND(SUM(B214:E214),9)</f>
        <v>24</v>
      </c>
    </row>
    <row r="215" spans="1:6">
      <c r="A215" s="5" t="s">
        <v>71</v>
      </c>
      <c r="B215" s="4">
        <f>INDEX('Transition Stepwise'!$F$2:$F$1137,MATCH(27&amp;"|"&amp;$A215&amp;"|"&amp;B$213,'Transition Stepwise'!$E$2:$E$1137,0))</f>
        <v>15</v>
      </c>
      <c r="C215" s="4">
        <f>INDEX('Transition Stepwise'!$F$2:$F$1137,MATCH(27&amp;"|"&amp;$A215&amp;"|"&amp;C$213,'Transition Stepwise'!$E$2:$E$1137,0))</f>
        <v>39</v>
      </c>
      <c r="D215" s="4">
        <f>INDEX('Transition Stepwise'!$F$2:$F$1137,MATCH(27&amp;"|"&amp;$A215&amp;"|"&amp;D$213,'Transition Stepwise'!$E$2:$E$1137,0))</f>
        <v>11</v>
      </c>
      <c r="E215" s="4">
        <f>INDEX('Transition Stepwise'!$F$2:$F$1137,MATCH(27&amp;"|"&amp;$A215&amp;"|"&amp;E$213,'Transition Stepwise'!$E$2:$E$1137,0))</f>
        <v>28</v>
      </c>
      <c r="F215" s="4">
        <f>ROUND(SUM(B215:E215),9)</f>
        <v>93</v>
      </c>
    </row>
    <row r="216" spans="1:6">
      <c r="A216" s="5" t="s">
        <v>70</v>
      </c>
      <c r="B216" s="4">
        <f>INDEX('Transition Stepwise'!$F$2:$F$1137,MATCH(27&amp;"|"&amp;$A216&amp;"|"&amp;B$213,'Transition Stepwise'!$E$2:$E$1137,0))</f>
        <v>4</v>
      </c>
      <c r="C216" s="4">
        <f>INDEX('Transition Stepwise'!$F$2:$F$1137,MATCH(27&amp;"|"&amp;$A216&amp;"|"&amp;C$213,'Transition Stepwise'!$E$2:$E$1137,0))</f>
        <v>24</v>
      </c>
      <c r="D216" s="4">
        <f>INDEX('Transition Stepwise'!$F$2:$F$1137,MATCH(27&amp;"|"&amp;$A216&amp;"|"&amp;D$213,'Transition Stepwise'!$E$2:$E$1137,0))</f>
        <v>3</v>
      </c>
      <c r="E216" s="4">
        <f>INDEX('Transition Stepwise'!$F$2:$F$1137,MATCH(27&amp;"|"&amp;$A216&amp;"|"&amp;E$213,'Transition Stepwise'!$E$2:$E$1137,0))</f>
        <v>0</v>
      </c>
      <c r="F216" s="4">
        <f>ROUND(SUM(B216:E216),9)</f>
        <v>31</v>
      </c>
    </row>
    <row r="217" spans="1:6">
      <c r="A217" s="5" t="s">
        <v>72</v>
      </c>
      <c r="B217" s="4">
        <f>INDEX('Transition Stepwise'!$F$2:$F$1137,MATCH(27&amp;"|"&amp;$A217&amp;"|"&amp;B$213,'Transition Stepwise'!$E$2:$E$1137,0))</f>
        <v>3</v>
      </c>
      <c r="C217" s="4">
        <f>INDEX('Transition Stepwise'!$F$2:$F$1137,MATCH(27&amp;"|"&amp;$A217&amp;"|"&amp;C$213,'Transition Stepwise'!$E$2:$E$1137,0))</f>
        <v>26</v>
      </c>
      <c r="D217" s="4">
        <f>INDEX('Transition Stepwise'!$F$2:$F$1137,MATCH(27&amp;"|"&amp;$A217&amp;"|"&amp;D$213,'Transition Stepwise'!$E$2:$E$1137,0))</f>
        <v>5</v>
      </c>
      <c r="E217" s="4">
        <f>INDEX('Transition Stepwise'!$F$2:$F$1137,MATCH(27&amp;"|"&amp;$A217&amp;"|"&amp;E$213,'Transition Stepwise'!$E$2:$E$1137,0))</f>
        <v>18</v>
      </c>
      <c r="F217" s="4">
        <f>ROUND(SUM(B217:E217),9)</f>
        <v>52</v>
      </c>
    </row>
    <row r="218" spans="1:6">
      <c r="A218" s="4"/>
      <c r="B218" s="4"/>
      <c r="C218" s="4"/>
      <c r="D218" s="4"/>
      <c r="E218" s="4"/>
      <c r="F218" s="4"/>
    </row>
    <row r="219" spans="1:6">
      <c r="A219" s="4"/>
      <c r="B219" s="4"/>
      <c r="C219" s="4"/>
      <c r="D219" s="4"/>
      <c r="E219" s="4"/>
      <c r="F219" s="4"/>
    </row>
    <row r="220" spans="1:6">
      <c r="A220" s="5" t="s">
        <v>621</v>
      </c>
      <c r="B220" s="4"/>
      <c r="C220" s="4"/>
      <c r="D220" s="4"/>
      <c r="E220" s="4"/>
      <c r="F220" s="4"/>
    </row>
    <row r="221" spans="1:6">
      <c r="A221" s="9" t="s">
        <v>593</v>
      </c>
      <c r="B221" s="9" t="s">
        <v>73</v>
      </c>
      <c r="C221" s="9" t="s">
        <v>71</v>
      </c>
      <c r="D221" s="9" t="s">
        <v>70</v>
      </c>
      <c r="E221" s="9" t="s">
        <v>72</v>
      </c>
      <c r="F221" s="9" t="s">
        <v>594</v>
      </c>
    </row>
    <row r="222" spans="1:6">
      <c r="A222" s="5" t="s">
        <v>73</v>
      </c>
      <c r="B222" s="4">
        <f>INDEX('Transition Stepwise'!$F$2:$F$1137,MATCH(28&amp;"|"&amp;$A222&amp;"|"&amp;B$221,'Transition Stepwise'!$E$2:$E$1137,0))</f>
        <v>3</v>
      </c>
      <c r="C222" s="4">
        <f>INDEX('Transition Stepwise'!$F$2:$F$1137,MATCH(28&amp;"|"&amp;$A222&amp;"|"&amp;C$221,'Transition Stepwise'!$E$2:$E$1137,0))</f>
        <v>7</v>
      </c>
      <c r="D222" s="4">
        <f>INDEX('Transition Stepwise'!$F$2:$F$1137,MATCH(28&amp;"|"&amp;$A222&amp;"|"&amp;D$221,'Transition Stepwise'!$E$2:$E$1137,0))</f>
        <v>4</v>
      </c>
      <c r="E222" s="4">
        <f>INDEX('Transition Stepwise'!$F$2:$F$1137,MATCH(28&amp;"|"&amp;$A222&amp;"|"&amp;E$221,'Transition Stepwise'!$E$2:$E$1137,0))</f>
        <v>10</v>
      </c>
      <c r="F222" s="4">
        <f>ROUND(SUM(B222:E222),9)</f>
        <v>24</v>
      </c>
    </row>
    <row r="223" spans="1:6">
      <c r="A223" s="5" t="s">
        <v>71</v>
      </c>
      <c r="B223" s="4">
        <f>INDEX('Transition Stepwise'!$F$2:$F$1137,MATCH(28&amp;"|"&amp;$A223&amp;"|"&amp;B$221,'Transition Stepwise'!$E$2:$E$1137,0))</f>
        <v>18</v>
      </c>
      <c r="C223" s="4">
        <f>INDEX('Transition Stepwise'!$F$2:$F$1137,MATCH(28&amp;"|"&amp;$A223&amp;"|"&amp;C$221,'Transition Stepwise'!$E$2:$E$1137,0))</f>
        <v>8</v>
      </c>
      <c r="D223" s="4">
        <f>INDEX('Transition Stepwise'!$F$2:$F$1137,MATCH(28&amp;"|"&amp;$A223&amp;"|"&amp;D$221,'Transition Stepwise'!$E$2:$E$1137,0))</f>
        <v>47</v>
      </c>
      <c r="E223" s="4">
        <f>INDEX('Transition Stepwise'!$F$2:$F$1137,MATCH(28&amp;"|"&amp;$A223&amp;"|"&amp;E$221,'Transition Stepwise'!$E$2:$E$1137,0))</f>
        <v>30</v>
      </c>
      <c r="F223" s="4">
        <f>ROUND(SUM(B223:E223),9)</f>
        <v>103</v>
      </c>
    </row>
    <row r="224" spans="1:6">
      <c r="A224" s="5" t="s">
        <v>70</v>
      </c>
      <c r="B224" s="4">
        <f>INDEX('Transition Stepwise'!$F$2:$F$1137,MATCH(28&amp;"|"&amp;$A224&amp;"|"&amp;B$221,'Transition Stepwise'!$E$2:$E$1137,0))</f>
        <v>4</v>
      </c>
      <c r="C224" s="4">
        <f>INDEX('Transition Stepwise'!$F$2:$F$1137,MATCH(28&amp;"|"&amp;$A224&amp;"|"&amp;C$221,'Transition Stepwise'!$E$2:$E$1137,0))</f>
        <v>7</v>
      </c>
      <c r="D224" s="4">
        <f>INDEX('Transition Stepwise'!$F$2:$F$1137,MATCH(28&amp;"|"&amp;$A224&amp;"|"&amp;D$221,'Transition Stepwise'!$E$2:$E$1137,0))</f>
        <v>10</v>
      </c>
      <c r="E224" s="4">
        <f>INDEX('Transition Stepwise'!$F$2:$F$1137,MATCH(28&amp;"|"&amp;$A224&amp;"|"&amp;E$221,'Transition Stepwise'!$E$2:$E$1137,0))</f>
        <v>1</v>
      </c>
      <c r="F224" s="4">
        <f>ROUND(SUM(B224:E224),9)</f>
        <v>22</v>
      </c>
    </row>
    <row r="225" spans="1:6">
      <c r="A225" s="5" t="s">
        <v>72</v>
      </c>
      <c r="B225" s="4">
        <f>INDEX('Transition Stepwise'!$F$2:$F$1137,MATCH(28&amp;"|"&amp;$A225&amp;"|"&amp;B$221,'Transition Stepwise'!$E$2:$E$1137,0))</f>
        <v>7</v>
      </c>
      <c r="C225" s="4">
        <f>INDEX('Transition Stepwise'!$F$2:$F$1137,MATCH(28&amp;"|"&amp;$A225&amp;"|"&amp;C$221,'Transition Stepwise'!$E$2:$E$1137,0))</f>
        <v>14</v>
      </c>
      <c r="D225" s="4">
        <f>INDEX('Transition Stepwise'!$F$2:$F$1137,MATCH(28&amp;"|"&amp;$A225&amp;"|"&amp;D$221,'Transition Stepwise'!$E$2:$E$1137,0))</f>
        <v>16</v>
      </c>
      <c r="E225" s="4">
        <f>INDEX('Transition Stepwise'!$F$2:$F$1137,MATCH(28&amp;"|"&amp;$A225&amp;"|"&amp;E$221,'Transition Stepwise'!$E$2:$E$1137,0))</f>
        <v>14</v>
      </c>
      <c r="F225" s="4">
        <f>ROUND(SUM(B225:E225),9)</f>
        <v>51</v>
      </c>
    </row>
    <row r="226" spans="1:6">
      <c r="A226" s="4"/>
      <c r="B226" s="4"/>
      <c r="C226" s="4"/>
      <c r="D226" s="4"/>
      <c r="E226" s="4"/>
      <c r="F226" s="4"/>
    </row>
    <row r="227" spans="1:6">
      <c r="A227" s="4"/>
      <c r="B227" s="4"/>
      <c r="C227" s="4"/>
      <c r="D227" s="4"/>
      <c r="E227" s="4"/>
      <c r="F227" s="4"/>
    </row>
    <row r="228" spans="1:6">
      <c r="A228" s="5" t="s">
        <v>622</v>
      </c>
      <c r="B228" s="4"/>
      <c r="C228" s="4"/>
      <c r="D228" s="4"/>
      <c r="E228" s="4"/>
      <c r="F228" s="4"/>
    </row>
    <row r="229" spans="1:6">
      <c r="A229" s="9" t="s">
        <v>593</v>
      </c>
      <c r="B229" s="9" t="s">
        <v>73</v>
      </c>
      <c r="C229" s="9" t="s">
        <v>71</v>
      </c>
      <c r="D229" s="9" t="s">
        <v>70</v>
      </c>
      <c r="E229" s="9" t="s">
        <v>72</v>
      </c>
      <c r="F229" s="9" t="s">
        <v>594</v>
      </c>
    </row>
    <row r="230" spans="1:6">
      <c r="A230" s="5" t="s">
        <v>73</v>
      </c>
      <c r="B230" s="4">
        <f>INDEX('Transition Stepwise'!$F$2:$F$1137,MATCH(29&amp;"|"&amp;$A230&amp;"|"&amp;B$229,'Transition Stepwise'!$E$2:$E$1137,0))</f>
        <v>0</v>
      </c>
      <c r="C230" s="4">
        <f>INDEX('Transition Stepwise'!$F$2:$F$1137,MATCH(29&amp;"|"&amp;$A230&amp;"|"&amp;C$229,'Transition Stepwise'!$E$2:$E$1137,0))</f>
        <v>8</v>
      </c>
      <c r="D230" s="4">
        <f>INDEX('Transition Stepwise'!$F$2:$F$1137,MATCH(29&amp;"|"&amp;$A230&amp;"|"&amp;D$229,'Transition Stepwise'!$E$2:$E$1137,0))</f>
        <v>24</v>
      </c>
      <c r="E230" s="4">
        <f>INDEX('Transition Stepwise'!$F$2:$F$1137,MATCH(29&amp;"|"&amp;$A230&amp;"|"&amp;E$229,'Transition Stepwise'!$E$2:$E$1137,0))</f>
        <v>0</v>
      </c>
      <c r="F230" s="4">
        <f>ROUND(SUM(B230:E230),9)</f>
        <v>32</v>
      </c>
    </row>
    <row r="231" spans="1:6">
      <c r="A231" s="5" t="s">
        <v>71</v>
      </c>
      <c r="B231" s="4">
        <f>INDEX('Transition Stepwise'!$F$2:$F$1137,MATCH(29&amp;"|"&amp;$A231&amp;"|"&amp;B$229,'Transition Stepwise'!$E$2:$E$1137,0))</f>
        <v>0</v>
      </c>
      <c r="C231" s="4">
        <f>INDEX('Transition Stepwise'!$F$2:$F$1137,MATCH(29&amp;"|"&amp;$A231&amp;"|"&amp;C$229,'Transition Stepwise'!$E$2:$E$1137,0))</f>
        <v>7</v>
      </c>
      <c r="D231" s="4">
        <f>INDEX('Transition Stepwise'!$F$2:$F$1137,MATCH(29&amp;"|"&amp;$A231&amp;"|"&amp;D$229,'Transition Stepwise'!$E$2:$E$1137,0))</f>
        <v>28</v>
      </c>
      <c r="E231" s="4">
        <f>INDEX('Transition Stepwise'!$F$2:$F$1137,MATCH(29&amp;"|"&amp;$A231&amp;"|"&amp;E$229,'Transition Stepwise'!$E$2:$E$1137,0))</f>
        <v>1</v>
      </c>
      <c r="F231" s="4">
        <f>ROUND(SUM(B231:E231),9)</f>
        <v>36</v>
      </c>
    </row>
    <row r="232" spans="1:6">
      <c r="A232" s="5" t="s">
        <v>70</v>
      </c>
      <c r="B232" s="4">
        <f>INDEX('Transition Stepwise'!$F$2:$F$1137,MATCH(29&amp;"|"&amp;$A232&amp;"|"&amp;B$229,'Transition Stepwise'!$E$2:$E$1137,0))</f>
        <v>0</v>
      </c>
      <c r="C232" s="4">
        <f>INDEX('Transition Stepwise'!$F$2:$F$1137,MATCH(29&amp;"|"&amp;$A232&amp;"|"&amp;C$229,'Transition Stepwise'!$E$2:$E$1137,0))</f>
        <v>10</v>
      </c>
      <c r="D232" s="4">
        <f>INDEX('Transition Stepwise'!$F$2:$F$1137,MATCH(29&amp;"|"&amp;$A232&amp;"|"&amp;D$229,'Transition Stepwise'!$E$2:$E$1137,0))</f>
        <v>61</v>
      </c>
      <c r="E232" s="4">
        <f>INDEX('Transition Stepwise'!$F$2:$F$1137,MATCH(29&amp;"|"&amp;$A232&amp;"|"&amp;E$229,'Transition Stepwise'!$E$2:$E$1137,0))</f>
        <v>6</v>
      </c>
      <c r="F232" s="4">
        <f>ROUND(SUM(B232:E232),9)</f>
        <v>77</v>
      </c>
    </row>
    <row r="233" spans="1:6">
      <c r="A233" s="5" t="s">
        <v>72</v>
      </c>
      <c r="B233" s="4">
        <f>INDEX('Transition Stepwise'!$F$2:$F$1137,MATCH(29&amp;"|"&amp;$A233&amp;"|"&amp;B$229,'Transition Stepwise'!$E$2:$E$1137,0))</f>
        <v>0</v>
      </c>
      <c r="C233" s="4">
        <f>INDEX('Transition Stepwise'!$F$2:$F$1137,MATCH(29&amp;"|"&amp;$A233&amp;"|"&amp;C$229,'Transition Stepwise'!$E$2:$E$1137,0))</f>
        <v>18</v>
      </c>
      <c r="D233" s="4">
        <f>INDEX('Transition Stepwise'!$F$2:$F$1137,MATCH(29&amp;"|"&amp;$A233&amp;"|"&amp;D$229,'Transition Stepwise'!$E$2:$E$1137,0))</f>
        <v>37</v>
      </c>
      <c r="E233" s="4">
        <f>INDEX('Transition Stepwise'!$F$2:$F$1137,MATCH(29&amp;"|"&amp;$A233&amp;"|"&amp;E$229,'Transition Stepwise'!$E$2:$E$1137,0))</f>
        <v>0</v>
      </c>
      <c r="F233" s="4">
        <f>ROUND(SUM(B233:E233),9)</f>
        <v>55</v>
      </c>
    </row>
    <row r="234" spans="1:6">
      <c r="A234" s="4"/>
      <c r="B234" s="4"/>
      <c r="C234" s="4"/>
      <c r="D234" s="4"/>
      <c r="E234" s="4"/>
      <c r="F234" s="4"/>
    </row>
    <row r="235" spans="1:6">
      <c r="A235" s="4"/>
      <c r="B235" s="4"/>
      <c r="C235" s="4"/>
      <c r="D235" s="4"/>
      <c r="E235" s="4"/>
      <c r="F235" s="4"/>
    </row>
    <row r="236" spans="1:6">
      <c r="A236" s="5" t="s">
        <v>623</v>
      </c>
      <c r="B236" s="4"/>
      <c r="C236" s="4"/>
      <c r="D236" s="4"/>
      <c r="E236" s="4"/>
      <c r="F236" s="4"/>
    </row>
    <row r="237" spans="1:6">
      <c r="A237" s="9" t="s">
        <v>593</v>
      </c>
      <c r="B237" s="9" t="s">
        <v>73</v>
      </c>
      <c r="C237" s="9" t="s">
        <v>71</v>
      </c>
      <c r="D237" s="9" t="s">
        <v>70</v>
      </c>
      <c r="E237" s="9" t="s">
        <v>72</v>
      </c>
      <c r="F237" s="9" t="s">
        <v>594</v>
      </c>
    </row>
    <row r="238" spans="1:6">
      <c r="A238" s="5" t="s">
        <v>73</v>
      </c>
      <c r="B238" s="4">
        <f>INDEX('Transition Stepwise'!$F$2:$F$1137,MATCH(30&amp;"|"&amp;$A238&amp;"|"&amp;B$237,'Transition Stepwise'!$E$2:$E$1137,0))</f>
        <v>0</v>
      </c>
      <c r="C238" s="4">
        <f>INDEX('Transition Stepwise'!$F$2:$F$1137,MATCH(30&amp;"|"&amp;$A238&amp;"|"&amp;C$237,'Transition Stepwise'!$E$2:$E$1137,0))</f>
        <v>0</v>
      </c>
      <c r="D238" s="4">
        <f>INDEX('Transition Stepwise'!$F$2:$F$1137,MATCH(30&amp;"|"&amp;$A238&amp;"|"&amp;D$237,'Transition Stepwise'!$E$2:$E$1137,0))</f>
        <v>0</v>
      </c>
      <c r="E238" s="4">
        <f>INDEX('Transition Stepwise'!$F$2:$F$1137,MATCH(30&amp;"|"&amp;$A238&amp;"|"&amp;E$237,'Transition Stepwise'!$E$2:$E$1137,0))</f>
        <v>0</v>
      </c>
      <c r="F238" s="4">
        <f>ROUND(SUM(B238:E238),9)</f>
        <v>0</v>
      </c>
    </row>
    <row r="239" spans="1:6">
      <c r="A239" s="5" t="s">
        <v>71</v>
      </c>
      <c r="B239" s="4">
        <f>INDEX('Transition Stepwise'!$F$2:$F$1137,MATCH(30&amp;"|"&amp;$A239&amp;"|"&amp;B$237,'Transition Stepwise'!$E$2:$E$1137,0))</f>
        <v>3</v>
      </c>
      <c r="C239" s="4">
        <f>INDEX('Transition Stepwise'!$F$2:$F$1137,MATCH(30&amp;"|"&amp;$A239&amp;"|"&amp;C$237,'Transition Stepwise'!$E$2:$E$1137,0))</f>
        <v>28</v>
      </c>
      <c r="D239" s="4">
        <f>INDEX('Transition Stepwise'!$F$2:$F$1137,MATCH(30&amp;"|"&amp;$A239&amp;"|"&amp;D$237,'Transition Stepwise'!$E$2:$E$1137,0))</f>
        <v>10</v>
      </c>
      <c r="E239" s="4">
        <f>INDEX('Transition Stepwise'!$F$2:$F$1137,MATCH(30&amp;"|"&amp;$A239&amp;"|"&amp;E$237,'Transition Stepwise'!$E$2:$E$1137,0))</f>
        <v>2</v>
      </c>
      <c r="F239" s="4">
        <f>ROUND(SUM(B239:E239),9)</f>
        <v>43</v>
      </c>
    </row>
    <row r="240" spans="1:6">
      <c r="A240" s="5" t="s">
        <v>70</v>
      </c>
      <c r="B240" s="4">
        <f>INDEX('Transition Stepwise'!$F$2:$F$1137,MATCH(30&amp;"|"&amp;$A240&amp;"|"&amp;B$237,'Transition Stepwise'!$E$2:$E$1137,0))</f>
        <v>49</v>
      </c>
      <c r="C240" s="4">
        <f>INDEX('Transition Stepwise'!$F$2:$F$1137,MATCH(30&amp;"|"&amp;$A240&amp;"|"&amp;C$237,'Transition Stepwise'!$E$2:$E$1137,0))</f>
        <v>43</v>
      </c>
      <c r="D240" s="4">
        <f>INDEX('Transition Stepwise'!$F$2:$F$1137,MATCH(30&amp;"|"&amp;$A240&amp;"|"&amp;D$237,'Transition Stepwise'!$E$2:$E$1137,0))</f>
        <v>41</v>
      </c>
      <c r="E240" s="4">
        <f>INDEX('Transition Stepwise'!$F$2:$F$1137,MATCH(30&amp;"|"&amp;$A240&amp;"|"&amp;E$237,'Transition Stepwise'!$E$2:$E$1137,0))</f>
        <v>17</v>
      </c>
      <c r="F240" s="4">
        <f>ROUND(SUM(B240:E240),9)</f>
        <v>150</v>
      </c>
    </row>
    <row r="241" spans="1:6">
      <c r="A241" s="5" t="s">
        <v>72</v>
      </c>
      <c r="B241" s="4">
        <f>INDEX('Transition Stepwise'!$F$2:$F$1137,MATCH(30&amp;"|"&amp;$A241&amp;"|"&amp;B$237,'Transition Stepwise'!$E$2:$E$1137,0))</f>
        <v>2</v>
      </c>
      <c r="C241" s="4">
        <f>INDEX('Transition Stepwise'!$F$2:$F$1137,MATCH(30&amp;"|"&amp;$A241&amp;"|"&amp;C$237,'Transition Stepwise'!$E$2:$E$1137,0))</f>
        <v>1</v>
      </c>
      <c r="D241" s="4">
        <f>INDEX('Transition Stepwise'!$F$2:$F$1137,MATCH(30&amp;"|"&amp;$A241&amp;"|"&amp;D$237,'Transition Stepwise'!$E$2:$E$1137,0))</f>
        <v>4</v>
      </c>
      <c r="E241" s="4">
        <f>INDEX('Transition Stepwise'!$F$2:$F$1137,MATCH(30&amp;"|"&amp;$A241&amp;"|"&amp;E$237,'Transition Stepwise'!$E$2:$E$1137,0))</f>
        <v>0</v>
      </c>
      <c r="F241" s="4">
        <f>ROUND(SUM(B241:E241),9)</f>
        <v>7</v>
      </c>
    </row>
    <row r="242" spans="1:6">
      <c r="A242" s="4"/>
      <c r="B242" s="4"/>
      <c r="C242" s="4"/>
      <c r="D242" s="4"/>
      <c r="E242" s="4"/>
      <c r="F242" s="4"/>
    </row>
    <row r="243" spans="1:6">
      <c r="A243" s="4"/>
      <c r="B243" s="4"/>
      <c r="C243" s="4"/>
      <c r="D243" s="4"/>
      <c r="E243" s="4"/>
      <c r="F243" s="4"/>
    </row>
    <row r="244" spans="1:6">
      <c r="A244" s="5" t="s">
        <v>624</v>
      </c>
      <c r="B244" s="4"/>
      <c r="C244" s="4"/>
      <c r="D244" s="4"/>
      <c r="E244" s="4"/>
      <c r="F244" s="4"/>
    </row>
    <row r="245" spans="1:6">
      <c r="A245" s="9" t="s">
        <v>593</v>
      </c>
      <c r="B245" s="9" t="s">
        <v>73</v>
      </c>
      <c r="C245" s="9" t="s">
        <v>71</v>
      </c>
      <c r="D245" s="9" t="s">
        <v>70</v>
      </c>
      <c r="E245" s="9" t="s">
        <v>72</v>
      </c>
      <c r="F245" s="9" t="s">
        <v>594</v>
      </c>
    </row>
    <row r="246" spans="1:6">
      <c r="A246" s="5" t="s">
        <v>73</v>
      </c>
      <c r="B246" s="4">
        <f>INDEX('Transition Stepwise'!$F$2:$F$1137,MATCH(31&amp;"|"&amp;$A246&amp;"|"&amp;B$245,'Transition Stepwise'!$E$2:$E$1137,0))</f>
        <v>0</v>
      </c>
      <c r="C246" s="4">
        <f>INDEX('Transition Stepwise'!$F$2:$F$1137,MATCH(31&amp;"|"&amp;$A246&amp;"|"&amp;C$245,'Transition Stepwise'!$E$2:$E$1137,0))</f>
        <v>47</v>
      </c>
      <c r="D246" s="4">
        <f>INDEX('Transition Stepwise'!$F$2:$F$1137,MATCH(31&amp;"|"&amp;$A246&amp;"|"&amp;D$245,'Transition Stepwise'!$E$2:$E$1137,0))</f>
        <v>0</v>
      </c>
      <c r="E246" s="4">
        <f>INDEX('Transition Stepwise'!$F$2:$F$1137,MATCH(31&amp;"|"&amp;$A246&amp;"|"&amp;E$245,'Transition Stepwise'!$E$2:$E$1137,0))</f>
        <v>7</v>
      </c>
      <c r="F246" s="4">
        <f>ROUND(SUM(B246:E246),9)</f>
        <v>54</v>
      </c>
    </row>
    <row r="247" spans="1:6">
      <c r="A247" s="5" t="s">
        <v>71</v>
      </c>
      <c r="B247" s="4">
        <f>INDEX('Transition Stepwise'!$F$2:$F$1137,MATCH(31&amp;"|"&amp;$A247&amp;"|"&amp;B$245,'Transition Stepwise'!$E$2:$E$1137,0))</f>
        <v>6</v>
      </c>
      <c r="C247" s="4">
        <f>INDEX('Transition Stepwise'!$F$2:$F$1137,MATCH(31&amp;"|"&amp;$A247&amp;"|"&amp;C$245,'Transition Stepwise'!$E$2:$E$1137,0))</f>
        <v>36</v>
      </c>
      <c r="D247" s="4">
        <f>INDEX('Transition Stepwise'!$F$2:$F$1137,MATCH(31&amp;"|"&amp;$A247&amp;"|"&amp;D$245,'Transition Stepwise'!$E$2:$E$1137,0))</f>
        <v>0</v>
      </c>
      <c r="E247" s="4">
        <f>INDEX('Transition Stepwise'!$F$2:$F$1137,MATCH(31&amp;"|"&amp;$A247&amp;"|"&amp;E$245,'Transition Stepwise'!$E$2:$E$1137,0))</f>
        <v>30</v>
      </c>
      <c r="F247" s="4">
        <f>ROUND(SUM(B247:E247),9)</f>
        <v>72</v>
      </c>
    </row>
    <row r="248" spans="1:6">
      <c r="A248" s="5" t="s">
        <v>70</v>
      </c>
      <c r="B248" s="4">
        <f>INDEX('Transition Stepwise'!$F$2:$F$1137,MATCH(31&amp;"|"&amp;$A248&amp;"|"&amp;B$245,'Transition Stepwise'!$E$2:$E$1137,0))</f>
        <v>0</v>
      </c>
      <c r="C248" s="4">
        <f>INDEX('Transition Stepwise'!$F$2:$F$1137,MATCH(31&amp;"|"&amp;$A248&amp;"|"&amp;C$245,'Transition Stepwise'!$E$2:$E$1137,0))</f>
        <v>35</v>
      </c>
      <c r="D248" s="4">
        <f>INDEX('Transition Stepwise'!$F$2:$F$1137,MATCH(31&amp;"|"&amp;$A248&amp;"|"&amp;D$245,'Transition Stepwise'!$E$2:$E$1137,0))</f>
        <v>0</v>
      </c>
      <c r="E248" s="4">
        <f>INDEX('Transition Stepwise'!$F$2:$F$1137,MATCH(31&amp;"|"&amp;$A248&amp;"|"&amp;E$245,'Transition Stepwise'!$E$2:$E$1137,0))</f>
        <v>20</v>
      </c>
      <c r="F248" s="4">
        <f>ROUND(SUM(B248:E248),9)</f>
        <v>55</v>
      </c>
    </row>
    <row r="249" spans="1:6">
      <c r="A249" s="5" t="s">
        <v>72</v>
      </c>
      <c r="B249" s="4">
        <f>INDEX('Transition Stepwise'!$F$2:$F$1137,MATCH(31&amp;"|"&amp;$A249&amp;"|"&amp;B$245,'Transition Stepwise'!$E$2:$E$1137,0))</f>
        <v>0</v>
      </c>
      <c r="C249" s="4">
        <f>INDEX('Transition Stepwise'!$F$2:$F$1137,MATCH(31&amp;"|"&amp;$A249&amp;"|"&amp;C$245,'Transition Stepwise'!$E$2:$E$1137,0))</f>
        <v>17</v>
      </c>
      <c r="D249" s="4">
        <f>INDEX('Transition Stepwise'!$F$2:$F$1137,MATCH(31&amp;"|"&amp;$A249&amp;"|"&amp;D$245,'Transition Stepwise'!$E$2:$E$1137,0))</f>
        <v>0</v>
      </c>
      <c r="E249" s="4">
        <f>INDEX('Transition Stepwise'!$F$2:$F$1137,MATCH(31&amp;"|"&amp;$A249&amp;"|"&amp;E$245,'Transition Stepwise'!$E$2:$E$1137,0))</f>
        <v>2</v>
      </c>
      <c r="F249" s="4">
        <f>ROUND(SUM(B249:E249),9)</f>
        <v>19</v>
      </c>
    </row>
    <row r="250" spans="1:6">
      <c r="A250" s="4"/>
      <c r="B250" s="4"/>
      <c r="C250" s="4"/>
      <c r="D250" s="4"/>
      <c r="E250" s="4"/>
      <c r="F250" s="4"/>
    </row>
    <row r="251" spans="1:6">
      <c r="A251" s="4"/>
      <c r="B251" s="4"/>
      <c r="C251" s="4"/>
      <c r="D251" s="4"/>
      <c r="E251" s="4"/>
      <c r="F251" s="4"/>
    </row>
    <row r="252" spans="1:6">
      <c r="A252" s="5" t="s">
        <v>625</v>
      </c>
      <c r="B252" s="4"/>
      <c r="C252" s="4"/>
      <c r="D252" s="4"/>
      <c r="E252" s="4"/>
      <c r="F252" s="4"/>
    </row>
    <row r="253" spans="1:6">
      <c r="A253" s="9" t="s">
        <v>593</v>
      </c>
      <c r="B253" s="9" t="s">
        <v>73</v>
      </c>
      <c r="C253" s="9" t="s">
        <v>71</v>
      </c>
      <c r="D253" s="9" t="s">
        <v>70</v>
      </c>
      <c r="E253" s="9" t="s">
        <v>72</v>
      </c>
      <c r="F253" s="9" t="s">
        <v>594</v>
      </c>
    </row>
    <row r="254" spans="1:6">
      <c r="A254" s="5" t="s">
        <v>73</v>
      </c>
      <c r="B254" s="4">
        <f>INDEX('Transition Stepwise'!$F$2:$F$1137,MATCH(32&amp;"|"&amp;$A254&amp;"|"&amp;B$253,'Transition Stepwise'!$E$2:$E$1137,0))</f>
        <v>0</v>
      </c>
      <c r="C254" s="4">
        <f>INDEX('Transition Stepwise'!$F$2:$F$1137,MATCH(32&amp;"|"&amp;$A254&amp;"|"&amp;C$253,'Transition Stepwise'!$E$2:$E$1137,0))</f>
        <v>0</v>
      </c>
      <c r="D254" s="4">
        <f>INDEX('Transition Stepwise'!$F$2:$F$1137,MATCH(32&amp;"|"&amp;$A254&amp;"|"&amp;D$253,'Transition Stepwise'!$E$2:$E$1137,0))</f>
        <v>0</v>
      </c>
      <c r="E254" s="4">
        <f>INDEX('Transition Stepwise'!$F$2:$F$1137,MATCH(32&amp;"|"&amp;$A254&amp;"|"&amp;E$253,'Transition Stepwise'!$E$2:$E$1137,0))</f>
        <v>6</v>
      </c>
      <c r="F254" s="4">
        <f>ROUND(SUM(B254:E254),9)</f>
        <v>6</v>
      </c>
    </row>
    <row r="255" spans="1:6">
      <c r="A255" s="5" t="s">
        <v>71</v>
      </c>
      <c r="B255" s="4">
        <f>INDEX('Transition Stepwise'!$F$2:$F$1137,MATCH(32&amp;"|"&amp;$A255&amp;"|"&amp;B$253,'Transition Stepwise'!$E$2:$E$1137,0))</f>
        <v>0</v>
      </c>
      <c r="C255" s="4">
        <f>INDEX('Transition Stepwise'!$F$2:$F$1137,MATCH(32&amp;"|"&amp;$A255&amp;"|"&amp;C$253,'Transition Stepwise'!$E$2:$E$1137,0))</f>
        <v>1</v>
      </c>
      <c r="D255" s="4">
        <f>INDEX('Transition Stepwise'!$F$2:$F$1137,MATCH(32&amp;"|"&amp;$A255&amp;"|"&amp;D$253,'Transition Stepwise'!$E$2:$E$1137,0))</f>
        <v>0</v>
      </c>
      <c r="E255" s="4">
        <f>INDEX('Transition Stepwise'!$F$2:$F$1137,MATCH(32&amp;"|"&amp;$A255&amp;"|"&amp;E$253,'Transition Stepwise'!$E$2:$E$1137,0))</f>
        <v>134</v>
      </c>
      <c r="F255" s="4">
        <f>ROUND(SUM(B255:E255),9)</f>
        <v>135</v>
      </c>
    </row>
    <row r="256" spans="1:6">
      <c r="A256" s="5" t="s">
        <v>70</v>
      </c>
      <c r="B256" s="4">
        <f>INDEX('Transition Stepwise'!$F$2:$F$1137,MATCH(32&amp;"|"&amp;$A256&amp;"|"&amp;B$253,'Transition Stepwise'!$E$2:$E$1137,0))</f>
        <v>0</v>
      </c>
      <c r="C256" s="4">
        <f>INDEX('Transition Stepwise'!$F$2:$F$1137,MATCH(32&amp;"|"&amp;$A256&amp;"|"&amp;C$253,'Transition Stepwise'!$E$2:$E$1137,0))</f>
        <v>0</v>
      </c>
      <c r="D256" s="4">
        <f>INDEX('Transition Stepwise'!$F$2:$F$1137,MATCH(32&amp;"|"&amp;$A256&amp;"|"&amp;D$253,'Transition Stepwise'!$E$2:$E$1137,0))</f>
        <v>0</v>
      </c>
      <c r="E256" s="4">
        <f>INDEX('Transition Stepwise'!$F$2:$F$1137,MATCH(32&amp;"|"&amp;$A256&amp;"|"&amp;E$253,'Transition Stepwise'!$E$2:$E$1137,0))</f>
        <v>0</v>
      </c>
      <c r="F256" s="4">
        <f>ROUND(SUM(B256:E256),9)</f>
        <v>0</v>
      </c>
    </row>
    <row r="257" spans="1:6">
      <c r="A257" s="5" t="s">
        <v>72</v>
      </c>
      <c r="B257" s="4">
        <f>INDEX('Transition Stepwise'!$F$2:$F$1137,MATCH(32&amp;"|"&amp;$A257&amp;"|"&amp;B$253,'Transition Stepwise'!$E$2:$E$1137,0))</f>
        <v>1</v>
      </c>
      <c r="C257" s="4">
        <f>INDEX('Transition Stepwise'!$F$2:$F$1137,MATCH(32&amp;"|"&amp;$A257&amp;"|"&amp;C$253,'Transition Stepwise'!$E$2:$E$1137,0))</f>
        <v>0</v>
      </c>
      <c r="D257" s="4">
        <f>INDEX('Transition Stepwise'!$F$2:$F$1137,MATCH(32&amp;"|"&amp;$A257&amp;"|"&amp;D$253,'Transition Stepwise'!$E$2:$E$1137,0))</f>
        <v>0</v>
      </c>
      <c r="E257" s="4">
        <f>INDEX('Transition Stepwise'!$F$2:$F$1137,MATCH(32&amp;"|"&amp;$A257&amp;"|"&amp;E$253,'Transition Stepwise'!$E$2:$E$1137,0))</f>
        <v>58</v>
      </c>
      <c r="F257" s="4">
        <f>ROUND(SUM(B257:E257),9)</f>
        <v>59</v>
      </c>
    </row>
    <row r="258" spans="1:6">
      <c r="A258" s="4"/>
      <c r="B258" s="4"/>
      <c r="C258" s="4"/>
      <c r="D258" s="4"/>
      <c r="E258" s="4"/>
      <c r="F258" s="4"/>
    </row>
    <row r="259" spans="1:6">
      <c r="A259" s="4"/>
      <c r="B259" s="4"/>
      <c r="C259" s="4"/>
      <c r="D259" s="4"/>
      <c r="E259" s="4"/>
      <c r="F259" s="4"/>
    </row>
    <row r="260" spans="1:6">
      <c r="A260" s="5" t="s">
        <v>626</v>
      </c>
      <c r="B260" s="4"/>
      <c r="C260" s="4"/>
      <c r="D260" s="4"/>
      <c r="E260" s="4"/>
      <c r="F260" s="4"/>
    </row>
    <row r="261" spans="1:6">
      <c r="A261" s="9" t="s">
        <v>593</v>
      </c>
      <c r="B261" s="9" t="s">
        <v>73</v>
      </c>
      <c r="C261" s="9" t="s">
        <v>71</v>
      </c>
      <c r="D261" s="9" t="s">
        <v>70</v>
      </c>
      <c r="E261" s="9" t="s">
        <v>72</v>
      </c>
      <c r="F261" s="9" t="s">
        <v>594</v>
      </c>
    </row>
    <row r="262" spans="1:6">
      <c r="A262" s="5" t="s">
        <v>73</v>
      </c>
      <c r="B262" s="4">
        <f>INDEX('Transition Stepwise'!$F$2:$F$1137,MATCH(33&amp;"|"&amp;$A262&amp;"|"&amp;B$261,'Transition Stepwise'!$E$2:$E$1137,0))</f>
        <v>0</v>
      </c>
      <c r="C262" s="4">
        <f>INDEX('Transition Stepwise'!$F$2:$F$1137,MATCH(33&amp;"|"&amp;$A262&amp;"|"&amp;C$261,'Transition Stepwise'!$E$2:$E$1137,0))</f>
        <v>1</v>
      </c>
      <c r="D262" s="4">
        <f>INDEX('Transition Stepwise'!$F$2:$F$1137,MATCH(33&amp;"|"&amp;$A262&amp;"|"&amp;D$261,'Transition Stepwise'!$E$2:$E$1137,0))</f>
        <v>0</v>
      </c>
      <c r="E262" s="4">
        <f>INDEX('Transition Stepwise'!$F$2:$F$1137,MATCH(33&amp;"|"&amp;$A262&amp;"|"&amp;E$261,'Transition Stepwise'!$E$2:$E$1137,0))</f>
        <v>0</v>
      </c>
      <c r="F262" s="4">
        <f>ROUND(SUM(B262:E262),9)</f>
        <v>1</v>
      </c>
    </row>
    <row r="263" spans="1:6">
      <c r="A263" s="5" t="s">
        <v>71</v>
      </c>
      <c r="B263" s="4">
        <f>INDEX('Transition Stepwise'!$F$2:$F$1137,MATCH(33&amp;"|"&amp;$A263&amp;"|"&amp;B$261,'Transition Stepwise'!$E$2:$E$1137,0))</f>
        <v>0</v>
      </c>
      <c r="C263" s="4">
        <f>INDEX('Transition Stepwise'!$F$2:$F$1137,MATCH(33&amp;"|"&amp;$A263&amp;"|"&amp;C$261,'Transition Stepwise'!$E$2:$E$1137,0))</f>
        <v>1</v>
      </c>
      <c r="D263" s="4">
        <f>INDEX('Transition Stepwise'!$F$2:$F$1137,MATCH(33&amp;"|"&amp;$A263&amp;"|"&amp;D$261,'Transition Stepwise'!$E$2:$E$1137,0))</f>
        <v>0</v>
      </c>
      <c r="E263" s="4">
        <f>INDEX('Transition Stepwise'!$F$2:$F$1137,MATCH(33&amp;"|"&amp;$A263&amp;"|"&amp;E$261,'Transition Stepwise'!$E$2:$E$1137,0))</f>
        <v>0</v>
      </c>
      <c r="F263" s="4">
        <f>ROUND(SUM(B263:E263),9)</f>
        <v>1</v>
      </c>
    </row>
    <row r="264" spans="1:6">
      <c r="A264" s="5" t="s">
        <v>70</v>
      </c>
      <c r="B264" s="4">
        <f>INDEX('Transition Stepwise'!$F$2:$F$1137,MATCH(33&amp;"|"&amp;$A264&amp;"|"&amp;B$261,'Transition Stepwise'!$E$2:$E$1137,0))</f>
        <v>0</v>
      </c>
      <c r="C264" s="4">
        <f>INDEX('Transition Stepwise'!$F$2:$F$1137,MATCH(33&amp;"|"&amp;$A264&amp;"|"&amp;C$261,'Transition Stepwise'!$E$2:$E$1137,0))</f>
        <v>0</v>
      </c>
      <c r="D264" s="4">
        <f>INDEX('Transition Stepwise'!$F$2:$F$1137,MATCH(33&amp;"|"&amp;$A264&amp;"|"&amp;D$261,'Transition Stepwise'!$E$2:$E$1137,0))</f>
        <v>0</v>
      </c>
      <c r="E264" s="4">
        <f>INDEX('Transition Stepwise'!$F$2:$F$1137,MATCH(33&amp;"|"&amp;$A264&amp;"|"&amp;E$261,'Transition Stepwise'!$E$2:$E$1137,0))</f>
        <v>0</v>
      </c>
      <c r="F264" s="4">
        <f>ROUND(SUM(B264:E264),9)</f>
        <v>0</v>
      </c>
    </row>
    <row r="265" spans="1:6">
      <c r="A265" s="5" t="s">
        <v>72</v>
      </c>
      <c r="B265" s="4">
        <f>INDEX('Transition Stepwise'!$F$2:$F$1137,MATCH(33&amp;"|"&amp;$A265&amp;"|"&amp;B$261,'Transition Stepwise'!$E$2:$E$1137,0))</f>
        <v>9</v>
      </c>
      <c r="C265" s="4">
        <f>INDEX('Transition Stepwise'!$F$2:$F$1137,MATCH(33&amp;"|"&amp;$A265&amp;"|"&amp;C$261,'Transition Stepwise'!$E$2:$E$1137,0))</f>
        <v>64</v>
      </c>
      <c r="D265" s="4">
        <f>INDEX('Transition Stepwise'!$F$2:$F$1137,MATCH(33&amp;"|"&amp;$A265&amp;"|"&amp;D$261,'Transition Stepwise'!$E$2:$E$1137,0))</f>
        <v>67</v>
      </c>
      <c r="E265" s="4">
        <f>INDEX('Transition Stepwise'!$F$2:$F$1137,MATCH(33&amp;"|"&amp;$A265&amp;"|"&amp;E$261,'Transition Stepwise'!$E$2:$E$1137,0))</f>
        <v>58</v>
      </c>
      <c r="F265" s="4">
        <f>ROUND(SUM(B265:E265),9)</f>
        <v>198</v>
      </c>
    </row>
    <row r="266" spans="1:6">
      <c r="A266" s="4"/>
      <c r="B266" s="4"/>
      <c r="C266" s="4"/>
      <c r="D266" s="4"/>
      <c r="E266" s="4"/>
      <c r="F266" s="4"/>
    </row>
    <row r="267" spans="1:6">
      <c r="A267" s="4"/>
      <c r="B267" s="4"/>
      <c r="C267" s="4"/>
      <c r="D267" s="4"/>
      <c r="E267" s="4"/>
      <c r="F267" s="4"/>
    </row>
    <row r="268" spans="1:6">
      <c r="A268" s="5" t="s">
        <v>627</v>
      </c>
      <c r="B268" s="4"/>
      <c r="C268" s="4"/>
      <c r="D268" s="4"/>
      <c r="E268" s="4"/>
      <c r="F268" s="4"/>
    </row>
    <row r="269" spans="1:6">
      <c r="A269" s="9" t="s">
        <v>593</v>
      </c>
      <c r="B269" s="9" t="s">
        <v>73</v>
      </c>
      <c r="C269" s="9" t="s">
        <v>71</v>
      </c>
      <c r="D269" s="9" t="s">
        <v>70</v>
      </c>
      <c r="E269" s="9" t="s">
        <v>72</v>
      </c>
      <c r="F269" s="9" t="s">
        <v>594</v>
      </c>
    </row>
    <row r="270" spans="1:6">
      <c r="A270" s="5" t="s">
        <v>73</v>
      </c>
      <c r="B270" s="4">
        <f>INDEX('Transition Stepwise'!$F$2:$F$1137,MATCH(34&amp;"|"&amp;$A270&amp;"|"&amp;B$269,'Transition Stepwise'!$E$2:$E$1137,0))</f>
        <v>3</v>
      </c>
      <c r="C270" s="4">
        <f>INDEX('Transition Stepwise'!$F$2:$F$1137,MATCH(34&amp;"|"&amp;$A270&amp;"|"&amp;C$269,'Transition Stepwise'!$E$2:$E$1137,0))</f>
        <v>2</v>
      </c>
      <c r="D270" s="4">
        <f>INDEX('Transition Stepwise'!$F$2:$F$1137,MATCH(34&amp;"|"&amp;$A270&amp;"|"&amp;D$269,'Transition Stepwise'!$E$2:$E$1137,0))</f>
        <v>4</v>
      </c>
      <c r="E270" s="4">
        <f>INDEX('Transition Stepwise'!$F$2:$F$1137,MATCH(34&amp;"|"&amp;$A270&amp;"|"&amp;E$269,'Transition Stepwise'!$E$2:$E$1137,0))</f>
        <v>0</v>
      </c>
      <c r="F270" s="4">
        <f>ROUND(SUM(B270:E270),9)</f>
        <v>9</v>
      </c>
    </row>
    <row r="271" spans="1:6">
      <c r="A271" s="5" t="s">
        <v>71</v>
      </c>
      <c r="B271" s="4">
        <f>INDEX('Transition Stepwise'!$F$2:$F$1137,MATCH(34&amp;"|"&amp;$A271&amp;"|"&amp;B$269,'Transition Stepwise'!$E$2:$E$1137,0))</f>
        <v>25</v>
      </c>
      <c r="C271" s="4">
        <f>INDEX('Transition Stepwise'!$F$2:$F$1137,MATCH(34&amp;"|"&amp;$A271&amp;"|"&amp;C$269,'Transition Stepwise'!$E$2:$E$1137,0))</f>
        <v>18</v>
      </c>
      <c r="D271" s="4">
        <f>INDEX('Transition Stepwise'!$F$2:$F$1137,MATCH(34&amp;"|"&amp;$A271&amp;"|"&amp;D$269,'Transition Stepwise'!$E$2:$E$1137,0))</f>
        <v>11</v>
      </c>
      <c r="E271" s="4">
        <f>INDEX('Transition Stepwise'!$F$2:$F$1137,MATCH(34&amp;"|"&amp;$A271&amp;"|"&amp;E$269,'Transition Stepwise'!$E$2:$E$1137,0))</f>
        <v>12</v>
      </c>
      <c r="F271" s="4">
        <f>ROUND(SUM(B271:E271),9)</f>
        <v>66</v>
      </c>
    </row>
    <row r="272" spans="1:6">
      <c r="A272" s="5" t="s">
        <v>70</v>
      </c>
      <c r="B272" s="4">
        <f>INDEX('Transition Stepwise'!$F$2:$F$1137,MATCH(34&amp;"|"&amp;$A272&amp;"|"&amp;B$269,'Transition Stepwise'!$E$2:$E$1137,0))</f>
        <v>22</v>
      </c>
      <c r="C272" s="4">
        <f>INDEX('Transition Stepwise'!$F$2:$F$1137,MATCH(34&amp;"|"&amp;$A272&amp;"|"&amp;C$269,'Transition Stepwise'!$E$2:$E$1137,0))</f>
        <v>13</v>
      </c>
      <c r="D272" s="4">
        <f>INDEX('Transition Stepwise'!$F$2:$F$1137,MATCH(34&amp;"|"&amp;$A272&amp;"|"&amp;D$269,'Transition Stepwise'!$E$2:$E$1137,0))</f>
        <v>13</v>
      </c>
      <c r="E272" s="4">
        <f>INDEX('Transition Stepwise'!$F$2:$F$1137,MATCH(34&amp;"|"&amp;$A272&amp;"|"&amp;E$269,'Transition Stepwise'!$E$2:$E$1137,0))</f>
        <v>19</v>
      </c>
      <c r="F272" s="4">
        <f>ROUND(SUM(B272:E272),9)</f>
        <v>67</v>
      </c>
    </row>
    <row r="273" spans="1:6">
      <c r="A273" s="5" t="s">
        <v>72</v>
      </c>
      <c r="B273" s="4">
        <f>INDEX('Transition Stepwise'!$F$2:$F$1137,MATCH(34&amp;"|"&amp;$A273&amp;"|"&amp;B$269,'Transition Stepwise'!$E$2:$E$1137,0))</f>
        <v>12</v>
      </c>
      <c r="C273" s="4">
        <f>INDEX('Transition Stepwise'!$F$2:$F$1137,MATCH(34&amp;"|"&amp;$A273&amp;"|"&amp;C$269,'Transition Stepwise'!$E$2:$E$1137,0))</f>
        <v>13</v>
      </c>
      <c r="D273" s="4">
        <f>INDEX('Transition Stepwise'!$F$2:$F$1137,MATCH(34&amp;"|"&amp;$A273&amp;"|"&amp;D$269,'Transition Stepwise'!$E$2:$E$1137,0))</f>
        <v>23</v>
      </c>
      <c r="E273" s="4">
        <f>INDEX('Transition Stepwise'!$F$2:$F$1137,MATCH(34&amp;"|"&amp;$A273&amp;"|"&amp;E$269,'Transition Stepwise'!$E$2:$E$1137,0))</f>
        <v>10</v>
      </c>
      <c r="F273" s="4">
        <f>ROUND(SUM(B273:E273),9)</f>
        <v>58</v>
      </c>
    </row>
    <row r="274" spans="1:6">
      <c r="A274" s="4"/>
      <c r="B274" s="4"/>
      <c r="C274" s="4"/>
      <c r="D274" s="4"/>
      <c r="E274" s="4"/>
      <c r="F274" s="4"/>
    </row>
    <row r="275" spans="1:6">
      <c r="A275" s="4"/>
      <c r="B275" s="4"/>
      <c r="C275" s="4"/>
      <c r="D275" s="4"/>
      <c r="E275" s="4"/>
      <c r="F275" s="4"/>
    </row>
    <row r="276" spans="1:6">
      <c r="A276" s="5" t="s">
        <v>628</v>
      </c>
      <c r="B276" s="4"/>
      <c r="C276" s="4"/>
      <c r="D276" s="4"/>
      <c r="E276" s="4"/>
      <c r="F276" s="4"/>
    </row>
    <row r="277" spans="1:6">
      <c r="A277" s="9" t="s">
        <v>593</v>
      </c>
      <c r="B277" s="9" t="s">
        <v>73</v>
      </c>
      <c r="C277" s="9" t="s">
        <v>71</v>
      </c>
      <c r="D277" s="9" t="s">
        <v>70</v>
      </c>
      <c r="E277" s="9" t="s">
        <v>72</v>
      </c>
      <c r="F277" s="9" t="s">
        <v>594</v>
      </c>
    </row>
    <row r="278" spans="1:6">
      <c r="A278" s="5" t="s">
        <v>73</v>
      </c>
      <c r="B278" s="4">
        <f>INDEX('Transition Stepwise'!$F$2:$F$1137,MATCH(35&amp;"|"&amp;$A278&amp;"|"&amp;B$277,'Transition Stepwise'!$E$2:$E$1137,0))</f>
        <v>11</v>
      </c>
      <c r="C278" s="4">
        <f>INDEX('Transition Stepwise'!$F$2:$F$1137,MATCH(35&amp;"|"&amp;$A278&amp;"|"&amp;C$277,'Transition Stepwise'!$E$2:$E$1137,0))</f>
        <v>18</v>
      </c>
      <c r="D278" s="4">
        <f>INDEX('Transition Stepwise'!$F$2:$F$1137,MATCH(35&amp;"|"&amp;$A278&amp;"|"&amp;D$277,'Transition Stepwise'!$E$2:$E$1137,0))</f>
        <v>4</v>
      </c>
      <c r="E278" s="4">
        <f>INDEX('Transition Stepwise'!$F$2:$F$1137,MATCH(35&amp;"|"&amp;$A278&amp;"|"&amp;E$277,'Transition Stepwise'!$E$2:$E$1137,0))</f>
        <v>29</v>
      </c>
      <c r="F278" s="4">
        <f>ROUND(SUM(B278:E278),9)</f>
        <v>62</v>
      </c>
    </row>
    <row r="279" spans="1:6">
      <c r="A279" s="5" t="s">
        <v>71</v>
      </c>
      <c r="B279" s="4">
        <f>INDEX('Transition Stepwise'!$F$2:$F$1137,MATCH(35&amp;"|"&amp;$A279&amp;"|"&amp;B$277,'Transition Stepwise'!$E$2:$E$1137,0))</f>
        <v>20</v>
      </c>
      <c r="C279" s="4">
        <f>INDEX('Transition Stepwise'!$F$2:$F$1137,MATCH(35&amp;"|"&amp;$A279&amp;"|"&amp;C$277,'Transition Stepwise'!$E$2:$E$1137,0))</f>
        <v>12</v>
      </c>
      <c r="D279" s="4">
        <f>INDEX('Transition Stepwise'!$F$2:$F$1137,MATCH(35&amp;"|"&amp;$A279&amp;"|"&amp;D$277,'Transition Stepwise'!$E$2:$E$1137,0))</f>
        <v>6</v>
      </c>
      <c r="E279" s="4">
        <f>INDEX('Transition Stepwise'!$F$2:$F$1137,MATCH(35&amp;"|"&amp;$A279&amp;"|"&amp;E$277,'Transition Stepwise'!$E$2:$E$1137,0))</f>
        <v>8</v>
      </c>
      <c r="F279" s="4">
        <f>ROUND(SUM(B279:E279),9)</f>
        <v>46</v>
      </c>
    </row>
    <row r="280" spans="1:6">
      <c r="A280" s="5" t="s">
        <v>70</v>
      </c>
      <c r="B280" s="4">
        <f>INDEX('Transition Stepwise'!$F$2:$F$1137,MATCH(35&amp;"|"&amp;$A280&amp;"|"&amp;B$277,'Transition Stepwise'!$E$2:$E$1137,0))</f>
        <v>5</v>
      </c>
      <c r="C280" s="4">
        <f>INDEX('Transition Stepwise'!$F$2:$F$1137,MATCH(35&amp;"|"&amp;$A280&amp;"|"&amp;C$277,'Transition Stepwise'!$E$2:$E$1137,0))</f>
        <v>15</v>
      </c>
      <c r="D280" s="4">
        <f>INDEX('Transition Stepwise'!$F$2:$F$1137,MATCH(35&amp;"|"&amp;$A280&amp;"|"&amp;D$277,'Transition Stepwise'!$E$2:$E$1137,0))</f>
        <v>12</v>
      </c>
      <c r="E280" s="4">
        <f>INDEX('Transition Stepwise'!$F$2:$F$1137,MATCH(35&amp;"|"&amp;$A280&amp;"|"&amp;E$277,'Transition Stepwise'!$E$2:$E$1137,0))</f>
        <v>19</v>
      </c>
      <c r="F280" s="4">
        <f>ROUND(SUM(B280:E280),9)</f>
        <v>51</v>
      </c>
    </row>
    <row r="281" spans="1:6">
      <c r="A281" s="5" t="s">
        <v>72</v>
      </c>
      <c r="B281" s="4">
        <f>INDEX('Transition Stepwise'!$F$2:$F$1137,MATCH(35&amp;"|"&amp;$A281&amp;"|"&amp;B$277,'Transition Stepwise'!$E$2:$E$1137,0))</f>
        <v>7</v>
      </c>
      <c r="C281" s="4">
        <f>INDEX('Transition Stepwise'!$F$2:$F$1137,MATCH(35&amp;"|"&amp;$A281&amp;"|"&amp;C$277,'Transition Stepwise'!$E$2:$E$1137,0))</f>
        <v>8</v>
      </c>
      <c r="D281" s="4">
        <f>INDEX('Transition Stepwise'!$F$2:$F$1137,MATCH(35&amp;"|"&amp;$A281&amp;"|"&amp;D$277,'Transition Stepwise'!$E$2:$E$1137,0))</f>
        <v>10</v>
      </c>
      <c r="E281" s="4">
        <f>INDEX('Transition Stepwise'!$F$2:$F$1137,MATCH(35&amp;"|"&amp;$A281&amp;"|"&amp;E$277,'Transition Stepwise'!$E$2:$E$1137,0))</f>
        <v>16</v>
      </c>
      <c r="F281" s="4">
        <f>ROUND(SUM(B281:E281),9)</f>
        <v>41</v>
      </c>
    </row>
    <row r="282" spans="1:6">
      <c r="A282" s="4"/>
      <c r="B282" s="4"/>
      <c r="C282" s="4"/>
      <c r="D282" s="4"/>
      <c r="E282" s="4"/>
      <c r="F282" s="4"/>
    </row>
    <row r="283" spans="1:6">
      <c r="A283" s="4"/>
      <c r="B283" s="4"/>
      <c r="C283" s="4"/>
      <c r="D283" s="4"/>
      <c r="E283" s="4"/>
      <c r="F283" s="4"/>
    </row>
    <row r="284" spans="1:6">
      <c r="A284" s="5" t="s">
        <v>629</v>
      </c>
      <c r="B284" s="4"/>
      <c r="C284" s="4"/>
      <c r="D284" s="4"/>
      <c r="E284" s="4"/>
      <c r="F284" s="4"/>
    </row>
    <row r="285" spans="1:6">
      <c r="A285" s="9" t="s">
        <v>593</v>
      </c>
      <c r="B285" s="9" t="s">
        <v>73</v>
      </c>
      <c r="C285" s="9" t="s">
        <v>71</v>
      </c>
      <c r="D285" s="9" t="s">
        <v>70</v>
      </c>
      <c r="E285" s="9" t="s">
        <v>72</v>
      </c>
      <c r="F285" s="9" t="s">
        <v>594</v>
      </c>
    </row>
    <row r="286" spans="1:6">
      <c r="A286" s="5" t="s">
        <v>73</v>
      </c>
      <c r="B286" s="4">
        <f>INDEX('Transition Stepwise'!$F$2:$F$1137,MATCH(36&amp;"|"&amp;$A286&amp;"|"&amp;B$285,'Transition Stepwise'!$E$2:$E$1137,0))</f>
        <v>25</v>
      </c>
      <c r="C286" s="4">
        <f>INDEX('Transition Stepwise'!$F$2:$F$1137,MATCH(36&amp;"|"&amp;$A286&amp;"|"&amp;C$285,'Transition Stepwise'!$E$2:$E$1137,0))</f>
        <v>1</v>
      </c>
      <c r="D286" s="4">
        <f>INDEX('Transition Stepwise'!$F$2:$F$1137,MATCH(36&amp;"|"&amp;$A286&amp;"|"&amp;D$285,'Transition Stepwise'!$E$2:$E$1137,0))</f>
        <v>17</v>
      </c>
      <c r="E286" s="4">
        <f>INDEX('Transition Stepwise'!$F$2:$F$1137,MATCH(36&amp;"|"&amp;$A286&amp;"|"&amp;E$285,'Transition Stepwise'!$E$2:$E$1137,0))</f>
        <v>0</v>
      </c>
      <c r="F286" s="4">
        <f>ROUND(SUM(B286:E286),9)</f>
        <v>43</v>
      </c>
    </row>
    <row r="287" spans="1:6">
      <c r="A287" s="5" t="s">
        <v>71</v>
      </c>
      <c r="B287" s="4">
        <f>INDEX('Transition Stepwise'!$F$2:$F$1137,MATCH(36&amp;"|"&amp;$A287&amp;"|"&amp;B$285,'Transition Stepwise'!$E$2:$E$1137,0))</f>
        <v>50</v>
      </c>
      <c r="C287" s="4">
        <f>INDEX('Transition Stepwise'!$F$2:$F$1137,MATCH(36&amp;"|"&amp;$A287&amp;"|"&amp;C$285,'Transition Stepwise'!$E$2:$E$1137,0))</f>
        <v>0</v>
      </c>
      <c r="D287" s="4">
        <f>INDEX('Transition Stepwise'!$F$2:$F$1137,MATCH(36&amp;"|"&amp;$A287&amp;"|"&amp;D$285,'Transition Stepwise'!$E$2:$E$1137,0))</f>
        <v>3</v>
      </c>
      <c r="E287" s="4">
        <f>INDEX('Transition Stepwise'!$F$2:$F$1137,MATCH(36&amp;"|"&amp;$A287&amp;"|"&amp;E$285,'Transition Stepwise'!$E$2:$E$1137,0))</f>
        <v>0</v>
      </c>
      <c r="F287" s="4">
        <f>ROUND(SUM(B287:E287),9)</f>
        <v>53</v>
      </c>
    </row>
    <row r="288" spans="1:6">
      <c r="A288" s="5" t="s">
        <v>70</v>
      </c>
      <c r="B288" s="4">
        <f>INDEX('Transition Stepwise'!$F$2:$F$1137,MATCH(36&amp;"|"&amp;$A288&amp;"|"&amp;B$285,'Transition Stepwise'!$E$2:$E$1137,0))</f>
        <v>4</v>
      </c>
      <c r="C288" s="4">
        <f>INDEX('Transition Stepwise'!$F$2:$F$1137,MATCH(36&amp;"|"&amp;$A288&amp;"|"&amp;C$285,'Transition Stepwise'!$E$2:$E$1137,0))</f>
        <v>0</v>
      </c>
      <c r="D288" s="4">
        <f>INDEX('Transition Stepwise'!$F$2:$F$1137,MATCH(36&amp;"|"&amp;$A288&amp;"|"&amp;D$285,'Transition Stepwise'!$E$2:$E$1137,0))</f>
        <v>28</v>
      </c>
      <c r="E288" s="4">
        <f>INDEX('Transition Stepwise'!$F$2:$F$1137,MATCH(36&amp;"|"&amp;$A288&amp;"|"&amp;E$285,'Transition Stepwise'!$E$2:$E$1137,0))</f>
        <v>0</v>
      </c>
      <c r="F288" s="4">
        <f>ROUND(SUM(B288:E288),9)</f>
        <v>32</v>
      </c>
    </row>
    <row r="289" spans="1:6">
      <c r="A289" s="5" t="s">
        <v>72</v>
      </c>
      <c r="B289" s="4">
        <f>INDEX('Transition Stepwise'!$F$2:$F$1137,MATCH(36&amp;"|"&amp;$A289&amp;"|"&amp;B$285,'Transition Stepwise'!$E$2:$E$1137,0))</f>
        <v>72</v>
      </c>
      <c r="C289" s="4">
        <f>INDEX('Transition Stepwise'!$F$2:$F$1137,MATCH(36&amp;"|"&amp;$A289&amp;"|"&amp;C$285,'Transition Stepwise'!$E$2:$E$1137,0))</f>
        <v>0</v>
      </c>
      <c r="D289" s="4">
        <f>INDEX('Transition Stepwise'!$F$2:$F$1137,MATCH(36&amp;"|"&amp;$A289&amp;"|"&amp;D$285,'Transition Stepwise'!$E$2:$E$1137,0))</f>
        <v>0</v>
      </c>
      <c r="E289" s="4">
        <f>INDEX('Transition Stepwise'!$F$2:$F$1137,MATCH(36&amp;"|"&amp;$A289&amp;"|"&amp;E$285,'Transition Stepwise'!$E$2:$E$1137,0))</f>
        <v>0</v>
      </c>
      <c r="F289" s="4">
        <f>ROUND(SUM(B289:E289),9)</f>
        <v>72</v>
      </c>
    </row>
    <row r="290" spans="1:6">
      <c r="A290" s="4"/>
      <c r="B290" s="4"/>
      <c r="C290" s="4"/>
      <c r="D290" s="4"/>
      <c r="E290" s="4"/>
      <c r="F290" s="4"/>
    </row>
    <row r="291" spans="1:6">
      <c r="A291" s="4"/>
      <c r="B291" s="4"/>
      <c r="C291" s="4"/>
      <c r="D291" s="4"/>
      <c r="E291" s="4"/>
      <c r="F291" s="4"/>
    </row>
    <row r="292" spans="1:6">
      <c r="A292" s="5" t="s">
        <v>630</v>
      </c>
      <c r="B292" s="4"/>
      <c r="C292" s="4"/>
      <c r="D292" s="4"/>
      <c r="E292" s="4"/>
      <c r="F292" s="4"/>
    </row>
    <row r="293" spans="1:6">
      <c r="A293" s="9" t="s">
        <v>593</v>
      </c>
      <c r="B293" s="9" t="s">
        <v>73</v>
      </c>
      <c r="C293" s="9" t="s">
        <v>71</v>
      </c>
      <c r="D293" s="9" t="s">
        <v>70</v>
      </c>
      <c r="E293" s="9" t="s">
        <v>72</v>
      </c>
      <c r="F293" s="9" t="s">
        <v>594</v>
      </c>
    </row>
    <row r="294" spans="1:6">
      <c r="A294" s="5" t="s">
        <v>73</v>
      </c>
      <c r="B294" s="4">
        <f>INDEX('Transition Stepwise'!$F$2:$F$1137,MATCH(37&amp;"|"&amp;$A294&amp;"|"&amp;B$293,'Transition Stepwise'!$E$2:$E$1137,0))</f>
        <v>115</v>
      </c>
      <c r="C294" s="4">
        <f>INDEX('Transition Stepwise'!$F$2:$F$1137,MATCH(37&amp;"|"&amp;$A294&amp;"|"&amp;C$293,'Transition Stepwise'!$E$2:$E$1137,0))</f>
        <v>22</v>
      </c>
      <c r="D294" s="4">
        <f>INDEX('Transition Stepwise'!$F$2:$F$1137,MATCH(37&amp;"|"&amp;$A294&amp;"|"&amp;D$293,'Transition Stepwise'!$E$2:$E$1137,0))</f>
        <v>0</v>
      </c>
      <c r="E294" s="4">
        <f>INDEX('Transition Stepwise'!$F$2:$F$1137,MATCH(37&amp;"|"&amp;$A294&amp;"|"&amp;E$293,'Transition Stepwise'!$E$2:$E$1137,0))</f>
        <v>14</v>
      </c>
      <c r="F294" s="4">
        <f>ROUND(SUM(B294:E294),9)</f>
        <v>151</v>
      </c>
    </row>
    <row r="295" spans="1:6">
      <c r="A295" s="5" t="s">
        <v>71</v>
      </c>
      <c r="B295" s="4">
        <f>INDEX('Transition Stepwise'!$F$2:$F$1137,MATCH(37&amp;"|"&amp;$A295&amp;"|"&amp;B$293,'Transition Stepwise'!$E$2:$E$1137,0))</f>
        <v>1</v>
      </c>
      <c r="C295" s="4">
        <f>INDEX('Transition Stepwise'!$F$2:$F$1137,MATCH(37&amp;"|"&amp;$A295&amp;"|"&amp;C$293,'Transition Stepwise'!$E$2:$E$1137,0))</f>
        <v>0</v>
      </c>
      <c r="D295" s="4">
        <f>INDEX('Transition Stepwise'!$F$2:$F$1137,MATCH(37&amp;"|"&amp;$A295&amp;"|"&amp;D$293,'Transition Stepwise'!$E$2:$E$1137,0))</f>
        <v>0</v>
      </c>
      <c r="E295" s="4">
        <f>INDEX('Transition Stepwise'!$F$2:$F$1137,MATCH(37&amp;"|"&amp;$A295&amp;"|"&amp;E$293,'Transition Stepwise'!$E$2:$E$1137,0))</f>
        <v>0</v>
      </c>
      <c r="F295" s="4">
        <f>ROUND(SUM(B295:E295),9)</f>
        <v>1</v>
      </c>
    </row>
    <row r="296" spans="1:6">
      <c r="A296" s="5" t="s">
        <v>70</v>
      </c>
      <c r="B296" s="4">
        <f>INDEX('Transition Stepwise'!$F$2:$F$1137,MATCH(37&amp;"|"&amp;$A296&amp;"|"&amp;B$293,'Transition Stepwise'!$E$2:$E$1137,0))</f>
        <v>31</v>
      </c>
      <c r="C296" s="4">
        <f>INDEX('Transition Stepwise'!$F$2:$F$1137,MATCH(37&amp;"|"&amp;$A296&amp;"|"&amp;C$293,'Transition Stepwise'!$E$2:$E$1137,0))</f>
        <v>7</v>
      </c>
      <c r="D296" s="4">
        <f>INDEX('Transition Stepwise'!$F$2:$F$1137,MATCH(37&amp;"|"&amp;$A296&amp;"|"&amp;D$293,'Transition Stepwise'!$E$2:$E$1137,0))</f>
        <v>1</v>
      </c>
      <c r="E296" s="4">
        <f>INDEX('Transition Stepwise'!$F$2:$F$1137,MATCH(37&amp;"|"&amp;$A296&amp;"|"&amp;E$293,'Transition Stepwise'!$E$2:$E$1137,0))</f>
        <v>9</v>
      </c>
      <c r="F296" s="4">
        <f>ROUND(SUM(B296:E296),9)</f>
        <v>48</v>
      </c>
    </row>
    <row r="297" spans="1:6">
      <c r="A297" s="5" t="s">
        <v>72</v>
      </c>
      <c r="B297" s="4">
        <f>INDEX('Transition Stepwise'!$F$2:$F$1137,MATCH(37&amp;"|"&amp;$A297&amp;"|"&amp;B$293,'Transition Stepwise'!$E$2:$E$1137,0))</f>
        <v>0</v>
      </c>
      <c r="C297" s="4">
        <f>INDEX('Transition Stepwise'!$F$2:$F$1137,MATCH(37&amp;"|"&amp;$A297&amp;"|"&amp;C$293,'Transition Stepwise'!$E$2:$E$1137,0))</f>
        <v>0</v>
      </c>
      <c r="D297" s="4">
        <f>INDEX('Transition Stepwise'!$F$2:$F$1137,MATCH(37&amp;"|"&amp;$A297&amp;"|"&amp;D$293,'Transition Stepwise'!$E$2:$E$1137,0))</f>
        <v>0</v>
      </c>
      <c r="E297" s="4">
        <f>INDEX('Transition Stepwise'!$F$2:$F$1137,MATCH(37&amp;"|"&amp;$A297&amp;"|"&amp;E$293,'Transition Stepwise'!$E$2:$E$1137,0))</f>
        <v>0</v>
      </c>
      <c r="F297" s="4">
        <f>ROUND(SUM(B297:E297),9)</f>
        <v>0</v>
      </c>
    </row>
    <row r="298" spans="1:6">
      <c r="A298" s="4"/>
      <c r="B298" s="4"/>
      <c r="C298" s="4"/>
      <c r="D298" s="4"/>
      <c r="E298" s="4"/>
      <c r="F298" s="4"/>
    </row>
    <row r="299" spans="1:6">
      <c r="A299" s="4"/>
      <c r="B299" s="4"/>
      <c r="C299" s="4"/>
      <c r="D299" s="4"/>
      <c r="E299" s="4"/>
      <c r="F299" s="4"/>
    </row>
    <row r="300" spans="1:6">
      <c r="A300" s="5" t="s">
        <v>631</v>
      </c>
      <c r="B300" s="4"/>
      <c r="C300" s="4"/>
      <c r="D300" s="4"/>
      <c r="E300" s="4"/>
      <c r="F300" s="4"/>
    </row>
    <row r="301" spans="1:6">
      <c r="A301" s="9" t="s">
        <v>593</v>
      </c>
      <c r="B301" s="9" t="s">
        <v>73</v>
      </c>
      <c r="C301" s="9" t="s">
        <v>71</v>
      </c>
      <c r="D301" s="9" t="s">
        <v>70</v>
      </c>
      <c r="E301" s="9" t="s">
        <v>72</v>
      </c>
      <c r="F301" s="9" t="s">
        <v>594</v>
      </c>
    </row>
    <row r="302" spans="1:6">
      <c r="A302" s="5" t="s">
        <v>73</v>
      </c>
      <c r="B302" s="4">
        <f>INDEX('Transition Stepwise'!$F$2:$F$1137,MATCH(38&amp;"|"&amp;$A302&amp;"|"&amp;B$301,'Transition Stepwise'!$E$2:$E$1137,0))</f>
        <v>16</v>
      </c>
      <c r="C302" s="4">
        <f>INDEX('Transition Stepwise'!$F$2:$F$1137,MATCH(38&amp;"|"&amp;$A302&amp;"|"&amp;C$301,'Transition Stepwise'!$E$2:$E$1137,0))</f>
        <v>39</v>
      </c>
      <c r="D302" s="4">
        <f>INDEX('Transition Stepwise'!$F$2:$F$1137,MATCH(38&amp;"|"&amp;$A302&amp;"|"&amp;D$301,'Transition Stepwise'!$E$2:$E$1137,0))</f>
        <v>42</v>
      </c>
      <c r="E302" s="4">
        <f>INDEX('Transition Stepwise'!$F$2:$F$1137,MATCH(38&amp;"|"&amp;$A302&amp;"|"&amp;E$301,'Transition Stepwise'!$E$2:$E$1137,0))</f>
        <v>50</v>
      </c>
      <c r="F302" s="4">
        <f>ROUND(SUM(B302:E302),9)</f>
        <v>147</v>
      </c>
    </row>
    <row r="303" spans="1:6">
      <c r="A303" s="5" t="s">
        <v>71</v>
      </c>
      <c r="B303" s="4">
        <f>INDEX('Transition Stepwise'!$F$2:$F$1137,MATCH(38&amp;"|"&amp;$A303&amp;"|"&amp;B$301,'Transition Stepwise'!$E$2:$E$1137,0))</f>
        <v>0</v>
      </c>
      <c r="C303" s="4">
        <f>INDEX('Transition Stepwise'!$F$2:$F$1137,MATCH(38&amp;"|"&amp;$A303&amp;"|"&amp;C$301,'Transition Stepwise'!$E$2:$E$1137,0))</f>
        <v>8</v>
      </c>
      <c r="D303" s="4">
        <f>INDEX('Transition Stepwise'!$F$2:$F$1137,MATCH(38&amp;"|"&amp;$A303&amp;"|"&amp;D$301,'Transition Stepwise'!$E$2:$E$1137,0))</f>
        <v>16</v>
      </c>
      <c r="E303" s="4">
        <f>INDEX('Transition Stepwise'!$F$2:$F$1137,MATCH(38&amp;"|"&amp;$A303&amp;"|"&amp;E$301,'Transition Stepwise'!$E$2:$E$1137,0))</f>
        <v>5</v>
      </c>
      <c r="F303" s="4">
        <f>ROUND(SUM(B303:E303),9)</f>
        <v>29</v>
      </c>
    </row>
    <row r="304" spans="1:6">
      <c r="A304" s="5" t="s">
        <v>70</v>
      </c>
      <c r="B304" s="4">
        <f>INDEX('Transition Stepwise'!$F$2:$F$1137,MATCH(38&amp;"|"&amp;$A304&amp;"|"&amp;B$301,'Transition Stepwise'!$E$2:$E$1137,0))</f>
        <v>0</v>
      </c>
      <c r="C304" s="4">
        <f>INDEX('Transition Stepwise'!$F$2:$F$1137,MATCH(38&amp;"|"&amp;$A304&amp;"|"&amp;C$301,'Transition Stepwise'!$E$2:$E$1137,0))</f>
        <v>0</v>
      </c>
      <c r="D304" s="4">
        <f>INDEX('Transition Stepwise'!$F$2:$F$1137,MATCH(38&amp;"|"&amp;$A304&amp;"|"&amp;D$301,'Transition Stepwise'!$E$2:$E$1137,0))</f>
        <v>0</v>
      </c>
      <c r="E304" s="4">
        <f>INDEX('Transition Stepwise'!$F$2:$F$1137,MATCH(38&amp;"|"&amp;$A304&amp;"|"&amp;E$301,'Transition Stepwise'!$E$2:$E$1137,0))</f>
        <v>1</v>
      </c>
      <c r="F304" s="4">
        <f>ROUND(SUM(B304:E304),9)</f>
        <v>1</v>
      </c>
    </row>
    <row r="305" spans="1:6">
      <c r="A305" s="5" t="s">
        <v>72</v>
      </c>
      <c r="B305" s="4">
        <f>INDEX('Transition Stepwise'!$F$2:$F$1137,MATCH(38&amp;"|"&amp;$A305&amp;"|"&amp;B$301,'Transition Stepwise'!$E$2:$E$1137,0))</f>
        <v>2</v>
      </c>
      <c r="C305" s="4">
        <f>INDEX('Transition Stepwise'!$F$2:$F$1137,MATCH(38&amp;"|"&amp;$A305&amp;"|"&amp;C$301,'Transition Stepwise'!$E$2:$E$1137,0))</f>
        <v>4</v>
      </c>
      <c r="D305" s="4">
        <f>INDEX('Transition Stepwise'!$F$2:$F$1137,MATCH(38&amp;"|"&amp;$A305&amp;"|"&amp;D$301,'Transition Stepwise'!$E$2:$E$1137,0))</f>
        <v>14</v>
      </c>
      <c r="E305" s="4">
        <f>INDEX('Transition Stepwise'!$F$2:$F$1137,MATCH(38&amp;"|"&amp;$A305&amp;"|"&amp;E$301,'Transition Stepwise'!$E$2:$E$1137,0))</f>
        <v>3</v>
      </c>
      <c r="F305" s="4">
        <f>ROUND(SUM(B305:E305),9)</f>
        <v>23</v>
      </c>
    </row>
    <row r="306" spans="1:6">
      <c r="A306" s="4"/>
      <c r="B306" s="4"/>
      <c r="C306" s="4"/>
      <c r="D306" s="4"/>
      <c r="E306" s="4"/>
      <c r="F306" s="4"/>
    </row>
    <row r="307" spans="1:6">
      <c r="A307" s="4"/>
      <c r="B307" s="4"/>
      <c r="C307" s="4"/>
      <c r="D307" s="4"/>
      <c r="E307" s="4"/>
      <c r="F307" s="4"/>
    </row>
    <row r="308" spans="1:6">
      <c r="A308" s="5" t="s">
        <v>632</v>
      </c>
      <c r="B308" s="4"/>
      <c r="C308" s="4"/>
      <c r="D308" s="4"/>
      <c r="E308" s="4"/>
      <c r="F308" s="4"/>
    </row>
    <row r="309" spans="1:6">
      <c r="A309" s="9" t="s">
        <v>593</v>
      </c>
      <c r="B309" s="9" t="s">
        <v>73</v>
      </c>
      <c r="C309" s="9" t="s">
        <v>71</v>
      </c>
      <c r="D309" s="9" t="s">
        <v>70</v>
      </c>
      <c r="E309" s="9" t="s">
        <v>72</v>
      </c>
      <c r="F309" s="9" t="s">
        <v>594</v>
      </c>
    </row>
    <row r="310" spans="1:6">
      <c r="A310" s="5" t="s">
        <v>73</v>
      </c>
      <c r="B310" s="4">
        <f>INDEX('Transition Stepwise'!$F$2:$F$1137,MATCH(39&amp;"|"&amp;$A310&amp;"|"&amp;B$309,'Transition Stepwise'!$E$2:$E$1137,0))</f>
        <v>0</v>
      </c>
      <c r="C310" s="4">
        <f>INDEX('Transition Stepwise'!$F$2:$F$1137,MATCH(39&amp;"|"&amp;$A310&amp;"|"&amp;C$309,'Transition Stepwise'!$E$2:$E$1137,0))</f>
        <v>14</v>
      </c>
      <c r="D310" s="4">
        <f>INDEX('Transition Stepwise'!$F$2:$F$1137,MATCH(39&amp;"|"&amp;$A310&amp;"|"&amp;D$309,'Transition Stepwise'!$E$2:$E$1137,0))</f>
        <v>2</v>
      </c>
      <c r="E310" s="4">
        <f>INDEX('Transition Stepwise'!$F$2:$F$1137,MATCH(39&amp;"|"&amp;$A310&amp;"|"&amp;E$309,'Transition Stepwise'!$E$2:$E$1137,0))</f>
        <v>2</v>
      </c>
      <c r="F310" s="4">
        <f>ROUND(SUM(B310:E310),9)</f>
        <v>18</v>
      </c>
    </row>
    <row r="311" spans="1:6">
      <c r="A311" s="5" t="s">
        <v>71</v>
      </c>
      <c r="B311" s="4">
        <f>INDEX('Transition Stepwise'!$F$2:$F$1137,MATCH(39&amp;"|"&amp;$A311&amp;"|"&amp;B$309,'Transition Stepwise'!$E$2:$E$1137,0))</f>
        <v>0</v>
      </c>
      <c r="C311" s="4">
        <f>INDEX('Transition Stepwise'!$F$2:$F$1137,MATCH(39&amp;"|"&amp;$A311&amp;"|"&amp;C$309,'Transition Stepwise'!$E$2:$E$1137,0))</f>
        <v>38</v>
      </c>
      <c r="D311" s="4">
        <f>INDEX('Transition Stepwise'!$F$2:$F$1137,MATCH(39&amp;"|"&amp;$A311&amp;"|"&amp;D$309,'Transition Stepwise'!$E$2:$E$1137,0))</f>
        <v>13</v>
      </c>
      <c r="E311" s="4">
        <f>INDEX('Transition Stepwise'!$F$2:$F$1137,MATCH(39&amp;"|"&amp;$A311&amp;"|"&amp;E$309,'Transition Stepwise'!$E$2:$E$1137,0))</f>
        <v>0</v>
      </c>
      <c r="F311" s="4">
        <f>ROUND(SUM(B311:E311),9)</f>
        <v>51</v>
      </c>
    </row>
    <row r="312" spans="1:6">
      <c r="A312" s="5" t="s">
        <v>70</v>
      </c>
      <c r="B312" s="4">
        <f>INDEX('Transition Stepwise'!$F$2:$F$1137,MATCH(39&amp;"|"&amp;$A312&amp;"|"&amp;B$309,'Transition Stepwise'!$E$2:$E$1137,0))</f>
        <v>0</v>
      </c>
      <c r="C312" s="4">
        <f>INDEX('Transition Stepwise'!$F$2:$F$1137,MATCH(39&amp;"|"&amp;$A312&amp;"|"&amp;C$309,'Transition Stepwise'!$E$2:$E$1137,0))</f>
        <v>39</v>
      </c>
      <c r="D312" s="4">
        <f>INDEX('Transition Stepwise'!$F$2:$F$1137,MATCH(39&amp;"|"&amp;$A312&amp;"|"&amp;D$309,'Transition Stepwise'!$E$2:$E$1137,0))</f>
        <v>28</v>
      </c>
      <c r="E312" s="4">
        <f>INDEX('Transition Stepwise'!$F$2:$F$1137,MATCH(39&amp;"|"&amp;$A312&amp;"|"&amp;E$309,'Transition Stepwise'!$E$2:$E$1137,0))</f>
        <v>5</v>
      </c>
      <c r="F312" s="4">
        <f>ROUND(SUM(B312:E312),9)</f>
        <v>72</v>
      </c>
    </row>
    <row r="313" spans="1:6">
      <c r="A313" s="5" t="s">
        <v>72</v>
      </c>
      <c r="B313" s="4">
        <f>INDEX('Transition Stepwise'!$F$2:$F$1137,MATCH(39&amp;"|"&amp;$A313&amp;"|"&amp;B$309,'Transition Stepwise'!$E$2:$E$1137,0))</f>
        <v>1</v>
      </c>
      <c r="C313" s="4">
        <f>INDEX('Transition Stepwise'!$F$2:$F$1137,MATCH(39&amp;"|"&amp;$A313&amp;"|"&amp;C$309,'Transition Stepwise'!$E$2:$E$1137,0))</f>
        <v>52</v>
      </c>
      <c r="D313" s="4">
        <f>INDEX('Transition Stepwise'!$F$2:$F$1137,MATCH(39&amp;"|"&amp;$A313&amp;"|"&amp;D$309,'Transition Stepwise'!$E$2:$E$1137,0))</f>
        <v>5</v>
      </c>
      <c r="E313" s="4">
        <f>INDEX('Transition Stepwise'!$F$2:$F$1137,MATCH(39&amp;"|"&amp;$A313&amp;"|"&amp;E$309,'Transition Stepwise'!$E$2:$E$1137,0))</f>
        <v>1</v>
      </c>
      <c r="F313" s="4">
        <f>ROUND(SUM(B313:E313),9)</f>
        <v>59</v>
      </c>
    </row>
    <row r="314" spans="1:6">
      <c r="A314" s="4"/>
      <c r="B314" s="4"/>
      <c r="C314" s="4"/>
      <c r="D314" s="4"/>
      <c r="E314" s="4"/>
      <c r="F314" s="4"/>
    </row>
    <row r="315" spans="1:6">
      <c r="A315" s="4"/>
      <c r="B315" s="4"/>
      <c r="C315" s="4"/>
      <c r="D315" s="4"/>
      <c r="E315" s="4"/>
      <c r="F315" s="4"/>
    </row>
    <row r="316" spans="1:6">
      <c r="A316" s="5" t="s">
        <v>633</v>
      </c>
      <c r="B316" s="4"/>
      <c r="C316" s="4"/>
      <c r="D316" s="4"/>
      <c r="E316" s="4"/>
      <c r="F316" s="4"/>
    </row>
    <row r="317" spans="1:6">
      <c r="A317" s="9" t="s">
        <v>593</v>
      </c>
      <c r="B317" s="9" t="s">
        <v>73</v>
      </c>
      <c r="C317" s="9" t="s">
        <v>71</v>
      </c>
      <c r="D317" s="9" t="s">
        <v>70</v>
      </c>
      <c r="E317" s="9" t="s">
        <v>72</v>
      </c>
      <c r="F317" s="9" t="s">
        <v>594</v>
      </c>
    </row>
    <row r="318" spans="1:6">
      <c r="A318" s="5" t="s">
        <v>73</v>
      </c>
      <c r="B318" s="4">
        <f>INDEX('Transition Stepwise'!$F$2:$F$1137,MATCH(40&amp;"|"&amp;$A318&amp;"|"&amp;B$317,'Transition Stepwise'!$E$2:$E$1137,0))</f>
        <v>0</v>
      </c>
      <c r="C318" s="4">
        <f>INDEX('Transition Stepwise'!$F$2:$F$1137,MATCH(40&amp;"|"&amp;$A318&amp;"|"&amp;C$317,'Transition Stepwise'!$E$2:$E$1137,0))</f>
        <v>1</v>
      </c>
      <c r="D318" s="4">
        <f>INDEX('Transition Stepwise'!$F$2:$F$1137,MATCH(40&amp;"|"&amp;$A318&amp;"|"&amp;D$317,'Transition Stepwise'!$E$2:$E$1137,0))</f>
        <v>0</v>
      </c>
      <c r="E318" s="4">
        <f>INDEX('Transition Stepwise'!$F$2:$F$1137,MATCH(40&amp;"|"&amp;$A318&amp;"|"&amp;E$317,'Transition Stepwise'!$E$2:$E$1137,0))</f>
        <v>0</v>
      </c>
      <c r="F318" s="4">
        <f>ROUND(SUM(B318:E318),9)</f>
        <v>1</v>
      </c>
    </row>
    <row r="319" spans="1:6">
      <c r="A319" s="5" t="s">
        <v>71</v>
      </c>
      <c r="B319" s="4">
        <f>INDEX('Transition Stepwise'!$F$2:$F$1137,MATCH(40&amp;"|"&amp;$A319&amp;"|"&amp;B$317,'Transition Stepwise'!$E$2:$E$1137,0))</f>
        <v>34</v>
      </c>
      <c r="C319" s="4">
        <f>INDEX('Transition Stepwise'!$F$2:$F$1137,MATCH(40&amp;"|"&amp;$A319&amp;"|"&amp;C$317,'Transition Stepwise'!$E$2:$E$1137,0))</f>
        <v>57</v>
      </c>
      <c r="D319" s="4">
        <f>INDEX('Transition Stepwise'!$F$2:$F$1137,MATCH(40&amp;"|"&amp;$A319&amp;"|"&amp;D$317,'Transition Stepwise'!$E$2:$E$1137,0))</f>
        <v>27</v>
      </c>
      <c r="E319" s="4">
        <f>INDEX('Transition Stepwise'!$F$2:$F$1137,MATCH(40&amp;"|"&amp;$A319&amp;"|"&amp;E$317,'Transition Stepwise'!$E$2:$E$1137,0))</f>
        <v>25</v>
      </c>
      <c r="F319" s="4">
        <f>ROUND(SUM(B319:E319),9)</f>
        <v>143</v>
      </c>
    </row>
    <row r="320" spans="1:6">
      <c r="A320" s="5" t="s">
        <v>70</v>
      </c>
      <c r="B320" s="4">
        <f>INDEX('Transition Stepwise'!$F$2:$F$1137,MATCH(40&amp;"|"&amp;$A320&amp;"|"&amp;B$317,'Transition Stepwise'!$E$2:$E$1137,0))</f>
        <v>18</v>
      </c>
      <c r="C320" s="4">
        <f>INDEX('Transition Stepwise'!$F$2:$F$1137,MATCH(40&amp;"|"&amp;$A320&amp;"|"&amp;C$317,'Transition Stepwise'!$E$2:$E$1137,0))</f>
        <v>15</v>
      </c>
      <c r="D320" s="4">
        <f>INDEX('Transition Stepwise'!$F$2:$F$1137,MATCH(40&amp;"|"&amp;$A320&amp;"|"&amp;D$317,'Transition Stepwise'!$E$2:$E$1137,0))</f>
        <v>7</v>
      </c>
      <c r="E320" s="4">
        <f>INDEX('Transition Stepwise'!$F$2:$F$1137,MATCH(40&amp;"|"&amp;$A320&amp;"|"&amp;E$317,'Transition Stepwise'!$E$2:$E$1137,0))</f>
        <v>8</v>
      </c>
      <c r="F320" s="4">
        <f>ROUND(SUM(B320:E320),9)</f>
        <v>48</v>
      </c>
    </row>
    <row r="321" spans="1:6">
      <c r="A321" s="5" t="s">
        <v>72</v>
      </c>
      <c r="B321" s="4">
        <f>INDEX('Transition Stepwise'!$F$2:$F$1137,MATCH(40&amp;"|"&amp;$A321&amp;"|"&amp;B$317,'Transition Stepwise'!$E$2:$E$1137,0))</f>
        <v>2</v>
      </c>
      <c r="C321" s="4">
        <f>INDEX('Transition Stepwise'!$F$2:$F$1137,MATCH(40&amp;"|"&amp;$A321&amp;"|"&amp;C$317,'Transition Stepwise'!$E$2:$E$1137,0))</f>
        <v>4</v>
      </c>
      <c r="D321" s="4">
        <f>INDEX('Transition Stepwise'!$F$2:$F$1137,MATCH(40&amp;"|"&amp;$A321&amp;"|"&amp;D$317,'Transition Stepwise'!$E$2:$E$1137,0))</f>
        <v>2</v>
      </c>
      <c r="E321" s="4">
        <f>INDEX('Transition Stepwise'!$F$2:$F$1137,MATCH(40&amp;"|"&amp;$A321&amp;"|"&amp;E$317,'Transition Stepwise'!$E$2:$E$1137,0))</f>
        <v>0</v>
      </c>
      <c r="F321" s="4">
        <f>ROUND(SUM(B321:E321),9)</f>
        <v>8</v>
      </c>
    </row>
    <row r="322" spans="1:6">
      <c r="A322" s="4"/>
      <c r="B322" s="4"/>
      <c r="C322" s="4"/>
      <c r="D322" s="4"/>
      <c r="E322" s="4"/>
      <c r="F322" s="4"/>
    </row>
    <row r="323" spans="1:6">
      <c r="A323" s="4"/>
      <c r="B323" s="4"/>
      <c r="C323" s="4"/>
      <c r="D323" s="4"/>
      <c r="E323" s="4"/>
      <c r="F323" s="4"/>
    </row>
    <row r="324" spans="1:6">
      <c r="A324" s="5" t="s">
        <v>634</v>
      </c>
      <c r="B324" s="4"/>
      <c r="C324" s="4"/>
      <c r="D324" s="4"/>
      <c r="E324" s="4"/>
      <c r="F324" s="4"/>
    </row>
    <row r="325" spans="1:6">
      <c r="A325" s="9" t="s">
        <v>593</v>
      </c>
      <c r="B325" s="9" t="s">
        <v>73</v>
      </c>
      <c r="C325" s="9" t="s">
        <v>71</v>
      </c>
      <c r="D325" s="9" t="s">
        <v>70</v>
      </c>
      <c r="E325" s="9" t="s">
        <v>72</v>
      </c>
      <c r="F325" s="9" t="s">
        <v>594</v>
      </c>
    </row>
    <row r="326" spans="1:6">
      <c r="A326" s="5" t="s">
        <v>73</v>
      </c>
      <c r="B326" s="4">
        <f>INDEX('Transition Stepwise'!$F$2:$F$1137,MATCH(41&amp;"|"&amp;$A326&amp;"|"&amp;B$325,'Transition Stepwise'!$E$2:$E$1137,0))</f>
        <v>14</v>
      </c>
      <c r="C326" s="4">
        <f>INDEX('Transition Stepwise'!$F$2:$F$1137,MATCH(41&amp;"|"&amp;$A326&amp;"|"&amp;C$325,'Transition Stepwise'!$E$2:$E$1137,0))</f>
        <v>1</v>
      </c>
      <c r="D326" s="4">
        <f>INDEX('Transition Stepwise'!$F$2:$F$1137,MATCH(41&amp;"|"&amp;$A326&amp;"|"&amp;D$325,'Transition Stepwise'!$E$2:$E$1137,0))</f>
        <v>30</v>
      </c>
      <c r="E326" s="4">
        <f>INDEX('Transition Stepwise'!$F$2:$F$1137,MATCH(41&amp;"|"&amp;$A326&amp;"|"&amp;E$325,'Transition Stepwise'!$E$2:$E$1137,0))</f>
        <v>9</v>
      </c>
      <c r="F326" s="4">
        <f>ROUND(SUM(B326:E326),9)</f>
        <v>54</v>
      </c>
    </row>
    <row r="327" spans="1:6">
      <c r="A327" s="5" t="s">
        <v>71</v>
      </c>
      <c r="B327" s="4">
        <f>INDEX('Transition Stepwise'!$F$2:$F$1137,MATCH(41&amp;"|"&amp;$A327&amp;"|"&amp;B$325,'Transition Stepwise'!$E$2:$E$1137,0))</f>
        <v>16</v>
      </c>
      <c r="C327" s="4">
        <f>INDEX('Transition Stepwise'!$F$2:$F$1137,MATCH(41&amp;"|"&amp;$A327&amp;"|"&amp;C$325,'Transition Stepwise'!$E$2:$E$1137,0))</f>
        <v>10</v>
      </c>
      <c r="D327" s="4">
        <f>INDEX('Transition Stepwise'!$F$2:$F$1137,MATCH(41&amp;"|"&amp;$A327&amp;"|"&amp;D$325,'Transition Stepwise'!$E$2:$E$1137,0))</f>
        <v>47</v>
      </c>
      <c r="E327" s="4">
        <f>INDEX('Transition Stepwise'!$F$2:$F$1137,MATCH(41&amp;"|"&amp;$A327&amp;"|"&amp;E$325,'Transition Stepwise'!$E$2:$E$1137,0))</f>
        <v>4</v>
      </c>
      <c r="F327" s="4">
        <f>ROUND(SUM(B327:E327),9)</f>
        <v>77</v>
      </c>
    </row>
    <row r="328" spans="1:6">
      <c r="A328" s="5" t="s">
        <v>70</v>
      </c>
      <c r="B328" s="4">
        <f>INDEX('Transition Stepwise'!$F$2:$F$1137,MATCH(41&amp;"|"&amp;$A328&amp;"|"&amp;B$325,'Transition Stepwise'!$E$2:$E$1137,0))</f>
        <v>12</v>
      </c>
      <c r="C328" s="4">
        <f>INDEX('Transition Stepwise'!$F$2:$F$1137,MATCH(41&amp;"|"&amp;$A328&amp;"|"&amp;C$325,'Transition Stepwise'!$E$2:$E$1137,0))</f>
        <v>4</v>
      </c>
      <c r="D328" s="4">
        <f>INDEX('Transition Stepwise'!$F$2:$F$1137,MATCH(41&amp;"|"&amp;$A328&amp;"|"&amp;D$325,'Transition Stepwise'!$E$2:$E$1137,0))</f>
        <v>10</v>
      </c>
      <c r="E328" s="4">
        <f>INDEX('Transition Stepwise'!$F$2:$F$1137,MATCH(41&amp;"|"&amp;$A328&amp;"|"&amp;E$325,'Transition Stepwise'!$E$2:$E$1137,0))</f>
        <v>10</v>
      </c>
      <c r="F328" s="4">
        <f>ROUND(SUM(B328:E328),9)</f>
        <v>36</v>
      </c>
    </row>
    <row r="329" spans="1:6">
      <c r="A329" s="5" t="s">
        <v>72</v>
      </c>
      <c r="B329" s="4">
        <f>INDEX('Transition Stepwise'!$F$2:$F$1137,MATCH(41&amp;"|"&amp;$A329&amp;"|"&amp;B$325,'Transition Stepwise'!$E$2:$E$1137,0))</f>
        <v>7</v>
      </c>
      <c r="C329" s="4">
        <f>INDEX('Transition Stepwise'!$F$2:$F$1137,MATCH(41&amp;"|"&amp;$A329&amp;"|"&amp;C$325,'Transition Stepwise'!$E$2:$E$1137,0))</f>
        <v>5</v>
      </c>
      <c r="D329" s="4">
        <f>INDEX('Transition Stepwise'!$F$2:$F$1137,MATCH(41&amp;"|"&amp;$A329&amp;"|"&amp;D$325,'Transition Stepwise'!$E$2:$E$1137,0))</f>
        <v>18</v>
      </c>
      <c r="E329" s="4">
        <f>INDEX('Transition Stepwise'!$F$2:$F$1137,MATCH(41&amp;"|"&amp;$A329&amp;"|"&amp;E$325,'Transition Stepwise'!$E$2:$E$1137,0))</f>
        <v>3</v>
      </c>
      <c r="F329" s="4">
        <f>ROUND(SUM(B329:E329),9)</f>
        <v>33</v>
      </c>
    </row>
    <row r="330" spans="1:6">
      <c r="A330" s="4"/>
      <c r="B330" s="4"/>
      <c r="C330" s="4"/>
      <c r="D330" s="4"/>
      <c r="E330" s="4"/>
      <c r="F330" s="4"/>
    </row>
    <row r="331" spans="1:6">
      <c r="A331" s="4"/>
      <c r="B331" s="4"/>
      <c r="C331" s="4"/>
      <c r="D331" s="4"/>
      <c r="E331" s="4"/>
      <c r="F331" s="4"/>
    </row>
    <row r="332" spans="1:6">
      <c r="A332" s="5" t="s">
        <v>635</v>
      </c>
      <c r="B332" s="4"/>
      <c r="C332" s="4"/>
      <c r="D332" s="4"/>
      <c r="E332" s="4"/>
      <c r="F332" s="4"/>
    </row>
    <row r="333" spans="1:6">
      <c r="A333" s="9" t="s">
        <v>593</v>
      </c>
      <c r="B333" s="9" t="s">
        <v>73</v>
      </c>
      <c r="C333" s="9" t="s">
        <v>71</v>
      </c>
      <c r="D333" s="9" t="s">
        <v>70</v>
      </c>
      <c r="E333" s="9" t="s">
        <v>72</v>
      </c>
      <c r="F333" s="9" t="s">
        <v>594</v>
      </c>
    </row>
    <row r="334" spans="1:6">
      <c r="A334" s="5" t="s">
        <v>73</v>
      </c>
      <c r="B334" s="4">
        <f>INDEX('Transition Stepwise'!$F$2:$F$1137,MATCH(42&amp;"|"&amp;$A334&amp;"|"&amp;B$333,'Transition Stepwise'!$E$2:$E$1137,0))</f>
        <v>13</v>
      </c>
      <c r="C334" s="4">
        <f>INDEX('Transition Stepwise'!$F$2:$F$1137,MATCH(42&amp;"|"&amp;$A334&amp;"|"&amp;C$333,'Transition Stepwise'!$E$2:$E$1137,0))</f>
        <v>0</v>
      </c>
      <c r="D334" s="4">
        <f>INDEX('Transition Stepwise'!$F$2:$F$1137,MATCH(42&amp;"|"&amp;$A334&amp;"|"&amp;D$333,'Transition Stepwise'!$E$2:$E$1137,0))</f>
        <v>31</v>
      </c>
      <c r="E334" s="4">
        <f>INDEX('Transition Stepwise'!$F$2:$F$1137,MATCH(42&amp;"|"&amp;$A334&amp;"|"&amp;E$333,'Transition Stepwise'!$E$2:$E$1137,0))</f>
        <v>5</v>
      </c>
      <c r="F334" s="4">
        <f>ROUND(SUM(B334:E334),9)</f>
        <v>49</v>
      </c>
    </row>
    <row r="335" spans="1:6">
      <c r="A335" s="5" t="s">
        <v>71</v>
      </c>
      <c r="B335" s="4">
        <f>INDEX('Transition Stepwise'!$F$2:$F$1137,MATCH(42&amp;"|"&amp;$A335&amp;"|"&amp;B$333,'Transition Stepwise'!$E$2:$E$1137,0))</f>
        <v>5</v>
      </c>
      <c r="C335" s="4">
        <f>INDEX('Transition Stepwise'!$F$2:$F$1137,MATCH(42&amp;"|"&amp;$A335&amp;"|"&amp;C$333,'Transition Stepwise'!$E$2:$E$1137,0))</f>
        <v>2</v>
      </c>
      <c r="D335" s="4">
        <f>INDEX('Transition Stepwise'!$F$2:$F$1137,MATCH(42&amp;"|"&amp;$A335&amp;"|"&amp;D$333,'Transition Stepwise'!$E$2:$E$1137,0))</f>
        <v>9</v>
      </c>
      <c r="E335" s="4">
        <f>INDEX('Transition Stepwise'!$F$2:$F$1137,MATCH(42&amp;"|"&amp;$A335&amp;"|"&amp;E$333,'Transition Stepwise'!$E$2:$E$1137,0))</f>
        <v>4</v>
      </c>
      <c r="F335" s="4">
        <f>ROUND(SUM(B335:E335),9)</f>
        <v>20</v>
      </c>
    </row>
    <row r="336" spans="1:6">
      <c r="A336" s="5" t="s">
        <v>70</v>
      </c>
      <c r="B336" s="4">
        <f>INDEX('Transition Stepwise'!$F$2:$F$1137,MATCH(42&amp;"|"&amp;$A336&amp;"|"&amp;B$333,'Transition Stepwise'!$E$2:$E$1137,0))</f>
        <v>25</v>
      </c>
      <c r="C336" s="4">
        <f>INDEX('Transition Stepwise'!$F$2:$F$1137,MATCH(42&amp;"|"&amp;$A336&amp;"|"&amp;C$333,'Transition Stepwise'!$E$2:$E$1137,0))</f>
        <v>18</v>
      </c>
      <c r="D336" s="4">
        <f>INDEX('Transition Stepwise'!$F$2:$F$1137,MATCH(42&amp;"|"&amp;$A336&amp;"|"&amp;D$333,'Transition Stepwise'!$E$2:$E$1137,0))</f>
        <v>42</v>
      </c>
      <c r="E336" s="4">
        <f>INDEX('Transition Stepwise'!$F$2:$F$1137,MATCH(42&amp;"|"&amp;$A336&amp;"|"&amp;E$333,'Transition Stepwise'!$E$2:$E$1137,0))</f>
        <v>20</v>
      </c>
      <c r="F336" s="4">
        <f>ROUND(SUM(B336:E336),9)</f>
        <v>105</v>
      </c>
    </row>
    <row r="337" spans="1:6">
      <c r="A337" s="5" t="s">
        <v>72</v>
      </c>
      <c r="B337" s="4">
        <f>INDEX('Transition Stepwise'!$F$2:$F$1137,MATCH(42&amp;"|"&amp;$A337&amp;"|"&amp;B$333,'Transition Stepwise'!$E$2:$E$1137,0))</f>
        <v>2</v>
      </c>
      <c r="C337" s="4">
        <f>INDEX('Transition Stepwise'!$F$2:$F$1137,MATCH(42&amp;"|"&amp;$A337&amp;"|"&amp;C$333,'Transition Stepwise'!$E$2:$E$1137,0))</f>
        <v>3</v>
      </c>
      <c r="D337" s="4">
        <f>INDEX('Transition Stepwise'!$F$2:$F$1137,MATCH(42&amp;"|"&amp;$A337&amp;"|"&amp;D$333,'Transition Stepwise'!$E$2:$E$1137,0))</f>
        <v>18</v>
      </c>
      <c r="E337" s="4">
        <f>INDEX('Transition Stepwise'!$F$2:$F$1137,MATCH(42&amp;"|"&amp;$A337&amp;"|"&amp;E$333,'Transition Stepwise'!$E$2:$E$1137,0))</f>
        <v>3</v>
      </c>
      <c r="F337" s="4">
        <f>ROUND(SUM(B337:E337),9)</f>
        <v>26</v>
      </c>
    </row>
    <row r="338" spans="1:6">
      <c r="A338" s="4"/>
      <c r="B338" s="4"/>
      <c r="C338" s="4"/>
      <c r="D338" s="4"/>
      <c r="E338" s="4"/>
      <c r="F338" s="4"/>
    </row>
    <row r="339" spans="1:6">
      <c r="A339" s="4"/>
      <c r="B339" s="4"/>
      <c r="C339" s="4"/>
      <c r="D339" s="4"/>
      <c r="E339" s="4"/>
      <c r="F339" s="4"/>
    </row>
    <row r="340" spans="1:6">
      <c r="A340" s="5" t="s">
        <v>636</v>
      </c>
      <c r="B340" s="4"/>
      <c r="C340" s="4"/>
      <c r="D340" s="4"/>
      <c r="E340" s="4"/>
      <c r="F340" s="4"/>
    </row>
    <row r="341" spans="1:6">
      <c r="A341" s="9" t="s">
        <v>593</v>
      </c>
      <c r="B341" s="9" t="s">
        <v>73</v>
      </c>
      <c r="C341" s="9" t="s">
        <v>71</v>
      </c>
      <c r="D341" s="9" t="s">
        <v>70</v>
      </c>
      <c r="E341" s="9" t="s">
        <v>72</v>
      </c>
      <c r="F341" s="9" t="s">
        <v>594</v>
      </c>
    </row>
    <row r="342" spans="1:6">
      <c r="A342" s="5" t="s">
        <v>73</v>
      </c>
      <c r="B342" s="4">
        <f>INDEX('Transition Stepwise'!$F$2:$F$1137,MATCH(43&amp;"|"&amp;$A342&amp;"|"&amp;B$341,'Transition Stepwise'!$E$2:$E$1137,0))</f>
        <v>22</v>
      </c>
      <c r="C342" s="4">
        <f>INDEX('Transition Stepwise'!$F$2:$F$1137,MATCH(43&amp;"|"&amp;$A342&amp;"|"&amp;C$341,'Transition Stepwise'!$E$2:$E$1137,0))</f>
        <v>6</v>
      </c>
      <c r="D342" s="4">
        <f>INDEX('Transition Stepwise'!$F$2:$F$1137,MATCH(43&amp;"|"&amp;$A342&amp;"|"&amp;D$341,'Transition Stepwise'!$E$2:$E$1137,0))</f>
        <v>13</v>
      </c>
      <c r="E342" s="4">
        <f>INDEX('Transition Stepwise'!$F$2:$F$1137,MATCH(43&amp;"|"&amp;$A342&amp;"|"&amp;E$341,'Transition Stepwise'!$E$2:$E$1137,0))</f>
        <v>4</v>
      </c>
      <c r="F342" s="4">
        <f>ROUND(SUM(B342:E342),9)</f>
        <v>45</v>
      </c>
    </row>
    <row r="343" spans="1:6">
      <c r="A343" s="5" t="s">
        <v>71</v>
      </c>
      <c r="B343" s="4">
        <f>INDEX('Transition Stepwise'!$F$2:$F$1137,MATCH(43&amp;"|"&amp;$A343&amp;"|"&amp;B$341,'Transition Stepwise'!$E$2:$E$1137,0))</f>
        <v>9</v>
      </c>
      <c r="C343" s="4">
        <f>INDEX('Transition Stepwise'!$F$2:$F$1137,MATCH(43&amp;"|"&amp;$A343&amp;"|"&amp;C$341,'Transition Stepwise'!$E$2:$E$1137,0))</f>
        <v>4</v>
      </c>
      <c r="D343" s="4">
        <f>INDEX('Transition Stepwise'!$F$2:$F$1137,MATCH(43&amp;"|"&amp;$A343&amp;"|"&amp;D$341,'Transition Stepwise'!$E$2:$E$1137,0))</f>
        <v>7</v>
      </c>
      <c r="E343" s="4">
        <f>INDEX('Transition Stepwise'!$F$2:$F$1137,MATCH(43&amp;"|"&amp;$A343&amp;"|"&amp;E$341,'Transition Stepwise'!$E$2:$E$1137,0))</f>
        <v>3</v>
      </c>
      <c r="F343" s="4">
        <f>ROUND(SUM(B343:E343),9)</f>
        <v>23</v>
      </c>
    </row>
    <row r="344" spans="1:6">
      <c r="A344" s="5" t="s">
        <v>70</v>
      </c>
      <c r="B344" s="4">
        <f>INDEX('Transition Stepwise'!$F$2:$F$1137,MATCH(43&amp;"|"&amp;$A344&amp;"|"&amp;B$341,'Transition Stepwise'!$E$2:$E$1137,0))</f>
        <v>54</v>
      </c>
      <c r="C344" s="4">
        <f>INDEX('Transition Stepwise'!$F$2:$F$1137,MATCH(43&amp;"|"&amp;$A344&amp;"|"&amp;C$341,'Transition Stepwise'!$E$2:$E$1137,0))</f>
        <v>13</v>
      </c>
      <c r="D344" s="4">
        <f>INDEX('Transition Stepwise'!$F$2:$F$1137,MATCH(43&amp;"|"&amp;$A344&amp;"|"&amp;D$341,'Transition Stepwise'!$E$2:$E$1137,0))</f>
        <v>20</v>
      </c>
      <c r="E344" s="4">
        <f>INDEX('Transition Stepwise'!$F$2:$F$1137,MATCH(43&amp;"|"&amp;$A344&amp;"|"&amp;E$341,'Transition Stepwise'!$E$2:$E$1137,0))</f>
        <v>13</v>
      </c>
      <c r="F344" s="4">
        <f>ROUND(SUM(B344:E344),9)</f>
        <v>100</v>
      </c>
    </row>
    <row r="345" spans="1:6">
      <c r="A345" s="5" t="s">
        <v>72</v>
      </c>
      <c r="B345" s="4">
        <f>INDEX('Transition Stepwise'!$F$2:$F$1137,MATCH(43&amp;"|"&amp;$A345&amp;"|"&amp;B$341,'Transition Stepwise'!$E$2:$E$1137,0))</f>
        <v>15</v>
      </c>
      <c r="C345" s="4">
        <f>INDEX('Transition Stepwise'!$F$2:$F$1137,MATCH(43&amp;"|"&amp;$A345&amp;"|"&amp;C$341,'Transition Stepwise'!$E$2:$E$1137,0))</f>
        <v>8</v>
      </c>
      <c r="D345" s="4">
        <f>INDEX('Transition Stepwise'!$F$2:$F$1137,MATCH(43&amp;"|"&amp;$A345&amp;"|"&amp;D$341,'Transition Stepwise'!$E$2:$E$1137,0))</f>
        <v>6</v>
      </c>
      <c r="E345" s="4">
        <f>INDEX('Transition Stepwise'!$F$2:$F$1137,MATCH(43&amp;"|"&amp;$A345&amp;"|"&amp;E$341,'Transition Stepwise'!$E$2:$E$1137,0))</f>
        <v>3</v>
      </c>
      <c r="F345" s="4">
        <f>ROUND(SUM(B345:E345),9)</f>
        <v>32</v>
      </c>
    </row>
    <row r="346" spans="1:6">
      <c r="A346" s="4"/>
      <c r="B346" s="4"/>
      <c r="C346" s="4"/>
      <c r="D346" s="4"/>
      <c r="E346" s="4"/>
      <c r="F346" s="4"/>
    </row>
    <row r="347" spans="1:6">
      <c r="A347" s="4"/>
      <c r="B347" s="4"/>
      <c r="C347" s="4"/>
      <c r="D347" s="4"/>
      <c r="E347" s="4"/>
      <c r="F347" s="4"/>
    </row>
    <row r="348" spans="1:6">
      <c r="A348" s="5" t="s">
        <v>637</v>
      </c>
      <c r="B348" s="4"/>
      <c r="C348" s="4"/>
      <c r="D348" s="4"/>
      <c r="E348" s="4"/>
      <c r="F348" s="4"/>
    </row>
    <row r="349" spans="1:6">
      <c r="A349" s="9" t="s">
        <v>593</v>
      </c>
      <c r="B349" s="9" t="s">
        <v>73</v>
      </c>
      <c r="C349" s="9" t="s">
        <v>71</v>
      </c>
      <c r="D349" s="9" t="s">
        <v>70</v>
      </c>
      <c r="E349" s="9" t="s">
        <v>72</v>
      </c>
      <c r="F349" s="9" t="s">
        <v>594</v>
      </c>
    </row>
    <row r="350" spans="1:6">
      <c r="A350" s="5" t="s">
        <v>73</v>
      </c>
      <c r="B350" s="4">
        <f>INDEX('Transition Stepwise'!$F$2:$F$1137,MATCH(44&amp;"|"&amp;$A350&amp;"|"&amp;B$349,'Transition Stepwise'!$E$2:$E$1137,0))</f>
        <v>1</v>
      </c>
      <c r="C350" s="4">
        <f>INDEX('Transition Stepwise'!$F$2:$F$1137,MATCH(44&amp;"|"&amp;$A350&amp;"|"&amp;C$349,'Transition Stepwise'!$E$2:$E$1137,0))</f>
        <v>2</v>
      </c>
      <c r="D350" s="4">
        <f>INDEX('Transition Stepwise'!$F$2:$F$1137,MATCH(44&amp;"|"&amp;$A350&amp;"|"&amp;D$349,'Transition Stepwise'!$E$2:$E$1137,0))</f>
        <v>87</v>
      </c>
      <c r="E350" s="4">
        <f>INDEX('Transition Stepwise'!$F$2:$F$1137,MATCH(44&amp;"|"&amp;$A350&amp;"|"&amp;E$349,'Transition Stepwise'!$E$2:$E$1137,0))</f>
        <v>9</v>
      </c>
      <c r="F350" s="4">
        <f>ROUND(SUM(B350:E350),9)</f>
        <v>99</v>
      </c>
    </row>
    <row r="351" spans="1:6">
      <c r="A351" s="5" t="s">
        <v>71</v>
      </c>
      <c r="B351" s="4">
        <f>INDEX('Transition Stepwise'!$F$2:$F$1137,MATCH(44&amp;"|"&amp;$A351&amp;"|"&amp;B$349,'Transition Stepwise'!$E$2:$E$1137,0))</f>
        <v>7</v>
      </c>
      <c r="C351" s="4">
        <f>INDEX('Transition Stepwise'!$F$2:$F$1137,MATCH(44&amp;"|"&amp;$A351&amp;"|"&amp;C$349,'Transition Stepwise'!$E$2:$E$1137,0))</f>
        <v>1</v>
      </c>
      <c r="D351" s="4">
        <f>INDEX('Transition Stepwise'!$F$2:$F$1137,MATCH(44&amp;"|"&amp;$A351&amp;"|"&amp;D$349,'Transition Stepwise'!$E$2:$E$1137,0))</f>
        <v>16</v>
      </c>
      <c r="E351" s="4">
        <f>INDEX('Transition Stepwise'!$F$2:$F$1137,MATCH(44&amp;"|"&amp;$A351&amp;"|"&amp;E$349,'Transition Stepwise'!$E$2:$E$1137,0))</f>
        <v>6</v>
      </c>
      <c r="F351" s="4">
        <f>ROUND(SUM(B351:E351),9)</f>
        <v>30</v>
      </c>
    </row>
    <row r="352" spans="1:6">
      <c r="A352" s="5" t="s">
        <v>70</v>
      </c>
      <c r="B352" s="4">
        <f>INDEX('Transition Stepwise'!$F$2:$F$1137,MATCH(44&amp;"|"&amp;$A352&amp;"|"&amp;B$349,'Transition Stepwise'!$E$2:$E$1137,0))</f>
        <v>6</v>
      </c>
      <c r="C352" s="4">
        <f>INDEX('Transition Stepwise'!$F$2:$F$1137,MATCH(44&amp;"|"&amp;$A352&amp;"|"&amp;C$349,'Transition Stepwise'!$E$2:$E$1137,0))</f>
        <v>1</v>
      </c>
      <c r="D352" s="4">
        <f>INDEX('Transition Stepwise'!$F$2:$F$1137,MATCH(44&amp;"|"&amp;$A352&amp;"|"&amp;D$349,'Transition Stepwise'!$E$2:$E$1137,0))</f>
        <v>32</v>
      </c>
      <c r="E352" s="4">
        <f>INDEX('Transition Stepwise'!$F$2:$F$1137,MATCH(44&amp;"|"&amp;$A352&amp;"|"&amp;E$349,'Transition Stepwise'!$E$2:$E$1137,0))</f>
        <v>7</v>
      </c>
      <c r="F352" s="4">
        <f>ROUND(SUM(B352:E352),9)</f>
        <v>46</v>
      </c>
    </row>
    <row r="353" spans="1:6">
      <c r="A353" s="5" t="s">
        <v>72</v>
      </c>
      <c r="B353" s="4">
        <f>INDEX('Transition Stepwise'!$F$2:$F$1137,MATCH(44&amp;"|"&amp;$A353&amp;"|"&amp;B$349,'Transition Stepwise'!$E$2:$E$1137,0))</f>
        <v>1</v>
      </c>
      <c r="C353" s="4">
        <f>INDEX('Transition Stepwise'!$F$2:$F$1137,MATCH(44&amp;"|"&amp;$A353&amp;"|"&amp;C$349,'Transition Stepwise'!$E$2:$E$1137,0))</f>
        <v>1</v>
      </c>
      <c r="D353" s="4">
        <f>INDEX('Transition Stepwise'!$F$2:$F$1137,MATCH(44&amp;"|"&amp;$A353&amp;"|"&amp;D$349,'Transition Stepwise'!$E$2:$E$1137,0))</f>
        <v>15</v>
      </c>
      <c r="E353" s="4">
        <f>INDEX('Transition Stepwise'!$F$2:$F$1137,MATCH(44&amp;"|"&amp;$A353&amp;"|"&amp;E$349,'Transition Stepwise'!$E$2:$E$1137,0))</f>
        <v>6</v>
      </c>
      <c r="F353" s="4">
        <f>ROUND(SUM(B353:E353),9)</f>
        <v>23</v>
      </c>
    </row>
    <row r="354" spans="1:6">
      <c r="A354" s="4"/>
      <c r="B354" s="4"/>
      <c r="C354" s="4"/>
      <c r="D354" s="4"/>
      <c r="E354" s="4"/>
      <c r="F354" s="4"/>
    </row>
    <row r="355" spans="1:6">
      <c r="A355" s="4"/>
      <c r="B355" s="4"/>
      <c r="C355" s="4"/>
      <c r="D355" s="4"/>
      <c r="E355" s="4"/>
      <c r="F355" s="4"/>
    </row>
    <row r="356" spans="1:6">
      <c r="A356" s="5" t="s">
        <v>638</v>
      </c>
      <c r="B356" s="4"/>
      <c r="C356" s="4"/>
      <c r="D356" s="4"/>
      <c r="E356" s="4"/>
      <c r="F356" s="4"/>
    </row>
    <row r="357" spans="1:6">
      <c r="A357" s="9" t="s">
        <v>593</v>
      </c>
      <c r="B357" s="9" t="s">
        <v>73</v>
      </c>
      <c r="C357" s="9" t="s">
        <v>71</v>
      </c>
      <c r="D357" s="9" t="s">
        <v>70</v>
      </c>
      <c r="E357" s="9" t="s">
        <v>72</v>
      </c>
      <c r="F357" s="9" t="s">
        <v>594</v>
      </c>
    </row>
    <row r="358" spans="1:6">
      <c r="A358" s="5" t="s">
        <v>73</v>
      </c>
      <c r="B358" s="4">
        <f>INDEX('Transition Stepwise'!$F$2:$F$1137,MATCH(45&amp;"|"&amp;$A358&amp;"|"&amp;B$357,'Transition Stepwise'!$E$2:$E$1137,0))</f>
        <v>0</v>
      </c>
      <c r="C358" s="4">
        <f>INDEX('Transition Stepwise'!$F$2:$F$1137,MATCH(45&amp;"|"&amp;$A358&amp;"|"&amp;C$357,'Transition Stepwise'!$E$2:$E$1137,0))</f>
        <v>1</v>
      </c>
      <c r="D358" s="4">
        <f>INDEX('Transition Stepwise'!$F$2:$F$1137,MATCH(45&amp;"|"&amp;$A358&amp;"|"&amp;D$357,'Transition Stepwise'!$E$2:$E$1137,0))</f>
        <v>5</v>
      </c>
      <c r="E358" s="4">
        <f>INDEX('Transition Stepwise'!$F$2:$F$1137,MATCH(45&amp;"|"&amp;$A358&amp;"|"&amp;E$357,'Transition Stepwise'!$E$2:$E$1137,0))</f>
        <v>3</v>
      </c>
      <c r="F358" s="4">
        <f>ROUND(SUM(B358:E358),9)</f>
        <v>9</v>
      </c>
    </row>
    <row r="359" spans="1:6">
      <c r="A359" s="5" t="s">
        <v>71</v>
      </c>
      <c r="B359" s="4">
        <f>INDEX('Transition Stepwise'!$F$2:$F$1137,MATCH(45&amp;"|"&amp;$A359&amp;"|"&amp;B$357,'Transition Stepwise'!$E$2:$E$1137,0))</f>
        <v>0</v>
      </c>
      <c r="C359" s="4">
        <f>INDEX('Transition Stepwise'!$F$2:$F$1137,MATCH(45&amp;"|"&amp;$A359&amp;"|"&amp;C$357,'Transition Stepwise'!$E$2:$E$1137,0))</f>
        <v>1</v>
      </c>
      <c r="D359" s="4">
        <f>INDEX('Transition Stepwise'!$F$2:$F$1137,MATCH(45&amp;"|"&amp;$A359&amp;"|"&amp;D$357,'Transition Stepwise'!$E$2:$E$1137,0))</f>
        <v>3</v>
      </c>
      <c r="E359" s="4">
        <f>INDEX('Transition Stepwise'!$F$2:$F$1137,MATCH(45&amp;"|"&amp;$A359&amp;"|"&amp;E$357,'Transition Stepwise'!$E$2:$E$1137,0))</f>
        <v>1</v>
      </c>
      <c r="F359" s="4">
        <f>ROUND(SUM(B359:E359),9)</f>
        <v>5</v>
      </c>
    </row>
    <row r="360" spans="1:6">
      <c r="A360" s="5" t="s">
        <v>70</v>
      </c>
      <c r="B360" s="4">
        <f>INDEX('Transition Stepwise'!$F$2:$F$1137,MATCH(45&amp;"|"&amp;$A360&amp;"|"&amp;B$357,'Transition Stepwise'!$E$2:$E$1137,0))</f>
        <v>15</v>
      </c>
      <c r="C360" s="4">
        <f>INDEX('Transition Stepwise'!$F$2:$F$1137,MATCH(45&amp;"|"&amp;$A360&amp;"|"&amp;C$357,'Transition Stepwise'!$E$2:$E$1137,0))</f>
        <v>2</v>
      </c>
      <c r="D360" s="4">
        <f>INDEX('Transition Stepwise'!$F$2:$F$1137,MATCH(45&amp;"|"&amp;$A360&amp;"|"&amp;D$357,'Transition Stepwise'!$E$2:$E$1137,0))</f>
        <v>113</v>
      </c>
      <c r="E360" s="4">
        <f>INDEX('Transition Stepwise'!$F$2:$F$1137,MATCH(45&amp;"|"&amp;$A360&amp;"|"&amp;E$357,'Transition Stepwise'!$E$2:$E$1137,0))</f>
        <v>4</v>
      </c>
      <c r="F360" s="4">
        <f>ROUND(SUM(B360:E360),9)</f>
        <v>134</v>
      </c>
    </row>
    <row r="361" spans="1:6">
      <c r="A361" s="5" t="s">
        <v>72</v>
      </c>
      <c r="B361" s="4">
        <f>INDEX('Transition Stepwise'!$F$2:$F$1137,MATCH(45&amp;"|"&amp;$A361&amp;"|"&amp;B$357,'Transition Stepwise'!$E$2:$E$1137,0))</f>
        <v>1</v>
      </c>
      <c r="C361" s="4">
        <f>INDEX('Transition Stepwise'!$F$2:$F$1137,MATCH(45&amp;"|"&amp;$A361&amp;"|"&amp;C$357,'Transition Stepwise'!$E$2:$E$1137,0))</f>
        <v>0</v>
      </c>
      <c r="D361" s="4">
        <f>INDEX('Transition Stepwise'!$F$2:$F$1137,MATCH(45&amp;"|"&amp;$A361&amp;"|"&amp;D$357,'Transition Stepwise'!$E$2:$E$1137,0))</f>
        <v>16</v>
      </c>
      <c r="E361" s="4">
        <f>INDEX('Transition Stepwise'!$F$2:$F$1137,MATCH(45&amp;"|"&amp;$A361&amp;"|"&amp;E$357,'Transition Stepwise'!$E$2:$E$1137,0))</f>
        <v>4</v>
      </c>
      <c r="F361" s="4">
        <f>ROUND(SUM(B361:E361),9)</f>
        <v>21</v>
      </c>
    </row>
    <row r="362" spans="1:6">
      <c r="A362" s="4"/>
      <c r="B362" s="4"/>
      <c r="C362" s="4"/>
      <c r="D362" s="4"/>
      <c r="E362" s="4"/>
      <c r="F362" s="4"/>
    </row>
    <row r="363" spans="1:6">
      <c r="A363" s="4"/>
      <c r="B363" s="4"/>
      <c r="C363" s="4"/>
      <c r="D363" s="4"/>
      <c r="E363" s="4"/>
      <c r="F363" s="4"/>
    </row>
    <row r="364" spans="1:6">
      <c r="A364" s="5" t="s">
        <v>639</v>
      </c>
      <c r="B364" s="4"/>
      <c r="C364" s="4"/>
      <c r="D364" s="4"/>
      <c r="E364" s="4"/>
      <c r="F364" s="4"/>
    </row>
    <row r="365" spans="1:6">
      <c r="A365" s="9" t="s">
        <v>593</v>
      </c>
      <c r="B365" s="9" t="s">
        <v>73</v>
      </c>
      <c r="C365" s="9" t="s">
        <v>71</v>
      </c>
      <c r="D365" s="9" t="s">
        <v>70</v>
      </c>
      <c r="E365" s="9" t="s">
        <v>72</v>
      </c>
      <c r="F365" s="9" t="s">
        <v>594</v>
      </c>
    </row>
    <row r="366" spans="1:6">
      <c r="A366" s="5" t="s">
        <v>73</v>
      </c>
      <c r="B366" s="4">
        <f>INDEX('Transition Stepwise'!$F$2:$F$1137,MATCH(46&amp;"|"&amp;$A366&amp;"|"&amp;B$365,'Transition Stepwise'!$E$2:$E$1137,0))</f>
        <v>0</v>
      </c>
      <c r="C366" s="4">
        <f>INDEX('Transition Stepwise'!$F$2:$F$1137,MATCH(46&amp;"|"&amp;$A366&amp;"|"&amp;C$365,'Transition Stepwise'!$E$2:$E$1137,0))</f>
        <v>3</v>
      </c>
      <c r="D366" s="4">
        <f>INDEX('Transition Stepwise'!$F$2:$F$1137,MATCH(46&amp;"|"&amp;$A366&amp;"|"&amp;D$365,'Transition Stepwise'!$E$2:$E$1137,0))</f>
        <v>1</v>
      </c>
      <c r="E366" s="4">
        <f>INDEX('Transition Stepwise'!$F$2:$F$1137,MATCH(46&amp;"|"&amp;$A366&amp;"|"&amp;E$365,'Transition Stepwise'!$E$2:$E$1137,0))</f>
        <v>12</v>
      </c>
      <c r="F366" s="4">
        <f>ROUND(SUM(B366:E366),9)</f>
        <v>16</v>
      </c>
    </row>
    <row r="367" spans="1:6">
      <c r="A367" s="5" t="s">
        <v>71</v>
      </c>
      <c r="B367" s="4">
        <f>INDEX('Transition Stepwise'!$F$2:$F$1137,MATCH(46&amp;"|"&amp;$A367&amp;"|"&amp;B$365,'Transition Stepwise'!$E$2:$E$1137,0))</f>
        <v>1</v>
      </c>
      <c r="C367" s="4">
        <f>INDEX('Transition Stepwise'!$F$2:$F$1137,MATCH(46&amp;"|"&amp;$A367&amp;"|"&amp;C$365,'Transition Stepwise'!$E$2:$E$1137,0))</f>
        <v>1</v>
      </c>
      <c r="D367" s="4">
        <f>INDEX('Transition Stepwise'!$F$2:$F$1137,MATCH(46&amp;"|"&amp;$A367&amp;"|"&amp;D$365,'Transition Stepwise'!$E$2:$E$1137,0))</f>
        <v>1</v>
      </c>
      <c r="E367" s="4">
        <f>INDEX('Transition Stepwise'!$F$2:$F$1137,MATCH(46&amp;"|"&amp;$A367&amp;"|"&amp;E$365,'Transition Stepwise'!$E$2:$E$1137,0))</f>
        <v>1</v>
      </c>
      <c r="F367" s="4">
        <f>ROUND(SUM(B367:E367),9)</f>
        <v>4</v>
      </c>
    </row>
    <row r="368" spans="1:6">
      <c r="A368" s="5" t="s">
        <v>70</v>
      </c>
      <c r="B368" s="4">
        <f>INDEX('Transition Stepwise'!$F$2:$F$1137,MATCH(46&amp;"|"&amp;$A368&amp;"|"&amp;B$365,'Transition Stepwise'!$E$2:$E$1137,0))</f>
        <v>0</v>
      </c>
      <c r="C368" s="4">
        <f>INDEX('Transition Stepwise'!$F$2:$F$1137,MATCH(46&amp;"|"&amp;$A368&amp;"|"&amp;C$365,'Transition Stepwise'!$E$2:$E$1137,0))</f>
        <v>15</v>
      </c>
      <c r="D368" s="4">
        <f>INDEX('Transition Stepwise'!$F$2:$F$1137,MATCH(46&amp;"|"&amp;$A368&amp;"|"&amp;D$365,'Transition Stepwise'!$E$2:$E$1137,0))</f>
        <v>4</v>
      </c>
      <c r="E368" s="4">
        <f>INDEX('Transition Stepwise'!$F$2:$F$1137,MATCH(46&amp;"|"&amp;$A368&amp;"|"&amp;E$365,'Transition Stepwise'!$E$2:$E$1137,0))</f>
        <v>118</v>
      </c>
      <c r="F368" s="4">
        <f>ROUND(SUM(B368:E368),9)</f>
        <v>137</v>
      </c>
    </row>
    <row r="369" spans="1:6">
      <c r="A369" s="5" t="s">
        <v>72</v>
      </c>
      <c r="B369" s="4">
        <f>INDEX('Transition Stepwise'!$F$2:$F$1137,MATCH(46&amp;"|"&amp;$A369&amp;"|"&amp;B$365,'Transition Stepwise'!$E$2:$E$1137,0))</f>
        <v>5</v>
      </c>
      <c r="C369" s="4">
        <f>INDEX('Transition Stepwise'!$F$2:$F$1137,MATCH(46&amp;"|"&amp;$A369&amp;"|"&amp;C$365,'Transition Stepwise'!$E$2:$E$1137,0))</f>
        <v>3</v>
      </c>
      <c r="D369" s="4">
        <f>INDEX('Transition Stepwise'!$F$2:$F$1137,MATCH(46&amp;"|"&amp;$A369&amp;"|"&amp;D$365,'Transition Stepwise'!$E$2:$E$1137,0))</f>
        <v>3</v>
      </c>
      <c r="E369" s="4">
        <f>INDEX('Transition Stepwise'!$F$2:$F$1137,MATCH(46&amp;"|"&amp;$A369&amp;"|"&amp;E$365,'Transition Stepwise'!$E$2:$E$1137,0))</f>
        <v>1</v>
      </c>
      <c r="F369" s="4">
        <f>ROUND(SUM(B369:E369),9)</f>
        <v>12</v>
      </c>
    </row>
    <row r="370" spans="1:6">
      <c r="A370" s="4"/>
      <c r="B370" s="4"/>
      <c r="C370" s="4"/>
      <c r="D370" s="4"/>
      <c r="E370" s="4"/>
      <c r="F370" s="4"/>
    </row>
    <row r="371" spans="1:6">
      <c r="A371" s="4"/>
      <c r="B371" s="4"/>
      <c r="C371" s="4"/>
      <c r="D371" s="4"/>
      <c r="E371" s="4"/>
      <c r="F371" s="4"/>
    </row>
    <row r="372" spans="1:6">
      <c r="A372" s="5" t="s">
        <v>640</v>
      </c>
      <c r="B372" s="4"/>
      <c r="C372" s="4"/>
      <c r="D372" s="4"/>
      <c r="E372" s="4"/>
      <c r="F372" s="4"/>
    </row>
    <row r="373" spans="1:6">
      <c r="A373" s="9" t="s">
        <v>593</v>
      </c>
      <c r="B373" s="9" t="s">
        <v>73</v>
      </c>
      <c r="C373" s="9" t="s">
        <v>71</v>
      </c>
      <c r="D373" s="9" t="s">
        <v>70</v>
      </c>
      <c r="E373" s="9" t="s">
        <v>72</v>
      </c>
      <c r="F373" s="9" t="s">
        <v>594</v>
      </c>
    </row>
    <row r="374" spans="1:6">
      <c r="A374" s="5" t="s">
        <v>73</v>
      </c>
      <c r="B374" s="4">
        <f>INDEX('Transition Stepwise'!$F$2:$F$1137,MATCH(47&amp;"|"&amp;$A374&amp;"|"&amp;B$373,'Transition Stepwise'!$E$2:$E$1137,0))</f>
        <v>1</v>
      </c>
      <c r="C374" s="4">
        <f>INDEX('Transition Stepwise'!$F$2:$F$1137,MATCH(47&amp;"|"&amp;$A374&amp;"|"&amp;C$373,'Transition Stepwise'!$E$2:$E$1137,0))</f>
        <v>20</v>
      </c>
      <c r="D374" s="4">
        <f>INDEX('Transition Stepwise'!$F$2:$F$1137,MATCH(47&amp;"|"&amp;$A374&amp;"|"&amp;D$373,'Transition Stepwise'!$E$2:$E$1137,0))</f>
        <v>1</v>
      </c>
      <c r="E374" s="4">
        <f>INDEX('Transition Stepwise'!$F$2:$F$1137,MATCH(47&amp;"|"&amp;$A374&amp;"|"&amp;E$373,'Transition Stepwise'!$E$2:$E$1137,0))</f>
        <v>4</v>
      </c>
      <c r="F374" s="4">
        <f>ROUND(SUM(B374:E374),9)</f>
        <v>26</v>
      </c>
    </row>
    <row r="375" spans="1:6">
      <c r="A375" s="5" t="s">
        <v>71</v>
      </c>
      <c r="B375" s="4">
        <f>INDEX('Transition Stepwise'!$F$2:$F$1137,MATCH(47&amp;"|"&amp;$A375&amp;"|"&amp;B$373,'Transition Stepwise'!$E$2:$E$1137,0))</f>
        <v>0</v>
      </c>
      <c r="C375" s="4">
        <f>INDEX('Transition Stepwise'!$F$2:$F$1137,MATCH(47&amp;"|"&amp;$A375&amp;"|"&amp;C$373,'Transition Stepwise'!$E$2:$E$1137,0))</f>
        <v>22</v>
      </c>
      <c r="D375" s="4">
        <f>INDEX('Transition Stepwise'!$F$2:$F$1137,MATCH(47&amp;"|"&amp;$A375&amp;"|"&amp;D$373,'Transition Stepwise'!$E$2:$E$1137,0))</f>
        <v>0</v>
      </c>
      <c r="E375" s="4">
        <f>INDEX('Transition Stepwise'!$F$2:$F$1137,MATCH(47&amp;"|"&amp;$A375&amp;"|"&amp;E$373,'Transition Stepwise'!$E$2:$E$1137,0))</f>
        <v>1</v>
      </c>
      <c r="F375" s="4">
        <f>ROUND(SUM(B375:E375),9)</f>
        <v>23</v>
      </c>
    </row>
    <row r="376" spans="1:6">
      <c r="A376" s="5" t="s">
        <v>70</v>
      </c>
      <c r="B376" s="4">
        <f>INDEX('Transition Stepwise'!$F$2:$F$1137,MATCH(47&amp;"|"&amp;$A376&amp;"|"&amp;B$373,'Transition Stepwise'!$E$2:$E$1137,0))</f>
        <v>0</v>
      </c>
      <c r="C376" s="4">
        <f>INDEX('Transition Stepwise'!$F$2:$F$1137,MATCH(47&amp;"|"&amp;$A376&amp;"|"&amp;C$373,'Transition Stepwise'!$E$2:$E$1137,0))</f>
        <v>8</v>
      </c>
      <c r="D376" s="4">
        <f>INDEX('Transition Stepwise'!$F$2:$F$1137,MATCH(47&amp;"|"&amp;$A376&amp;"|"&amp;D$373,'Transition Stepwise'!$E$2:$E$1137,0))</f>
        <v>0</v>
      </c>
      <c r="E376" s="4">
        <f>INDEX('Transition Stepwise'!$F$2:$F$1137,MATCH(47&amp;"|"&amp;$A376&amp;"|"&amp;E$373,'Transition Stepwise'!$E$2:$E$1137,0))</f>
        <v>8</v>
      </c>
      <c r="F376" s="4">
        <f>ROUND(SUM(B376:E376),9)</f>
        <v>16</v>
      </c>
    </row>
    <row r="377" spans="1:6">
      <c r="A377" s="5" t="s">
        <v>72</v>
      </c>
      <c r="B377" s="4">
        <f>INDEX('Transition Stepwise'!$F$2:$F$1137,MATCH(47&amp;"|"&amp;$A377&amp;"|"&amp;B$373,'Transition Stepwise'!$E$2:$E$1137,0))</f>
        <v>0</v>
      </c>
      <c r="C377" s="4">
        <f>INDEX('Transition Stepwise'!$F$2:$F$1137,MATCH(47&amp;"|"&amp;$A377&amp;"|"&amp;C$373,'Transition Stepwise'!$E$2:$E$1137,0))</f>
        <v>118</v>
      </c>
      <c r="D377" s="4">
        <f>INDEX('Transition Stepwise'!$F$2:$F$1137,MATCH(47&amp;"|"&amp;$A377&amp;"|"&amp;D$373,'Transition Stepwise'!$E$2:$E$1137,0))</f>
        <v>1</v>
      </c>
      <c r="E377" s="4">
        <f>INDEX('Transition Stepwise'!$F$2:$F$1137,MATCH(47&amp;"|"&amp;$A377&amp;"|"&amp;E$373,'Transition Stepwise'!$E$2:$E$1137,0))</f>
        <v>16</v>
      </c>
      <c r="F377" s="4">
        <f>ROUND(SUM(B377:E377),9)</f>
        <v>135</v>
      </c>
    </row>
    <row r="378" spans="1:6">
      <c r="A378" s="4"/>
      <c r="B378" s="4"/>
      <c r="C378" s="4"/>
      <c r="D378" s="4"/>
      <c r="E378" s="4"/>
      <c r="F378" s="4"/>
    </row>
    <row r="379" spans="1:6">
      <c r="A379" s="4"/>
      <c r="B379" s="4"/>
      <c r="C379" s="4"/>
      <c r="D379" s="4"/>
      <c r="E379" s="4"/>
      <c r="F379" s="4"/>
    </row>
    <row r="380" spans="1:6">
      <c r="A380" s="5" t="s">
        <v>641</v>
      </c>
      <c r="B380" s="4"/>
      <c r="C380" s="4"/>
      <c r="D380" s="4"/>
      <c r="E380" s="4"/>
      <c r="F380" s="4"/>
    </row>
    <row r="381" spans="1:6">
      <c r="A381" s="9" t="s">
        <v>593</v>
      </c>
      <c r="B381" s="9" t="s">
        <v>73</v>
      </c>
      <c r="C381" s="9" t="s">
        <v>71</v>
      </c>
      <c r="D381" s="9" t="s">
        <v>70</v>
      </c>
      <c r="E381" s="9" t="s">
        <v>72</v>
      </c>
      <c r="F381" s="9" t="s">
        <v>594</v>
      </c>
    </row>
    <row r="382" spans="1:6">
      <c r="A382" s="5" t="s">
        <v>73</v>
      </c>
      <c r="B382" s="4">
        <f>INDEX('Transition Stepwise'!$F$2:$F$1137,MATCH(48&amp;"|"&amp;$A382&amp;"|"&amp;B$381,'Transition Stepwise'!$E$2:$E$1137,0))</f>
        <v>1</v>
      </c>
      <c r="C382" s="4">
        <f>INDEX('Transition Stepwise'!$F$2:$F$1137,MATCH(48&amp;"|"&amp;$A382&amp;"|"&amp;C$381,'Transition Stepwise'!$E$2:$E$1137,0))</f>
        <v>0</v>
      </c>
      <c r="D382" s="4">
        <f>INDEX('Transition Stepwise'!$F$2:$F$1137,MATCH(48&amp;"|"&amp;$A382&amp;"|"&amp;D$381,'Transition Stepwise'!$E$2:$E$1137,0))</f>
        <v>0</v>
      </c>
      <c r="E382" s="4">
        <f>INDEX('Transition Stepwise'!$F$2:$F$1137,MATCH(48&amp;"|"&amp;$A382&amp;"|"&amp;E$381,'Transition Stepwise'!$E$2:$E$1137,0))</f>
        <v>0</v>
      </c>
      <c r="F382" s="4">
        <f>ROUND(SUM(B382:E382),9)</f>
        <v>1</v>
      </c>
    </row>
    <row r="383" spans="1:6">
      <c r="A383" s="5" t="s">
        <v>71</v>
      </c>
      <c r="B383" s="4">
        <f>INDEX('Transition Stepwise'!$F$2:$F$1137,MATCH(48&amp;"|"&amp;$A383&amp;"|"&amp;B$381,'Transition Stepwise'!$E$2:$E$1137,0))</f>
        <v>23</v>
      </c>
      <c r="C383" s="4">
        <f>INDEX('Transition Stepwise'!$F$2:$F$1137,MATCH(48&amp;"|"&amp;$A383&amp;"|"&amp;C$381,'Transition Stepwise'!$E$2:$E$1137,0))</f>
        <v>51</v>
      </c>
      <c r="D383" s="4">
        <f>INDEX('Transition Stepwise'!$F$2:$F$1137,MATCH(48&amp;"|"&amp;$A383&amp;"|"&amp;D$381,'Transition Stepwise'!$E$2:$E$1137,0))</f>
        <v>85</v>
      </c>
      <c r="E383" s="4">
        <f>INDEX('Transition Stepwise'!$F$2:$F$1137,MATCH(48&amp;"|"&amp;$A383&amp;"|"&amp;E$381,'Transition Stepwise'!$E$2:$E$1137,0))</f>
        <v>9</v>
      </c>
      <c r="F383" s="4">
        <f>ROUND(SUM(B383:E383),9)</f>
        <v>168</v>
      </c>
    </row>
    <row r="384" spans="1:6">
      <c r="A384" s="5" t="s">
        <v>70</v>
      </c>
      <c r="B384" s="4">
        <f>INDEX('Transition Stepwise'!$F$2:$F$1137,MATCH(48&amp;"|"&amp;$A384&amp;"|"&amp;B$381,'Transition Stepwise'!$E$2:$E$1137,0))</f>
        <v>0</v>
      </c>
      <c r="C384" s="4">
        <f>INDEX('Transition Stepwise'!$F$2:$F$1137,MATCH(48&amp;"|"&amp;$A384&amp;"|"&amp;C$381,'Transition Stepwise'!$E$2:$E$1137,0))</f>
        <v>2</v>
      </c>
      <c r="D384" s="4">
        <f>INDEX('Transition Stepwise'!$F$2:$F$1137,MATCH(48&amp;"|"&amp;$A384&amp;"|"&amp;D$381,'Transition Stepwise'!$E$2:$E$1137,0))</f>
        <v>0</v>
      </c>
      <c r="E384" s="4">
        <f>INDEX('Transition Stepwise'!$F$2:$F$1137,MATCH(48&amp;"|"&amp;$A384&amp;"|"&amp;E$381,'Transition Stepwise'!$E$2:$E$1137,0))</f>
        <v>0</v>
      </c>
      <c r="F384" s="4">
        <f>ROUND(SUM(B384:E384),9)</f>
        <v>2</v>
      </c>
    </row>
    <row r="385" spans="1:6">
      <c r="A385" s="5" t="s">
        <v>72</v>
      </c>
      <c r="B385" s="4">
        <f>INDEX('Transition Stepwise'!$F$2:$F$1137,MATCH(48&amp;"|"&amp;$A385&amp;"|"&amp;B$381,'Transition Stepwise'!$E$2:$E$1137,0))</f>
        <v>7</v>
      </c>
      <c r="C385" s="4">
        <f>INDEX('Transition Stepwise'!$F$2:$F$1137,MATCH(48&amp;"|"&amp;$A385&amp;"|"&amp;C$381,'Transition Stepwise'!$E$2:$E$1137,0))</f>
        <v>4</v>
      </c>
      <c r="D385" s="4">
        <f>INDEX('Transition Stepwise'!$F$2:$F$1137,MATCH(48&amp;"|"&amp;$A385&amp;"|"&amp;D$381,'Transition Stepwise'!$E$2:$E$1137,0))</f>
        <v>16</v>
      </c>
      <c r="E385" s="4">
        <f>INDEX('Transition Stepwise'!$F$2:$F$1137,MATCH(48&amp;"|"&amp;$A385&amp;"|"&amp;E$381,'Transition Stepwise'!$E$2:$E$1137,0))</f>
        <v>2</v>
      </c>
      <c r="F385" s="4">
        <f>ROUND(SUM(B385:E385),9)</f>
        <v>29</v>
      </c>
    </row>
    <row r="386" spans="1:6">
      <c r="A386" s="4"/>
      <c r="B386" s="4"/>
      <c r="C386" s="4"/>
      <c r="D386" s="4"/>
      <c r="E386" s="4"/>
      <c r="F386" s="4"/>
    </row>
    <row r="387" spans="1:6">
      <c r="A387" s="4"/>
      <c r="B387" s="4"/>
      <c r="C387" s="4"/>
      <c r="D387" s="4"/>
      <c r="E387" s="4"/>
      <c r="F387" s="4"/>
    </row>
    <row r="388" spans="1:6">
      <c r="A388" s="5" t="s">
        <v>642</v>
      </c>
      <c r="B388" s="4"/>
      <c r="C388" s="4"/>
      <c r="D388" s="4"/>
      <c r="E388" s="4"/>
      <c r="F388" s="4"/>
    </row>
    <row r="389" spans="1:6">
      <c r="A389" s="9" t="s">
        <v>593</v>
      </c>
      <c r="B389" s="9" t="s">
        <v>73</v>
      </c>
      <c r="C389" s="9" t="s">
        <v>71</v>
      </c>
      <c r="D389" s="9" t="s">
        <v>70</v>
      </c>
      <c r="E389" s="9" t="s">
        <v>72</v>
      </c>
      <c r="F389" s="9" t="s">
        <v>594</v>
      </c>
    </row>
    <row r="390" spans="1:6">
      <c r="A390" s="5" t="s">
        <v>73</v>
      </c>
      <c r="B390" s="4">
        <f>INDEX('Transition Stepwise'!$F$2:$F$1137,MATCH(49&amp;"|"&amp;$A390&amp;"|"&amp;B$389,'Transition Stepwise'!$E$2:$E$1137,0))</f>
        <v>2</v>
      </c>
      <c r="C390" s="4">
        <f>INDEX('Transition Stepwise'!$F$2:$F$1137,MATCH(49&amp;"|"&amp;$A390&amp;"|"&amp;C$389,'Transition Stepwise'!$E$2:$E$1137,0))</f>
        <v>15</v>
      </c>
      <c r="D390" s="4">
        <f>INDEX('Transition Stepwise'!$F$2:$F$1137,MATCH(49&amp;"|"&amp;$A390&amp;"|"&amp;D$389,'Transition Stepwise'!$E$2:$E$1137,0))</f>
        <v>8</v>
      </c>
      <c r="E390" s="4">
        <f>INDEX('Transition Stepwise'!$F$2:$F$1137,MATCH(49&amp;"|"&amp;$A390&amp;"|"&amp;E$389,'Transition Stepwise'!$E$2:$E$1137,0))</f>
        <v>6</v>
      </c>
      <c r="F390" s="4">
        <f>ROUND(SUM(B390:E390),9)</f>
        <v>31</v>
      </c>
    </row>
    <row r="391" spans="1:6">
      <c r="A391" s="5" t="s">
        <v>71</v>
      </c>
      <c r="B391" s="4">
        <f>INDEX('Transition Stepwise'!$F$2:$F$1137,MATCH(49&amp;"|"&amp;$A391&amp;"|"&amp;B$389,'Transition Stepwise'!$E$2:$E$1137,0))</f>
        <v>3</v>
      </c>
      <c r="C391" s="4">
        <f>INDEX('Transition Stepwise'!$F$2:$F$1137,MATCH(49&amp;"|"&amp;$A391&amp;"|"&amp;C$389,'Transition Stepwise'!$E$2:$E$1137,0))</f>
        <v>34</v>
      </c>
      <c r="D391" s="4">
        <f>INDEX('Transition Stepwise'!$F$2:$F$1137,MATCH(49&amp;"|"&amp;$A391&amp;"|"&amp;D$389,'Transition Stepwise'!$E$2:$E$1137,0))</f>
        <v>12</v>
      </c>
      <c r="E391" s="4">
        <f>INDEX('Transition Stepwise'!$F$2:$F$1137,MATCH(49&amp;"|"&amp;$A391&amp;"|"&amp;E$389,'Transition Stepwise'!$E$2:$E$1137,0))</f>
        <v>8</v>
      </c>
      <c r="F391" s="4">
        <f>ROUND(SUM(B391:E391),9)</f>
        <v>57</v>
      </c>
    </row>
    <row r="392" spans="1:6">
      <c r="A392" s="5" t="s">
        <v>70</v>
      </c>
      <c r="B392" s="4">
        <f>INDEX('Transition Stepwise'!$F$2:$F$1137,MATCH(49&amp;"|"&amp;$A392&amp;"|"&amp;B$389,'Transition Stepwise'!$E$2:$E$1137,0))</f>
        <v>16</v>
      </c>
      <c r="C392" s="4">
        <f>INDEX('Transition Stepwise'!$F$2:$F$1137,MATCH(49&amp;"|"&amp;$A392&amp;"|"&amp;C$389,'Transition Stepwise'!$E$2:$E$1137,0))</f>
        <v>33</v>
      </c>
      <c r="D392" s="4">
        <f>INDEX('Transition Stepwise'!$F$2:$F$1137,MATCH(49&amp;"|"&amp;$A392&amp;"|"&amp;D$389,'Transition Stepwise'!$E$2:$E$1137,0))</f>
        <v>30</v>
      </c>
      <c r="E392" s="4">
        <f>INDEX('Transition Stepwise'!$F$2:$F$1137,MATCH(49&amp;"|"&amp;$A392&amp;"|"&amp;E$389,'Transition Stepwise'!$E$2:$E$1137,0))</f>
        <v>22</v>
      </c>
      <c r="F392" s="4">
        <f>ROUND(SUM(B392:E392),9)</f>
        <v>101</v>
      </c>
    </row>
    <row r="393" spans="1:6">
      <c r="A393" s="5" t="s">
        <v>72</v>
      </c>
      <c r="B393" s="4">
        <f>INDEX('Transition Stepwise'!$F$2:$F$1137,MATCH(49&amp;"|"&amp;$A393&amp;"|"&amp;B$389,'Transition Stepwise'!$E$2:$E$1137,0))</f>
        <v>2</v>
      </c>
      <c r="C393" s="4">
        <f>INDEX('Transition Stepwise'!$F$2:$F$1137,MATCH(49&amp;"|"&amp;$A393&amp;"|"&amp;C$389,'Transition Stepwise'!$E$2:$E$1137,0))</f>
        <v>5</v>
      </c>
      <c r="D393" s="4">
        <f>INDEX('Transition Stepwise'!$F$2:$F$1137,MATCH(49&amp;"|"&amp;$A393&amp;"|"&amp;D$389,'Transition Stepwise'!$E$2:$E$1137,0))</f>
        <v>4</v>
      </c>
      <c r="E393" s="4">
        <f>INDEX('Transition Stepwise'!$F$2:$F$1137,MATCH(49&amp;"|"&amp;$A393&amp;"|"&amp;E$389,'Transition Stepwise'!$E$2:$E$1137,0))</f>
        <v>0</v>
      </c>
      <c r="F393" s="4">
        <f>ROUND(SUM(B393:E393),9)</f>
        <v>11</v>
      </c>
    </row>
    <row r="394" spans="1:6">
      <c r="A394" s="4"/>
      <c r="B394" s="4"/>
      <c r="C394" s="4"/>
      <c r="D394" s="4"/>
      <c r="E394" s="4"/>
      <c r="F394" s="4"/>
    </row>
    <row r="395" spans="1:6">
      <c r="A395" s="4"/>
      <c r="B395" s="4"/>
      <c r="C395" s="4"/>
      <c r="D395" s="4"/>
      <c r="E395" s="4"/>
      <c r="F395" s="4"/>
    </row>
    <row r="396" spans="1:6">
      <c r="A396" s="5" t="s">
        <v>643</v>
      </c>
      <c r="B396" s="4"/>
      <c r="C396" s="4"/>
      <c r="D396" s="4"/>
      <c r="E396" s="4"/>
      <c r="F396" s="4"/>
    </row>
    <row r="397" spans="1:6">
      <c r="A397" s="9" t="s">
        <v>593</v>
      </c>
      <c r="B397" s="9" t="s">
        <v>73</v>
      </c>
      <c r="C397" s="9" t="s">
        <v>71</v>
      </c>
      <c r="D397" s="9" t="s">
        <v>70</v>
      </c>
      <c r="E397" s="9" t="s">
        <v>72</v>
      </c>
      <c r="F397" s="9" t="s">
        <v>594</v>
      </c>
    </row>
    <row r="398" spans="1:6">
      <c r="A398" s="5" t="s">
        <v>73</v>
      </c>
      <c r="B398" s="4">
        <f>INDEX('Transition Stepwise'!$F$2:$F$1137,MATCH(50&amp;"|"&amp;$A398&amp;"|"&amp;B$397,'Transition Stepwise'!$E$2:$E$1137,0))</f>
        <v>3</v>
      </c>
      <c r="C398" s="4">
        <f>INDEX('Transition Stepwise'!$F$2:$F$1137,MATCH(50&amp;"|"&amp;$A398&amp;"|"&amp;C$397,'Transition Stepwise'!$E$2:$E$1137,0))</f>
        <v>2</v>
      </c>
      <c r="D398" s="4">
        <f>INDEX('Transition Stepwise'!$F$2:$F$1137,MATCH(50&amp;"|"&amp;$A398&amp;"|"&amp;D$397,'Transition Stepwise'!$E$2:$E$1137,0))</f>
        <v>16</v>
      </c>
      <c r="E398" s="4">
        <f>INDEX('Transition Stepwise'!$F$2:$F$1137,MATCH(50&amp;"|"&amp;$A398&amp;"|"&amp;E$397,'Transition Stepwise'!$E$2:$E$1137,0))</f>
        <v>2</v>
      </c>
      <c r="F398" s="4">
        <f>ROUND(SUM(B398:E398),9)</f>
        <v>23</v>
      </c>
    </row>
    <row r="399" spans="1:6">
      <c r="A399" s="5" t="s">
        <v>71</v>
      </c>
      <c r="B399" s="4">
        <f>INDEX('Transition Stepwise'!$F$2:$F$1137,MATCH(50&amp;"|"&amp;$A399&amp;"|"&amp;B$397,'Transition Stepwise'!$E$2:$E$1137,0))</f>
        <v>16</v>
      </c>
      <c r="C399" s="4">
        <f>INDEX('Transition Stepwise'!$F$2:$F$1137,MATCH(50&amp;"|"&amp;$A399&amp;"|"&amp;C$397,'Transition Stepwise'!$E$2:$E$1137,0))</f>
        <v>18</v>
      </c>
      <c r="D399" s="4">
        <f>INDEX('Transition Stepwise'!$F$2:$F$1137,MATCH(50&amp;"|"&amp;$A399&amp;"|"&amp;D$397,'Transition Stepwise'!$E$2:$E$1137,0))</f>
        <v>38</v>
      </c>
      <c r="E399" s="4">
        <f>INDEX('Transition Stepwise'!$F$2:$F$1137,MATCH(50&amp;"|"&amp;$A399&amp;"|"&amp;E$397,'Transition Stepwise'!$E$2:$E$1137,0))</f>
        <v>15</v>
      </c>
      <c r="F399" s="4">
        <f>ROUND(SUM(B399:E399),9)</f>
        <v>87</v>
      </c>
    </row>
    <row r="400" spans="1:6">
      <c r="A400" s="5" t="s">
        <v>70</v>
      </c>
      <c r="B400" s="4">
        <f>INDEX('Transition Stepwise'!$F$2:$F$1137,MATCH(50&amp;"|"&amp;$A400&amp;"|"&amp;B$397,'Transition Stepwise'!$E$2:$E$1137,0))</f>
        <v>4</v>
      </c>
      <c r="C400" s="4">
        <f>INDEX('Transition Stepwise'!$F$2:$F$1137,MATCH(50&amp;"|"&amp;$A400&amp;"|"&amp;C$397,'Transition Stepwise'!$E$2:$E$1137,0))</f>
        <v>14</v>
      </c>
      <c r="D400" s="4">
        <f>INDEX('Transition Stepwise'!$F$2:$F$1137,MATCH(50&amp;"|"&amp;$A400&amp;"|"&amp;D$397,'Transition Stepwise'!$E$2:$E$1137,0))</f>
        <v>26</v>
      </c>
      <c r="E400" s="4">
        <f>INDEX('Transition Stepwise'!$F$2:$F$1137,MATCH(50&amp;"|"&amp;$A400&amp;"|"&amp;E$397,'Transition Stepwise'!$E$2:$E$1137,0))</f>
        <v>9</v>
      </c>
      <c r="F400" s="4">
        <f>ROUND(SUM(B400:E400),9)</f>
        <v>53</v>
      </c>
    </row>
    <row r="401" spans="1:6">
      <c r="A401" s="5" t="s">
        <v>72</v>
      </c>
      <c r="B401" s="4">
        <f>INDEX('Transition Stepwise'!$F$2:$F$1137,MATCH(50&amp;"|"&amp;$A401&amp;"|"&amp;B$397,'Transition Stepwise'!$E$2:$E$1137,0))</f>
        <v>5</v>
      </c>
      <c r="C401" s="4">
        <f>INDEX('Transition Stepwise'!$F$2:$F$1137,MATCH(50&amp;"|"&amp;$A401&amp;"|"&amp;C$397,'Transition Stepwise'!$E$2:$E$1137,0))</f>
        <v>7</v>
      </c>
      <c r="D401" s="4">
        <f>INDEX('Transition Stepwise'!$F$2:$F$1137,MATCH(50&amp;"|"&amp;$A401&amp;"|"&amp;D$397,'Transition Stepwise'!$E$2:$E$1137,0))</f>
        <v>19</v>
      </c>
      <c r="E401" s="4">
        <f>INDEX('Transition Stepwise'!$F$2:$F$1137,MATCH(50&amp;"|"&amp;$A401&amp;"|"&amp;E$397,'Transition Stepwise'!$E$2:$E$1137,0))</f>
        <v>5</v>
      </c>
      <c r="F401" s="4">
        <f>ROUND(SUM(B401:E401),9)</f>
        <v>36</v>
      </c>
    </row>
    <row r="402" spans="1:6">
      <c r="A402" s="4"/>
      <c r="B402" s="4"/>
      <c r="C402" s="4"/>
      <c r="D402" s="4"/>
      <c r="E402" s="4"/>
      <c r="F402" s="4"/>
    </row>
    <row r="403" spans="1:6">
      <c r="A403" s="4"/>
      <c r="B403" s="4"/>
      <c r="C403" s="4"/>
      <c r="D403" s="4"/>
      <c r="E403" s="4"/>
      <c r="F403" s="4"/>
    </row>
    <row r="404" spans="1:6">
      <c r="A404" s="5" t="s">
        <v>644</v>
      </c>
      <c r="B404" s="4"/>
      <c r="C404" s="4"/>
      <c r="D404" s="4"/>
      <c r="E404" s="4"/>
      <c r="F404" s="4"/>
    </row>
    <row r="405" spans="1:6">
      <c r="A405" s="9" t="s">
        <v>593</v>
      </c>
      <c r="B405" s="9" t="s">
        <v>73</v>
      </c>
      <c r="C405" s="9" t="s">
        <v>71</v>
      </c>
      <c r="D405" s="9" t="s">
        <v>70</v>
      </c>
      <c r="E405" s="9" t="s">
        <v>72</v>
      </c>
      <c r="F405" s="9" t="s">
        <v>594</v>
      </c>
    </row>
    <row r="406" spans="1:6">
      <c r="A406" s="5" t="s">
        <v>73</v>
      </c>
      <c r="B406" s="4">
        <f>INDEX('Transition Stepwise'!$F$2:$F$1137,MATCH(51&amp;"|"&amp;$A406&amp;"|"&amp;B$405,'Transition Stepwise'!$E$2:$E$1137,0))</f>
        <v>1</v>
      </c>
      <c r="C406" s="4">
        <f>INDEX('Transition Stepwise'!$F$2:$F$1137,MATCH(51&amp;"|"&amp;$A406&amp;"|"&amp;C$405,'Transition Stepwise'!$E$2:$E$1137,0))</f>
        <v>0</v>
      </c>
      <c r="D406" s="4">
        <f>INDEX('Transition Stepwise'!$F$2:$F$1137,MATCH(51&amp;"|"&amp;$A406&amp;"|"&amp;D$405,'Transition Stepwise'!$E$2:$E$1137,0))</f>
        <v>27</v>
      </c>
      <c r="E406" s="4">
        <f>INDEX('Transition Stepwise'!$F$2:$F$1137,MATCH(51&amp;"|"&amp;$A406&amp;"|"&amp;E$405,'Transition Stepwise'!$E$2:$E$1137,0))</f>
        <v>0</v>
      </c>
      <c r="F406" s="4">
        <f>ROUND(SUM(B406:E406),9)</f>
        <v>28</v>
      </c>
    </row>
    <row r="407" spans="1:6">
      <c r="A407" s="5" t="s">
        <v>71</v>
      </c>
      <c r="B407" s="4">
        <f>INDEX('Transition Stepwise'!$F$2:$F$1137,MATCH(51&amp;"|"&amp;$A407&amp;"|"&amp;B$405,'Transition Stepwise'!$E$2:$E$1137,0))</f>
        <v>9</v>
      </c>
      <c r="C407" s="4">
        <f>INDEX('Transition Stepwise'!$F$2:$F$1137,MATCH(51&amp;"|"&amp;$A407&amp;"|"&amp;C$405,'Transition Stepwise'!$E$2:$E$1137,0))</f>
        <v>0</v>
      </c>
      <c r="D407" s="4">
        <f>INDEX('Transition Stepwise'!$F$2:$F$1137,MATCH(51&amp;"|"&amp;$A407&amp;"|"&amp;D$405,'Transition Stepwise'!$E$2:$E$1137,0))</f>
        <v>32</v>
      </c>
      <c r="E407" s="4">
        <f>INDEX('Transition Stepwise'!$F$2:$F$1137,MATCH(51&amp;"|"&amp;$A407&amp;"|"&amp;E$405,'Transition Stepwise'!$E$2:$E$1137,0))</f>
        <v>0</v>
      </c>
      <c r="F407" s="4">
        <f>ROUND(SUM(B407:E407),9)</f>
        <v>41</v>
      </c>
    </row>
    <row r="408" spans="1:6">
      <c r="A408" s="5" t="s">
        <v>70</v>
      </c>
      <c r="B408" s="4">
        <f>INDEX('Transition Stepwise'!$F$2:$F$1137,MATCH(51&amp;"|"&amp;$A408&amp;"|"&amp;B$405,'Transition Stepwise'!$E$2:$E$1137,0))</f>
        <v>15</v>
      </c>
      <c r="C408" s="4">
        <f>INDEX('Transition Stepwise'!$F$2:$F$1137,MATCH(51&amp;"|"&amp;$A408&amp;"|"&amp;C$405,'Transition Stepwise'!$E$2:$E$1137,0))</f>
        <v>1</v>
      </c>
      <c r="D408" s="4">
        <f>INDEX('Transition Stepwise'!$F$2:$F$1137,MATCH(51&amp;"|"&amp;$A408&amp;"|"&amp;D$405,'Transition Stepwise'!$E$2:$E$1137,0))</f>
        <v>80</v>
      </c>
      <c r="E408" s="4">
        <f>INDEX('Transition Stepwise'!$F$2:$F$1137,MATCH(51&amp;"|"&amp;$A408&amp;"|"&amp;E$405,'Transition Stepwise'!$E$2:$E$1137,0))</f>
        <v>3</v>
      </c>
      <c r="F408" s="4">
        <f>ROUND(SUM(B408:E408),9)</f>
        <v>99</v>
      </c>
    </row>
    <row r="409" spans="1:6">
      <c r="A409" s="5" t="s">
        <v>72</v>
      </c>
      <c r="B409" s="4">
        <f>INDEX('Transition Stepwise'!$F$2:$F$1137,MATCH(51&amp;"|"&amp;$A409&amp;"|"&amp;B$405,'Transition Stepwise'!$E$2:$E$1137,0))</f>
        <v>1</v>
      </c>
      <c r="C409" s="4">
        <f>INDEX('Transition Stepwise'!$F$2:$F$1137,MATCH(51&amp;"|"&amp;$A409&amp;"|"&amp;C$405,'Transition Stepwise'!$E$2:$E$1137,0))</f>
        <v>0</v>
      </c>
      <c r="D409" s="4">
        <f>INDEX('Transition Stepwise'!$F$2:$F$1137,MATCH(51&amp;"|"&amp;$A409&amp;"|"&amp;D$405,'Transition Stepwise'!$E$2:$E$1137,0))</f>
        <v>29</v>
      </c>
      <c r="E409" s="4">
        <f>INDEX('Transition Stepwise'!$F$2:$F$1137,MATCH(51&amp;"|"&amp;$A409&amp;"|"&amp;E$405,'Transition Stepwise'!$E$2:$E$1137,0))</f>
        <v>1</v>
      </c>
      <c r="F409" s="4">
        <f>ROUND(SUM(B409:E409),9)</f>
        <v>31</v>
      </c>
    </row>
    <row r="410" spans="1:6">
      <c r="A410" s="4"/>
      <c r="B410" s="4"/>
      <c r="C410" s="4"/>
      <c r="D410" s="4"/>
      <c r="E410" s="4"/>
      <c r="F410" s="4"/>
    </row>
    <row r="411" spans="1:6">
      <c r="A411" s="4"/>
      <c r="B411" s="4"/>
      <c r="C411" s="4"/>
      <c r="D411" s="4"/>
      <c r="E411" s="4"/>
      <c r="F411" s="4"/>
    </row>
    <row r="412" spans="1:6">
      <c r="A412" s="5" t="s">
        <v>645</v>
      </c>
      <c r="B412" s="4"/>
      <c r="C412" s="4"/>
      <c r="D412" s="4"/>
      <c r="E412" s="4"/>
      <c r="F412" s="4"/>
    </row>
    <row r="413" spans="1:6">
      <c r="A413" s="9" t="s">
        <v>593</v>
      </c>
      <c r="B413" s="9" t="s">
        <v>73</v>
      </c>
      <c r="C413" s="9" t="s">
        <v>71</v>
      </c>
      <c r="D413" s="9" t="s">
        <v>70</v>
      </c>
      <c r="E413" s="9" t="s">
        <v>72</v>
      </c>
      <c r="F413" s="9" t="s">
        <v>594</v>
      </c>
    </row>
    <row r="414" spans="1:6">
      <c r="A414" s="5" t="s">
        <v>73</v>
      </c>
      <c r="B414" s="4">
        <f>INDEX('Transition Stepwise'!$F$2:$F$1137,MATCH(52&amp;"|"&amp;$A414&amp;"|"&amp;B$413,'Transition Stepwise'!$E$2:$E$1137,0))</f>
        <v>0</v>
      </c>
      <c r="C414" s="4">
        <f>INDEX('Transition Stepwise'!$F$2:$F$1137,MATCH(52&amp;"|"&amp;$A414&amp;"|"&amp;C$413,'Transition Stepwise'!$E$2:$E$1137,0))</f>
        <v>0</v>
      </c>
      <c r="D414" s="4">
        <f>INDEX('Transition Stepwise'!$F$2:$F$1137,MATCH(52&amp;"|"&amp;$A414&amp;"|"&amp;D$413,'Transition Stepwise'!$E$2:$E$1137,0))</f>
        <v>26</v>
      </c>
      <c r="E414" s="4">
        <f>INDEX('Transition Stepwise'!$F$2:$F$1137,MATCH(52&amp;"|"&amp;$A414&amp;"|"&amp;E$413,'Transition Stepwise'!$E$2:$E$1137,0))</f>
        <v>0</v>
      </c>
      <c r="F414" s="4">
        <f>ROUND(SUM(B414:E414),9)</f>
        <v>26</v>
      </c>
    </row>
    <row r="415" spans="1:6">
      <c r="A415" s="5" t="s">
        <v>71</v>
      </c>
      <c r="B415" s="4">
        <f>INDEX('Transition Stepwise'!$F$2:$F$1137,MATCH(52&amp;"|"&amp;$A415&amp;"|"&amp;B$413,'Transition Stepwise'!$E$2:$E$1137,0))</f>
        <v>0</v>
      </c>
      <c r="C415" s="4">
        <f>INDEX('Transition Stepwise'!$F$2:$F$1137,MATCH(52&amp;"|"&amp;$A415&amp;"|"&amp;C$413,'Transition Stepwise'!$E$2:$E$1137,0))</f>
        <v>0</v>
      </c>
      <c r="D415" s="4">
        <f>INDEX('Transition Stepwise'!$F$2:$F$1137,MATCH(52&amp;"|"&amp;$A415&amp;"|"&amp;D$413,'Transition Stepwise'!$E$2:$E$1137,0))</f>
        <v>2</v>
      </c>
      <c r="E415" s="4">
        <f>INDEX('Transition Stepwise'!$F$2:$F$1137,MATCH(52&amp;"|"&amp;$A415&amp;"|"&amp;E$413,'Transition Stepwise'!$E$2:$E$1137,0))</f>
        <v>0</v>
      </c>
      <c r="F415" s="4">
        <f>ROUND(SUM(B415:E415),9)</f>
        <v>2</v>
      </c>
    </row>
    <row r="416" spans="1:6">
      <c r="A416" s="5" t="s">
        <v>70</v>
      </c>
      <c r="B416" s="4">
        <f>INDEX('Transition Stepwise'!$F$2:$F$1137,MATCH(52&amp;"|"&amp;$A416&amp;"|"&amp;B$413,'Transition Stepwise'!$E$2:$E$1137,0))</f>
        <v>1</v>
      </c>
      <c r="C416" s="4">
        <f>INDEX('Transition Stepwise'!$F$2:$F$1137,MATCH(52&amp;"|"&amp;$A416&amp;"|"&amp;C$413,'Transition Stepwise'!$E$2:$E$1137,0))</f>
        <v>0</v>
      </c>
      <c r="D416" s="4">
        <f>INDEX('Transition Stepwise'!$F$2:$F$1137,MATCH(52&amp;"|"&amp;$A416&amp;"|"&amp;D$413,'Transition Stepwise'!$E$2:$E$1137,0))</f>
        <v>165</v>
      </c>
      <c r="E416" s="4">
        <f>INDEX('Transition Stepwise'!$F$2:$F$1137,MATCH(52&amp;"|"&amp;$A416&amp;"|"&amp;E$413,'Transition Stepwise'!$E$2:$E$1137,0))</f>
        <v>2</v>
      </c>
      <c r="F416" s="4">
        <f>ROUND(SUM(B416:E416),9)</f>
        <v>168</v>
      </c>
    </row>
    <row r="417" spans="1:6">
      <c r="A417" s="5" t="s">
        <v>72</v>
      </c>
      <c r="B417" s="4">
        <f>INDEX('Transition Stepwise'!$F$2:$F$1137,MATCH(52&amp;"|"&amp;$A417&amp;"|"&amp;B$413,'Transition Stepwise'!$E$2:$E$1137,0))</f>
        <v>0</v>
      </c>
      <c r="C417" s="4">
        <f>INDEX('Transition Stepwise'!$F$2:$F$1137,MATCH(52&amp;"|"&amp;$A417&amp;"|"&amp;C$413,'Transition Stepwise'!$E$2:$E$1137,0))</f>
        <v>1</v>
      </c>
      <c r="D417" s="4">
        <f>INDEX('Transition Stepwise'!$F$2:$F$1137,MATCH(52&amp;"|"&amp;$A417&amp;"|"&amp;D$413,'Transition Stepwise'!$E$2:$E$1137,0))</f>
        <v>3</v>
      </c>
      <c r="E417" s="4">
        <f>INDEX('Transition Stepwise'!$F$2:$F$1137,MATCH(52&amp;"|"&amp;$A417&amp;"|"&amp;E$413,'Transition Stepwise'!$E$2:$E$1137,0))</f>
        <v>0</v>
      </c>
      <c r="F417" s="4">
        <f>ROUND(SUM(B417:E417),9)</f>
        <v>4</v>
      </c>
    </row>
    <row r="418" spans="1:6">
      <c r="A418" s="4"/>
      <c r="B418" s="4"/>
      <c r="C418" s="4"/>
      <c r="D418" s="4"/>
      <c r="E418" s="4"/>
      <c r="F418" s="4"/>
    </row>
    <row r="419" spans="1:6">
      <c r="A419" s="4"/>
      <c r="B419" s="4"/>
      <c r="C419" s="4"/>
      <c r="D419" s="4"/>
      <c r="E419" s="4"/>
      <c r="F419" s="4"/>
    </row>
    <row r="420" spans="1:6">
      <c r="A420" s="5" t="s">
        <v>646</v>
      </c>
      <c r="B420" s="4"/>
      <c r="C420" s="4"/>
      <c r="D420" s="4"/>
      <c r="E420" s="4"/>
      <c r="F420" s="4"/>
    </row>
    <row r="421" spans="1:6">
      <c r="A421" s="9" t="s">
        <v>593</v>
      </c>
      <c r="B421" s="9" t="s">
        <v>73</v>
      </c>
      <c r="C421" s="9" t="s">
        <v>71</v>
      </c>
      <c r="D421" s="9" t="s">
        <v>70</v>
      </c>
      <c r="E421" s="9" t="s">
        <v>72</v>
      </c>
      <c r="F421" s="9" t="s">
        <v>594</v>
      </c>
    </row>
    <row r="422" spans="1:6">
      <c r="A422" s="5" t="s">
        <v>73</v>
      </c>
      <c r="B422" s="4">
        <f>INDEX('Transition Stepwise'!$F$2:$F$1137,MATCH(53&amp;"|"&amp;$A422&amp;"|"&amp;B$421,'Transition Stepwise'!$E$2:$E$1137,0))</f>
        <v>0</v>
      </c>
      <c r="C422" s="4">
        <f>INDEX('Transition Stepwise'!$F$2:$F$1137,MATCH(53&amp;"|"&amp;$A422&amp;"|"&amp;C$421,'Transition Stepwise'!$E$2:$E$1137,0))</f>
        <v>0</v>
      </c>
      <c r="D422" s="4">
        <f>INDEX('Transition Stepwise'!$F$2:$F$1137,MATCH(53&amp;"|"&amp;$A422&amp;"|"&amp;D$421,'Transition Stepwise'!$E$2:$E$1137,0))</f>
        <v>0</v>
      </c>
      <c r="E422" s="4">
        <f>INDEX('Transition Stepwise'!$F$2:$F$1137,MATCH(53&amp;"|"&amp;$A422&amp;"|"&amp;E$421,'Transition Stepwise'!$E$2:$E$1137,0))</f>
        <v>1</v>
      </c>
      <c r="F422" s="4">
        <f>ROUND(SUM(B422:E422),9)</f>
        <v>1</v>
      </c>
    </row>
    <row r="423" spans="1:6">
      <c r="A423" s="5" t="s">
        <v>71</v>
      </c>
      <c r="B423" s="4">
        <f>INDEX('Transition Stepwise'!$F$2:$F$1137,MATCH(53&amp;"|"&amp;$A423&amp;"|"&amp;B$421,'Transition Stepwise'!$E$2:$E$1137,0))</f>
        <v>0</v>
      </c>
      <c r="C423" s="4">
        <f>INDEX('Transition Stepwise'!$F$2:$F$1137,MATCH(53&amp;"|"&amp;$A423&amp;"|"&amp;C$421,'Transition Stepwise'!$E$2:$E$1137,0))</f>
        <v>0</v>
      </c>
      <c r="D423" s="4">
        <f>INDEX('Transition Stepwise'!$F$2:$F$1137,MATCH(53&amp;"|"&amp;$A423&amp;"|"&amp;D$421,'Transition Stepwise'!$E$2:$E$1137,0))</f>
        <v>0</v>
      </c>
      <c r="E423" s="4">
        <f>INDEX('Transition Stepwise'!$F$2:$F$1137,MATCH(53&amp;"|"&amp;$A423&amp;"|"&amp;E$421,'Transition Stepwise'!$E$2:$E$1137,0))</f>
        <v>1</v>
      </c>
      <c r="F423" s="4">
        <f>ROUND(SUM(B423:E423),9)</f>
        <v>1</v>
      </c>
    </row>
    <row r="424" spans="1:6">
      <c r="A424" s="5" t="s">
        <v>70</v>
      </c>
      <c r="B424" s="4">
        <f>INDEX('Transition Stepwise'!$F$2:$F$1137,MATCH(53&amp;"|"&amp;$A424&amp;"|"&amp;B$421,'Transition Stepwise'!$E$2:$E$1137,0))</f>
        <v>2</v>
      </c>
      <c r="C424" s="4">
        <f>INDEX('Transition Stepwise'!$F$2:$F$1137,MATCH(53&amp;"|"&amp;$A424&amp;"|"&amp;C$421,'Transition Stepwise'!$E$2:$E$1137,0))</f>
        <v>0</v>
      </c>
      <c r="D424" s="4">
        <f>INDEX('Transition Stepwise'!$F$2:$F$1137,MATCH(53&amp;"|"&amp;$A424&amp;"|"&amp;D$421,'Transition Stepwise'!$E$2:$E$1137,0))</f>
        <v>0</v>
      </c>
      <c r="E424" s="4">
        <f>INDEX('Transition Stepwise'!$F$2:$F$1137,MATCH(53&amp;"|"&amp;$A424&amp;"|"&amp;E$421,'Transition Stepwise'!$E$2:$E$1137,0))</f>
        <v>194</v>
      </c>
      <c r="F424" s="4">
        <f>ROUND(SUM(B424:E424),9)</f>
        <v>196</v>
      </c>
    </row>
    <row r="425" spans="1:6">
      <c r="A425" s="5" t="s">
        <v>72</v>
      </c>
      <c r="B425" s="4">
        <f>INDEX('Transition Stepwise'!$F$2:$F$1137,MATCH(53&amp;"|"&amp;$A425&amp;"|"&amp;B$421,'Transition Stepwise'!$E$2:$E$1137,0))</f>
        <v>0</v>
      </c>
      <c r="C425" s="4">
        <f>INDEX('Transition Stepwise'!$F$2:$F$1137,MATCH(53&amp;"|"&amp;$A425&amp;"|"&amp;C$421,'Transition Stepwise'!$E$2:$E$1137,0))</f>
        <v>0</v>
      </c>
      <c r="D425" s="4">
        <f>INDEX('Transition Stepwise'!$F$2:$F$1137,MATCH(53&amp;"|"&amp;$A425&amp;"|"&amp;D$421,'Transition Stepwise'!$E$2:$E$1137,0))</f>
        <v>0</v>
      </c>
      <c r="E425" s="4">
        <f>INDEX('Transition Stepwise'!$F$2:$F$1137,MATCH(53&amp;"|"&amp;$A425&amp;"|"&amp;E$421,'Transition Stepwise'!$E$2:$E$1137,0))</f>
        <v>2</v>
      </c>
      <c r="F425" s="4">
        <f>ROUND(SUM(B425:E425),9)</f>
        <v>2</v>
      </c>
    </row>
    <row r="426" spans="1:6">
      <c r="A426" s="4"/>
      <c r="B426" s="4"/>
      <c r="C426" s="4"/>
      <c r="D426" s="4"/>
      <c r="E426" s="4"/>
      <c r="F426" s="4"/>
    </row>
    <row r="427" spans="1:6">
      <c r="A427" s="4"/>
      <c r="B427" s="4"/>
      <c r="C427" s="4"/>
      <c r="D427" s="4"/>
      <c r="E427" s="4"/>
      <c r="F427" s="4"/>
    </row>
    <row r="428" spans="1:6">
      <c r="A428" s="5" t="s">
        <v>647</v>
      </c>
      <c r="B428" s="4"/>
      <c r="C428" s="4"/>
      <c r="D428" s="4"/>
      <c r="E428" s="4"/>
      <c r="F428" s="4"/>
    </row>
    <row r="429" spans="1:6">
      <c r="A429" s="9" t="s">
        <v>593</v>
      </c>
      <c r="B429" s="9" t="s">
        <v>73</v>
      </c>
      <c r="C429" s="9" t="s">
        <v>71</v>
      </c>
      <c r="D429" s="9" t="s">
        <v>70</v>
      </c>
      <c r="E429" s="9" t="s">
        <v>72</v>
      </c>
      <c r="F429" s="9" t="s">
        <v>594</v>
      </c>
    </row>
    <row r="430" spans="1:6">
      <c r="A430" s="5" t="s">
        <v>73</v>
      </c>
      <c r="B430" s="4">
        <f>INDEX('Transition Stepwise'!$F$2:$F$1137,MATCH(54&amp;"|"&amp;$A430&amp;"|"&amp;B$429,'Transition Stepwise'!$E$2:$E$1137,0))</f>
        <v>0</v>
      </c>
      <c r="C430" s="4">
        <f>INDEX('Transition Stepwise'!$F$2:$F$1137,MATCH(54&amp;"|"&amp;$A430&amp;"|"&amp;C$429,'Transition Stepwise'!$E$2:$E$1137,0))</f>
        <v>0</v>
      </c>
      <c r="D430" s="4">
        <f>INDEX('Transition Stepwise'!$F$2:$F$1137,MATCH(54&amp;"|"&amp;$A430&amp;"|"&amp;D$429,'Transition Stepwise'!$E$2:$E$1137,0))</f>
        <v>0</v>
      </c>
      <c r="E430" s="4">
        <f>INDEX('Transition Stepwise'!$F$2:$F$1137,MATCH(54&amp;"|"&amp;$A430&amp;"|"&amp;E$429,'Transition Stepwise'!$E$2:$E$1137,0))</f>
        <v>2</v>
      </c>
      <c r="F430" s="4">
        <f>ROUND(SUM(B430:E430),9)</f>
        <v>2</v>
      </c>
    </row>
    <row r="431" spans="1:6">
      <c r="A431" s="5" t="s">
        <v>71</v>
      </c>
      <c r="B431" s="4">
        <f>INDEX('Transition Stepwise'!$F$2:$F$1137,MATCH(54&amp;"|"&amp;$A431&amp;"|"&amp;B$429,'Transition Stepwise'!$E$2:$E$1137,0))</f>
        <v>0</v>
      </c>
      <c r="C431" s="4">
        <f>INDEX('Transition Stepwise'!$F$2:$F$1137,MATCH(54&amp;"|"&amp;$A431&amp;"|"&amp;C$429,'Transition Stepwise'!$E$2:$E$1137,0))</f>
        <v>0</v>
      </c>
      <c r="D431" s="4">
        <f>INDEX('Transition Stepwise'!$F$2:$F$1137,MATCH(54&amp;"|"&amp;$A431&amp;"|"&amp;D$429,'Transition Stepwise'!$E$2:$E$1137,0))</f>
        <v>0</v>
      </c>
      <c r="E431" s="4">
        <f>INDEX('Transition Stepwise'!$F$2:$F$1137,MATCH(54&amp;"|"&amp;$A431&amp;"|"&amp;E$429,'Transition Stepwise'!$E$2:$E$1137,0))</f>
        <v>0</v>
      </c>
      <c r="F431" s="4">
        <f>ROUND(SUM(B431:E431),9)</f>
        <v>0</v>
      </c>
    </row>
    <row r="432" spans="1:6">
      <c r="A432" s="5" t="s">
        <v>70</v>
      </c>
      <c r="B432" s="4">
        <f>INDEX('Transition Stepwise'!$F$2:$F$1137,MATCH(54&amp;"|"&amp;$A432&amp;"|"&amp;B$429,'Transition Stepwise'!$E$2:$E$1137,0))</f>
        <v>0</v>
      </c>
      <c r="C432" s="4">
        <f>INDEX('Transition Stepwise'!$F$2:$F$1137,MATCH(54&amp;"|"&amp;$A432&amp;"|"&amp;C$429,'Transition Stepwise'!$E$2:$E$1137,0))</f>
        <v>0</v>
      </c>
      <c r="D432" s="4">
        <f>INDEX('Transition Stepwise'!$F$2:$F$1137,MATCH(54&amp;"|"&amp;$A432&amp;"|"&amp;D$429,'Transition Stepwise'!$E$2:$E$1137,0))</f>
        <v>0</v>
      </c>
      <c r="E432" s="4">
        <f>INDEX('Transition Stepwise'!$F$2:$F$1137,MATCH(54&amp;"|"&amp;$A432&amp;"|"&amp;E$429,'Transition Stepwise'!$E$2:$E$1137,0))</f>
        <v>0</v>
      </c>
      <c r="F432" s="4">
        <f>ROUND(SUM(B432:E432),9)</f>
        <v>0</v>
      </c>
    </row>
    <row r="433" spans="1:6">
      <c r="A433" s="5" t="s">
        <v>72</v>
      </c>
      <c r="B433" s="4">
        <f>INDEX('Transition Stepwise'!$F$2:$F$1137,MATCH(54&amp;"|"&amp;$A433&amp;"|"&amp;B$429,'Transition Stepwise'!$E$2:$E$1137,0))</f>
        <v>1</v>
      </c>
      <c r="C433" s="4">
        <f>INDEX('Transition Stepwise'!$F$2:$F$1137,MATCH(54&amp;"|"&amp;$A433&amp;"|"&amp;C$429,'Transition Stepwise'!$E$2:$E$1137,0))</f>
        <v>1</v>
      </c>
      <c r="D433" s="4">
        <f>INDEX('Transition Stepwise'!$F$2:$F$1137,MATCH(54&amp;"|"&amp;$A433&amp;"|"&amp;D$429,'Transition Stepwise'!$E$2:$E$1137,0))</f>
        <v>1</v>
      </c>
      <c r="E433" s="4">
        <f>INDEX('Transition Stepwise'!$F$2:$F$1137,MATCH(54&amp;"|"&amp;$A433&amp;"|"&amp;E$429,'Transition Stepwise'!$E$2:$E$1137,0))</f>
        <v>195</v>
      </c>
      <c r="F433" s="4">
        <f>ROUND(SUM(B433:E433),9)</f>
        <v>198</v>
      </c>
    </row>
    <row r="434" spans="1:6">
      <c r="A434" s="4"/>
      <c r="B434" s="4"/>
      <c r="C434" s="4"/>
      <c r="D434" s="4"/>
      <c r="E434" s="4"/>
      <c r="F434" s="4"/>
    </row>
    <row r="435" spans="1:6">
      <c r="A435" s="4"/>
      <c r="B435" s="4"/>
      <c r="C435" s="4"/>
      <c r="D435" s="4"/>
      <c r="E435" s="4"/>
      <c r="F435" s="4"/>
    </row>
    <row r="436" spans="1:6">
      <c r="A436" s="5" t="s">
        <v>648</v>
      </c>
      <c r="B436" s="4"/>
      <c r="C436" s="4"/>
      <c r="D436" s="4"/>
      <c r="E436" s="4"/>
      <c r="F436" s="4"/>
    </row>
    <row r="437" spans="1:6">
      <c r="A437" s="9" t="s">
        <v>593</v>
      </c>
      <c r="B437" s="9" t="s">
        <v>73</v>
      </c>
      <c r="C437" s="9" t="s">
        <v>71</v>
      </c>
      <c r="D437" s="9" t="s">
        <v>70</v>
      </c>
      <c r="E437" s="9" t="s">
        <v>72</v>
      </c>
      <c r="F437" s="9" t="s">
        <v>594</v>
      </c>
    </row>
    <row r="438" spans="1:6">
      <c r="A438" s="5" t="s">
        <v>73</v>
      </c>
      <c r="B438" s="4">
        <f>INDEX('Transition Stepwise'!$F$2:$F$1137,MATCH(55&amp;"|"&amp;$A438&amp;"|"&amp;B$437,'Transition Stepwise'!$E$2:$E$1137,0))</f>
        <v>1</v>
      </c>
      <c r="C438" s="4">
        <f>INDEX('Transition Stepwise'!$F$2:$F$1137,MATCH(55&amp;"|"&amp;$A438&amp;"|"&amp;C$437,'Transition Stepwise'!$E$2:$E$1137,0))</f>
        <v>0</v>
      </c>
      <c r="D438" s="4">
        <f>INDEX('Transition Stepwise'!$F$2:$F$1137,MATCH(55&amp;"|"&amp;$A438&amp;"|"&amp;D$437,'Transition Stepwise'!$E$2:$E$1137,0))</f>
        <v>0</v>
      </c>
      <c r="E438" s="4">
        <f>INDEX('Transition Stepwise'!$F$2:$F$1137,MATCH(55&amp;"|"&amp;$A438&amp;"|"&amp;E$437,'Transition Stepwise'!$E$2:$E$1137,0))</f>
        <v>0</v>
      </c>
      <c r="F438" s="4">
        <f>ROUND(SUM(B438:E438),9)</f>
        <v>1</v>
      </c>
    </row>
    <row r="439" spans="1:6">
      <c r="A439" s="5" t="s">
        <v>71</v>
      </c>
      <c r="B439" s="4">
        <f>INDEX('Transition Stepwise'!$F$2:$F$1137,MATCH(55&amp;"|"&amp;$A439&amp;"|"&amp;B$437,'Transition Stepwise'!$E$2:$E$1137,0))</f>
        <v>0</v>
      </c>
      <c r="C439" s="4">
        <f>INDEX('Transition Stepwise'!$F$2:$F$1137,MATCH(55&amp;"|"&amp;$A439&amp;"|"&amp;C$437,'Transition Stepwise'!$E$2:$E$1137,0))</f>
        <v>0</v>
      </c>
      <c r="D439" s="4">
        <f>INDEX('Transition Stepwise'!$F$2:$F$1137,MATCH(55&amp;"|"&amp;$A439&amp;"|"&amp;D$437,'Transition Stepwise'!$E$2:$E$1137,0))</f>
        <v>1</v>
      </c>
      <c r="E439" s="4">
        <f>INDEX('Transition Stepwise'!$F$2:$F$1137,MATCH(55&amp;"|"&amp;$A439&amp;"|"&amp;E$437,'Transition Stepwise'!$E$2:$E$1137,0))</f>
        <v>0</v>
      </c>
      <c r="F439" s="4">
        <f>ROUND(SUM(B439:E439),9)</f>
        <v>1</v>
      </c>
    </row>
    <row r="440" spans="1:6">
      <c r="A440" s="5" t="s">
        <v>70</v>
      </c>
      <c r="B440" s="4">
        <f>INDEX('Transition Stepwise'!$F$2:$F$1137,MATCH(55&amp;"|"&amp;$A440&amp;"|"&amp;B$437,'Transition Stepwise'!$E$2:$E$1137,0))</f>
        <v>0</v>
      </c>
      <c r="C440" s="4">
        <f>INDEX('Transition Stepwise'!$F$2:$F$1137,MATCH(55&amp;"|"&amp;$A440&amp;"|"&amp;C$437,'Transition Stepwise'!$E$2:$E$1137,0))</f>
        <v>1</v>
      </c>
      <c r="D440" s="4">
        <f>INDEX('Transition Stepwise'!$F$2:$F$1137,MATCH(55&amp;"|"&amp;$A440&amp;"|"&amp;D$437,'Transition Stepwise'!$E$2:$E$1137,0))</f>
        <v>0</v>
      </c>
      <c r="E440" s="4">
        <f>INDEX('Transition Stepwise'!$F$2:$F$1137,MATCH(55&amp;"|"&amp;$A440&amp;"|"&amp;E$437,'Transition Stepwise'!$E$2:$E$1137,0))</f>
        <v>0</v>
      </c>
      <c r="F440" s="4">
        <f>ROUND(SUM(B440:E440),9)</f>
        <v>1</v>
      </c>
    </row>
    <row r="441" spans="1:6">
      <c r="A441" s="5" t="s">
        <v>72</v>
      </c>
      <c r="B441" s="4">
        <f>INDEX('Transition Stepwise'!$F$2:$F$1137,MATCH(55&amp;"|"&amp;$A441&amp;"|"&amp;B$437,'Transition Stepwise'!$E$2:$E$1137,0))</f>
        <v>1</v>
      </c>
      <c r="C441" s="4">
        <f>INDEX('Transition Stepwise'!$F$2:$F$1137,MATCH(55&amp;"|"&amp;$A441&amp;"|"&amp;C$437,'Transition Stepwise'!$E$2:$E$1137,0))</f>
        <v>195</v>
      </c>
      <c r="D441" s="4">
        <f>INDEX('Transition Stepwise'!$F$2:$F$1137,MATCH(55&amp;"|"&amp;$A441&amp;"|"&amp;D$437,'Transition Stepwise'!$E$2:$E$1137,0))</f>
        <v>0</v>
      </c>
      <c r="E441" s="4">
        <f>INDEX('Transition Stepwise'!$F$2:$F$1137,MATCH(55&amp;"|"&amp;$A441&amp;"|"&amp;E$437,'Transition Stepwise'!$E$2:$E$1137,0))</f>
        <v>1</v>
      </c>
      <c r="F441" s="4">
        <f>ROUND(SUM(B441:E441),9)</f>
        <v>197</v>
      </c>
    </row>
    <row r="442" spans="1:6">
      <c r="A442" s="4"/>
      <c r="B442" s="4"/>
      <c r="C442" s="4"/>
      <c r="D442" s="4"/>
      <c r="E442" s="4"/>
      <c r="F442" s="4"/>
    </row>
    <row r="443" spans="1:6">
      <c r="A443" s="4"/>
      <c r="B443" s="4"/>
      <c r="C443" s="4"/>
      <c r="D443" s="4"/>
      <c r="E443" s="4"/>
      <c r="F443" s="4"/>
    </row>
    <row r="444" spans="1:6">
      <c r="A444" s="5" t="s">
        <v>649</v>
      </c>
      <c r="B444" s="4"/>
      <c r="C444" s="4"/>
      <c r="D444" s="4"/>
      <c r="E444" s="4"/>
      <c r="F444" s="4"/>
    </row>
    <row r="445" spans="1:6">
      <c r="A445" s="9" t="s">
        <v>593</v>
      </c>
      <c r="B445" s="9" t="s">
        <v>73</v>
      </c>
      <c r="C445" s="9" t="s">
        <v>71</v>
      </c>
      <c r="D445" s="9" t="s">
        <v>70</v>
      </c>
      <c r="E445" s="9" t="s">
        <v>72</v>
      </c>
      <c r="F445" s="9" t="s">
        <v>594</v>
      </c>
    </row>
    <row r="446" spans="1:6">
      <c r="A446" s="5" t="s">
        <v>73</v>
      </c>
      <c r="B446" s="4">
        <f>INDEX('Transition Stepwise'!$F$2:$F$1137,MATCH(56&amp;"|"&amp;$A446&amp;"|"&amp;B$445,'Transition Stepwise'!$E$2:$E$1137,0))</f>
        <v>0</v>
      </c>
      <c r="C446" s="4">
        <f>INDEX('Transition Stepwise'!$F$2:$F$1137,MATCH(56&amp;"|"&amp;$A446&amp;"|"&amp;C$445,'Transition Stepwise'!$E$2:$E$1137,0))</f>
        <v>0</v>
      </c>
      <c r="D446" s="4">
        <f>INDEX('Transition Stepwise'!$F$2:$F$1137,MATCH(56&amp;"|"&amp;$A446&amp;"|"&amp;D$445,'Transition Stepwise'!$E$2:$E$1137,0))</f>
        <v>1</v>
      </c>
      <c r="E446" s="4">
        <f>INDEX('Transition Stepwise'!$F$2:$F$1137,MATCH(56&amp;"|"&amp;$A446&amp;"|"&amp;E$445,'Transition Stepwise'!$E$2:$E$1137,0))</f>
        <v>1</v>
      </c>
      <c r="F446" s="4">
        <f>ROUND(SUM(B446:E446),9)</f>
        <v>2</v>
      </c>
    </row>
    <row r="447" spans="1:6">
      <c r="A447" s="5" t="s">
        <v>71</v>
      </c>
      <c r="B447" s="4">
        <f>INDEX('Transition Stepwise'!$F$2:$F$1137,MATCH(56&amp;"|"&amp;$A447&amp;"|"&amp;B$445,'Transition Stepwise'!$E$2:$E$1137,0))</f>
        <v>76</v>
      </c>
      <c r="C447" s="4">
        <f>INDEX('Transition Stepwise'!$F$2:$F$1137,MATCH(56&amp;"|"&amp;$A447&amp;"|"&amp;C$445,'Transition Stepwise'!$E$2:$E$1137,0))</f>
        <v>0</v>
      </c>
      <c r="D447" s="4">
        <f>INDEX('Transition Stepwise'!$F$2:$F$1137,MATCH(56&amp;"|"&amp;$A447&amp;"|"&amp;D$445,'Transition Stepwise'!$E$2:$E$1137,0))</f>
        <v>120</v>
      </c>
      <c r="E447" s="4">
        <f>INDEX('Transition Stepwise'!$F$2:$F$1137,MATCH(56&amp;"|"&amp;$A447&amp;"|"&amp;E$445,'Transition Stepwise'!$E$2:$E$1137,0))</f>
        <v>0</v>
      </c>
      <c r="F447" s="4">
        <f>ROUND(SUM(B447:E447),9)</f>
        <v>196</v>
      </c>
    </row>
    <row r="448" spans="1:6">
      <c r="A448" s="5" t="s">
        <v>70</v>
      </c>
      <c r="B448" s="4">
        <f>INDEX('Transition Stepwise'!$F$2:$F$1137,MATCH(56&amp;"|"&amp;$A448&amp;"|"&amp;B$445,'Transition Stepwise'!$E$2:$E$1137,0))</f>
        <v>1</v>
      </c>
      <c r="C448" s="4">
        <f>INDEX('Transition Stepwise'!$F$2:$F$1137,MATCH(56&amp;"|"&amp;$A448&amp;"|"&amp;C$445,'Transition Stepwise'!$E$2:$E$1137,0))</f>
        <v>0</v>
      </c>
      <c r="D448" s="4">
        <f>INDEX('Transition Stepwise'!$F$2:$F$1137,MATCH(56&amp;"|"&amp;$A448&amp;"|"&amp;D$445,'Transition Stepwise'!$E$2:$E$1137,0))</f>
        <v>0</v>
      </c>
      <c r="E448" s="4">
        <f>INDEX('Transition Stepwise'!$F$2:$F$1137,MATCH(56&amp;"|"&amp;$A448&amp;"|"&amp;E$445,'Transition Stepwise'!$E$2:$E$1137,0))</f>
        <v>0</v>
      </c>
      <c r="F448" s="4">
        <f>ROUND(SUM(B448:E448),9)</f>
        <v>1</v>
      </c>
    </row>
    <row r="449" spans="1:6">
      <c r="A449" s="5" t="s">
        <v>72</v>
      </c>
      <c r="B449" s="4">
        <f>INDEX('Transition Stepwise'!$F$2:$F$1137,MATCH(56&amp;"|"&amp;$A449&amp;"|"&amp;B$445,'Transition Stepwise'!$E$2:$E$1137,0))</f>
        <v>0</v>
      </c>
      <c r="C449" s="4">
        <f>INDEX('Transition Stepwise'!$F$2:$F$1137,MATCH(56&amp;"|"&amp;$A449&amp;"|"&amp;C$445,'Transition Stepwise'!$E$2:$E$1137,0))</f>
        <v>0</v>
      </c>
      <c r="D449" s="4">
        <f>INDEX('Transition Stepwise'!$F$2:$F$1137,MATCH(56&amp;"|"&amp;$A449&amp;"|"&amp;D$445,'Transition Stepwise'!$E$2:$E$1137,0))</f>
        <v>0</v>
      </c>
      <c r="E449" s="4">
        <f>INDEX('Transition Stepwise'!$F$2:$F$1137,MATCH(56&amp;"|"&amp;$A449&amp;"|"&amp;E$445,'Transition Stepwise'!$E$2:$E$1137,0))</f>
        <v>0</v>
      </c>
      <c r="F449" s="4">
        <f>ROUND(SUM(B449:E449),9)</f>
        <v>0</v>
      </c>
    </row>
    <row r="450" spans="1:6">
      <c r="A450" s="4"/>
      <c r="B450" s="4"/>
      <c r="C450" s="4"/>
      <c r="D450" s="4"/>
      <c r="E450" s="4"/>
      <c r="F450" s="4"/>
    </row>
    <row r="451" spans="1:6">
      <c r="A451" s="4"/>
      <c r="B451" s="4"/>
      <c r="C451" s="4"/>
      <c r="D451" s="4"/>
      <c r="E451" s="4"/>
      <c r="F451" s="4"/>
    </row>
    <row r="452" spans="1:6">
      <c r="A452" s="5" t="s">
        <v>650</v>
      </c>
      <c r="B452" s="4"/>
      <c r="C452" s="4"/>
      <c r="D452" s="4"/>
      <c r="E452" s="4"/>
      <c r="F452" s="4"/>
    </row>
    <row r="453" spans="1:6">
      <c r="A453" s="9" t="s">
        <v>593</v>
      </c>
      <c r="B453" s="9" t="s">
        <v>73</v>
      </c>
      <c r="C453" s="9" t="s">
        <v>71</v>
      </c>
      <c r="D453" s="9" t="s">
        <v>70</v>
      </c>
      <c r="E453" s="9" t="s">
        <v>72</v>
      </c>
      <c r="F453" s="9" t="s">
        <v>594</v>
      </c>
    </row>
    <row r="454" spans="1:6">
      <c r="A454" s="5" t="s">
        <v>73</v>
      </c>
      <c r="B454" s="4">
        <f>INDEX('Transition Stepwise'!$F$2:$F$1137,MATCH(57&amp;"|"&amp;$A454&amp;"|"&amp;B$453,'Transition Stepwise'!$E$2:$E$1137,0))</f>
        <v>76</v>
      </c>
      <c r="C454" s="4">
        <f>INDEX('Transition Stepwise'!$F$2:$F$1137,MATCH(57&amp;"|"&amp;$A454&amp;"|"&amp;C$453,'Transition Stepwise'!$E$2:$E$1137,0))</f>
        <v>0</v>
      </c>
      <c r="D454" s="4">
        <f>INDEX('Transition Stepwise'!$F$2:$F$1137,MATCH(57&amp;"|"&amp;$A454&amp;"|"&amp;D$453,'Transition Stepwise'!$E$2:$E$1137,0))</f>
        <v>0</v>
      </c>
      <c r="E454" s="4">
        <f>INDEX('Transition Stepwise'!$F$2:$F$1137,MATCH(57&amp;"|"&amp;$A454&amp;"|"&amp;E$453,'Transition Stepwise'!$E$2:$E$1137,0))</f>
        <v>1</v>
      </c>
      <c r="F454" s="4">
        <f>ROUND(SUM(B454:E454),9)</f>
        <v>77</v>
      </c>
    </row>
    <row r="455" spans="1:6">
      <c r="A455" s="5" t="s">
        <v>71</v>
      </c>
      <c r="B455" s="4">
        <f>INDEX('Transition Stepwise'!$F$2:$F$1137,MATCH(57&amp;"|"&amp;$A455&amp;"|"&amp;B$453,'Transition Stepwise'!$E$2:$E$1137,0))</f>
        <v>0</v>
      </c>
      <c r="C455" s="4">
        <f>INDEX('Transition Stepwise'!$F$2:$F$1137,MATCH(57&amp;"|"&amp;$A455&amp;"|"&amp;C$453,'Transition Stepwise'!$E$2:$E$1137,0))</f>
        <v>0</v>
      </c>
      <c r="D455" s="4">
        <f>INDEX('Transition Stepwise'!$F$2:$F$1137,MATCH(57&amp;"|"&amp;$A455&amp;"|"&amp;D$453,'Transition Stepwise'!$E$2:$E$1137,0))</f>
        <v>0</v>
      </c>
      <c r="E455" s="4">
        <f>INDEX('Transition Stepwise'!$F$2:$F$1137,MATCH(57&amp;"|"&amp;$A455&amp;"|"&amp;E$453,'Transition Stepwise'!$E$2:$E$1137,0))</f>
        <v>0</v>
      </c>
      <c r="F455" s="4">
        <f>ROUND(SUM(B455:E455),9)</f>
        <v>0</v>
      </c>
    </row>
    <row r="456" spans="1:6">
      <c r="A456" s="5" t="s">
        <v>70</v>
      </c>
      <c r="B456" s="4">
        <f>INDEX('Transition Stepwise'!$F$2:$F$1137,MATCH(57&amp;"|"&amp;$A456&amp;"|"&amp;B$453,'Transition Stepwise'!$E$2:$E$1137,0))</f>
        <v>121</v>
      </c>
      <c r="C456" s="4">
        <f>INDEX('Transition Stepwise'!$F$2:$F$1137,MATCH(57&amp;"|"&amp;$A456&amp;"|"&amp;C$453,'Transition Stepwise'!$E$2:$E$1137,0))</f>
        <v>0</v>
      </c>
      <c r="D456" s="4">
        <f>INDEX('Transition Stepwise'!$F$2:$F$1137,MATCH(57&amp;"|"&amp;$A456&amp;"|"&amp;D$453,'Transition Stepwise'!$E$2:$E$1137,0))</f>
        <v>0</v>
      </c>
      <c r="E456" s="4">
        <f>INDEX('Transition Stepwise'!$F$2:$F$1137,MATCH(57&amp;"|"&amp;$A456&amp;"|"&amp;E$453,'Transition Stepwise'!$E$2:$E$1137,0))</f>
        <v>0</v>
      </c>
      <c r="F456" s="4">
        <f>ROUND(SUM(B456:E456),9)</f>
        <v>121</v>
      </c>
    </row>
    <row r="457" spans="1:6">
      <c r="A457" s="5" t="s">
        <v>72</v>
      </c>
      <c r="B457" s="4">
        <f>INDEX('Transition Stepwise'!$F$2:$F$1137,MATCH(57&amp;"|"&amp;$A457&amp;"|"&amp;B$453,'Transition Stepwise'!$E$2:$E$1137,0))</f>
        <v>0</v>
      </c>
      <c r="C457" s="4">
        <f>INDEX('Transition Stepwise'!$F$2:$F$1137,MATCH(57&amp;"|"&amp;$A457&amp;"|"&amp;C$453,'Transition Stepwise'!$E$2:$E$1137,0))</f>
        <v>1</v>
      </c>
      <c r="D457" s="4">
        <f>INDEX('Transition Stepwise'!$F$2:$F$1137,MATCH(57&amp;"|"&amp;$A457&amp;"|"&amp;D$453,'Transition Stepwise'!$E$2:$E$1137,0))</f>
        <v>0</v>
      </c>
      <c r="E457" s="4">
        <f>INDEX('Transition Stepwise'!$F$2:$F$1137,MATCH(57&amp;"|"&amp;$A457&amp;"|"&amp;E$453,'Transition Stepwise'!$E$2:$E$1137,0))</f>
        <v>0</v>
      </c>
      <c r="F457" s="4">
        <f>ROUND(SUM(B457:E457),9)</f>
        <v>1</v>
      </c>
    </row>
    <row r="458" spans="1:6">
      <c r="A458" s="4"/>
      <c r="B458" s="4"/>
      <c r="C458" s="4"/>
      <c r="D458" s="4"/>
      <c r="E458" s="4"/>
      <c r="F458" s="4"/>
    </row>
    <row r="459" spans="1:6">
      <c r="A459" s="4"/>
      <c r="B459" s="4"/>
      <c r="C459" s="4"/>
      <c r="D459" s="4"/>
      <c r="E459" s="4"/>
      <c r="F459" s="4"/>
    </row>
    <row r="460" spans="1:6">
      <c r="A460" s="5" t="s">
        <v>651</v>
      </c>
      <c r="B460" s="4"/>
      <c r="C460" s="4"/>
      <c r="D460" s="4"/>
      <c r="E460" s="4"/>
      <c r="F460" s="4"/>
    </row>
    <row r="461" spans="1:6">
      <c r="A461" s="9" t="s">
        <v>593</v>
      </c>
      <c r="B461" s="9" t="s">
        <v>73</v>
      </c>
      <c r="C461" s="9" t="s">
        <v>71</v>
      </c>
      <c r="D461" s="9" t="s">
        <v>70</v>
      </c>
      <c r="E461" s="9" t="s">
        <v>72</v>
      </c>
      <c r="F461" s="9" t="s">
        <v>594</v>
      </c>
    </row>
    <row r="462" spans="1:6">
      <c r="A462" s="5" t="s">
        <v>73</v>
      </c>
      <c r="B462" s="4">
        <f>INDEX('Transition Stepwise'!$F$2:$F$1137,MATCH(58&amp;"|"&amp;$A462&amp;"|"&amp;B$461,'Transition Stepwise'!$E$2:$E$1137,0))</f>
        <v>91</v>
      </c>
      <c r="C462" s="4">
        <f>INDEX('Transition Stepwise'!$F$2:$F$1137,MATCH(58&amp;"|"&amp;$A462&amp;"|"&amp;C$461,'Transition Stepwise'!$E$2:$E$1137,0))</f>
        <v>10</v>
      </c>
      <c r="D462" s="4">
        <f>INDEX('Transition Stepwise'!$F$2:$F$1137,MATCH(58&amp;"|"&amp;$A462&amp;"|"&amp;D$461,'Transition Stepwise'!$E$2:$E$1137,0))</f>
        <v>47</v>
      </c>
      <c r="E462" s="4">
        <f>INDEX('Transition Stepwise'!$F$2:$F$1137,MATCH(58&amp;"|"&amp;$A462&amp;"|"&amp;E$461,'Transition Stepwise'!$E$2:$E$1137,0))</f>
        <v>50</v>
      </c>
      <c r="F462" s="4">
        <f>ROUND(SUM(B462:E462),9)</f>
        <v>198</v>
      </c>
    </row>
    <row r="463" spans="1:6">
      <c r="A463" s="5" t="s">
        <v>71</v>
      </c>
      <c r="B463" s="4">
        <f>INDEX('Transition Stepwise'!$F$2:$F$1137,MATCH(58&amp;"|"&amp;$A463&amp;"|"&amp;B$461,'Transition Stepwise'!$E$2:$E$1137,0))</f>
        <v>0</v>
      </c>
      <c r="C463" s="4">
        <f>INDEX('Transition Stepwise'!$F$2:$F$1137,MATCH(58&amp;"|"&amp;$A463&amp;"|"&amp;C$461,'Transition Stepwise'!$E$2:$E$1137,0))</f>
        <v>1</v>
      </c>
      <c r="D463" s="4">
        <f>INDEX('Transition Stepwise'!$F$2:$F$1137,MATCH(58&amp;"|"&amp;$A463&amp;"|"&amp;D$461,'Transition Stepwise'!$E$2:$E$1137,0))</f>
        <v>0</v>
      </c>
      <c r="E463" s="4">
        <f>INDEX('Transition Stepwise'!$F$2:$F$1137,MATCH(58&amp;"|"&amp;$A463&amp;"|"&amp;E$461,'Transition Stepwise'!$E$2:$E$1137,0))</f>
        <v>0</v>
      </c>
      <c r="F463" s="4">
        <f>ROUND(SUM(B463:E463),9)</f>
        <v>1</v>
      </c>
    </row>
    <row r="464" spans="1:6">
      <c r="A464" s="5" t="s">
        <v>70</v>
      </c>
      <c r="B464" s="4">
        <f>INDEX('Transition Stepwise'!$F$2:$F$1137,MATCH(58&amp;"|"&amp;$A464&amp;"|"&amp;B$461,'Transition Stepwise'!$E$2:$E$1137,0))</f>
        <v>0</v>
      </c>
      <c r="C464" s="4">
        <f>INDEX('Transition Stepwise'!$F$2:$F$1137,MATCH(58&amp;"|"&amp;$A464&amp;"|"&amp;C$461,'Transition Stepwise'!$E$2:$E$1137,0))</f>
        <v>0</v>
      </c>
      <c r="D464" s="4">
        <f>INDEX('Transition Stepwise'!$F$2:$F$1137,MATCH(58&amp;"|"&amp;$A464&amp;"|"&amp;D$461,'Transition Stepwise'!$E$2:$E$1137,0))</f>
        <v>0</v>
      </c>
      <c r="E464" s="4">
        <f>INDEX('Transition Stepwise'!$F$2:$F$1137,MATCH(58&amp;"|"&amp;$A464&amp;"|"&amp;E$461,'Transition Stepwise'!$E$2:$E$1137,0))</f>
        <v>0</v>
      </c>
      <c r="F464" s="4">
        <f>ROUND(SUM(B464:E464),9)</f>
        <v>0</v>
      </c>
    </row>
    <row r="465" spans="1:6">
      <c r="A465" s="5" t="s">
        <v>72</v>
      </c>
      <c r="B465" s="4">
        <f>INDEX('Transition Stepwise'!$F$2:$F$1137,MATCH(58&amp;"|"&amp;$A465&amp;"|"&amp;B$461,'Transition Stepwise'!$E$2:$E$1137,0))</f>
        <v>0</v>
      </c>
      <c r="C465" s="4">
        <f>INDEX('Transition Stepwise'!$F$2:$F$1137,MATCH(58&amp;"|"&amp;$A465&amp;"|"&amp;C$461,'Transition Stepwise'!$E$2:$E$1137,0))</f>
        <v>1</v>
      </c>
      <c r="D465" s="4">
        <f>INDEX('Transition Stepwise'!$F$2:$F$1137,MATCH(58&amp;"|"&amp;$A465&amp;"|"&amp;D$461,'Transition Stepwise'!$E$2:$E$1137,0))</f>
        <v>0</v>
      </c>
      <c r="E465" s="4">
        <f>INDEX('Transition Stepwise'!$F$2:$F$1137,MATCH(58&amp;"|"&amp;$A465&amp;"|"&amp;E$461,'Transition Stepwise'!$E$2:$E$1137,0))</f>
        <v>0</v>
      </c>
      <c r="F465" s="4">
        <f>ROUND(SUM(B465:E465),9)</f>
        <v>1</v>
      </c>
    </row>
    <row r="466" spans="1:6">
      <c r="A466" s="4"/>
      <c r="B466" s="4"/>
      <c r="C466" s="4"/>
      <c r="D466" s="4"/>
      <c r="E466" s="4"/>
      <c r="F466" s="4"/>
    </row>
    <row r="467" spans="1:6">
      <c r="A467" s="4"/>
      <c r="B467" s="4"/>
      <c r="C467" s="4"/>
      <c r="D467" s="4"/>
      <c r="E467" s="4"/>
      <c r="F467" s="4"/>
    </row>
    <row r="468" spans="1:6">
      <c r="A468" s="5" t="s">
        <v>652</v>
      </c>
      <c r="B468" s="4"/>
      <c r="C468" s="4"/>
      <c r="D468" s="4"/>
      <c r="E468" s="4"/>
      <c r="F468" s="4"/>
    </row>
    <row r="469" spans="1:6">
      <c r="A469" s="9" t="s">
        <v>593</v>
      </c>
      <c r="B469" s="9" t="s">
        <v>73</v>
      </c>
      <c r="C469" s="9" t="s">
        <v>71</v>
      </c>
      <c r="D469" s="9" t="s">
        <v>70</v>
      </c>
      <c r="E469" s="9" t="s">
        <v>72</v>
      </c>
      <c r="F469" s="9" t="s">
        <v>594</v>
      </c>
    </row>
    <row r="470" spans="1:6">
      <c r="A470" s="5" t="s">
        <v>73</v>
      </c>
      <c r="B470" s="4">
        <f>INDEX('Transition Stepwise'!$F$2:$F$1137,MATCH(59&amp;"|"&amp;$A470&amp;"|"&amp;B$469,'Transition Stepwise'!$E$2:$E$1137,0))</f>
        <v>1</v>
      </c>
      <c r="C470" s="4">
        <f>INDEX('Transition Stepwise'!$F$2:$F$1137,MATCH(59&amp;"|"&amp;$A470&amp;"|"&amp;C$469,'Transition Stepwise'!$E$2:$E$1137,0))</f>
        <v>9</v>
      </c>
      <c r="D470" s="4">
        <f>INDEX('Transition Stepwise'!$F$2:$F$1137,MATCH(59&amp;"|"&amp;$A470&amp;"|"&amp;D$469,'Transition Stepwise'!$E$2:$E$1137,0))</f>
        <v>1</v>
      </c>
      <c r="E470" s="4">
        <f>INDEX('Transition Stepwise'!$F$2:$F$1137,MATCH(59&amp;"|"&amp;$A470&amp;"|"&amp;E$469,'Transition Stepwise'!$E$2:$E$1137,0))</f>
        <v>80</v>
      </c>
      <c r="F470" s="4">
        <f>ROUND(SUM(B470:E470),9)</f>
        <v>91</v>
      </c>
    </row>
    <row r="471" spans="1:6">
      <c r="A471" s="5" t="s">
        <v>71</v>
      </c>
      <c r="B471" s="4">
        <f>INDEX('Transition Stepwise'!$F$2:$F$1137,MATCH(59&amp;"|"&amp;$A471&amp;"|"&amp;B$469,'Transition Stepwise'!$E$2:$E$1137,0))</f>
        <v>0</v>
      </c>
      <c r="C471" s="4">
        <f>INDEX('Transition Stepwise'!$F$2:$F$1137,MATCH(59&amp;"|"&amp;$A471&amp;"|"&amp;C$469,'Transition Stepwise'!$E$2:$E$1137,0))</f>
        <v>3</v>
      </c>
      <c r="D471" s="4">
        <f>INDEX('Transition Stepwise'!$F$2:$F$1137,MATCH(59&amp;"|"&amp;$A471&amp;"|"&amp;D$469,'Transition Stepwise'!$E$2:$E$1137,0))</f>
        <v>1</v>
      </c>
      <c r="E471" s="4">
        <f>INDEX('Transition Stepwise'!$F$2:$F$1137,MATCH(59&amp;"|"&amp;$A471&amp;"|"&amp;E$469,'Transition Stepwise'!$E$2:$E$1137,0))</f>
        <v>8</v>
      </c>
      <c r="F471" s="4">
        <f>ROUND(SUM(B471:E471),9)</f>
        <v>12</v>
      </c>
    </row>
    <row r="472" spans="1:6">
      <c r="A472" s="5" t="s">
        <v>70</v>
      </c>
      <c r="B472" s="4">
        <f>INDEX('Transition Stepwise'!$F$2:$F$1137,MATCH(59&amp;"|"&amp;$A472&amp;"|"&amp;B$469,'Transition Stepwise'!$E$2:$E$1137,0))</f>
        <v>0</v>
      </c>
      <c r="C472" s="4">
        <f>INDEX('Transition Stepwise'!$F$2:$F$1137,MATCH(59&amp;"|"&amp;$A472&amp;"|"&amp;C$469,'Transition Stepwise'!$E$2:$E$1137,0))</f>
        <v>6</v>
      </c>
      <c r="D472" s="4">
        <f>INDEX('Transition Stepwise'!$F$2:$F$1137,MATCH(59&amp;"|"&amp;$A472&amp;"|"&amp;D$469,'Transition Stepwise'!$E$2:$E$1137,0))</f>
        <v>0</v>
      </c>
      <c r="E472" s="4">
        <f>INDEX('Transition Stepwise'!$F$2:$F$1137,MATCH(59&amp;"|"&amp;$A472&amp;"|"&amp;E$469,'Transition Stepwise'!$E$2:$E$1137,0))</f>
        <v>41</v>
      </c>
      <c r="F472" s="4">
        <f>ROUND(SUM(B472:E472),9)</f>
        <v>47</v>
      </c>
    </row>
    <row r="473" spans="1:6">
      <c r="A473" s="5" t="s">
        <v>72</v>
      </c>
      <c r="B473" s="4">
        <f>INDEX('Transition Stepwise'!$F$2:$F$1137,MATCH(59&amp;"|"&amp;$A473&amp;"|"&amp;B$469,'Transition Stepwise'!$E$2:$E$1137,0))</f>
        <v>0</v>
      </c>
      <c r="C473" s="4">
        <f>INDEX('Transition Stepwise'!$F$2:$F$1137,MATCH(59&amp;"|"&amp;$A473&amp;"|"&amp;C$469,'Transition Stepwise'!$E$2:$E$1137,0))</f>
        <v>22</v>
      </c>
      <c r="D473" s="4">
        <f>INDEX('Transition Stepwise'!$F$2:$F$1137,MATCH(59&amp;"|"&amp;$A473&amp;"|"&amp;D$469,'Transition Stepwise'!$E$2:$E$1137,0))</f>
        <v>0</v>
      </c>
      <c r="E473" s="4">
        <f>INDEX('Transition Stepwise'!$F$2:$F$1137,MATCH(59&amp;"|"&amp;$A473&amp;"|"&amp;E$469,'Transition Stepwise'!$E$2:$E$1137,0))</f>
        <v>28</v>
      </c>
      <c r="F473" s="4">
        <f>ROUND(SUM(B473:E473),9)</f>
        <v>50</v>
      </c>
    </row>
    <row r="474" spans="1:6">
      <c r="A474" s="4"/>
      <c r="B474" s="4"/>
      <c r="C474" s="4"/>
      <c r="D474" s="4"/>
      <c r="E474" s="4"/>
      <c r="F474" s="4"/>
    </row>
    <row r="475" spans="1:6">
      <c r="A475" s="4"/>
      <c r="B475" s="4"/>
      <c r="C475" s="4"/>
      <c r="D475" s="4"/>
      <c r="E475" s="4"/>
      <c r="F475" s="4"/>
    </row>
    <row r="476" spans="1:6">
      <c r="A476" s="5" t="s">
        <v>653</v>
      </c>
      <c r="B476" s="4"/>
      <c r="C476" s="4"/>
      <c r="D476" s="4"/>
      <c r="E476" s="4"/>
      <c r="F476" s="4"/>
    </row>
    <row r="477" spans="1:6">
      <c r="A477" s="9" t="s">
        <v>593</v>
      </c>
      <c r="B477" s="9" t="s">
        <v>73</v>
      </c>
      <c r="C477" s="9" t="s">
        <v>71</v>
      </c>
      <c r="D477" s="9" t="s">
        <v>70</v>
      </c>
      <c r="E477" s="9" t="s">
        <v>72</v>
      </c>
      <c r="F477" s="9" t="s">
        <v>594</v>
      </c>
    </row>
    <row r="478" spans="1:6">
      <c r="A478" s="5" t="s">
        <v>73</v>
      </c>
      <c r="B478" s="4">
        <f>INDEX('Transition Stepwise'!$F$2:$F$1137,MATCH(60&amp;"|"&amp;$A478&amp;"|"&amp;B$477,'Transition Stepwise'!$E$2:$E$1137,0))</f>
        <v>0</v>
      </c>
      <c r="C478" s="4">
        <f>INDEX('Transition Stepwise'!$F$2:$F$1137,MATCH(60&amp;"|"&amp;$A478&amp;"|"&amp;C$477,'Transition Stepwise'!$E$2:$E$1137,0))</f>
        <v>1</v>
      </c>
      <c r="D478" s="4">
        <f>INDEX('Transition Stepwise'!$F$2:$F$1137,MATCH(60&amp;"|"&amp;$A478&amp;"|"&amp;D$477,'Transition Stepwise'!$E$2:$E$1137,0))</f>
        <v>0</v>
      </c>
      <c r="E478" s="4">
        <f>INDEX('Transition Stepwise'!$F$2:$F$1137,MATCH(60&amp;"|"&amp;$A478&amp;"|"&amp;E$477,'Transition Stepwise'!$E$2:$E$1137,0))</f>
        <v>0</v>
      </c>
      <c r="F478" s="4">
        <f>ROUND(SUM(B478:E478),9)</f>
        <v>1</v>
      </c>
    </row>
    <row r="479" spans="1:6">
      <c r="A479" s="5" t="s">
        <v>71</v>
      </c>
      <c r="B479" s="4">
        <f>INDEX('Transition Stepwise'!$F$2:$F$1137,MATCH(60&amp;"|"&amp;$A479&amp;"|"&amp;B$477,'Transition Stepwise'!$E$2:$E$1137,0))</f>
        <v>0</v>
      </c>
      <c r="C479" s="4">
        <f>INDEX('Transition Stepwise'!$F$2:$F$1137,MATCH(60&amp;"|"&amp;$A479&amp;"|"&amp;C$477,'Transition Stepwise'!$E$2:$E$1137,0))</f>
        <v>40</v>
      </c>
      <c r="D479" s="4">
        <f>INDEX('Transition Stepwise'!$F$2:$F$1137,MATCH(60&amp;"|"&amp;$A479&amp;"|"&amp;D$477,'Transition Stepwise'!$E$2:$E$1137,0))</f>
        <v>0</v>
      </c>
      <c r="E479" s="4">
        <f>INDEX('Transition Stepwise'!$F$2:$F$1137,MATCH(60&amp;"|"&amp;$A479&amp;"|"&amp;E$477,'Transition Stepwise'!$E$2:$E$1137,0))</f>
        <v>0</v>
      </c>
      <c r="F479" s="4">
        <f>ROUND(SUM(B479:E479),9)</f>
        <v>40</v>
      </c>
    </row>
    <row r="480" spans="1:6">
      <c r="A480" s="5" t="s">
        <v>70</v>
      </c>
      <c r="B480" s="4">
        <f>INDEX('Transition Stepwise'!$F$2:$F$1137,MATCH(60&amp;"|"&amp;$A480&amp;"|"&amp;B$477,'Transition Stepwise'!$E$2:$E$1137,0))</f>
        <v>0</v>
      </c>
      <c r="C480" s="4">
        <f>INDEX('Transition Stepwise'!$F$2:$F$1137,MATCH(60&amp;"|"&amp;$A480&amp;"|"&amp;C$477,'Transition Stepwise'!$E$2:$E$1137,0))</f>
        <v>1</v>
      </c>
      <c r="D480" s="4">
        <f>INDEX('Transition Stepwise'!$F$2:$F$1137,MATCH(60&amp;"|"&amp;$A480&amp;"|"&amp;D$477,'Transition Stepwise'!$E$2:$E$1137,0))</f>
        <v>1</v>
      </c>
      <c r="E480" s="4">
        <f>INDEX('Transition Stepwise'!$F$2:$F$1137,MATCH(60&amp;"|"&amp;$A480&amp;"|"&amp;E$477,'Transition Stepwise'!$E$2:$E$1137,0))</f>
        <v>0</v>
      </c>
      <c r="F480" s="4">
        <f>ROUND(SUM(B480:E480),9)</f>
        <v>2</v>
      </c>
    </row>
    <row r="481" spans="1:6">
      <c r="A481" s="5" t="s">
        <v>72</v>
      </c>
      <c r="B481" s="4">
        <f>INDEX('Transition Stepwise'!$F$2:$F$1137,MATCH(60&amp;"|"&amp;$A481&amp;"|"&amp;B$477,'Transition Stepwise'!$E$2:$E$1137,0))</f>
        <v>0</v>
      </c>
      <c r="C481" s="4">
        <f>INDEX('Transition Stepwise'!$F$2:$F$1137,MATCH(60&amp;"|"&amp;$A481&amp;"|"&amp;C$477,'Transition Stepwise'!$E$2:$E$1137,0))</f>
        <v>156</v>
      </c>
      <c r="D481" s="4">
        <f>INDEX('Transition Stepwise'!$F$2:$F$1137,MATCH(60&amp;"|"&amp;$A481&amp;"|"&amp;D$477,'Transition Stepwise'!$E$2:$E$1137,0))</f>
        <v>0</v>
      </c>
      <c r="E481" s="4">
        <f>INDEX('Transition Stepwise'!$F$2:$F$1137,MATCH(60&amp;"|"&amp;$A481&amp;"|"&amp;E$477,'Transition Stepwise'!$E$2:$E$1137,0))</f>
        <v>1</v>
      </c>
      <c r="F481" s="4">
        <f>ROUND(SUM(B481:E481),9)</f>
        <v>157</v>
      </c>
    </row>
    <row r="482" spans="1:6">
      <c r="A482" s="4"/>
      <c r="B482" s="4"/>
      <c r="C482" s="4"/>
      <c r="D482" s="4"/>
      <c r="E482" s="4"/>
      <c r="F482" s="4"/>
    </row>
    <row r="483" spans="1:6">
      <c r="A483" s="4"/>
      <c r="B483" s="4"/>
      <c r="C483" s="4"/>
      <c r="D483" s="4"/>
      <c r="E483" s="4"/>
      <c r="F483" s="4"/>
    </row>
    <row r="484" spans="1:6">
      <c r="A484" s="5" t="s">
        <v>654</v>
      </c>
      <c r="B484" s="4"/>
      <c r="C484" s="4"/>
      <c r="D484" s="4"/>
      <c r="E484" s="4"/>
      <c r="F484" s="4"/>
    </row>
    <row r="485" spans="1:6">
      <c r="A485" s="9" t="s">
        <v>593</v>
      </c>
      <c r="B485" s="9" t="s">
        <v>73</v>
      </c>
      <c r="C485" s="9" t="s">
        <v>71</v>
      </c>
      <c r="D485" s="9" t="s">
        <v>70</v>
      </c>
      <c r="E485" s="9" t="s">
        <v>72</v>
      </c>
      <c r="F485" s="9" t="s">
        <v>594</v>
      </c>
    </row>
    <row r="486" spans="1:6">
      <c r="A486" s="5" t="s">
        <v>73</v>
      </c>
      <c r="B486" s="4">
        <f>INDEX('Transition Stepwise'!$F$2:$F$1137,MATCH(61&amp;"|"&amp;$A486&amp;"|"&amp;B$485,'Transition Stepwise'!$E$2:$E$1137,0))</f>
        <v>0</v>
      </c>
      <c r="C486" s="4">
        <f>INDEX('Transition Stepwise'!$F$2:$F$1137,MATCH(61&amp;"|"&amp;$A486&amp;"|"&amp;C$485,'Transition Stepwise'!$E$2:$E$1137,0))</f>
        <v>0</v>
      </c>
      <c r="D486" s="4">
        <f>INDEX('Transition Stepwise'!$F$2:$F$1137,MATCH(61&amp;"|"&amp;$A486&amp;"|"&amp;D$485,'Transition Stepwise'!$E$2:$E$1137,0))</f>
        <v>0</v>
      </c>
      <c r="E486" s="4">
        <f>INDEX('Transition Stepwise'!$F$2:$F$1137,MATCH(61&amp;"|"&amp;$A486&amp;"|"&amp;E$485,'Transition Stepwise'!$E$2:$E$1137,0))</f>
        <v>0</v>
      </c>
      <c r="F486" s="4">
        <f>ROUND(SUM(B486:E486),9)</f>
        <v>0</v>
      </c>
    </row>
    <row r="487" spans="1:6">
      <c r="A487" s="5" t="s">
        <v>71</v>
      </c>
      <c r="B487" s="4">
        <f>INDEX('Transition Stepwise'!$F$2:$F$1137,MATCH(61&amp;"|"&amp;$A487&amp;"|"&amp;B$485,'Transition Stepwise'!$E$2:$E$1137,0))</f>
        <v>3</v>
      </c>
      <c r="C487" s="4">
        <f>INDEX('Transition Stepwise'!$F$2:$F$1137,MATCH(61&amp;"|"&amp;$A487&amp;"|"&amp;C$485,'Transition Stepwise'!$E$2:$E$1137,0))</f>
        <v>168</v>
      </c>
      <c r="D487" s="4">
        <f>INDEX('Transition Stepwise'!$F$2:$F$1137,MATCH(61&amp;"|"&amp;$A487&amp;"|"&amp;D$485,'Transition Stepwise'!$E$2:$E$1137,0))</f>
        <v>2</v>
      </c>
      <c r="E487" s="4">
        <f>INDEX('Transition Stepwise'!$F$2:$F$1137,MATCH(61&amp;"|"&amp;$A487&amp;"|"&amp;E$485,'Transition Stepwise'!$E$2:$E$1137,0))</f>
        <v>25</v>
      </c>
      <c r="F487" s="4">
        <f>ROUND(SUM(B487:E487),9)</f>
        <v>198</v>
      </c>
    </row>
    <row r="488" spans="1:6">
      <c r="A488" s="5" t="s">
        <v>70</v>
      </c>
      <c r="B488" s="4">
        <f>INDEX('Transition Stepwise'!$F$2:$F$1137,MATCH(61&amp;"|"&amp;$A488&amp;"|"&amp;B$485,'Transition Stepwise'!$E$2:$E$1137,0))</f>
        <v>0</v>
      </c>
      <c r="C488" s="4">
        <f>INDEX('Transition Stepwise'!$F$2:$F$1137,MATCH(61&amp;"|"&amp;$A488&amp;"|"&amp;C$485,'Transition Stepwise'!$E$2:$E$1137,0))</f>
        <v>0</v>
      </c>
      <c r="D488" s="4">
        <f>INDEX('Transition Stepwise'!$F$2:$F$1137,MATCH(61&amp;"|"&amp;$A488&amp;"|"&amp;D$485,'Transition Stepwise'!$E$2:$E$1137,0))</f>
        <v>0</v>
      </c>
      <c r="E488" s="4">
        <f>INDEX('Transition Stepwise'!$F$2:$F$1137,MATCH(61&amp;"|"&amp;$A488&amp;"|"&amp;E$485,'Transition Stepwise'!$E$2:$E$1137,0))</f>
        <v>1</v>
      </c>
      <c r="F488" s="4">
        <f>ROUND(SUM(B488:E488),9)</f>
        <v>1</v>
      </c>
    </row>
    <row r="489" spans="1:6">
      <c r="A489" s="5" t="s">
        <v>72</v>
      </c>
      <c r="B489" s="4">
        <f>INDEX('Transition Stepwise'!$F$2:$F$1137,MATCH(61&amp;"|"&amp;$A489&amp;"|"&amp;B$485,'Transition Stepwise'!$E$2:$E$1137,0))</f>
        <v>0</v>
      </c>
      <c r="C489" s="4">
        <f>INDEX('Transition Stepwise'!$F$2:$F$1137,MATCH(61&amp;"|"&amp;$A489&amp;"|"&amp;C$485,'Transition Stepwise'!$E$2:$E$1137,0))</f>
        <v>1</v>
      </c>
      <c r="D489" s="4">
        <f>INDEX('Transition Stepwise'!$F$2:$F$1137,MATCH(61&amp;"|"&amp;$A489&amp;"|"&amp;D$485,'Transition Stepwise'!$E$2:$E$1137,0))</f>
        <v>0</v>
      </c>
      <c r="E489" s="4">
        <f>INDEX('Transition Stepwise'!$F$2:$F$1137,MATCH(61&amp;"|"&amp;$A489&amp;"|"&amp;E$485,'Transition Stepwise'!$E$2:$E$1137,0))</f>
        <v>0</v>
      </c>
      <c r="F489" s="4">
        <f>ROUND(SUM(B489:E489),9)</f>
        <v>1</v>
      </c>
    </row>
    <row r="490" spans="1:6">
      <c r="A490" s="4"/>
      <c r="B490" s="4"/>
      <c r="C490" s="4"/>
      <c r="D490" s="4"/>
      <c r="E490" s="4"/>
      <c r="F490" s="4"/>
    </row>
    <row r="491" spans="1:6">
      <c r="A491" s="4"/>
      <c r="B491" s="4"/>
      <c r="C491" s="4"/>
      <c r="D491" s="4"/>
      <c r="E491" s="4"/>
      <c r="F491" s="4"/>
    </row>
    <row r="492" spans="1:6">
      <c r="A492" s="5" t="s">
        <v>655</v>
      </c>
      <c r="B492" s="4"/>
      <c r="C492" s="4"/>
      <c r="D492" s="4"/>
      <c r="E492" s="4"/>
      <c r="F492" s="4"/>
    </row>
    <row r="493" spans="1:6">
      <c r="A493" s="9" t="s">
        <v>593</v>
      </c>
      <c r="B493" s="9" t="s">
        <v>73</v>
      </c>
      <c r="C493" s="9" t="s">
        <v>71</v>
      </c>
      <c r="D493" s="9" t="s">
        <v>70</v>
      </c>
      <c r="E493" s="9" t="s">
        <v>72</v>
      </c>
      <c r="F493" s="9" t="s">
        <v>594</v>
      </c>
    </row>
    <row r="494" spans="1:6">
      <c r="A494" s="5" t="s">
        <v>73</v>
      </c>
      <c r="B494" s="4">
        <f>INDEX('Transition Stepwise'!$F$2:$F$1137,MATCH(62&amp;"|"&amp;$A494&amp;"|"&amp;B$493,'Transition Stepwise'!$E$2:$E$1137,0))</f>
        <v>0</v>
      </c>
      <c r="C494" s="4">
        <f>INDEX('Transition Stepwise'!$F$2:$F$1137,MATCH(62&amp;"|"&amp;$A494&amp;"|"&amp;C$493,'Transition Stepwise'!$E$2:$E$1137,0))</f>
        <v>3</v>
      </c>
      <c r="D494" s="4">
        <f>INDEX('Transition Stepwise'!$F$2:$F$1137,MATCH(62&amp;"|"&amp;$A494&amp;"|"&amp;D$493,'Transition Stepwise'!$E$2:$E$1137,0))</f>
        <v>0</v>
      </c>
      <c r="E494" s="4">
        <f>INDEX('Transition Stepwise'!$F$2:$F$1137,MATCH(62&amp;"|"&amp;$A494&amp;"|"&amp;E$493,'Transition Stepwise'!$E$2:$E$1137,0))</f>
        <v>0</v>
      </c>
      <c r="F494" s="4">
        <f>ROUND(SUM(B494:E494),9)</f>
        <v>3</v>
      </c>
    </row>
    <row r="495" spans="1:6">
      <c r="A495" s="5" t="s">
        <v>71</v>
      </c>
      <c r="B495" s="4">
        <f>INDEX('Transition Stepwise'!$F$2:$F$1137,MATCH(62&amp;"|"&amp;$A495&amp;"|"&amp;B$493,'Transition Stepwise'!$E$2:$E$1137,0))</f>
        <v>21</v>
      </c>
      <c r="C495" s="4">
        <f>INDEX('Transition Stepwise'!$F$2:$F$1137,MATCH(62&amp;"|"&amp;$A495&amp;"|"&amp;C$493,'Transition Stepwise'!$E$2:$E$1137,0))</f>
        <v>77</v>
      </c>
      <c r="D495" s="4">
        <f>INDEX('Transition Stepwise'!$F$2:$F$1137,MATCH(62&amp;"|"&amp;$A495&amp;"|"&amp;D$493,'Transition Stepwise'!$E$2:$E$1137,0))</f>
        <v>41</v>
      </c>
      <c r="E495" s="4">
        <f>INDEX('Transition Stepwise'!$F$2:$F$1137,MATCH(62&amp;"|"&amp;$A495&amp;"|"&amp;E$493,'Transition Stepwise'!$E$2:$E$1137,0))</f>
        <v>30</v>
      </c>
      <c r="F495" s="4">
        <f>ROUND(SUM(B495:E495),9)</f>
        <v>169</v>
      </c>
    </row>
    <row r="496" spans="1:6">
      <c r="A496" s="5" t="s">
        <v>70</v>
      </c>
      <c r="B496" s="4">
        <f>INDEX('Transition Stepwise'!$F$2:$F$1137,MATCH(62&amp;"|"&amp;$A496&amp;"|"&amp;B$493,'Transition Stepwise'!$E$2:$E$1137,0))</f>
        <v>0</v>
      </c>
      <c r="C496" s="4">
        <f>INDEX('Transition Stepwise'!$F$2:$F$1137,MATCH(62&amp;"|"&amp;$A496&amp;"|"&amp;C$493,'Transition Stepwise'!$E$2:$E$1137,0))</f>
        <v>2</v>
      </c>
      <c r="D496" s="4">
        <f>INDEX('Transition Stepwise'!$F$2:$F$1137,MATCH(62&amp;"|"&amp;$A496&amp;"|"&amp;D$493,'Transition Stepwise'!$E$2:$E$1137,0))</f>
        <v>0</v>
      </c>
      <c r="E496" s="4">
        <f>INDEX('Transition Stepwise'!$F$2:$F$1137,MATCH(62&amp;"|"&amp;$A496&amp;"|"&amp;E$493,'Transition Stepwise'!$E$2:$E$1137,0))</f>
        <v>0</v>
      </c>
      <c r="F496" s="4">
        <f>ROUND(SUM(B496:E496),9)</f>
        <v>2</v>
      </c>
    </row>
    <row r="497" spans="1:6">
      <c r="A497" s="5" t="s">
        <v>72</v>
      </c>
      <c r="B497" s="4">
        <f>INDEX('Transition Stepwise'!$F$2:$F$1137,MATCH(62&amp;"|"&amp;$A497&amp;"|"&amp;B$493,'Transition Stepwise'!$E$2:$E$1137,0))</f>
        <v>2</v>
      </c>
      <c r="C497" s="4">
        <f>INDEX('Transition Stepwise'!$F$2:$F$1137,MATCH(62&amp;"|"&amp;$A497&amp;"|"&amp;C$493,'Transition Stepwise'!$E$2:$E$1137,0))</f>
        <v>15</v>
      </c>
      <c r="D497" s="4">
        <f>INDEX('Transition Stepwise'!$F$2:$F$1137,MATCH(62&amp;"|"&amp;$A497&amp;"|"&amp;D$493,'Transition Stepwise'!$E$2:$E$1137,0))</f>
        <v>7</v>
      </c>
      <c r="E497" s="4">
        <f>INDEX('Transition Stepwise'!$F$2:$F$1137,MATCH(62&amp;"|"&amp;$A497&amp;"|"&amp;E$493,'Transition Stepwise'!$E$2:$E$1137,0))</f>
        <v>2</v>
      </c>
      <c r="F497" s="4">
        <f>ROUND(SUM(B497:E497),9)</f>
        <v>26</v>
      </c>
    </row>
    <row r="498" spans="1:6">
      <c r="A498" s="4"/>
      <c r="B498" s="4"/>
      <c r="C498" s="4"/>
      <c r="D498" s="4"/>
      <c r="E498" s="4"/>
      <c r="F498" s="4"/>
    </row>
    <row r="499" spans="1:6">
      <c r="A499" s="4"/>
      <c r="B499" s="4"/>
      <c r="C499" s="4"/>
      <c r="D499" s="4"/>
      <c r="E499" s="4"/>
      <c r="F499" s="4"/>
    </row>
    <row r="500" spans="1:6">
      <c r="A500" s="5" t="s">
        <v>656</v>
      </c>
      <c r="B500" s="4"/>
      <c r="C500" s="4"/>
      <c r="D500" s="4"/>
      <c r="E500" s="4"/>
      <c r="F500" s="4"/>
    </row>
    <row r="501" spans="1:6">
      <c r="A501" s="9" t="s">
        <v>593</v>
      </c>
      <c r="B501" s="9" t="s">
        <v>73</v>
      </c>
      <c r="C501" s="9" t="s">
        <v>71</v>
      </c>
      <c r="D501" s="9" t="s">
        <v>70</v>
      </c>
      <c r="E501" s="9" t="s">
        <v>72</v>
      </c>
      <c r="F501" s="9" t="s">
        <v>594</v>
      </c>
    </row>
    <row r="502" spans="1:6">
      <c r="A502" s="5" t="s">
        <v>73</v>
      </c>
      <c r="B502" s="4">
        <f>INDEX('Transition Stepwise'!$F$2:$F$1137,MATCH(63&amp;"|"&amp;$A502&amp;"|"&amp;B$501,'Transition Stepwise'!$E$2:$E$1137,0))</f>
        <v>5</v>
      </c>
      <c r="C502" s="4">
        <f>INDEX('Transition Stepwise'!$F$2:$F$1137,MATCH(63&amp;"|"&amp;$A502&amp;"|"&amp;C$501,'Transition Stepwise'!$E$2:$E$1137,0))</f>
        <v>7</v>
      </c>
      <c r="D502" s="4">
        <f>INDEX('Transition Stepwise'!$F$2:$F$1137,MATCH(63&amp;"|"&amp;$A502&amp;"|"&amp;D$501,'Transition Stepwise'!$E$2:$E$1137,0))</f>
        <v>9</v>
      </c>
      <c r="E502" s="4">
        <f>INDEX('Transition Stepwise'!$F$2:$F$1137,MATCH(63&amp;"|"&amp;$A502&amp;"|"&amp;E$501,'Transition Stepwise'!$E$2:$E$1137,0))</f>
        <v>2</v>
      </c>
      <c r="F502" s="4">
        <f>ROUND(SUM(B502:E502),9)</f>
        <v>23</v>
      </c>
    </row>
    <row r="503" spans="1:6">
      <c r="A503" s="5" t="s">
        <v>71</v>
      </c>
      <c r="B503" s="4">
        <f>INDEX('Transition Stepwise'!$F$2:$F$1137,MATCH(63&amp;"|"&amp;$A503&amp;"|"&amp;B$501,'Transition Stepwise'!$E$2:$E$1137,0))</f>
        <v>18</v>
      </c>
      <c r="C503" s="4">
        <f>INDEX('Transition Stepwise'!$F$2:$F$1137,MATCH(63&amp;"|"&amp;$A503&amp;"|"&amp;C$501,'Transition Stepwise'!$E$2:$E$1137,0))</f>
        <v>18</v>
      </c>
      <c r="D503" s="4">
        <f>INDEX('Transition Stepwise'!$F$2:$F$1137,MATCH(63&amp;"|"&amp;$A503&amp;"|"&amp;D$501,'Transition Stepwise'!$E$2:$E$1137,0))</f>
        <v>39</v>
      </c>
      <c r="E503" s="4">
        <f>INDEX('Transition Stepwise'!$F$2:$F$1137,MATCH(63&amp;"|"&amp;$A503&amp;"|"&amp;E$501,'Transition Stepwise'!$E$2:$E$1137,0))</f>
        <v>22</v>
      </c>
      <c r="F503" s="4">
        <f>ROUND(SUM(B503:E503),9)</f>
        <v>97</v>
      </c>
    </row>
    <row r="504" spans="1:6">
      <c r="A504" s="5" t="s">
        <v>70</v>
      </c>
      <c r="B504" s="4">
        <f>INDEX('Transition Stepwise'!$F$2:$F$1137,MATCH(63&amp;"|"&amp;$A504&amp;"|"&amp;B$501,'Transition Stepwise'!$E$2:$E$1137,0))</f>
        <v>5</v>
      </c>
      <c r="C504" s="4">
        <f>INDEX('Transition Stepwise'!$F$2:$F$1137,MATCH(63&amp;"|"&amp;$A504&amp;"|"&amp;C$501,'Transition Stepwise'!$E$2:$E$1137,0))</f>
        <v>12</v>
      </c>
      <c r="D504" s="4">
        <f>INDEX('Transition Stepwise'!$F$2:$F$1137,MATCH(63&amp;"|"&amp;$A504&amp;"|"&amp;D$501,'Transition Stepwise'!$E$2:$E$1137,0))</f>
        <v>26</v>
      </c>
      <c r="E504" s="4">
        <f>INDEX('Transition Stepwise'!$F$2:$F$1137,MATCH(63&amp;"|"&amp;$A504&amp;"|"&amp;E$501,'Transition Stepwise'!$E$2:$E$1137,0))</f>
        <v>5</v>
      </c>
      <c r="F504" s="4">
        <f>ROUND(SUM(B504:E504),9)</f>
        <v>48</v>
      </c>
    </row>
    <row r="505" spans="1:6">
      <c r="A505" s="5" t="s">
        <v>72</v>
      </c>
      <c r="B505" s="4">
        <f>INDEX('Transition Stepwise'!$F$2:$F$1137,MATCH(63&amp;"|"&amp;$A505&amp;"|"&amp;B$501,'Transition Stepwise'!$E$2:$E$1137,0))</f>
        <v>5</v>
      </c>
      <c r="C505" s="4">
        <f>INDEX('Transition Stepwise'!$F$2:$F$1137,MATCH(63&amp;"|"&amp;$A505&amp;"|"&amp;C$501,'Transition Stepwise'!$E$2:$E$1137,0))</f>
        <v>5</v>
      </c>
      <c r="D505" s="4">
        <f>INDEX('Transition Stepwise'!$F$2:$F$1137,MATCH(63&amp;"|"&amp;$A505&amp;"|"&amp;D$501,'Transition Stepwise'!$E$2:$E$1137,0))</f>
        <v>18</v>
      </c>
      <c r="E505" s="4">
        <f>INDEX('Transition Stepwise'!$F$2:$F$1137,MATCH(63&amp;"|"&amp;$A505&amp;"|"&amp;E$501,'Transition Stepwise'!$E$2:$E$1137,0))</f>
        <v>4</v>
      </c>
      <c r="F505" s="4">
        <f>ROUND(SUM(B505:E505),9)</f>
        <v>32</v>
      </c>
    </row>
    <row r="506" spans="1:6">
      <c r="A506" s="4"/>
      <c r="B506" s="4"/>
      <c r="C506" s="4"/>
      <c r="D506" s="4"/>
      <c r="E506" s="4"/>
      <c r="F506" s="4"/>
    </row>
    <row r="507" spans="1:6">
      <c r="A507" s="4"/>
      <c r="B507" s="4"/>
      <c r="C507" s="4"/>
      <c r="D507" s="4"/>
      <c r="E507" s="4"/>
      <c r="F507" s="4"/>
    </row>
    <row r="508" spans="1:6">
      <c r="A508" s="5" t="s">
        <v>657</v>
      </c>
      <c r="B508" s="4"/>
      <c r="C508" s="4"/>
      <c r="D508" s="4"/>
      <c r="E508" s="4"/>
      <c r="F508" s="4"/>
    </row>
    <row r="509" spans="1:6">
      <c r="A509" s="9" t="s">
        <v>593</v>
      </c>
      <c r="B509" s="9" t="s">
        <v>73</v>
      </c>
      <c r="C509" s="9" t="s">
        <v>71</v>
      </c>
      <c r="D509" s="9" t="s">
        <v>70</v>
      </c>
      <c r="E509" s="9" t="s">
        <v>72</v>
      </c>
      <c r="F509" s="9" t="s">
        <v>594</v>
      </c>
    </row>
    <row r="510" spans="1:6">
      <c r="A510" s="5" t="s">
        <v>73</v>
      </c>
      <c r="B510" s="4">
        <f>INDEX('Transition Stepwise'!$F$2:$F$1137,MATCH(64&amp;"|"&amp;$A510&amp;"|"&amp;B$509,'Transition Stepwise'!$E$2:$E$1137,0))</f>
        <v>1</v>
      </c>
      <c r="C510" s="4">
        <f>INDEX('Transition Stepwise'!$F$2:$F$1137,MATCH(64&amp;"|"&amp;$A510&amp;"|"&amp;C$509,'Transition Stepwise'!$E$2:$E$1137,0))</f>
        <v>14</v>
      </c>
      <c r="D510" s="4">
        <f>INDEX('Transition Stepwise'!$F$2:$F$1137,MATCH(64&amp;"|"&amp;$A510&amp;"|"&amp;D$509,'Transition Stepwise'!$E$2:$E$1137,0))</f>
        <v>5</v>
      </c>
      <c r="E510" s="4">
        <f>INDEX('Transition Stepwise'!$F$2:$F$1137,MATCH(64&amp;"|"&amp;$A510&amp;"|"&amp;E$509,'Transition Stepwise'!$E$2:$E$1137,0))</f>
        <v>12</v>
      </c>
      <c r="F510" s="4">
        <f>ROUND(SUM(B510:E510),9)</f>
        <v>32</v>
      </c>
    </row>
    <row r="511" spans="1:6">
      <c r="A511" s="5" t="s">
        <v>71</v>
      </c>
      <c r="B511" s="4">
        <f>INDEX('Transition Stepwise'!$F$2:$F$1137,MATCH(64&amp;"|"&amp;$A511&amp;"|"&amp;B$509,'Transition Stepwise'!$E$2:$E$1137,0))</f>
        <v>4</v>
      </c>
      <c r="C511" s="4">
        <f>INDEX('Transition Stepwise'!$F$2:$F$1137,MATCH(64&amp;"|"&amp;$A511&amp;"|"&amp;C$509,'Transition Stepwise'!$E$2:$E$1137,0))</f>
        <v>10</v>
      </c>
      <c r="D511" s="4">
        <f>INDEX('Transition Stepwise'!$F$2:$F$1137,MATCH(64&amp;"|"&amp;$A511&amp;"|"&amp;D$509,'Transition Stepwise'!$E$2:$E$1137,0))</f>
        <v>11</v>
      </c>
      <c r="E511" s="4">
        <f>INDEX('Transition Stepwise'!$F$2:$F$1137,MATCH(64&amp;"|"&amp;$A511&amp;"|"&amp;E$509,'Transition Stepwise'!$E$2:$E$1137,0))</f>
        <v>17</v>
      </c>
      <c r="F511" s="4">
        <f>ROUND(SUM(B511:E511),9)</f>
        <v>42</v>
      </c>
    </row>
    <row r="512" spans="1:6">
      <c r="A512" s="5" t="s">
        <v>70</v>
      </c>
      <c r="B512" s="4">
        <f>INDEX('Transition Stepwise'!$F$2:$F$1137,MATCH(64&amp;"|"&amp;$A512&amp;"|"&amp;B$509,'Transition Stepwise'!$E$2:$E$1137,0))</f>
        <v>2</v>
      </c>
      <c r="C512" s="4">
        <f>INDEX('Transition Stepwise'!$F$2:$F$1137,MATCH(64&amp;"|"&amp;$A512&amp;"|"&amp;C$509,'Transition Stepwise'!$E$2:$E$1137,0))</f>
        <v>22</v>
      </c>
      <c r="D512" s="4">
        <f>INDEX('Transition Stepwise'!$F$2:$F$1137,MATCH(64&amp;"|"&amp;$A512&amp;"|"&amp;D$509,'Transition Stepwise'!$E$2:$E$1137,0))</f>
        <v>37</v>
      </c>
      <c r="E512" s="4">
        <f>INDEX('Transition Stepwise'!$F$2:$F$1137,MATCH(64&amp;"|"&amp;$A512&amp;"|"&amp;E$509,'Transition Stepwise'!$E$2:$E$1137,0))</f>
        <v>31</v>
      </c>
      <c r="F512" s="4">
        <f>ROUND(SUM(B512:E512),9)</f>
        <v>92</v>
      </c>
    </row>
    <row r="513" spans="1:6">
      <c r="A513" s="5" t="s">
        <v>72</v>
      </c>
      <c r="B513" s="4">
        <f>INDEX('Transition Stepwise'!$F$2:$F$1137,MATCH(64&amp;"|"&amp;$A513&amp;"|"&amp;B$509,'Transition Stepwise'!$E$2:$E$1137,0))</f>
        <v>2</v>
      </c>
      <c r="C513" s="4">
        <f>INDEX('Transition Stepwise'!$F$2:$F$1137,MATCH(64&amp;"|"&amp;$A513&amp;"|"&amp;C$509,'Transition Stepwise'!$E$2:$E$1137,0))</f>
        <v>17</v>
      </c>
      <c r="D513" s="4">
        <f>INDEX('Transition Stepwise'!$F$2:$F$1137,MATCH(64&amp;"|"&amp;$A513&amp;"|"&amp;D$509,'Transition Stepwise'!$E$2:$E$1137,0))</f>
        <v>4</v>
      </c>
      <c r="E513" s="4">
        <f>INDEX('Transition Stepwise'!$F$2:$F$1137,MATCH(64&amp;"|"&amp;$A513&amp;"|"&amp;E$509,'Transition Stepwise'!$E$2:$E$1137,0))</f>
        <v>10</v>
      </c>
      <c r="F513" s="4">
        <f>ROUND(SUM(B513:E513),9)</f>
        <v>33</v>
      </c>
    </row>
    <row r="514" spans="1:6">
      <c r="A514" s="4"/>
      <c r="B514" s="4"/>
      <c r="C514" s="4"/>
      <c r="D514" s="4"/>
      <c r="E514" s="4"/>
      <c r="F514" s="4"/>
    </row>
    <row r="515" spans="1:6">
      <c r="A515" s="4"/>
      <c r="B515" s="4"/>
      <c r="C515" s="4"/>
      <c r="D515" s="4"/>
      <c r="E515" s="4"/>
      <c r="F515" s="4"/>
    </row>
    <row r="516" spans="1:6">
      <c r="A516" s="5" t="s">
        <v>658</v>
      </c>
      <c r="B516" s="4"/>
      <c r="C516" s="4"/>
      <c r="D516" s="4"/>
      <c r="E516" s="4"/>
      <c r="F516" s="4"/>
    </row>
    <row r="517" spans="1:6">
      <c r="A517" s="9" t="s">
        <v>593</v>
      </c>
      <c r="B517" s="9" t="s">
        <v>73</v>
      </c>
      <c r="C517" s="9" t="s">
        <v>71</v>
      </c>
      <c r="D517" s="9" t="s">
        <v>70</v>
      </c>
      <c r="E517" s="9" t="s">
        <v>72</v>
      </c>
      <c r="F517" s="9" t="s">
        <v>594</v>
      </c>
    </row>
    <row r="518" spans="1:6">
      <c r="A518" s="5" t="s">
        <v>73</v>
      </c>
      <c r="B518" s="4">
        <f>INDEX('Transition Stepwise'!$F$2:$F$1137,MATCH(65&amp;"|"&amp;$A518&amp;"|"&amp;B$517,'Transition Stepwise'!$E$2:$E$1137,0))</f>
        <v>1</v>
      </c>
      <c r="C518" s="4">
        <f>INDEX('Transition Stepwise'!$F$2:$F$1137,MATCH(65&amp;"|"&amp;$A518&amp;"|"&amp;C$517,'Transition Stepwise'!$E$2:$E$1137,0))</f>
        <v>2</v>
      </c>
      <c r="D518" s="4">
        <f>INDEX('Transition Stepwise'!$F$2:$F$1137,MATCH(65&amp;"|"&amp;$A518&amp;"|"&amp;D$517,'Transition Stepwise'!$E$2:$E$1137,0))</f>
        <v>0</v>
      </c>
      <c r="E518" s="4">
        <f>INDEX('Transition Stepwise'!$F$2:$F$1137,MATCH(65&amp;"|"&amp;$A518&amp;"|"&amp;E$517,'Transition Stepwise'!$E$2:$E$1137,0))</f>
        <v>6</v>
      </c>
      <c r="F518" s="4">
        <f>ROUND(SUM(B518:E518),9)</f>
        <v>9</v>
      </c>
    </row>
    <row r="519" spans="1:6">
      <c r="A519" s="5" t="s">
        <v>71</v>
      </c>
      <c r="B519" s="4">
        <f>INDEX('Transition Stepwise'!$F$2:$F$1137,MATCH(65&amp;"|"&amp;$A519&amp;"|"&amp;B$517,'Transition Stepwise'!$E$2:$E$1137,0))</f>
        <v>11</v>
      </c>
      <c r="C519" s="4">
        <f>INDEX('Transition Stepwise'!$F$2:$F$1137,MATCH(65&amp;"|"&amp;$A519&amp;"|"&amp;C$517,'Transition Stepwise'!$E$2:$E$1137,0))</f>
        <v>37</v>
      </c>
      <c r="D519" s="4">
        <f>INDEX('Transition Stepwise'!$F$2:$F$1137,MATCH(65&amp;"|"&amp;$A519&amp;"|"&amp;D$517,'Transition Stepwise'!$E$2:$E$1137,0))</f>
        <v>1</v>
      </c>
      <c r="E519" s="4">
        <f>INDEX('Transition Stepwise'!$F$2:$F$1137,MATCH(65&amp;"|"&amp;$A519&amp;"|"&amp;E$517,'Transition Stepwise'!$E$2:$E$1137,0))</f>
        <v>14</v>
      </c>
      <c r="F519" s="4">
        <f>ROUND(SUM(B519:E519),9)</f>
        <v>63</v>
      </c>
    </row>
    <row r="520" spans="1:6">
      <c r="A520" s="5" t="s">
        <v>70</v>
      </c>
      <c r="B520" s="4">
        <f>INDEX('Transition Stepwise'!$F$2:$F$1137,MATCH(65&amp;"|"&amp;$A520&amp;"|"&amp;B$517,'Transition Stepwise'!$E$2:$E$1137,0))</f>
        <v>9</v>
      </c>
      <c r="C520" s="4">
        <f>INDEX('Transition Stepwise'!$F$2:$F$1137,MATCH(65&amp;"|"&amp;$A520&amp;"|"&amp;C$517,'Transition Stepwise'!$E$2:$E$1137,0))</f>
        <v>30</v>
      </c>
      <c r="D520" s="4">
        <f>INDEX('Transition Stepwise'!$F$2:$F$1137,MATCH(65&amp;"|"&amp;$A520&amp;"|"&amp;D$517,'Transition Stepwise'!$E$2:$E$1137,0))</f>
        <v>1</v>
      </c>
      <c r="E520" s="4">
        <f>INDEX('Transition Stepwise'!$F$2:$F$1137,MATCH(65&amp;"|"&amp;$A520&amp;"|"&amp;E$517,'Transition Stepwise'!$E$2:$E$1137,0))</f>
        <v>17</v>
      </c>
      <c r="F520" s="4">
        <f>ROUND(SUM(B520:E520),9)</f>
        <v>57</v>
      </c>
    </row>
    <row r="521" spans="1:6">
      <c r="A521" s="5" t="s">
        <v>72</v>
      </c>
      <c r="B521" s="4">
        <f>INDEX('Transition Stepwise'!$F$2:$F$1137,MATCH(65&amp;"|"&amp;$A521&amp;"|"&amp;B$517,'Transition Stepwise'!$E$2:$E$1137,0))</f>
        <v>22</v>
      </c>
      <c r="C521" s="4">
        <f>INDEX('Transition Stepwise'!$F$2:$F$1137,MATCH(65&amp;"|"&amp;$A521&amp;"|"&amp;C$517,'Transition Stepwise'!$E$2:$E$1137,0))</f>
        <v>35</v>
      </c>
      <c r="D521" s="4">
        <f>INDEX('Transition Stepwise'!$F$2:$F$1137,MATCH(65&amp;"|"&amp;$A521&amp;"|"&amp;D$517,'Transition Stepwise'!$E$2:$E$1137,0))</f>
        <v>0</v>
      </c>
      <c r="E521" s="4">
        <f>INDEX('Transition Stepwise'!$F$2:$F$1137,MATCH(65&amp;"|"&amp;$A521&amp;"|"&amp;E$517,'Transition Stepwise'!$E$2:$E$1137,0))</f>
        <v>13</v>
      </c>
      <c r="F521" s="4">
        <f>ROUND(SUM(B521:E521),9)</f>
        <v>70</v>
      </c>
    </row>
    <row r="522" spans="1:6">
      <c r="A522" s="4"/>
      <c r="B522" s="4"/>
      <c r="C522" s="4"/>
      <c r="D522" s="4"/>
      <c r="E522" s="4"/>
      <c r="F522" s="4"/>
    </row>
    <row r="523" spans="1:6">
      <c r="A523" s="4"/>
      <c r="B523" s="4"/>
      <c r="C523" s="4"/>
      <c r="D523" s="4"/>
      <c r="E523" s="4"/>
      <c r="F523" s="4"/>
    </row>
    <row r="524" spans="1:6">
      <c r="A524" s="5" t="s">
        <v>659</v>
      </c>
      <c r="B524" s="4"/>
      <c r="C524" s="4"/>
      <c r="D524" s="4"/>
      <c r="E524" s="4"/>
      <c r="F524" s="4"/>
    </row>
    <row r="525" spans="1:6">
      <c r="A525" s="9" t="s">
        <v>593</v>
      </c>
      <c r="B525" s="9" t="s">
        <v>73</v>
      </c>
      <c r="C525" s="9" t="s">
        <v>71</v>
      </c>
      <c r="D525" s="9" t="s">
        <v>70</v>
      </c>
      <c r="E525" s="9" t="s">
        <v>72</v>
      </c>
      <c r="F525" s="9" t="s">
        <v>594</v>
      </c>
    </row>
    <row r="526" spans="1:6">
      <c r="A526" s="5" t="s">
        <v>73</v>
      </c>
      <c r="B526" s="4">
        <f>INDEX('Transition Stepwise'!$F$2:$F$1137,MATCH(66&amp;"|"&amp;$A526&amp;"|"&amp;B$525,'Transition Stepwise'!$E$2:$E$1137,0))</f>
        <v>4</v>
      </c>
      <c r="C526" s="4">
        <f>INDEX('Transition Stepwise'!$F$2:$F$1137,MATCH(66&amp;"|"&amp;$A526&amp;"|"&amp;C$525,'Transition Stepwise'!$E$2:$E$1137,0))</f>
        <v>13</v>
      </c>
      <c r="D526" s="4">
        <f>INDEX('Transition Stepwise'!$F$2:$F$1137,MATCH(66&amp;"|"&amp;$A526&amp;"|"&amp;D$525,'Transition Stepwise'!$E$2:$E$1137,0))</f>
        <v>15</v>
      </c>
      <c r="E526" s="4">
        <f>INDEX('Transition Stepwise'!$F$2:$F$1137,MATCH(66&amp;"|"&amp;$A526&amp;"|"&amp;E$525,'Transition Stepwise'!$E$2:$E$1137,0))</f>
        <v>11</v>
      </c>
      <c r="F526" s="4">
        <f>ROUND(SUM(B526:E526),9)</f>
        <v>43</v>
      </c>
    </row>
    <row r="527" spans="1:6">
      <c r="A527" s="5" t="s">
        <v>71</v>
      </c>
      <c r="B527" s="4">
        <f>INDEX('Transition Stepwise'!$F$2:$F$1137,MATCH(66&amp;"|"&amp;$A527&amp;"|"&amp;B$525,'Transition Stepwise'!$E$2:$E$1137,0))</f>
        <v>19</v>
      </c>
      <c r="C527" s="4">
        <f>INDEX('Transition Stepwise'!$F$2:$F$1137,MATCH(66&amp;"|"&amp;$A527&amp;"|"&amp;C$525,'Transition Stepwise'!$E$2:$E$1137,0))</f>
        <v>22</v>
      </c>
      <c r="D527" s="4">
        <f>INDEX('Transition Stepwise'!$F$2:$F$1137,MATCH(66&amp;"|"&amp;$A527&amp;"|"&amp;D$525,'Transition Stepwise'!$E$2:$E$1137,0))</f>
        <v>48</v>
      </c>
      <c r="E527" s="4">
        <f>INDEX('Transition Stepwise'!$F$2:$F$1137,MATCH(66&amp;"|"&amp;$A527&amp;"|"&amp;E$525,'Transition Stepwise'!$E$2:$E$1137,0))</f>
        <v>16</v>
      </c>
      <c r="F527" s="4">
        <f>ROUND(SUM(B527:E527),9)</f>
        <v>105</v>
      </c>
    </row>
    <row r="528" spans="1:6">
      <c r="A528" s="5" t="s">
        <v>70</v>
      </c>
      <c r="B528" s="4">
        <f>INDEX('Transition Stepwise'!$F$2:$F$1137,MATCH(66&amp;"|"&amp;$A528&amp;"|"&amp;B$525,'Transition Stepwise'!$E$2:$E$1137,0))</f>
        <v>0</v>
      </c>
      <c r="C528" s="4">
        <f>INDEX('Transition Stepwise'!$F$2:$F$1137,MATCH(66&amp;"|"&amp;$A528&amp;"|"&amp;C$525,'Transition Stepwise'!$E$2:$E$1137,0))</f>
        <v>0</v>
      </c>
      <c r="D528" s="4">
        <f>INDEX('Transition Stepwise'!$F$2:$F$1137,MATCH(66&amp;"|"&amp;$A528&amp;"|"&amp;D$525,'Transition Stepwise'!$E$2:$E$1137,0))</f>
        <v>2</v>
      </c>
      <c r="E528" s="4">
        <f>INDEX('Transition Stepwise'!$F$2:$F$1137,MATCH(66&amp;"|"&amp;$A528&amp;"|"&amp;E$525,'Transition Stepwise'!$E$2:$E$1137,0))</f>
        <v>0</v>
      </c>
      <c r="F528" s="4">
        <f>ROUND(SUM(B528:E528),9)</f>
        <v>2</v>
      </c>
    </row>
    <row r="529" spans="1:6">
      <c r="A529" s="5" t="s">
        <v>72</v>
      </c>
      <c r="B529" s="4">
        <f>INDEX('Transition Stepwise'!$F$2:$F$1137,MATCH(66&amp;"|"&amp;$A529&amp;"|"&amp;B$525,'Transition Stepwise'!$E$2:$E$1137,0))</f>
        <v>19</v>
      </c>
      <c r="C529" s="4">
        <f>INDEX('Transition Stepwise'!$F$2:$F$1137,MATCH(66&amp;"|"&amp;$A529&amp;"|"&amp;C$525,'Transition Stepwise'!$E$2:$E$1137,0))</f>
        <v>10</v>
      </c>
      <c r="D529" s="4">
        <f>INDEX('Transition Stepwise'!$F$2:$F$1137,MATCH(66&amp;"|"&amp;$A529&amp;"|"&amp;D$525,'Transition Stepwise'!$E$2:$E$1137,0))</f>
        <v>10</v>
      </c>
      <c r="E529" s="4">
        <f>INDEX('Transition Stepwise'!$F$2:$F$1137,MATCH(66&amp;"|"&amp;$A529&amp;"|"&amp;E$525,'Transition Stepwise'!$E$2:$E$1137,0))</f>
        <v>11</v>
      </c>
      <c r="F529" s="4">
        <f>ROUND(SUM(B529:E529),9)</f>
        <v>50</v>
      </c>
    </row>
    <row r="530" spans="1:6">
      <c r="A530" s="4"/>
      <c r="B530" s="4"/>
      <c r="C530" s="4"/>
      <c r="D530" s="4"/>
      <c r="E530" s="4"/>
      <c r="F530" s="4"/>
    </row>
    <row r="531" spans="1:6">
      <c r="A531" s="4"/>
      <c r="B531" s="4"/>
      <c r="C531" s="4"/>
      <c r="D531" s="4"/>
      <c r="E531" s="4"/>
      <c r="F531" s="4"/>
    </row>
    <row r="532" spans="1:6">
      <c r="A532" s="5" t="s">
        <v>660</v>
      </c>
      <c r="B532" s="4"/>
      <c r="C532" s="4"/>
      <c r="D532" s="4"/>
      <c r="E532" s="4"/>
      <c r="F532" s="4"/>
    </row>
    <row r="533" spans="1:6">
      <c r="A533" s="9" t="s">
        <v>593</v>
      </c>
      <c r="B533" s="9" t="s">
        <v>73</v>
      </c>
      <c r="C533" s="9" t="s">
        <v>71</v>
      </c>
      <c r="D533" s="9" t="s">
        <v>70</v>
      </c>
      <c r="E533" s="9" t="s">
        <v>72</v>
      </c>
      <c r="F533" s="9" t="s">
        <v>594</v>
      </c>
    </row>
    <row r="534" spans="1:6">
      <c r="A534" s="5" t="s">
        <v>73</v>
      </c>
      <c r="B534" s="4">
        <f>INDEX('Transition Stepwise'!$F$2:$F$1137,MATCH(67&amp;"|"&amp;$A534&amp;"|"&amp;B$533,'Transition Stepwise'!$E$2:$E$1137,0))</f>
        <v>3</v>
      </c>
      <c r="C534" s="4">
        <f>INDEX('Transition Stepwise'!$F$2:$F$1137,MATCH(67&amp;"|"&amp;$A534&amp;"|"&amp;C$533,'Transition Stepwise'!$E$2:$E$1137,0))</f>
        <v>15</v>
      </c>
      <c r="D534" s="4">
        <f>INDEX('Transition Stepwise'!$F$2:$F$1137,MATCH(67&amp;"|"&amp;$A534&amp;"|"&amp;D$533,'Transition Stepwise'!$E$2:$E$1137,0))</f>
        <v>13</v>
      </c>
      <c r="E534" s="4">
        <f>INDEX('Transition Stepwise'!$F$2:$F$1137,MATCH(67&amp;"|"&amp;$A534&amp;"|"&amp;E$533,'Transition Stepwise'!$E$2:$E$1137,0))</f>
        <v>11</v>
      </c>
      <c r="F534" s="4">
        <f>ROUND(SUM(B534:E534),9)</f>
        <v>42</v>
      </c>
    </row>
    <row r="535" spans="1:6">
      <c r="A535" s="5" t="s">
        <v>71</v>
      </c>
      <c r="B535" s="4">
        <f>INDEX('Transition Stepwise'!$F$2:$F$1137,MATCH(67&amp;"|"&amp;$A535&amp;"|"&amp;B$533,'Transition Stepwise'!$E$2:$E$1137,0))</f>
        <v>7</v>
      </c>
      <c r="C535" s="4">
        <f>INDEX('Transition Stepwise'!$F$2:$F$1137,MATCH(67&amp;"|"&amp;$A535&amp;"|"&amp;C$533,'Transition Stepwise'!$E$2:$E$1137,0))</f>
        <v>15</v>
      </c>
      <c r="D535" s="4">
        <f>INDEX('Transition Stepwise'!$F$2:$F$1137,MATCH(67&amp;"|"&amp;$A535&amp;"|"&amp;D$533,'Transition Stepwise'!$E$2:$E$1137,0))</f>
        <v>17</v>
      </c>
      <c r="E535" s="4">
        <f>INDEX('Transition Stepwise'!$F$2:$F$1137,MATCH(67&amp;"|"&amp;$A535&amp;"|"&amp;E$533,'Transition Stepwise'!$E$2:$E$1137,0))</f>
        <v>6</v>
      </c>
      <c r="F535" s="4">
        <f>ROUND(SUM(B535:E535),9)</f>
        <v>45</v>
      </c>
    </row>
    <row r="536" spans="1:6">
      <c r="A536" s="5" t="s">
        <v>70</v>
      </c>
      <c r="B536" s="4">
        <f>INDEX('Transition Stepwise'!$F$2:$F$1137,MATCH(67&amp;"|"&amp;$A536&amp;"|"&amp;B$533,'Transition Stepwise'!$E$2:$E$1137,0))</f>
        <v>5</v>
      </c>
      <c r="C536" s="4">
        <f>INDEX('Transition Stepwise'!$F$2:$F$1137,MATCH(67&amp;"|"&amp;$A536&amp;"|"&amp;C$533,'Transition Stepwise'!$E$2:$E$1137,0))</f>
        <v>14</v>
      </c>
      <c r="D536" s="4">
        <f>INDEX('Transition Stepwise'!$F$2:$F$1137,MATCH(67&amp;"|"&amp;$A536&amp;"|"&amp;D$533,'Transition Stepwise'!$E$2:$E$1137,0))</f>
        <v>46</v>
      </c>
      <c r="E536" s="4">
        <f>INDEX('Transition Stepwise'!$F$2:$F$1137,MATCH(67&amp;"|"&amp;$A536&amp;"|"&amp;E$533,'Transition Stepwise'!$E$2:$E$1137,0))</f>
        <v>10</v>
      </c>
      <c r="F536" s="4">
        <f>ROUND(SUM(B536:E536),9)</f>
        <v>75</v>
      </c>
    </row>
    <row r="537" spans="1:6">
      <c r="A537" s="5" t="s">
        <v>72</v>
      </c>
      <c r="B537" s="4">
        <f>INDEX('Transition Stepwise'!$F$2:$F$1137,MATCH(67&amp;"|"&amp;$A537&amp;"|"&amp;B$533,'Transition Stepwise'!$E$2:$E$1137,0))</f>
        <v>0</v>
      </c>
      <c r="C537" s="4">
        <f>INDEX('Transition Stepwise'!$F$2:$F$1137,MATCH(67&amp;"|"&amp;$A537&amp;"|"&amp;C$533,'Transition Stepwise'!$E$2:$E$1137,0))</f>
        <v>18</v>
      </c>
      <c r="D537" s="4">
        <f>INDEX('Transition Stepwise'!$F$2:$F$1137,MATCH(67&amp;"|"&amp;$A537&amp;"|"&amp;D$533,'Transition Stepwise'!$E$2:$E$1137,0))</f>
        <v>11</v>
      </c>
      <c r="E537" s="4">
        <f>INDEX('Transition Stepwise'!$F$2:$F$1137,MATCH(67&amp;"|"&amp;$A537&amp;"|"&amp;E$533,'Transition Stepwise'!$E$2:$E$1137,0))</f>
        <v>9</v>
      </c>
      <c r="F537" s="4">
        <f>ROUND(SUM(B537:E537),9)</f>
        <v>38</v>
      </c>
    </row>
    <row r="538" spans="1:6">
      <c r="A538" s="4"/>
      <c r="B538" s="4"/>
      <c r="C538" s="4"/>
      <c r="D538" s="4"/>
      <c r="E538" s="4"/>
      <c r="F538" s="4"/>
    </row>
    <row r="539" spans="1:6">
      <c r="A539" s="4"/>
      <c r="B539" s="4"/>
      <c r="C539" s="4"/>
      <c r="D539" s="4"/>
      <c r="E539" s="4"/>
      <c r="F539" s="4"/>
    </row>
    <row r="540" spans="1:6">
      <c r="A540" s="5" t="s">
        <v>661</v>
      </c>
      <c r="B540" s="4"/>
      <c r="C540" s="4"/>
      <c r="D540" s="4"/>
      <c r="E540" s="4"/>
      <c r="F540" s="4"/>
    </row>
    <row r="541" spans="1:6">
      <c r="A541" s="9" t="s">
        <v>593</v>
      </c>
      <c r="B541" s="9" t="s">
        <v>73</v>
      </c>
      <c r="C541" s="9" t="s">
        <v>71</v>
      </c>
      <c r="D541" s="9" t="s">
        <v>70</v>
      </c>
      <c r="E541" s="9" t="s">
        <v>72</v>
      </c>
      <c r="F541" s="9" t="s">
        <v>594</v>
      </c>
    </row>
    <row r="542" spans="1:6">
      <c r="A542" s="5" t="s">
        <v>73</v>
      </c>
      <c r="B542" s="4">
        <f>INDEX('Transition Stepwise'!$F$2:$F$1137,MATCH(68&amp;"|"&amp;$A542&amp;"|"&amp;B$541,'Transition Stepwise'!$E$2:$E$1137,0))</f>
        <v>4</v>
      </c>
      <c r="C542" s="4">
        <f>INDEX('Transition Stepwise'!$F$2:$F$1137,MATCH(68&amp;"|"&amp;$A542&amp;"|"&amp;C$541,'Transition Stepwise'!$E$2:$E$1137,0))</f>
        <v>4</v>
      </c>
      <c r="D542" s="4">
        <f>INDEX('Transition Stepwise'!$F$2:$F$1137,MATCH(68&amp;"|"&amp;$A542&amp;"|"&amp;D$541,'Transition Stepwise'!$E$2:$E$1137,0))</f>
        <v>6</v>
      </c>
      <c r="E542" s="4">
        <f>INDEX('Transition Stepwise'!$F$2:$F$1137,MATCH(68&amp;"|"&amp;$A542&amp;"|"&amp;E$541,'Transition Stepwise'!$E$2:$E$1137,0))</f>
        <v>1</v>
      </c>
      <c r="F542" s="4">
        <f>ROUND(SUM(B542:E542),9)</f>
        <v>15</v>
      </c>
    </row>
    <row r="543" spans="1:6">
      <c r="A543" s="5" t="s">
        <v>71</v>
      </c>
      <c r="B543" s="4">
        <f>INDEX('Transition Stepwise'!$F$2:$F$1137,MATCH(68&amp;"|"&amp;$A543&amp;"|"&amp;B$541,'Transition Stepwise'!$E$2:$E$1137,0))</f>
        <v>4</v>
      </c>
      <c r="C543" s="4">
        <f>INDEX('Transition Stepwise'!$F$2:$F$1137,MATCH(68&amp;"|"&amp;$A543&amp;"|"&amp;C$541,'Transition Stepwise'!$E$2:$E$1137,0))</f>
        <v>42</v>
      </c>
      <c r="D543" s="4">
        <f>INDEX('Transition Stepwise'!$F$2:$F$1137,MATCH(68&amp;"|"&amp;$A543&amp;"|"&amp;D$541,'Transition Stepwise'!$E$2:$E$1137,0))</f>
        <v>9</v>
      </c>
      <c r="E543" s="4">
        <f>INDEX('Transition Stepwise'!$F$2:$F$1137,MATCH(68&amp;"|"&amp;$A543&amp;"|"&amp;E$541,'Transition Stepwise'!$E$2:$E$1137,0))</f>
        <v>7</v>
      </c>
      <c r="F543" s="4">
        <f>ROUND(SUM(B543:E543),9)</f>
        <v>62</v>
      </c>
    </row>
    <row r="544" spans="1:6">
      <c r="A544" s="5" t="s">
        <v>70</v>
      </c>
      <c r="B544" s="4">
        <f>INDEX('Transition Stepwise'!$F$2:$F$1137,MATCH(68&amp;"|"&amp;$A544&amp;"|"&amp;B$541,'Transition Stepwise'!$E$2:$E$1137,0))</f>
        <v>13</v>
      </c>
      <c r="C544" s="4">
        <f>INDEX('Transition Stepwise'!$F$2:$F$1137,MATCH(68&amp;"|"&amp;$A544&amp;"|"&amp;C$541,'Transition Stepwise'!$E$2:$E$1137,0))</f>
        <v>22</v>
      </c>
      <c r="D544" s="4">
        <f>INDEX('Transition Stepwise'!$F$2:$F$1137,MATCH(68&amp;"|"&amp;$A544&amp;"|"&amp;D$541,'Transition Stepwise'!$E$2:$E$1137,0))</f>
        <v>49</v>
      </c>
      <c r="E544" s="4">
        <f>INDEX('Transition Stepwise'!$F$2:$F$1137,MATCH(68&amp;"|"&amp;$A544&amp;"|"&amp;E$541,'Transition Stepwise'!$E$2:$E$1137,0))</f>
        <v>3</v>
      </c>
      <c r="F544" s="4">
        <f>ROUND(SUM(B544:E544),9)</f>
        <v>87</v>
      </c>
    </row>
    <row r="545" spans="1:6">
      <c r="A545" s="5" t="s">
        <v>72</v>
      </c>
      <c r="B545" s="4">
        <f>INDEX('Transition Stepwise'!$F$2:$F$1137,MATCH(68&amp;"|"&amp;$A545&amp;"|"&amp;B$541,'Transition Stepwise'!$E$2:$E$1137,0))</f>
        <v>4</v>
      </c>
      <c r="C545" s="4">
        <f>INDEX('Transition Stepwise'!$F$2:$F$1137,MATCH(68&amp;"|"&amp;$A545&amp;"|"&amp;C$541,'Transition Stepwise'!$E$2:$E$1137,0))</f>
        <v>20</v>
      </c>
      <c r="D545" s="4">
        <f>INDEX('Transition Stepwise'!$F$2:$F$1137,MATCH(68&amp;"|"&amp;$A545&amp;"|"&amp;D$541,'Transition Stepwise'!$E$2:$E$1137,0))</f>
        <v>6</v>
      </c>
      <c r="E545" s="4">
        <f>INDEX('Transition Stepwise'!$F$2:$F$1137,MATCH(68&amp;"|"&amp;$A545&amp;"|"&amp;E$541,'Transition Stepwise'!$E$2:$E$1137,0))</f>
        <v>6</v>
      </c>
      <c r="F545" s="4">
        <f>ROUND(SUM(B545:E545),9)</f>
        <v>36</v>
      </c>
    </row>
    <row r="546" spans="1:6">
      <c r="A546" s="4"/>
      <c r="B546" s="4"/>
      <c r="C546" s="4"/>
      <c r="D546" s="4"/>
      <c r="E546" s="4"/>
      <c r="F546" s="4"/>
    </row>
    <row r="547" spans="1:6">
      <c r="A547" s="4"/>
      <c r="B547" s="4"/>
      <c r="C547" s="4"/>
      <c r="D547" s="4"/>
      <c r="E547" s="4"/>
      <c r="F547" s="4"/>
    </row>
    <row r="548" spans="1:6">
      <c r="A548" s="5" t="s">
        <v>662</v>
      </c>
      <c r="B548" s="4"/>
      <c r="C548" s="4"/>
      <c r="D548" s="4"/>
      <c r="E548" s="4"/>
      <c r="F548" s="4"/>
    </row>
    <row r="549" spans="1:6">
      <c r="A549" s="9" t="s">
        <v>593</v>
      </c>
      <c r="B549" s="9" t="s">
        <v>73</v>
      </c>
      <c r="C549" s="9" t="s">
        <v>71</v>
      </c>
      <c r="D549" s="9" t="s">
        <v>70</v>
      </c>
      <c r="E549" s="9" t="s">
        <v>72</v>
      </c>
      <c r="F549" s="9" t="s">
        <v>594</v>
      </c>
    </row>
    <row r="550" spans="1:6">
      <c r="A550" s="5" t="s">
        <v>73</v>
      </c>
      <c r="B550" s="4">
        <f>INDEX('Transition Stepwise'!$F$2:$F$1137,MATCH(69&amp;"|"&amp;$A550&amp;"|"&amp;B$549,'Transition Stepwise'!$E$2:$E$1137,0))</f>
        <v>5</v>
      </c>
      <c r="C550" s="4">
        <f>INDEX('Transition Stepwise'!$F$2:$F$1137,MATCH(69&amp;"|"&amp;$A550&amp;"|"&amp;C$549,'Transition Stepwise'!$E$2:$E$1137,0))</f>
        <v>10</v>
      </c>
      <c r="D550" s="4">
        <f>INDEX('Transition Stepwise'!$F$2:$F$1137,MATCH(69&amp;"|"&amp;$A550&amp;"|"&amp;D$549,'Transition Stepwise'!$E$2:$E$1137,0))</f>
        <v>10</v>
      </c>
      <c r="E550" s="4">
        <f>INDEX('Transition Stepwise'!$F$2:$F$1137,MATCH(69&amp;"|"&amp;$A550&amp;"|"&amp;E$549,'Transition Stepwise'!$E$2:$E$1137,0))</f>
        <v>0</v>
      </c>
      <c r="F550" s="4">
        <f>ROUND(SUM(B550:E550),9)</f>
        <v>25</v>
      </c>
    </row>
    <row r="551" spans="1:6">
      <c r="A551" s="5" t="s">
        <v>71</v>
      </c>
      <c r="B551" s="4">
        <f>INDEX('Transition Stepwise'!$F$2:$F$1137,MATCH(69&amp;"|"&amp;$A551&amp;"|"&amp;B$549,'Transition Stepwise'!$E$2:$E$1137,0))</f>
        <v>9</v>
      </c>
      <c r="C551" s="4">
        <f>INDEX('Transition Stepwise'!$F$2:$F$1137,MATCH(69&amp;"|"&amp;$A551&amp;"|"&amp;C$549,'Transition Stepwise'!$E$2:$E$1137,0))</f>
        <v>31</v>
      </c>
      <c r="D551" s="4">
        <f>INDEX('Transition Stepwise'!$F$2:$F$1137,MATCH(69&amp;"|"&amp;$A551&amp;"|"&amp;D$549,'Transition Stepwise'!$E$2:$E$1137,0))</f>
        <v>30</v>
      </c>
      <c r="E551" s="4">
        <f>INDEX('Transition Stepwise'!$F$2:$F$1137,MATCH(69&amp;"|"&amp;$A551&amp;"|"&amp;E$549,'Transition Stepwise'!$E$2:$E$1137,0))</f>
        <v>18</v>
      </c>
      <c r="F551" s="4">
        <f>ROUND(SUM(B551:E551),9)</f>
        <v>88</v>
      </c>
    </row>
    <row r="552" spans="1:6">
      <c r="A552" s="5" t="s">
        <v>70</v>
      </c>
      <c r="B552" s="4">
        <f>INDEX('Transition Stepwise'!$F$2:$F$1137,MATCH(69&amp;"|"&amp;$A552&amp;"|"&amp;B$549,'Transition Stepwise'!$E$2:$E$1137,0))</f>
        <v>9</v>
      </c>
      <c r="C552" s="4">
        <f>INDEX('Transition Stepwise'!$F$2:$F$1137,MATCH(69&amp;"|"&amp;$A552&amp;"|"&amp;C$549,'Transition Stepwise'!$E$2:$E$1137,0))</f>
        <v>22</v>
      </c>
      <c r="D552" s="4">
        <f>INDEX('Transition Stepwise'!$F$2:$F$1137,MATCH(69&amp;"|"&amp;$A552&amp;"|"&amp;D$549,'Transition Stepwise'!$E$2:$E$1137,0))</f>
        <v>29</v>
      </c>
      <c r="E552" s="4">
        <f>INDEX('Transition Stepwise'!$F$2:$F$1137,MATCH(69&amp;"|"&amp;$A552&amp;"|"&amp;E$549,'Transition Stepwise'!$E$2:$E$1137,0))</f>
        <v>10</v>
      </c>
      <c r="F552" s="4">
        <f>ROUND(SUM(B552:E552),9)</f>
        <v>70</v>
      </c>
    </row>
    <row r="553" spans="1:6">
      <c r="A553" s="5" t="s">
        <v>72</v>
      </c>
      <c r="B553" s="4">
        <f>INDEX('Transition Stepwise'!$F$2:$F$1137,MATCH(69&amp;"|"&amp;$A553&amp;"|"&amp;B$549,'Transition Stepwise'!$E$2:$E$1137,0))</f>
        <v>0</v>
      </c>
      <c r="C553" s="4">
        <f>INDEX('Transition Stepwise'!$F$2:$F$1137,MATCH(69&amp;"|"&amp;$A553&amp;"|"&amp;C$549,'Transition Stepwise'!$E$2:$E$1137,0))</f>
        <v>9</v>
      </c>
      <c r="D553" s="4">
        <f>INDEX('Transition Stepwise'!$F$2:$F$1137,MATCH(69&amp;"|"&amp;$A553&amp;"|"&amp;D$549,'Transition Stepwise'!$E$2:$E$1137,0))</f>
        <v>6</v>
      </c>
      <c r="E553" s="4">
        <f>INDEX('Transition Stepwise'!$F$2:$F$1137,MATCH(69&amp;"|"&amp;$A553&amp;"|"&amp;E$549,'Transition Stepwise'!$E$2:$E$1137,0))</f>
        <v>2</v>
      </c>
      <c r="F553" s="4">
        <f>ROUND(SUM(B553:E553),9)</f>
        <v>17</v>
      </c>
    </row>
    <row r="554" spans="1:6">
      <c r="A554" s="4"/>
      <c r="B554" s="4"/>
      <c r="C554" s="4"/>
      <c r="D554" s="4"/>
      <c r="E554" s="4"/>
      <c r="F554" s="4"/>
    </row>
    <row r="555" spans="1:6">
      <c r="A555" s="4"/>
      <c r="B555" s="4"/>
      <c r="C555" s="4"/>
      <c r="D555" s="4"/>
      <c r="E555" s="4"/>
      <c r="F555" s="4"/>
    </row>
    <row r="556" spans="1:6">
      <c r="A556" s="5" t="s">
        <v>663</v>
      </c>
      <c r="B556" s="4"/>
      <c r="C556" s="4"/>
      <c r="D556" s="4"/>
      <c r="E556" s="4"/>
      <c r="F556" s="4"/>
    </row>
    <row r="557" spans="1:6">
      <c r="A557" s="9" t="s">
        <v>593</v>
      </c>
      <c r="B557" s="9" t="s">
        <v>73</v>
      </c>
      <c r="C557" s="9" t="s">
        <v>71</v>
      </c>
      <c r="D557" s="9" t="s">
        <v>70</v>
      </c>
      <c r="E557" s="9" t="s">
        <v>72</v>
      </c>
      <c r="F557" s="9" t="s">
        <v>594</v>
      </c>
    </row>
    <row r="558" spans="1:6">
      <c r="A558" s="5" t="s">
        <v>73</v>
      </c>
      <c r="B558" s="4">
        <f>INDEX('Transition Stepwise'!$F$2:$F$1137,MATCH(70&amp;"|"&amp;$A558&amp;"|"&amp;B$557,'Transition Stepwise'!$E$2:$E$1137,0))</f>
        <v>1</v>
      </c>
      <c r="C558" s="4">
        <f>INDEX('Transition Stepwise'!$F$2:$F$1137,MATCH(70&amp;"|"&amp;$A558&amp;"|"&amp;C$557,'Transition Stepwise'!$E$2:$E$1137,0))</f>
        <v>6</v>
      </c>
      <c r="D558" s="4">
        <f>INDEX('Transition Stepwise'!$F$2:$F$1137,MATCH(70&amp;"|"&amp;$A558&amp;"|"&amp;D$557,'Transition Stepwise'!$E$2:$E$1137,0))</f>
        <v>14</v>
      </c>
      <c r="E558" s="4">
        <f>INDEX('Transition Stepwise'!$F$2:$F$1137,MATCH(70&amp;"|"&amp;$A558&amp;"|"&amp;E$557,'Transition Stepwise'!$E$2:$E$1137,0))</f>
        <v>2</v>
      </c>
      <c r="F558" s="4">
        <f>ROUND(SUM(B558:E558),9)</f>
        <v>23</v>
      </c>
    </row>
    <row r="559" spans="1:6">
      <c r="A559" s="5" t="s">
        <v>71</v>
      </c>
      <c r="B559" s="4">
        <f>INDEX('Transition Stepwise'!$F$2:$F$1137,MATCH(70&amp;"|"&amp;$A559&amp;"|"&amp;B$557,'Transition Stepwise'!$E$2:$E$1137,0))</f>
        <v>1</v>
      </c>
      <c r="C559" s="4">
        <f>INDEX('Transition Stepwise'!$F$2:$F$1137,MATCH(70&amp;"|"&amp;$A559&amp;"|"&amp;C$557,'Transition Stepwise'!$E$2:$E$1137,0))</f>
        <v>48</v>
      </c>
      <c r="D559" s="4">
        <f>INDEX('Transition Stepwise'!$F$2:$F$1137,MATCH(70&amp;"|"&amp;$A559&amp;"|"&amp;D$557,'Transition Stepwise'!$E$2:$E$1137,0))</f>
        <v>22</v>
      </c>
      <c r="E559" s="4">
        <f>INDEX('Transition Stepwise'!$F$2:$F$1137,MATCH(70&amp;"|"&amp;$A559&amp;"|"&amp;E$557,'Transition Stepwise'!$E$2:$E$1137,0))</f>
        <v>1</v>
      </c>
      <c r="F559" s="4">
        <f>ROUND(SUM(B559:E559),9)</f>
        <v>72</v>
      </c>
    </row>
    <row r="560" spans="1:6">
      <c r="A560" s="5" t="s">
        <v>70</v>
      </c>
      <c r="B560" s="4">
        <f>INDEX('Transition Stepwise'!$F$2:$F$1137,MATCH(70&amp;"|"&amp;$A560&amp;"|"&amp;B$557,'Transition Stepwise'!$E$2:$E$1137,0))</f>
        <v>3</v>
      </c>
      <c r="C560" s="4">
        <f>INDEX('Transition Stepwise'!$F$2:$F$1137,MATCH(70&amp;"|"&amp;$A560&amp;"|"&amp;C$557,'Transition Stepwise'!$E$2:$E$1137,0))</f>
        <v>22</v>
      </c>
      <c r="D560" s="4">
        <f>INDEX('Transition Stepwise'!$F$2:$F$1137,MATCH(70&amp;"|"&amp;$A560&amp;"|"&amp;D$557,'Transition Stepwise'!$E$2:$E$1137,0))</f>
        <v>44</v>
      </c>
      <c r="E560" s="4">
        <f>INDEX('Transition Stepwise'!$F$2:$F$1137,MATCH(70&amp;"|"&amp;$A560&amp;"|"&amp;E$557,'Transition Stepwise'!$E$2:$E$1137,0))</f>
        <v>6</v>
      </c>
      <c r="F560" s="4">
        <f>ROUND(SUM(B560:E560),9)</f>
        <v>75</v>
      </c>
    </row>
    <row r="561" spans="1:6">
      <c r="A561" s="5" t="s">
        <v>72</v>
      </c>
      <c r="B561" s="4">
        <f>INDEX('Transition Stepwise'!$F$2:$F$1137,MATCH(70&amp;"|"&amp;$A561&amp;"|"&amp;B$557,'Transition Stepwise'!$E$2:$E$1137,0))</f>
        <v>0</v>
      </c>
      <c r="C561" s="4">
        <f>INDEX('Transition Stepwise'!$F$2:$F$1137,MATCH(70&amp;"|"&amp;$A561&amp;"|"&amp;C$557,'Transition Stepwise'!$E$2:$E$1137,0))</f>
        <v>28</v>
      </c>
      <c r="D561" s="4">
        <f>INDEX('Transition Stepwise'!$F$2:$F$1137,MATCH(70&amp;"|"&amp;$A561&amp;"|"&amp;D$557,'Transition Stepwise'!$E$2:$E$1137,0))</f>
        <v>2</v>
      </c>
      <c r="E561" s="4">
        <f>INDEX('Transition Stepwise'!$F$2:$F$1137,MATCH(70&amp;"|"&amp;$A561&amp;"|"&amp;E$557,'Transition Stepwise'!$E$2:$E$1137,0))</f>
        <v>0</v>
      </c>
      <c r="F561" s="4">
        <f>ROUND(SUM(B561:E561),9)</f>
        <v>30</v>
      </c>
    </row>
    <row r="562" spans="1:6">
      <c r="A562" s="4"/>
      <c r="B562" s="4"/>
      <c r="C562" s="4"/>
      <c r="D562" s="4"/>
      <c r="E562" s="4"/>
      <c r="F562" s="4"/>
    </row>
    <row r="563" spans="1:6">
      <c r="A563" s="4"/>
      <c r="B563" s="4"/>
      <c r="C563" s="4"/>
      <c r="D563" s="4"/>
      <c r="E563" s="4"/>
      <c r="F563" s="4"/>
    </row>
    <row r="564" spans="1:6">
      <c r="A564" s="5" t="s">
        <v>664</v>
      </c>
      <c r="B564" s="4"/>
      <c r="C564" s="4"/>
      <c r="D564" s="4"/>
      <c r="E564" s="4"/>
      <c r="F564" s="4"/>
    </row>
    <row r="565" spans="1:6">
      <c r="A565" s="9" t="s">
        <v>593</v>
      </c>
      <c r="B565" s="9" t="s">
        <v>73</v>
      </c>
      <c r="C565" s="9" t="s">
        <v>71</v>
      </c>
      <c r="D565" s="9" t="s">
        <v>70</v>
      </c>
      <c r="E565" s="9" t="s">
        <v>72</v>
      </c>
      <c r="F565" s="9" t="s">
        <v>594</v>
      </c>
    </row>
    <row r="566" spans="1:6">
      <c r="A566" s="5" t="s">
        <v>73</v>
      </c>
      <c r="B566" s="4">
        <f>INDEX('Transition Stepwise'!$F$2:$F$1137,MATCH(71&amp;"|"&amp;$A566&amp;"|"&amp;B$565,'Transition Stepwise'!$E$2:$E$1137,0))</f>
        <v>0</v>
      </c>
      <c r="C566" s="4">
        <f>INDEX('Transition Stepwise'!$F$2:$F$1137,MATCH(71&amp;"|"&amp;$A566&amp;"|"&amp;C$565,'Transition Stepwise'!$E$2:$E$1137,0))</f>
        <v>4</v>
      </c>
      <c r="D566" s="4">
        <f>INDEX('Transition Stepwise'!$F$2:$F$1137,MATCH(71&amp;"|"&amp;$A566&amp;"|"&amp;D$565,'Transition Stepwise'!$E$2:$E$1137,0))</f>
        <v>1</v>
      </c>
      <c r="E566" s="4">
        <f>INDEX('Transition Stepwise'!$F$2:$F$1137,MATCH(71&amp;"|"&amp;$A566&amp;"|"&amp;E$565,'Transition Stepwise'!$E$2:$E$1137,0))</f>
        <v>0</v>
      </c>
      <c r="F566" s="4">
        <f>ROUND(SUM(B566:E566),9)</f>
        <v>5</v>
      </c>
    </row>
    <row r="567" spans="1:6">
      <c r="A567" s="5" t="s">
        <v>71</v>
      </c>
      <c r="B567" s="4">
        <f>INDEX('Transition Stepwise'!$F$2:$F$1137,MATCH(71&amp;"|"&amp;$A567&amp;"|"&amp;B$565,'Transition Stepwise'!$E$2:$E$1137,0))</f>
        <v>7</v>
      </c>
      <c r="C567" s="4">
        <f>INDEX('Transition Stepwise'!$F$2:$F$1137,MATCH(71&amp;"|"&amp;$A567&amp;"|"&amp;C$565,'Transition Stepwise'!$E$2:$E$1137,0))</f>
        <v>66</v>
      </c>
      <c r="D567" s="4">
        <f>INDEX('Transition Stepwise'!$F$2:$F$1137,MATCH(71&amp;"|"&amp;$A567&amp;"|"&amp;D$565,'Transition Stepwise'!$E$2:$E$1137,0))</f>
        <v>13</v>
      </c>
      <c r="E567" s="4">
        <f>INDEX('Transition Stepwise'!$F$2:$F$1137,MATCH(71&amp;"|"&amp;$A567&amp;"|"&amp;E$565,'Transition Stepwise'!$E$2:$E$1137,0))</f>
        <v>18</v>
      </c>
      <c r="F567" s="4">
        <f>ROUND(SUM(B567:E567),9)</f>
        <v>104</v>
      </c>
    </row>
    <row r="568" spans="1:6">
      <c r="A568" s="5" t="s">
        <v>70</v>
      </c>
      <c r="B568" s="4">
        <f>INDEX('Transition Stepwise'!$F$2:$F$1137,MATCH(71&amp;"|"&amp;$A568&amp;"|"&amp;B$565,'Transition Stepwise'!$E$2:$E$1137,0))</f>
        <v>9</v>
      </c>
      <c r="C568" s="4">
        <f>INDEX('Transition Stepwise'!$F$2:$F$1137,MATCH(71&amp;"|"&amp;$A568&amp;"|"&amp;C$565,'Transition Stepwise'!$E$2:$E$1137,0))</f>
        <v>66</v>
      </c>
      <c r="D568" s="4">
        <f>INDEX('Transition Stepwise'!$F$2:$F$1137,MATCH(71&amp;"|"&amp;$A568&amp;"|"&amp;D$565,'Transition Stepwise'!$E$2:$E$1137,0))</f>
        <v>4</v>
      </c>
      <c r="E568" s="4">
        <f>INDEX('Transition Stepwise'!$F$2:$F$1137,MATCH(71&amp;"|"&amp;$A568&amp;"|"&amp;E$565,'Transition Stepwise'!$E$2:$E$1137,0))</f>
        <v>3</v>
      </c>
      <c r="F568" s="4">
        <f>ROUND(SUM(B568:E568),9)</f>
        <v>82</v>
      </c>
    </row>
    <row r="569" spans="1:6">
      <c r="A569" s="5" t="s">
        <v>72</v>
      </c>
      <c r="B569" s="4">
        <f>INDEX('Transition Stepwise'!$F$2:$F$1137,MATCH(71&amp;"|"&amp;$A569&amp;"|"&amp;B$565,'Transition Stepwise'!$E$2:$E$1137,0))</f>
        <v>0</v>
      </c>
      <c r="C569" s="4">
        <f>INDEX('Transition Stepwise'!$F$2:$F$1137,MATCH(71&amp;"|"&amp;$A569&amp;"|"&amp;C$565,'Transition Stepwise'!$E$2:$E$1137,0))</f>
        <v>9</v>
      </c>
      <c r="D569" s="4">
        <f>INDEX('Transition Stepwise'!$F$2:$F$1137,MATCH(71&amp;"|"&amp;$A569&amp;"|"&amp;D$565,'Transition Stepwise'!$E$2:$E$1137,0))</f>
        <v>0</v>
      </c>
      <c r="E569" s="4">
        <f>INDEX('Transition Stepwise'!$F$2:$F$1137,MATCH(71&amp;"|"&amp;$A569&amp;"|"&amp;E$565,'Transition Stepwise'!$E$2:$E$1137,0))</f>
        <v>0</v>
      </c>
      <c r="F569" s="4">
        <f>ROUND(SUM(B569:E569),9)</f>
        <v>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dimension ref="A1:F569"/>
  <sheetViews>
    <sheetView workbookViewId="0"/>
  </sheetViews>
  <sheetFormatPr defaultColWidth="8.7109375" defaultRowHeight="15"/>
  <cols>
    <col min="1" max="1" width="16" customWidth="1"/>
    <col min="2" max="6" width="12" customWidth="1"/>
  </cols>
  <sheetData>
    <row r="1" spans="1:6" ht="15.75">
      <c r="A1" s="2" t="s">
        <v>665</v>
      </c>
      <c r="B1" s="4"/>
      <c r="C1" s="4"/>
      <c r="D1" s="4"/>
      <c r="E1" s="4"/>
      <c r="F1" s="4"/>
    </row>
    <row r="2" spans="1:6">
      <c r="A2" s="4" t="s">
        <v>591</v>
      </c>
      <c r="B2" s="4"/>
      <c r="C2" s="4"/>
      <c r="D2" s="4"/>
      <c r="E2" s="4"/>
      <c r="F2" s="4"/>
    </row>
    <row r="3" spans="1:6">
      <c r="A3" s="4"/>
      <c r="B3" s="4"/>
      <c r="C3" s="4"/>
      <c r="D3" s="4"/>
      <c r="E3" s="4"/>
      <c r="F3" s="4"/>
    </row>
    <row r="4" spans="1:6">
      <c r="A4" s="5" t="s">
        <v>592</v>
      </c>
      <c r="B4" s="4"/>
      <c r="C4" s="4"/>
      <c r="D4" s="4"/>
      <c r="E4" s="4"/>
      <c r="F4" s="4"/>
    </row>
    <row r="5" spans="1:6">
      <c r="A5" s="9" t="s">
        <v>593</v>
      </c>
      <c r="B5" s="9" t="s">
        <v>73</v>
      </c>
      <c r="C5" s="9" t="s">
        <v>71</v>
      </c>
      <c r="D5" s="9" t="s">
        <v>70</v>
      </c>
      <c r="E5" s="9" t="s">
        <v>72</v>
      </c>
      <c r="F5" s="9" t="s">
        <v>666</v>
      </c>
    </row>
    <row r="6" spans="1:6">
      <c r="A6" s="5" t="s">
        <v>73</v>
      </c>
      <c r="B6" s="14">
        <f>INDEX('Transition Stepwise'!$J$2:$J$1137,MATCH(1&amp;"|"&amp;$A6&amp;"|"&amp;B$5,'Transition Stepwise'!$E$2:$E$1137,0))</f>
        <v>5.8823529411764705E-2</v>
      </c>
      <c r="C6" s="14">
        <f>INDEX('Transition Stepwise'!$J$2:$J$1137,MATCH(1&amp;"|"&amp;$A6&amp;"|"&amp;C$5,'Transition Stepwise'!$E$2:$E$1137,0))</f>
        <v>0.11764705882352941</v>
      </c>
      <c r="D6" s="14">
        <f>INDEX('Transition Stepwise'!$J$2:$J$1137,MATCH(1&amp;"|"&amp;$A6&amp;"|"&amp;D$5,'Transition Stepwise'!$E$2:$E$1137,0))</f>
        <v>0.76470588235294112</v>
      </c>
      <c r="E6" s="14">
        <f>INDEX('Transition Stepwise'!$J$2:$J$1137,MATCH(1&amp;"|"&amp;$A6&amp;"|"&amp;E$5,'Transition Stepwise'!$E$2:$E$1137,0))</f>
        <v>5.8823529411764705E-2</v>
      </c>
      <c r="F6" s="4">
        <f>ROUND(SUM(B6:E6),9)</f>
        <v>1</v>
      </c>
    </row>
    <row r="7" spans="1:6">
      <c r="A7" s="5" t="s">
        <v>71</v>
      </c>
      <c r="B7" s="14">
        <f>INDEX('Transition Stepwise'!$J$2:$J$1137,MATCH(1&amp;"|"&amp;$A7&amp;"|"&amp;B$5,'Transition Stepwise'!$E$2:$E$1137,0))</f>
        <v>3.8461538461538464E-2</v>
      </c>
      <c r="C7" s="14">
        <f>INDEX('Transition Stepwise'!$J$2:$J$1137,MATCH(1&amp;"|"&amp;$A7&amp;"|"&amp;C$5,'Transition Stepwise'!$E$2:$E$1137,0))</f>
        <v>0.19230769230769232</v>
      </c>
      <c r="D7" s="14">
        <f>INDEX('Transition Stepwise'!$J$2:$J$1137,MATCH(1&amp;"|"&amp;$A7&amp;"|"&amp;D$5,'Transition Stepwise'!$E$2:$E$1137,0))</f>
        <v>0.69230769230769229</v>
      </c>
      <c r="E7" s="14">
        <f>INDEX('Transition Stepwise'!$J$2:$J$1137,MATCH(1&amp;"|"&amp;$A7&amp;"|"&amp;E$5,'Transition Stepwise'!$E$2:$E$1137,0))</f>
        <v>7.6923076923076927E-2</v>
      </c>
      <c r="F7" s="4">
        <f>ROUND(SUM(B7:E7),9)</f>
        <v>1</v>
      </c>
    </row>
    <row r="8" spans="1:6">
      <c r="A8" s="5" t="s">
        <v>70</v>
      </c>
      <c r="B8" s="14">
        <f>INDEX('Transition Stepwise'!$J$2:$J$1137,MATCH(1&amp;"|"&amp;$A8&amp;"|"&amp;B$5,'Transition Stepwise'!$E$2:$E$1137,0))</f>
        <v>4.4871794871794872E-2</v>
      </c>
      <c r="C8" s="14">
        <f>INDEX('Transition Stepwise'!$J$2:$J$1137,MATCH(1&amp;"|"&amp;$A8&amp;"|"&amp;C$5,'Transition Stepwise'!$E$2:$E$1137,0))</f>
        <v>0.44230769230769229</v>
      </c>
      <c r="D8" s="14">
        <f>INDEX('Transition Stepwise'!$J$2:$J$1137,MATCH(1&amp;"|"&amp;$A8&amp;"|"&amp;D$5,'Transition Stepwise'!$E$2:$E$1137,0))</f>
        <v>0.47435897435897434</v>
      </c>
      <c r="E8" s="14">
        <f>INDEX('Transition Stepwise'!$J$2:$J$1137,MATCH(1&amp;"|"&amp;$A8&amp;"|"&amp;E$5,'Transition Stepwise'!$E$2:$E$1137,0))</f>
        <v>3.8461538461538464E-2</v>
      </c>
      <c r="F8" s="4">
        <f>ROUND(SUM(B8:E8),9)</f>
        <v>1</v>
      </c>
    </row>
    <row r="9" spans="1:6">
      <c r="A9" s="5" t="s">
        <v>72</v>
      </c>
      <c r="B9" s="14">
        <f>INDEX('Transition Stepwise'!$J$2:$J$1137,MATCH(1&amp;"|"&amp;$A9&amp;"|"&amp;B$5,'Transition Stepwise'!$E$2:$E$1137,0))</f>
        <v>5.8823529411764705E-2</v>
      </c>
      <c r="C9" s="14">
        <f>INDEX('Transition Stepwise'!$J$2:$J$1137,MATCH(1&amp;"|"&amp;$A9&amp;"|"&amp;C$5,'Transition Stepwise'!$E$2:$E$1137,0))</f>
        <v>0.58823529411764708</v>
      </c>
      <c r="D9" s="14">
        <f>INDEX('Transition Stepwise'!$J$2:$J$1137,MATCH(1&amp;"|"&amp;$A9&amp;"|"&amp;D$5,'Transition Stepwise'!$E$2:$E$1137,0))</f>
        <v>0.29411764705882354</v>
      </c>
      <c r="E9" s="14">
        <f>INDEX('Transition Stepwise'!$J$2:$J$1137,MATCH(1&amp;"|"&amp;$A9&amp;"|"&amp;E$5,'Transition Stepwise'!$E$2:$E$1137,0))</f>
        <v>5.8823529411764705E-2</v>
      </c>
      <c r="F9" s="4">
        <f>ROUND(SUM(B9:E9),9)</f>
        <v>1</v>
      </c>
    </row>
    <row r="10" spans="1:6">
      <c r="A10" s="4"/>
      <c r="B10" s="4"/>
      <c r="C10" s="4"/>
      <c r="D10" s="4"/>
      <c r="E10" s="4"/>
      <c r="F10" s="4"/>
    </row>
    <row r="11" spans="1:6">
      <c r="A11" s="4"/>
      <c r="B11" s="4"/>
      <c r="C11" s="4"/>
      <c r="D11" s="4"/>
      <c r="E11" s="4"/>
      <c r="F11" s="4"/>
    </row>
    <row r="12" spans="1:6">
      <c r="A12" s="5" t="s">
        <v>595</v>
      </c>
      <c r="B12" s="4"/>
      <c r="C12" s="4"/>
      <c r="D12" s="4"/>
      <c r="E12" s="4"/>
      <c r="F12" s="4"/>
    </row>
    <row r="13" spans="1:6">
      <c r="A13" s="9" t="s">
        <v>593</v>
      </c>
      <c r="B13" s="9" t="s">
        <v>73</v>
      </c>
      <c r="C13" s="9" t="s">
        <v>71</v>
      </c>
      <c r="D13" s="9" t="s">
        <v>70</v>
      </c>
      <c r="E13" s="9" t="s">
        <v>72</v>
      </c>
      <c r="F13" s="9" t="s">
        <v>666</v>
      </c>
    </row>
    <row r="14" spans="1:6">
      <c r="A14" s="5" t="s">
        <v>73</v>
      </c>
      <c r="B14" s="14">
        <f>INDEX('Transition Stepwise'!$J$2:$J$1137,MATCH(2&amp;"|"&amp;$A14&amp;"|"&amp;B$13,'Transition Stepwise'!$E$2:$E$1137,0))</f>
        <v>0.1</v>
      </c>
      <c r="C14" s="14">
        <f>INDEX('Transition Stepwise'!$J$2:$J$1137,MATCH(2&amp;"|"&amp;$A14&amp;"|"&amp;C$13,'Transition Stepwise'!$E$2:$E$1137,0))</f>
        <v>0.6</v>
      </c>
      <c r="D14" s="14">
        <f>INDEX('Transition Stepwise'!$J$2:$J$1137,MATCH(2&amp;"|"&amp;$A14&amp;"|"&amp;D$13,'Transition Stepwise'!$E$2:$E$1137,0))</f>
        <v>0.2</v>
      </c>
      <c r="E14" s="14">
        <f>INDEX('Transition Stepwise'!$J$2:$J$1137,MATCH(2&amp;"|"&amp;$A14&amp;"|"&amp;E$13,'Transition Stepwise'!$E$2:$E$1137,0))</f>
        <v>0.1</v>
      </c>
      <c r="F14" s="4">
        <f>ROUND(SUM(B14:E14),9)</f>
        <v>1</v>
      </c>
    </row>
    <row r="15" spans="1:6">
      <c r="A15" s="5" t="s">
        <v>71</v>
      </c>
      <c r="B15" s="14">
        <f>INDEX('Transition Stepwise'!$J$2:$J$1137,MATCH(2&amp;"|"&amp;$A15&amp;"|"&amp;B$13,'Transition Stepwise'!$E$2:$E$1137,0))</f>
        <v>3.4883720930232558E-2</v>
      </c>
      <c r="C15" s="14">
        <f>INDEX('Transition Stepwise'!$J$2:$J$1137,MATCH(2&amp;"|"&amp;$A15&amp;"|"&amp;C$13,'Transition Stepwise'!$E$2:$E$1137,0))</f>
        <v>0.52325581395348841</v>
      </c>
      <c r="D15" s="14">
        <f>INDEX('Transition Stepwise'!$J$2:$J$1137,MATCH(2&amp;"|"&amp;$A15&amp;"|"&amp;D$13,'Transition Stepwise'!$E$2:$E$1137,0))</f>
        <v>0.26744186046511625</v>
      </c>
      <c r="E15" s="14">
        <f>INDEX('Transition Stepwise'!$J$2:$J$1137,MATCH(2&amp;"|"&amp;$A15&amp;"|"&amp;E$13,'Transition Stepwise'!$E$2:$E$1137,0))</f>
        <v>0.1744186046511628</v>
      </c>
      <c r="F15" s="4">
        <f>ROUND(SUM(B15:E15),9)</f>
        <v>1</v>
      </c>
    </row>
    <row r="16" spans="1:6">
      <c r="A16" s="5" t="s">
        <v>70</v>
      </c>
      <c r="B16" s="14">
        <f>INDEX('Transition Stepwise'!$J$2:$J$1137,MATCH(2&amp;"|"&amp;$A16&amp;"|"&amp;B$13,'Transition Stepwise'!$E$2:$E$1137,0))</f>
        <v>0.11818181818181818</v>
      </c>
      <c r="C16" s="14">
        <f>INDEX('Transition Stepwise'!$J$2:$J$1137,MATCH(2&amp;"|"&amp;$A16&amp;"|"&amp;C$13,'Transition Stepwise'!$E$2:$E$1137,0))</f>
        <v>0.22727272727272727</v>
      </c>
      <c r="D16" s="14">
        <f>INDEX('Transition Stepwise'!$J$2:$J$1137,MATCH(2&amp;"|"&amp;$A16&amp;"|"&amp;D$13,'Transition Stepwise'!$E$2:$E$1137,0))</f>
        <v>0.57272727272727275</v>
      </c>
      <c r="E16" s="14">
        <f>INDEX('Transition Stepwise'!$J$2:$J$1137,MATCH(2&amp;"|"&amp;$A16&amp;"|"&amp;E$13,'Transition Stepwise'!$E$2:$E$1137,0))</f>
        <v>8.1818181818181818E-2</v>
      </c>
      <c r="F16" s="4">
        <f>ROUND(SUM(B16:E16),9)</f>
        <v>1</v>
      </c>
    </row>
    <row r="17" spans="1:6">
      <c r="A17" s="5" t="s">
        <v>72</v>
      </c>
      <c r="B17" s="14">
        <f>INDEX('Transition Stepwise'!$J$2:$J$1137,MATCH(2&amp;"|"&amp;$A17&amp;"|"&amp;B$13,'Transition Stepwise'!$E$2:$E$1137,0))</f>
        <v>0.1</v>
      </c>
      <c r="C17" s="14">
        <f>INDEX('Transition Stepwise'!$J$2:$J$1137,MATCH(2&amp;"|"&amp;$A17&amp;"|"&amp;C$13,'Transition Stepwise'!$E$2:$E$1137,0))</f>
        <v>0.5</v>
      </c>
      <c r="D17" s="14">
        <f>INDEX('Transition Stepwise'!$J$2:$J$1137,MATCH(2&amp;"|"&amp;$A17&amp;"|"&amp;D$13,'Transition Stepwise'!$E$2:$E$1137,0))</f>
        <v>0.2</v>
      </c>
      <c r="E17" s="14">
        <f>INDEX('Transition Stepwise'!$J$2:$J$1137,MATCH(2&amp;"|"&amp;$A17&amp;"|"&amp;E$13,'Transition Stepwise'!$E$2:$E$1137,0))</f>
        <v>0.2</v>
      </c>
      <c r="F17" s="4">
        <f>ROUND(SUM(B17:E17),9)</f>
        <v>1</v>
      </c>
    </row>
    <row r="18" spans="1:6">
      <c r="A18" s="4"/>
      <c r="B18" s="4"/>
      <c r="C18" s="4"/>
      <c r="D18" s="4"/>
      <c r="E18" s="4"/>
      <c r="F18" s="4"/>
    </row>
    <row r="19" spans="1:6">
      <c r="A19" s="4"/>
      <c r="B19" s="4"/>
      <c r="C19" s="4"/>
      <c r="D19" s="4"/>
      <c r="E19" s="4"/>
      <c r="F19" s="4"/>
    </row>
    <row r="20" spans="1:6">
      <c r="A20" s="5" t="s">
        <v>596</v>
      </c>
      <c r="B20" s="4"/>
      <c r="C20" s="4"/>
      <c r="D20" s="4"/>
      <c r="E20" s="4"/>
      <c r="F20" s="4"/>
    </row>
    <row r="21" spans="1:6">
      <c r="A21" s="9" t="s">
        <v>593</v>
      </c>
      <c r="B21" s="9" t="s">
        <v>73</v>
      </c>
      <c r="C21" s="9" t="s">
        <v>71</v>
      </c>
      <c r="D21" s="9" t="s">
        <v>70</v>
      </c>
      <c r="E21" s="9" t="s">
        <v>72</v>
      </c>
      <c r="F21" s="9" t="s">
        <v>666</v>
      </c>
    </row>
    <row r="22" spans="1:6">
      <c r="A22" s="5" t="s">
        <v>73</v>
      </c>
      <c r="B22" s="14">
        <f>INDEX('Transition Stepwise'!$J$2:$J$1137,MATCH(3&amp;"|"&amp;$A22&amp;"|"&amp;B$21,'Transition Stepwise'!$E$2:$E$1137,0))</f>
        <v>0.16666666666666666</v>
      </c>
      <c r="C22" s="14">
        <f>INDEX('Transition Stepwise'!$J$2:$J$1137,MATCH(3&amp;"|"&amp;$A22&amp;"|"&amp;C$21,'Transition Stepwise'!$E$2:$E$1137,0))</f>
        <v>0.22222222222222221</v>
      </c>
      <c r="D22" s="14">
        <f>INDEX('Transition Stepwise'!$J$2:$J$1137,MATCH(3&amp;"|"&amp;$A22&amp;"|"&amp;D$21,'Transition Stepwise'!$E$2:$E$1137,0))</f>
        <v>0.55555555555555558</v>
      </c>
      <c r="E22" s="14">
        <f>INDEX('Transition Stepwise'!$J$2:$J$1137,MATCH(3&amp;"|"&amp;$A22&amp;"|"&amp;E$21,'Transition Stepwise'!$E$2:$E$1137,0))</f>
        <v>5.5555555555555552E-2</v>
      </c>
      <c r="F22" s="4">
        <f>ROUND(SUM(B22:E22),9)</f>
        <v>1</v>
      </c>
    </row>
    <row r="23" spans="1:6">
      <c r="A23" s="5" t="s">
        <v>71</v>
      </c>
      <c r="B23" s="14">
        <f>INDEX('Transition Stepwise'!$J$2:$J$1137,MATCH(3&amp;"|"&amp;$A23&amp;"|"&amp;B$21,'Transition Stepwise'!$E$2:$E$1137,0))</f>
        <v>9.8765432098765427E-2</v>
      </c>
      <c r="C23" s="14">
        <f>INDEX('Transition Stepwise'!$J$2:$J$1137,MATCH(3&amp;"|"&amp;$A23&amp;"|"&amp;C$21,'Transition Stepwise'!$E$2:$E$1137,0))</f>
        <v>0.2839506172839506</v>
      </c>
      <c r="D23" s="14">
        <f>INDEX('Transition Stepwise'!$J$2:$J$1137,MATCH(3&amp;"|"&amp;$A23&amp;"|"&amp;D$21,'Transition Stepwise'!$E$2:$E$1137,0))</f>
        <v>0.39506172839506171</v>
      </c>
      <c r="E23" s="14">
        <f>INDEX('Transition Stepwise'!$J$2:$J$1137,MATCH(3&amp;"|"&amp;$A23&amp;"|"&amp;E$21,'Transition Stepwise'!$E$2:$E$1137,0))</f>
        <v>0.22222222222222221</v>
      </c>
      <c r="F23" s="4">
        <f>ROUND(SUM(B23:E23),9)</f>
        <v>1</v>
      </c>
    </row>
    <row r="24" spans="1:6">
      <c r="A24" s="5" t="s">
        <v>70</v>
      </c>
      <c r="B24" s="14">
        <f>INDEX('Transition Stepwise'!$J$2:$J$1137,MATCH(3&amp;"|"&amp;$A24&amp;"|"&amp;B$21,'Transition Stepwise'!$E$2:$E$1137,0))</f>
        <v>8.8888888888888892E-2</v>
      </c>
      <c r="C24" s="14">
        <f>INDEX('Transition Stepwise'!$J$2:$J$1137,MATCH(3&amp;"|"&amp;$A24&amp;"|"&amp;C$21,'Transition Stepwise'!$E$2:$E$1137,0))</f>
        <v>0.32222222222222224</v>
      </c>
      <c r="D24" s="14">
        <f>INDEX('Transition Stepwise'!$J$2:$J$1137,MATCH(3&amp;"|"&amp;$A24&amp;"|"&amp;D$21,'Transition Stepwise'!$E$2:$E$1137,0))</f>
        <v>0.45555555555555555</v>
      </c>
      <c r="E24" s="14">
        <f>INDEX('Transition Stepwise'!$J$2:$J$1137,MATCH(3&amp;"|"&amp;$A24&amp;"|"&amp;E$21,'Transition Stepwise'!$E$2:$E$1137,0))</f>
        <v>0.13333333333333333</v>
      </c>
      <c r="F24" s="4">
        <f>ROUND(SUM(B24:E24),9)</f>
        <v>1</v>
      </c>
    </row>
    <row r="25" spans="1:6">
      <c r="A25" s="5" t="s">
        <v>72</v>
      </c>
      <c r="B25" s="14">
        <f>INDEX('Transition Stepwise'!$J$2:$J$1137,MATCH(3&amp;"|"&amp;$A25&amp;"|"&amp;B$21,'Transition Stepwise'!$E$2:$E$1137,0))</f>
        <v>3.7037037037037035E-2</v>
      </c>
      <c r="C25" s="14">
        <f>INDEX('Transition Stepwise'!$J$2:$J$1137,MATCH(3&amp;"|"&amp;$A25&amp;"|"&amp;C$21,'Transition Stepwise'!$E$2:$E$1137,0))</f>
        <v>0.33333333333333331</v>
      </c>
      <c r="D25" s="14">
        <f>INDEX('Transition Stepwise'!$J$2:$J$1137,MATCH(3&amp;"|"&amp;$A25&amp;"|"&amp;D$21,'Transition Stepwise'!$E$2:$E$1137,0))</f>
        <v>0.37037037037037035</v>
      </c>
      <c r="E25" s="14">
        <f>INDEX('Transition Stepwise'!$J$2:$J$1137,MATCH(3&amp;"|"&amp;$A25&amp;"|"&amp;E$21,'Transition Stepwise'!$E$2:$E$1137,0))</f>
        <v>0.25925925925925924</v>
      </c>
      <c r="F25" s="4">
        <f>ROUND(SUM(B25:E25),9)</f>
        <v>1</v>
      </c>
    </row>
    <row r="26" spans="1:6">
      <c r="A26" s="4"/>
      <c r="B26" s="4"/>
      <c r="C26" s="4"/>
      <c r="D26" s="4"/>
      <c r="E26" s="4"/>
      <c r="F26" s="4"/>
    </row>
    <row r="27" spans="1:6">
      <c r="A27" s="4"/>
      <c r="B27" s="4"/>
      <c r="C27" s="4"/>
      <c r="D27" s="4"/>
      <c r="E27" s="4"/>
      <c r="F27" s="4"/>
    </row>
    <row r="28" spans="1:6">
      <c r="A28" s="5" t="s">
        <v>597</v>
      </c>
      <c r="B28" s="4"/>
      <c r="C28" s="4"/>
      <c r="D28" s="4"/>
      <c r="E28" s="4"/>
      <c r="F28" s="4"/>
    </row>
    <row r="29" spans="1:6">
      <c r="A29" s="9" t="s">
        <v>593</v>
      </c>
      <c r="B29" s="9" t="s">
        <v>73</v>
      </c>
      <c r="C29" s="9" t="s">
        <v>71</v>
      </c>
      <c r="D29" s="9" t="s">
        <v>70</v>
      </c>
      <c r="E29" s="9" t="s">
        <v>72</v>
      </c>
      <c r="F29" s="9" t="s">
        <v>666</v>
      </c>
    </row>
    <row r="30" spans="1:6">
      <c r="A30" s="5" t="s">
        <v>73</v>
      </c>
      <c r="B30" s="14">
        <f>INDEX('Transition Stepwise'!$J$2:$J$1137,MATCH(4&amp;"|"&amp;$A30&amp;"|"&amp;B$29,'Transition Stepwise'!$E$2:$E$1137,0))</f>
        <v>0.3</v>
      </c>
      <c r="C30" s="14">
        <f>INDEX('Transition Stepwise'!$J$2:$J$1137,MATCH(4&amp;"|"&amp;$A30&amp;"|"&amp;C$29,'Transition Stepwise'!$E$2:$E$1137,0))</f>
        <v>0.2</v>
      </c>
      <c r="D30" s="14">
        <f>INDEX('Transition Stepwise'!$J$2:$J$1137,MATCH(4&amp;"|"&amp;$A30&amp;"|"&amp;D$29,'Transition Stepwise'!$E$2:$E$1137,0))</f>
        <v>0.4</v>
      </c>
      <c r="E30" s="14">
        <f>INDEX('Transition Stepwise'!$J$2:$J$1137,MATCH(4&amp;"|"&amp;$A30&amp;"|"&amp;E$29,'Transition Stepwise'!$E$2:$E$1137,0))</f>
        <v>0.1</v>
      </c>
      <c r="F30" s="4">
        <f>ROUND(SUM(B30:E30),9)</f>
        <v>1</v>
      </c>
    </row>
    <row r="31" spans="1:6">
      <c r="A31" s="5" t="s">
        <v>71</v>
      </c>
      <c r="B31" s="14">
        <f>INDEX('Transition Stepwise'!$J$2:$J$1137,MATCH(4&amp;"|"&amp;$A31&amp;"|"&amp;B$29,'Transition Stepwise'!$E$2:$E$1137,0))</f>
        <v>6.1538461538461542E-2</v>
      </c>
      <c r="C31" s="14">
        <f>INDEX('Transition Stepwise'!$J$2:$J$1137,MATCH(4&amp;"|"&amp;$A31&amp;"|"&amp;C$29,'Transition Stepwise'!$E$2:$E$1137,0))</f>
        <v>0.6</v>
      </c>
      <c r="D31" s="14">
        <f>INDEX('Transition Stepwise'!$J$2:$J$1137,MATCH(4&amp;"|"&amp;$A31&amp;"|"&amp;D$29,'Transition Stepwise'!$E$2:$E$1137,0))</f>
        <v>0.2153846153846154</v>
      </c>
      <c r="E31" s="14">
        <f>INDEX('Transition Stepwise'!$J$2:$J$1137,MATCH(4&amp;"|"&amp;$A31&amp;"|"&amp;E$29,'Transition Stepwise'!$E$2:$E$1137,0))</f>
        <v>0.12307692307692308</v>
      </c>
      <c r="F31" s="4">
        <f>ROUND(SUM(B31:E31),9)</f>
        <v>1</v>
      </c>
    </row>
    <row r="32" spans="1:6">
      <c r="A32" s="5" t="s">
        <v>70</v>
      </c>
      <c r="B32" s="14">
        <f>INDEX('Transition Stepwise'!$J$2:$J$1137,MATCH(4&amp;"|"&amp;$A32&amp;"|"&amp;B$29,'Transition Stepwise'!$E$2:$E$1137,0))</f>
        <v>0.22580645161290322</v>
      </c>
      <c r="C32" s="14">
        <f>INDEX('Transition Stepwise'!$J$2:$J$1137,MATCH(4&amp;"|"&amp;$A32&amp;"|"&amp;C$29,'Transition Stepwise'!$E$2:$E$1137,0))</f>
        <v>0.22580645161290322</v>
      </c>
      <c r="D32" s="14">
        <f>INDEX('Transition Stepwise'!$J$2:$J$1137,MATCH(4&amp;"|"&amp;$A32&amp;"|"&amp;D$29,'Transition Stepwise'!$E$2:$E$1137,0))</f>
        <v>0.4731182795698925</v>
      </c>
      <c r="E32" s="14">
        <f>INDEX('Transition Stepwise'!$J$2:$J$1137,MATCH(4&amp;"|"&amp;$A32&amp;"|"&amp;E$29,'Transition Stepwise'!$E$2:$E$1137,0))</f>
        <v>7.5268817204301078E-2</v>
      </c>
      <c r="F32" s="4">
        <f>ROUND(SUM(B32:E32),9)</f>
        <v>1</v>
      </c>
    </row>
    <row r="33" spans="1:6">
      <c r="A33" s="5" t="s">
        <v>72</v>
      </c>
      <c r="B33" s="14">
        <f>INDEX('Transition Stepwise'!$J$2:$J$1137,MATCH(4&amp;"|"&amp;$A33&amp;"|"&amp;B$29,'Transition Stepwise'!$E$2:$E$1137,0))</f>
        <v>0.10526315789473684</v>
      </c>
      <c r="C33" s="14">
        <f>INDEX('Transition Stepwise'!$J$2:$J$1137,MATCH(4&amp;"|"&amp;$A33&amp;"|"&amp;C$29,'Transition Stepwise'!$E$2:$E$1137,0))</f>
        <v>0.5</v>
      </c>
      <c r="D33" s="14">
        <f>INDEX('Transition Stepwise'!$J$2:$J$1137,MATCH(4&amp;"|"&amp;$A33&amp;"|"&amp;D$29,'Transition Stepwise'!$E$2:$E$1137,0))</f>
        <v>0.18421052631578946</v>
      </c>
      <c r="E33" s="14">
        <f>INDEX('Transition Stepwise'!$J$2:$J$1137,MATCH(4&amp;"|"&amp;$A33&amp;"|"&amp;E$29,'Transition Stepwise'!$E$2:$E$1137,0))</f>
        <v>0.21052631578947367</v>
      </c>
      <c r="F33" s="4">
        <f>ROUND(SUM(B33:E33),9)</f>
        <v>1</v>
      </c>
    </row>
    <row r="34" spans="1:6">
      <c r="A34" s="4"/>
      <c r="B34" s="4"/>
      <c r="C34" s="4"/>
      <c r="D34" s="4"/>
      <c r="E34" s="4"/>
      <c r="F34" s="4"/>
    </row>
    <row r="35" spans="1:6">
      <c r="A35" s="4"/>
      <c r="B35" s="4"/>
      <c r="C35" s="4"/>
      <c r="D35" s="4"/>
      <c r="E35" s="4"/>
      <c r="F35" s="4"/>
    </row>
    <row r="36" spans="1:6">
      <c r="A36" s="5" t="s">
        <v>598</v>
      </c>
      <c r="B36" s="4"/>
      <c r="C36" s="4"/>
      <c r="D36" s="4"/>
      <c r="E36" s="4"/>
      <c r="F36" s="4"/>
    </row>
    <row r="37" spans="1:6">
      <c r="A37" s="9" t="s">
        <v>593</v>
      </c>
      <c r="B37" s="9" t="s">
        <v>73</v>
      </c>
      <c r="C37" s="9" t="s">
        <v>71</v>
      </c>
      <c r="D37" s="9" t="s">
        <v>70</v>
      </c>
      <c r="E37" s="9" t="s">
        <v>72</v>
      </c>
      <c r="F37" s="9" t="s">
        <v>666</v>
      </c>
    </row>
    <row r="38" spans="1:6">
      <c r="A38" s="5" t="s">
        <v>73</v>
      </c>
      <c r="B38" s="14">
        <f>INDEX('Transition Stepwise'!$J$2:$J$1137,MATCH(5&amp;"|"&amp;$A38&amp;"|"&amp;B$37,'Transition Stepwise'!$E$2:$E$1137,0))</f>
        <v>0.2</v>
      </c>
      <c r="C38" s="14">
        <f>INDEX('Transition Stepwise'!$J$2:$J$1137,MATCH(5&amp;"|"&amp;$A38&amp;"|"&amp;C$37,'Transition Stepwise'!$E$2:$E$1137,0))</f>
        <v>0.25714285714285712</v>
      </c>
      <c r="D38" s="14">
        <f>INDEX('Transition Stepwise'!$J$2:$J$1137,MATCH(5&amp;"|"&amp;$A38&amp;"|"&amp;D$37,'Transition Stepwise'!$E$2:$E$1137,0))</f>
        <v>0.17142857142857143</v>
      </c>
      <c r="E38" s="14">
        <f>INDEX('Transition Stepwise'!$J$2:$J$1137,MATCH(5&amp;"|"&amp;$A38&amp;"|"&amp;E$37,'Transition Stepwise'!$E$2:$E$1137,0))</f>
        <v>0.37142857142857144</v>
      </c>
      <c r="F38" s="4">
        <f>ROUND(SUM(B38:E38),9)</f>
        <v>1</v>
      </c>
    </row>
    <row r="39" spans="1:6">
      <c r="A39" s="5" t="s">
        <v>71</v>
      </c>
      <c r="B39" s="14">
        <f>INDEX('Transition Stepwise'!$J$2:$J$1137,MATCH(5&amp;"|"&amp;$A39&amp;"|"&amp;B$37,'Transition Stepwise'!$E$2:$E$1137,0))</f>
        <v>0.15662650602409639</v>
      </c>
      <c r="C39" s="14">
        <f>INDEX('Transition Stepwise'!$J$2:$J$1137,MATCH(5&amp;"|"&amp;$A39&amp;"|"&amp;C$37,'Transition Stepwise'!$E$2:$E$1137,0))</f>
        <v>0.45783132530120479</v>
      </c>
      <c r="D39" s="14">
        <f>INDEX('Transition Stepwise'!$J$2:$J$1137,MATCH(5&amp;"|"&amp;$A39&amp;"|"&amp;D$37,'Transition Stepwise'!$E$2:$E$1137,0))</f>
        <v>0.18072289156626506</v>
      </c>
      <c r="E39" s="14">
        <f>INDEX('Transition Stepwise'!$J$2:$J$1137,MATCH(5&amp;"|"&amp;$A39&amp;"|"&amp;E$37,'Transition Stepwise'!$E$2:$E$1137,0))</f>
        <v>0.20481927710843373</v>
      </c>
      <c r="F39" s="4">
        <f>ROUND(SUM(B39:E39),9)</f>
        <v>1</v>
      </c>
    </row>
    <row r="40" spans="1:6">
      <c r="A40" s="5" t="s">
        <v>70</v>
      </c>
      <c r="B40" s="14">
        <f>INDEX('Transition Stepwise'!$J$2:$J$1137,MATCH(5&amp;"|"&amp;$A40&amp;"|"&amp;B$37,'Transition Stepwise'!$E$2:$E$1137,0))</f>
        <v>0.23287671232876711</v>
      </c>
      <c r="C40" s="14">
        <f>INDEX('Transition Stepwise'!$J$2:$J$1137,MATCH(5&amp;"|"&amp;$A40&amp;"|"&amp;C$37,'Transition Stepwise'!$E$2:$E$1137,0))</f>
        <v>0.17808219178082191</v>
      </c>
      <c r="D40" s="14">
        <f>INDEX('Transition Stepwise'!$J$2:$J$1137,MATCH(5&amp;"|"&amp;$A40&amp;"|"&amp;D$37,'Transition Stepwise'!$E$2:$E$1137,0))</f>
        <v>0.30136986301369861</v>
      </c>
      <c r="E40" s="14">
        <f>INDEX('Transition Stepwise'!$J$2:$J$1137,MATCH(5&amp;"|"&amp;$A40&amp;"|"&amp;E$37,'Transition Stepwise'!$E$2:$E$1137,0))</f>
        <v>0.28767123287671231</v>
      </c>
      <c r="F40" s="4">
        <f>ROUND(SUM(B40:E40),9)</f>
        <v>1</v>
      </c>
    </row>
    <row r="41" spans="1:6">
      <c r="A41" s="5" t="s">
        <v>72</v>
      </c>
      <c r="B41" s="14">
        <f>INDEX('Transition Stepwise'!$J$2:$J$1137,MATCH(5&amp;"|"&amp;$A41&amp;"|"&amp;B$37,'Transition Stepwise'!$E$2:$E$1137,0))</f>
        <v>0.04</v>
      </c>
      <c r="C41" s="14">
        <f>INDEX('Transition Stepwise'!$J$2:$J$1137,MATCH(5&amp;"|"&amp;$A41&amp;"|"&amp;C$37,'Transition Stepwise'!$E$2:$E$1137,0))</f>
        <v>0.36</v>
      </c>
      <c r="D41" s="14">
        <f>INDEX('Transition Stepwise'!$J$2:$J$1137,MATCH(5&amp;"|"&amp;$A41&amp;"|"&amp;D$37,'Transition Stepwise'!$E$2:$E$1137,0))</f>
        <v>0.36</v>
      </c>
      <c r="E41" s="14">
        <f>INDEX('Transition Stepwise'!$J$2:$J$1137,MATCH(5&amp;"|"&amp;$A41&amp;"|"&amp;E$37,'Transition Stepwise'!$E$2:$E$1137,0))</f>
        <v>0.24</v>
      </c>
      <c r="F41" s="4">
        <f>ROUND(SUM(B41:E41),9)</f>
        <v>1</v>
      </c>
    </row>
    <row r="42" spans="1:6">
      <c r="A42" s="4"/>
      <c r="B42" s="4"/>
      <c r="C42" s="4"/>
      <c r="D42" s="4"/>
      <c r="E42" s="4"/>
      <c r="F42" s="4"/>
    </row>
    <row r="43" spans="1:6">
      <c r="A43" s="4"/>
      <c r="B43" s="4"/>
      <c r="C43" s="4"/>
      <c r="D43" s="4"/>
      <c r="E43" s="4"/>
      <c r="F43" s="4"/>
    </row>
    <row r="44" spans="1:6">
      <c r="A44" s="5" t="s">
        <v>599</v>
      </c>
      <c r="B44" s="4"/>
      <c r="C44" s="4"/>
      <c r="D44" s="4"/>
      <c r="E44" s="4"/>
      <c r="F44" s="4"/>
    </row>
    <row r="45" spans="1:6">
      <c r="A45" s="9" t="s">
        <v>593</v>
      </c>
      <c r="B45" s="9" t="s">
        <v>73</v>
      </c>
      <c r="C45" s="9" t="s">
        <v>71</v>
      </c>
      <c r="D45" s="9" t="s">
        <v>70</v>
      </c>
      <c r="E45" s="9" t="s">
        <v>72</v>
      </c>
      <c r="F45" s="9" t="s">
        <v>666</v>
      </c>
    </row>
    <row r="46" spans="1:6">
      <c r="A46" s="5" t="s">
        <v>73</v>
      </c>
      <c r="B46" s="14">
        <f>INDEX('Transition Stepwise'!$J$2:$J$1137,MATCH(6&amp;"|"&amp;$A46&amp;"|"&amp;B$45,'Transition Stepwise'!$E$2:$E$1137,0))</f>
        <v>0.26315789473684209</v>
      </c>
      <c r="C46" s="14">
        <f>INDEX('Transition Stepwise'!$J$2:$J$1137,MATCH(6&amp;"|"&amp;$A46&amp;"|"&amp;C$45,'Transition Stepwise'!$E$2:$E$1137,0))</f>
        <v>5.2631578947368418E-2</v>
      </c>
      <c r="D46" s="14">
        <f>INDEX('Transition Stepwise'!$J$2:$J$1137,MATCH(6&amp;"|"&amp;$A46&amp;"|"&amp;D$45,'Transition Stepwise'!$E$2:$E$1137,0))</f>
        <v>0.39473684210526316</v>
      </c>
      <c r="E46" s="14">
        <f>INDEX('Transition Stepwise'!$J$2:$J$1137,MATCH(6&amp;"|"&amp;$A46&amp;"|"&amp;E$45,'Transition Stepwise'!$E$2:$E$1137,0))</f>
        <v>0.28947368421052633</v>
      </c>
      <c r="F46" s="4">
        <f>ROUND(SUM(B46:E46),9)</f>
        <v>1</v>
      </c>
    </row>
    <row r="47" spans="1:6">
      <c r="A47" s="5" t="s">
        <v>71</v>
      </c>
      <c r="B47" s="14">
        <f>INDEX('Transition Stepwise'!$J$2:$J$1137,MATCH(6&amp;"|"&amp;$A47&amp;"|"&amp;B$45,'Transition Stepwise'!$E$2:$E$1137,0))</f>
        <v>0.13043478260869565</v>
      </c>
      <c r="C47" s="14">
        <f>INDEX('Transition Stepwise'!$J$2:$J$1137,MATCH(6&amp;"|"&amp;$A47&amp;"|"&amp;C$45,'Transition Stepwise'!$E$2:$E$1137,0))</f>
        <v>2.8985507246376812E-2</v>
      </c>
      <c r="D47" s="14">
        <f>INDEX('Transition Stepwise'!$J$2:$J$1137,MATCH(6&amp;"|"&amp;$A47&amp;"|"&amp;D$45,'Transition Stepwise'!$E$2:$E$1137,0))</f>
        <v>0.57971014492753625</v>
      </c>
      <c r="E47" s="14">
        <f>INDEX('Transition Stepwise'!$J$2:$J$1137,MATCH(6&amp;"|"&amp;$A47&amp;"|"&amp;E$45,'Transition Stepwise'!$E$2:$E$1137,0))</f>
        <v>0.2608695652173913</v>
      </c>
      <c r="F47" s="4">
        <f>ROUND(SUM(B47:E47),9)</f>
        <v>1</v>
      </c>
    </row>
    <row r="48" spans="1:6">
      <c r="A48" s="5" t="s">
        <v>70</v>
      </c>
      <c r="B48" s="14">
        <f>INDEX('Transition Stepwise'!$J$2:$J$1137,MATCH(6&amp;"|"&amp;$A48&amp;"|"&amp;B$45,'Transition Stepwise'!$E$2:$E$1137,0))</f>
        <v>0.23076923076923078</v>
      </c>
      <c r="C48" s="14">
        <f>INDEX('Transition Stepwise'!$J$2:$J$1137,MATCH(6&amp;"|"&amp;$A48&amp;"|"&amp;C$45,'Transition Stepwise'!$E$2:$E$1137,0))</f>
        <v>3.8461538461538464E-2</v>
      </c>
      <c r="D48" s="14">
        <f>INDEX('Transition Stepwise'!$J$2:$J$1137,MATCH(6&amp;"|"&amp;$A48&amp;"|"&amp;D$45,'Transition Stepwise'!$E$2:$E$1137,0))</f>
        <v>0.46153846153846156</v>
      </c>
      <c r="E48" s="14">
        <f>INDEX('Transition Stepwise'!$J$2:$J$1137,MATCH(6&amp;"|"&amp;$A48&amp;"|"&amp;E$45,'Transition Stepwise'!$E$2:$E$1137,0))</f>
        <v>0.26923076923076922</v>
      </c>
      <c r="F48" s="4">
        <f>ROUND(SUM(B48:E48),9)</f>
        <v>1</v>
      </c>
    </row>
    <row r="49" spans="1:6">
      <c r="A49" s="5" t="s">
        <v>72</v>
      </c>
      <c r="B49" s="14">
        <f>INDEX('Transition Stepwise'!$J$2:$J$1137,MATCH(6&amp;"|"&amp;$A49&amp;"|"&amp;B$45,'Transition Stepwise'!$E$2:$E$1137,0))</f>
        <v>0.36842105263157893</v>
      </c>
      <c r="C49" s="14">
        <f>INDEX('Transition Stepwise'!$J$2:$J$1137,MATCH(6&amp;"|"&amp;$A49&amp;"|"&amp;C$45,'Transition Stepwise'!$E$2:$E$1137,0))</f>
        <v>1.7543859649122806E-2</v>
      </c>
      <c r="D49" s="14">
        <f>INDEX('Transition Stepwise'!$J$2:$J$1137,MATCH(6&amp;"|"&amp;$A49&amp;"|"&amp;D$45,'Transition Stepwise'!$E$2:$E$1137,0))</f>
        <v>0.52631578947368418</v>
      </c>
      <c r="E49" s="14">
        <f>INDEX('Transition Stepwise'!$J$2:$J$1137,MATCH(6&amp;"|"&amp;$A49&amp;"|"&amp;E$45,'Transition Stepwise'!$E$2:$E$1137,0))</f>
        <v>8.771929824561403E-2</v>
      </c>
      <c r="F49" s="4">
        <f>ROUND(SUM(B49:E49),9)</f>
        <v>1</v>
      </c>
    </row>
    <row r="50" spans="1:6">
      <c r="A50" s="4"/>
      <c r="B50" s="4"/>
      <c r="C50" s="4"/>
      <c r="D50" s="4"/>
      <c r="E50" s="4"/>
      <c r="F50" s="4"/>
    </row>
    <row r="51" spans="1:6">
      <c r="A51" s="4"/>
      <c r="B51" s="4"/>
      <c r="C51" s="4"/>
      <c r="D51" s="4"/>
      <c r="E51" s="4"/>
      <c r="F51" s="4"/>
    </row>
    <row r="52" spans="1:6">
      <c r="A52" s="5" t="s">
        <v>600</v>
      </c>
      <c r="B52" s="4"/>
      <c r="C52" s="4"/>
      <c r="D52" s="4"/>
      <c r="E52" s="4"/>
      <c r="F52" s="4"/>
    </row>
    <row r="53" spans="1:6">
      <c r="A53" s="9" t="s">
        <v>593</v>
      </c>
      <c r="B53" s="9" t="s">
        <v>73</v>
      </c>
      <c r="C53" s="9" t="s">
        <v>71</v>
      </c>
      <c r="D53" s="9" t="s">
        <v>70</v>
      </c>
      <c r="E53" s="9" t="s">
        <v>72</v>
      </c>
      <c r="F53" s="9" t="s">
        <v>666</v>
      </c>
    </row>
    <row r="54" spans="1:6">
      <c r="A54" s="5" t="s">
        <v>73</v>
      </c>
      <c r="B54" s="14">
        <f>INDEX('Transition Stepwise'!$J$2:$J$1137,MATCH(7&amp;"|"&amp;$A54&amp;"|"&amp;B$53,'Transition Stepwise'!$E$2:$E$1137,0))</f>
        <v>3.8461538461538464E-2</v>
      </c>
      <c r="C54" s="14">
        <f>INDEX('Transition Stepwise'!$J$2:$J$1137,MATCH(7&amp;"|"&amp;$A54&amp;"|"&amp;C$53,'Transition Stepwise'!$E$2:$E$1137,0))</f>
        <v>1.9230769230769232E-2</v>
      </c>
      <c r="D54" s="14">
        <f>INDEX('Transition Stepwise'!$J$2:$J$1137,MATCH(7&amp;"|"&amp;$A54&amp;"|"&amp;D$53,'Transition Stepwise'!$E$2:$E$1137,0))</f>
        <v>1.9230769230769232E-2</v>
      </c>
      <c r="E54" s="14">
        <f>INDEX('Transition Stepwise'!$J$2:$J$1137,MATCH(7&amp;"|"&amp;$A54&amp;"|"&amp;E$53,'Transition Stepwise'!$E$2:$E$1137,0))</f>
        <v>0.92307692307692313</v>
      </c>
      <c r="F54" s="4">
        <f>ROUND(SUM(B54:E54),9)</f>
        <v>1</v>
      </c>
    </row>
    <row r="55" spans="1:6">
      <c r="A55" s="5" t="s">
        <v>71</v>
      </c>
      <c r="B55" s="14">
        <f>INDEX('Transition Stepwise'!$J$2:$J$1137,MATCH(7&amp;"|"&amp;$A55&amp;"|"&amp;B$53,'Transition Stepwise'!$E$2:$E$1137,0))</f>
        <v>0.14285714285714285</v>
      </c>
      <c r="C55" s="14">
        <f>INDEX('Transition Stepwise'!$J$2:$J$1137,MATCH(7&amp;"|"&amp;$A55&amp;"|"&amp;C$53,'Transition Stepwise'!$E$2:$E$1137,0))</f>
        <v>0.14285714285714285</v>
      </c>
      <c r="D55" s="14">
        <f>INDEX('Transition Stepwise'!$J$2:$J$1137,MATCH(7&amp;"|"&amp;$A55&amp;"|"&amp;D$53,'Transition Stepwise'!$E$2:$E$1137,0))</f>
        <v>0.14285714285714285</v>
      </c>
      <c r="E55" s="14">
        <f>INDEX('Transition Stepwise'!$J$2:$J$1137,MATCH(7&amp;"|"&amp;$A55&amp;"|"&amp;E$53,'Transition Stepwise'!$E$2:$E$1137,0))</f>
        <v>0.5714285714285714</v>
      </c>
      <c r="F55" s="4">
        <f>ROUND(SUM(B55:E55),9)</f>
        <v>1</v>
      </c>
    </row>
    <row r="56" spans="1:6">
      <c r="A56" s="5" t="s">
        <v>70</v>
      </c>
      <c r="B56" s="14">
        <f>INDEX('Transition Stepwise'!$J$2:$J$1137,MATCH(7&amp;"|"&amp;$A56&amp;"|"&amp;B$53,'Transition Stepwise'!$E$2:$E$1137,0))</f>
        <v>9.1743119266055051E-3</v>
      </c>
      <c r="C56" s="14">
        <f>INDEX('Transition Stepwise'!$J$2:$J$1137,MATCH(7&amp;"|"&amp;$A56&amp;"|"&amp;C$53,'Transition Stepwise'!$E$2:$E$1137,0))</f>
        <v>9.1743119266055051E-3</v>
      </c>
      <c r="D56" s="14">
        <f>INDEX('Transition Stepwise'!$J$2:$J$1137,MATCH(7&amp;"|"&amp;$A56&amp;"|"&amp;D$53,'Transition Stepwise'!$E$2:$E$1137,0))</f>
        <v>1.834862385321101E-2</v>
      </c>
      <c r="E56" s="14">
        <f>INDEX('Transition Stepwise'!$J$2:$J$1137,MATCH(7&amp;"|"&amp;$A56&amp;"|"&amp;E$53,'Transition Stepwise'!$E$2:$E$1137,0))</f>
        <v>0.96330275229357798</v>
      </c>
      <c r="F56" s="4">
        <f>ROUND(SUM(B56:E56),9)</f>
        <v>1</v>
      </c>
    </row>
    <row r="57" spans="1:6">
      <c r="A57" s="5" t="s">
        <v>72</v>
      </c>
      <c r="B57" s="14">
        <f>INDEX('Transition Stepwise'!$J$2:$J$1137,MATCH(7&amp;"|"&amp;$A57&amp;"|"&amp;B$53,'Transition Stepwise'!$E$2:$E$1137,0))</f>
        <v>2.0833333333333332E-2</v>
      </c>
      <c r="C57" s="14">
        <f>INDEX('Transition Stepwise'!$J$2:$J$1137,MATCH(7&amp;"|"&amp;$A57&amp;"|"&amp;C$53,'Transition Stepwise'!$E$2:$E$1137,0))</f>
        <v>2.0833333333333332E-2</v>
      </c>
      <c r="D57" s="14">
        <f>INDEX('Transition Stepwise'!$J$2:$J$1137,MATCH(7&amp;"|"&amp;$A57&amp;"|"&amp;D$53,'Transition Stepwise'!$E$2:$E$1137,0))</f>
        <v>2.0833333333333332E-2</v>
      </c>
      <c r="E57" s="14">
        <f>INDEX('Transition Stepwise'!$J$2:$J$1137,MATCH(7&amp;"|"&amp;$A57&amp;"|"&amp;E$53,'Transition Stepwise'!$E$2:$E$1137,0))</f>
        <v>0.9375</v>
      </c>
      <c r="F57" s="4">
        <f>ROUND(SUM(B57:E57),9)</f>
        <v>1</v>
      </c>
    </row>
    <row r="58" spans="1:6">
      <c r="A58" s="4"/>
      <c r="B58" s="4"/>
      <c r="C58" s="4"/>
      <c r="D58" s="4"/>
      <c r="E58" s="4"/>
      <c r="F58" s="4"/>
    </row>
    <row r="59" spans="1:6">
      <c r="A59" s="4"/>
      <c r="B59" s="4"/>
      <c r="C59" s="4"/>
      <c r="D59" s="4"/>
      <c r="E59" s="4"/>
      <c r="F59" s="4"/>
    </row>
    <row r="60" spans="1:6">
      <c r="A60" s="5" t="s">
        <v>601</v>
      </c>
      <c r="B60" s="4"/>
      <c r="C60" s="4"/>
      <c r="D60" s="4"/>
      <c r="E60" s="4"/>
      <c r="F60" s="4"/>
    </row>
    <row r="61" spans="1:6">
      <c r="A61" s="9" t="s">
        <v>593</v>
      </c>
      <c r="B61" s="9" t="s">
        <v>73</v>
      </c>
      <c r="C61" s="9" t="s">
        <v>71</v>
      </c>
      <c r="D61" s="9" t="s">
        <v>70</v>
      </c>
      <c r="E61" s="9" t="s">
        <v>72</v>
      </c>
      <c r="F61" s="9" t="s">
        <v>666</v>
      </c>
    </row>
    <row r="62" spans="1:6">
      <c r="A62" s="5" t="s">
        <v>73</v>
      </c>
      <c r="B62" s="14">
        <f>INDEX('Transition Stepwise'!$J$2:$J$1137,MATCH(8&amp;"|"&amp;$A62&amp;"|"&amp;B$61,'Transition Stepwise'!$E$2:$E$1137,0))</f>
        <v>0.4</v>
      </c>
      <c r="C62" s="14">
        <f>INDEX('Transition Stepwise'!$J$2:$J$1137,MATCH(8&amp;"|"&amp;$A62&amp;"|"&amp;C$61,'Transition Stepwise'!$E$2:$E$1137,0))</f>
        <v>0.2</v>
      </c>
      <c r="D62" s="14">
        <f>INDEX('Transition Stepwise'!$J$2:$J$1137,MATCH(8&amp;"|"&amp;$A62&amp;"|"&amp;D$61,'Transition Stepwise'!$E$2:$E$1137,0))</f>
        <v>0.2</v>
      </c>
      <c r="E62" s="14">
        <f>INDEX('Transition Stepwise'!$J$2:$J$1137,MATCH(8&amp;"|"&amp;$A62&amp;"|"&amp;E$61,'Transition Stepwise'!$E$2:$E$1137,0))</f>
        <v>0.2</v>
      </c>
      <c r="F62" s="4">
        <f>ROUND(SUM(B62:E62),9)</f>
        <v>1</v>
      </c>
    </row>
    <row r="63" spans="1:6">
      <c r="A63" s="5" t="s">
        <v>71</v>
      </c>
      <c r="B63" s="14">
        <f>INDEX('Transition Stepwise'!$J$2:$J$1137,MATCH(8&amp;"|"&amp;$A63&amp;"|"&amp;B$61,'Transition Stepwise'!$E$2:$E$1137,0))</f>
        <v>0.25</v>
      </c>
      <c r="C63" s="14">
        <f>INDEX('Transition Stepwise'!$J$2:$J$1137,MATCH(8&amp;"|"&amp;$A63&amp;"|"&amp;C$61,'Transition Stepwise'!$E$2:$E$1137,0))</f>
        <v>0.25</v>
      </c>
      <c r="D63" s="14">
        <f>INDEX('Transition Stepwise'!$J$2:$J$1137,MATCH(8&amp;"|"&amp;$A63&amp;"|"&amp;D$61,'Transition Stepwise'!$E$2:$E$1137,0))</f>
        <v>0.25</v>
      </c>
      <c r="E63" s="14">
        <f>INDEX('Transition Stepwise'!$J$2:$J$1137,MATCH(8&amp;"|"&amp;$A63&amp;"|"&amp;E$61,'Transition Stepwise'!$E$2:$E$1137,0))</f>
        <v>0.25</v>
      </c>
      <c r="F63" s="4">
        <f>ROUND(SUM(B63:E63),9)</f>
        <v>1</v>
      </c>
    </row>
    <row r="64" spans="1:6">
      <c r="A64" s="5" t="s">
        <v>70</v>
      </c>
      <c r="B64" s="14">
        <f>INDEX('Transition Stepwise'!$J$2:$J$1137,MATCH(8&amp;"|"&amp;$A64&amp;"|"&amp;B$61,'Transition Stepwise'!$E$2:$E$1137,0))</f>
        <v>0.2</v>
      </c>
      <c r="C64" s="14">
        <f>INDEX('Transition Stepwise'!$J$2:$J$1137,MATCH(8&amp;"|"&amp;$A64&amp;"|"&amp;C$61,'Transition Stepwise'!$E$2:$E$1137,0))</f>
        <v>0.4</v>
      </c>
      <c r="D64" s="14">
        <f>INDEX('Transition Stepwise'!$J$2:$J$1137,MATCH(8&amp;"|"&amp;$A64&amp;"|"&amp;D$61,'Transition Stepwise'!$E$2:$E$1137,0))</f>
        <v>0.2</v>
      </c>
      <c r="E64" s="14">
        <f>INDEX('Transition Stepwise'!$J$2:$J$1137,MATCH(8&amp;"|"&amp;$A64&amp;"|"&amp;E$61,'Transition Stepwise'!$E$2:$E$1137,0))</f>
        <v>0.2</v>
      </c>
      <c r="F64" s="4">
        <f>ROUND(SUM(B64:E64),9)</f>
        <v>1</v>
      </c>
    </row>
    <row r="65" spans="1:6">
      <c r="A65" s="5" t="s">
        <v>72</v>
      </c>
      <c r="B65" s="14">
        <f>INDEX('Transition Stepwise'!$J$2:$J$1137,MATCH(8&amp;"|"&amp;$A65&amp;"|"&amp;B$61,'Transition Stepwise'!$E$2:$E$1137,0))</f>
        <v>0.65174129353233834</v>
      </c>
      <c r="C65" s="14">
        <f>INDEX('Transition Stepwise'!$J$2:$J$1137,MATCH(8&amp;"|"&amp;$A65&amp;"|"&amp;C$61,'Transition Stepwise'!$E$2:$E$1137,0))</f>
        <v>3.482587064676617E-2</v>
      </c>
      <c r="D65" s="14">
        <f>INDEX('Transition Stepwise'!$J$2:$J$1137,MATCH(8&amp;"|"&amp;$A65&amp;"|"&amp;D$61,'Transition Stepwise'!$E$2:$E$1137,0))</f>
        <v>0.30845771144278605</v>
      </c>
      <c r="E65" s="14">
        <f>INDEX('Transition Stepwise'!$J$2:$J$1137,MATCH(8&amp;"|"&amp;$A65&amp;"|"&amp;E$61,'Transition Stepwise'!$E$2:$E$1137,0))</f>
        <v>4.9751243781094526E-3</v>
      </c>
      <c r="F65" s="4">
        <f>ROUND(SUM(B65:E65),9)</f>
        <v>1</v>
      </c>
    </row>
    <row r="66" spans="1:6">
      <c r="A66" s="4"/>
      <c r="B66" s="4"/>
      <c r="C66" s="4"/>
      <c r="D66" s="4"/>
      <c r="E66" s="4"/>
      <c r="F66" s="4"/>
    </row>
    <row r="67" spans="1:6">
      <c r="A67" s="4"/>
      <c r="B67" s="4"/>
      <c r="C67" s="4"/>
      <c r="D67" s="4"/>
      <c r="E67" s="4"/>
      <c r="F67" s="4"/>
    </row>
    <row r="68" spans="1:6">
      <c r="A68" s="5" t="s">
        <v>602</v>
      </c>
      <c r="B68" s="4"/>
      <c r="C68" s="4"/>
      <c r="D68" s="4"/>
      <c r="E68" s="4"/>
      <c r="F68" s="4"/>
    </row>
    <row r="69" spans="1:6">
      <c r="A69" s="9" t="s">
        <v>593</v>
      </c>
      <c r="B69" s="9" t="s">
        <v>73</v>
      </c>
      <c r="C69" s="9" t="s">
        <v>71</v>
      </c>
      <c r="D69" s="9" t="s">
        <v>70</v>
      </c>
      <c r="E69" s="9" t="s">
        <v>72</v>
      </c>
      <c r="F69" s="9" t="s">
        <v>666</v>
      </c>
    </row>
    <row r="70" spans="1:6">
      <c r="A70" s="5" t="s">
        <v>73</v>
      </c>
      <c r="B70" s="14">
        <f>INDEX('Transition Stepwise'!$J$2:$J$1137,MATCH(9&amp;"|"&amp;$A70&amp;"|"&amp;B$69,'Transition Stepwise'!$E$2:$E$1137,0))</f>
        <v>7.4074074074074077E-3</v>
      </c>
      <c r="C70" s="14">
        <f>INDEX('Transition Stepwise'!$J$2:$J$1137,MATCH(9&amp;"|"&amp;$A70&amp;"|"&amp;C$69,'Transition Stepwise'!$E$2:$E$1137,0))</f>
        <v>2.2222222222222223E-2</v>
      </c>
      <c r="D70" s="14">
        <f>INDEX('Transition Stepwise'!$J$2:$J$1137,MATCH(9&amp;"|"&amp;$A70&amp;"|"&amp;D$69,'Transition Stepwise'!$E$2:$E$1137,0))</f>
        <v>0.96296296296296291</v>
      </c>
      <c r="E70" s="14">
        <f>INDEX('Transition Stepwise'!$J$2:$J$1137,MATCH(9&amp;"|"&amp;$A70&amp;"|"&amp;E$69,'Transition Stepwise'!$E$2:$E$1137,0))</f>
        <v>7.4074074074074077E-3</v>
      </c>
      <c r="F70" s="4">
        <f>ROUND(SUM(B70:E70),9)</f>
        <v>1</v>
      </c>
    </row>
    <row r="71" spans="1:6">
      <c r="A71" s="5" t="s">
        <v>71</v>
      </c>
      <c r="B71" s="14">
        <f>INDEX('Transition Stepwise'!$J$2:$J$1137,MATCH(9&amp;"|"&amp;$A71&amp;"|"&amp;B$69,'Transition Stepwise'!$E$2:$E$1137,0))</f>
        <v>9.0909090909090912E-2</v>
      </c>
      <c r="C71" s="14">
        <f>INDEX('Transition Stepwise'!$J$2:$J$1137,MATCH(9&amp;"|"&amp;$A71&amp;"|"&amp;C$69,'Transition Stepwise'!$E$2:$E$1137,0))</f>
        <v>9.0909090909090912E-2</v>
      </c>
      <c r="D71" s="14">
        <f>INDEX('Transition Stepwise'!$J$2:$J$1137,MATCH(9&amp;"|"&amp;$A71&amp;"|"&amp;D$69,'Transition Stepwise'!$E$2:$E$1137,0))</f>
        <v>0.72727272727272729</v>
      </c>
      <c r="E71" s="14">
        <f>INDEX('Transition Stepwise'!$J$2:$J$1137,MATCH(9&amp;"|"&amp;$A71&amp;"|"&amp;E$69,'Transition Stepwise'!$E$2:$E$1137,0))</f>
        <v>9.0909090909090912E-2</v>
      </c>
      <c r="F71" s="4">
        <f>ROUND(SUM(B71:E71),9)</f>
        <v>1</v>
      </c>
    </row>
    <row r="72" spans="1:6">
      <c r="A72" s="5" t="s">
        <v>70</v>
      </c>
      <c r="B72" s="14">
        <f>INDEX('Transition Stepwise'!$J$2:$J$1137,MATCH(9&amp;"|"&amp;$A72&amp;"|"&amp;B$69,'Transition Stepwise'!$E$2:$E$1137,0))</f>
        <v>1.5384615384615385E-2</v>
      </c>
      <c r="C72" s="14">
        <f>INDEX('Transition Stepwise'!$J$2:$J$1137,MATCH(9&amp;"|"&amp;$A72&amp;"|"&amp;C$69,'Transition Stepwise'!$E$2:$E$1137,0))</f>
        <v>0.1076923076923077</v>
      </c>
      <c r="D72" s="14">
        <f>INDEX('Transition Stepwise'!$J$2:$J$1137,MATCH(9&amp;"|"&amp;$A72&amp;"|"&amp;D$69,'Transition Stepwise'!$E$2:$E$1137,0))</f>
        <v>0.86153846153846159</v>
      </c>
      <c r="E72" s="14">
        <f>INDEX('Transition Stepwise'!$J$2:$J$1137,MATCH(9&amp;"|"&amp;$A72&amp;"|"&amp;E$69,'Transition Stepwise'!$E$2:$E$1137,0))</f>
        <v>1.5384615384615385E-2</v>
      </c>
      <c r="F72" s="4">
        <f>ROUND(SUM(B72:E72),9)</f>
        <v>1</v>
      </c>
    </row>
    <row r="73" spans="1:6">
      <c r="A73" s="5" t="s">
        <v>72</v>
      </c>
      <c r="B73" s="14">
        <f>INDEX('Transition Stepwise'!$J$2:$J$1137,MATCH(9&amp;"|"&amp;$A73&amp;"|"&amp;B$69,'Transition Stepwise'!$E$2:$E$1137,0))</f>
        <v>0.25</v>
      </c>
      <c r="C73" s="14">
        <f>INDEX('Transition Stepwise'!$J$2:$J$1137,MATCH(9&amp;"|"&amp;$A73&amp;"|"&amp;C$69,'Transition Stepwise'!$E$2:$E$1137,0))</f>
        <v>0.25</v>
      </c>
      <c r="D73" s="14">
        <f>INDEX('Transition Stepwise'!$J$2:$J$1137,MATCH(9&amp;"|"&amp;$A73&amp;"|"&amp;D$69,'Transition Stepwise'!$E$2:$E$1137,0))</f>
        <v>0.25</v>
      </c>
      <c r="E73" s="14">
        <f>INDEX('Transition Stepwise'!$J$2:$J$1137,MATCH(9&amp;"|"&amp;$A73&amp;"|"&amp;E$69,'Transition Stepwise'!$E$2:$E$1137,0))</f>
        <v>0.25</v>
      </c>
      <c r="F73" s="4">
        <f>ROUND(SUM(B73:E73),9)</f>
        <v>1</v>
      </c>
    </row>
    <row r="74" spans="1:6">
      <c r="A74" s="4"/>
      <c r="B74" s="4"/>
      <c r="C74" s="4"/>
      <c r="D74" s="4"/>
      <c r="E74" s="4"/>
      <c r="F74" s="4"/>
    </row>
    <row r="75" spans="1:6">
      <c r="A75" s="4"/>
      <c r="B75" s="4"/>
      <c r="C75" s="4"/>
      <c r="D75" s="4"/>
      <c r="E75" s="4"/>
      <c r="F75" s="4"/>
    </row>
    <row r="76" spans="1:6">
      <c r="A76" s="5" t="s">
        <v>603</v>
      </c>
      <c r="B76" s="4"/>
      <c r="C76" s="4"/>
      <c r="D76" s="4"/>
      <c r="E76" s="4"/>
      <c r="F76" s="4"/>
    </row>
    <row r="77" spans="1:6">
      <c r="A77" s="9" t="s">
        <v>593</v>
      </c>
      <c r="B77" s="9" t="s">
        <v>73</v>
      </c>
      <c r="C77" s="9" t="s">
        <v>71</v>
      </c>
      <c r="D77" s="9" t="s">
        <v>70</v>
      </c>
      <c r="E77" s="9" t="s">
        <v>72</v>
      </c>
      <c r="F77" s="9" t="s">
        <v>666</v>
      </c>
    </row>
    <row r="78" spans="1:6">
      <c r="A78" s="5" t="s">
        <v>73</v>
      </c>
      <c r="B78" s="14">
        <f>INDEX('Transition Stepwise'!$J$2:$J$1137,MATCH(10&amp;"|"&amp;$A78&amp;"|"&amp;B$77,'Transition Stepwise'!$E$2:$E$1137,0))</f>
        <v>0.25</v>
      </c>
      <c r="C78" s="14">
        <f>INDEX('Transition Stepwise'!$J$2:$J$1137,MATCH(10&amp;"|"&amp;$A78&amp;"|"&amp;C$77,'Transition Stepwise'!$E$2:$E$1137,0))</f>
        <v>0.25</v>
      </c>
      <c r="D78" s="14">
        <f>INDEX('Transition Stepwise'!$J$2:$J$1137,MATCH(10&amp;"|"&amp;$A78&amp;"|"&amp;D$77,'Transition Stepwise'!$E$2:$E$1137,0))</f>
        <v>0.25</v>
      </c>
      <c r="E78" s="14">
        <f>INDEX('Transition Stepwise'!$J$2:$J$1137,MATCH(10&amp;"|"&amp;$A78&amp;"|"&amp;E$77,'Transition Stepwise'!$E$2:$E$1137,0))</f>
        <v>0.25</v>
      </c>
      <c r="F78" s="4">
        <f>ROUND(SUM(B78:E78),9)</f>
        <v>1</v>
      </c>
    </row>
    <row r="79" spans="1:6">
      <c r="A79" s="5" t="s">
        <v>71</v>
      </c>
      <c r="B79" s="14">
        <f>INDEX('Transition Stepwise'!$J$2:$J$1137,MATCH(10&amp;"|"&amp;$A79&amp;"|"&amp;B$77,'Transition Stepwise'!$E$2:$E$1137,0))</f>
        <v>8.3333333333333329E-2</v>
      </c>
      <c r="C79" s="14">
        <f>INDEX('Transition Stepwise'!$J$2:$J$1137,MATCH(10&amp;"|"&amp;$A79&amp;"|"&amp;C$77,'Transition Stepwise'!$E$2:$E$1137,0))</f>
        <v>0.58333333333333337</v>
      </c>
      <c r="D79" s="14">
        <f>INDEX('Transition Stepwise'!$J$2:$J$1137,MATCH(10&amp;"|"&amp;$A79&amp;"|"&amp;D$77,'Transition Stepwise'!$E$2:$E$1137,0))</f>
        <v>0.16666666666666666</v>
      </c>
      <c r="E79" s="14">
        <f>INDEX('Transition Stepwise'!$J$2:$J$1137,MATCH(10&amp;"|"&amp;$A79&amp;"|"&amp;E$77,'Transition Stepwise'!$E$2:$E$1137,0))</f>
        <v>0.16666666666666666</v>
      </c>
      <c r="F79" s="4">
        <f>ROUND(SUM(B79:E79),9)</f>
        <v>1</v>
      </c>
    </row>
    <row r="80" spans="1:6">
      <c r="A80" s="5" t="s">
        <v>70</v>
      </c>
      <c r="B80" s="14">
        <f>INDEX('Transition Stepwise'!$J$2:$J$1137,MATCH(10&amp;"|"&amp;$A80&amp;"|"&amp;B$77,'Transition Stepwise'!$E$2:$E$1137,0))</f>
        <v>4.0816326530612242E-2</v>
      </c>
      <c r="C80" s="14">
        <f>INDEX('Transition Stepwise'!$J$2:$J$1137,MATCH(10&amp;"|"&amp;$A80&amp;"|"&amp;C$77,'Transition Stepwise'!$E$2:$E$1137,0))</f>
        <v>0.72448979591836737</v>
      </c>
      <c r="D80" s="14">
        <f>INDEX('Transition Stepwise'!$J$2:$J$1137,MATCH(10&amp;"|"&amp;$A80&amp;"|"&amp;D$77,'Transition Stepwise'!$E$2:$E$1137,0))</f>
        <v>3.0612244897959183E-2</v>
      </c>
      <c r="E80" s="14">
        <f>INDEX('Transition Stepwise'!$J$2:$J$1137,MATCH(10&amp;"|"&amp;$A80&amp;"|"&amp;E$77,'Transition Stepwise'!$E$2:$E$1137,0))</f>
        <v>0.20408163265306123</v>
      </c>
      <c r="F80" s="4">
        <f>ROUND(SUM(B80:E80),9)</f>
        <v>1</v>
      </c>
    </row>
    <row r="81" spans="1:6">
      <c r="A81" s="5" t="s">
        <v>72</v>
      </c>
      <c r="B81" s="14">
        <f>INDEX('Transition Stepwise'!$J$2:$J$1137,MATCH(10&amp;"|"&amp;$A81&amp;"|"&amp;B$77,'Transition Stepwise'!$E$2:$E$1137,0))</f>
        <v>0.25</v>
      </c>
      <c r="C81" s="14">
        <f>INDEX('Transition Stepwise'!$J$2:$J$1137,MATCH(10&amp;"|"&amp;$A81&amp;"|"&amp;C$77,'Transition Stepwise'!$E$2:$E$1137,0))</f>
        <v>0.25</v>
      </c>
      <c r="D81" s="14">
        <f>INDEX('Transition Stepwise'!$J$2:$J$1137,MATCH(10&amp;"|"&amp;$A81&amp;"|"&amp;D$77,'Transition Stepwise'!$E$2:$E$1137,0))</f>
        <v>0.25</v>
      </c>
      <c r="E81" s="14">
        <f>INDEX('Transition Stepwise'!$J$2:$J$1137,MATCH(10&amp;"|"&amp;$A81&amp;"|"&amp;E$77,'Transition Stepwise'!$E$2:$E$1137,0))</f>
        <v>0.25</v>
      </c>
      <c r="F81" s="4">
        <f>ROUND(SUM(B81:E81),9)</f>
        <v>1</v>
      </c>
    </row>
    <row r="82" spans="1:6">
      <c r="A82" s="4"/>
      <c r="B82" s="4"/>
      <c r="C82" s="4"/>
      <c r="D82" s="4"/>
      <c r="E82" s="4"/>
      <c r="F82" s="4"/>
    </row>
    <row r="83" spans="1:6">
      <c r="A83" s="4"/>
      <c r="B83" s="4"/>
      <c r="C83" s="4"/>
      <c r="D83" s="4"/>
      <c r="E83" s="4"/>
      <c r="F83" s="4"/>
    </row>
    <row r="84" spans="1:6">
      <c r="A84" s="5" t="s">
        <v>604</v>
      </c>
      <c r="B84" s="4"/>
      <c r="C84" s="4"/>
      <c r="D84" s="4"/>
      <c r="E84" s="4"/>
      <c r="F84" s="4"/>
    </row>
    <row r="85" spans="1:6">
      <c r="A85" s="9" t="s">
        <v>593</v>
      </c>
      <c r="B85" s="9" t="s">
        <v>73</v>
      </c>
      <c r="C85" s="9" t="s">
        <v>71</v>
      </c>
      <c r="D85" s="9" t="s">
        <v>70</v>
      </c>
      <c r="E85" s="9" t="s">
        <v>72</v>
      </c>
      <c r="F85" s="9" t="s">
        <v>666</v>
      </c>
    </row>
    <row r="86" spans="1:6">
      <c r="A86" s="5" t="s">
        <v>73</v>
      </c>
      <c r="B86" s="14">
        <f>INDEX('Transition Stepwise'!$J$2:$J$1137,MATCH(11&amp;"|"&amp;$A86&amp;"|"&amp;B$85,'Transition Stepwise'!$E$2:$E$1137,0))</f>
        <v>9.0909090909090912E-2</v>
      </c>
      <c r="C86" s="14">
        <f>INDEX('Transition Stepwise'!$J$2:$J$1137,MATCH(11&amp;"|"&amp;$A86&amp;"|"&amp;C$85,'Transition Stepwise'!$E$2:$E$1137,0))</f>
        <v>9.0909090909090912E-2</v>
      </c>
      <c r="D86" s="14">
        <f>INDEX('Transition Stepwise'!$J$2:$J$1137,MATCH(11&amp;"|"&amp;$A86&amp;"|"&amp;D$85,'Transition Stepwise'!$E$2:$E$1137,0))</f>
        <v>0.45454545454545453</v>
      </c>
      <c r="E86" s="14">
        <f>INDEX('Transition Stepwise'!$J$2:$J$1137,MATCH(11&amp;"|"&amp;$A86&amp;"|"&amp;E$85,'Transition Stepwise'!$E$2:$E$1137,0))</f>
        <v>0.36363636363636365</v>
      </c>
      <c r="F86" s="4">
        <f>ROUND(SUM(B86:E86),9)</f>
        <v>1</v>
      </c>
    </row>
    <row r="87" spans="1:6">
      <c r="A87" s="5" t="s">
        <v>71</v>
      </c>
      <c r="B87" s="14">
        <f>INDEX('Transition Stepwise'!$J$2:$J$1137,MATCH(11&amp;"|"&amp;$A87&amp;"|"&amp;B$85,'Transition Stepwise'!$E$2:$E$1137,0))</f>
        <v>4.6357615894039736E-2</v>
      </c>
      <c r="C87" s="14">
        <f>INDEX('Transition Stepwise'!$J$2:$J$1137,MATCH(11&amp;"|"&amp;$A87&amp;"|"&amp;C$85,'Transition Stepwise'!$E$2:$E$1137,0))</f>
        <v>0.11920529801324503</v>
      </c>
      <c r="D87" s="14">
        <f>INDEX('Transition Stepwise'!$J$2:$J$1137,MATCH(11&amp;"|"&amp;$A87&amp;"|"&amp;D$85,'Transition Stepwise'!$E$2:$E$1137,0))</f>
        <v>0.13245033112582782</v>
      </c>
      <c r="E87" s="14">
        <f>INDEX('Transition Stepwise'!$J$2:$J$1137,MATCH(11&amp;"|"&amp;$A87&amp;"|"&amp;E$85,'Transition Stepwise'!$E$2:$E$1137,0))</f>
        <v>0.70198675496688745</v>
      </c>
      <c r="F87" s="4">
        <f>ROUND(SUM(B87:E87),9)</f>
        <v>1</v>
      </c>
    </row>
    <row r="88" spans="1:6">
      <c r="A88" s="5" t="s">
        <v>70</v>
      </c>
      <c r="B88" s="14">
        <f>INDEX('Transition Stepwise'!$J$2:$J$1137,MATCH(11&amp;"|"&amp;$A88&amp;"|"&amp;B$85,'Transition Stepwise'!$E$2:$E$1137,0))</f>
        <v>0.3</v>
      </c>
      <c r="C88" s="14">
        <f>INDEX('Transition Stepwise'!$J$2:$J$1137,MATCH(11&amp;"|"&amp;$A88&amp;"|"&amp;C$85,'Transition Stepwise'!$E$2:$E$1137,0))</f>
        <v>0.1</v>
      </c>
      <c r="D88" s="14">
        <f>INDEX('Transition Stepwise'!$J$2:$J$1137,MATCH(11&amp;"|"&amp;$A88&amp;"|"&amp;D$85,'Transition Stepwise'!$E$2:$E$1137,0))</f>
        <v>0.4</v>
      </c>
      <c r="E88" s="14">
        <f>INDEX('Transition Stepwise'!$J$2:$J$1137,MATCH(11&amp;"|"&amp;$A88&amp;"|"&amp;E$85,'Transition Stepwise'!$E$2:$E$1137,0))</f>
        <v>0.2</v>
      </c>
      <c r="F88" s="4">
        <f>ROUND(SUM(B88:E88),9)</f>
        <v>1</v>
      </c>
    </row>
    <row r="89" spans="1:6">
      <c r="A89" s="5" t="s">
        <v>72</v>
      </c>
      <c r="B89" s="14">
        <f>INDEX('Transition Stepwise'!$J$2:$J$1137,MATCH(11&amp;"|"&amp;$A89&amp;"|"&amp;B$85,'Transition Stepwise'!$E$2:$E$1137,0))</f>
        <v>0.13636363636363635</v>
      </c>
      <c r="C89" s="14">
        <f>INDEX('Transition Stepwise'!$J$2:$J$1137,MATCH(11&amp;"|"&amp;$A89&amp;"|"&amp;C$85,'Transition Stepwise'!$E$2:$E$1137,0))</f>
        <v>0.29545454545454547</v>
      </c>
      <c r="D89" s="14">
        <f>INDEX('Transition Stepwise'!$J$2:$J$1137,MATCH(11&amp;"|"&amp;$A89&amp;"|"&amp;D$85,'Transition Stepwise'!$E$2:$E$1137,0))</f>
        <v>0.29545454545454547</v>
      </c>
      <c r="E89" s="14">
        <f>INDEX('Transition Stepwise'!$J$2:$J$1137,MATCH(11&amp;"|"&amp;$A89&amp;"|"&amp;E$85,'Transition Stepwise'!$E$2:$E$1137,0))</f>
        <v>0.27272727272727271</v>
      </c>
      <c r="F89" s="4">
        <f>ROUND(SUM(B89:E89),9)</f>
        <v>1</v>
      </c>
    </row>
    <row r="90" spans="1:6">
      <c r="A90" s="4"/>
      <c r="B90" s="4"/>
      <c r="C90" s="4"/>
      <c r="D90" s="4"/>
      <c r="E90" s="4"/>
      <c r="F90" s="4"/>
    </row>
    <row r="91" spans="1:6">
      <c r="A91" s="4"/>
      <c r="B91" s="4"/>
      <c r="C91" s="4"/>
      <c r="D91" s="4"/>
      <c r="E91" s="4"/>
      <c r="F91" s="4"/>
    </row>
    <row r="92" spans="1:6">
      <c r="A92" s="5" t="s">
        <v>605</v>
      </c>
      <c r="B92" s="4"/>
      <c r="C92" s="4"/>
      <c r="D92" s="4"/>
      <c r="E92" s="4"/>
      <c r="F92" s="4"/>
    </row>
    <row r="93" spans="1:6">
      <c r="A93" s="9" t="s">
        <v>593</v>
      </c>
      <c r="B93" s="9" t="s">
        <v>73</v>
      </c>
      <c r="C93" s="9" t="s">
        <v>71</v>
      </c>
      <c r="D93" s="9" t="s">
        <v>70</v>
      </c>
      <c r="E93" s="9" t="s">
        <v>72</v>
      </c>
      <c r="F93" s="9" t="s">
        <v>666</v>
      </c>
    </row>
    <row r="94" spans="1:6">
      <c r="A94" s="5" t="s">
        <v>73</v>
      </c>
      <c r="B94" s="14">
        <f>INDEX('Transition Stepwise'!$J$2:$J$1137,MATCH(12&amp;"|"&amp;$A94&amp;"|"&amp;B$93,'Transition Stepwise'!$E$2:$E$1137,0))</f>
        <v>5.8823529411764705E-2</v>
      </c>
      <c r="C94" s="14">
        <f>INDEX('Transition Stepwise'!$J$2:$J$1137,MATCH(12&amp;"|"&amp;$A94&amp;"|"&amp;C$93,'Transition Stepwise'!$E$2:$E$1137,0))</f>
        <v>5.8823529411764705E-2</v>
      </c>
      <c r="D94" s="14">
        <f>INDEX('Transition Stepwise'!$J$2:$J$1137,MATCH(12&amp;"|"&amp;$A94&amp;"|"&amp;D$93,'Transition Stepwise'!$E$2:$E$1137,0))</f>
        <v>0.41176470588235292</v>
      </c>
      <c r="E94" s="14">
        <f>INDEX('Transition Stepwise'!$J$2:$J$1137,MATCH(12&amp;"|"&amp;$A94&amp;"|"&amp;E$93,'Transition Stepwise'!$E$2:$E$1137,0))</f>
        <v>0.47058823529411764</v>
      </c>
      <c r="F94" s="4">
        <f>ROUND(SUM(B94:E94),9)</f>
        <v>1</v>
      </c>
    </row>
    <row r="95" spans="1:6">
      <c r="A95" s="5" t="s">
        <v>71</v>
      </c>
      <c r="B95" s="14">
        <f>INDEX('Transition Stepwise'!$J$2:$J$1137,MATCH(12&amp;"|"&amp;$A95&amp;"|"&amp;B$93,'Transition Stepwise'!$E$2:$E$1137,0))</f>
        <v>0.24242424242424243</v>
      </c>
      <c r="C95" s="14">
        <f>INDEX('Transition Stepwise'!$J$2:$J$1137,MATCH(12&amp;"|"&amp;$A95&amp;"|"&amp;C$93,'Transition Stepwise'!$E$2:$E$1137,0))</f>
        <v>0.15151515151515152</v>
      </c>
      <c r="D95" s="14">
        <f>INDEX('Transition Stepwise'!$J$2:$J$1137,MATCH(12&amp;"|"&amp;$A95&amp;"|"&amp;D$93,'Transition Stepwise'!$E$2:$E$1137,0))</f>
        <v>0.24242424242424243</v>
      </c>
      <c r="E95" s="14">
        <f>INDEX('Transition Stepwise'!$J$2:$J$1137,MATCH(12&amp;"|"&amp;$A95&amp;"|"&amp;E$93,'Transition Stepwise'!$E$2:$E$1137,0))</f>
        <v>0.36363636363636365</v>
      </c>
      <c r="F95" s="4">
        <f>ROUND(SUM(B95:E95),9)</f>
        <v>1</v>
      </c>
    </row>
    <row r="96" spans="1:6">
      <c r="A96" s="5" t="s">
        <v>70</v>
      </c>
      <c r="B96" s="14">
        <f>INDEX('Transition Stepwise'!$J$2:$J$1137,MATCH(12&amp;"|"&amp;$A96&amp;"|"&amp;B$93,'Transition Stepwise'!$E$2:$E$1137,0))</f>
        <v>0.14285714285714285</v>
      </c>
      <c r="C96" s="14">
        <f>INDEX('Transition Stepwise'!$J$2:$J$1137,MATCH(12&amp;"|"&amp;$A96&amp;"|"&amp;C$93,'Transition Stepwise'!$E$2:$E$1137,0))</f>
        <v>0.47619047619047616</v>
      </c>
      <c r="D96" s="14">
        <f>INDEX('Transition Stepwise'!$J$2:$J$1137,MATCH(12&amp;"|"&amp;$A96&amp;"|"&amp;D$93,'Transition Stepwise'!$E$2:$E$1137,0))</f>
        <v>0.14285714285714285</v>
      </c>
      <c r="E96" s="14">
        <f>INDEX('Transition Stepwise'!$J$2:$J$1137,MATCH(12&amp;"|"&amp;$A96&amp;"|"&amp;E$93,'Transition Stepwise'!$E$2:$E$1137,0))</f>
        <v>0.23809523809523808</v>
      </c>
      <c r="F96" s="4">
        <f>ROUND(SUM(B96:E96),9)</f>
        <v>1</v>
      </c>
    </row>
    <row r="97" spans="1:6">
      <c r="A97" s="5" t="s">
        <v>72</v>
      </c>
      <c r="B97" s="14">
        <f>INDEX('Transition Stepwise'!$J$2:$J$1137,MATCH(12&amp;"|"&amp;$A97&amp;"|"&amp;B$93,'Transition Stepwise'!$E$2:$E$1137,0))</f>
        <v>1.6129032258064516E-2</v>
      </c>
      <c r="C97" s="14">
        <f>INDEX('Transition Stepwise'!$J$2:$J$1137,MATCH(12&amp;"|"&amp;$A97&amp;"|"&amp;C$93,'Transition Stepwise'!$E$2:$E$1137,0))</f>
        <v>0.87096774193548387</v>
      </c>
      <c r="D97" s="14">
        <f>INDEX('Transition Stepwise'!$J$2:$J$1137,MATCH(12&amp;"|"&amp;$A97&amp;"|"&amp;D$93,'Transition Stepwise'!$E$2:$E$1137,0))</f>
        <v>1.6129032258064516E-2</v>
      </c>
      <c r="E97" s="14">
        <f>INDEX('Transition Stepwise'!$J$2:$J$1137,MATCH(12&amp;"|"&amp;$A97&amp;"|"&amp;E$93,'Transition Stepwise'!$E$2:$E$1137,0))</f>
        <v>9.6774193548387094E-2</v>
      </c>
      <c r="F97" s="4">
        <f>ROUND(SUM(B97:E97),9)</f>
        <v>1</v>
      </c>
    </row>
    <row r="98" spans="1:6">
      <c r="A98" s="4"/>
      <c r="B98" s="4"/>
      <c r="C98" s="4"/>
      <c r="D98" s="4"/>
      <c r="E98" s="4"/>
      <c r="F98" s="4"/>
    </row>
    <row r="99" spans="1:6">
      <c r="A99" s="4"/>
      <c r="B99" s="4"/>
      <c r="C99" s="4"/>
      <c r="D99" s="4"/>
      <c r="E99" s="4"/>
      <c r="F99" s="4"/>
    </row>
    <row r="100" spans="1:6">
      <c r="A100" s="5" t="s">
        <v>606</v>
      </c>
      <c r="B100" s="4"/>
      <c r="C100" s="4"/>
      <c r="D100" s="4"/>
      <c r="E100" s="4"/>
      <c r="F100" s="4"/>
    </row>
    <row r="101" spans="1:6">
      <c r="A101" s="9" t="s">
        <v>593</v>
      </c>
      <c r="B101" s="9" t="s">
        <v>73</v>
      </c>
      <c r="C101" s="9" t="s">
        <v>71</v>
      </c>
      <c r="D101" s="9" t="s">
        <v>70</v>
      </c>
      <c r="E101" s="9" t="s">
        <v>72</v>
      </c>
      <c r="F101" s="9" t="s">
        <v>666</v>
      </c>
    </row>
    <row r="102" spans="1:6">
      <c r="A102" s="5" t="s">
        <v>73</v>
      </c>
      <c r="B102" s="14">
        <f>INDEX('Transition Stepwise'!$J$2:$J$1137,MATCH(13&amp;"|"&amp;$A102&amp;"|"&amp;B$101,'Transition Stepwise'!$E$2:$E$1137,0))</f>
        <v>0.76470588235294112</v>
      </c>
      <c r="C102" s="14">
        <f>INDEX('Transition Stepwise'!$J$2:$J$1137,MATCH(13&amp;"|"&amp;$A102&amp;"|"&amp;C$101,'Transition Stepwise'!$E$2:$E$1137,0))</f>
        <v>5.8823529411764705E-2</v>
      </c>
      <c r="D102" s="14">
        <f>INDEX('Transition Stepwise'!$J$2:$J$1137,MATCH(13&amp;"|"&amp;$A102&amp;"|"&amp;D$101,'Transition Stepwise'!$E$2:$E$1137,0))</f>
        <v>0.11764705882352941</v>
      </c>
      <c r="E102" s="14">
        <f>INDEX('Transition Stepwise'!$J$2:$J$1137,MATCH(13&amp;"|"&amp;$A102&amp;"|"&amp;E$101,'Transition Stepwise'!$E$2:$E$1137,0))</f>
        <v>5.8823529411764705E-2</v>
      </c>
      <c r="F102" s="4">
        <f>ROUND(SUM(B102:E102),9)</f>
        <v>1</v>
      </c>
    </row>
    <row r="103" spans="1:6">
      <c r="A103" s="5" t="s">
        <v>71</v>
      </c>
      <c r="B103" s="14">
        <f>INDEX('Transition Stepwise'!$J$2:$J$1137,MATCH(13&amp;"|"&amp;$A103&amp;"|"&amp;B$101,'Transition Stepwise'!$E$2:$E$1137,0))</f>
        <v>0.97014925373134331</v>
      </c>
      <c r="C103" s="14">
        <f>INDEX('Transition Stepwise'!$J$2:$J$1137,MATCH(13&amp;"|"&amp;$A103&amp;"|"&amp;C$101,'Transition Stepwise'!$E$2:$E$1137,0))</f>
        <v>1.4925373134328358E-2</v>
      </c>
      <c r="D103" s="14">
        <f>INDEX('Transition Stepwise'!$J$2:$J$1137,MATCH(13&amp;"|"&amp;$A103&amp;"|"&amp;D$101,'Transition Stepwise'!$E$2:$E$1137,0))</f>
        <v>7.462686567164179E-3</v>
      </c>
      <c r="E103" s="14">
        <f>INDEX('Transition Stepwise'!$J$2:$J$1137,MATCH(13&amp;"|"&amp;$A103&amp;"|"&amp;E$101,'Transition Stepwise'!$E$2:$E$1137,0))</f>
        <v>7.462686567164179E-3</v>
      </c>
      <c r="F103" s="4">
        <f>ROUND(SUM(B103:E103),9)</f>
        <v>1</v>
      </c>
    </row>
    <row r="104" spans="1:6">
      <c r="A104" s="5" t="s">
        <v>70</v>
      </c>
      <c r="B104" s="14">
        <f>INDEX('Transition Stepwise'!$J$2:$J$1137,MATCH(13&amp;"|"&amp;$A104&amp;"|"&amp;B$101,'Transition Stepwise'!$E$2:$E$1137,0))</f>
        <v>0.86956521739130432</v>
      </c>
      <c r="C104" s="14">
        <f>INDEX('Transition Stepwise'!$J$2:$J$1137,MATCH(13&amp;"|"&amp;$A104&amp;"|"&amp;C$101,'Transition Stepwise'!$E$2:$E$1137,0))</f>
        <v>4.3478260869565216E-2</v>
      </c>
      <c r="D104" s="14">
        <f>INDEX('Transition Stepwise'!$J$2:$J$1137,MATCH(13&amp;"|"&amp;$A104&amp;"|"&amp;D$101,'Transition Stepwise'!$E$2:$E$1137,0))</f>
        <v>4.3478260869565216E-2</v>
      </c>
      <c r="E104" s="14">
        <f>INDEX('Transition Stepwise'!$J$2:$J$1137,MATCH(13&amp;"|"&amp;$A104&amp;"|"&amp;E$101,'Transition Stepwise'!$E$2:$E$1137,0))</f>
        <v>4.3478260869565216E-2</v>
      </c>
      <c r="F104" s="4">
        <f>ROUND(SUM(B104:E104),9)</f>
        <v>1</v>
      </c>
    </row>
    <row r="105" spans="1:6">
      <c r="A105" s="5" t="s">
        <v>72</v>
      </c>
      <c r="B105" s="14">
        <f>INDEX('Transition Stepwise'!$J$2:$J$1137,MATCH(13&amp;"|"&amp;$A105&amp;"|"&amp;B$101,'Transition Stepwise'!$E$2:$E$1137,0))</f>
        <v>0.9285714285714286</v>
      </c>
      <c r="C105" s="14">
        <f>INDEX('Transition Stepwise'!$J$2:$J$1137,MATCH(13&amp;"|"&amp;$A105&amp;"|"&amp;C$101,'Transition Stepwise'!$E$2:$E$1137,0))</f>
        <v>2.3809523809523808E-2</v>
      </c>
      <c r="D105" s="14">
        <f>INDEX('Transition Stepwise'!$J$2:$J$1137,MATCH(13&amp;"|"&amp;$A105&amp;"|"&amp;D$101,'Transition Stepwise'!$E$2:$E$1137,0))</f>
        <v>2.3809523809523808E-2</v>
      </c>
      <c r="E105" s="14">
        <f>INDEX('Transition Stepwise'!$J$2:$J$1137,MATCH(13&amp;"|"&amp;$A105&amp;"|"&amp;E$101,'Transition Stepwise'!$E$2:$E$1137,0))</f>
        <v>2.3809523809523808E-2</v>
      </c>
      <c r="F105" s="4">
        <f>ROUND(SUM(B105:E105),9)</f>
        <v>1</v>
      </c>
    </row>
    <row r="106" spans="1:6">
      <c r="A106" s="4"/>
      <c r="B106" s="4"/>
      <c r="C106" s="4"/>
      <c r="D106" s="4"/>
      <c r="E106" s="4"/>
      <c r="F106" s="4"/>
    </row>
    <row r="107" spans="1:6">
      <c r="A107" s="4"/>
      <c r="B107" s="4"/>
      <c r="C107" s="4"/>
      <c r="D107" s="4"/>
      <c r="E107" s="4"/>
      <c r="F107" s="4"/>
    </row>
    <row r="108" spans="1:6">
      <c r="A108" s="5" t="s">
        <v>607</v>
      </c>
      <c r="B108" s="4"/>
      <c r="C108" s="4"/>
      <c r="D108" s="4"/>
      <c r="E108" s="4"/>
      <c r="F108" s="4"/>
    </row>
    <row r="109" spans="1:6">
      <c r="A109" s="9" t="s">
        <v>593</v>
      </c>
      <c r="B109" s="9" t="s">
        <v>73</v>
      </c>
      <c r="C109" s="9" t="s">
        <v>71</v>
      </c>
      <c r="D109" s="9" t="s">
        <v>70</v>
      </c>
      <c r="E109" s="9" t="s">
        <v>72</v>
      </c>
      <c r="F109" s="9" t="s">
        <v>666</v>
      </c>
    </row>
    <row r="110" spans="1:6">
      <c r="A110" s="5" t="s">
        <v>73</v>
      </c>
      <c r="B110" s="14">
        <f>INDEX('Transition Stepwise'!$J$2:$J$1137,MATCH(14&amp;"|"&amp;$A110&amp;"|"&amp;B$109,'Transition Stepwise'!$E$2:$E$1137,0))</f>
        <v>0.16417910447761194</v>
      </c>
      <c r="C110" s="14">
        <f>INDEX('Transition Stepwise'!$J$2:$J$1137,MATCH(14&amp;"|"&amp;$A110&amp;"|"&amp;C$109,'Transition Stepwise'!$E$2:$E$1137,0))</f>
        <v>9.9502487562189053E-3</v>
      </c>
      <c r="D110" s="14">
        <f>INDEX('Transition Stepwise'!$J$2:$J$1137,MATCH(14&amp;"|"&amp;$A110&amp;"|"&amp;D$109,'Transition Stepwise'!$E$2:$E$1137,0))</f>
        <v>0.81094527363184077</v>
      </c>
      <c r="E110" s="14">
        <f>INDEX('Transition Stepwise'!$J$2:$J$1137,MATCH(14&amp;"|"&amp;$A110&amp;"|"&amp;E$109,'Transition Stepwise'!$E$2:$E$1137,0))</f>
        <v>1.4925373134328358E-2</v>
      </c>
      <c r="F110" s="4">
        <f>ROUND(SUM(B110:E110),9)</f>
        <v>1</v>
      </c>
    </row>
    <row r="111" spans="1:6">
      <c r="A111" s="5" t="s">
        <v>71</v>
      </c>
      <c r="B111" s="14">
        <f>INDEX('Transition Stepwise'!$J$2:$J$1137,MATCH(14&amp;"|"&amp;$A111&amp;"|"&amp;B$109,'Transition Stepwise'!$E$2:$E$1137,0))</f>
        <v>0.4</v>
      </c>
      <c r="C111" s="14">
        <f>INDEX('Transition Stepwise'!$J$2:$J$1137,MATCH(14&amp;"|"&amp;$A111&amp;"|"&amp;C$109,'Transition Stepwise'!$E$2:$E$1137,0))</f>
        <v>0.2</v>
      </c>
      <c r="D111" s="14">
        <f>INDEX('Transition Stepwise'!$J$2:$J$1137,MATCH(14&amp;"|"&amp;$A111&amp;"|"&amp;D$109,'Transition Stepwise'!$E$2:$E$1137,0))</f>
        <v>0.2</v>
      </c>
      <c r="E111" s="14">
        <f>INDEX('Transition Stepwise'!$J$2:$J$1137,MATCH(14&amp;"|"&amp;$A111&amp;"|"&amp;E$109,'Transition Stepwise'!$E$2:$E$1137,0))</f>
        <v>0.2</v>
      </c>
      <c r="F111" s="4">
        <f>ROUND(SUM(B111:E111),9)</f>
        <v>1</v>
      </c>
    </row>
    <row r="112" spans="1:6">
      <c r="A112" s="5" t="s">
        <v>70</v>
      </c>
      <c r="B112" s="14">
        <f>INDEX('Transition Stepwise'!$J$2:$J$1137,MATCH(14&amp;"|"&amp;$A112&amp;"|"&amp;B$109,'Transition Stepwise'!$E$2:$E$1137,0))</f>
        <v>0.2</v>
      </c>
      <c r="C112" s="14">
        <f>INDEX('Transition Stepwise'!$J$2:$J$1137,MATCH(14&amp;"|"&amp;$A112&amp;"|"&amp;C$109,'Transition Stepwise'!$E$2:$E$1137,0))</f>
        <v>0.4</v>
      </c>
      <c r="D112" s="14">
        <f>INDEX('Transition Stepwise'!$J$2:$J$1137,MATCH(14&amp;"|"&amp;$A112&amp;"|"&amp;D$109,'Transition Stepwise'!$E$2:$E$1137,0))</f>
        <v>0.2</v>
      </c>
      <c r="E112" s="14">
        <f>INDEX('Transition Stepwise'!$J$2:$J$1137,MATCH(14&amp;"|"&amp;$A112&amp;"|"&amp;E$109,'Transition Stepwise'!$E$2:$E$1137,0))</f>
        <v>0.2</v>
      </c>
      <c r="F112" s="4">
        <f>ROUND(SUM(B112:E112),9)</f>
        <v>1</v>
      </c>
    </row>
    <row r="113" spans="1:6">
      <c r="A113" s="5" t="s">
        <v>72</v>
      </c>
      <c r="B113" s="14">
        <f>INDEX('Transition Stepwise'!$J$2:$J$1137,MATCH(14&amp;"|"&amp;$A113&amp;"|"&amp;B$109,'Transition Stepwise'!$E$2:$E$1137,0))</f>
        <v>0.25</v>
      </c>
      <c r="C113" s="14">
        <f>INDEX('Transition Stepwise'!$J$2:$J$1137,MATCH(14&amp;"|"&amp;$A113&amp;"|"&amp;C$109,'Transition Stepwise'!$E$2:$E$1137,0))</f>
        <v>0.25</v>
      </c>
      <c r="D113" s="14">
        <f>INDEX('Transition Stepwise'!$J$2:$J$1137,MATCH(14&amp;"|"&amp;$A113&amp;"|"&amp;D$109,'Transition Stepwise'!$E$2:$E$1137,0))</f>
        <v>0.25</v>
      </c>
      <c r="E113" s="14">
        <f>INDEX('Transition Stepwise'!$J$2:$J$1137,MATCH(14&amp;"|"&amp;$A113&amp;"|"&amp;E$109,'Transition Stepwise'!$E$2:$E$1137,0))</f>
        <v>0.25</v>
      </c>
      <c r="F113" s="4">
        <f>ROUND(SUM(B113:E113),9)</f>
        <v>1</v>
      </c>
    </row>
    <row r="114" spans="1:6">
      <c r="A114" s="4"/>
      <c r="B114" s="4"/>
      <c r="C114" s="4"/>
      <c r="D114" s="4"/>
      <c r="E114" s="4"/>
      <c r="F114" s="4"/>
    </row>
    <row r="115" spans="1:6">
      <c r="A115" s="4"/>
      <c r="B115" s="4"/>
      <c r="C115" s="4"/>
      <c r="D115" s="4"/>
      <c r="E115" s="4"/>
      <c r="F115" s="4"/>
    </row>
    <row r="116" spans="1:6">
      <c r="A116" s="5" t="s">
        <v>608</v>
      </c>
      <c r="B116" s="4"/>
      <c r="C116" s="4"/>
      <c r="D116" s="4"/>
      <c r="E116" s="4"/>
      <c r="F116" s="4"/>
    </row>
    <row r="117" spans="1:6">
      <c r="A117" s="9" t="s">
        <v>593</v>
      </c>
      <c r="B117" s="9" t="s">
        <v>73</v>
      </c>
      <c r="C117" s="9" t="s">
        <v>71</v>
      </c>
      <c r="D117" s="9" t="s">
        <v>70</v>
      </c>
      <c r="E117" s="9" t="s">
        <v>72</v>
      </c>
      <c r="F117" s="9" t="s">
        <v>666</v>
      </c>
    </row>
    <row r="118" spans="1:6">
      <c r="A118" s="5" t="s">
        <v>73</v>
      </c>
      <c r="B118" s="14">
        <f>INDEX('Transition Stepwise'!$J$2:$J$1137,MATCH(15&amp;"|"&amp;$A118&amp;"|"&amp;B$117,'Transition Stepwise'!$E$2:$E$1137,0))</f>
        <v>9.5238095238095233E-2</v>
      </c>
      <c r="C118" s="14">
        <f>INDEX('Transition Stepwise'!$J$2:$J$1137,MATCH(15&amp;"|"&amp;$A118&amp;"|"&amp;C$117,'Transition Stepwise'!$E$2:$E$1137,0))</f>
        <v>9.5238095238095233E-2</v>
      </c>
      <c r="D118" s="14">
        <f>INDEX('Transition Stepwise'!$J$2:$J$1137,MATCH(15&amp;"|"&amp;$A118&amp;"|"&amp;D$117,'Transition Stepwise'!$E$2:$E$1137,0))</f>
        <v>4.7619047619047616E-2</v>
      </c>
      <c r="E118" s="14">
        <f>INDEX('Transition Stepwise'!$J$2:$J$1137,MATCH(15&amp;"|"&amp;$A118&amp;"|"&amp;E$117,'Transition Stepwise'!$E$2:$E$1137,0))</f>
        <v>0.76190476190476186</v>
      </c>
      <c r="F118" s="4">
        <f>ROUND(SUM(B118:E118),9)</f>
        <v>1</v>
      </c>
    </row>
    <row r="119" spans="1:6">
      <c r="A119" s="5" t="s">
        <v>71</v>
      </c>
      <c r="B119" s="14">
        <f>INDEX('Transition Stepwise'!$J$2:$J$1137,MATCH(15&amp;"|"&amp;$A119&amp;"|"&amp;B$117,'Transition Stepwise'!$E$2:$E$1137,0))</f>
        <v>0.2</v>
      </c>
      <c r="C119" s="14">
        <f>INDEX('Transition Stepwise'!$J$2:$J$1137,MATCH(15&amp;"|"&amp;$A119&amp;"|"&amp;C$117,'Transition Stepwise'!$E$2:$E$1137,0))</f>
        <v>0.2</v>
      </c>
      <c r="D119" s="14">
        <f>INDEX('Transition Stepwise'!$J$2:$J$1137,MATCH(15&amp;"|"&amp;$A119&amp;"|"&amp;D$117,'Transition Stepwise'!$E$2:$E$1137,0))</f>
        <v>0.2</v>
      </c>
      <c r="E119" s="14">
        <f>INDEX('Transition Stepwise'!$J$2:$J$1137,MATCH(15&amp;"|"&amp;$A119&amp;"|"&amp;E$117,'Transition Stepwise'!$E$2:$E$1137,0))</f>
        <v>0.4</v>
      </c>
      <c r="F119" s="4">
        <f>ROUND(SUM(B119:E119),9)</f>
        <v>1</v>
      </c>
    </row>
    <row r="120" spans="1:6">
      <c r="A120" s="5" t="s">
        <v>70</v>
      </c>
      <c r="B120" s="14">
        <f>INDEX('Transition Stepwise'!$J$2:$J$1137,MATCH(15&amp;"|"&amp;$A120&amp;"|"&amp;B$117,'Transition Stepwise'!$E$2:$E$1137,0))</f>
        <v>2.5423728813559324E-2</v>
      </c>
      <c r="C120" s="14">
        <f>INDEX('Transition Stepwise'!$J$2:$J$1137,MATCH(15&amp;"|"&amp;$A120&amp;"|"&amp;C$117,'Transition Stepwise'!$E$2:$E$1137,0))</f>
        <v>0.39830508474576271</v>
      </c>
      <c r="D120" s="14">
        <f>INDEX('Transition Stepwise'!$J$2:$J$1137,MATCH(15&amp;"|"&amp;$A120&amp;"|"&amp;D$117,'Transition Stepwise'!$E$2:$E$1137,0))</f>
        <v>3.3898305084745763E-2</v>
      </c>
      <c r="E120" s="14">
        <f>INDEX('Transition Stepwise'!$J$2:$J$1137,MATCH(15&amp;"|"&amp;$A120&amp;"|"&amp;E$117,'Transition Stepwise'!$E$2:$E$1137,0))</f>
        <v>0.5423728813559322</v>
      </c>
      <c r="F120" s="4">
        <f>ROUND(SUM(B120:E120),9)</f>
        <v>1</v>
      </c>
    </row>
    <row r="121" spans="1:6">
      <c r="A121" s="5" t="s">
        <v>72</v>
      </c>
      <c r="B121" s="14">
        <f>INDEX('Transition Stepwise'!$J$2:$J$1137,MATCH(15&amp;"|"&amp;$A121&amp;"|"&amp;B$117,'Transition Stepwise'!$E$2:$E$1137,0))</f>
        <v>0.2</v>
      </c>
      <c r="C121" s="14">
        <f>INDEX('Transition Stepwise'!$J$2:$J$1137,MATCH(15&amp;"|"&amp;$A121&amp;"|"&amp;C$117,'Transition Stepwise'!$E$2:$E$1137,0))</f>
        <v>0.4</v>
      </c>
      <c r="D121" s="14">
        <f>INDEX('Transition Stepwise'!$J$2:$J$1137,MATCH(15&amp;"|"&amp;$A121&amp;"|"&amp;D$117,'Transition Stepwise'!$E$2:$E$1137,0))</f>
        <v>0.2</v>
      </c>
      <c r="E121" s="14">
        <f>INDEX('Transition Stepwise'!$J$2:$J$1137,MATCH(15&amp;"|"&amp;$A121&amp;"|"&amp;E$117,'Transition Stepwise'!$E$2:$E$1137,0))</f>
        <v>0.2</v>
      </c>
      <c r="F121" s="4">
        <f>ROUND(SUM(B121:E121),9)</f>
        <v>1</v>
      </c>
    </row>
    <row r="122" spans="1:6">
      <c r="A122" s="4"/>
      <c r="B122" s="4"/>
      <c r="C122" s="4"/>
      <c r="D122" s="4"/>
      <c r="E122" s="4"/>
      <c r="F122" s="4"/>
    </row>
    <row r="123" spans="1:6">
      <c r="A123" s="4"/>
      <c r="B123" s="4"/>
      <c r="C123" s="4"/>
      <c r="D123" s="4"/>
      <c r="E123" s="4"/>
      <c r="F123" s="4"/>
    </row>
    <row r="124" spans="1:6">
      <c r="A124" s="5" t="s">
        <v>609</v>
      </c>
      <c r="B124" s="4"/>
      <c r="C124" s="4"/>
      <c r="D124" s="4"/>
      <c r="E124" s="4"/>
      <c r="F124" s="4"/>
    </row>
    <row r="125" spans="1:6">
      <c r="A125" s="9" t="s">
        <v>593</v>
      </c>
      <c r="B125" s="9" t="s">
        <v>73</v>
      </c>
      <c r="C125" s="9" t="s">
        <v>71</v>
      </c>
      <c r="D125" s="9" t="s">
        <v>70</v>
      </c>
      <c r="E125" s="9" t="s">
        <v>72</v>
      </c>
      <c r="F125" s="9" t="s">
        <v>666</v>
      </c>
    </row>
    <row r="126" spans="1:6">
      <c r="A126" s="5" t="s">
        <v>73</v>
      </c>
      <c r="B126" s="14">
        <f>INDEX('Transition Stepwise'!$J$2:$J$1137,MATCH(16&amp;"|"&amp;$A126&amp;"|"&amp;B$125,'Transition Stepwise'!$E$2:$E$1137,0))</f>
        <v>0.14285714285714285</v>
      </c>
      <c r="C126" s="14">
        <f>INDEX('Transition Stepwise'!$J$2:$J$1137,MATCH(16&amp;"|"&amp;$A126&amp;"|"&amp;C$125,'Transition Stepwise'!$E$2:$E$1137,0))</f>
        <v>0.2857142857142857</v>
      </c>
      <c r="D126" s="14">
        <f>INDEX('Transition Stepwise'!$J$2:$J$1137,MATCH(16&amp;"|"&amp;$A126&amp;"|"&amp;D$125,'Transition Stepwise'!$E$2:$E$1137,0))</f>
        <v>0.14285714285714285</v>
      </c>
      <c r="E126" s="14">
        <f>INDEX('Transition Stepwise'!$J$2:$J$1137,MATCH(16&amp;"|"&amp;$A126&amp;"|"&amp;E$125,'Transition Stepwise'!$E$2:$E$1137,0))</f>
        <v>0.42857142857142855</v>
      </c>
      <c r="F126" s="4">
        <f>ROUND(SUM(B126:E126),9)</f>
        <v>1</v>
      </c>
    </row>
    <row r="127" spans="1:6">
      <c r="A127" s="5" t="s">
        <v>71</v>
      </c>
      <c r="B127" s="14">
        <f>INDEX('Transition Stepwise'!$J$2:$J$1137,MATCH(16&amp;"|"&amp;$A127&amp;"|"&amp;B$125,'Transition Stepwise'!$E$2:$E$1137,0))</f>
        <v>3.9215686274509803E-2</v>
      </c>
      <c r="C127" s="14">
        <f>INDEX('Transition Stepwise'!$J$2:$J$1137,MATCH(16&amp;"|"&amp;$A127&amp;"|"&amp;C$125,'Transition Stepwise'!$E$2:$E$1137,0))</f>
        <v>0.45098039215686275</v>
      </c>
      <c r="D127" s="14">
        <f>INDEX('Transition Stepwise'!$J$2:$J$1137,MATCH(16&amp;"|"&amp;$A127&amp;"|"&amp;D$125,'Transition Stepwise'!$E$2:$E$1137,0))</f>
        <v>1.9607843137254902E-2</v>
      </c>
      <c r="E127" s="14">
        <f>INDEX('Transition Stepwise'!$J$2:$J$1137,MATCH(16&amp;"|"&amp;$A127&amp;"|"&amp;E$125,'Transition Stepwise'!$E$2:$E$1137,0))</f>
        <v>0.49019607843137253</v>
      </c>
      <c r="F127" s="4">
        <f>ROUND(SUM(B127:E127),9)</f>
        <v>1</v>
      </c>
    </row>
    <row r="128" spans="1:6">
      <c r="A128" s="5" t="s">
        <v>70</v>
      </c>
      <c r="B128" s="14">
        <f>INDEX('Transition Stepwise'!$J$2:$J$1137,MATCH(16&amp;"|"&amp;$A128&amp;"|"&amp;B$125,'Transition Stepwise'!$E$2:$E$1137,0))</f>
        <v>0.14285714285714285</v>
      </c>
      <c r="C128" s="14">
        <f>INDEX('Transition Stepwise'!$J$2:$J$1137,MATCH(16&amp;"|"&amp;$A128&amp;"|"&amp;C$125,'Transition Stepwise'!$E$2:$E$1137,0))</f>
        <v>0.14285714285714285</v>
      </c>
      <c r="D128" s="14">
        <f>INDEX('Transition Stepwise'!$J$2:$J$1137,MATCH(16&amp;"|"&amp;$A128&amp;"|"&amp;D$125,'Transition Stepwise'!$E$2:$E$1137,0))</f>
        <v>0.2857142857142857</v>
      </c>
      <c r="E128" s="14">
        <f>INDEX('Transition Stepwise'!$J$2:$J$1137,MATCH(16&amp;"|"&amp;$A128&amp;"|"&amp;E$125,'Transition Stepwise'!$E$2:$E$1137,0))</f>
        <v>0.42857142857142855</v>
      </c>
      <c r="F128" s="4">
        <f>ROUND(SUM(B128:E128),9)</f>
        <v>1</v>
      </c>
    </row>
    <row r="129" spans="1:6">
      <c r="A129" s="5" t="s">
        <v>72</v>
      </c>
      <c r="B129" s="14">
        <f>INDEX('Transition Stepwise'!$J$2:$J$1137,MATCH(16&amp;"|"&amp;$A129&amp;"|"&amp;B$125,'Transition Stepwise'!$E$2:$E$1137,0))</f>
        <v>9.7560975609756101E-2</v>
      </c>
      <c r="C129" s="14">
        <f>INDEX('Transition Stepwise'!$J$2:$J$1137,MATCH(16&amp;"|"&amp;$A129&amp;"|"&amp;C$125,'Transition Stepwise'!$E$2:$E$1137,0))</f>
        <v>0.26829268292682928</v>
      </c>
      <c r="D129" s="14">
        <f>INDEX('Transition Stepwise'!$J$2:$J$1137,MATCH(16&amp;"|"&amp;$A129&amp;"|"&amp;D$125,'Transition Stepwise'!$E$2:$E$1137,0))</f>
        <v>2.4390243902439025E-2</v>
      </c>
      <c r="E129" s="14">
        <f>INDEX('Transition Stepwise'!$J$2:$J$1137,MATCH(16&amp;"|"&amp;$A129&amp;"|"&amp;E$125,'Transition Stepwise'!$E$2:$E$1137,0))</f>
        <v>0.6097560975609756</v>
      </c>
      <c r="F129" s="4">
        <f>ROUND(SUM(B129:E129),9)</f>
        <v>1</v>
      </c>
    </row>
    <row r="130" spans="1:6">
      <c r="A130" s="4"/>
      <c r="B130" s="4"/>
      <c r="C130" s="4"/>
      <c r="D130" s="4"/>
      <c r="E130" s="4"/>
      <c r="F130" s="4"/>
    </row>
    <row r="131" spans="1:6">
      <c r="A131" s="4"/>
      <c r="B131" s="4"/>
      <c r="C131" s="4"/>
      <c r="D131" s="4"/>
      <c r="E131" s="4"/>
      <c r="F131" s="4"/>
    </row>
    <row r="132" spans="1:6">
      <c r="A132" s="5" t="s">
        <v>610</v>
      </c>
      <c r="B132" s="4"/>
      <c r="C132" s="4"/>
      <c r="D132" s="4"/>
      <c r="E132" s="4"/>
      <c r="F132" s="4"/>
    </row>
    <row r="133" spans="1:6">
      <c r="A133" s="9" t="s">
        <v>593</v>
      </c>
      <c r="B133" s="9" t="s">
        <v>73</v>
      </c>
      <c r="C133" s="9" t="s">
        <v>71</v>
      </c>
      <c r="D133" s="9" t="s">
        <v>70</v>
      </c>
      <c r="E133" s="9" t="s">
        <v>72</v>
      </c>
      <c r="F133" s="9" t="s">
        <v>666</v>
      </c>
    </row>
    <row r="134" spans="1:6">
      <c r="A134" s="5" t="s">
        <v>73</v>
      </c>
      <c r="B134" s="14">
        <f>INDEX('Transition Stepwise'!$J$2:$J$1137,MATCH(17&amp;"|"&amp;$A134&amp;"|"&amp;B$133,'Transition Stepwise'!$E$2:$E$1137,0))</f>
        <v>0.125</v>
      </c>
      <c r="C134" s="14">
        <f>INDEX('Transition Stepwise'!$J$2:$J$1137,MATCH(17&amp;"|"&amp;$A134&amp;"|"&amp;C$133,'Transition Stepwise'!$E$2:$E$1137,0))</f>
        <v>6.25E-2</v>
      </c>
      <c r="D134" s="14">
        <f>INDEX('Transition Stepwise'!$J$2:$J$1137,MATCH(17&amp;"|"&amp;$A134&amp;"|"&amp;D$133,'Transition Stepwise'!$E$2:$E$1137,0))</f>
        <v>0.75</v>
      </c>
      <c r="E134" s="14">
        <f>INDEX('Transition Stepwise'!$J$2:$J$1137,MATCH(17&amp;"|"&amp;$A134&amp;"|"&amp;E$133,'Transition Stepwise'!$E$2:$E$1137,0))</f>
        <v>6.25E-2</v>
      </c>
      <c r="F134" s="4">
        <f>ROUND(SUM(B134:E134),9)</f>
        <v>1</v>
      </c>
    </row>
    <row r="135" spans="1:6">
      <c r="A135" s="5" t="s">
        <v>71</v>
      </c>
      <c r="B135" s="14">
        <f>INDEX('Transition Stepwise'!$J$2:$J$1137,MATCH(17&amp;"|"&amp;$A135&amp;"|"&amp;B$133,'Transition Stepwise'!$E$2:$E$1137,0))</f>
        <v>1.4925373134328358E-2</v>
      </c>
      <c r="C135" s="14">
        <f>INDEX('Transition Stepwise'!$J$2:$J$1137,MATCH(17&amp;"|"&amp;$A135&amp;"|"&amp;C$133,'Transition Stepwise'!$E$2:$E$1137,0))</f>
        <v>1.4925373134328358E-2</v>
      </c>
      <c r="D135" s="14">
        <f>INDEX('Transition Stepwise'!$J$2:$J$1137,MATCH(17&amp;"|"&amp;$A135&amp;"|"&amp;D$133,'Transition Stepwise'!$E$2:$E$1137,0))</f>
        <v>0.95522388059701491</v>
      </c>
      <c r="E135" s="14">
        <f>INDEX('Transition Stepwise'!$J$2:$J$1137,MATCH(17&amp;"|"&amp;$A135&amp;"|"&amp;E$133,'Transition Stepwise'!$E$2:$E$1137,0))</f>
        <v>1.4925373134328358E-2</v>
      </c>
      <c r="F135" s="4">
        <f>ROUND(SUM(B135:E135),9)</f>
        <v>1</v>
      </c>
    </row>
    <row r="136" spans="1:6">
      <c r="A136" s="5" t="s">
        <v>70</v>
      </c>
      <c r="B136" s="14">
        <f>INDEX('Transition Stepwise'!$J$2:$J$1137,MATCH(17&amp;"|"&amp;$A136&amp;"|"&amp;B$133,'Transition Stepwise'!$E$2:$E$1137,0))</f>
        <v>8.3333333333333329E-2</v>
      </c>
      <c r="C136" s="14">
        <f>INDEX('Transition Stepwise'!$J$2:$J$1137,MATCH(17&amp;"|"&amp;$A136&amp;"|"&amp;C$133,'Transition Stepwise'!$E$2:$E$1137,0))</f>
        <v>8.3333333333333329E-2</v>
      </c>
      <c r="D136" s="14">
        <f>INDEX('Transition Stepwise'!$J$2:$J$1137,MATCH(17&amp;"|"&amp;$A136&amp;"|"&amp;D$133,'Transition Stepwise'!$E$2:$E$1137,0))</f>
        <v>0.75</v>
      </c>
      <c r="E136" s="14">
        <f>INDEX('Transition Stepwise'!$J$2:$J$1137,MATCH(17&amp;"|"&amp;$A136&amp;"|"&amp;E$133,'Transition Stepwise'!$E$2:$E$1137,0))</f>
        <v>8.3333333333333329E-2</v>
      </c>
      <c r="F136" s="4">
        <f>ROUND(SUM(B136:E136),9)</f>
        <v>1</v>
      </c>
    </row>
    <row r="137" spans="1:6">
      <c r="A137" s="5" t="s">
        <v>72</v>
      </c>
      <c r="B137" s="14">
        <f>INDEX('Transition Stepwise'!$J$2:$J$1137,MATCH(17&amp;"|"&amp;$A137&amp;"|"&amp;B$133,'Transition Stepwise'!$E$2:$E$1137,0))</f>
        <v>8.4745762711864406E-3</v>
      </c>
      <c r="C137" s="14">
        <f>INDEX('Transition Stepwise'!$J$2:$J$1137,MATCH(17&amp;"|"&amp;$A137&amp;"|"&amp;C$133,'Transition Stepwise'!$E$2:$E$1137,0))</f>
        <v>8.4745762711864406E-3</v>
      </c>
      <c r="D137" s="14">
        <f>INDEX('Transition Stepwise'!$J$2:$J$1137,MATCH(17&amp;"|"&amp;$A137&amp;"|"&amp;D$133,'Transition Stepwise'!$E$2:$E$1137,0))</f>
        <v>0.97457627118644063</v>
      </c>
      <c r="E137" s="14">
        <f>INDEX('Transition Stepwise'!$J$2:$J$1137,MATCH(17&amp;"|"&amp;$A137&amp;"|"&amp;E$133,'Transition Stepwise'!$E$2:$E$1137,0))</f>
        <v>8.4745762711864406E-3</v>
      </c>
      <c r="F137" s="4">
        <f>ROUND(SUM(B137:E137),9)</f>
        <v>1</v>
      </c>
    </row>
    <row r="138" spans="1:6">
      <c r="A138" s="4"/>
      <c r="B138" s="4"/>
      <c r="C138" s="4"/>
      <c r="D138" s="4"/>
      <c r="E138" s="4"/>
      <c r="F138" s="4"/>
    </row>
    <row r="139" spans="1:6">
      <c r="A139" s="4"/>
      <c r="B139" s="4"/>
      <c r="C139" s="4"/>
      <c r="D139" s="4"/>
      <c r="E139" s="4"/>
      <c r="F139" s="4"/>
    </row>
    <row r="140" spans="1:6">
      <c r="A140" s="5" t="s">
        <v>611</v>
      </c>
      <c r="B140" s="4"/>
      <c r="C140" s="4"/>
      <c r="D140" s="4"/>
      <c r="E140" s="4"/>
      <c r="F140" s="4"/>
    </row>
    <row r="141" spans="1:6">
      <c r="A141" s="9" t="s">
        <v>593</v>
      </c>
      <c r="B141" s="9" t="s">
        <v>73</v>
      </c>
      <c r="C141" s="9" t="s">
        <v>71</v>
      </c>
      <c r="D141" s="9" t="s">
        <v>70</v>
      </c>
      <c r="E141" s="9" t="s">
        <v>72</v>
      </c>
      <c r="F141" s="9" t="s">
        <v>666</v>
      </c>
    </row>
    <row r="142" spans="1:6">
      <c r="A142" s="5" t="s">
        <v>73</v>
      </c>
      <c r="B142" s="14">
        <f>INDEX('Transition Stepwise'!$J$2:$J$1137,MATCH(18&amp;"|"&amp;$A142&amp;"|"&amp;B$141,'Transition Stepwise'!$E$2:$E$1137,0))</f>
        <v>0.4</v>
      </c>
      <c r="C142" s="14">
        <f>INDEX('Transition Stepwise'!$J$2:$J$1137,MATCH(18&amp;"|"&amp;$A142&amp;"|"&amp;C$141,'Transition Stepwise'!$E$2:$E$1137,0))</f>
        <v>0.2</v>
      </c>
      <c r="D142" s="14">
        <f>INDEX('Transition Stepwise'!$J$2:$J$1137,MATCH(18&amp;"|"&amp;$A142&amp;"|"&amp;D$141,'Transition Stepwise'!$E$2:$E$1137,0))</f>
        <v>0.2</v>
      </c>
      <c r="E142" s="14">
        <f>INDEX('Transition Stepwise'!$J$2:$J$1137,MATCH(18&amp;"|"&amp;$A142&amp;"|"&amp;E$141,'Transition Stepwise'!$E$2:$E$1137,0))</f>
        <v>0.2</v>
      </c>
      <c r="F142" s="4">
        <f>ROUND(SUM(B142:E142),9)</f>
        <v>1</v>
      </c>
    </row>
    <row r="143" spans="1:6">
      <c r="A143" s="5" t="s">
        <v>71</v>
      </c>
      <c r="B143" s="14">
        <f>INDEX('Transition Stepwise'!$J$2:$J$1137,MATCH(18&amp;"|"&amp;$A143&amp;"|"&amp;B$141,'Transition Stepwise'!$E$2:$E$1137,0))</f>
        <v>0.25</v>
      </c>
      <c r="C143" s="14">
        <f>INDEX('Transition Stepwise'!$J$2:$J$1137,MATCH(18&amp;"|"&amp;$A143&amp;"|"&amp;C$141,'Transition Stepwise'!$E$2:$E$1137,0))</f>
        <v>0.25</v>
      </c>
      <c r="D143" s="14">
        <f>INDEX('Transition Stepwise'!$J$2:$J$1137,MATCH(18&amp;"|"&amp;$A143&amp;"|"&amp;D$141,'Transition Stepwise'!$E$2:$E$1137,0))</f>
        <v>0.25</v>
      </c>
      <c r="E143" s="14">
        <f>INDEX('Transition Stepwise'!$J$2:$J$1137,MATCH(18&amp;"|"&amp;$A143&amp;"|"&amp;E$141,'Transition Stepwise'!$E$2:$E$1137,0))</f>
        <v>0.25</v>
      </c>
      <c r="F143" s="4">
        <f>ROUND(SUM(B143:E143),9)</f>
        <v>1</v>
      </c>
    </row>
    <row r="144" spans="1:6">
      <c r="A144" s="5" t="s">
        <v>70</v>
      </c>
      <c r="B144" s="14">
        <f>INDEX('Transition Stepwise'!$J$2:$J$1137,MATCH(18&amp;"|"&amp;$A144&amp;"|"&amp;B$141,'Transition Stepwise'!$E$2:$E$1137,0))</f>
        <v>4.9261083743842365E-3</v>
      </c>
      <c r="C144" s="14">
        <f>INDEX('Transition Stepwise'!$J$2:$J$1137,MATCH(18&amp;"|"&amp;$A144&amp;"|"&amp;C$141,'Transition Stepwise'!$E$2:$E$1137,0))</f>
        <v>4.9261083743842365E-3</v>
      </c>
      <c r="D144" s="14">
        <f>INDEX('Transition Stepwise'!$J$2:$J$1137,MATCH(18&amp;"|"&amp;$A144&amp;"|"&amp;D$141,'Transition Stepwise'!$E$2:$E$1137,0))</f>
        <v>0.97536945812807885</v>
      </c>
      <c r="E144" s="14">
        <f>INDEX('Transition Stepwise'!$J$2:$J$1137,MATCH(18&amp;"|"&amp;$A144&amp;"|"&amp;E$141,'Transition Stepwise'!$E$2:$E$1137,0))</f>
        <v>1.4778325123152709E-2</v>
      </c>
      <c r="F144" s="4">
        <f>ROUND(SUM(B144:E144),9)</f>
        <v>1</v>
      </c>
    </row>
    <row r="145" spans="1:6">
      <c r="A145" s="5" t="s">
        <v>72</v>
      </c>
      <c r="B145" s="14">
        <f>INDEX('Transition Stepwise'!$J$2:$J$1137,MATCH(18&amp;"|"&amp;$A145&amp;"|"&amp;B$141,'Transition Stepwise'!$E$2:$E$1137,0))</f>
        <v>0.25</v>
      </c>
      <c r="C145" s="14">
        <f>INDEX('Transition Stepwise'!$J$2:$J$1137,MATCH(18&amp;"|"&amp;$A145&amp;"|"&amp;C$141,'Transition Stepwise'!$E$2:$E$1137,0))</f>
        <v>0.25</v>
      </c>
      <c r="D145" s="14">
        <f>INDEX('Transition Stepwise'!$J$2:$J$1137,MATCH(18&amp;"|"&amp;$A145&amp;"|"&amp;D$141,'Transition Stepwise'!$E$2:$E$1137,0))</f>
        <v>0.25</v>
      </c>
      <c r="E145" s="14">
        <f>INDEX('Transition Stepwise'!$J$2:$J$1137,MATCH(18&amp;"|"&amp;$A145&amp;"|"&amp;E$141,'Transition Stepwise'!$E$2:$E$1137,0))</f>
        <v>0.25</v>
      </c>
      <c r="F145" s="4">
        <f>ROUND(SUM(B145:E145),9)</f>
        <v>1</v>
      </c>
    </row>
    <row r="146" spans="1:6">
      <c r="A146" s="4"/>
      <c r="B146" s="4"/>
      <c r="C146" s="4"/>
      <c r="D146" s="4"/>
      <c r="E146" s="4"/>
      <c r="F146" s="4"/>
    </row>
    <row r="147" spans="1:6">
      <c r="A147" s="4"/>
      <c r="B147" s="4"/>
      <c r="C147" s="4"/>
      <c r="D147" s="4"/>
      <c r="E147" s="4"/>
      <c r="F147" s="4"/>
    </row>
    <row r="148" spans="1:6">
      <c r="A148" s="5" t="s">
        <v>612</v>
      </c>
      <c r="B148" s="4"/>
      <c r="C148" s="4"/>
      <c r="D148" s="4"/>
      <c r="E148" s="4"/>
      <c r="F148" s="4"/>
    </row>
    <row r="149" spans="1:6">
      <c r="A149" s="9" t="s">
        <v>593</v>
      </c>
      <c r="B149" s="9" t="s">
        <v>73</v>
      </c>
      <c r="C149" s="9" t="s">
        <v>71</v>
      </c>
      <c r="D149" s="9" t="s">
        <v>70</v>
      </c>
      <c r="E149" s="9" t="s">
        <v>72</v>
      </c>
      <c r="F149" s="9" t="s">
        <v>666</v>
      </c>
    </row>
    <row r="150" spans="1:6">
      <c r="A150" s="5" t="s">
        <v>73</v>
      </c>
      <c r="B150" s="14">
        <f>INDEX('Transition Stepwise'!$J$2:$J$1137,MATCH(19&amp;"|"&amp;$A150&amp;"|"&amp;B$149,'Transition Stepwise'!$E$2:$E$1137,0))</f>
        <v>0.2</v>
      </c>
      <c r="C150" s="14">
        <f>INDEX('Transition Stepwise'!$J$2:$J$1137,MATCH(19&amp;"|"&amp;$A150&amp;"|"&amp;C$149,'Transition Stepwise'!$E$2:$E$1137,0))</f>
        <v>0.2</v>
      </c>
      <c r="D150" s="14">
        <f>INDEX('Transition Stepwise'!$J$2:$J$1137,MATCH(19&amp;"|"&amp;$A150&amp;"|"&amp;D$149,'Transition Stepwise'!$E$2:$E$1137,0))</f>
        <v>0.2</v>
      </c>
      <c r="E150" s="14">
        <f>INDEX('Transition Stepwise'!$J$2:$J$1137,MATCH(19&amp;"|"&amp;$A150&amp;"|"&amp;E$149,'Transition Stepwise'!$E$2:$E$1137,0))</f>
        <v>0.4</v>
      </c>
      <c r="F150" s="4">
        <f>ROUND(SUM(B150:E150),9)</f>
        <v>1</v>
      </c>
    </row>
    <row r="151" spans="1:6">
      <c r="A151" s="5" t="s">
        <v>71</v>
      </c>
      <c r="B151" s="14">
        <f>INDEX('Transition Stepwise'!$J$2:$J$1137,MATCH(19&amp;"|"&amp;$A151&amp;"|"&amp;B$149,'Transition Stepwise'!$E$2:$E$1137,0))</f>
        <v>0.25</v>
      </c>
      <c r="C151" s="14">
        <f>INDEX('Transition Stepwise'!$J$2:$J$1137,MATCH(19&amp;"|"&amp;$A151&amp;"|"&amp;C$149,'Transition Stepwise'!$E$2:$E$1137,0))</f>
        <v>0.25</v>
      </c>
      <c r="D151" s="14">
        <f>INDEX('Transition Stepwise'!$J$2:$J$1137,MATCH(19&amp;"|"&amp;$A151&amp;"|"&amp;D$149,'Transition Stepwise'!$E$2:$E$1137,0))</f>
        <v>0.25</v>
      </c>
      <c r="E151" s="14">
        <f>INDEX('Transition Stepwise'!$J$2:$J$1137,MATCH(19&amp;"|"&amp;$A151&amp;"|"&amp;E$149,'Transition Stepwise'!$E$2:$E$1137,0))</f>
        <v>0.25</v>
      </c>
      <c r="F151" s="4">
        <f>ROUND(SUM(B151:E151),9)</f>
        <v>1</v>
      </c>
    </row>
    <row r="152" spans="1:6">
      <c r="A152" s="5" t="s">
        <v>70</v>
      </c>
      <c r="B152" s="14">
        <f>INDEX('Transition Stepwise'!$J$2:$J$1137,MATCH(19&amp;"|"&amp;$A152&amp;"|"&amp;B$149,'Transition Stepwise'!$E$2:$E$1137,0))</f>
        <v>8.9552238805970144E-2</v>
      </c>
      <c r="C152" s="14">
        <f>INDEX('Transition Stepwise'!$J$2:$J$1137,MATCH(19&amp;"|"&amp;$A152&amp;"|"&amp;C$149,'Transition Stepwise'!$E$2:$E$1137,0))</f>
        <v>0.22885572139303484</v>
      </c>
      <c r="D152" s="14">
        <f>INDEX('Transition Stepwise'!$J$2:$J$1137,MATCH(19&amp;"|"&amp;$A152&amp;"|"&amp;D$149,'Transition Stepwise'!$E$2:$E$1137,0))</f>
        <v>9.4527363184079602E-2</v>
      </c>
      <c r="E152" s="14">
        <f>INDEX('Transition Stepwise'!$J$2:$J$1137,MATCH(19&amp;"|"&amp;$A152&amp;"|"&amp;E$149,'Transition Stepwise'!$E$2:$E$1137,0))</f>
        <v>0.58706467661691542</v>
      </c>
      <c r="F152" s="4">
        <f>ROUND(SUM(B152:E152),9)</f>
        <v>1</v>
      </c>
    </row>
    <row r="153" spans="1:6">
      <c r="A153" s="5" t="s">
        <v>72</v>
      </c>
      <c r="B153" s="14">
        <f>INDEX('Transition Stepwise'!$J$2:$J$1137,MATCH(19&amp;"|"&amp;$A153&amp;"|"&amp;B$149,'Transition Stepwise'!$E$2:$E$1137,0))</f>
        <v>0.2</v>
      </c>
      <c r="C153" s="14">
        <f>INDEX('Transition Stepwise'!$J$2:$J$1137,MATCH(19&amp;"|"&amp;$A153&amp;"|"&amp;C$149,'Transition Stepwise'!$E$2:$E$1137,0))</f>
        <v>0.2</v>
      </c>
      <c r="D153" s="14">
        <f>INDEX('Transition Stepwise'!$J$2:$J$1137,MATCH(19&amp;"|"&amp;$A153&amp;"|"&amp;D$149,'Transition Stepwise'!$E$2:$E$1137,0))</f>
        <v>0.2</v>
      </c>
      <c r="E153" s="14">
        <f>INDEX('Transition Stepwise'!$J$2:$J$1137,MATCH(19&amp;"|"&amp;$A153&amp;"|"&amp;E$149,'Transition Stepwise'!$E$2:$E$1137,0))</f>
        <v>0.4</v>
      </c>
      <c r="F153" s="4">
        <f>ROUND(SUM(B153:E153),9)</f>
        <v>1</v>
      </c>
    </row>
    <row r="154" spans="1:6">
      <c r="A154" s="4"/>
      <c r="B154" s="4"/>
      <c r="C154" s="4"/>
      <c r="D154" s="4"/>
      <c r="E154" s="4"/>
      <c r="F154" s="4"/>
    </row>
    <row r="155" spans="1:6">
      <c r="A155" s="4"/>
      <c r="B155" s="4"/>
      <c r="C155" s="4"/>
      <c r="D155" s="4"/>
      <c r="E155" s="4"/>
      <c r="F155" s="4"/>
    </row>
    <row r="156" spans="1:6">
      <c r="A156" s="5" t="s">
        <v>613</v>
      </c>
      <c r="B156" s="4"/>
      <c r="C156" s="4"/>
      <c r="D156" s="4"/>
      <c r="E156" s="4"/>
      <c r="F156" s="4"/>
    </row>
    <row r="157" spans="1:6">
      <c r="A157" s="9" t="s">
        <v>593</v>
      </c>
      <c r="B157" s="9" t="s">
        <v>73</v>
      </c>
      <c r="C157" s="9" t="s">
        <v>71</v>
      </c>
      <c r="D157" s="9" t="s">
        <v>70</v>
      </c>
      <c r="E157" s="9" t="s">
        <v>72</v>
      </c>
      <c r="F157" s="9" t="s">
        <v>666</v>
      </c>
    </row>
    <row r="158" spans="1:6">
      <c r="A158" s="5" t="s">
        <v>73</v>
      </c>
      <c r="B158" s="14">
        <f>INDEX('Transition Stepwise'!$J$2:$J$1137,MATCH(20&amp;"|"&amp;$A158&amp;"|"&amp;B$157,'Transition Stepwise'!$E$2:$E$1137,0))</f>
        <v>0.80952380952380953</v>
      </c>
      <c r="C158" s="14">
        <f>INDEX('Transition Stepwise'!$J$2:$J$1137,MATCH(20&amp;"|"&amp;$A158&amp;"|"&amp;C$157,'Transition Stepwise'!$E$2:$E$1137,0))</f>
        <v>4.7619047619047616E-2</v>
      </c>
      <c r="D158" s="14">
        <f>INDEX('Transition Stepwise'!$J$2:$J$1137,MATCH(20&amp;"|"&amp;$A158&amp;"|"&amp;D$157,'Transition Stepwise'!$E$2:$E$1137,0))</f>
        <v>4.7619047619047616E-2</v>
      </c>
      <c r="E158" s="14">
        <f>INDEX('Transition Stepwise'!$J$2:$J$1137,MATCH(20&amp;"|"&amp;$A158&amp;"|"&amp;E$157,'Transition Stepwise'!$E$2:$E$1137,0))</f>
        <v>9.5238095238095233E-2</v>
      </c>
      <c r="F158" s="4">
        <f>ROUND(SUM(B158:E158),9)</f>
        <v>1</v>
      </c>
    </row>
    <row r="159" spans="1:6">
      <c r="A159" s="5" t="s">
        <v>71</v>
      </c>
      <c r="B159" s="14">
        <f>INDEX('Transition Stepwise'!$J$2:$J$1137,MATCH(20&amp;"|"&amp;$A159&amp;"|"&amp;B$157,'Transition Stepwise'!$E$2:$E$1137,0))</f>
        <v>0.7142857142857143</v>
      </c>
      <c r="C159" s="14">
        <f>INDEX('Transition Stepwise'!$J$2:$J$1137,MATCH(20&amp;"|"&amp;$A159&amp;"|"&amp;C$157,'Transition Stepwise'!$E$2:$E$1137,0))</f>
        <v>8.1632653061224483E-2</v>
      </c>
      <c r="D159" s="14">
        <f>INDEX('Transition Stepwise'!$J$2:$J$1137,MATCH(20&amp;"|"&amp;$A159&amp;"|"&amp;D$157,'Transition Stepwise'!$E$2:$E$1137,0))</f>
        <v>0.10204081632653061</v>
      </c>
      <c r="E159" s="14">
        <f>INDEX('Transition Stepwise'!$J$2:$J$1137,MATCH(20&amp;"|"&amp;$A159&amp;"|"&amp;E$157,'Transition Stepwise'!$E$2:$E$1137,0))</f>
        <v>0.10204081632653061</v>
      </c>
      <c r="F159" s="4">
        <f>ROUND(SUM(B159:E159),9)</f>
        <v>1</v>
      </c>
    </row>
    <row r="160" spans="1:6">
      <c r="A160" s="5" t="s">
        <v>70</v>
      </c>
      <c r="B160" s="14">
        <f>INDEX('Transition Stepwise'!$J$2:$J$1137,MATCH(20&amp;"|"&amp;$A160&amp;"|"&amp;B$157,'Transition Stepwise'!$E$2:$E$1137,0))</f>
        <v>0.86363636363636365</v>
      </c>
      <c r="C160" s="14">
        <f>INDEX('Transition Stepwise'!$J$2:$J$1137,MATCH(20&amp;"|"&amp;$A160&amp;"|"&amp;C$157,'Transition Stepwise'!$E$2:$E$1137,0))</f>
        <v>4.5454545454545456E-2</v>
      </c>
      <c r="D160" s="14">
        <f>INDEX('Transition Stepwise'!$J$2:$J$1137,MATCH(20&amp;"|"&amp;$A160&amp;"|"&amp;D$157,'Transition Stepwise'!$E$2:$E$1137,0))</f>
        <v>4.5454545454545456E-2</v>
      </c>
      <c r="E160" s="14">
        <f>INDEX('Transition Stepwise'!$J$2:$J$1137,MATCH(20&amp;"|"&amp;$A160&amp;"|"&amp;E$157,'Transition Stepwise'!$E$2:$E$1137,0))</f>
        <v>4.5454545454545456E-2</v>
      </c>
      <c r="F160" s="4">
        <f>ROUND(SUM(B160:E160),9)</f>
        <v>1</v>
      </c>
    </row>
    <row r="161" spans="1:6">
      <c r="A161" s="5" t="s">
        <v>72</v>
      </c>
      <c r="B161" s="14">
        <f>INDEX('Transition Stepwise'!$J$2:$J$1137,MATCH(20&amp;"|"&amp;$A161&amp;"|"&amp;B$157,'Transition Stepwise'!$E$2:$E$1137,0))</f>
        <v>0.90243902439024393</v>
      </c>
      <c r="C161" s="14">
        <f>INDEX('Transition Stepwise'!$J$2:$J$1137,MATCH(20&amp;"|"&amp;$A161&amp;"|"&amp;C$157,'Transition Stepwise'!$E$2:$E$1137,0))</f>
        <v>1.6260162601626018E-2</v>
      </c>
      <c r="D161" s="14">
        <f>INDEX('Transition Stepwise'!$J$2:$J$1137,MATCH(20&amp;"|"&amp;$A161&amp;"|"&amp;D$157,'Transition Stepwise'!$E$2:$E$1137,0))</f>
        <v>3.2520325203252036E-2</v>
      </c>
      <c r="E161" s="14">
        <f>INDEX('Transition Stepwise'!$J$2:$J$1137,MATCH(20&amp;"|"&amp;$A161&amp;"|"&amp;E$157,'Transition Stepwise'!$E$2:$E$1137,0))</f>
        <v>4.878048780487805E-2</v>
      </c>
      <c r="F161" s="4">
        <f>ROUND(SUM(B161:E161),9)</f>
        <v>1</v>
      </c>
    </row>
    <row r="162" spans="1:6">
      <c r="A162" s="4"/>
      <c r="B162" s="4"/>
      <c r="C162" s="4"/>
      <c r="D162" s="4"/>
      <c r="E162" s="4"/>
      <c r="F162" s="4"/>
    </row>
    <row r="163" spans="1:6">
      <c r="A163" s="4"/>
      <c r="B163" s="4"/>
      <c r="C163" s="4"/>
      <c r="D163" s="4"/>
      <c r="E163" s="4"/>
      <c r="F163" s="4"/>
    </row>
    <row r="164" spans="1:6">
      <c r="A164" s="5" t="s">
        <v>614</v>
      </c>
      <c r="B164" s="4"/>
      <c r="C164" s="4"/>
      <c r="D164" s="4"/>
      <c r="E164" s="4"/>
      <c r="F164" s="4"/>
    </row>
    <row r="165" spans="1:6">
      <c r="A165" s="9" t="s">
        <v>593</v>
      </c>
      <c r="B165" s="9" t="s">
        <v>73</v>
      </c>
      <c r="C165" s="9" t="s">
        <v>71</v>
      </c>
      <c r="D165" s="9" t="s">
        <v>70</v>
      </c>
      <c r="E165" s="9" t="s">
        <v>72</v>
      </c>
      <c r="F165" s="9" t="s">
        <v>666</v>
      </c>
    </row>
    <row r="166" spans="1:6">
      <c r="A166" s="5" t="s">
        <v>73</v>
      </c>
      <c r="B166" s="14">
        <f>INDEX('Transition Stepwise'!$J$2:$J$1137,MATCH(21&amp;"|"&amp;$A166&amp;"|"&amp;B$165,'Transition Stepwise'!$E$2:$E$1137,0))</f>
        <v>0.15846994535519127</v>
      </c>
      <c r="C166" s="14">
        <f>INDEX('Transition Stepwise'!$J$2:$J$1137,MATCH(21&amp;"|"&amp;$A166&amp;"|"&amp;C$165,'Transition Stepwise'!$E$2:$E$1137,0))</f>
        <v>5.4644808743169399E-3</v>
      </c>
      <c r="D166" s="14">
        <f>INDEX('Transition Stepwise'!$J$2:$J$1137,MATCH(21&amp;"|"&amp;$A166&amp;"|"&amp;D$165,'Transition Stepwise'!$E$2:$E$1137,0))</f>
        <v>0.77049180327868849</v>
      </c>
      <c r="E166" s="14">
        <f>INDEX('Transition Stepwise'!$J$2:$J$1137,MATCH(21&amp;"|"&amp;$A166&amp;"|"&amp;E$165,'Transition Stepwise'!$E$2:$E$1137,0))</f>
        <v>6.5573770491803282E-2</v>
      </c>
      <c r="F166" s="4">
        <f>ROUND(SUM(B166:E166),9)</f>
        <v>1</v>
      </c>
    </row>
    <row r="167" spans="1:6">
      <c r="A167" s="5" t="s">
        <v>71</v>
      </c>
      <c r="B167" s="14">
        <f>INDEX('Transition Stepwise'!$J$2:$J$1137,MATCH(21&amp;"|"&amp;$A167&amp;"|"&amp;B$165,'Transition Stepwise'!$E$2:$E$1137,0))</f>
        <v>0.5</v>
      </c>
      <c r="C167" s="14">
        <f>INDEX('Transition Stepwise'!$J$2:$J$1137,MATCH(21&amp;"|"&amp;$A167&amp;"|"&amp;C$165,'Transition Stepwise'!$E$2:$E$1137,0))</f>
        <v>0.125</v>
      </c>
      <c r="D167" s="14">
        <f>INDEX('Transition Stepwise'!$J$2:$J$1137,MATCH(21&amp;"|"&amp;$A167&amp;"|"&amp;D$165,'Transition Stepwise'!$E$2:$E$1137,0))</f>
        <v>0.25</v>
      </c>
      <c r="E167" s="14">
        <f>INDEX('Transition Stepwise'!$J$2:$J$1137,MATCH(21&amp;"|"&amp;$A167&amp;"|"&amp;E$165,'Transition Stepwise'!$E$2:$E$1137,0))</f>
        <v>0.125</v>
      </c>
      <c r="F167" s="4">
        <f>ROUND(SUM(B167:E167),9)</f>
        <v>1</v>
      </c>
    </row>
    <row r="168" spans="1:6">
      <c r="A168" s="5" t="s">
        <v>70</v>
      </c>
      <c r="B168" s="14">
        <f>INDEX('Transition Stepwise'!$J$2:$J$1137,MATCH(21&amp;"|"&amp;$A168&amp;"|"&amp;B$165,'Transition Stepwise'!$E$2:$E$1137,0))</f>
        <v>0.72727272727272729</v>
      </c>
      <c r="C168" s="14">
        <f>INDEX('Transition Stepwise'!$J$2:$J$1137,MATCH(21&amp;"|"&amp;$A168&amp;"|"&amp;C$165,'Transition Stepwise'!$E$2:$E$1137,0))</f>
        <v>9.0909090909090912E-2</v>
      </c>
      <c r="D168" s="14">
        <f>INDEX('Transition Stepwise'!$J$2:$J$1137,MATCH(21&amp;"|"&amp;$A168&amp;"|"&amp;D$165,'Transition Stepwise'!$E$2:$E$1137,0))</f>
        <v>9.0909090909090912E-2</v>
      </c>
      <c r="E168" s="14">
        <f>INDEX('Transition Stepwise'!$J$2:$J$1137,MATCH(21&amp;"|"&amp;$A168&amp;"|"&amp;E$165,'Transition Stepwise'!$E$2:$E$1137,0))</f>
        <v>9.0909090909090912E-2</v>
      </c>
      <c r="F168" s="4">
        <f>ROUND(SUM(B168:E168),9)</f>
        <v>1</v>
      </c>
    </row>
    <row r="169" spans="1:6">
      <c r="A169" s="5" t="s">
        <v>72</v>
      </c>
      <c r="B169" s="14">
        <f>INDEX('Transition Stepwise'!$J$2:$J$1137,MATCH(21&amp;"|"&amp;$A169&amp;"|"&amp;B$165,'Transition Stepwise'!$E$2:$E$1137,0))</f>
        <v>0.2857142857142857</v>
      </c>
      <c r="C169" s="14">
        <f>INDEX('Transition Stepwise'!$J$2:$J$1137,MATCH(21&amp;"|"&amp;$A169&amp;"|"&amp;C$165,'Transition Stepwise'!$E$2:$E$1137,0))</f>
        <v>7.1428571428571425E-2</v>
      </c>
      <c r="D169" s="14">
        <f>INDEX('Transition Stepwise'!$J$2:$J$1137,MATCH(21&amp;"|"&amp;$A169&amp;"|"&amp;D$165,'Transition Stepwise'!$E$2:$E$1137,0))</f>
        <v>0.35714285714285715</v>
      </c>
      <c r="E169" s="14">
        <f>INDEX('Transition Stepwise'!$J$2:$J$1137,MATCH(21&amp;"|"&amp;$A169&amp;"|"&amp;E$165,'Transition Stepwise'!$E$2:$E$1137,0))</f>
        <v>0.2857142857142857</v>
      </c>
      <c r="F169" s="4">
        <f>ROUND(SUM(B169:E169),9)</f>
        <v>1</v>
      </c>
    </row>
    <row r="170" spans="1:6">
      <c r="A170" s="4"/>
      <c r="B170" s="4"/>
      <c r="C170" s="4"/>
      <c r="D170" s="4"/>
      <c r="E170" s="4"/>
      <c r="F170" s="4"/>
    </row>
    <row r="171" spans="1:6">
      <c r="A171" s="4"/>
      <c r="B171" s="4"/>
      <c r="C171" s="4"/>
      <c r="D171" s="4"/>
      <c r="E171" s="4"/>
      <c r="F171" s="4"/>
    </row>
    <row r="172" spans="1:6">
      <c r="A172" s="5" t="s">
        <v>615</v>
      </c>
      <c r="B172" s="4"/>
      <c r="C172" s="4"/>
      <c r="D172" s="4"/>
      <c r="E172" s="4"/>
      <c r="F172" s="4"/>
    </row>
    <row r="173" spans="1:6">
      <c r="A173" s="9" t="s">
        <v>593</v>
      </c>
      <c r="B173" s="9" t="s">
        <v>73</v>
      </c>
      <c r="C173" s="9" t="s">
        <v>71</v>
      </c>
      <c r="D173" s="9" t="s">
        <v>70</v>
      </c>
      <c r="E173" s="9" t="s">
        <v>72</v>
      </c>
      <c r="F173" s="9" t="s">
        <v>666</v>
      </c>
    </row>
    <row r="174" spans="1:6">
      <c r="A174" s="5" t="s">
        <v>73</v>
      </c>
      <c r="B174" s="14">
        <f>INDEX('Transition Stepwise'!$J$2:$J$1137,MATCH(22&amp;"|"&amp;$A174&amp;"|"&amp;B$173,'Transition Stepwise'!$E$2:$E$1137,0))</f>
        <v>0.15555555555555556</v>
      </c>
      <c r="C174" s="14">
        <f>INDEX('Transition Stepwise'!$J$2:$J$1137,MATCH(22&amp;"|"&amp;$A174&amp;"|"&amp;C$173,'Transition Stepwise'!$E$2:$E$1137,0))</f>
        <v>0.26666666666666666</v>
      </c>
      <c r="D174" s="14">
        <f>INDEX('Transition Stepwise'!$J$2:$J$1137,MATCH(22&amp;"|"&amp;$A174&amp;"|"&amp;D$173,'Transition Stepwise'!$E$2:$E$1137,0))</f>
        <v>0.48888888888888887</v>
      </c>
      <c r="E174" s="14">
        <f>INDEX('Transition Stepwise'!$J$2:$J$1137,MATCH(22&amp;"|"&amp;$A174&amp;"|"&amp;E$173,'Transition Stepwise'!$E$2:$E$1137,0))</f>
        <v>8.8888888888888892E-2</v>
      </c>
      <c r="F174" s="4">
        <f>ROUND(SUM(B174:E174),9)</f>
        <v>1</v>
      </c>
    </row>
    <row r="175" spans="1:6">
      <c r="A175" s="5" t="s">
        <v>71</v>
      </c>
      <c r="B175" s="14">
        <f>INDEX('Transition Stepwise'!$J$2:$J$1137,MATCH(22&amp;"|"&amp;$A175&amp;"|"&amp;B$173,'Transition Stepwise'!$E$2:$E$1137,0))</f>
        <v>0.25</v>
      </c>
      <c r="C175" s="14">
        <f>INDEX('Transition Stepwise'!$J$2:$J$1137,MATCH(22&amp;"|"&amp;$A175&amp;"|"&amp;C$173,'Transition Stepwise'!$E$2:$E$1137,0))</f>
        <v>0.25</v>
      </c>
      <c r="D175" s="14">
        <f>INDEX('Transition Stepwise'!$J$2:$J$1137,MATCH(22&amp;"|"&amp;$A175&amp;"|"&amp;D$173,'Transition Stepwise'!$E$2:$E$1137,0))</f>
        <v>0.25</v>
      </c>
      <c r="E175" s="14">
        <f>INDEX('Transition Stepwise'!$J$2:$J$1137,MATCH(22&amp;"|"&amp;$A175&amp;"|"&amp;E$173,'Transition Stepwise'!$E$2:$E$1137,0))</f>
        <v>0.25</v>
      </c>
      <c r="F175" s="4">
        <f>ROUND(SUM(B175:E175),9)</f>
        <v>1</v>
      </c>
    </row>
    <row r="176" spans="1:6">
      <c r="A176" s="5" t="s">
        <v>70</v>
      </c>
      <c r="B176" s="14">
        <f>INDEX('Transition Stepwise'!$J$2:$J$1137,MATCH(22&amp;"|"&amp;$A176&amp;"|"&amp;B$173,'Transition Stepwise'!$E$2:$E$1137,0))</f>
        <v>0.77181208053691275</v>
      </c>
      <c r="C176" s="14">
        <f>INDEX('Transition Stepwise'!$J$2:$J$1137,MATCH(22&amp;"|"&amp;$A176&amp;"|"&amp;C$173,'Transition Stepwise'!$E$2:$E$1137,0))</f>
        <v>0.15436241610738255</v>
      </c>
      <c r="D176" s="14">
        <f>INDEX('Transition Stepwise'!$J$2:$J$1137,MATCH(22&amp;"|"&amp;$A176&amp;"|"&amp;D$173,'Transition Stepwise'!$E$2:$E$1137,0))</f>
        <v>4.0268456375838924E-2</v>
      </c>
      <c r="E176" s="14">
        <f>INDEX('Transition Stepwise'!$J$2:$J$1137,MATCH(22&amp;"|"&amp;$A176&amp;"|"&amp;E$173,'Transition Stepwise'!$E$2:$E$1137,0))</f>
        <v>3.3557046979865772E-2</v>
      </c>
      <c r="F176" s="4">
        <f>ROUND(SUM(B176:E176),9)</f>
        <v>1</v>
      </c>
    </row>
    <row r="177" spans="1:6">
      <c r="A177" s="5" t="s">
        <v>72</v>
      </c>
      <c r="B177" s="14">
        <f>INDEX('Transition Stepwise'!$J$2:$J$1137,MATCH(22&amp;"|"&amp;$A177&amp;"|"&amp;B$173,'Transition Stepwise'!$E$2:$E$1137,0))</f>
        <v>0.1111111111111111</v>
      </c>
      <c r="C177" s="14">
        <f>INDEX('Transition Stepwise'!$J$2:$J$1137,MATCH(22&amp;"|"&amp;$A177&amp;"|"&amp;C$173,'Transition Stepwise'!$E$2:$E$1137,0))</f>
        <v>0.33333333333333331</v>
      </c>
      <c r="D177" s="14">
        <f>INDEX('Transition Stepwise'!$J$2:$J$1137,MATCH(22&amp;"|"&amp;$A177&amp;"|"&amp;D$173,'Transition Stepwise'!$E$2:$E$1137,0))</f>
        <v>0.22222222222222221</v>
      </c>
      <c r="E177" s="14">
        <f>INDEX('Transition Stepwise'!$J$2:$J$1137,MATCH(22&amp;"|"&amp;$A177&amp;"|"&amp;E$173,'Transition Stepwise'!$E$2:$E$1137,0))</f>
        <v>0.33333333333333331</v>
      </c>
      <c r="F177" s="4">
        <f>ROUND(SUM(B177:E177),9)</f>
        <v>1</v>
      </c>
    </row>
    <row r="178" spans="1:6">
      <c r="A178" s="4"/>
      <c r="B178" s="4"/>
      <c r="C178" s="4"/>
      <c r="D178" s="4"/>
      <c r="E178" s="4"/>
      <c r="F178" s="4"/>
    </row>
    <row r="179" spans="1:6">
      <c r="A179" s="4"/>
      <c r="B179" s="4"/>
      <c r="C179" s="4"/>
      <c r="D179" s="4"/>
      <c r="E179" s="4"/>
      <c r="F179" s="4"/>
    </row>
    <row r="180" spans="1:6">
      <c r="A180" s="5" t="s">
        <v>616</v>
      </c>
      <c r="B180" s="4"/>
      <c r="C180" s="4"/>
      <c r="D180" s="4"/>
      <c r="E180" s="4"/>
      <c r="F180" s="4"/>
    </row>
    <row r="181" spans="1:6">
      <c r="A181" s="9" t="s">
        <v>593</v>
      </c>
      <c r="B181" s="9" t="s">
        <v>73</v>
      </c>
      <c r="C181" s="9" t="s">
        <v>71</v>
      </c>
      <c r="D181" s="9" t="s">
        <v>70</v>
      </c>
      <c r="E181" s="9" t="s">
        <v>72</v>
      </c>
      <c r="F181" s="9" t="s">
        <v>666</v>
      </c>
    </row>
    <row r="182" spans="1:6">
      <c r="A182" s="5" t="s">
        <v>73</v>
      </c>
      <c r="B182" s="14">
        <f>INDEX('Transition Stepwise'!$J$2:$J$1137,MATCH(23&amp;"|"&amp;$A182&amp;"|"&amp;B$181,'Transition Stepwise'!$E$2:$E$1137,0))</f>
        <v>9.6000000000000002E-2</v>
      </c>
      <c r="C182" s="14">
        <f>INDEX('Transition Stepwise'!$J$2:$J$1137,MATCH(23&amp;"|"&amp;$A182&amp;"|"&amp;C$181,'Transition Stepwise'!$E$2:$E$1137,0))</f>
        <v>1.6E-2</v>
      </c>
      <c r="D182" s="14">
        <f>INDEX('Transition Stepwise'!$J$2:$J$1137,MATCH(23&amp;"|"&amp;$A182&amp;"|"&amp;D$181,'Transition Stepwise'!$E$2:$E$1137,0))</f>
        <v>0.85599999999999998</v>
      </c>
      <c r="E182" s="14">
        <f>INDEX('Transition Stepwise'!$J$2:$J$1137,MATCH(23&amp;"|"&amp;$A182&amp;"|"&amp;E$181,'Transition Stepwise'!$E$2:$E$1137,0))</f>
        <v>3.2000000000000001E-2</v>
      </c>
      <c r="F182" s="4">
        <f>ROUND(SUM(B182:E182),9)</f>
        <v>1</v>
      </c>
    </row>
    <row r="183" spans="1:6">
      <c r="A183" s="5" t="s">
        <v>71</v>
      </c>
      <c r="B183" s="14">
        <f>INDEX('Transition Stepwise'!$J$2:$J$1137,MATCH(23&amp;"|"&amp;$A183&amp;"|"&amp;B$181,'Transition Stepwise'!$E$2:$E$1137,0))</f>
        <v>0.2857142857142857</v>
      </c>
      <c r="C183" s="14">
        <f>INDEX('Transition Stepwise'!$J$2:$J$1137,MATCH(23&amp;"|"&amp;$A183&amp;"|"&amp;C$181,'Transition Stepwise'!$E$2:$E$1137,0))</f>
        <v>9.5238095238095233E-2</v>
      </c>
      <c r="D183" s="14">
        <f>INDEX('Transition Stepwise'!$J$2:$J$1137,MATCH(23&amp;"|"&amp;$A183&amp;"|"&amp;D$181,'Transition Stepwise'!$E$2:$E$1137,0))</f>
        <v>0.5</v>
      </c>
      <c r="E183" s="14">
        <f>INDEX('Transition Stepwise'!$J$2:$J$1137,MATCH(23&amp;"|"&amp;$A183&amp;"|"&amp;E$181,'Transition Stepwise'!$E$2:$E$1137,0))</f>
        <v>0.11904761904761904</v>
      </c>
      <c r="F183" s="4">
        <f>ROUND(SUM(B183:E183),9)</f>
        <v>1</v>
      </c>
    </row>
    <row r="184" spans="1:6">
      <c r="A184" s="5" t="s">
        <v>70</v>
      </c>
      <c r="B184" s="14">
        <f>INDEX('Transition Stepwise'!$J$2:$J$1137,MATCH(23&amp;"|"&amp;$A184&amp;"|"&amp;B$181,'Transition Stepwise'!$E$2:$E$1137,0))</f>
        <v>0.33333333333333331</v>
      </c>
      <c r="C184" s="14">
        <f>INDEX('Transition Stepwise'!$J$2:$J$1137,MATCH(23&amp;"|"&amp;$A184&amp;"|"&amp;C$181,'Transition Stepwise'!$E$2:$E$1137,0))</f>
        <v>3.0303030303030304E-2</v>
      </c>
      <c r="D184" s="14">
        <f>INDEX('Transition Stepwise'!$J$2:$J$1137,MATCH(23&amp;"|"&amp;$A184&amp;"|"&amp;D$181,'Transition Stepwise'!$E$2:$E$1137,0))</f>
        <v>0.60606060606060608</v>
      </c>
      <c r="E184" s="14">
        <f>INDEX('Transition Stepwise'!$J$2:$J$1137,MATCH(23&amp;"|"&amp;$A184&amp;"|"&amp;E$181,'Transition Stepwise'!$E$2:$E$1137,0))</f>
        <v>3.0303030303030304E-2</v>
      </c>
      <c r="F184" s="4">
        <f>ROUND(SUM(B184:E184),9)</f>
        <v>1</v>
      </c>
    </row>
    <row r="185" spans="1:6">
      <c r="A185" s="5" t="s">
        <v>72</v>
      </c>
      <c r="B185" s="14">
        <f>INDEX('Transition Stepwise'!$J$2:$J$1137,MATCH(23&amp;"|"&amp;$A185&amp;"|"&amp;B$181,'Transition Stepwise'!$E$2:$E$1137,0))</f>
        <v>0.375</v>
      </c>
      <c r="C185" s="14">
        <f>INDEX('Transition Stepwise'!$J$2:$J$1137,MATCH(23&amp;"|"&amp;$A185&amp;"|"&amp;C$181,'Transition Stepwise'!$E$2:$E$1137,0))</f>
        <v>0.1875</v>
      </c>
      <c r="D185" s="14">
        <f>INDEX('Transition Stepwise'!$J$2:$J$1137,MATCH(23&amp;"|"&amp;$A185&amp;"|"&amp;D$181,'Transition Stepwise'!$E$2:$E$1137,0))</f>
        <v>0.375</v>
      </c>
      <c r="E185" s="14">
        <f>INDEX('Transition Stepwise'!$J$2:$J$1137,MATCH(23&amp;"|"&amp;$A185&amp;"|"&amp;E$181,'Transition Stepwise'!$E$2:$E$1137,0))</f>
        <v>6.25E-2</v>
      </c>
      <c r="F185" s="4">
        <f>ROUND(SUM(B185:E185),9)</f>
        <v>1</v>
      </c>
    </row>
    <row r="186" spans="1:6">
      <c r="A186" s="4"/>
      <c r="B186" s="4"/>
      <c r="C186" s="4"/>
      <c r="D186" s="4"/>
      <c r="E186" s="4"/>
      <c r="F186" s="4"/>
    </row>
    <row r="187" spans="1:6">
      <c r="A187" s="4"/>
      <c r="B187" s="4"/>
      <c r="C187" s="4"/>
      <c r="D187" s="4"/>
      <c r="E187" s="4"/>
      <c r="F187" s="4"/>
    </row>
    <row r="188" spans="1:6">
      <c r="A188" s="5" t="s">
        <v>617</v>
      </c>
      <c r="B188" s="4"/>
      <c r="C188" s="4"/>
      <c r="D188" s="4"/>
      <c r="E188" s="4"/>
      <c r="F188" s="4"/>
    </row>
    <row r="189" spans="1:6">
      <c r="A189" s="9" t="s">
        <v>593</v>
      </c>
      <c r="B189" s="9" t="s">
        <v>73</v>
      </c>
      <c r="C189" s="9" t="s">
        <v>71</v>
      </c>
      <c r="D189" s="9" t="s">
        <v>70</v>
      </c>
      <c r="E189" s="9" t="s">
        <v>72</v>
      </c>
      <c r="F189" s="9" t="s">
        <v>666</v>
      </c>
    </row>
    <row r="190" spans="1:6">
      <c r="A190" s="5" t="s">
        <v>73</v>
      </c>
      <c r="B190" s="14">
        <f>INDEX('Transition Stepwise'!$J$2:$J$1137,MATCH(24&amp;"|"&amp;$A190&amp;"|"&amp;B$189,'Transition Stepwise'!$E$2:$E$1137,0))</f>
        <v>2.4390243902439025E-2</v>
      </c>
      <c r="C190" s="14">
        <f>INDEX('Transition Stepwise'!$J$2:$J$1137,MATCH(24&amp;"|"&amp;$A190&amp;"|"&amp;C$189,'Transition Stepwise'!$E$2:$E$1137,0))</f>
        <v>0.68292682926829273</v>
      </c>
      <c r="D190" s="14">
        <f>INDEX('Transition Stepwise'!$J$2:$J$1137,MATCH(24&amp;"|"&amp;$A190&amp;"|"&amp;D$189,'Transition Stepwise'!$E$2:$E$1137,0))</f>
        <v>2.4390243902439025E-2</v>
      </c>
      <c r="E190" s="14">
        <f>INDEX('Transition Stepwise'!$J$2:$J$1137,MATCH(24&amp;"|"&amp;$A190&amp;"|"&amp;E$189,'Transition Stepwise'!$E$2:$E$1137,0))</f>
        <v>0.26829268292682928</v>
      </c>
      <c r="F190" s="4">
        <f>ROUND(SUM(B190:E190),9)</f>
        <v>1</v>
      </c>
    </row>
    <row r="191" spans="1:6">
      <c r="A191" s="5" t="s">
        <v>71</v>
      </c>
      <c r="B191" s="14">
        <f>INDEX('Transition Stepwise'!$J$2:$J$1137,MATCH(24&amp;"|"&amp;$A191&amp;"|"&amp;B$189,'Transition Stepwise'!$E$2:$E$1137,0))</f>
        <v>0.1</v>
      </c>
      <c r="C191" s="14">
        <f>INDEX('Transition Stepwise'!$J$2:$J$1137,MATCH(24&amp;"|"&amp;$A191&amp;"|"&amp;C$189,'Transition Stepwise'!$E$2:$E$1137,0))</f>
        <v>0.5</v>
      </c>
      <c r="D191" s="14">
        <f>INDEX('Transition Stepwise'!$J$2:$J$1137,MATCH(24&amp;"|"&amp;$A191&amp;"|"&amp;D$189,'Transition Stepwise'!$E$2:$E$1137,0))</f>
        <v>0.2</v>
      </c>
      <c r="E191" s="14">
        <f>INDEX('Transition Stepwise'!$J$2:$J$1137,MATCH(24&amp;"|"&amp;$A191&amp;"|"&amp;E$189,'Transition Stepwise'!$E$2:$E$1137,0))</f>
        <v>0.2</v>
      </c>
      <c r="F191" s="4">
        <f>ROUND(SUM(B191:E191),9)</f>
        <v>1</v>
      </c>
    </row>
    <row r="192" spans="1:6">
      <c r="A192" s="5" t="s">
        <v>70</v>
      </c>
      <c r="B192" s="14">
        <f>INDEX('Transition Stepwise'!$J$2:$J$1137,MATCH(24&amp;"|"&amp;$A192&amp;"|"&amp;B$189,'Transition Stepwise'!$E$2:$E$1137,0))</f>
        <v>1.2987012987012988E-2</v>
      </c>
      <c r="C192" s="14">
        <f>INDEX('Transition Stepwise'!$J$2:$J$1137,MATCH(24&amp;"|"&amp;$A192&amp;"|"&amp;C$189,'Transition Stepwise'!$E$2:$E$1137,0))</f>
        <v>0.91558441558441561</v>
      </c>
      <c r="D192" s="14">
        <f>INDEX('Transition Stepwise'!$J$2:$J$1137,MATCH(24&amp;"|"&amp;$A192&amp;"|"&amp;D$189,'Transition Stepwise'!$E$2:$E$1137,0))</f>
        <v>4.5454545454545456E-2</v>
      </c>
      <c r="E192" s="14">
        <f>INDEX('Transition Stepwise'!$J$2:$J$1137,MATCH(24&amp;"|"&amp;$A192&amp;"|"&amp;E$189,'Transition Stepwise'!$E$2:$E$1137,0))</f>
        <v>2.5974025974025976E-2</v>
      </c>
      <c r="F192" s="4">
        <f>ROUND(SUM(B192:E192),9)</f>
        <v>1</v>
      </c>
    </row>
    <row r="193" spans="1:6">
      <c r="A193" s="5" t="s">
        <v>72</v>
      </c>
      <c r="B193" s="14">
        <f>INDEX('Transition Stepwise'!$J$2:$J$1137,MATCH(24&amp;"|"&amp;$A193&amp;"|"&amp;B$189,'Transition Stepwise'!$E$2:$E$1137,0))</f>
        <v>9.0909090909090912E-2</v>
      </c>
      <c r="C193" s="14">
        <f>INDEX('Transition Stepwise'!$J$2:$J$1137,MATCH(24&amp;"|"&amp;$A193&amp;"|"&amp;C$189,'Transition Stepwise'!$E$2:$E$1137,0))</f>
        <v>0.72727272727272729</v>
      </c>
      <c r="D193" s="14">
        <f>INDEX('Transition Stepwise'!$J$2:$J$1137,MATCH(24&amp;"|"&amp;$A193&amp;"|"&amp;D$189,'Transition Stepwise'!$E$2:$E$1137,0))</f>
        <v>9.0909090909090912E-2</v>
      </c>
      <c r="E193" s="14">
        <f>INDEX('Transition Stepwise'!$J$2:$J$1137,MATCH(24&amp;"|"&amp;$A193&amp;"|"&amp;E$189,'Transition Stepwise'!$E$2:$E$1137,0))</f>
        <v>9.0909090909090912E-2</v>
      </c>
      <c r="F193" s="4">
        <f>ROUND(SUM(B193:E193),9)</f>
        <v>1</v>
      </c>
    </row>
    <row r="194" spans="1:6">
      <c r="A194" s="4"/>
      <c r="B194" s="4"/>
      <c r="C194" s="4"/>
      <c r="D194" s="4"/>
      <c r="E194" s="4"/>
      <c r="F194" s="4"/>
    </row>
    <row r="195" spans="1:6">
      <c r="A195" s="4"/>
      <c r="B195" s="4"/>
      <c r="C195" s="4"/>
      <c r="D195" s="4"/>
      <c r="E195" s="4"/>
      <c r="F195" s="4"/>
    </row>
    <row r="196" spans="1:6">
      <c r="A196" s="5" t="s">
        <v>618</v>
      </c>
      <c r="B196" s="4"/>
      <c r="C196" s="4"/>
      <c r="D196" s="4"/>
      <c r="E196" s="4"/>
      <c r="F196" s="4"/>
    </row>
    <row r="197" spans="1:6">
      <c r="A197" s="9" t="s">
        <v>593</v>
      </c>
      <c r="B197" s="9" t="s">
        <v>73</v>
      </c>
      <c r="C197" s="9" t="s">
        <v>71</v>
      </c>
      <c r="D197" s="9" t="s">
        <v>70</v>
      </c>
      <c r="E197" s="9" t="s">
        <v>72</v>
      </c>
      <c r="F197" s="9" t="s">
        <v>666</v>
      </c>
    </row>
    <row r="198" spans="1:6">
      <c r="A198" s="5" t="s">
        <v>73</v>
      </c>
      <c r="B198" s="14">
        <f>INDEX('Transition Stepwise'!$J$2:$J$1137,MATCH(25&amp;"|"&amp;$A198&amp;"|"&amp;B$197,'Transition Stepwise'!$E$2:$E$1137,0))</f>
        <v>0.2</v>
      </c>
      <c r="C198" s="14">
        <f>INDEX('Transition Stepwise'!$J$2:$J$1137,MATCH(25&amp;"|"&amp;$A198&amp;"|"&amp;C$197,'Transition Stepwise'!$E$2:$E$1137,0))</f>
        <v>0.2</v>
      </c>
      <c r="D198" s="14">
        <f>INDEX('Transition Stepwise'!$J$2:$J$1137,MATCH(25&amp;"|"&amp;$A198&amp;"|"&amp;D$197,'Transition Stepwise'!$E$2:$E$1137,0))</f>
        <v>0.4</v>
      </c>
      <c r="E198" s="14">
        <f>INDEX('Transition Stepwise'!$J$2:$J$1137,MATCH(25&amp;"|"&amp;$A198&amp;"|"&amp;E$197,'Transition Stepwise'!$E$2:$E$1137,0))</f>
        <v>0.2</v>
      </c>
      <c r="F198" s="4">
        <f>ROUND(SUM(B198:E198),9)</f>
        <v>1</v>
      </c>
    </row>
    <row r="199" spans="1:6">
      <c r="A199" s="5" t="s">
        <v>71</v>
      </c>
      <c r="B199" s="14">
        <f>INDEX('Transition Stepwise'!$J$2:$J$1137,MATCH(25&amp;"|"&amp;$A199&amp;"|"&amp;B$197,'Transition Stepwise'!$E$2:$E$1137,0))</f>
        <v>0.42857142857142855</v>
      </c>
      <c r="C199" s="14">
        <f>INDEX('Transition Stepwise'!$J$2:$J$1137,MATCH(25&amp;"|"&amp;$A199&amp;"|"&amp;C$197,'Transition Stepwise'!$E$2:$E$1137,0))</f>
        <v>2.197802197802198E-2</v>
      </c>
      <c r="D199" s="14">
        <f>INDEX('Transition Stepwise'!$J$2:$J$1137,MATCH(25&amp;"|"&amp;$A199&amp;"|"&amp;D$197,'Transition Stepwise'!$E$2:$E$1137,0))</f>
        <v>0.49450549450549453</v>
      </c>
      <c r="E199" s="14">
        <f>INDEX('Transition Stepwise'!$J$2:$J$1137,MATCH(25&amp;"|"&amp;$A199&amp;"|"&amp;E$197,'Transition Stepwise'!$E$2:$E$1137,0))</f>
        <v>5.4945054945054944E-2</v>
      </c>
      <c r="F199" s="4">
        <f>ROUND(SUM(B199:E199),9)</f>
        <v>1</v>
      </c>
    </row>
    <row r="200" spans="1:6">
      <c r="A200" s="5" t="s">
        <v>70</v>
      </c>
      <c r="B200" s="14">
        <f>INDEX('Transition Stepwise'!$J$2:$J$1137,MATCH(25&amp;"|"&amp;$A200&amp;"|"&amp;B$197,'Transition Stepwise'!$E$2:$E$1137,0))</f>
        <v>0.54545454545454541</v>
      </c>
      <c r="C200" s="14">
        <f>INDEX('Transition Stepwise'!$J$2:$J$1137,MATCH(25&amp;"|"&amp;$A200&amp;"|"&amp;C$197,'Transition Stepwise'!$E$2:$E$1137,0))</f>
        <v>9.0909090909090912E-2</v>
      </c>
      <c r="D200" s="14">
        <f>INDEX('Transition Stepwise'!$J$2:$J$1137,MATCH(25&amp;"|"&amp;$A200&amp;"|"&amp;D$197,'Transition Stepwise'!$E$2:$E$1137,0))</f>
        <v>0.27272727272727271</v>
      </c>
      <c r="E200" s="14">
        <f>INDEX('Transition Stepwise'!$J$2:$J$1137,MATCH(25&amp;"|"&amp;$A200&amp;"|"&amp;E$197,'Transition Stepwise'!$E$2:$E$1137,0))</f>
        <v>9.0909090909090912E-2</v>
      </c>
      <c r="F200" s="4">
        <f>ROUND(SUM(B200:E200),9)</f>
        <v>1</v>
      </c>
    </row>
    <row r="201" spans="1:6">
      <c r="A201" s="5" t="s">
        <v>72</v>
      </c>
      <c r="B201" s="14">
        <f>INDEX('Transition Stepwise'!$J$2:$J$1137,MATCH(25&amp;"|"&amp;$A201&amp;"|"&amp;B$197,'Transition Stepwise'!$E$2:$E$1137,0))</f>
        <v>0.16666666666666666</v>
      </c>
      <c r="C201" s="14">
        <f>INDEX('Transition Stepwise'!$J$2:$J$1137,MATCH(25&amp;"|"&amp;$A201&amp;"|"&amp;C$197,'Transition Stepwise'!$E$2:$E$1137,0))</f>
        <v>0.16666666666666666</v>
      </c>
      <c r="D201" s="14">
        <f>INDEX('Transition Stepwise'!$J$2:$J$1137,MATCH(25&amp;"|"&amp;$A201&amp;"|"&amp;D$197,'Transition Stepwise'!$E$2:$E$1137,0))</f>
        <v>0.5</v>
      </c>
      <c r="E201" s="14">
        <f>INDEX('Transition Stepwise'!$J$2:$J$1137,MATCH(25&amp;"|"&amp;$A201&amp;"|"&amp;E$197,'Transition Stepwise'!$E$2:$E$1137,0))</f>
        <v>0.16666666666666666</v>
      </c>
      <c r="F201" s="4">
        <f>ROUND(SUM(B201:E201),9)</f>
        <v>1</v>
      </c>
    </row>
    <row r="202" spans="1:6">
      <c r="A202" s="4"/>
      <c r="B202" s="4"/>
      <c r="C202" s="4"/>
      <c r="D202" s="4"/>
      <c r="E202" s="4"/>
      <c r="F202" s="4"/>
    </row>
    <row r="203" spans="1:6">
      <c r="A203" s="4"/>
      <c r="B203" s="4"/>
      <c r="C203" s="4"/>
      <c r="D203" s="4"/>
      <c r="E203" s="4"/>
      <c r="F203" s="4"/>
    </row>
    <row r="204" spans="1:6">
      <c r="A204" s="5" t="s">
        <v>619</v>
      </c>
      <c r="B204" s="4"/>
      <c r="C204" s="4"/>
      <c r="D204" s="4"/>
      <c r="E204" s="4"/>
      <c r="F204" s="4"/>
    </row>
    <row r="205" spans="1:6">
      <c r="A205" s="9" t="s">
        <v>593</v>
      </c>
      <c r="B205" s="9" t="s">
        <v>73</v>
      </c>
      <c r="C205" s="9" t="s">
        <v>71</v>
      </c>
      <c r="D205" s="9" t="s">
        <v>70</v>
      </c>
      <c r="E205" s="9" t="s">
        <v>72</v>
      </c>
      <c r="F205" s="9" t="s">
        <v>666</v>
      </c>
    </row>
    <row r="206" spans="1:6">
      <c r="A206" s="5" t="s">
        <v>73</v>
      </c>
      <c r="B206" s="14">
        <f>INDEX('Transition Stepwise'!$J$2:$J$1137,MATCH(26&amp;"|"&amp;$A206&amp;"|"&amp;B$205,'Transition Stepwise'!$E$2:$E$1137,0))</f>
        <v>0.18181818181818182</v>
      </c>
      <c r="C206" s="14">
        <f>INDEX('Transition Stepwise'!$J$2:$J$1137,MATCH(26&amp;"|"&amp;$A206&amp;"|"&amp;C$205,'Transition Stepwise'!$E$2:$E$1137,0))</f>
        <v>0.36363636363636365</v>
      </c>
      <c r="D206" s="14">
        <f>INDEX('Transition Stepwise'!$J$2:$J$1137,MATCH(26&amp;"|"&amp;$A206&amp;"|"&amp;D$205,'Transition Stepwise'!$E$2:$E$1137,0))</f>
        <v>0.15909090909090909</v>
      </c>
      <c r="E206" s="14">
        <f>INDEX('Transition Stepwise'!$J$2:$J$1137,MATCH(26&amp;"|"&amp;$A206&amp;"|"&amp;E$205,'Transition Stepwise'!$E$2:$E$1137,0))</f>
        <v>0.29545454545454547</v>
      </c>
      <c r="F206" s="4">
        <f>ROUND(SUM(B206:E206),9)</f>
        <v>1</v>
      </c>
    </row>
    <row r="207" spans="1:6">
      <c r="A207" s="5" t="s">
        <v>71</v>
      </c>
      <c r="B207" s="14">
        <f>INDEX('Transition Stepwise'!$J$2:$J$1137,MATCH(26&amp;"|"&amp;$A207&amp;"|"&amp;B$205,'Transition Stepwise'!$E$2:$E$1137,0))</f>
        <v>0.1111111111111111</v>
      </c>
      <c r="C207" s="14">
        <f>INDEX('Transition Stepwise'!$J$2:$J$1137,MATCH(26&amp;"|"&amp;$A207&amp;"|"&amp;C$205,'Transition Stepwise'!$E$2:$E$1137,0))</f>
        <v>0.33333333333333331</v>
      </c>
      <c r="D207" s="14">
        <f>INDEX('Transition Stepwise'!$J$2:$J$1137,MATCH(26&amp;"|"&amp;$A207&amp;"|"&amp;D$205,'Transition Stepwise'!$E$2:$E$1137,0))</f>
        <v>0.22222222222222221</v>
      </c>
      <c r="E207" s="14">
        <f>INDEX('Transition Stepwise'!$J$2:$J$1137,MATCH(26&amp;"|"&amp;$A207&amp;"|"&amp;E$205,'Transition Stepwise'!$E$2:$E$1137,0))</f>
        <v>0.33333333333333331</v>
      </c>
      <c r="F207" s="4">
        <f>ROUND(SUM(B207:E207),9)</f>
        <v>1</v>
      </c>
    </row>
    <row r="208" spans="1:6">
      <c r="A208" s="5" t="s">
        <v>70</v>
      </c>
      <c r="B208" s="14">
        <f>INDEX('Transition Stepwise'!$J$2:$J$1137,MATCH(26&amp;"|"&amp;$A208&amp;"|"&amp;B$205,'Transition Stepwise'!$E$2:$E$1137,0))</f>
        <v>8.6538461538461536E-2</v>
      </c>
      <c r="C208" s="14">
        <f>INDEX('Transition Stepwise'!$J$2:$J$1137,MATCH(26&amp;"|"&amp;$A208&amp;"|"&amp;C$205,'Transition Stepwise'!$E$2:$E$1137,0))</f>
        <v>0.52884615384615385</v>
      </c>
      <c r="D208" s="14">
        <f>INDEX('Transition Stepwise'!$J$2:$J$1137,MATCH(26&amp;"|"&amp;$A208&amp;"|"&amp;D$205,'Transition Stepwise'!$E$2:$E$1137,0))</f>
        <v>0.16346153846153846</v>
      </c>
      <c r="E208" s="14">
        <f>INDEX('Transition Stepwise'!$J$2:$J$1137,MATCH(26&amp;"|"&amp;$A208&amp;"|"&amp;E$205,'Transition Stepwise'!$E$2:$E$1137,0))</f>
        <v>0.22115384615384615</v>
      </c>
      <c r="F208" s="4">
        <f>ROUND(SUM(B208:E208),9)</f>
        <v>1</v>
      </c>
    </row>
    <row r="209" spans="1:6">
      <c r="A209" s="5" t="s">
        <v>72</v>
      </c>
      <c r="B209" s="14">
        <f>INDEX('Transition Stepwise'!$J$2:$J$1137,MATCH(26&amp;"|"&amp;$A209&amp;"|"&amp;B$205,'Transition Stepwise'!$E$2:$E$1137,0))</f>
        <v>0.13333333333333333</v>
      </c>
      <c r="C209" s="14">
        <f>INDEX('Transition Stepwise'!$J$2:$J$1137,MATCH(26&amp;"|"&amp;$A209&amp;"|"&amp;C$205,'Transition Stepwise'!$E$2:$E$1137,0))</f>
        <v>0.46666666666666667</v>
      </c>
      <c r="D209" s="14">
        <f>INDEX('Transition Stepwise'!$J$2:$J$1137,MATCH(26&amp;"|"&amp;$A209&amp;"|"&amp;D$205,'Transition Stepwise'!$E$2:$E$1137,0))</f>
        <v>0.13333333333333333</v>
      </c>
      <c r="E209" s="14">
        <f>INDEX('Transition Stepwise'!$J$2:$J$1137,MATCH(26&amp;"|"&amp;$A209&amp;"|"&amp;E$205,'Transition Stepwise'!$E$2:$E$1137,0))</f>
        <v>0.26666666666666666</v>
      </c>
      <c r="F209" s="4">
        <f>ROUND(SUM(B209:E209),9)</f>
        <v>1</v>
      </c>
    </row>
    <row r="210" spans="1:6">
      <c r="A210" s="4"/>
      <c r="B210" s="4"/>
      <c r="C210" s="4"/>
      <c r="D210" s="4"/>
      <c r="E210" s="4"/>
      <c r="F210" s="4"/>
    </row>
    <row r="211" spans="1:6">
      <c r="A211" s="4"/>
      <c r="B211" s="4"/>
      <c r="C211" s="4"/>
      <c r="D211" s="4"/>
      <c r="E211" s="4"/>
      <c r="F211" s="4"/>
    </row>
    <row r="212" spans="1:6">
      <c r="A212" s="5" t="s">
        <v>620</v>
      </c>
      <c r="B212" s="4"/>
      <c r="C212" s="4"/>
      <c r="D212" s="4"/>
      <c r="E212" s="4"/>
      <c r="F212" s="4"/>
    </row>
    <row r="213" spans="1:6">
      <c r="A213" s="9" t="s">
        <v>593</v>
      </c>
      <c r="B213" s="9" t="s">
        <v>73</v>
      </c>
      <c r="C213" s="9" t="s">
        <v>71</v>
      </c>
      <c r="D213" s="9" t="s">
        <v>70</v>
      </c>
      <c r="E213" s="9" t="s">
        <v>72</v>
      </c>
      <c r="F213" s="9" t="s">
        <v>666</v>
      </c>
    </row>
    <row r="214" spans="1:6">
      <c r="A214" s="5" t="s">
        <v>73</v>
      </c>
      <c r="B214" s="14">
        <f>INDEX('Transition Stepwise'!$J$2:$J$1137,MATCH(27&amp;"|"&amp;$A214&amp;"|"&amp;B$213,'Transition Stepwise'!$E$2:$E$1137,0))</f>
        <v>0.10714285714285714</v>
      </c>
      <c r="C214" s="14">
        <f>INDEX('Transition Stepwise'!$J$2:$J$1137,MATCH(27&amp;"|"&amp;$A214&amp;"|"&amp;C$213,'Transition Stepwise'!$E$2:$E$1137,0))</f>
        <v>0.5357142857142857</v>
      </c>
      <c r="D214" s="14">
        <f>INDEX('Transition Stepwise'!$J$2:$J$1137,MATCH(27&amp;"|"&amp;$A214&amp;"|"&amp;D$213,'Transition Stepwise'!$E$2:$E$1137,0))</f>
        <v>0.14285714285714285</v>
      </c>
      <c r="E214" s="14">
        <f>INDEX('Transition Stepwise'!$J$2:$J$1137,MATCH(27&amp;"|"&amp;$A214&amp;"|"&amp;E$213,'Transition Stepwise'!$E$2:$E$1137,0))</f>
        <v>0.21428571428571427</v>
      </c>
      <c r="F214" s="4">
        <f>ROUND(SUM(B214:E214),9)</f>
        <v>1</v>
      </c>
    </row>
    <row r="215" spans="1:6">
      <c r="A215" s="5" t="s">
        <v>71</v>
      </c>
      <c r="B215" s="14">
        <f>INDEX('Transition Stepwise'!$J$2:$J$1137,MATCH(27&amp;"|"&amp;$A215&amp;"|"&amp;B$213,'Transition Stepwise'!$E$2:$E$1137,0))</f>
        <v>0.16494845360824742</v>
      </c>
      <c r="C215" s="14">
        <f>INDEX('Transition Stepwise'!$J$2:$J$1137,MATCH(27&amp;"|"&amp;$A215&amp;"|"&amp;C$213,'Transition Stepwise'!$E$2:$E$1137,0))</f>
        <v>0.41237113402061853</v>
      </c>
      <c r="D215" s="14">
        <f>INDEX('Transition Stepwise'!$J$2:$J$1137,MATCH(27&amp;"|"&amp;$A215&amp;"|"&amp;D$213,'Transition Stepwise'!$E$2:$E$1137,0))</f>
        <v>0.12371134020618557</v>
      </c>
      <c r="E215" s="14">
        <f>INDEX('Transition Stepwise'!$J$2:$J$1137,MATCH(27&amp;"|"&amp;$A215&amp;"|"&amp;E$213,'Transition Stepwise'!$E$2:$E$1137,0))</f>
        <v>0.29896907216494845</v>
      </c>
      <c r="F215" s="4">
        <f>ROUND(SUM(B215:E215),9)</f>
        <v>1</v>
      </c>
    </row>
    <row r="216" spans="1:6">
      <c r="A216" s="5" t="s">
        <v>70</v>
      </c>
      <c r="B216" s="14">
        <f>INDEX('Transition Stepwise'!$J$2:$J$1137,MATCH(27&amp;"|"&amp;$A216&amp;"|"&amp;B$213,'Transition Stepwise'!$E$2:$E$1137,0))</f>
        <v>0.14285714285714285</v>
      </c>
      <c r="C216" s="14">
        <f>INDEX('Transition Stepwise'!$J$2:$J$1137,MATCH(27&amp;"|"&amp;$A216&amp;"|"&amp;C$213,'Transition Stepwise'!$E$2:$E$1137,0))</f>
        <v>0.7142857142857143</v>
      </c>
      <c r="D216" s="14">
        <f>INDEX('Transition Stepwise'!$J$2:$J$1137,MATCH(27&amp;"|"&amp;$A216&amp;"|"&amp;D$213,'Transition Stepwise'!$E$2:$E$1137,0))</f>
        <v>0.11428571428571428</v>
      </c>
      <c r="E216" s="14">
        <f>INDEX('Transition Stepwise'!$J$2:$J$1137,MATCH(27&amp;"|"&amp;$A216&amp;"|"&amp;E$213,'Transition Stepwise'!$E$2:$E$1137,0))</f>
        <v>2.8571428571428571E-2</v>
      </c>
      <c r="F216" s="4">
        <f>ROUND(SUM(B216:E216),9)</f>
        <v>1</v>
      </c>
    </row>
    <row r="217" spans="1:6">
      <c r="A217" s="5" t="s">
        <v>72</v>
      </c>
      <c r="B217" s="14">
        <f>INDEX('Transition Stepwise'!$J$2:$J$1137,MATCH(27&amp;"|"&amp;$A217&amp;"|"&amp;B$213,'Transition Stepwise'!$E$2:$E$1137,0))</f>
        <v>7.1428571428571425E-2</v>
      </c>
      <c r="C217" s="14">
        <f>INDEX('Transition Stepwise'!$J$2:$J$1137,MATCH(27&amp;"|"&amp;$A217&amp;"|"&amp;C$213,'Transition Stepwise'!$E$2:$E$1137,0))</f>
        <v>0.48214285714285715</v>
      </c>
      <c r="D217" s="14">
        <f>INDEX('Transition Stepwise'!$J$2:$J$1137,MATCH(27&amp;"|"&amp;$A217&amp;"|"&amp;D$213,'Transition Stepwise'!$E$2:$E$1137,0))</f>
        <v>0.10714285714285714</v>
      </c>
      <c r="E217" s="14">
        <f>INDEX('Transition Stepwise'!$J$2:$J$1137,MATCH(27&amp;"|"&amp;$A217&amp;"|"&amp;E$213,'Transition Stepwise'!$E$2:$E$1137,0))</f>
        <v>0.3392857142857143</v>
      </c>
      <c r="F217" s="4">
        <f>ROUND(SUM(B217:E217),9)</f>
        <v>1</v>
      </c>
    </row>
    <row r="218" spans="1:6">
      <c r="A218" s="4"/>
      <c r="B218" s="4"/>
      <c r="C218" s="4"/>
      <c r="D218" s="4"/>
      <c r="E218" s="4"/>
      <c r="F218" s="4"/>
    </row>
    <row r="219" spans="1:6">
      <c r="A219" s="4"/>
      <c r="B219" s="4"/>
      <c r="C219" s="4"/>
      <c r="D219" s="4"/>
      <c r="E219" s="4"/>
      <c r="F219" s="4"/>
    </row>
    <row r="220" spans="1:6">
      <c r="A220" s="5" t="s">
        <v>621</v>
      </c>
      <c r="B220" s="4"/>
      <c r="C220" s="4"/>
      <c r="D220" s="4"/>
      <c r="E220" s="4"/>
      <c r="F220" s="4"/>
    </row>
    <row r="221" spans="1:6">
      <c r="A221" s="9" t="s">
        <v>593</v>
      </c>
      <c r="B221" s="9" t="s">
        <v>73</v>
      </c>
      <c r="C221" s="9" t="s">
        <v>71</v>
      </c>
      <c r="D221" s="9" t="s">
        <v>70</v>
      </c>
      <c r="E221" s="9" t="s">
        <v>72</v>
      </c>
      <c r="F221" s="9" t="s">
        <v>666</v>
      </c>
    </row>
    <row r="222" spans="1:6">
      <c r="A222" s="5" t="s">
        <v>73</v>
      </c>
      <c r="B222" s="14">
        <f>INDEX('Transition Stepwise'!$J$2:$J$1137,MATCH(28&amp;"|"&amp;$A222&amp;"|"&amp;B$221,'Transition Stepwise'!$E$2:$E$1137,0))</f>
        <v>0.14285714285714285</v>
      </c>
      <c r="C222" s="14">
        <f>INDEX('Transition Stepwise'!$J$2:$J$1137,MATCH(28&amp;"|"&amp;$A222&amp;"|"&amp;C$221,'Transition Stepwise'!$E$2:$E$1137,0))</f>
        <v>0.2857142857142857</v>
      </c>
      <c r="D222" s="14">
        <f>INDEX('Transition Stepwise'!$J$2:$J$1137,MATCH(28&amp;"|"&amp;$A222&amp;"|"&amp;D$221,'Transition Stepwise'!$E$2:$E$1137,0))</f>
        <v>0.17857142857142858</v>
      </c>
      <c r="E222" s="14">
        <f>INDEX('Transition Stepwise'!$J$2:$J$1137,MATCH(28&amp;"|"&amp;$A222&amp;"|"&amp;E$221,'Transition Stepwise'!$E$2:$E$1137,0))</f>
        <v>0.39285714285714285</v>
      </c>
      <c r="F222" s="4">
        <f>ROUND(SUM(B222:E222),9)</f>
        <v>1</v>
      </c>
    </row>
    <row r="223" spans="1:6">
      <c r="A223" s="5" t="s">
        <v>71</v>
      </c>
      <c r="B223" s="14">
        <f>INDEX('Transition Stepwise'!$J$2:$J$1137,MATCH(28&amp;"|"&amp;$A223&amp;"|"&amp;B$221,'Transition Stepwise'!$E$2:$E$1137,0))</f>
        <v>0.17757009345794392</v>
      </c>
      <c r="C223" s="14">
        <f>INDEX('Transition Stepwise'!$J$2:$J$1137,MATCH(28&amp;"|"&amp;$A223&amp;"|"&amp;C$221,'Transition Stepwise'!$E$2:$E$1137,0))</f>
        <v>8.4112149532710276E-2</v>
      </c>
      <c r="D223" s="14">
        <f>INDEX('Transition Stepwise'!$J$2:$J$1137,MATCH(28&amp;"|"&amp;$A223&amp;"|"&amp;D$221,'Transition Stepwise'!$E$2:$E$1137,0))</f>
        <v>0.44859813084112149</v>
      </c>
      <c r="E223" s="14">
        <f>INDEX('Transition Stepwise'!$J$2:$J$1137,MATCH(28&amp;"|"&amp;$A223&amp;"|"&amp;E$221,'Transition Stepwise'!$E$2:$E$1137,0))</f>
        <v>0.28971962616822428</v>
      </c>
      <c r="F223" s="4">
        <f>ROUND(SUM(B223:E223),9)</f>
        <v>1</v>
      </c>
    </row>
    <row r="224" spans="1:6">
      <c r="A224" s="5" t="s">
        <v>70</v>
      </c>
      <c r="B224" s="14">
        <f>INDEX('Transition Stepwise'!$J$2:$J$1137,MATCH(28&amp;"|"&amp;$A224&amp;"|"&amp;B$221,'Transition Stepwise'!$E$2:$E$1137,0))</f>
        <v>0.19230769230769232</v>
      </c>
      <c r="C224" s="14">
        <f>INDEX('Transition Stepwise'!$J$2:$J$1137,MATCH(28&amp;"|"&amp;$A224&amp;"|"&amp;C$221,'Transition Stepwise'!$E$2:$E$1137,0))</f>
        <v>0.30769230769230771</v>
      </c>
      <c r="D224" s="14">
        <f>INDEX('Transition Stepwise'!$J$2:$J$1137,MATCH(28&amp;"|"&amp;$A224&amp;"|"&amp;D$221,'Transition Stepwise'!$E$2:$E$1137,0))</f>
        <v>0.42307692307692307</v>
      </c>
      <c r="E224" s="14">
        <f>INDEX('Transition Stepwise'!$J$2:$J$1137,MATCH(28&amp;"|"&amp;$A224&amp;"|"&amp;E$221,'Transition Stepwise'!$E$2:$E$1137,0))</f>
        <v>7.6923076923076927E-2</v>
      </c>
      <c r="F224" s="4">
        <f>ROUND(SUM(B224:E224),9)</f>
        <v>1</v>
      </c>
    </row>
    <row r="225" spans="1:6">
      <c r="A225" s="5" t="s">
        <v>72</v>
      </c>
      <c r="B225" s="14">
        <f>INDEX('Transition Stepwise'!$J$2:$J$1137,MATCH(28&amp;"|"&amp;$A225&amp;"|"&amp;B$221,'Transition Stepwise'!$E$2:$E$1137,0))</f>
        <v>0.14545454545454545</v>
      </c>
      <c r="C225" s="14">
        <f>INDEX('Transition Stepwise'!$J$2:$J$1137,MATCH(28&amp;"|"&amp;$A225&amp;"|"&amp;C$221,'Transition Stepwise'!$E$2:$E$1137,0))</f>
        <v>0.27272727272727271</v>
      </c>
      <c r="D225" s="14">
        <f>INDEX('Transition Stepwise'!$J$2:$J$1137,MATCH(28&amp;"|"&amp;$A225&amp;"|"&amp;D$221,'Transition Stepwise'!$E$2:$E$1137,0))</f>
        <v>0.30909090909090908</v>
      </c>
      <c r="E225" s="14">
        <f>INDEX('Transition Stepwise'!$J$2:$J$1137,MATCH(28&amp;"|"&amp;$A225&amp;"|"&amp;E$221,'Transition Stepwise'!$E$2:$E$1137,0))</f>
        <v>0.27272727272727271</v>
      </c>
      <c r="F225" s="4">
        <f>ROUND(SUM(B225:E225),9)</f>
        <v>1</v>
      </c>
    </row>
    <row r="226" spans="1:6">
      <c r="A226" s="4"/>
      <c r="B226" s="4"/>
      <c r="C226" s="4"/>
      <c r="D226" s="4"/>
      <c r="E226" s="4"/>
      <c r="F226" s="4"/>
    </row>
    <row r="227" spans="1:6">
      <c r="A227" s="4"/>
      <c r="B227" s="4"/>
      <c r="C227" s="4"/>
      <c r="D227" s="4"/>
      <c r="E227" s="4"/>
      <c r="F227" s="4"/>
    </row>
    <row r="228" spans="1:6">
      <c r="A228" s="5" t="s">
        <v>622</v>
      </c>
      <c r="B228" s="4"/>
      <c r="C228" s="4"/>
      <c r="D228" s="4"/>
      <c r="E228" s="4"/>
      <c r="F228" s="4"/>
    </row>
    <row r="229" spans="1:6">
      <c r="A229" s="9" t="s">
        <v>593</v>
      </c>
      <c r="B229" s="9" t="s">
        <v>73</v>
      </c>
      <c r="C229" s="9" t="s">
        <v>71</v>
      </c>
      <c r="D229" s="9" t="s">
        <v>70</v>
      </c>
      <c r="E229" s="9" t="s">
        <v>72</v>
      </c>
      <c r="F229" s="9" t="s">
        <v>666</v>
      </c>
    </row>
    <row r="230" spans="1:6">
      <c r="A230" s="5" t="s">
        <v>73</v>
      </c>
      <c r="B230" s="14">
        <f>INDEX('Transition Stepwise'!$J$2:$J$1137,MATCH(29&amp;"|"&amp;$A230&amp;"|"&amp;B$229,'Transition Stepwise'!$E$2:$E$1137,0))</f>
        <v>2.7777777777777776E-2</v>
      </c>
      <c r="C230" s="14">
        <f>INDEX('Transition Stepwise'!$J$2:$J$1137,MATCH(29&amp;"|"&amp;$A230&amp;"|"&amp;C$229,'Transition Stepwise'!$E$2:$E$1137,0))</f>
        <v>0.25</v>
      </c>
      <c r="D230" s="14">
        <f>INDEX('Transition Stepwise'!$J$2:$J$1137,MATCH(29&amp;"|"&amp;$A230&amp;"|"&amp;D$229,'Transition Stepwise'!$E$2:$E$1137,0))</f>
        <v>0.69444444444444442</v>
      </c>
      <c r="E230" s="14">
        <f>INDEX('Transition Stepwise'!$J$2:$J$1137,MATCH(29&amp;"|"&amp;$A230&amp;"|"&amp;E$229,'Transition Stepwise'!$E$2:$E$1137,0))</f>
        <v>2.7777777777777776E-2</v>
      </c>
      <c r="F230" s="4">
        <f>ROUND(SUM(B230:E230),9)</f>
        <v>1</v>
      </c>
    </row>
    <row r="231" spans="1:6">
      <c r="A231" s="5" t="s">
        <v>71</v>
      </c>
      <c r="B231" s="14">
        <f>INDEX('Transition Stepwise'!$J$2:$J$1137,MATCH(29&amp;"|"&amp;$A231&amp;"|"&amp;B$229,'Transition Stepwise'!$E$2:$E$1137,0))</f>
        <v>2.5000000000000001E-2</v>
      </c>
      <c r="C231" s="14">
        <f>INDEX('Transition Stepwise'!$J$2:$J$1137,MATCH(29&amp;"|"&amp;$A231&amp;"|"&amp;C$229,'Transition Stepwise'!$E$2:$E$1137,0))</f>
        <v>0.2</v>
      </c>
      <c r="D231" s="14">
        <f>INDEX('Transition Stepwise'!$J$2:$J$1137,MATCH(29&amp;"|"&amp;$A231&amp;"|"&amp;D$229,'Transition Stepwise'!$E$2:$E$1137,0))</f>
        <v>0.72499999999999998</v>
      </c>
      <c r="E231" s="14">
        <f>INDEX('Transition Stepwise'!$J$2:$J$1137,MATCH(29&amp;"|"&amp;$A231&amp;"|"&amp;E$229,'Transition Stepwise'!$E$2:$E$1137,0))</f>
        <v>0.05</v>
      </c>
      <c r="F231" s="4">
        <f>ROUND(SUM(B231:E231),9)</f>
        <v>1</v>
      </c>
    </row>
    <row r="232" spans="1:6">
      <c r="A232" s="5" t="s">
        <v>70</v>
      </c>
      <c r="B232" s="14">
        <f>INDEX('Transition Stepwise'!$J$2:$J$1137,MATCH(29&amp;"|"&amp;$A232&amp;"|"&amp;B$229,'Transition Stepwise'!$E$2:$E$1137,0))</f>
        <v>1.2345679012345678E-2</v>
      </c>
      <c r="C232" s="14">
        <f>INDEX('Transition Stepwise'!$J$2:$J$1137,MATCH(29&amp;"|"&amp;$A232&amp;"|"&amp;C$229,'Transition Stepwise'!$E$2:$E$1137,0))</f>
        <v>0.13580246913580246</v>
      </c>
      <c r="D232" s="14">
        <f>INDEX('Transition Stepwise'!$J$2:$J$1137,MATCH(29&amp;"|"&amp;$A232&amp;"|"&amp;D$229,'Transition Stepwise'!$E$2:$E$1137,0))</f>
        <v>0.76543209876543206</v>
      </c>
      <c r="E232" s="14">
        <f>INDEX('Transition Stepwise'!$J$2:$J$1137,MATCH(29&amp;"|"&amp;$A232&amp;"|"&amp;E$229,'Transition Stepwise'!$E$2:$E$1137,0))</f>
        <v>8.6419753086419748E-2</v>
      </c>
      <c r="F232" s="4">
        <f>ROUND(SUM(B232:E232),9)</f>
        <v>1</v>
      </c>
    </row>
    <row r="233" spans="1:6">
      <c r="A233" s="5" t="s">
        <v>72</v>
      </c>
      <c r="B233" s="14">
        <f>INDEX('Transition Stepwise'!$J$2:$J$1137,MATCH(29&amp;"|"&amp;$A233&amp;"|"&amp;B$229,'Transition Stepwise'!$E$2:$E$1137,0))</f>
        <v>1.6949152542372881E-2</v>
      </c>
      <c r="C233" s="14">
        <f>INDEX('Transition Stepwise'!$J$2:$J$1137,MATCH(29&amp;"|"&amp;$A233&amp;"|"&amp;C$229,'Transition Stepwise'!$E$2:$E$1137,0))</f>
        <v>0.32203389830508472</v>
      </c>
      <c r="D233" s="14">
        <f>INDEX('Transition Stepwise'!$J$2:$J$1137,MATCH(29&amp;"|"&amp;$A233&amp;"|"&amp;D$229,'Transition Stepwise'!$E$2:$E$1137,0))</f>
        <v>0.64406779661016944</v>
      </c>
      <c r="E233" s="14">
        <f>INDEX('Transition Stepwise'!$J$2:$J$1137,MATCH(29&amp;"|"&amp;$A233&amp;"|"&amp;E$229,'Transition Stepwise'!$E$2:$E$1137,0))</f>
        <v>1.6949152542372881E-2</v>
      </c>
      <c r="F233" s="4">
        <f>ROUND(SUM(B233:E233),9)</f>
        <v>1</v>
      </c>
    </row>
    <row r="234" spans="1:6">
      <c r="A234" s="4"/>
      <c r="B234" s="4"/>
      <c r="C234" s="4"/>
      <c r="D234" s="4"/>
      <c r="E234" s="4"/>
      <c r="F234" s="4"/>
    </row>
    <row r="235" spans="1:6">
      <c r="A235" s="4"/>
      <c r="B235" s="4"/>
      <c r="C235" s="4"/>
      <c r="D235" s="4"/>
      <c r="E235" s="4"/>
      <c r="F235" s="4"/>
    </row>
    <row r="236" spans="1:6">
      <c r="A236" s="5" t="s">
        <v>623</v>
      </c>
      <c r="B236" s="4"/>
      <c r="C236" s="4"/>
      <c r="D236" s="4"/>
      <c r="E236" s="4"/>
      <c r="F236" s="4"/>
    </row>
    <row r="237" spans="1:6">
      <c r="A237" s="9" t="s">
        <v>593</v>
      </c>
      <c r="B237" s="9" t="s">
        <v>73</v>
      </c>
      <c r="C237" s="9" t="s">
        <v>71</v>
      </c>
      <c r="D237" s="9" t="s">
        <v>70</v>
      </c>
      <c r="E237" s="9" t="s">
        <v>72</v>
      </c>
      <c r="F237" s="9" t="s">
        <v>666</v>
      </c>
    </row>
    <row r="238" spans="1:6">
      <c r="A238" s="5" t="s">
        <v>73</v>
      </c>
      <c r="B238" s="14">
        <f>INDEX('Transition Stepwise'!$J$2:$J$1137,MATCH(30&amp;"|"&amp;$A238&amp;"|"&amp;B$237,'Transition Stepwise'!$E$2:$E$1137,0))</f>
        <v>0.25</v>
      </c>
      <c r="C238" s="14">
        <f>INDEX('Transition Stepwise'!$J$2:$J$1137,MATCH(30&amp;"|"&amp;$A238&amp;"|"&amp;C$237,'Transition Stepwise'!$E$2:$E$1137,0))</f>
        <v>0.25</v>
      </c>
      <c r="D238" s="14">
        <f>INDEX('Transition Stepwise'!$J$2:$J$1137,MATCH(30&amp;"|"&amp;$A238&amp;"|"&amp;D$237,'Transition Stepwise'!$E$2:$E$1137,0))</f>
        <v>0.25</v>
      </c>
      <c r="E238" s="14">
        <f>INDEX('Transition Stepwise'!$J$2:$J$1137,MATCH(30&amp;"|"&amp;$A238&amp;"|"&amp;E$237,'Transition Stepwise'!$E$2:$E$1137,0))</f>
        <v>0.25</v>
      </c>
      <c r="F238" s="4">
        <f>ROUND(SUM(B238:E238),9)</f>
        <v>1</v>
      </c>
    </row>
    <row r="239" spans="1:6">
      <c r="A239" s="5" t="s">
        <v>71</v>
      </c>
      <c r="B239" s="14">
        <f>INDEX('Transition Stepwise'!$J$2:$J$1137,MATCH(30&amp;"|"&amp;$A239&amp;"|"&amp;B$237,'Transition Stepwise'!$E$2:$E$1137,0))</f>
        <v>8.5106382978723402E-2</v>
      </c>
      <c r="C239" s="14">
        <f>INDEX('Transition Stepwise'!$J$2:$J$1137,MATCH(30&amp;"|"&amp;$A239&amp;"|"&amp;C$237,'Transition Stepwise'!$E$2:$E$1137,0))</f>
        <v>0.61702127659574468</v>
      </c>
      <c r="D239" s="14">
        <f>INDEX('Transition Stepwise'!$J$2:$J$1137,MATCH(30&amp;"|"&amp;$A239&amp;"|"&amp;D$237,'Transition Stepwise'!$E$2:$E$1137,0))</f>
        <v>0.23404255319148937</v>
      </c>
      <c r="E239" s="14">
        <f>INDEX('Transition Stepwise'!$J$2:$J$1137,MATCH(30&amp;"|"&amp;$A239&amp;"|"&amp;E$237,'Transition Stepwise'!$E$2:$E$1137,0))</f>
        <v>6.3829787234042548E-2</v>
      </c>
      <c r="F239" s="4">
        <f>ROUND(SUM(B239:E239),9)</f>
        <v>1</v>
      </c>
    </row>
    <row r="240" spans="1:6">
      <c r="A240" s="5" t="s">
        <v>70</v>
      </c>
      <c r="B240" s="14">
        <f>INDEX('Transition Stepwise'!$J$2:$J$1137,MATCH(30&amp;"|"&amp;$A240&amp;"|"&amp;B$237,'Transition Stepwise'!$E$2:$E$1137,0))</f>
        <v>0.32467532467532467</v>
      </c>
      <c r="C240" s="14">
        <f>INDEX('Transition Stepwise'!$J$2:$J$1137,MATCH(30&amp;"|"&amp;$A240&amp;"|"&amp;C$237,'Transition Stepwise'!$E$2:$E$1137,0))</f>
        <v>0.2857142857142857</v>
      </c>
      <c r="D240" s="14">
        <f>INDEX('Transition Stepwise'!$J$2:$J$1137,MATCH(30&amp;"|"&amp;$A240&amp;"|"&amp;D$237,'Transition Stepwise'!$E$2:$E$1137,0))</f>
        <v>0.27272727272727271</v>
      </c>
      <c r="E240" s="14">
        <f>INDEX('Transition Stepwise'!$J$2:$J$1137,MATCH(30&amp;"|"&amp;$A240&amp;"|"&amp;E$237,'Transition Stepwise'!$E$2:$E$1137,0))</f>
        <v>0.11688311688311688</v>
      </c>
      <c r="F240" s="4">
        <f>ROUND(SUM(B240:E240),9)</f>
        <v>1</v>
      </c>
    </row>
    <row r="241" spans="1:6">
      <c r="A241" s="5" t="s">
        <v>72</v>
      </c>
      <c r="B241" s="14">
        <f>INDEX('Transition Stepwise'!$J$2:$J$1137,MATCH(30&amp;"|"&amp;$A241&amp;"|"&amp;B$237,'Transition Stepwise'!$E$2:$E$1137,0))</f>
        <v>0.27272727272727271</v>
      </c>
      <c r="C241" s="14">
        <f>INDEX('Transition Stepwise'!$J$2:$J$1137,MATCH(30&amp;"|"&amp;$A241&amp;"|"&amp;C$237,'Transition Stepwise'!$E$2:$E$1137,0))</f>
        <v>0.18181818181818182</v>
      </c>
      <c r="D241" s="14">
        <f>INDEX('Transition Stepwise'!$J$2:$J$1137,MATCH(30&amp;"|"&amp;$A241&amp;"|"&amp;D$237,'Transition Stepwise'!$E$2:$E$1137,0))</f>
        <v>0.45454545454545453</v>
      </c>
      <c r="E241" s="14">
        <f>INDEX('Transition Stepwise'!$J$2:$J$1137,MATCH(30&amp;"|"&amp;$A241&amp;"|"&amp;E$237,'Transition Stepwise'!$E$2:$E$1137,0))</f>
        <v>9.0909090909090912E-2</v>
      </c>
      <c r="F241" s="4">
        <f>ROUND(SUM(B241:E241),9)</f>
        <v>1</v>
      </c>
    </row>
    <row r="242" spans="1:6">
      <c r="A242" s="4"/>
      <c r="B242" s="4"/>
      <c r="C242" s="4"/>
      <c r="D242" s="4"/>
      <c r="E242" s="4"/>
      <c r="F242" s="4"/>
    </row>
    <row r="243" spans="1:6">
      <c r="A243" s="4"/>
      <c r="B243" s="4"/>
      <c r="C243" s="4"/>
      <c r="D243" s="4"/>
      <c r="E243" s="4"/>
      <c r="F243" s="4"/>
    </row>
    <row r="244" spans="1:6">
      <c r="A244" s="5" t="s">
        <v>624</v>
      </c>
      <c r="B244" s="4"/>
      <c r="C244" s="4"/>
      <c r="D244" s="4"/>
      <c r="E244" s="4"/>
      <c r="F244" s="4"/>
    </row>
    <row r="245" spans="1:6">
      <c r="A245" s="9" t="s">
        <v>593</v>
      </c>
      <c r="B245" s="9" t="s">
        <v>73</v>
      </c>
      <c r="C245" s="9" t="s">
        <v>71</v>
      </c>
      <c r="D245" s="9" t="s">
        <v>70</v>
      </c>
      <c r="E245" s="9" t="s">
        <v>72</v>
      </c>
      <c r="F245" s="9" t="s">
        <v>666</v>
      </c>
    </row>
    <row r="246" spans="1:6">
      <c r="A246" s="5" t="s">
        <v>73</v>
      </c>
      <c r="B246" s="14">
        <f>INDEX('Transition Stepwise'!$J$2:$J$1137,MATCH(31&amp;"|"&amp;$A246&amp;"|"&amp;B$245,'Transition Stepwise'!$E$2:$E$1137,0))</f>
        <v>1.7241379310344827E-2</v>
      </c>
      <c r="C246" s="14">
        <f>INDEX('Transition Stepwise'!$J$2:$J$1137,MATCH(31&amp;"|"&amp;$A246&amp;"|"&amp;C$245,'Transition Stepwise'!$E$2:$E$1137,0))</f>
        <v>0.82758620689655171</v>
      </c>
      <c r="D246" s="14">
        <f>INDEX('Transition Stepwise'!$J$2:$J$1137,MATCH(31&amp;"|"&amp;$A246&amp;"|"&amp;D$245,'Transition Stepwise'!$E$2:$E$1137,0))</f>
        <v>1.7241379310344827E-2</v>
      </c>
      <c r="E246" s="14">
        <f>INDEX('Transition Stepwise'!$J$2:$J$1137,MATCH(31&amp;"|"&amp;$A246&amp;"|"&amp;E$245,'Transition Stepwise'!$E$2:$E$1137,0))</f>
        <v>0.13793103448275862</v>
      </c>
      <c r="F246" s="4">
        <f>ROUND(SUM(B246:E246),9)</f>
        <v>1</v>
      </c>
    </row>
    <row r="247" spans="1:6">
      <c r="A247" s="5" t="s">
        <v>71</v>
      </c>
      <c r="B247" s="14">
        <f>INDEX('Transition Stepwise'!$J$2:$J$1137,MATCH(31&amp;"|"&amp;$A247&amp;"|"&amp;B$245,'Transition Stepwise'!$E$2:$E$1137,0))</f>
        <v>9.2105263157894732E-2</v>
      </c>
      <c r="C247" s="14">
        <f>INDEX('Transition Stepwise'!$J$2:$J$1137,MATCH(31&amp;"|"&amp;$A247&amp;"|"&amp;C$245,'Transition Stepwise'!$E$2:$E$1137,0))</f>
        <v>0.48684210526315791</v>
      </c>
      <c r="D247" s="14">
        <f>INDEX('Transition Stepwise'!$J$2:$J$1137,MATCH(31&amp;"|"&amp;$A247&amp;"|"&amp;D$245,'Transition Stepwise'!$E$2:$E$1137,0))</f>
        <v>1.3157894736842105E-2</v>
      </c>
      <c r="E247" s="14">
        <f>INDEX('Transition Stepwise'!$J$2:$J$1137,MATCH(31&amp;"|"&amp;$A247&amp;"|"&amp;E$245,'Transition Stepwise'!$E$2:$E$1137,0))</f>
        <v>0.40789473684210525</v>
      </c>
      <c r="F247" s="4">
        <f>ROUND(SUM(B247:E247),9)</f>
        <v>1</v>
      </c>
    </row>
    <row r="248" spans="1:6">
      <c r="A248" s="5" t="s">
        <v>70</v>
      </c>
      <c r="B248" s="14">
        <f>INDEX('Transition Stepwise'!$J$2:$J$1137,MATCH(31&amp;"|"&amp;$A248&amp;"|"&amp;B$245,'Transition Stepwise'!$E$2:$E$1137,0))</f>
        <v>1.6949152542372881E-2</v>
      </c>
      <c r="C248" s="14">
        <f>INDEX('Transition Stepwise'!$J$2:$J$1137,MATCH(31&amp;"|"&amp;$A248&amp;"|"&amp;C$245,'Transition Stepwise'!$E$2:$E$1137,0))</f>
        <v>0.61016949152542377</v>
      </c>
      <c r="D248" s="14">
        <f>INDEX('Transition Stepwise'!$J$2:$J$1137,MATCH(31&amp;"|"&amp;$A248&amp;"|"&amp;D$245,'Transition Stepwise'!$E$2:$E$1137,0))</f>
        <v>1.6949152542372881E-2</v>
      </c>
      <c r="E248" s="14">
        <f>INDEX('Transition Stepwise'!$J$2:$J$1137,MATCH(31&amp;"|"&amp;$A248&amp;"|"&amp;E$245,'Transition Stepwise'!$E$2:$E$1137,0))</f>
        <v>0.3559322033898305</v>
      </c>
      <c r="F248" s="4">
        <f>ROUND(SUM(B248:E248),9)</f>
        <v>1</v>
      </c>
    </row>
    <row r="249" spans="1:6">
      <c r="A249" s="5" t="s">
        <v>72</v>
      </c>
      <c r="B249" s="14">
        <f>INDEX('Transition Stepwise'!$J$2:$J$1137,MATCH(31&amp;"|"&amp;$A249&amp;"|"&amp;B$245,'Transition Stepwise'!$E$2:$E$1137,0))</f>
        <v>4.3478260869565216E-2</v>
      </c>
      <c r="C249" s="14">
        <f>INDEX('Transition Stepwise'!$J$2:$J$1137,MATCH(31&amp;"|"&amp;$A249&amp;"|"&amp;C$245,'Transition Stepwise'!$E$2:$E$1137,0))</f>
        <v>0.78260869565217395</v>
      </c>
      <c r="D249" s="14">
        <f>INDEX('Transition Stepwise'!$J$2:$J$1137,MATCH(31&amp;"|"&amp;$A249&amp;"|"&amp;D$245,'Transition Stepwise'!$E$2:$E$1137,0))</f>
        <v>4.3478260869565216E-2</v>
      </c>
      <c r="E249" s="14">
        <f>INDEX('Transition Stepwise'!$J$2:$J$1137,MATCH(31&amp;"|"&amp;$A249&amp;"|"&amp;E$245,'Transition Stepwise'!$E$2:$E$1137,0))</f>
        <v>0.13043478260869565</v>
      </c>
      <c r="F249" s="4">
        <f>ROUND(SUM(B249:E249),9)</f>
        <v>1</v>
      </c>
    </row>
    <row r="250" spans="1:6">
      <c r="A250" s="4"/>
      <c r="B250" s="4"/>
      <c r="C250" s="4"/>
      <c r="D250" s="4"/>
      <c r="E250" s="4"/>
      <c r="F250" s="4"/>
    </row>
    <row r="251" spans="1:6">
      <c r="A251" s="4"/>
      <c r="B251" s="4"/>
      <c r="C251" s="4"/>
      <c r="D251" s="4"/>
      <c r="E251" s="4"/>
      <c r="F251" s="4"/>
    </row>
    <row r="252" spans="1:6">
      <c r="A252" s="5" t="s">
        <v>625</v>
      </c>
      <c r="B252" s="4"/>
      <c r="C252" s="4"/>
      <c r="D252" s="4"/>
      <c r="E252" s="4"/>
      <c r="F252" s="4"/>
    </row>
    <row r="253" spans="1:6">
      <c r="A253" s="9" t="s">
        <v>593</v>
      </c>
      <c r="B253" s="9" t="s">
        <v>73</v>
      </c>
      <c r="C253" s="9" t="s">
        <v>71</v>
      </c>
      <c r="D253" s="9" t="s">
        <v>70</v>
      </c>
      <c r="E253" s="9" t="s">
        <v>72</v>
      </c>
      <c r="F253" s="9" t="s">
        <v>666</v>
      </c>
    </row>
    <row r="254" spans="1:6">
      <c r="A254" s="5" t="s">
        <v>73</v>
      </c>
      <c r="B254" s="14">
        <f>INDEX('Transition Stepwise'!$J$2:$J$1137,MATCH(32&amp;"|"&amp;$A254&amp;"|"&amp;B$253,'Transition Stepwise'!$E$2:$E$1137,0))</f>
        <v>0.1</v>
      </c>
      <c r="C254" s="14">
        <f>INDEX('Transition Stepwise'!$J$2:$J$1137,MATCH(32&amp;"|"&amp;$A254&amp;"|"&amp;C$253,'Transition Stepwise'!$E$2:$E$1137,0))</f>
        <v>0.1</v>
      </c>
      <c r="D254" s="14">
        <f>INDEX('Transition Stepwise'!$J$2:$J$1137,MATCH(32&amp;"|"&amp;$A254&amp;"|"&amp;D$253,'Transition Stepwise'!$E$2:$E$1137,0))</f>
        <v>0.1</v>
      </c>
      <c r="E254" s="14">
        <f>INDEX('Transition Stepwise'!$J$2:$J$1137,MATCH(32&amp;"|"&amp;$A254&amp;"|"&amp;E$253,'Transition Stepwise'!$E$2:$E$1137,0))</f>
        <v>0.7</v>
      </c>
      <c r="F254" s="4">
        <f>ROUND(SUM(B254:E254),9)</f>
        <v>1</v>
      </c>
    </row>
    <row r="255" spans="1:6">
      <c r="A255" s="5" t="s">
        <v>71</v>
      </c>
      <c r="B255" s="14">
        <f>INDEX('Transition Stepwise'!$J$2:$J$1137,MATCH(32&amp;"|"&amp;$A255&amp;"|"&amp;B$253,'Transition Stepwise'!$E$2:$E$1137,0))</f>
        <v>7.1942446043165471E-3</v>
      </c>
      <c r="C255" s="14">
        <f>INDEX('Transition Stepwise'!$J$2:$J$1137,MATCH(32&amp;"|"&amp;$A255&amp;"|"&amp;C$253,'Transition Stepwise'!$E$2:$E$1137,0))</f>
        <v>1.4388489208633094E-2</v>
      </c>
      <c r="D255" s="14">
        <f>INDEX('Transition Stepwise'!$J$2:$J$1137,MATCH(32&amp;"|"&amp;$A255&amp;"|"&amp;D$253,'Transition Stepwise'!$E$2:$E$1137,0))</f>
        <v>7.1942446043165471E-3</v>
      </c>
      <c r="E255" s="14">
        <f>INDEX('Transition Stepwise'!$J$2:$J$1137,MATCH(32&amp;"|"&amp;$A255&amp;"|"&amp;E$253,'Transition Stepwise'!$E$2:$E$1137,0))</f>
        <v>0.97122302158273377</v>
      </c>
      <c r="F255" s="4">
        <f>ROUND(SUM(B255:E255),9)</f>
        <v>1</v>
      </c>
    </row>
    <row r="256" spans="1:6">
      <c r="A256" s="5" t="s">
        <v>70</v>
      </c>
      <c r="B256" s="14">
        <f>INDEX('Transition Stepwise'!$J$2:$J$1137,MATCH(32&amp;"|"&amp;$A256&amp;"|"&amp;B$253,'Transition Stepwise'!$E$2:$E$1137,0))</f>
        <v>0.25</v>
      </c>
      <c r="C256" s="14">
        <f>INDEX('Transition Stepwise'!$J$2:$J$1137,MATCH(32&amp;"|"&amp;$A256&amp;"|"&amp;C$253,'Transition Stepwise'!$E$2:$E$1137,0))</f>
        <v>0.25</v>
      </c>
      <c r="D256" s="14">
        <f>INDEX('Transition Stepwise'!$J$2:$J$1137,MATCH(32&amp;"|"&amp;$A256&amp;"|"&amp;D$253,'Transition Stepwise'!$E$2:$E$1137,0))</f>
        <v>0.25</v>
      </c>
      <c r="E256" s="14">
        <f>INDEX('Transition Stepwise'!$J$2:$J$1137,MATCH(32&amp;"|"&amp;$A256&amp;"|"&amp;E$253,'Transition Stepwise'!$E$2:$E$1137,0))</f>
        <v>0.25</v>
      </c>
      <c r="F256" s="4">
        <f>ROUND(SUM(B256:E256),9)</f>
        <v>1</v>
      </c>
    </row>
    <row r="257" spans="1:6">
      <c r="A257" s="5" t="s">
        <v>72</v>
      </c>
      <c r="B257" s="14">
        <f>INDEX('Transition Stepwise'!$J$2:$J$1137,MATCH(32&amp;"|"&amp;$A257&amp;"|"&amp;B$253,'Transition Stepwise'!$E$2:$E$1137,0))</f>
        <v>3.1746031746031744E-2</v>
      </c>
      <c r="C257" s="14">
        <f>INDEX('Transition Stepwise'!$J$2:$J$1137,MATCH(32&amp;"|"&amp;$A257&amp;"|"&amp;C$253,'Transition Stepwise'!$E$2:$E$1137,0))</f>
        <v>1.5873015873015872E-2</v>
      </c>
      <c r="D257" s="14">
        <f>INDEX('Transition Stepwise'!$J$2:$J$1137,MATCH(32&amp;"|"&amp;$A257&amp;"|"&amp;D$253,'Transition Stepwise'!$E$2:$E$1137,0))</f>
        <v>1.5873015873015872E-2</v>
      </c>
      <c r="E257" s="14">
        <f>INDEX('Transition Stepwise'!$J$2:$J$1137,MATCH(32&amp;"|"&amp;$A257&amp;"|"&amp;E$253,'Transition Stepwise'!$E$2:$E$1137,0))</f>
        <v>0.93650793650793651</v>
      </c>
      <c r="F257" s="4">
        <f>ROUND(SUM(B257:E257),9)</f>
        <v>1</v>
      </c>
    </row>
    <row r="258" spans="1:6">
      <c r="A258" s="4"/>
      <c r="B258" s="4"/>
      <c r="C258" s="4"/>
      <c r="D258" s="4"/>
      <c r="E258" s="4"/>
      <c r="F258" s="4"/>
    </row>
    <row r="259" spans="1:6">
      <c r="A259" s="4"/>
      <c r="B259" s="4"/>
      <c r="C259" s="4"/>
      <c r="D259" s="4"/>
      <c r="E259" s="4"/>
      <c r="F259" s="4"/>
    </row>
    <row r="260" spans="1:6">
      <c r="A260" s="5" t="s">
        <v>626</v>
      </c>
      <c r="B260" s="4"/>
      <c r="C260" s="4"/>
      <c r="D260" s="4"/>
      <c r="E260" s="4"/>
      <c r="F260" s="4"/>
    </row>
    <row r="261" spans="1:6">
      <c r="A261" s="9" t="s">
        <v>593</v>
      </c>
      <c r="B261" s="9" t="s">
        <v>73</v>
      </c>
      <c r="C261" s="9" t="s">
        <v>71</v>
      </c>
      <c r="D261" s="9" t="s">
        <v>70</v>
      </c>
      <c r="E261" s="9" t="s">
        <v>72</v>
      </c>
      <c r="F261" s="9" t="s">
        <v>666</v>
      </c>
    </row>
    <row r="262" spans="1:6">
      <c r="A262" s="5" t="s">
        <v>73</v>
      </c>
      <c r="B262" s="14">
        <f>INDEX('Transition Stepwise'!$J$2:$J$1137,MATCH(33&amp;"|"&amp;$A262&amp;"|"&amp;B$261,'Transition Stepwise'!$E$2:$E$1137,0))</f>
        <v>0.2</v>
      </c>
      <c r="C262" s="14">
        <f>INDEX('Transition Stepwise'!$J$2:$J$1137,MATCH(33&amp;"|"&amp;$A262&amp;"|"&amp;C$261,'Transition Stepwise'!$E$2:$E$1137,0))</f>
        <v>0.4</v>
      </c>
      <c r="D262" s="14">
        <f>INDEX('Transition Stepwise'!$J$2:$J$1137,MATCH(33&amp;"|"&amp;$A262&amp;"|"&amp;D$261,'Transition Stepwise'!$E$2:$E$1137,0))</f>
        <v>0.2</v>
      </c>
      <c r="E262" s="14">
        <f>INDEX('Transition Stepwise'!$J$2:$J$1137,MATCH(33&amp;"|"&amp;$A262&amp;"|"&amp;E$261,'Transition Stepwise'!$E$2:$E$1137,0))</f>
        <v>0.2</v>
      </c>
      <c r="F262" s="4">
        <f>ROUND(SUM(B262:E262),9)</f>
        <v>1</v>
      </c>
    </row>
    <row r="263" spans="1:6">
      <c r="A263" s="5" t="s">
        <v>71</v>
      </c>
      <c r="B263" s="14">
        <f>INDEX('Transition Stepwise'!$J$2:$J$1137,MATCH(33&amp;"|"&amp;$A263&amp;"|"&amp;B$261,'Transition Stepwise'!$E$2:$E$1137,0))</f>
        <v>0.2</v>
      </c>
      <c r="C263" s="14">
        <f>INDEX('Transition Stepwise'!$J$2:$J$1137,MATCH(33&amp;"|"&amp;$A263&amp;"|"&amp;C$261,'Transition Stepwise'!$E$2:$E$1137,0))</f>
        <v>0.4</v>
      </c>
      <c r="D263" s="14">
        <f>INDEX('Transition Stepwise'!$J$2:$J$1137,MATCH(33&amp;"|"&amp;$A263&amp;"|"&amp;D$261,'Transition Stepwise'!$E$2:$E$1137,0))</f>
        <v>0.2</v>
      </c>
      <c r="E263" s="14">
        <f>INDEX('Transition Stepwise'!$J$2:$J$1137,MATCH(33&amp;"|"&amp;$A263&amp;"|"&amp;E$261,'Transition Stepwise'!$E$2:$E$1137,0))</f>
        <v>0.2</v>
      </c>
      <c r="F263" s="4">
        <f>ROUND(SUM(B263:E263),9)</f>
        <v>1</v>
      </c>
    </row>
    <row r="264" spans="1:6">
      <c r="A264" s="5" t="s">
        <v>70</v>
      </c>
      <c r="B264" s="14">
        <f>INDEX('Transition Stepwise'!$J$2:$J$1137,MATCH(33&amp;"|"&amp;$A264&amp;"|"&amp;B$261,'Transition Stepwise'!$E$2:$E$1137,0))</f>
        <v>0.25</v>
      </c>
      <c r="C264" s="14">
        <f>INDEX('Transition Stepwise'!$J$2:$J$1137,MATCH(33&amp;"|"&amp;$A264&amp;"|"&amp;C$261,'Transition Stepwise'!$E$2:$E$1137,0))</f>
        <v>0.25</v>
      </c>
      <c r="D264" s="14">
        <f>INDEX('Transition Stepwise'!$J$2:$J$1137,MATCH(33&amp;"|"&amp;$A264&amp;"|"&amp;D$261,'Transition Stepwise'!$E$2:$E$1137,0))</f>
        <v>0.25</v>
      </c>
      <c r="E264" s="14">
        <f>INDEX('Transition Stepwise'!$J$2:$J$1137,MATCH(33&amp;"|"&amp;$A264&amp;"|"&amp;E$261,'Transition Stepwise'!$E$2:$E$1137,0))</f>
        <v>0.25</v>
      </c>
      <c r="F264" s="4">
        <f>ROUND(SUM(B264:E264),9)</f>
        <v>1</v>
      </c>
    </row>
    <row r="265" spans="1:6">
      <c r="A265" s="5" t="s">
        <v>72</v>
      </c>
      <c r="B265" s="14">
        <f>INDEX('Transition Stepwise'!$J$2:$J$1137,MATCH(33&amp;"|"&amp;$A265&amp;"|"&amp;B$261,'Transition Stepwise'!$E$2:$E$1137,0))</f>
        <v>4.9504950495049507E-2</v>
      </c>
      <c r="C265" s="14">
        <f>INDEX('Transition Stepwise'!$J$2:$J$1137,MATCH(33&amp;"|"&amp;$A265&amp;"|"&amp;C$261,'Transition Stepwise'!$E$2:$E$1137,0))</f>
        <v>0.32178217821782179</v>
      </c>
      <c r="D265" s="14">
        <f>INDEX('Transition Stepwise'!$J$2:$J$1137,MATCH(33&amp;"|"&amp;$A265&amp;"|"&amp;D$261,'Transition Stepwise'!$E$2:$E$1137,0))</f>
        <v>0.33663366336633666</v>
      </c>
      <c r="E265" s="14">
        <f>INDEX('Transition Stepwise'!$J$2:$J$1137,MATCH(33&amp;"|"&amp;$A265&amp;"|"&amp;E$261,'Transition Stepwise'!$E$2:$E$1137,0))</f>
        <v>0.29207920792079206</v>
      </c>
      <c r="F265" s="4">
        <f>ROUND(SUM(B265:E265),9)</f>
        <v>1</v>
      </c>
    </row>
    <row r="266" spans="1:6">
      <c r="A266" s="4"/>
      <c r="B266" s="4"/>
      <c r="C266" s="4"/>
      <c r="D266" s="4"/>
      <c r="E266" s="4"/>
      <c r="F266" s="4"/>
    </row>
    <row r="267" spans="1:6">
      <c r="A267" s="4"/>
      <c r="B267" s="4"/>
      <c r="C267" s="4"/>
      <c r="D267" s="4"/>
      <c r="E267" s="4"/>
      <c r="F267" s="4"/>
    </row>
    <row r="268" spans="1:6">
      <c r="A268" s="5" t="s">
        <v>627</v>
      </c>
      <c r="B268" s="4"/>
      <c r="C268" s="4"/>
      <c r="D268" s="4"/>
      <c r="E268" s="4"/>
      <c r="F268" s="4"/>
    </row>
    <row r="269" spans="1:6">
      <c r="A269" s="9" t="s">
        <v>593</v>
      </c>
      <c r="B269" s="9" t="s">
        <v>73</v>
      </c>
      <c r="C269" s="9" t="s">
        <v>71</v>
      </c>
      <c r="D269" s="9" t="s">
        <v>70</v>
      </c>
      <c r="E269" s="9" t="s">
        <v>72</v>
      </c>
      <c r="F269" s="9" t="s">
        <v>666</v>
      </c>
    </row>
    <row r="270" spans="1:6">
      <c r="A270" s="5" t="s">
        <v>73</v>
      </c>
      <c r="B270" s="14">
        <f>INDEX('Transition Stepwise'!$J$2:$J$1137,MATCH(34&amp;"|"&amp;$A270&amp;"|"&amp;B$269,'Transition Stepwise'!$E$2:$E$1137,0))</f>
        <v>0.30769230769230771</v>
      </c>
      <c r="C270" s="14">
        <f>INDEX('Transition Stepwise'!$J$2:$J$1137,MATCH(34&amp;"|"&amp;$A270&amp;"|"&amp;C$269,'Transition Stepwise'!$E$2:$E$1137,0))</f>
        <v>0.23076923076923078</v>
      </c>
      <c r="D270" s="14">
        <f>INDEX('Transition Stepwise'!$J$2:$J$1137,MATCH(34&amp;"|"&amp;$A270&amp;"|"&amp;D$269,'Transition Stepwise'!$E$2:$E$1137,0))</f>
        <v>0.38461538461538464</v>
      </c>
      <c r="E270" s="14">
        <f>INDEX('Transition Stepwise'!$J$2:$J$1137,MATCH(34&amp;"|"&amp;$A270&amp;"|"&amp;E$269,'Transition Stepwise'!$E$2:$E$1137,0))</f>
        <v>7.6923076923076927E-2</v>
      </c>
      <c r="F270" s="4">
        <f>ROUND(SUM(B270:E270),9)</f>
        <v>1</v>
      </c>
    </row>
    <row r="271" spans="1:6">
      <c r="A271" s="5" t="s">
        <v>71</v>
      </c>
      <c r="B271" s="14">
        <f>INDEX('Transition Stepwise'!$J$2:$J$1137,MATCH(34&amp;"|"&amp;$A271&amp;"|"&amp;B$269,'Transition Stepwise'!$E$2:$E$1137,0))</f>
        <v>0.37142857142857144</v>
      </c>
      <c r="C271" s="14">
        <f>INDEX('Transition Stepwise'!$J$2:$J$1137,MATCH(34&amp;"|"&amp;$A271&amp;"|"&amp;C$269,'Transition Stepwise'!$E$2:$E$1137,0))</f>
        <v>0.27142857142857141</v>
      </c>
      <c r="D271" s="14">
        <f>INDEX('Transition Stepwise'!$J$2:$J$1137,MATCH(34&amp;"|"&amp;$A271&amp;"|"&amp;D$269,'Transition Stepwise'!$E$2:$E$1137,0))</f>
        <v>0.17142857142857143</v>
      </c>
      <c r="E271" s="14">
        <f>INDEX('Transition Stepwise'!$J$2:$J$1137,MATCH(34&amp;"|"&amp;$A271&amp;"|"&amp;E$269,'Transition Stepwise'!$E$2:$E$1137,0))</f>
        <v>0.18571428571428572</v>
      </c>
      <c r="F271" s="4">
        <f>ROUND(SUM(B271:E271),9)</f>
        <v>1</v>
      </c>
    </row>
    <row r="272" spans="1:6">
      <c r="A272" s="5" t="s">
        <v>70</v>
      </c>
      <c r="B272" s="14">
        <f>INDEX('Transition Stepwise'!$J$2:$J$1137,MATCH(34&amp;"|"&amp;$A272&amp;"|"&amp;B$269,'Transition Stepwise'!$E$2:$E$1137,0))</f>
        <v>0.323943661971831</v>
      </c>
      <c r="C272" s="14">
        <f>INDEX('Transition Stepwise'!$J$2:$J$1137,MATCH(34&amp;"|"&amp;$A272&amp;"|"&amp;C$269,'Transition Stepwise'!$E$2:$E$1137,0))</f>
        <v>0.19718309859154928</v>
      </c>
      <c r="D272" s="14">
        <f>INDEX('Transition Stepwise'!$J$2:$J$1137,MATCH(34&amp;"|"&amp;$A272&amp;"|"&amp;D$269,'Transition Stepwise'!$E$2:$E$1137,0))</f>
        <v>0.19718309859154928</v>
      </c>
      <c r="E272" s="14">
        <f>INDEX('Transition Stepwise'!$J$2:$J$1137,MATCH(34&amp;"|"&amp;$A272&amp;"|"&amp;E$269,'Transition Stepwise'!$E$2:$E$1137,0))</f>
        <v>0.28169014084507044</v>
      </c>
      <c r="F272" s="4">
        <f>ROUND(SUM(B272:E272),9)</f>
        <v>1</v>
      </c>
    </row>
    <row r="273" spans="1:6">
      <c r="A273" s="5" t="s">
        <v>72</v>
      </c>
      <c r="B273" s="14">
        <f>INDEX('Transition Stepwise'!$J$2:$J$1137,MATCH(34&amp;"|"&amp;$A273&amp;"|"&amp;B$269,'Transition Stepwise'!$E$2:$E$1137,0))</f>
        <v>0.20967741935483872</v>
      </c>
      <c r="C273" s="14">
        <f>INDEX('Transition Stepwise'!$J$2:$J$1137,MATCH(34&amp;"|"&amp;$A273&amp;"|"&amp;C$269,'Transition Stepwise'!$E$2:$E$1137,0))</f>
        <v>0.22580645161290322</v>
      </c>
      <c r="D273" s="14">
        <f>INDEX('Transition Stepwise'!$J$2:$J$1137,MATCH(34&amp;"|"&amp;$A273&amp;"|"&amp;D$269,'Transition Stepwise'!$E$2:$E$1137,0))</f>
        <v>0.38709677419354838</v>
      </c>
      <c r="E273" s="14">
        <f>INDEX('Transition Stepwise'!$J$2:$J$1137,MATCH(34&amp;"|"&amp;$A273&amp;"|"&amp;E$269,'Transition Stepwise'!$E$2:$E$1137,0))</f>
        <v>0.17741935483870969</v>
      </c>
      <c r="F273" s="4">
        <f>ROUND(SUM(B273:E273),9)</f>
        <v>1</v>
      </c>
    </row>
    <row r="274" spans="1:6">
      <c r="A274" s="4"/>
      <c r="B274" s="4"/>
      <c r="C274" s="4"/>
      <c r="D274" s="4"/>
      <c r="E274" s="4"/>
      <c r="F274" s="4"/>
    </row>
    <row r="275" spans="1:6">
      <c r="A275" s="4"/>
      <c r="B275" s="4"/>
      <c r="C275" s="4"/>
      <c r="D275" s="4"/>
      <c r="E275" s="4"/>
      <c r="F275" s="4"/>
    </row>
    <row r="276" spans="1:6">
      <c r="A276" s="5" t="s">
        <v>628</v>
      </c>
      <c r="B276" s="4"/>
      <c r="C276" s="4"/>
      <c r="D276" s="4"/>
      <c r="E276" s="4"/>
      <c r="F276" s="4"/>
    </row>
    <row r="277" spans="1:6">
      <c r="A277" s="9" t="s">
        <v>593</v>
      </c>
      <c r="B277" s="9" t="s">
        <v>73</v>
      </c>
      <c r="C277" s="9" t="s">
        <v>71</v>
      </c>
      <c r="D277" s="9" t="s">
        <v>70</v>
      </c>
      <c r="E277" s="9" t="s">
        <v>72</v>
      </c>
      <c r="F277" s="9" t="s">
        <v>666</v>
      </c>
    </row>
    <row r="278" spans="1:6">
      <c r="A278" s="5" t="s">
        <v>73</v>
      </c>
      <c r="B278" s="14">
        <f>INDEX('Transition Stepwise'!$J$2:$J$1137,MATCH(35&amp;"|"&amp;$A278&amp;"|"&amp;B$277,'Transition Stepwise'!$E$2:$E$1137,0))</f>
        <v>0.18181818181818182</v>
      </c>
      <c r="C278" s="14">
        <f>INDEX('Transition Stepwise'!$J$2:$J$1137,MATCH(35&amp;"|"&amp;$A278&amp;"|"&amp;C$277,'Transition Stepwise'!$E$2:$E$1137,0))</f>
        <v>0.2878787878787879</v>
      </c>
      <c r="D278" s="14">
        <f>INDEX('Transition Stepwise'!$J$2:$J$1137,MATCH(35&amp;"|"&amp;$A278&amp;"|"&amp;D$277,'Transition Stepwise'!$E$2:$E$1137,0))</f>
        <v>7.575757575757576E-2</v>
      </c>
      <c r="E278" s="14">
        <f>INDEX('Transition Stepwise'!$J$2:$J$1137,MATCH(35&amp;"|"&amp;$A278&amp;"|"&amp;E$277,'Transition Stepwise'!$E$2:$E$1137,0))</f>
        <v>0.45454545454545453</v>
      </c>
      <c r="F278" s="4">
        <f>ROUND(SUM(B278:E278),9)</f>
        <v>1</v>
      </c>
    </row>
    <row r="279" spans="1:6">
      <c r="A279" s="5" t="s">
        <v>71</v>
      </c>
      <c r="B279" s="14">
        <f>INDEX('Transition Stepwise'!$J$2:$J$1137,MATCH(35&amp;"|"&amp;$A279&amp;"|"&amp;B$277,'Transition Stepwise'!$E$2:$E$1137,0))</f>
        <v>0.42</v>
      </c>
      <c r="C279" s="14">
        <f>INDEX('Transition Stepwise'!$J$2:$J$1137,MATCH(35&amp;"|"&amp;$A279&amp;"|"&amp;C$277,'Transition Stepwise'!$E$2:$E$1137,0))</f>
        <v>0.26</v>
      </c>
      <c r="D279" s="14">
        <f>INDEX('Transition Stepwise'!$J$2:$J$1137,MATCH(35&amp;"|"&amp;$A279&amp;"|"&amp;D$277,'Transition Stepwise'!$E$2:$E$1137,0))</f>
        <v>0.14000000000000001</v>
      </c>
      <c r="E279" s="14">
        <f>INDEX('Transition Stepwise'!$J$2:$J$1137,MATCH(35&amp;"|"&amp;$A279&amp;"|"&amp;E$277,'Transition Stepwise'!$E$2:$E$1137,0))</f>
        <v>0.18</v>
      </c>
      <c r="F279" s="4">
        <f>ROUND(SUM(B279:E279),9)</f>
        <v>1</v>
      </c>
    </row>
    <row r="280" spans="1:6">
      <c r="A280" s="5" t="s">
        <v>70</v>
      </c>
      <c r="B280" s="14">
        <f>INDEX('Transition Stepwise'!$J$2:$J$1137,MATCH(35&amp;"|"&amp;$A280&amp;"|"&amp;B$277,'Transition Stepwise'!$E$2:$E$1137,0))</f>
        <v>0.10909090909090909</v>
      </c>
      <c r="C280" s="14">
        <f>INDEX('Transition Stepwise'!$J$2:$J$1137,MATCH(35&amp;"|"&amp;$A280&amp;"|"&amp;C$277,'Transition Stepwise'!$E$2:$E$1137,0))</f>
        <v>0.29090909090909089</v>
      </c>
      <c r="D280" s="14">
        <f>INDEX('Transition Stepwise'!$J$2:$J$1137,MATCH(35&amp;"|"&amp;$A280&amp;"|"&amp;D$277,'Transition Stepwise'!$E$2:$E$1137,0))</f>
        <v>0.23636363636363636</v>
      </c>
      <c r="E280" s="14">
        <f>INDEX('Transition Stepwise'!$J$2:$J$1137,MATCH(35&amp;"|"&amp;$A280&amp;"|"&amp;E$277,'Transition Stepwise'!$E$2:$E$1137,0))</f>
        <v>0.36363636363636365</v>
      </c>
      <c r="F280" s="4">
        <f>ROUND(SUM(B280:E280),9)</f>
        <v>1</v>
      </c>
    </row>
    <row r="281" spans="1:6">
      <c r="A281" s="5" t="s">
        <v>72</v>
      </c>
      <c r="B281" s="14">
        <f>INDEX('Transition Stepwise'!$J$2:$J$1137,MATCH(35&amp;"|"&amp;$A281&amp;"|"&amp;B$277,'Transition Stepwise'!$E$2:$E$1137,0))</f>
        <v>0.17777777777777778</v>
      </c>
      <c r="C281" s="14">
        <f>INDEX('Transition Stepwise'!$J$2:$J$1137,MATCH(35&amp;"|"&amp;$A281&amp;"|"&amp;C$277,'Transition Stepwise'!$E$2:$E$1137,0))</f>
        <v>0.2</v>
      </c>
      <c r="D281" s="14">
        <f>INDEX('Transition Stepwise'!$J$2:$J$1137,MATCH(35&amp;"|"&amp;$A281&amp;"|"&amp;D$277,'Transition Stepwise'!$E$2:$E$1137,0))</f>
        <v>0.24444444444444444</v>
      </c>
      <c r="E281" s="14">
        <f>INDEX('Transition Stepwise'!$J$2:$J$1137,MATCH(35&amp;"|"&amp;$A281&amp;"|"&amp;E$277,'Transition Stepwise'!$E$2:$E$1137,0))</f>
        <v>0.37777777777777777</v>
      </c>
      <c r="F281" s="4">
        <f>ROUND(SUM(B281:E281),9)</f>
        <v>1</v>
      </c>
    </row>
    <row r="282" spans="1:6">
      <c r="A282" s="4"/>
      <c r="B282" s="4"/>
      <c r="C282" s="4"/>
      <c r="D282" s="4"/>
      <c r="E282" s="4"/>
      <c r="F282" s="4"/>
    </row>
    <row r="283" spans="1:6">
      <c r="A283" s="4"/>
      <c r="B283" s="4"/>
      <c r="C283" s="4"/>
      <c r="D283" s="4"/>
      <c r="E283" s="4"/>
      <c r="F283" s="4"/>
    </row>
    <row r="284" spans="1:6">
      <c r="A284" s="5" t="s">
        <v>629</v>
      </c>
      <c r="B284" s="4"/>
      <c r="C284" s="4"/>
      <c r="D284" s="4"/>
      <c r="E284" s="4"/>
      <c r="F284" s="4"/>
    </row>
    <row r="285" spans="1:6">
      <c r="A285" s="9" t="s">
        <v>593</v>
      </c>
      <c r="B285" s="9" t="s">
        <v>73</v>
      </c>
      <c r="C285" s="9" t="s">
        <v>71</v>
      </c>
      <c r="D285" s="9" t="s">
        <v>70</v>
      </c>
      <c r="E285" s="9" t="s">
        <v>72</v>
      </c>
      <c r="F285" s="9" t="s">
        <v>666</v>
      </c>
    </row>
    <row r="286" spans="1:6">
      <c r="A286" s="5" t="s">
        <v>73</v>
      </c>
      <c r="B286" s="14">
        <f>INDEX('Transition Stepwise'!$J$2:$J$1137,MATCH(36&amp;"|"&amp;$A286&amp;"|"&amp;B$285,'Transition Stepwise'!$E$2:$E$1137,0))</f>
        <v>0.55319148936170215</v>
      </c>
      <c r="C286" s="14">
        <f>INDEX('Transition Stepwise'!$J$2:$J$1137,MATCH(36&amp;"|"&amp;$A286&amp;"|"&amp;C$285,'Transition Stepwise'!$E$2:$E$1137,0))</f>
        <v>4.2553191489361701E-2</v>
      </c>
      <c r="D286" s="14">
        <f>INDEX('Transition Stepwise'!$J$2:$J$1137,MATCH(36&amp;"|"&amp;$A286&amp;"|"&amp;D$285,'Transition Stepwise'!$E$2:$E$1137,0))</f>
        <v>0.38297872340425532</v>
      </c>
      <c r="E286" s="14">
        <f>INDEX('Transition Stepwise'!$J$2:$J$1137,MATCH(36&amp;"|"&amp;$A286&amp;"|"&amp;E$285,'Transition Stepwise'!$E$2:$E$1137,0))</f>
        <v>2.1276595744680851E-2</v>
      </c>
      <c r="F286" s="4">
        <f>ROUND(SUM(B286:E286),9)</f>
        <v>1</v>
      </c>
    </row>
    <row r="287" spans="1:6">
      <c r="A287" s="5" t="s">
        <v>71</v>
      </c>
      <c r="B287" s="14">
        <f>INDEX('Transition Stepwise'!$J$2:$J$1137,MATCH(36&amp;"|"&amp;$A287&amp;"|"&amp;B$285,'Transition Stepwise'!$E$2:$E$1137,0))</f>
        <v>0.89473684210526316</v>
      </c>
      <c r="C287" s="14">
        <f>INDEX('Transition Stepwise'!$J$2:$J$1137,MATCH(36&amp;"|"&amp;$A287&amp;"|"&amp;C$285,'Transition Stepwise'!$E$2:$E$1137,0))</f>
        <v>1.7543859649122806E-2</v>
      </c>
      <c r="D287" s="14">
        <f>INDEX('Transition Stepwise'!$J$2:$J$1137,MATCH(36&amp;"|"&amp;$A287&amp;"|"&amp;D$285,'Transition Stepwise'!$E$2:$E$1137,0))</f>
        <v>7.0175438596491224E-2</v>
      </c>
      <c r="E287" s="14">
        <f>INDEX('Transition Stepwise'!$J$2:$J$1137,MATCH(36&amp;"|"&amp;$A287&amp;"|"&amp;E$285,'Transition Stepwise'!$E$2:$E$1137,0))</f>
        <v>1.7543859649122806E-2</v>
      </c>
      <c r="F287" s="4">
        <f>ROUND(SUM(B287:E287),9)</f>
        <v>1</v>
      </c>
    </row>
    <row r="288" spans="1:6">
      <c r="A288" s="5" t="s">
        <v>70</v>
      </c>
      <c r="B288" s="14">
        <f>INDEX('Transition Stepwise'!$J$2:$J$1137,MATCH(36&amp;"|"&amp;$A288&amp;"|"&amp;B$285,'Transition Stepwise'!$E$2:$E$1137,0))</f>
        <v>0.1388888888888889</v>
      </c>
      <c r="C288" s="14">
        <f>INDEX('Transition Stepwise'!$J$2:$J$1137,MATCH(36&amp;"|"&amp;$A288&amp;"|"&amp;C$285,'Transition Stepwise'!$E$2:$E$1137,0))</f>
        <v>2.7777777777777776E-2</v>
      </c>
      <c r="D288" s="14">
        <f>INDEX('Transition Stepwise'!$J$2:$J$1137,MATCH(36&amp;"|"&amp;$A288&amp;"|"&amp;D$285,'Transition Stepwise'!$E$2:$E$1137,0))</f>
        <v>0.80555555555555558</v>
      </c>
      <c r="E288" s="14">
        <f>INDEX('Transition Stepwise'!$J$2:$J$1137,MATCH(36&amp;"|"&amp;$A288&amp;"|"&amp;E$285,'Transition Stepwise'!$E$2:$E$1137,0))</f>
        <v>2.7777777777777776E-2</v>
      </c>
      <c r="F288" s="4">
        <f>ROUND(SUM(B288:E288),9)</f>
        <v>1</v>
      </c>
    </row>
    <row r="289" spans="1:6">
      <c r="A289" s="5" t="s">
        <v>72</v>
      </c>
      <c r="B289" s="14">
        <f>INDEX('Transition Stepwise'!$J$2:$J$1137,MATCH(36&amp;"|"&amp;$A289&amp;"|"&amp;B$285,'Transition Stepwise'!$E$2:$E$1137,0))</f>
        <v>0.96052631578947367</v>
      </c>
      <c r="C289" s="14">
        <f>INDEX('Transition Stepwise'!$J$2:$J$1137,MATCH(36&amp;"|"&amp;$A289&amp;"|"&amp;C$285,'Transition Stepwise'!$E$2:$E$1137,0))</f>
        <v>1.3157894736842105E-2</v>
      </c>
      <c r="D289" s="14">
        <f>INDEX('Transition Stepwise'!$J$2:$J$1137,MATCH(36&amp;"|"&amp;$A289&amp;"|"&amp;D$285,'Transition Stepwise'!$E$2:$E$1137,0))</f>
        <v>1.3157894736842105E-2</v>
      </c>
      <c r="E289" s="14">
        <f>INDEX('Transition Stepwise'!$J$2:$J$1137,MATCH(36&amp;"|"&amp;$A289&amp;"|"&amp;E$285,'Transition Stepwise'!$E$2:$E$1137,0))</f>
        <v>1.3157894736842105E-2</v>
      </c>
      <c r="F289" s="4">
        <f>ROUND(SUM(B289:E289),9)</f>
        <v>1</v>
      </c>
    </row>
    <row r="290" spans="1:6">
      <c r="A290" s="4"/>
      <c r="B290" s="4"/>
      <c r="C290" s="4"/>
      <c r="D290" s="4"/>
      <c r="E290" s="4"/>
      <c r="F290" s="4"/>
    </row>
    <row r="291" spans="1:6">
      <c r="A291" s="4"/>
      <c r="B291" s="4"/>
      <c r="C291" s="4"/>
      <c r="D291" s="4"/>
      <c r="E291" s="4"/>
      <c r="F291" s="4"/>
    </row>
    <row r="292" spans="1:6">
      <c r="A292" s="5" t="s">
        <v>630</v>
      </c>
      <c r="B292" s="4"/>
      <c r="C292" s="4"/>
      <c r="D292" s="4"/>
      <c r="E292" s="4"/>
      <c r="F292" s="4"/>
    </row>
    <row r="293" spans="1:6">
      <c r="A293" s="9" t="s">
        <v>593</v>
      </c>
      <c r="B293" s="9" t="s">
        <v>73</v>
      </c>
      <c r="C293" s="9" t="s">
        <v>71</v>
      </c>
      <c r="D293" s="9" t="s">
        <v>70</v>
      </c>
      <c r="E293" s="9" t="s">
        <v>72</v>
      </c>
      <c r="F293" s="9" t="s">
        <v>666</v>
      </c>
    </row>
    <row r="294" spans="1:6">
      <c r="A294" s="5" t="s">
        <v>73</v>
      </c>
      <c r="B294" s="14">
        <f>INDEX('Transition Stepwise'!$J$2:$J$1137,MATCH(37&amp;"|"&amp;$A294&amp;"|"&amp;B$293,'Transition Stepwise'!$E$2:$E$1137,0))</f>
        <v>0.74838709677419357</v>
      </c>
      <c r="C294" s="14">
        <f>INDEX('Transition Stepwise'!$J$2:$J$1137,MATCH(37&amp;"|"&amp;$A294&amp;"|"&amp;C$293,'Transition Stepwise'!$E$2:$E$1137,0))</f>
        <v>0.14838709677419354</v>
      </c>
      <c r="D294" s="14">
        <f>INDEX('Transition Stepwise'!$J$2:$J$1137,MATCH(37&amp;"|"&amp;$A294&amp;"|"&amp;D$293,'Transition Stepwise'!$E$2:$E$1137,0))</f>
        <v>6.4516129032258064E-3</v>
      </c>
      <c r="E294" s="14">
        <f>INDEX('Transition Stepwise'!$J$2:$J$1137,MATCH(37&amp;"|"&amp;$A294&amp;"|"&amp;E$293,'Transition Stepwise'!$E$2:$E$1137,0))</f>
        <v>9.6774193548387094E-2</v>
      </c>
      <c r="F294" s="4">
        <f>ROUND(SUM(B294:E294),9)</f>
        <v>1</v>
      </c>
    </row>
    <row r="295" spans="1:6">
      <c r="A295" s="5" t="s">
        <v>71</v>
      </c>
      <c r="B295" s="14">
        <f>INDEX('Transition Stepwise'!$J$2:$J$1137,MATCH(37&amp;"|"&amp;$A295&amp;"|"&amp;B$293,'Transition Stepwise'!$E$2:$E$1137,0))</f>
        <v>0.4</v>
      </c>
      <c r="C295" s="14">
        <f>INDEX('Transition Stepwise'!$J$2:$J$1137,MATCH(37&amp;"|"&amp;$A295&amp;"|"&amp;C$293,'Transition Stepwise'!$E$2:$E$1137,0))</f>
        <v>0.2</v>
      </c>
      <c r="D295" s="14">
        <f>INDEX('Transition Stepwise'!$J$2:$J$1137,MATCH(37&amp;"|"&amp;$A295&amp;"|"&amp;D$293,'Transition Stepwise'!$E$2:$E$1137,0))</f>
        <v>0.2</v>
      </c>
      <c r="E295" s="14">
        <f>INDEX('Transition Stepwise'!$J$2:$J$1137,MATCH(37&amp;"|"&amp;$A295&amp;"|"&amp;E$293,'Transition Stepwise'!$E$2:$E$1137,0))</f>
        <v>0.2</v>
      </c>
      <c r="F295" s="4">
        <f>ROUND(SUM(B295:E295),9)</f>
        <v>1</v>
      </c>
    </row>
    <row r="296" spans="1:6">
      <c r="A296" s="5" t="s">
        <v>70</v>
      </c>
      <c r="B296" s="14">
        <f>INDEX('Transition Stepwise'!$J$2:$J$1137,MATCH(37&amp;"|"&amp;$A296&amp;"|"&amp;B$293,'Transition Stepwise'!$E$2:$E$1137,0))</f>
        <v>0.61538461538461542</v>
      </c>
      <c r="C296" s="14">
        <f>INDEX('Transition Stepwise'!$J$2:$J$1137,MATCH(37&amp;"|"&amp;$A296&amp;"|"&amp;C$293,'Transition Stepwise'!$E$2:$E$1137,0))</f>
        <v>0.15384615384615385</v>
      </c>
      <c r="D296" s="14">
        <f>INDEX('Transition Stepwise'!$J$2:$J$1137,MATCH(37&amp;"|"&amp;$A296&amp;"|"&amp;D$293,'Transition Stepwise'!$E$2:$E$1137,0))</f>
        <v>3.8461538461538464E-2</v>
      </c>
      <c r="E296" s="14">
        <f>INDEX('Transition Stepwise'!$J$2:$J$1137,MATCH(37&amp;"|"&amp;$A296&amp;"|"&amp;E$293,'Transition Stepwise'!$E$2:$E$1137,0))</f>
        <v>0.19230769230769232</v>
      </c>
      <c r="F296" s="4">
        <f>ROUND(SUM(B296:E296),9)</f>
        <v>1</v>
      </c>
    </row>
    <row r="297" spans="1:6">
      <c r="A297" s="5" t="s">
        <v>72</v>
      </c>
      <c r="B297" s="14">
        <f>INDEX('Transition Stepwise'!$J$2:$J$1137,MATCH(37&amp;"|"&amp;$A297&amp;"|"&amp;B$293,'Transition Stepwise'!$E$2:$E$1137,0))</f>
        <v>0.25</v>
      </c>
      <c r="C297" s="14">
        <f>INDEX('Transition Stepwise'!$J$2:$J$1137,MATCH(37&amp;"|"&amp;$A297&amp;"|"&amp;C$293,'Transition Stepwise'!$E$2:$E$1137,0))</f>
        <v>0.25</v>
      </c>
      <c r="D297" s="14">
        <f>INDEX('Transition Stepwise'!$J$2:$J$1137,MATCH(37&amp;"|"&amp;$A297&amp;"|"&amp;D$293,'Transition Stepwise'!$E$2:$E$1137,0))</f>
        <v>0.25</v>
      </c>
      <c r="E297" s="14">
        <f>INDEX('Transition Stepwise'!$J$2:$J$1137,MATCH(37&amp;"|"&amp;$A297&amp;"|"&amp;E$293,'Transition Stepwise'!$E$2:$E$1137,0))</f>
        <v>0.25</v>
      </c>
      <c r="F297" s="4">
        <f>ROUND(SUM(B297:E297),9)</f>
        <v>1</v>
      </c>
    </row>
    <row r="298" spans="1:6">
      <c r="A298" s="4"/>
      <c r="B298" s="4"/>
      <c r="C298" s="4"/>
      <c r="D298" s="4"/>
      <c r="E298" s="4"/>
      <c r="F298" s="4"/>
    </row>
    <row r="299" spans="1:6">
      <c r="A299" s="4"/>
      <c r="B299" s="4"/>
      <c r="C299" s="4"/>
      <c r="D299" s="4"/>
      <c r="E299" s="4"/>
      <c r="F299" s="4"/>
    </row>
    <row r="300" spans="1:6">
      <c r="A300" s="5" t="s">
        <v>631</v>
      </c>
      <c r="B300" s="4"/>
      <c r="C300" s="4"/>
      <c r="D300" s="4"/>
      <c r="E300" s="4"/>
      <c r="F300" s="4"/>
    </row>
    <row r="301" spans="1:6">
      <c r="A301" s="9" t="s">
        <v>593</v>
      </c>
      <c r="B301" s="9" t="s">
        <v>73</v>
      </c>
      <c r="C301" s="9" t="s">
        <v>71</v>
      </c>
      <c r="D301" s="9" t="s">
        <v>70</v>
      </c>
      <c r="E301" s="9" t="s">
        <v>72</v>
      </c>
      <c r="F301" s="9" t="s">
        <v>666</v>
      </c>
    </row>
    <row r="302" spans="1:6">
      <c r="A302" s="5" t="s">
        <v>73</v>
      </c>
      <c r="B302" s="14">
        <f>INDEX('Transition Stepwise'!$J$2:$J$1137,MATCH(38&amp;"|"&amp;$A302&amp;"|"&amp;B$301,'Transition Stepwise'!$E$2:$E$1137,0))</f>
        <v>0.11258278145695365</v>
      </c>
      <c r="C302" s="14">
        <f>INDEX('Transition Stepwise'!$J$2:$J$1137,MATCH(38&amp;"|"&amp;$A302&amp;"|"&amp;C$301,'Transition Stepwise'!$E$2:$E$1137,0))</f>
        <v>0.26490066225165565</v>
      </c>
      <c r="D302" s="14">
        <f>INDEX('Transition Stepwise'!$J$2:$J$1137,MATCH(38&amp;"|"&amp;$A302&amp;"|"&amp;D$301,'Transition Stepwise'!$E$2:$E$1137,0))</f>
        <v>0.28476821192052981</v>
      </c>
      <c r="E302" s="14">
        <f>INDEX('Transition Stepwise'!$J$2:$J$1137,MATCH(38&amp;"|"&amp;$A302&amp;"|"&amp;E$301,'Transition Stepwise'!$E$2:$E$1137,0))</f>
        <v>0.33774834437086093</v>
      </c>
      <c r="F302" s="4">
        <f>ROUND(SUM(B302:E302),9)</f>
        <v>1</v>
      </c>
    </row>
    <row r="303" spans="1:6">
      <c r="A303" s="5" t="s">
        <v>71</v>
      </c>
      <c r="B303" s="14">
        <f>INDEX('Transition Stepwise'!$J$2:$J$1137,MATCH(38&amp;"|"&amp;$A303&amp;"|"&amp;B$301,'Transition Stepwise'!$E$2:$E$1137,0))</f>
        <v>3.0303030303030304E-2</v>
      </c>
      <c r="C303" s="14">
        <f>INDEX('Transition Stepwise'!$J$2:$J$1137,MATCH(38&amp;"|"&amp;$A303&amp;"|"&amp;C$301,'Transition Stepwise'!$E$2:$E$1137,0))</f>
        <v>0.27272727272727271</v>
      </c>
      <c r="D303" s="14">
        <f>INDEX('Transition Stepwise'!$J$2:$J$1137,MATCH(38&amp;"|"&amp;$A303&amp;"|"&amp;D$301,'Transition Stepwise'!$E$2:$E$1137,0))</f>
        <v>0.51515151515151514</v>
      </c>
      <c r="E303" s="14">
        <f>INDEX('Transition Stepwise'!$J$2:$J$1137,MATCH(38&amp;"|"&amp;$A303&amp;"|"&amp;E$301,'Transition Stepwise'!$E$2:$E$1137,0))</f>
        <v>0.18181818181818182</v>
      </c>
      <c r="F303" s="4">
        <f>ROUND(SUM(B303:E303),9)</f>
        <v>1</v>
      </c>
    </row>
    <row r="304" spans="1:6">
      <c r="A304" s="5" t="s">
        <v>70</v>
      </c>
      <c r="B304" s="14">
        <f>INDEX('Transition Stepwise'!$J$2:$J$1137,MATCH(38&amp;"|"&amp;$A304&amp;"|"&amp;B$301,'Transition Stepwise'!$E$2:$E$1137,0))</f>
        <v>0.2</v>
      </c>
      <c r="C304" s="14">
        <f>INDEX('Transition Stepwise'!$J$2:$J$1137,MATCH(38&amp;"|"&amp;$A304&amp;"|"&amp;C$301,'Transition Stepwise'!$E$2:$E$1137,0))</f>
        <v>0.2</v>
      </c>
      <c r="D304" s="14">
        <f>INDEX('Transition Stepwise'!$J$2:$J$1137,MATCH(38&amp;"|"&amp;$A304&amp;"|"&amp;D$301,'Transition Stepwise'!$E$2:$E$1137,0))</f>
        <v>0.2</v>
      </c>
      <c r="E304" s="14">
        <f>INDEX('Transition Stepwise'!$J$2:$J$1137,MATCH(38&amp;"|"&amp;$A304&amp;"|"&amp;E$301,'Transition Stepwise'!$E$2:$E$1137,0))</f>
        <v>0.4</v>
      </c>
      <c r="F304" s="4">
        <f>ROUND(SUM(B304:E304),9)</f>
        <v>1</v>
      </c>
    </row>
    <row r="305" spans="1:6">
      <c r="A305" s="5" t="s">
        <v>72</v>
      </c>
      <c r="B305" s="14">
        <f>INDEX('Transition Stepwise'!$J$2:$J$1137,MATCH(38&amp;"|"&amp;$A305&amp;"|"&amp;B$301,'Transition Stepwise'!$E$2:$E$1137,0))</f>
        <v>0.1111111111111111</v>
      </c>
      <c r="C305" s="14">
        <f>INDEX('Transition Stepwise'!$J$2:$J$1137,MATCH(38&amp;"|"&amp;$A305&amp;"|"&amp;C$301,'Transition Stepwise'!$E$2:$E$1137,0))</f>
        <v>0.18518518518518517</v>
      </c>
      <c r="D305" s="14">
        <f>INDEX('Transition Stepwise'!$J$2:$J$1137,MATCH(38&amp;"|"&amp;$A305&amp;"|"&amp;D$301,'Transition Stepwise'!$E$2:$E$1137,0))</f>
        <v>0.55555555555555558</v>
      </c>
      <c r="E305" s="14">
        <f>INDEX('Transition Stepwise'!$J$2:$J$1137,MATCH(38&amp;"|"&amp;$A305&amp;"|"&amp;E$301,'Transition Stepwise'!$E$2:$E$1137,0))</f>
        <v>0.14814814814814814</v>
      </c>
      <c r="F305" s="4">
        <f>ROUND(SUM(B305:E305),9)</f>
        <v>1</v>
      </c>
    </row>
    <row r="306" spans="1:6">
      <c r="A306" s="4"/>
      <c r="B306" s="4"/>
      <c r="C306" s="4"/>
      <c r="D306" s="4"/>
      <c r="E306" s="4"/>
      <c r="F306" s="4"/>
    </row>
    <row r="307" spans="1:6">
      <c r="A307" s="4"/>
      <c r="B307" s="4"/>
      <c r="C307" s="4"/>
      <c r="D307" s="4"/>
      <c r="E307" s="4"/>
      <c r="F307" s="4"/>
    </row>
    <row r="308" spans="1:6">
      <c r="A308" s="5" t="s">
        <v>632</v>
      </c>
      <c r="B308" s="4"/>
      <c r="C308" s="4"/>
      <c r="D308" s="4"/>
      <c r="E308" s="4"/>
      <c r="F308" s="4"/>
    </row>
    <row r="309" spans="1:6">
      <c r="A309" s="9" t="s">
        <v>593</v>
      </c>
      <c r="B309" s="9" t="s">
        <v>73</v>
      </c>
      <c r="C309" s="9" t="s">
        <v>71</v>
      </c>
      <c r="D309" s="9" t="s">
        <v>70</v>
      </c>
      <c r="E309" s="9" t="s">
        <v>72</v>
      </c>
      <c r="F309" s="9" t="s">
        <v>666</v>
      </c>
    </row>
    <row r="310" spans="1:6">
      <c r="A310" s="5" t="s">
        <v>73</v>
      </c>
      <c r="B310" s="14">
        <f>INDEX('Transition Stepwise'!$J$2:$J$1137,MATCH(39&amp;"|"&amp;$A310&amp;"|"&amp;B$309,'Transition Stepwise'!$E$2:$E$1137,0))</f>
        <v>4.5454545454545456E-2</v>
      </c>
      <c r="C310" s="14">
        <f>INDEX('Transition Stepwise'!$J$2:$J$1137,MATCH(39&amp;"|"&amp;$A310&amp;"|"&amp;C$309,'Transition Stepwise'!$E$2:$E$1137,0))</f>
        <v>0.68181818181818177</v>
      </c>
      <c r="D310" s="14">
        <f>INDEX('Transition Stepwise'!$J$2:$J$1137,MATCH(39&amp;"|"&amp;$A310&amp;"|"&amp;D$309,'Transition Stepwise'!$E$2:$E$1137,0))</f>
        <v>0.13636363636363635</v>
      </c>
      <c r="E310" s="14">
        <f>INDEX('Transition Stepwise'!$J$2:$J$1137,MATCH(39&amp;"|"&amp;$A310&amp;"|"&amp;E$309,'Transition Stepwise'!$E$2:$E$1137,0))</f>
        <v>0.13636363636363635</v>
      </c>
      <c r="F310" s="4">
        <f>ROUND(SUM(B310:E310),9)</f>
        <v>1</v>
      </c>
    </row>
    <row r="311" spans="1:6">
      <c r="A311" s="5" t="s">
        <v>71</v>
      </c>
      <c r="B311" s="14">
        <f>INDEX('Transition Stepwise'!$J$2:$J$1137,MATCH(39&amp;"|"&amp;$A311&amp;"|"&amp;B$309,'Transition Stepwise'!$E$2:$E$1137,0))</f>
        <v>1.8181818181818181E-2</v>
      </c>
      <c r="C311" s="14">
        <f>INDEX('Transition Stepwise'!$J$2:$J$1137,MATCH(39&amp;"|"&amp;$A311&amp;"|"&amp;C$309,'Transition Stepwise'!$E$2:$E$1137,0))</f>
        <v>0.70909090909090911</v>
      </c>
      <c r="D311" s="14">
        <f>INDEX('Transition Stepwise'!$J$2:$J$1137,MATCH(39&amp;"|"&amp;$A311&amp;"|"&amp;D$309,'Transition Stepwise'!$E$2:$E$1137,0))</f>
        <v>0.25454545454545452</v>
      </c>
      <c r="E311" s="14">
        <f>INDEX('Transition Stepwise'!$J$2:$J$1137,MATCH(39&amp;"|"&amp;$A311&amp;"|"&amp;E$309,'Transition Stepwise'!$E$2:$E$1137,0))</f>
        <v>1.8181818181818181E-2</v>
      </c>
      <c r="F311" s="4">
        <f>ROUND(SUM(B311:E311),9)</f>
        <v>1</v>
      </c>
    </row>
    <row r="312" spans="1:6">
      <c r="A312" s="5" t="s">
        <v>70</v>
      </c>
      <c r="B312" s="14">
        <f>INDEX('Transition Stepwise'!$J$2:$J$1137,MATCH(39&amp;"|"&amp;$A312&amp;"|"&amp;B$309,'Transition Stepwise'!$E$2:$E$1137,0))</f>
        <v>1.3157894736842105E-2</v>
      </c>
      <c r="C312" s="14">
        <f>INDEX('Transition Stepwise'!$J$2:$J$1137,MATCH(39&amp;"|"&amp;$A312&amp;"|"&amp;C$309,'Transition Stepwise'!$E$2:$E$1137,0))</f>
        <v>0.52631578947368418</v>
      </c>
      <c r="D312" s="14">
        <f>INDEX('Transition Stepwise'!$J$2:$J$1137,MATCH(39&amp;"|"&amp;$A312&amp;"|"&amp;D$309,'Transition Stepwise'!$E$2:$E$1137,0))</f>
        <v>0.38157894736842107</v>
      </c>
      <c r="E312" s="14">
        <f>INDEX('Transition Stepwise'!$J$2:$J$1137,MATCH(39&amp;"|"&amp;$A312&amp;"|"&amp;E$309,'Transition Stepwise'!$E$2:$E$1137,0))</f>
        <v>7.8947368421052627E-2</v>
      </c>
      <c r="F312" s="4">
        <f>ROUND(SUM(B312:E312),9)</f>
        <v>1</v>
      </c>
    </row>
    <row r="313" spans="1:6">
      <c r="A313" s="5" t="s">
        <v>72</v>
      </c>
      <c r="B313" s="14">
        <f>INDEX('Transition Stepwise'!$J$2:$J$1137,MATCH(39&amp;"|"&amp;$A313&amp;"|"&amp;B$309,'Transition Stepwise'!$E$2:$E$1137,0))</f>
        <v>3.1746031746031744E-2</v>
      </c>
      <c r="C313" s="14">
        <f>INDEX('Transition Stepwise'!$J$2:$J$1137,MATCH(39&amp;"|"&amp;$A313&amp;"|"&amp;C$309,'Transition Stepwise'!$E$2:$E$1137,0))</f>
        <v>0.84126984126984128</v>
      </c>
      <c r="D313" s="14">
        <f>INDEX('Transition Stepwise'!$J$2:$J$1137,MATCH(39&amp;"|"&amp;$A313&amp;"|"&amp;D$309,'Transition Stepwise'!$E$2:$E$1137,0))</f>
        <v>9.5238095238095233E-2</v>
      </c>
      <c r="E313" s="14">
        <f>INDEX('Transition Stepwise'!$J$2:$J$1137,MATCH(39&amp;"|"&amp;$A313&amp;"|"&amp;E$309,'Transition Stepwise'!$E$2:$E$1137,0))</f>
        <v>3.1746031746031744E-2</v>
      </c>
      <c r="F313" s="4">
        <f>ROUND(SUM(B313:E313),9)</f>
        <v>1</v>
      </c>
    </row>
    <row r="314" spans="1:6">
      <c r="A314" s="4"/>
      <c r="B314" s="4"/>
      <c r="C314" s="4"/>
      <c r="D314" s="4"/>
      <c r="E314" s="4"/>
      <c r="F314" s="4"/>
    </row>
    <row r="315" spans="1:6">
      <c r="A315" s="4"/>
      <c r="B315" s="4"/>
      <c r="C315" s="4"/>
      <c r="D315" s="4"/>
      <c r="E315" s="4"/>
      <c r="F315" s="4"/>
    </row>
    <row r="316" spans="1:6">
      <c r="A316" s="5" t="s">
        <v>633</v>
      </c>
      <c r="B316" s="4"/>
      <c r="C316" s="4"/>
      <c r="D316" s="4"/>
      <c r="E316" s="4"/>
      <c r="F316" s="4"/>
    </row>
    <row r="317" spans="1:6">
      <c r="A317" s="9" t="s">
        <v>593</v>
      </c>
      <c r="B317" s="9" t="s">
        <v>73</v>
      </c>
      <c r="C317" s="9" t="s">
        <v>71</v>
      </c>
      <c r="D317" s="9" t="s">
        <v>70</v>
      </c>
      <c r="E317" s="9" t="s">
        <v>72</v>
      </c>
      <c r="F317" s="9" t="s">
        <v>666</v>
      </c>
    </row>
    <row r="318" spans="1:6">
      <c r="A318" s="5" t="s">
        <v>73</v>
      </c>
      <c r="B318" s="14">
        <f>INDEX('Transition Stepwise'!$J$2:$J$1137,MATCH(40&amp;"|"&amp;$A318&amp;"|"&amp;B$317,'Transition Stepwise'!$E$2:$E$1137,0))</f>
        <v>0.2</v>
      </c>
      <c r="C318" s="14">
        <f>INDEX('Transition Stepwise'!$J$2:$J$1137,MATCH(40&amp;"|"&amp;$A318&amp;"|"&amp;C$317,'Transition Stepwise'!$E$2:$E$1137,0))</f>
        <v>0.4</v>
      </c>
      <c r="D318" s="14">
        <f>INDEX('Transition Stepwise'!$J$2:$J$1137,MATCH(40&amp;"|"&amp;$A318&amp;"|"&amp;D$317,'Transition Stepwise'!$E$2:$E$1137,0))</f>
        <v>0.2</v>
      </c>
      <c r="E318" s="14">
        <f>INDEX('Transition Stepwise'!$J$2:$J$1137,MATCH(40&amp;"|"&amp;$A318&amp;"|"&amp;E$317,'Transition Stepwise'!$E$2:$E$1137,0))</f>
        <v>0.2</v>
      </c>
      <c r="F318" s="4">
        <f>ROUND(SUM(B318:E318),9)</f>
        <v>1</v>
      </c>
    </row>
    <row r="319" spans="1:6">
      <c r="A319" s="5" t="s">
        <v>71</v>
      </c>
      <c r="B319" s="14">
        <f>INDEX('Transition Stepwise'!$J$2:$J$1137,MATCH(40&amp;"|"&amp;$A319&amp;"|"&amp;B$317,'Transition Stepwise'!$E$2:$E$1137,0))</f>
        <v>0.23809523809523808</v>
      </c>
      <c r="C319" s="14">
        <f>INDEX('Transition Stepwise'!$J$2:$J$1137,MATCH(40&amp;"|"&amp;$A319&amp;"|"&amp;C$317,'Transition Stepwise'!$E$2:$E$1137,0))</f>
        <v>0.39455782312925169</v>
      </c>
      <c r="D319" s="14">
        <f>INDEX('Transition Stepwise'!$J$2:$J$1137,MATCH(40&amp;"|"&amp;$A319&amp;"|"&amp;D$317,'Transition Stepwise'!$E$2:$E$1137,0))</f>
        <v>0.19047619047619047</v>
      </c>
      <c r="E319" s="14">
        <f>INDEX('Transition Stepwise'!$J$2:$J$1137,MATCH(40&amp;"|"&amp;$A319&amp;"|"&amp;E$317,'Transition Stepwise'!$E$2:$E$1137,0))</f>
        <v>0.17687074829931973</v>
      </c>
      <c r="F319" s="4">
        <f>ROUND(SUM(B319:E319),9)</f>
        <v>1</v>
      </c>
    </row>
    <row r="320" spans="1:6">
      <c r="A320" s="5" t="s">
        <v>70</v>
      </c>
      <c r="B320" s="14">
        <f>INDEX('Transition Stepwise'!$J$2:$J$1137,MATCH(40&amp;"|"&amp;$A320&amp;"|"&amp;B$317,'Transition Stepwise'!$E$2:$E$1137,0))</f>
        <v>0.36538461538461536</v>
      </c>
      <c r="C320" s="14">
        <f>INDEX('Transition Stepwise'!$J$2:$J$1137,MATCH(40&amp;"|"&amp;$A320&amp;"|"&amp;C$317,'Transition Stepwise'!$E$2:$E$1137,0))</f>
        <v>0.30769230769230771</v>
      </c>
      <c r="D320" s="14">
        <f>INDEX('Transition Stepwise'!$J$2:$J$1137,MATCH(40&amp;"|"&amp;$A320&amp;"|"&amp;D$317,'Transition Stepwise'!$E$2:$E$1137,0))</f>
        <v>0.15384615384615385</v>
      </c>
      <c r="E320" s="14">
        <f>INDEX('Transition Stepwise'!$J$2:$J$1137,MATCH(40&amp;"|"&amp;$A320&amp;"|"&amp;E$317,'Transition Stepwise'!$E$2:$E$1137,0))</f>
        <v>0.17307692307692307</v>
      </c>
      <c r="F320" s="4">
        <f>ROUND(SUM(B320:E320),9)</f>
        <v>1</v>
      </c>
    </row>
    <row r="321" spans="1:6">
      <c r="A321" s="5" t="s">
        <v>72</v>
      </c>
      <c r="B321" s="14">
        <f>INDEX('Transition Stepwise'!$J$2:$J$1137,MATCH(40&amp;"|"&amp;$A321&amp;"|"&amp;B$317,'Transition Stepwise'!$E$2:$E$1137,0))</f>
        <v>0.25</v>
      </c>
      <c r="C321" s="14">
        <f>INDEX('Transition Stepwise'!$J$2:$J$1137,MATCH(40&amp;"|"&amp;$A321&amp;"|"&amp;C$317,'Transition Stepwise'!$E$2:$E$1137,0))</f>
        <v>0.41666666666666669</v>
      </c>
      <c r="D321" s="14">
        <f>INDEX('Transition Stepwise'!$J$2:$J$1137,MATCH(40&amp;"|"&amp;$A321&amp;"|"&amp;D$317,'Transition Stepwise'!$E$2:$E$1137,0))</f>
        <v>0.25</v>
      </c>
      <c r="E321" s="14">
        <f>INDEX('Transition Stepwise'!$J$2:$J$1137,MATCH(40&amp;"|"&amp;$A321&amp;"|"&amp;E$317,'Transition Stepwise'!$E$2:$E$1137,0))</f>
        <v>8.3333333333333329E-2</v>
      </c>
      <c r="F321" s="4">
        <f>ROUND(SUM(B321:E321),9)</f>
        <v>1</v>
      </c>
    </row>
    <row r="322" spans="1:6">
      <c r="A322" s="4"/>
      <c r="B322" s="4"/>
      <c r="C322" s="4"/>
      <c r="D322" s="4"/>
      <c r="E322" s="4"/>
      <c r="F322" s="4"/>
    </row>
    <row r="323" spans="1:6">
      <c r="A323" s="4"/>
      <c r="B323" s="4"/>
      <c r="C323" s="4"/>
      <c r="D323" s="4"/>
      <c r="E323" s="4"/>
      <c r="F323" s="4"/>
    </row>
    <row r="324" spans="1:6">
      <c r="A324" s="5" t="s">
        <v>634</v>
      </c>
      <c r="B324" s="4"/>
      <c r="C324" s="4"/>
      <c r="D324" s="4"/>
      <c r="E324" s="4"/>
      <c r="F324" s="4"/>
    </row>
    <row r="325" spans="1:6">
      <c r="A325" s="9" t="s">
        <v>593</v>
      </c>
      <c r="B325" s="9" t="s">
        <v>73</v>
      </c>
      <c r="C325" s="9" t="s">
        <v>71</v>
      </c>
      <c r="D325" s="9" t="s">
        <v>70</v>
      </c>
      <c r="E325" s="9" t="s">
        <v>72</v>
      </c>
      <c r="F325" s="9" t="s">
        <v>666</v>
      </c>
    </row>
    <row r="326" spans="1:6">
      <c r="A326" s="5" t="s">
        <v>73</v>
      </c>
      <c r="B326" s="14">
        <f>INDEX('Transition Stepwise'!$J$2:$J$1137,MATCH(41&amp;"|"&amp;$A326&amp;"|"&amp;B$325,'Transition Stepwise'!$E$2:$E$1137,0))</f>
        <v>0.25862068965517243</v>
      </c>
      <c r="C326" s="14">
        <f>INDEX('Transition Stepwise'!$J$2:$J$1137,MATCH(41&amp;"|"&amp;$A326&amp;"|"&amp;C$325,'Transition Stepwise'!$E$2:$E$1137,0))</f>
        <v>3.4482758620689655E-2</v>
      </c>
      <c r="D326" s="14">
        <f>INDEX('Transition Stepwise'!$J$2:$J$1137,MATCH(41&amp;"|"&amp;$A326&amp;"|"&amp;D$325,'Transition Stepwise'!$E$2:$E$1137,0))</f>
        <v>0.53448275862068961</v>
      </c>
      <c r="E326" s="14">
        <f>INDEX('Transition Stepwise'!$J$2:$J$1137,MATCH(41&amp;"|"&amp;$A326&amp;"|"&amp;E$325,'Transition Stepwise'!$E$2:$E$1137,0))</f>
        <v>0.17241379310344829</v>
      </c>
      <c r="F326" s="4">
        <f>ROUND(SUM(B326:E326),9)</f>
        <v>1</v>
      </c>
    </row>
    <row r="327" spans="1:6">
      <c r="A327" s="5" t="s">
        <v>71</v>
      </c>
      <c r="B327" s="14">
        <f>INDEX('Transition Stepwise'!$J$2:$J$1137,MATCH(41&amp;"|"&amp;$A327&amp;"|"&amp;B$325,'Transition Stepwise'!$E$2:$E$1137,0))</f>
        <v>0.20987654320987653</v>
      </c>
      <c r="C327" s="14">
        <f>INDEX('Transition Stepwise'!$J$2:$J$1137,MATCH(41&amp;"|"&amp;$A327&amp;"|"&amp;C$325,'Transition Stepwise'!$E$2:$E$1137,0))</f>
        <v>0.13580246913580246</v>
      </c>
      <c r="D327" s="14">
        <f>INDEX('Transition Stepwise'!$J$2:$J$1137,MATCH(41&amp;"|"&amp;$A327&amp;"|"&amp;D$325,'Transition Stepwise'!$E$2:$E$1137,0))</f>
        <v>0.59259259259259256</v>
      </c>
      <c r="E327" s="14">
        <f>INDEX('Transition Stepwise'!$J$2:$J$1137,MATCH(41&amp;"|"&amp;$A327&amp;"|"&amp;E$325,'Transition Stepwise'!$E$2:$E$1137,0))</f>
        <v>6.1728395061728392E-2</v>
      </c>
      <c r="F327" s="4">
        <f>ROUND(SUM(B327:E327),9)</f>
        <v>1</v>
      </c>
    </row>
    <row r="328" spans="1:6">
      <c r="A328" s="5" t="s">
        <v>70</v>
      </c>
      <c r="B328" s="14">
        <f>INDEX('Transition Stepwise'!$J$2:$J$1137,MATCH(41&amp;"|"&amp;$A328&amp;"|"&amp;B$325,'Transition Stepwise'!$E$2:$E$1137,0))</f>
        <v>0.32500000000000001</v>
      </c>
      <c r="C328" s="14">
        <f>INDEX('Transition Stepwise'!$J$2:$J$1137,MATCH(41&amp;"|"&amp;$A328&amp;"|"&amp;C$325,'Transition Stepwise'!$E$2:$E$1137,0))</f>
        <v>0.125</v>
      </c>
      <c r="D328" s="14">
        <f>INDEX('Transition Stepwise'!$J$2:$J$1137,MATCH(41&amp;"|"&amp;$A328&amp;"|"&amp;D$325,'Transition Stepwise'!$E$2:$E$1137,0))</f>
        <v>0.27500000000000002</v>
      </c>
      <c r="E328" s="14">
        <f>INDEX('Transition Stepwise'!$J$2:$J$1137,MATCH(41&amp;"|"&amp;$A328&amp;"|"&amp;E$325,'Transition Stepwise'!$E$2:$E$1137,0))</f>
        <v>0.27500000000000002</v>
      </c>
      <c r="F328" s="4">
        <f>ROUND(SUM(B328:E328),9)</f>
        <v>1</v>
      </c>
    </row>
    <row r="329" spans="1:6">
      <c r="A329" s="5" t="s">
        <v>72</v>
      </c>
      <c r="B329" s="14">
        <f>INDEX('Transition Stepwise'!$J$2:$J$1137,MATCH(41&amp;"|"&amp;$A329&amp;"|"&amp;B$325,'Transition Stepwise'!$E$2:$E$1137,0))</f>
        <v>0.21621621621621623</v>
      </c>
      <c r="C329" s="14">
        <f>INDEX('Transition Stepwise'!$J$2:$J$1137,MATCH(41&amp;"|"&amp;$A329&amp;"|"&amp;C$325,'Transition Stepwise'!$E$2:$E$1137,0))</f>
        <v>0.16216216216216217</v>
      </c>
      <c r="D329" s="14">
        <f>INDEX('Transition Stepwise'!$J$2:$J$1137,MATCH(41&amp;"|"&amp;$A329&amp;"|"&amp;D$325,'Transition Stepwise'!$E$2:$E$1137,0))</f>
        <v>0.51351351351351349</v>
      </c>
      <c r="E329" s="14">
        <f>INDEX('Transition Stepwise'!$J$2:$J$1137,MATCH(41&amp;"|"&amp;$A329&amp;"|"&amp;E$325,'Transition Stepwise'!$E$2:$E$1137,0))</f>
        <v>0.10810810810810811</v>
      </c>
      <c r="F329" s="4">
        <f>ROUND(SUM(B329:E329),9)</f>
        <v>1</v>
      </c>
    </row>
    <row r="330" spans="1:6">
      <c r="A330" s="4"/>
      <c r="B330" s="4"/>
      <c r="C330" s="4"/>
      <c r="D330" s="4"/>
      <c r="E330" s="4"/>
      <c r="F330" s="4"/>
    </row>
    <row r="331" spans="1:6">
      <c r="A331" s="4"/>
      <c r="B331" s="4"/>
      <c r="C331" s="4"/>
      <c r="D331" s="4"/>
      <c r="E331" s="4"/>
      <c r="F331" s="4"/>
    </row>
    <row r="332" spans="1:6">
      <c r="A332" s="5" t="s">
        <v>635</v>
      </c>
      <c r="B332" s="4"/>
      <c r="C332" s="4"/>
      <c r="D332" s="4"/>
      <c r="E332" s="4"/>
      <c r="F332" s="4"/>
    </row>
    <row r="333" spans="1:6">
      <c r="A333" s="9" t="s">
        <v>593</v>
      </c>
      <c r="B333" s="9" t="s">
        <v>73</v>
      </c>
      <c r="C333" s="9" t="s">
        <v>71</v>
      </c>
      <c r="D333" s="9" t="s">
        <v>70</v>
      </c>
      <c r="E333" s="9" t="s">
        <v>72</v>
      </c>
      <c r="F333" s="9" t="s">
        <v>666</v>
      </c>
    </row>
    <row r="334" spans="1:6">
      <c r="A334" s="5" t="s">
        <v>73</v>
      </c>
      <c r="B334" s="14">
        <f>INDEX('Transition Stepwise'!$J$2:$J$1137,MATCH(42&amp;"|"&amp;$A334&amp;"|"&amp;B$333,'Transition Stepwise'!$E$2:$E$1137,0))</f>
        <v>0.26415094339622641</v>
      </c>
      <c r="C334" s="14">
        <f>INDEX('Transition Stepwise'!$J$2:$J$1137,MATCH(42&amp;"|"&amp;$A334&amp;"|"&amp;C$333,'Transition Stepwise'!$E$2:$E$1137,0))</f>
        <v>1.8867924528301886E-2</v>
      </c>
      <c r="D334" s="14">
        <f>INDEX('Transition Stepwise'!$J$2:$J$1137,MATCH(42&amp;"|"&amp;$A334&amp;"|"&amp;D$333,'Transition Stepwise'!$E$2:$E$1137,0))</f>
        <v>0.60377358490566035</v>
      </c>
      <c r="E334" s="14">
        <f>INDEX('Transition Stepwise'!$J$2:$J$1137,MATCH(42&amp;"|"&amp;$A334&amp;"|"&amp;E$333,'Transition Stepwise'!$E$2:$E$1137,0))</f>
        <v>0.11320754716981132</v>
      </c>
      <c r="F334" s="4">
        <f>ROUND(SUM(B334:E334),9)</f>
        <v>1</v>
      </c>
    </row>
    <row r="335" spans="1:6">
      <c r="A335" s="5" t="s">
        <v>71</v>
      </c>
      <c r="B335" s="14">
        <f>INDEX('Transition Stepwise'!$J$2:$J$1137,MATCH(42&amp;"|"&amp;$A335&amp;"|"&amp;B$333,'Transition Stepwise'!$E$2:$E$1137,0))</f>
        <v>0.25</v>
      </c>
      <c r="C335" s="14">
        <f>INDEX('Transition Stepwise'!$J$2:$J$1137,MATCH(42&amp;"|"&amp;$A335&amp;"|"&amp;C$333,'Transition Stepwise'!$E$2:$E$1137,0))</f>
        <v>0.125</v>
      </c>
      <c r="D335" s="14">
        <f>INDEX('Transition Stepwise'!$J$2:$J$1137,MATCH(42&amp;"|"&amp;$A335&amp;"|"&amp;D$333,'Transition Stepwise'!$E$2:$E$1137,0))</f>
        <v>0.41666666666666669</v>
      </c>
      <c r="E335" s="14">
        <f>INDEX('Transition Stepwise'!$J$2:$J$1137,MATCH(42&amp;"|"&amp;$A335&amp;"|"&amp;E$333,'Transition Stepwise'!$E$2:$E$1137,0))</f>
        <v>0.20833333333333334</v>
      </c>
      <c r="F335" s="4">
        <f>ROUND(SUM(B335:E335),9)</f>
        <v>1</v>
      </c>
    </row>
    <row r="336" spans="1:6">
      <c r="A336" s="5" t="s">
        <v>70</v>
      </c>
      <c r="B336" s="14">
        <f>INDEX('Transition Stepwise'!$J$2:$J$1137,MATCH(42&amp;"|"&amp;$A336&amp;"|"&amp;B$333,'Transition Stepwise'!$E$2:$E$1137,0))</f>
        <v>0.23853211009174313</v>
      </c>
      <c r="C336" s="14">
        <f>INDEX('Transition Stepwise'!$J$2:$J$1137,MATCH(42&amp;"|"&amp;$A336&amp;"|"&amp;C$333,'Transition Stepwise'!$E$2:$E$1137,0))</f>
        <v>0.1743119266055046</v>
      </c>
      <c r="D336" s="14">
        <f>INDEX('Transition Stepwise'!$J$2:$J$1137,MATCH(42&amp;"|"&amp;$A336&amp;"|"&amp;D$333,'Transition Stepwise'!$E$2:$E$1137,0))</f>
        <v>0.39449541284403672</v>
      </c>
      <c r="E336" s="14">
        <f>INDEX('Transition Stepwise'!$J$2:$J$1137,MATCH(42&amp;"|"&amp;$A336&amp;"|"&amp;E$333,'Transition Stepwise'!$E$2:$E$1137,0))</f>
        <v>0.19266055045871561</v>
      </c>
      <c r="F336" s="4">
        <f>ROUND(SUM(B336:E336),9)</f>
        <v>1</v>
      </c>
    </row>
    <row r="337" spans="1:6">
      <c r="A337" s="5" t="s">
        <v>72</v>
      </c>
      <c r="B337" s="14">
        <f>INDEX('Transition Stepwise'!$J$2:$J$1137,MATCH(42&amp;"|"&amp;$A337&amp;"|"&amp;B$333,'Transition Stepwise'!$E$2:$E$1137,0))</f>
        <v>0.1</v>
      </c>
      <c r="C337" s="14">
        <f>INDEX('Transition Stepwise'!$J$2:$J$1137,MATCH(42&amp;"|"&amp;$A337&amp;"|"&amp;C$333,'Transition Stepwise'!$E$2:$E$1137,0))</f>
        <v>0.13333333333333333</v>
      </c>
      <c r="D337" s="14">
        <f>INDEX('Transition Stepwise'!$J$2:$J$1137,MATCH(42&amp;"|"&amp;$A337&amp;"|"&amp;D$333,'Transition Stepwise'!$E$2:$E$1137,0))</f>
        <v>0.6333333333333333</v>
      </c>
      <c r="E337" s="14">
        <f>INDEX('Transition Stepwise'!$J$2:$J$1137,MATCH(42&amp;"|"&amp;$A337&amp;"|"&amp;E$333,'Transition Stepwise'!$E$2:$E$1137,0))</f>
        <v>0.13333333333333333</v>
      </c>
      <c r="F337" s="4">
        <f>ROUND(SUM(B337:E337),9)</f>
        <v>1</v>
      </c>
    </row>
    <row r="338" spans="1:6">
      <c r="A338" s="4"/>
      <c r="B338" s="4"/>
      <c r="C338" s="4"/>
      <c r="D338" s="4"/>
      <c r="E338" s="4"/>
      <c r="F338" s="4"/>
    </row>
    <row r="339" spans="1:6">
      <c r="A339" s="4"/>
      <c r="B339" s="4"/>
      <c r="C339" s="4"/>
      <c r="D339" s="4"/>
      <c r="E339" s="4"/>
      <c r="F339" s="4"/>
    </row>
    <row r="340" spans="1:6">
      <c r="A340" s="5" t="s">
        <v>636</v>
      </c>
      <c r="B340" s="4"/>
      <c r="C340" s="4"/>
      <c r="D340" s="4"/>
      <c r="E340" s="4"/>
      <c r="F340" s="4"/>
    </row>
    <row r="341" spans="1:6">
      <c r="A341" s="9" t="s">
        <v>593</v>
      </c>
      <c r="B341" s="9" t="s">
        <v>73</v>
      </c>
      <c r="C341" s="9" t="s">
        <v>71</v>
      </c>
      <c r="D341" s="9" t="s">
        <v>70</v>
      </c>
      <c r="E341" s="9" t="s">
        <v>72</v>
      </c>
      <c r="F341" s="9" t="s">
        <v>666</v>
      </c>
    </row>
    <row r="342" spans="1:6">
      <c r="A342" s="5" t="s">
        <v>73</v>
      </c>
      <c r="B342" s="14">
        <f>INDEX('Transition Stepwise'!$J$2:$J$1137,MATCH(43&amp;"|"&amp;$A342&amp;"|"&amp;B$341,'Transition Stepwise'!$E$2:$E$1137,0))</f>
        <v>0.46938775510204084</v>
      </c>
      <c r="C342" s="14">
        <f>INDEX('Transition Stepwise'!$J$2:$J$1137,MATCH(43&amp;"|"&amp;$A342&amp;"|"&amp;C$341,'Transition Stepwise'!$E$2:$E$1137,0))</f>
        <v>0.14285714285714285</v>
      </c>
      <c r="D342" s="14">
        <f>INDEX('Transition Stepwise'!$J$2:$J$1137,MATCH(43&amp;"|"&amp;$A342&amp;"|"&amp;D$341,'Transition Stepwise'!$E$2:$E$1137,0))</f>
        <v>0.2857142857142857</v>
      </c>
      <c r="E342" s="14">
        <f>INDEX('Transition Stepwise'!$J$2:$J$1137,MATCH(43&amp;"|"&amp;$A342&amp;"|"&amp;E$341,'Transition Stepwise'!$E$2:$E$1137,0))</f>
        <v>0.10204081632653061</v>
      </c>
      <c r="F342" s="4">
        <f>ROUND(SUM(B342:E342),9)</f>
        <v>1</v>
      </c>
    </row>
    <row r="343" spans="1:6">
      <c r="A343" s="5" t="s">
        <v>71</v>
      </c>
      <c r="B343" s="14">
        <f>INDEX('Transition Stepwise'!$J$2:$J$1137,MATCH(43&amp;"|"&amp;$A343&amp;"|"&amp;B$341,'Transition Stepwise'!$E$2:$E$1137,0))</f>
        <v>0.37037037037037035</v>
      </c>
      <c r="C343" s="14">
        <f>INDEX('Transition Stepwise'!$J$2:$J$1137,MATCH(43&amp;"|"&amp;$A343&amp;"|"&amp;C$341,'Transition Stepwise'!$E$2:$E$1137,0))</f>
        <v>0.18518518518518517</v>
      </c>
      <c r="D343" s="14">
        <f>INDEX('Transition Stepwise'!$J$2:$J$1137,MATCH(43&amp;"|"&amp;$A343&amp;"|"&amp;D$341,'Transition Stepwise'!$E$2:$E$1137,0))</f>
        <v>0.29629629629629628</v>
      </c>
      <c r="E343" s="14">
        <f>INDEX('Transition Stepwise'!$J$2:$J$1137,MATCH(43&amp;"|"&amp;$A343&amp;"|"&amp;E$341,'Transition Stepwise'!$E$2:$E$1137,0))</f>
        <v>0.14814814814814814</v>
      </c>
      <c r="F343" s="4">
        <f>ROUND(SUM(B343:E343),9)</f>
        <v>1</v>
      </c>
    </row>
    <row r="344" spans="1:6">
      <c r="A344" s="5" t="s">
        <v>70</v>
      </c>
      <c r="B344" s="14">
        <f>INDEX('Transition Stepwise'!$J$2:$J$1137,MATCH(43&amp;"|"&amp;$A344&amp;"|"&amp;B$341,'Transition Stepwise'!$E$2:$E$1137,0))</f>
        <v>0.52884615384615385</v>
      </c>
      <c r="C344" s="14">
        <f>INDEX('Transition Stepwise'!$J$2:$J$1137,MATCH(43&amp;"|"&amp;$A344&amp;"|"&amp;C$341,'Transition Stepwise'!$E$2:$E$1137,0))</f>
        <v>0.13461538461538461</v>
      </c>
      <c r="D344" s="14">
        <f>INDEX('Transition Stepwise'!$J$2:$J$1137,MATCH(43&amp;"|"&amp;$A344&amp;"|"&amp;D$341,'Transition Stepwise'!$E$2:$E$1137,0))</f>
        <v>0.20192307692307693</v>
      </c>
      <c r="E344" s="14">
        <f>INDEX('Transition Stepwise'!$J$2:$J$1137,MATCH(43&amp;"|"&amp;$A344&amp;"|"&amp;E$341,'Transition Stepwise'!$E$2:$E$1137,0))</f>
        <v>0.13461538461538461</v>
      </c>
      <c r="F344" s="4">
        <f>ROUND(SUM(B344:E344),9)</f>
        <v>1</v>
      </c>
    </row>
    <row r="345" spans="1:6">
      <c r="A345" s="5" t="s">
        <v>72</v>
      </c>
      <c r="B345" s="14">
        <f>INDEX('Transition Stepwise'!$J$2:$J$1137,MATCH(43&amp;"|"&amp;$A345&amp;"|"&amp;B$341,'Transition Stepwise'!$E$2:$E$1137,0))</f>
        <v>0.44444444444444442</v>
      </c>
      <c r="C345" s="14">
        <f>INDEX('Transition Stepwise'!$J$2:$J$1137,MATCH(43&amp;"|"&amp;$A345&amp;"|"&amp;C$341,'Transition Stepwise'!$E$2:$E$1137,0))</f>
        <v>0.25</v>
      </c>
      <c r="D345" s="14">
        <f>INDEX('Transition Stepwise'!$J$2:$J$1137,MATCH(43&amp;"|"&amp;$A345&amp;"|"&amp;D$341,'Transition Stepwise'!$E$2:$E$1137,0))</f>
        <v>0.19444444444444445</v>
      </c>
      <c r="E345" s="14">
        <f>INDEX('Transition Stepwise'!$J$2:$J$1137,MATCH(43&amp;"|"&amp;$A345&amp;"|"&amp;E$341,'Transition Stepwise'!$E$2:$E$1137,0))</f>
        <v>0.1111111111111111</v>
      </c>
      <c r="F345" s="4">
        <f>ROUND(SUM(B345:E345),9)</f>
        <v>1</v>
      </c>
    </row>
    <row r="346" spans="1:6">
      <c r="A346" s="4"/>
      <c r="B346" s="4"/>
      <c r="C346" s="4"/>
      <c r="D346" s="4"/>
      <c r="E346" s="4"/>
      <c r="F346" s="4"/>
    </row>
    <row r="347" spans="1:6">
      <c r="A347" s="4"/>
      <c r="B347" s="4"/>
      <c r="C347" s="4"/>
      <c r="D347" s="4"/>
      <c r="E347" s="4"/>
      <c r="F347" s="4"/>
    </row>
    <row r="348" spans="1:6">
      <c r="A348" s="5" t="s">
        <v>637</v>
      </c>
      <c r="B348" s="4"/>
      <c r="C348" s="4"/>
      <c r="D348" s="4"/>
      <c r="E348" s="4"/>
      <c r="F348" s="4"/>
    </row>
    <row r="349" spans="1:6">
      <c r="A349" s="9" t="s">
        <v>593</v>
      </c>
      <c r="B349" s="9" t="s">
        <v>73</v>
      </c>
      <c r="C349" s="9" t="s">
        <v>71</v>
      </c>
      <c r="D349" s="9" t="s">
        <v>70</v>
      </c>
      <c r="E349" s="9" t="s">
        <v>72</v>
      </c>
      <c r="F349" s="9" t="s">
        <v>666</v>
      </c>
    </row>
    <row r="350" spans="1:6">
      <c r="A350" s="5" t="s">
        <v>73</v>
      </c>
      <c r="B350" s="14">
        <f>INDEX('Transition Stepwise'!$J$2:$J$1137,MATCH(44&amp;"|"&amp;$A350&amp;"|"&amp;B$349,'Transition Stepwise'!$E$2:$E$1137,0))</f>
        <v>1.9417475728155338E-2</v>
      </c>
      <c r="C350" s="14">
        <f>INDEX('Transition Stepwise'!$J$2:$J$1137,MATCH(44&amp;"|"&amp;$A350&amp;"|"&amp;C$349,'Transition Stepwise'!$E$2:$E$1137,0))</f>
        <v>2.9126213592233011E-2</v>
      </c>
      <c r="D350" s="14">
        <f>INDEX('Transition Stepwise'!$J$2:$J$1137,MATCH(44&amp;"|"&amp;$A350&amp;"|"&amp;D$349,'Transition Stepwise'!$E$2:$E$1137,0))</f>
        <v>0.85436893203883491</v>
      </c>
      <c r="E350" s="14">
        <f>INDEX('Transition Stepwise'!$J$2:$J$1137,MATCH(44&amp;"|"&amp;$A350&amp;"|"&amp;E$349,'Transition Stepwise'!$E$2:$E$1137,0))</f>
        <v>9.7087378640776698E-2</v>
      </c>
      <c r="F350" s="4">
        <f>ROUND(SUM(B350:E350),9)</f>
        <v>1</v>
      </c>
    </row>
    <row r="351" spans="1:6">
      <c r="A351" s="5" t="s">
        <v>71</v>
      </c>
      <c r="B351" s="14">
        <f>INDEX('Transition Stepwise'!$J$2:$J$1137,MATCH(44&amp;"|"&amp;$A351&amp;"|"&amp;B$349,'Transition Stepwise'!$E$2:$E$1137,0))</f>
        <v>0.23529411764705882</v>
      </c>
      <c r="C351" s="14">
        <f>INDEX('Transition Stepwise'!$J$2:$J$1137,MATCH(44&amp;"|"&amp;$A351&amp;"|"&amp;C$349,'Transition Stepwise'!$E$2:$E$1137,0))</f>
        <v>5.8823529411764705E-2</v>
      </c>
      <c r="D351" s="14">
        <f>INDEX('Transition Stepwise'!$J$2:$J$1137,MATCH(44&amp;"|"&amp;$A351&amp;"|"&amp;D$349,'Transition Stepwise'!$E$2:$E$1137,0))</f>
        <v>0.5</v>
      </c>
      <c r="E351" s="14">
        <f>INDEX('Transition Stepwise'!$J$2:$J$1137,MATCH(44&amp;"|"&amp;$A351&amp;"|"&amp;E$349,'Transition Stepwise'!$E$2:$E$1137,0))</f>
        <v>0.20588235294117646</v>
      </c>
      <c r="F351" s="4">
        <f>ROUND(SUM(B351:E351),9)</f>
        <v>1</v>
      </c>
    </row>
    <row r="352" spans="1:6">
      <c r="A352" s="5" t="s">
        <v>70</v>
      </c>
      <c r="B352" s="14">
        <f>INDEX('Transition Stepwise'!$J$2:$J$1137,MATCH(44&amp;"|"&amp;$A352&amp;"|"&amp;B$349,'Transition Stepwise'!$E$2:$E$1137,0))</f>
        <v>0.14000000000000001</v>
      </c>
      <c r="C352" s="14">
        <f>INDEX('Transition Stepwise'!$J$2:$J$1137,MATCH(44&amp;"|"&amp;$A352&amp;"|"&amp;C$349,'Transition Stepwise'!$E$2:$E$1137,0))</f>
        <v>0.04</v>
      </c>
      <c r="D352" s="14">
        <f>INDEX('Transition Stepwise'!$J$2:$J$1137,MATCH(44&amp;"|"&amp;$A352&amp;"|"&amp;D$349,'Transition Stepwise'!$E$2:$E$1137,0))</f>
        <v>0.66</v>
      </c>
      <c r="E352" s="14">
        <f>INDEX('Transition Stepwise'!$J$2:$J$1137,MATCH(44&amp;"|"&amp;$A352&amp;"|"&amp;E$349,'Transition Stepwise'!$E$2:$E$1137,0))</f>
        <v>0.16</v>
      </c>
      <c r="F352" s="4">
        <f>ROUND(SUM(B352:E352),9)</f>
        <v>1</v>
      </c>
    </row>
    <row r="353" spans="1:6">
      <c r="A353" s="5" t="s">
        <v>72</v>
      </c>
      <c r="B353" s="14">
        <f>INDEX('Transition Stepwise'!$J$2:$J$1137,MATCH(44&amp;"|"&amp;$A353&amp;"|"&amp;B$349,'Transition Stepwise'!$E$2:$E$1137,0))</f>
        <v>7.407407407407407E-2</v>
      </c>
      <c r="C353" s="14">
        <f>INDEX('Transition Stepwise'!$J$2:$J$1137,MATCH(44&amp;"|"&amp;$A353&amp;"|"&amp;C$349,'Transition Stepwise'!$E$2:$E$1137,0))</f>
        <v>7.407407407407407E-2</v>
      </c>
      <c r="D353" s="14">
        <f>INDEX('Transition Stepwise'!$J$2:$J$1137,MATCH(44&amp;"|"&amp;$A353&amp;"|"&amp;D$349,'Transition Stepwise'!$E$2:$E$1137,0))</f>
        <v>0.59259259259259256</v>
      </c>
      <c r="E353" s="14">
        <f>INDEX('Transition Stepwise'!$J$2:$J$1137,MATCH(44&amp;"|"&amp;$A353&amp;"|"&amp;E$349,'Transition Stepwise'!$E$2:$E$1137,0))</f>
        <v>0.25925925925925924</v>
      </c>
      <c r="F353" s="4">
        <f>ROUND(SUM(B353:E353),9)</f>
        <v>1</v>
      </c>
    </row>
    <row r="354" spans="1:6">
      <c r="A354" s="4"/>
      <c r="B354" s="4"/>
      <c r="C354" s="4"/>
      <c r="D354" s="4"/>
      <c r="E354" s="4"/>
      <c r="F354" s="4"/>
    </row>
    <row r="355" spans="1:6">
      <c r="A355" s="4"/>
      <c r="B355" s="4"/>
      <c r="C355" s="4"/>
      <c r="D355" s="4"/>
      <c r="E355" s="4"/>
      <c r="F355" s="4"/>
    </row>
    <row r="356" spans="1:6">
      <c r="A356" s="5" t="s">
        <v>638</v>
      </c>
      <c r="B356" s="4"/>
      <c r="C356" s="4"/>
      <c r="D356" s="4"/>
      <c r="E356" s="4"/>
      <c r="F356" s="4"/>
    </row>
    <row r="357" spans="1:6">
      <c r="A357" s="9" t="s">
        <v>593</v>
      </c>
      <c r="B357" s="9" t="s">
        <v>73</v>
      </c>
      <c r="C357" s="9" t="s">
        <v>71</v>
      </c>
      <c r="D357" s="9" t="s">
        <v>70</v>
      </c>
      <c r="E357" s="9" t="s">
        <v>72</v>
      </c>
      <c r="F357" s="9" t="s">
        <v>666</v>
      </c>
    </row>
    <row r="358" spans="1:6">
      <c r="A358" s="5" t="s">
        <v>73</v>
      </c>
      <c r="B358" s="14">
        <f>INDEX('Transition Stepwise'!$J$2:$J$1137,MATCH(45&amp;"|"&amp;$A358&amp;"|"&amp;B$357,'Transition Stepwise'!$E$2:$E$1137,0))</f>
        <v>7.6923076923076927E-2</v>
      </c>
      <c r="C358" s="14">
        <f>INDEX('Transition Stepwise'!$J$2:$J$1137,MATCH(45&amp;"|"&amp;$A358&amp;"|"&amp;C$357,'Transition Stepwise'!$E$2:$E$1137,0))</f>
        <v>0.15384615384615385</v>
      </c>
      <c r="D358" s="14">
        <f>INDEX('Transition Stepwise'!$J$2:$J$1137,MATCH(45&amp;"|"&amp;$A358&amp;"|"&amp;D$357,'Transition Stepwise'!$E$2:$E$1137,0))</f>
        <v>0.46153846153846156</v>
      </c>
      <c r="E358" s="14">
        <f>INDEX('Transition Stepwise'!$J$2:$J$1137,MATCH(45&amp;"|"&amp;$A358&amp;"|"&amp;E$357,'Transition Stepwise'!$E$2:$E$1137,0))</f>
        <v>0.30769230769230771</v>
      </c>
      <c r="F358" s="4">
        <f>ROUND(SUM(B358:E358),9)</f>
        <v>1</v>
      </c>
    </row>
    <row r="359" spans="1:6">
      <c r="A359" s="5" t="s">
        <v>71</v>
      </c>
      <c r="B359" s="14">
        <f>INDEX('Transition Stepwise'!$J$2:$J$1137,MATCH(45&amp;"|"&amp;$A359&amp;"|"&amp;B$357,'Transition Stepwise'!$E$2:$E$1137,0))</f>
        <v>0.1111111111111111</v>
      </c>
      <c r="C359" s="14">
        <f>INDEX('Transition Stepwise'!$J$2:$J$1137,MATCH(45&amp;"|"&amp;$A359&amp;"|"&amp;C$357,'Transition Stepwise'!$E$2:$E$1137,0))</f>
        <v>0.22222222222222221</v>
      </c>
      <c r="D359" s="14">
        <f>INDEX('Transition Stepwise'!$J$2:$J$1137,MATCH(45&amp;"|"&amp;$A359&amp;"|"&amp;D$357,'Transition Stepwise'!$E$2:$E$1137,0))</f>
        <v>0.44444444444444442</v>
      </c>
      <c r="E359" s="14">
        <f>INDEX('Transition Stepwise'!$J$2:$J$1137,MATCH(45&amp;"|"&amp;$A359&amp;"|"&amp;E$357,'Transition Stepwise'!$E$2:$E$1137,0))</f>
        <v>0.22222222222222221</v>
      </c>
      <c r="F359" s="4">
        <f>ROUND(SUM(B359:E359),9)</f>
        <v>1</v>
      </c>
    </row>
    <row r="360" spans="1:6">
      <c r="A360" s="5" t="s">
        <v>70</v>
      </c>
      <c r="B360" s="14">
        <f>INDEX('Transition Stepwise'!$J$2:$J$1137,MATCH(45&amp;"|"&amp;$A360&amp;"|"&amp;B$357,'Transition Stepwise'!$E$2:$E$1137,0))</f>
        <v>0.11594202898550725</v>
      </c>
      <c r="C360" s="14">
        <f>INDEX('Transition Stepwise'!$J$2:$J$1137,MATCH(45&amp;"|"&amp;$A360&amp;"|"&amp;C$357,'Transition Stepwise'!$E$2:$E$1137,0))</f>
        <v>2.1739130434782608E-2</v>
      </c>
      <c r="D360" s="14">
        <f>INDEX('Transition Stepwise'!$J$2:$J$1137,MATCH(45&amp;"|"&amp;$A360&amp;"|"&amp;D$357,'Transition Stepwise'!$E$2:$E$1137,0))</f>
        <v>0.82608695652173914</v>
      </c>
      <c r="E360" s="14">
        <f>INDEX('Transition Stepwise'!$J$2:$J$1137,MATCH(45&amp;"|"&amp;$A360&amp;"|"&amp;E$357,'Transition Stepwise'!$E$2:$E$1137,0))</f>
        <v>3.6231884057971016E-2</v>
      </c>
      <c r="F360" s="4">
        <f>ROUND(SUM(B360:E360),9)</f>
        <v>1</v>
      </c>
    </row>
    <row r="361" spans="1:6">
      <c r="A361" s="5" t="s">
        <v>72</v>
      </c>
      <c r="B361" s="14">
        <f>INDEX('Transition Stepwise'!$J$2:$J$1137,MATCH(45&amp;"|"&amp;$A361&amp;"|"&amp;B$357,'Transition Stepwise'!$E$2:$E$1137,0))</f>
        <v>0.08</v>
      </c>
      <c r="C361" s="14">
        <f>INDEX('Transition Stepwise'!$J$2:$J$1137,MATCH(45&amp;"|"&amp;$A361&amp;"|"&amp;C$357,'Transition Stepwise'!$E$2:$E$1137,0))</f>
        <v>0.04</v>
      </c>
      <c r="D361" s="14">
        <f>INDEX('Transition Stepwise'!$J$2:$J$1137,MATCH(45&amp;"|"&amp;$A361&amp;"|"&amp;D$357,'Transition Stepwise'!$E$2:$E$1137,0))</f>
        <v>0.68</v>
      </c>
      <c r="E361" s="14">
        <f>INDEX('Transition Stepwise'!$J$2:$J$1137,MATCH(45&amp;"|"&amp;$A361&amp;"|"&amp;E$357,'Transition Stepwise'!$E$2:$E$1137,0))</f>
        <v>0.2</v>
      </c>
      <c r="F361" s="4">
        <f>ROUND(SUM(B361:E361),9)</f>
        <v>1</v>
      </c>
    </row>
    <row r="362" spans="1:6">
      <c r="A362" s="4"/>
      <c r="B362" s="4"/>
      <c r="C362" s="4"/>
      <c r="D362" s="4"/>
      <c r="E362" s="4"/>
      <c r="F362" s="4"/>
    </row>
    <row r="363" spans="1:6">
      <c r="A363" s="4"/>
      <c r="B363" s="4"/>
      <c r="C363" s="4"/>
      <c r="D363" s="4"/>
      <c r="E363" s="4"/>
      <c r="F363" s="4"/>
    </row>
    <row r="364" spans="1:6">
      <c r="A364" s="5" t="s">
        <v>639</v>
      </c>
      <c r="B364" s="4"/>
      <c r="C364" s="4"/>
      <c r="D364" s="4"/>
      <c r="E364" s="4"/>
      <c r="F364" s="4"/>
    </row>
    <row r="365" spans="1:6">
      <c r="A365" s="9" t="s">
        <v>593</v>
      </c>
      <c r="B365" s="9" t="s">
        <v>73</v>
      </c>
      <c r="C365" s="9" t="s">
        <v>71</v>
      </c>
      <c r="D365" s="9" t="s">
        <v>70</v>
      </c>
      <c r="E365" s="9" t="s">
        <v>72</v>
      </c>
      <c r="F365" s="9" t="s">
        <v>666</v>
      </c>
    </row>
    <row r="366" spans="1:6">
      <c r="A366" s="5" t="s">
        <v>73</v>
      </c>
      <c r="B366" s="14">
        <f>INDEX('Transition Stepwise'!$J$2:$J$1137,MATCH(46&amp;"|"&amp;$A366&amp;"|"&amp;B$365,'Transition Stepwise'!$E$2:$E$1137,0))</f>
        <v>0.05</v>
      </c>
      <c r="C366" s="14">
        <f>INDEX('Transition Stepwise'!$J$2:$J$1137,MATCH(46&amp;"|"&amp;$A366&amp;"|"&amp;C$365,'Transition Stepwise'!$E$2:$E$1137,0))</f>
        <v>0.2</v>
      </c>
      <c r="D366" s="14">
        <f>INDEX('Transition Stepwise'!$J$2:$J$1137,MATCH(46&amp;"|"&amp;$A366&amp;"|"&amp;D$365,'Transition Stepwise'!$E$2:$E$1137,0))</f>
        <v>0.1</v>
      </c>
      <c r="E366" s="14">
        <f>INDEX('Transition Stepwise'!$J$2:$J$1137,MATCH(46&amp;"|"&amp;$A366&amp;"|"&amp;E$365,'Transition Stepwise'!$E$2:$E$1137,0))</f>
        <v>0.65</v>
      </c>
      <c r="F366" s="4">
        <f>ROUND(SUM(B366:E366),9)</f>
        <v>1</v>
      </c>
    </row>
    <row r="367" spans="1:6">
      <c r="A367" s="5" t="s">
        <v>71</v>
      </c>
      <c r="B367" s="14">
        <f>INDEX('Transition Stepwise'!$J$2:$J$1137,MATCH(46&amp;"|"&amp;$A367&amp;"|"&amp;B$365,'Transition Stepwise'!$E$2:$E$1137,0))</f>
        <v>0.25</v>
      </c>
      <c r="C367" s="14">
        <f>INDEX('Transition Stepwise'!$J$2:$J$1137,MATCH(46&amp;"|"&amp;$A367&amp;"|"&amp;C$365,'Transition Stepwise'!$E$2:$E$1137,0))</f>
        <v>0.25</v>
      </c>
      <c r="D367" s="14">
        <f>INDEX('Transition Stepwise'!$J$2:$J$1137,MATCH(46&amp;"|"&amp;$A367&amp;"|"&amp;D$365,'Transition Stepwise'!$E$2:$E$1137,0))</f>
        <v>0.25</v>
      </c>
      <c r="E367" s="14">
        <f>INDEX('Transition Stepwise'!$J$2:$J$1137,MATCH(46&amp;"|"&amp;$A367&amp;"|"&amp;E$365,'Transition Stepwise'!$E$2:$E$1137,0))</f>
        <v>0.25</v>
      </c>
      <c r="F367" s="4">
        <f>ROUND(SUM(B367:E367),9)</f>
        <v>1</v>
      </c>
    </row>
    <row r="368" spans="1:6">
      <c r="A368" s="5" t="s">
        <v>70</v>
      </c>
      <c r="B368" s="14">
        <f>INDEX('Transition Stepwise'!$J$2:$J$1137,MATCH(46&amp;"|"&amp;$A368&amp;"|"&amp;B$365,'Transition Stepwise'!$E$2:$E$1137,0))</f>
        <v>7.0921985815602835E-3</v>
      </c>
      <c r="C368" s="14">
        <f>INDEX('Transition Stepwise'!$J$2:$J$1137,MATCH(46&amp;"|"&amp;$A368&amp;"|"&amp;C$365,'Transition Stepwise'!$E$2:$E$1137,0))</f>
        <v>0.11347517730496454</v>
      </c>
      <c r="D368" s="14">
        <f>INDEX('Transition Stepwise'!$J$2:$J$1137,MATCH(46&amp;"|"&amp;$A368&amp;"|"&amp;D$365,'Transition Stepwise'!$E$2:$E$1137,0))</f>
        <v>3.5460992907801421E-2</v>
      </c>
      <c r="E368" s="14">
        <f>INDEX('Transition Stepwise'!$J$2:$J$1137,MATCH(46&amp;"|"&amp;$A368&amp;"|"&amp;E$365,'Transition Stepwise'!$E$2:$E$1137,0))</f>
        <v>0.84397163120567376</v>
      </c>
      <c r="F368" s="4">
        <f>ROUND(SUM(B368:E368),9)</f>
        <v>1</v>
      </c>
    </row>
    <row r="369" spans="1:6">
      <c r="A369" s="5" t="s">
        <v>72</v>
      </c>
      <c r="B369" s="14">
        <f>INDEX('Transition Stepwise'!$J$2:$J$1137,MATCH(46&amp;"|"&amp;$A369&amp;"|"&amp;B$365,'Transition Stepwise'!$E$2:$E$1137,0))</f>
        <v>0.375</v>
      </c>
      <c r="C369" s="14">
        <f>INDEX('Transition Stepwise'!$J$2:$J$1137,MATCH(46&amp;"|"&amp;$A369&amp;"|"&amp;C$365,'Transition Stepwise'!$E$2:$E$1137,0))</f>
        <v>0.25</v>
      </c>
      <c r="D369" s="14">
        <f>INDEX('Transition Stepwise'!$J$2:$J$1137,MATCH(46&amp;"|"&amp;$A369&amp;"|"&amp;D$365,'Transition Stepwise'!$E$2:$E$1137,0))</f>
        <v>0.25</v>
      </c>
      <c r="E369" s="14">
        <f>INDEX('Transition Stepwise'!$J$2:$J$1137,MATCH(46&amp;"|"&amp;$A369&amp;"|"&amp;E$365,'Transition Stepwise'!$E$2:$E$1137,0))</f>
        <v>0.125</v>
      </c>
      <c r="F369" s="4">
        <f>ROUND(SUM(B369:E369),9)</f>
        <v>1</v>
      </c>
    </row>
    <row r="370" spans="1:6">
      <c r="A370" s="4"/>
      <c r="B370" s="4"/>
      <c r="C370" s="4"/>
      <c r="D370" s="4"/>
      <c r="E370" s="4"/>
      <c r="F370" s="4"/>
    </row>
    <row r="371" spans="1:6">
      <c r="A371" s="4"/>
      <c r="B371" s="4"/>
      <c r="C371" s="4"/>
      <c r="D371" s="4"/>
      <c r="E371" s="4"/>
      <c r="F371" s="4"/>
    </row>
    <row r="372" spans="1:6">
      <c r="A372" s="5" t="s">
        <v>640</v>
      </c>
      <c r="B372" s="4"/>
      <c r="C372" s="4"/>
      <c r="D372" s="4"/>
      <c r="E372" s="4"/>
      <c r="F372" s="4"/>
    </row>
    <row r="373" spans="1:6">
      <c r="A373" s="9" t="s">
        <v>593</v>
      </c>
      <c r="B373" s="9" t="s">
        <v>73</v>
      </c>
      <c r="C373" s="9" t="s">
        <v>71</v>
      </c>
      <c r="D373" s="9" t="s">
        <v>70</v>
      </c>
      <c r="E373" s="9" t="s">
        <v>72</v>
      </c>
      <c r="F373" s="9" t="s">
        <v>666</v>
      </c>
    </row>
    <row r="374" spans="1:6">
      <c r="A374" s="5" t="s">
        <v>73</v>
      </c>
      <c r="B374" s="14">
        <f>INDEX('Transition Stepwise'!$J$2:$J$1137,MATCH(47&amp;"|"&amp;$A374&amp;"|"&amp;B$373,'Transition Stepwise'!$E$2:$E$1137,0))</f>
        <v>6.6666666666666666E-2</v>
      </c>
      <c r="C374" s="14">
        <f>INDEX('Transition Stepwise'!$J$2:$J$1137,MATCH(47&amp;"|"&amp;$A374&amp;"|"&amp;C$373,'Transition Stepwise'!$E$2:$E$1137,0))</f>
        <v>0.7</v>
      </c>
      <c r="D374" s="14">
        <f>INDEX('Transition Stepwise'!$J$2:$J$1137,MATCH(47&amp;"|"&amp;$A374&amp;"|"&amp;D$373,'Transition Stepwise'!$E$2:$E$1137,0))</f>
        <v>6.6666666666666666E-2</v>
      </c>
      <c r="E374" s="14">
        <f>INDEX('Transition Stepwise'!$J$2:$J$1137,MATCH(47&amp;"|"&amp;$A374&amp;"|"&amp;E$373,'Transition Stepwise'!$E$2:$E$1137,0))</f>
        <v>0.16666666666666666</v>
      </c>
      <c r="F374" s="4">
        <f>ROUND(SUM(B374:E374),9)</f>
        <v>1</v>
      </c>
    </row>
    <row r="375" spans="1:6">
      <c r="A375" s="5" t="s">
        <v>71</v>
      </c>
      <c r="B375" s="14">
        <f>INDEX('Transition Stepwise'!$J$2:$J$1137,MATCH(47&amp;"|"&amp;$A375&amp;"|"&amp;B$373,'Transition Stepwise'!$E$2:$E$1137,0))</f>
        <v>3.7037037037037035E-2</v>
      </c>
      <c r="C375" s="14">
        <f>INDEX('Transition Stepwise'!$J$2:$J$1137,MATCH(47&amp;"|"&amp;$A375&amp;"|"&amp;C$373,'Transition Stepwise'!$E$2:$E$1137,0))</f>
        <v>0.85185185185185186</v>
      </c>
      <c r="D375" s="14">
        <f>INDEX('Transition Stepwise'!$J$2:$J$1137,MATCH(47&amp;"|"&amp;$A375&amp;"|"&amp;D$373,'Transition Stepwise'!$E$2:$E$1137,0))</f>
        <v>3.7037037037037035E-2</v>
      </c>
      <c r="E375" s="14">
        <f>INDEX('Transition Stepwise'!$J$2:$J$1137,MATCH(47&amp;"|"&amp;$A375&amp;"|"&amp;E$373,'Transition Stepwise'!$E$2:$E$1137,0))</f>
        <v>7.407407407407407E-2</v>
      </c>
      <c r="F375" s="4">
        <f>ROUND(SUM(B375:E375),9)</f>
        <v>1</v>
      </c>
    </row>
    <row r="376" spans="1:6">
      <c r="A376" s="5" t="s">
        <v>70</v>
      </c>
      <c r="B376" s="14">
        <f>INDEX('Transition Stepwise'!$J$2:$J$1137,MATCH(47&amp;"|"&amp;$A376&amp;"|"&amp;B$373,'Transition Stepwise'!$E$2:$E$1137,0))</f>
        <v>0.05</v>
      </c>
      <c r="C376" s="14">
        <f>INDEX('Transition Stepwise'!$J$2:$J$1137,MATCH(47&amp;"|"&amp;$A376&amp;"|"&amp;C$373,'Transition Stepwise'!$E$2:$E$1137,0))</f>
        <v>0.45</v>
      </c>
      <c r="D376" s="14">
        <f>INDEX('Transition Stepwise'!$J$2:$J$1137,MATCH(47&amp;"|"&amp;$A376&amp;"|"&amp;D$373,'Transition Stepwise'!$E$2:$E$1137,0))</f>
        <v>0.05</v>
      </c>
      <c r="E376" s="14">
        <f>INDEX('Transition Stepwise'!$J$2:$J$1137,MATCH(47&amp;"|"&amp;$A376&amp;"|"&amp;E$373,'Transition Stepwise'!$E$2:$E$1137,0))</f>
        <v>0.45</v>
      </c>
      <c r="F376" s="4">
        <f>ROUND(SUM(B376:E376),9)</f>
        <v>1</v>
      </c>
    </row>
    <row r="377" spans="1:6">
      <c r="A377" s="5" t="s">
        <v>72</v>
      </c>
      <c r="B377" s="14">
        <f>INDEX('Transition Stepwise'!$J$2:$J$1137,MATCH(47&amp;"|"&amp;$A377&amp;"|"&amp;B$373,'Transition Stepwise'!$E$2:$E$1137,0))</f>
        <v>7.1942446043165471E-3</v>
      </c>
      <c r="C377" s="14">
        <f>INDEX('Transition Stepwise'!$J$2:$J$1137,MATCH(47&amp;"|"&amp;$A377&amp;"|"&amp;C$373,'Transition Stepwise'!$E$2:$E$1137,0))</f>
        <v>0.85611510791366907</v>
      </c>
      <c r="D377" s="14">
        <f>INDEX('Transition Stepwise'!$J$2:$J$1137,MATCH(47&amp;"|"&amp;$A377&amp;"|"&amp;D$373,'Transition Stepwise'!$E$2:$E$1137,0))</f>
        <v>1.4388489208633094E-2</v>
      </c>
      <c r="E377" s="14">
        <f>INDEX('Transition Stepwise'!$J$2:$J$1137,MATCH(47&amp;"|"&amp;$A377&amp;"|"&amp;E$373,'Transition Stepwise'!$E$2:$E$1137,0))</f>
        <v>0.1223021582733813</v>
      </c>
      <c r="F377" s="4">
        <f>ROUND(SUM(B377:E377),9)</f>
        <v>1</v>
      </c>
    </row>
    <row r="378" spans="1:6">
      <c r="A378" s="4"/>
      <c r="B378" s="4"/>
      <c r="C378" s="4"/>
      <c r="D378" s="4"/>
      <c r="E378" s="4"/>
      <c r="F378" s="4"/>
    </row>
    <row r="379" spans="1:6">
      <c r="A379" s="4"/>
      <c r="B379" s="4"/>
      <c r="C379" s="4"/>
      <c r="D379" s="4"/>
      <c r="E379" s="4"/>
      <c r="F379" s="4"/>
    </row>
    <row r="380" spans="1:6">
      <c r="A380" s="5" t="s">
        <v>641</v>
      </c>
      <c r="B380" s="4"/>
      <c r="C380" s="4"/>
      <c r="D380" s="4"/>
      <c r="E380" s="4"/>
      <c r="F380" s="4"/>
    </row>
    <row r="381" spans="1:6">
      <c r="A381" s="9" t="s">
        <v>593</v>
      </c>
      <c r="B381" s="9" t="s">
        <v>73</v>
      </c>
      <c r="C381" s="9" t="s">
        <v>71</v>
      </c>
      <c r="D381" s="9" t="s">
        <v>70</v>
      </c>
      <c r="E381" s="9" t="s">
        <v>72</v>
      </c>
      <c r="F381" s="9" t="s">
        <v>666</v>
      </c>
    </row>
    <row r="382" spans="1:6">
      <c r="A382" s="5" t="s">
        <v>73</v>
      </c>
      <c r="B382" s="14">
        <f>INDEX('Transition Stepwise'!$J$2:$J$1137,MATCH(48&amp;"|"&amp;$A382&amp;"|"&amp;B$381,'Transition Stepwise'!$E$2:$E$1137,0))</f>
        <v>0.4</v>
      </c>
      <c r="C382" s="14">
        <f>INDEX('Transition Stepwise'!$J$2:$J$1137,MATCH(48&amp;"|"&amp;$A382&amp;"|"&amp;C$381,'Transition Stepwise'!$E$2:$E$1137,0))</f>
        <v>0.2</v>
      </c>
      <c r="D382" s="14">
        <f>INDEX('Transition Stepwise'!$J$2:$J$1137,MATCH(48&amp;"|"&amp;$A382&amp;"|"&amp;D$381,'Transition Stepwise'!$E$2:$E$1137,0))</f>
        <v>0.2</v>
      </c>
      <c r="E382" s="14">
        <f>INDEX('Transition Stepwise'!$J$2:$J$1137,MATCH(48&amp;"|"&amp;$A382&amp;"|"&amp;E$381,'Transition Stepwise'!$E$2:$E$1137,0))</f>
        <v>0.2</v>
      </c>
      <c r="F382" s="4">
        <f>ROUND(SUM(B382:E382),9)</f>
        <v>1</v>
      </c>
    </row>
    <row r="383" spans="1:6">
      <c r="A383" s="5" t="s">
        <v>71</v>
      </c>
      <c r="B383" s="14">
        <f>INDEX('Transition Stepwise'!$J$2:$J$1137,MATCH(48&amp;"|"&amp;$A383&amp;"|"&amp;B$381,'Transition Stepwise'!$E$2:$E$1137,0))</f>
        <v>0.13953488372093023</v>
      </c>
      <c r="C383" s="14">
        <f>INDEX('Transition Stepwise'!$J$2:$J$1137,MATCH(48&amp;"|"&amp;$A383&amp;"|"&amp;C$381,'Transition Stepwise'!$E$2:$E$1137,0))</f>
        <v>0.30232558139534882</v>
      </c>
      <c r="D383" s="14">
        <f>INDEX('Transition Stepwise'!$J$2:$J$1137,MATCH(48&amp;"|"&amp;$A383&amp;"|"&amp;D$381,'Transition Stepwise'!$E$2:$E$1137,0))</f>
        <v>0.5</v>
      </c>
      <c r="E383" s="14">
        <f>INDEX('Transition Stepwise'!$J$2:$J$1137,MATCH(48&amp;"|"&amp;$A383&amp;"|"&amp;E$381,'Transition Stepwise'!$E$2:$E$1137,0))</f>
        <v>5.8139534883720929E-2</v>
      </c>
      <c r="F383" s="4">
        <f>ROUND(SUM(B383:E383),9)</f>
        <v>1</v>
      </c>
    </row>
    <row r="384" spans="1:6">
      <c r="A384" s="5" t="s">
        <v>70</v>
      </c>
      <c r="B384" s="14">
        <f>INDEX('Transition Stepwise'!$J$2:$J$1137,MATCH(48&amp;"|"&amp;$A384&amp;"|"&amp;B$381,'Transition Stepwise'!$E$2:$E$1137,0))</f>
        <v>0.16666666666666666</v>
      </c>
      <c r="C384" s="14">
        <f>INDEX('Transition Stepwise'!$J$2:$J$1137,MATCH(48&amp;"|"&amp;$A384&amp;"|"&amp;C$381,'Transition Stepwise'!$E$2:$E$1137,0))</f>
        <v>0.5</v>
      </c>
      <c r="D384" s="14">
        <f>INDEX('Transition Stepwise'!$J$2:$J$1137,MATCH(48&amp;"|"&amp;$A384&amp;"|"&amp;D$381,'Transition Stepwise'!$E$2:$E$1137,0))</f>
        <v>0.16666666666666666</v>
      </c>
      <c r="E384" s="14">
        <f>INDEX('Transition Stepwise'!$J$2:$J$1137,MATCH(48&amp;"|"&amp;$A384&amp;"|"&amp;E$381,'Transition Stepwise'!$E$2:$E$1137,0))</f>
        <v>0.16666666666666666</v>
      </c>
      <c r="F384" s="4">
        <f>ROUND(SUM(B384:E384),9)</f>
        <v>1</v>
      </c>
    </row>
    <row r="385" spans="1:6">
      <c r="A385" s="5" t="s">
        <v>72</v>
      </c>
      <c r="B385" s="14">
        <f>INDEX('Transition Stepwise'!$J$2:$J$1137,MATCH(48&amp;"|"&amp;$A385&amp;"|"&amp;B$381,'Transition Stepwise'!$E$2:$E$1137,0))</f>
        <v>0.24242424242424243</v>
      </c>
      <c r="C385" s="14">
        <f>INDEX('Transition Stepwise'!$J$2:$J$1137,MATCH(48&amp;"|"&amp;$A385&amp;"|"&amp;C$381,'Transition Stepwise'!$E$2:$E$1137,0))</f>
        <v>0.15151515151515152</v>
      </c>
      <c r="D385" s="14">
        <f>INDEX('Transition Stepwise'!$J$2:$J$1137,MATCH(48&amp;"|"&amp;$A385&amp;"|"&amp;D$381,'Transition Stepwise'!$E$2:$E$1137,0))</f>
        <v>0.51515151515151514</v>
      </c>
      <c r="E385" s="14">
        <f>INDEX('Transition Stepwise'!$J$2:$J$1137,MATCH(48&amp;"|"&amp;$A385&amp;"|"&amp;E$381,'Transition Stepwise'!$E$2:$E$1137,0))</f>
        <v>9.0909090909090912E-2</v>
      </c>
      <c r="F385" s="4">
        <f>ROUND(SUM(B385:E385),9)</f>
        <v>1</v>
      </c>
    </row>
    <row r="386" spans="1:6">
      <c r="A386" s="4"/>
      <c r="B386" s="4"/>
      <c r="C386" s="4"/>
      <c r="D386" s="4"/>
      <c r="E386" s="4"/>
      <c r="F386" s="4"/>
    </row>
    <row r="387" spans="1:6">
      <c r="A387" s="4"/>
      <c r="B387" s="4"/>
      <c r="C387" s="4"/>
      <c r="D387" s="4"/>
      <c r="E387" s="4"/>
      <c r="F387" s="4"/>
    </row>
    <row r="388" spans="1:6">
      <c r="A388" s="5" t="s">
        <v>642</v>
      </c>
      <c r="B388" s="4"/>
      <c r="C388" s="4"/>
      <c r="D388" s="4"/>
      <c r="E388" s="4"/>
      <c r="F388" s="4"/>
    </row>
    <row r="389" spans="1:6">
      <c r="A389" s="9" t="s">
        <v>593</v>
      </c>
      <c r="B389" s="9" t="s">
        <v>73</v>
      </c>
      <c r="C389" s="9" t="s">
        <v>71</v>
      </c>
      <c r="D389" s="9" t="s">
        <v>70</v>
      </c>
      <c r="E389" s="9" t="s">
        <v>72</v>
      </c>
      <c r="F389" s="9" t="s">
        <v>666</v>
      </c>
    </row>
    <row r="390" spans="1:6">
      <c r="A390" s="5" t="s">
        <v>73</v>
      </c>
      <c r="B390" s="14">
        <f>INDEX('Transition Stepwise'!$J$2:$J$1137,MATCH(49&amp;"|"&amp;$A390&amp;"|"&amp;B$389,'Transition Stepwise'!$E$2:$E$1137,0))</f>
        <v>8.5714285714285715E-2</v>
      </c>
      <c r="C390" s="14">
        <f>INDEX('Transition Stepwise'!$J$2:$J$1137,MATCH(49&amp;"|"&amp;$A390&amp;"|"&amp;C$389,'Transition Stepwise'!$E$2:$E$1137,0))</f>
        <v>0.45714285714285713</v>
      </c>
      <c r="D390" s="14">
        <f>INDEX('Transition Stepwise'!$J$2:$J$1137,MATCH(49&amp;"|"&amp;$A390&amp;"|"&amp;D$389,'Transition Stepwise'!$E$2:$E$1137,0))</f>
        <v>0.25714285714285712</v>
      </c>
      <c r="E390" s="14">
        <f>INDEX('Transition Stepwise'!$J$2:$J$1137,MATCH(49&amp;"|"&amp;$A390&amp;"|"&amp;E$389,'Transition Stepwise'!$E$2:$E$1137,0))</f>
        <v>0.2</v>
      </c>
      <c r="F390" s="4">
        <f>ROUND(SUM(B390:E390),9)</f>
        <v>1</v>
      </c>
    </row>
    <row r="391" spans="1:6">
      <c r="A391" s="5" t="s">
        <v>71</v>
      </c>
      <c r="B391" s="14">
        <f>INDEX('Transition Stepwise'!$J$2:$J$1137,MATCH(49&amp;"|"&amp;$A391&amp;"|"&amp;B$389,'Transition Stepwise'!$E$2:$E$1137,0))</f>
        <v>6.5573770491803282E-2</v>
      </c>
      <c r="C391" s="14">
        <f>INDEX('Transition Stepwise'!$J$2:$J$1137,MATCH(49&amp;"|"&amp;$A391&amp;"|"&amp;C$389,'Transition Stepwise'!$E$2:$E$1137,0))</f>
        <v>0.57377049180327866</v>
      </c>
      <c r="D391" s="14">
        <f>INDEX('Transition Stepwise'!$J$2:$J$1137,MATCH(49&amp;"|"&amp;$A391&amp;"|"&amp;D$389,'Transition Stepwise'!$E$2:$E$1137,0))</f>
        <v>0.21311475409836064</v>
      </c>
      <c r="E391" s="14">
        <f>INDEX('Transition Stepwise'!$J$2:$J$1137,MATCH(49&amp;"|"&amp;$A391&amp;"|"&amp;E$389,'Transition Stepwise'!$E$2:$E$1137,0))</f>
        <v>0.14754098360655737</v>
      </c>
      <c r="F391" s="4">
        <f>ROUND(SUM(B391:E391),9)</f>
        <v>1</v>
      </c>
    </row>
    <row r="392" spans="1:6">
      <c r="A392" s="5" t="s">
        <v>70</v>
      </c>
      <c r="B392" s="14">
        <f>INDEX('Transition Stepwise'!$J$2:$J$1137,MATCH(49&amp;"|"&amp;$A392&amp;"|"&amp;B$389,'Transition Stepwise'!$E$2:$E$1137,0))</f>
        <v>0.16190476190476191</v>
      </c>
      <c r="C392" s="14">
        <f>INDEX('Transition Stepwise'!$J$2:$J$1137,MATCH(49&amp;"|"&amp;$A392&amp;"|"&amp;C$389,'Transition Stepwise'!$E$2:$E$1137,0))</f>
        <v>0.32380952380952382</v>
      </c>
      <c r="D392" s="14">
        <f>INDEX('Transition Stepwise'!$J$2:$J$1137,MATCH(49&amp;"|"&amp;$A392&amp;"|"&amp;D$389,'Transition Stepwise'!$E$2:$E$1137,0))</f>
        <v>0.29523809523809524</v>
      </c>
      <c r="E392" s="14">
        <f>INDEX('Transition Stepwise'!$J$2:$J$1137,MATCH(49&amp;"|"&amp;$A392&amp;"|"&amp;E$389,'Transition Stepwise'!$E$2:$E$1137,0))</f>
        <v>0.21904761904761905</v>
      </c>
      <c r="F392" s="4">
        <f>ROUND(SUM(B392:E392),9)</f>
        <v>1</v>
      </c>
    </row>
    <row r="393" spans="1:6">
      <c r="A393" s="5" t="s">
        <v>72</v>
      </c>
      <c r="B393" s="14">
        <f>INDEX('Transition Stepwise'!$J$2:$J$1137,MATCH(49&amp;"|"&amp;$A393&amp;"|"&amp;B$389,'Transition Stepwise'!$E$2:$E$1137,0))</f>
        <v>0.2</v>
      </c>
      <c r="C393" s="14">
        <f>INDEX('Transition Stepwise'!$J$2:$J$1137,MATCH(49&amp;"|"&amp;$A393&amp;"|"&amp;C$389,'Transition Stepwise'!$E$2:$E$1137,0))</f>
        <v>0.4</v>
      </c>
      <c r="D393" s="14">
        <f>INDEX('Transition Stepwise'!$J$2:$J$1137,MATCH(49&amp;"|"&amp;$A393&amp;"|"&amp;D$389,'Transition Stepwise'!$E$2:$E$1137,0))</f>
        <v>0.33333333333333331</v>
      </c>
      <c r="E393" s="14">
        <f>INDEX('Transition Stepwise'!$J$2:$J$1137,MATCH(49&amp;"|"&amp;$A393&amp;"|"&amp;E$389,'Transition Stepwise'!$E$2:$E$1137,0))</f>
        <v>6.6666666666666666E-2</v>
      </c>
      <c r="F393" s="4">
        <f>ROUND(SUM(B393:E393),9)</f>
        <v>1</v>
      </c>
    </row>
    <row r="394" spans="1:6">
      <c r="A394" s="4"/>
      <c r="B394" s="4"/>
      <c r="C394" s="4"/>
      <c r="D394" s="4"/>
      <c r="E394" s="4"/>
      <c r="F394" s="4"/>
    </row>
    <row r="395" spans="1:6">
      <c r="A395" s="4"/>
      <c r="B395" s="4"/>
      <c r="C395" s="4"/>
      <c r="D395" s="4"/>
      <c r="E395" s="4"/>
      <c r="F395" s="4"/>
    </row>
    <row r="396" spans="1:6">
      <c r="A396" s="5" t="s">
        <v>643</v>
      </c>
      <c r="B396" s="4"/>
      <c r="C396" s="4"/>
      <c r="D396" s="4"/>
      <c r="E396" s="4"/>
      <c r="F396" s="4"/>
    </row>
    <row r="397" spans="1:6">
      <c r="A397" s="9" t="s">
        <v>593</v>
      </c>
      <c r="B397" s="9" t="s">
        <v>73</v>
      </c>
      <c r="C397" s="9" t="s">
        <v>71</v>
      </c>
      <c r="D397" s="9" t="s">
        <v>70</v>
      </c>
      <c r="E397" s="9" t="s">
        <v>72</v>
      </c>
      <c r="F397" s="9" t="s">
        <v>666</v>
      </c>
    </row>
    <row r="398" spans="1:6">
      <c r="A398" s="5" t="s">
        <v>73</v>
      </c>
      <c r="B398" s="14">
        <f>INDEX('Transition Stepwise'!$J$2:$J$1137,MATCH(50&amp;"|"&amp;$A398&amp;"|"&amp;B$397,'Transition Stepwise'!$E$2:$E$1137,0))</f>
        <v>0.14814814814814814</v>
      </c>
      <c r="C398" s="14">
        <f>INDEX('Transition Stepwise'!$J$2:$J$1137,MATCH(50&amp;"|"&amp;$A398&amp;"|"&amp;C$397,'Transition Stepwise'!$E$2:$E$1137,0))</f>
        <v>0.1111111111111111</v>
      </c>
      <c r="D398" s="14">
        <f>INDEX('Transition Stepwise'!$J$2:$J$1137,MATCH(50&amp;"|"&amp;$A398&amp;"|"&amp;D$397,'Transition Stepwise'!$E$2:$E$1137,0))</f>
        <v>0.62962962962962965</v>
      </c>
      <c r="E398" s="14">
        <f>INDEX('Transition Stepwise'!$J$2:$J$1137,MATCH(50&amp;"|"&amp;$A398&amp;"|"&amp;E$397,'Transition Stepwise'!$E$2:$E$1137,0))</f>
        <v>0.1111111111111111</v>
      </c>
      <c r="F398" s="4">
        <f>ROUND(SUM(B398:E398),9)</f>
        <v>1</v>
      </c>
    </row>
    <row r="399" spans="1:6">
      <c r="A399" s="5" t="s">
        <v>71</v>
      </c>
      <c r="B399" s="14">
        <f>INDEX('Transition Stepwise'!$J$2:$J$1137,MATCH(50&amp;"|"&amp;$A399&amp;"|"&amp;B$397,'Transition Stepwise'!$E$2:$E$1137,0))</f>
        <v>0.18681318681318682</v>
      </c>
      <c r="C399" s="14">
        <f>INDEX('Transition Stepwise'!$J$2:$J$1137,MATCH(50&amp;"|"&amp;$A399&amp;"|"&amp;C$397,'Transition Stepwise'!$E$2:$E$1137,0))</f>
        <v>0.2087912087912088</v>
      </c>
      <c r="D399" s="14">
        <f>INDEX('Transition Stepwise'!$J$2:$J$1137,MATCH(50&amp;"|"&amp;$A399&amp;"|"&amp;D$397,'Transition Stepwise'!$E$2:$E$1137,0))</f>
        <v>0.42857142857142855</v>
      </c>
      <c r="E399" s="14">
        <f>INDEX('Transition Stepwise'!$J$2:$J$1137,MATCH(50&amp;"|"&amp;$A399&amp;"|"&amp;E$397,'Transition Stepwise'!$E$2:$E$1137,0))</f>
        <v>0.17582417582417584</v>
      </c>
      <c r="F399" s="4">
        <f>ROUND(SUM(B399:E399),9)</f>
        <v>1</v>
      </c>
    </row>
    <row r="400" spans="1:6">
      <c r="A400" s="5" t="s">
        <v>70</v>
      </c>
      <c r="B400" s="14">
        <f>INDEX('Transition Stepwise'!$J$2:$J$1137,MATCH(50&amp;"|"&amp;$A400&amp;"|"&amp;B$397,'Transition Stepwise'!$E$2:$E$1137,0))</f>
        <v>8.771929824561403E-2</v>
      </c>
      <c r="C400" s="14">
        <f>INDEX('Transition Stepwise'!$J$2:$J$1137,MATCH(50&amp;"|"&amp;$A400&amp;"|"&amp;C$397,'Transition Stepwise'!$E$2:$E$1137,0))</f>
        <v>0.26315789473684209</v>
      </c>
      <c r="D400" s="14">
        <f>INDEX('Transition Stepwise'!$J$2:$J$1137,MATCH(50&amp;"|"&amp;$A400&amp;"|"&amp;D$397,'Transition Stepwise'!$E$2:$E$1137,0))</f>
        <v>0.47368421052631576</v>
      </c>
      <c r="E400" s="14">
        <f>INDEX('Transition Stepwise'!$J$2:$J$1137,MATCH(50&amp;"|"&amp;$A400&amp;"|"&amp;E$397,'Transition Stepwise'!$E$2:$E$1137,0))</f>
        <v>0.17543859649122806</v>
      </c>
      <c r="F400" s="4">
        <f>ROUND(SUM(B400:E400),9)</f>
        <v>1</v>
      </c>
    </row>
    <row r="401" spans="1:6">
      <c r="A401" s="5" t="s">
        <v>72</v>
      </c>
      <c r="B401" s="14">
        <f>INDEX('Transition Stepwise'!$J$2:$J$1137,MATCH(50&amp;"|"&amp;$A401&amp;"|"&amp;B$397,'Transition Stepwise'!$E$2:$E$1137,0))</f>
        <v>0.15</v>
      </c>
      <c r="C401" s="14">
        <f>INDEX('Transition Stepwise'!$J$2:$J$1137,MATCH(50&amp;"|"&amp;$A401&amp;"|"&amp;C$397,'Transition Stepwise'!$E$2:$E$1137,0))</f>
        <v>0.2</v>
      </c>
      <c r="D401" s="14">
        <f>INDEX('Transition Stepwise'!$J$2:$J$1137,MATCH(50&amp;"|"&amp;$A401&amp;"|"&amp;D$397,'Transition Stepwise'!$E$2:$E$1137,0))</f>
        <v>0.5</v>
      </c>
      <c r="E401" s="14">
        <f>INDEX('Transition Stepwise'!$J$2:$J$1137,MATCH(50&amp;"|"&amp;$A401&amp;"|"&amp;E$397,'Transition Stepwise'!$E$2:$E$1137,0))</f>
        <v>0.15</v>
      </c>
      <c r="F401" s="4">
        <f>ROUND(SUM(B401:E401),9)</f>
        <v>1</v>
      </c>
    </row>
    <row r="402" spans="1:6">
      <c r="A402" s="4"/>
      <c r="B402" s="4"/>
      <c r="C402" s="4"/>
      <c r="D402" s="4"/>
      <c r="E402" s="4"/>
      <c r="F402" s="4"/>
    </row>
    <row r="403" spans="1:6">
      <c r="A403" s="4"/>
      <c r="B403" s="4"/>
      <c r="C403" s="4"/>
      <c r="D403" s="4"/>
      <c r="E403" s="4"/>
      <c r="F403" s="4"/>
    </row>
    <row r="404" spans="1:6">
      <c r="A404" s="5" t="s">
        <v>644</v>
      </c>
      <c r="B404" s="4"/>
      <c r="C404" s="4"/>
      <c r="D404" s="4"/>
      <c r="E404" s="4"/>
      <c r="F404" s="4"/>
    </row>
    <row r="405" spans="1:6">
      <c r="A405" s="9" t="s">
        <v>593</v>
      </c>
      <c r="B405" s="9" t="s">
        <v>73</v>
      </c>
      <c r="C405" s="9" t="s">
        <v>71</v>
      </c>
      <c r="D405" s="9" t="s">
        <v>70</v>
      </c>
      <c r="E405" s="9" t="s">
        <v>72</v>
      </c>
      <c r="F405" s="9" t="s">
        <v>666</v>
      </c>
    </row>
    <row r="406" spans="1:6">
      <c r="A406" s="5" t="s">
        <v>73</v>
      </c>
      <c r="B406" s="14">
        <f>INDEX('Transition Stepwise'!$J$2:$J$1137,MATCH(51&amp;"|"&amp;$A406&amp;"|"&amp;B$405,'Transition Stepwise'!$E$2:$E$1137,0))</f>
        <v>6.25E-2</v>
      </c>
      <c r="C406" s="14">
        <f>INDEX('Transition Stepwise'!$J$2:$J$1137,MATCH(51&amp;"|"&amp;$A406&amp;"|"&amp;C$405,'Transition Stepwise'!$E$2:$E$1137,0))</f>
        <v>3.125E-2</v>
      </c>
      <c r="D406" s="14">
        <f>INDEX('Transition Stepwise'!$J$2:$J$1137,MATCH(51&amp;"|"&amp;$A406&amp;"|"&amp;D$405,'Transition Stepwise'!$E$2:$E$1137,0))</f>
        <v>0.875</v>
      </c>
      <c r="E406" s="14">
        <f>INDEX('Transition Stepwise'!$J$2:$J$1137,MATCH(51&amp;"|"&amp;$A406&amp;"|"&amp;E$405,'Transition Stepwise'!$E$2:$E$1137,0))</f>
        <v>3.125E-2</v>
      </c>
      <c r="F406" s="4">
        <f>ROUND(SUM(B406:E406),9)</f>
        <v>1</v>
      </c>
    </row>
    <row r="407" spans="1:6">
      <c r="A407" s="5" t="s">
        <v>71</v>
      </c>
      <c r="B407" s="14">
        <f>INDEX('Transition Stepwise'!$J$2:$J$1137,MATCH(51&amp;"|"&amp;$A407&amp;"|"&amp;B$405,'Transition Stepwise'!$E$2:$E$1137,0))</f>
        <v>0.22222222222222221</v>
      </c>
      <c r="C407" s="14">
        <f>INDEX('Transition Stepwise'!$J$2:$J$1137,MATCH(51&amp;"|"&amp;$A407&amp;"|"&amp;C$405,'Transition Stepwise'!$E$2:$E$1137,0))</f>
        <v>2.2222222222222223E-2</v>
      </c>
      <c r="D407" s="14">
        <f>INDEX('Transition Stepwise'!$J$2:$J$1137,MATCH(51&amp;"|"&amp;$A407&amp;"|"&amp;D$405,'Transition Stepwise'!$E$2:$E$1137,0))</f>
        <v>0.73333333333333328</v>
      </c>
      <c r="E407" s="14">
        <f>INDEX('Transition Stepwise'!$J$2:$J$1137,MATCH(51&amp;"|"&amp;$A407&amp;"|"&amp;E$405,'Transition Stepwise'!$E$2:$E$1137,0))</f>
        <v>2.2222222222222223E-2</v>
      </c>
      <c r="F407" s="4">
        <f>ROUND(SUM(B407:E407),9)</f>
        <v>1</v>
      </c>
    </row>
    <row r="408" spans="1:6">
      <c r="A408" s="5" t="s">
        <v>70</v>
      </c>
      <c r="B408" s="14">
        <f>INDEX('Transition Stepwise'!$J$2:$J$1137,MATCH(51&amp;"|"&amp;$A408&amp;"|"&amp;B$405,'Transition Stepwise'!$E$2:$E$1137,0))</f>
        <v>0.1553398058252427</v>
      </c>
      <c r="C408" s="14">
        <f>INDEX('Transition Stepwise'!$J$2:$J$1137,MATCH(51&amp;"|"&amp;$A408&amp;"|"&amp;C$405,'Transition Stepwise'!$E$2:$E$1137,0))</f>
        <v>1.9417475728155338E-2</v>
      </c>
      <c r="D408" s="14">
        <f>INDEX('Transition Stepwise'!$J$2:$J$1137,MATCH(51&amp;"|"&amp;$A408&amp;"|"&amp;D$405,'Transition Stepwise'!$E$2:$E$1137,0))</f>
        <v>0.78640776699029125</v>
      </c>
      <c r="E408" s="14">
        <f>INDEX('Transition Stepwise'!$J$2:$J$1137,MATCH(51&amp;"|"&amp;$A408&amp;"|"&amp;E$405,'Transition Stepwise'!$E$2:$E$1137,0))</f>
        <v>3.8834951456310676E-2</v>
      </c>
      <c r="F408" s="4">
        <f>ROUND(SUM(B408:E408),9)</f>
        <v>1</v>
      </c>
    </row>
    <row r="409" spans="1:6">
      <c r="A409" s="5" t="s">
        <v>72</v>
      </c>
      <c r="B409" s="14">
        <f>INDEX('Transition Stepwise'!$J$2:$J$1137,MATCH(51&amp;"|"&amp;$A409&amp;"|"&amp;B$405,'Transition Stepwise'!$E$2:$E$1137,0))</f>
        <v>5.7142857142857141E-2</v>
      </c>
      <c r="C409" s="14">
        <f>INDEX('Transition Stepwise'!$J$2:$J$1137,MATCH(51&amp;"|"&amp;$A409&amp;"|"&amp;C$405,'Transition Stepwise'!$E$2:$E$1137,0))</f>
        <v>2.8571428571428571E-2</v>
      </c>
      <c r="D409" s="14">
        <f>INDEX('Transition Stepwise'!$J$2:$J$1137,MATCH(51&amp;"|"&amp;$A409&amp;"|"&amp;D$405,'Transition Stepwise'!$E$2:$E$1137,0))</f>
        <v>0.8571428571428571</v>
      </c>
      <c r="E409" s="14">
        <f>INDEX('Transition Stepwise'!$J$2:$J$1137,MATCH(51&amp;"|"&amp;$A409&amp;"|"&amp;E$405,'Transition Stepwise'!$E$2:$E$1137,0))</f>
        <v>5.7142857142857141E-2</v>
      </c>
      <c r="F409" s="4">
        <f>ROUND(SUM(B409:E409),9)</f>
        <v>1</v>
      </c>
    </row>
    <row r="410" spans="1:6">
      <c r="A410" s="4"/>
      <c r="B410" s="4"/>
      <c r="C410" s="4"/>
      <c r="D410" s="4"/>
      <c r="E410" s="4"/>
      <c r="F410" s="4"/>
    </row>
    <row r="411" spans="1:6">
      <c r="A411" s="4"/>
      <c r="B411" s="4"/>
      <c r="C411" s="4"/>
      <c r="D411" s="4"/>
      <c r="E411" s="4"/>
      <c r="F411" s="4"/>
    </row>
    <row r="412" spans="1:6">
      <c r="A412" s="5" t="s">
        <v>645</v>
      </c>
      <c r="B412" s="4"/>
      <c r="C412" s="4"/>
      <c r="D412" s="4"/>
      <c r="E412" s="4"/>
      <c r="F412" s="4"/>
    </row>
    <row r="413" spans="1:6">
      <c r="A413" s="9" t="s">
        <v>593</v>
      </c>
      <c r="B413" s="9" t="s">
        <v>73</v>
      </c>
      <c r="C413" s="9" t="s">
        <v>71</v>
      </c>
      <c r="D413" s="9" t="s">
        <v>70</v>
      </c>
      <c r="E413" s="9" t="s">
        <v>72</v>
      </c>
      <c r="F413" s="9" t="s">
        <v>666</v>
      </c>
    </row>
    <row r="414" spans="1:6">
      <c r="A414" s="5" t="s">
        <v>73</v>
      </c>
      <c r="B414" s="14">
        <f>INDEX('Transition Stepwise'!$J$2:$J$1137,MATCH(52&amp;"|"&amp;$A414&amp;"|"&amp;B$413,'Transition Stepwise'!$E$2:$E$1137,0))</f>
        <v>3.3333333333333333E-2</v>
      </c>
      <c r="C414" s="14">
        <f>INDEX('Transition Stepwise'!$J$2:$J$1137,MATCH(52&amp;"|"&amp;$A414&amp;"|"&amp;C$413,'Transition Stepwise'!$E$2:$E$1137,0))</f>
        <v>3.3333333333333333E-2</v>
      </c>
      <c r="D414" s="14">
        <f>INDEX('Transition Stepwise'!$J$2:$J$1137,MATCH(52&amp;"|"&amp;$A414&amp;"|"&amp;D$413,'Transition Stepwise'!$E$2:$E$1137,0))</f>
        <v>0.9</v>
      </c>
      <c r="E414" s="14">
        <f>INDEX('Transition Stepwise'!$J$2:$J$1137,MATCH(52&amp;"|"&amp;$A414&amp;"|"&amp;E$413,'Transition Stepwise'!$E$2:$E$1137,0))</f>
        <v>3.3333333333333333E-2</v>
      </c>
      <c r="F414" s="4">
        <f>ROUND(SUM(B414:E414),9)</f>
        <v>1</v>
      </c>
    </row>
    <row r="415" spans="1:6">
      <c r="A415" s="5" t="s">
        <v>71</v>
      </c>
      <c r="B415" s="14">
        <f>INDEX('Transition Stepwise'!$J$2:$J$1137,MATCH(52&amp;"|"&amp;$A415&amp;"|"&amp;B$413,'Transition Stepwise'!$E$2:$E$1137,0))</f>
        <v>0.16666666666666666</v>
      </c>
      <c r="C415" s="14">
        <f>INDEX('Transition Stepwise'!$J$2:$J$1137,MATCH(52&amp;"|"&amp;$A415&amp;"|"&amp;C$413,'Transition Stepwise'!$E$2:$E$1137,0))</f>
        <v>0.16666666666666666</v>
      </c>
      <c r="D415" s="14">
        <f>INDEX('Transition Stepwise'!$J$2:$J$1137,MATCH(52&amp;"|"&amp;$A415&amp;"|"&amp;D$413,'Transition Stepwise'!$E$2:$E$1137,0))</f>
        <v>0.5</v>
      </c>
      <c r="E415" s="14">
        <f>INDEX('Transition Stepwise'!$J$2:$J$1137,MATCH(52&amp;"|"&amp;$A415&amp;"|"&amp;E$413,'Transition Stepwise'!$E$2:$E$1137,0))</f>
        <v>0.16666666666666666</v>
      </c>
      <c r="F415" s="4">
        <f>ROUND(SUM(B415:E415),9)</f>
        <v>1</v>
      </c>
    </row>
    <row r="416" spans="1:6">
      <c r="A416" s="5" t="s">
        <v>70</v>
      </c>
      <c r="B416" s="14">
        <f>INDEX('Transition Stepwise'!$J$2:$J$1137,MATCH(52&amp;"|"&amp;$A416&amp;"|"&amp;B$413,'Transition Stepwise'!$E$2:$E$1137,0))</f>
        <v>1.1627906976744186E-2</v>
      </c>
      <c r="C416" s="14">
        <f>INDEX('Transition Stepwise'!$J$2:$J$1137,MATCH(52&amp;"|"&amp;$A416&amp;"|"&amp;C$413,'Transition Stepwise'!$E$2:$E$1137,0))</f>
        <v>5.8139534883720929E-3</v>
      </c>
      <c r="D416" s="14">
        <f>INDEX('Transition Stepwise'!$J$2:$J$1137,MATCH(52&amp;"|"&amp;$A416&amp;"|"&amp;D$413,'Transition Stepwise'!$E$2:$E$1137,0))</f>
        <v>0.96511627906976749</v>
      </c>
      <c r="E416" s="14">
        <f>INDEX('Transition Stepwise'!$J$2:$J$1137,MATCH(52&amp;"|"&amp;$A416&amp;"|"&amp;E$413,'Transition Stepwise'!$E$2:$E$1137,0))</f>
        <v>1.7441860465116279E-2</v>
      </c>
      <c r="F416" s="4">
        <f>ROUND(SUM(B416:E416),9)</f>
        <v>1</v>
      </c>
    </row>
    <row r="417" spans="1:6">
      <c r="A417" s="5" t="s">
        <v>72</v>
      </c>
      <c r="B417" s="14">
        <f>INDEX('Transition Stepwise'!$J$2:$J$1137,MATCH(52&amp;"|"&amp;$A417&amp;"|"&amp;B$413,'Transition Stepwise'!$E$2:$E$1137,0))</f>
        <v>0.125</v>
      </c>
      <c r="C417" s="14">
        <f>INDEX('Transition Stepwise'!$J$2:$J$1137,MATCH(52&amp;"|"&amp;$A417&amp;"|"&amp;C$413,'Transition Stepwise'!$E$2:$E$1137,0))</f>
        <v>0.25</v>
      </c>
      <c r="D417" s="14">
        <f>INDEX('Transition Stepwise'!$J$2:$J$1137,MATCH(52&amp;"|"&amp;$A417&amp;"|"&amp;D$413,'Transition Stepwise'!$E$2:$E$1137,0))</f>
        <v>0.5</v>
      </c>
      <c r="E417" s="14">
        <f>INDEX('Transition Stepwise'!$J$2:$J$1137,MATCH(52&amp;"|"&amp;$A417&amp;"|"&amp;E$413,'Transition Stepwise'!$E$2:$E$1137,0))</f>
        <v>0.125</v>
      </c>
      <c r="F417" s="4">
        <f>ROUND(SUM(B417:E417),9)</f>
        <v>1</v>
      </c>
    </row>
    <row r="418" spans="1:6">
      <c r="A418" s="4"/>
      <c r="B418" s="4"/>
      <c r="C418" s="4"/>
      <c r="D418" s="4"/>
      <c r="E418" s="4"/>
      <c r="F418" s="4"/>
    </row>
    <row r="419" spans="1:6">
      <c r="A419" s="4"/>
      <c r="B419" s="4"/>
      <c r="C419" s="4"/>
      <c r="D419" s="4"/>
      <c r="E419" s="4"/>
      <c r="F419" s="4"/>
    </row>
    <row r="420" spans="1:6">
      <c r="A420" s="5" t="s">
        <v>646</v>
      </c>
      <c r="B420" s="4"/>
      <c r="C420" s="4"/>
      <c r="D420" s="4"/>
      <c r="E420" s="4"/>
      <c r="F420" s="4"/>
    </row>
    <row r="421" spans="1:6">
      <c r="A421" s="9" t="s">
        <v>593</v>
      </c>
      <c r="B421" s="9" t="s">
        <v>73</v>
      </c>
      <c r="C421" s="9" t="s">
        <v>71</v>
      </c>
      <c r="D421" s="9" t="s">
        <v>70</v>
      </c>
      <c r="E421" s="9" t="s">
        <v>72</v>
      </c>
      <c r="F421" s="9" t="s">
        <v>666</v>
      </c>
    </row>
    <row r="422" spans="1:6">
      <c r="A422" s="5" t="s">
        <v>73</v>
      </c>
      <c r="B422" s="14">
        <f>INDEX('Transition Stepwise'!$J$2:$J$1137,MATCH(53&amp;"|"&amp;$A422&amp;"|"&amp;B$421,'Transition Stepwise'!$E$2:$E$1137,0))</f>
        <v>0.2</v>
      </c>
      <c r="C422" s="14">
        <f>INDEX('Transition Stepwise'!$J$2:$J$1137,MATCH(53&amp;"|"&amp;$A422&amp;"|"&amp;C$421,'Transition Stepwise'!$E$2:$E$1137,0))</f>
        <v>0.2</v>
      </c>
      <c r="D422" s="14">
        <f>INDEX('Transition Stepwise'!$J$2:$J$1137,MATCH(53&amp;"|"&amp;$A422&amp;"|"&amp;D$421,'Transition Stepwise'!$E$2:$E$1137,0))</f>
        <v>0.2</v>
      </c>
      <c r="E422" s="14">
        <f>INDEX('Transition Stepwise'!$J$2:$J$1137,MATCH(53&amp;"|"&amp;$A422&amp;"|"&amp;E$421,'Transition Stepwise'!$E$2:$E$1137,0))</f>
        <v>0.4</v>
      </c>
      <c r="F422" s="4">
        <f>ROUND(SUM(B422:E422),9)</f>
        <v>1</v>
      </c>
    </row>
    <row r="423" spans="1:6">
      <c r="A423" s="5" t="s">
        <v>71</v>
      </c>
      <c r="B423" s="14">
        <f>INDEX('Transition Stepwise'!$J$2:$J$1137,MATCH(53&amp;"|"&amp;$A423&amp;"|"&amp;B$421,'Transition Stepwise'!$E$2:$E$1137,0))</f>
        <v>0.2</v>
      </c>
      <c r="C423" s="14">
        <f>INDEX('Transition Stepwise'!$J$2:$J$1137,MATCH(53&amp;"|"&amp;$A423&amp;"|"&amp;C$421,'Transition Stepwise'!$E$2:$E$1137,0))</f>
        <v>0.2</v>
      </c>
      <c r="D423" s="14">
        <f>INDEX('Transition Stepwise'!$J$2:$J$1137,MATCH(53&amp;"|"&amp;$A423&amp;"|"&amp;D$421,'Transition Stepwise'!$E$2:$E$1137,0))</f>
        <v>0.2</v>
      </c>
      <c r="E423" s="14">
        <f>INDEX('Transition Stepwise'!$J$2:$J$1137,MATCH(53&amp;"|"&amp;$A423&amp;"|"&amp;E$421,'Transition Stepwise'!$E$2:$E$1137,0))</f>
        <v>0.4</v>
      </c>
      <c r="F423" s="4">
        <f>ROUND(SUM(B423:E423),9)</f>
        <v>1</v>
      </c>
    </row>
    <row r="424" spans="1:6">
      <c r="A424" s="5" t="s">
        <v>70</v>
      </c>
      <c r="B424" s="14">
        <f>INDEX('Transition Stepwise'!$J$2:$J$1137,MATCH(53&amp;"|"&amp;$A424&amp;"|"&amp;B$421,'Transition Stepwise'!$E$2:$E$1137,0))</f>
        <v>1.4999999999999999E-2</v>
      </c>
      <c r="C424" s="14">
        <f>INDEX('Transition Stepwise'!$J$2:$J$1137,MATCH(53&amp;"|"&amp;$A424&amp;"|"&amp;C$421,'Transition Stepwise'!$E$2:$E$1137,0))</f>
        <v>5.0000000000000001E-3</v>
      </c>
      <c r="D424" s="14">
        <f>INDEX('Transition Stepwise'!$J$2:$J$1137,MATCH(53&amp;"|"&amp;$A424&amp;"|"&amp;D$421,'Transition Stepwise'!$E$2:$E$1137,0))</f>
        <v>5.0000000000000001E-3</v>
      </c>
      <c r="E424" s="14">
        <f>INDEX('Transition Stepwise'!$J$2:$J$1137,MATCH(53&amp;"|"&amp;$A424&amp;"|"&amp;E$421,'Transition Stepwise'!$E$2:$E$1137,0))</f>
        <v>0.97499999999999998</v>
      </c>
      <c r="F424" s="4">
        <f>ROUND(SUM(B424:E424),9)</f>
        <v>1</v>
      </c>
    </row>
    <row r="425" spans="1:6">
      <c r="A425" s="5" t="s">
        <v>72</v>
      </c>
      <c r="B425" s="14">
        <f>INDEX('Transition Stepwise'!$J$2:$J$1137,MATCH(53&amp;"|"&amp;$A425&amp;"|"&amp;B$421,'Transition Stepwise'!$E$2:$E$1137,0))</f>
        <v>0.16666666666666666</v>
      </c>
      <c r="C425" s="14">
        <f>INDEX('Transition Stepwise'!$J$2:$J$1137,MATCH(53&amp;"|"&amp;$A425&amp;"|"&amp;C$421,'Transition Stepwise'!$E$2:$E$1137,0))</f>
        <v>0.16666666666666666</v>
      </c>
      <c r="D425" s="14">
        <f>INDEX('Transition Stepwise'!$J$2:$J$1137,MATCH(53&amp;"|"&amp;$A425&amp;"|"&amp;D$421,'Transition Stepwise'!$E$2:$E$1137,0))</f>
        <v>0.16666666666666666</v>
      </c>
      <c r="E425" s="14">
        <f>INDEX('Transition Stepwise'!$J$2:$J$1137,MATCH(53&amp;"|"&amp;$A425&amp;"|"&amp;E$421,'Transition Stepwise'!$E$2:$E$1137,0))</f>
        <v>0.5</v>
      </c>
      <c r="F425" s="4">
        <f>ROUND(SUM(B425:E425),9)</f>
        <v>1</v>
      </c>
    </row>
    <row r="426" spans="1:6">
      <c r="A426" s="4"/>
      <c r="B426" s="4"/>
      <c r="C426" s="4"/>
      <c r="D426" s="4"/>
      <c r="E426" s="4"/>
      <c r="F426" s="4"/>
    </row>
    <row r="427" spans="1:6">
      <c r="A427" s="4"/>
      <c r="B427" s="4"/>
      <c r="C427" s="4"/>
      <c r="D427" s="4"/>
      <c r="E427" s="4"/>
      <c r="F427" s="4"/>
    </row>
    <row r="428" spans="1:6">
      <c r="A428" s="5" t="s">
        <v>647</v>
      </c>
      <c r="B428" s="4"/>
      <c r="C428" s="4"/>
      <c r="D428" s="4"/>
      <c r="E428" s="4"/>
      <c r="F428" s="4"/>
    </row>
    <row r="429" spans="1:6">
      <c r="A429" s="9" t="s">
        <v>593</v>
      </c>
      <c r="B429" s="9" t="s">
        <v>73</v>
      </c>
      <c r="C429" s="9" t="s">
        <v>71</v>
      </c>
      <c r="D429" s="9" t="s">
        <v>70</v>
      </c>
      <c r="E429" s="9" t="s">
        <v>72</v>
      </c>
      <c r="F429" s="9" t="s">
        <v>666</v>
      </c>
    </row>
    <row r="430" spans="1:6">
      <c r="A430" s="5" t="s">
        <v>73</v>
      </c>
      <c r="B430" s="14">
        <f>INDEX('Transition Stepwise'!$J$2:$J$1137,MATCH(54&amp;"|"&amp;$A430&amp;"|"&amp;B$429,'Transition Stepwise'!$E$2:$E$1137,0))</f>
        <v>0.16666666666666666</v>
      </c>
      <c r="C430" s="14">
        <f>INDEX('Transition Stepwise'!$J$2:$J$1137,MATCH(54&amp;"|"&amp;$A430&amp;"|"&amp;C$429,'Transition Stepwise'!$E$2:$E$1137,0))</f>
        <v>0.16666666666666666</v>
      </c>
      <c r="D430" s="14">
        <f>INDEX('Transition Stepwise'!$J$2:$J$1137,MATCH(54&amp;"|"&amp;$A430&amp;"|"&amp;D$429,'Transition Stepwise'!$E$2:$E$1137,0))</f>
        <v>0.16666666666666666</v>
      </c>
      <c r="E430" s="14">
        <f>INDEX('Transition Stepwise'!$J$2:$J$1137,MATCH(54&amp;"|"&amp;$A430&amp;"|"&amp;E$429,'Transition Stepwise'!$E$2:$E$1137,0))</f>
        <v>0.5</v>
      </c>
      <c r="F430" s="4">
        <f>ROUND(SUM(B430:E430),9)</f>
        <v>1</v>
      </c>
    </row>
    <row r="431" spans="1:6">
      <c r="A431" s="5" t="s">
        <v>71</v>
      </c>
      <c r="B431" s="14">
        <f>INDEX('Transition Stepwise'!$J$2:$J$1137,MATCH(54&amp;"|"&amp;$A431&amp;"|"&amp;B$429,'Transition Stepwise'!$E$2:$E$1137,0))</f>
        <v>0.25</v>
      </c>
      <c r="C431" s="14">
        <f>INDEX('Transition Stepwise'!$J$2:$J$1137,MATCH(54&amp;"|"&amp;$A431&amp;"|"&amp;C$429,'Transition Stepwise'!$E$2:$E$1137,0))</f>
        <v>0.25</v>
      </c>
      <c r="D431" s="14">
        <f>INDEX('Transition Stepwise'!$J$2:$J$1137,MATCH(54&amp;"|"&amp;$A431&amp;"|"&amp;D$429,'Transition Stepwise'!$E$2:$E$1137,0))</f>
        <v>0.25</v>
      </c>
      <c r="E431" s="14">
        <f>INDEX('Transition Stepwise'!$J$2:$J$1137,MATCH(54&amp;"|"&amp;$A431&amp;"|"&amp;E$429,'Transition Stepwise'!$E$2:$E$1137,0))</f>
        <v>0.25</v>
      </c>
      <c r="F431" s="4">
        <f>ROUND(SUM(B431:E431),9)</f>
        <v>1</v>
      </c>
    </row>
    <row r="432" spans="1:6">
      <c r="A432" s="5" t="s">
        <v>70</v>
      </c>
      <c r="B432" s="14">
        <f>INDEX('Transition Stepwise'!$J$2:$J$1137,MATCH(54&amp;"|"&amp;$A432&amp;"|"&amp;B$429,'Transition Stepwise'!$E$2:$E$1137,0))</f>
        <v>0.25</v>
      </c>
      <c r="C432" s="14">
        <f>INDEX('Transition Stepwise'!$J$2:$J$1137,MATCH(54&amp;"|"&amp;$A432&amp;"|"&amp;C$429,'Transition Stepwise'!$E$2:$E$1137,0))</f>
        <v>0.25</v>
      </c>
      <c r="D432" s="14">
        <f>INDEX('Transition Stepwise'!$J$2:$J$1137,MATCH(54&amp;"|"&amp;$A432&amp;"|"&amp;D$429,'Transition Stepwise'!$E$2:$E$1137,0))</f>
        <v>0.25</v>
      </c>
      <c r="E432" s="14">
        <f>INDEX('Transition Stepwise'!$J$2:$J$1137,MATCH(54&amp;"|"&amp;$A432&amp;"|"&amp;E$429,'Transition Stepwise'!$E$2:$E$1137,0))</f>
        <v>0.25</v>
      </c>
      <c r="F432" s="4">
        <f>ROUND(SUM(B432:E432),9)</f>
        <v>1</v>
      </c>
    </row>
    <row r="433" spans="1:6">
      <c r="A433" s="5" t="s">
        <v>72</v>
      </c>
      <c r="B433" s="14">
        <f>INDEX('Transition Stepwise'!$J$2:$J$1137,MATCH(54&amp;"|"&amp;$A433&amp;"|"&amp;B$429,'Transition Stepwise'!$E$2:$E$1137,0))</f>
        <v>9.9009900990099011E-3</v>
      </c>
      <c r="C433" s="14">
        <f>INDEX('Transition Stepwise'!$J$2:$J$1137,MATCH(54&amp;"|"&amp;$A433&amp;"|"&amp;C$429,'Transition Stepwise'!$E$2:$E$1137,0))</f>
        <v>9.9009900990099011E-3</v>
      </c>
      <c r="D433" s="14">
        <f>INDEX('Transition Stepwise'!$J$2:$J$1137,MATCH(54&amp;"|"&amp;$A433&amp;"|"&amp;D$429,'Transition Stepwise'!$E$2:$E$1137,0))</f>
        <v>9.9009900990099011E-3</v>
      </c>
      <c r="E433" s="14">
        <f>INDEX('Transition Stepwise'!$J$2:$J$1137,MATCH(54&amp;"|"&amp;$A433&amp;"|"&amp;E$429,'Transition Stepwise'!$E$2:$E$1137,0))</f>
        <v>0.97029702970297027</v>
      </c>
      <c r="F433" s="4">
        <f>ROUND(SUM(B433:E433),9)</f>
        <v>1</v>
      </c>
    </row>
    <row r="434" spans="1:6">
      <c r="A434" s="4"/>
      <c r="B434" s="4"/>
      <c r="C434" s="4"/>
      <c r="D434" s="4"/>
      <c r="E434" s="4"/>
      <c r="F434" s="4"/>
    </row>
    <row r="435" spans="1:6">
      <c r="A435" s="4"/>
      <c r="B435" s="4"/>
      <c r="C435" s="4"/>
      <c r="D435" s="4"/>
      <c r="E435" s="4"/>
      <c r="F435" s="4"/>
    </row>
    <row r="436" spans="1:6">
      <c r="A436" s="5" t="s">
        <v>648</v>
      </c>
      <c r="B436" s="4"/>
      <c r="C436" s="4"/>
      <c r="D436" s="4"/>
      <c r="E436" s="4"/>
      <c r="F436" s="4"/>
    </row>
    <row r="437" spans="1:6">
      <c r="A437" s="9" t="s">
        <v>593</v>
      </c>
      <c r="B437" s="9" t="s">
        <v>73</v>
      </c>
      <c r="C437" s="9" t="s">
        <v>71</v>
      </c>
      <c r="D437" s="9" t="s">
        <v>70</v>
      </c>
      <c r="E437" s="9" t="s">
        <v>72</v>
      </c>
      <c r="F437" s="9" t="s">
        <v>666</v>
      </c>
    </row>
    <row r="438" spans="1:6">
      <c r="A438" s="5" t="s">
        <v>73</v>
      </c>
      <c r="B438" s="14">
        <f>INDEX('Transition Stepwise'!$J$2:$J$1137,MATCH(55&amp;"|"&amp;$A438&amp;"|"&amp;B$437,'Transition Stepwise'!$E$2:$E$1137,0))</f>
        <v>0.4</v>
      </c>
      <c r="C438" s="14">
        <f>INDEX('Transition Stepwise'!$J$2:$J$1137,MATCH(55&amp;"|"&amp;$A438&amp;"|"&amp;C$437,'Transition Stepwise'!$E$2:$E$1137,0))</f>
        <v>0.2</v>
      </c>
      <c r="D438" s="14">
        <f>INDEX('Transition Stepwise'!$J$2:$J$1137,MATCH(55&amp;"|"&amp;$A438&amp;"|"&amp;D$437,'Transition Stepwise'!$E$2:$E$1137,0))</f>
        <v>0.2</v>
      </c>
      <c r="E438" s="14">
        <f>INDEX('Transition Stepwise'!$J$2:$J$1137,MATCH(55&amp;"|"&amp;$A438&amp;"|"&amp;E$437,'Transition Stepwise'!$E$2:$E$1137,0))</f>
        <v>0.2</v>
      </c>
      <c r="F438" s="4">
        <f>ROUND(SUM(B438:E438),9)</f>
        <v>1</v>
      </c>
    </row>
    <row r="439" spans="1:6">
      <c r="A439" s="5" t="s">
        <v>71</v>
      </c>
      <c r="B439" s="14">
        <f>INDEX('Transition Stepwise'!$J$2:$J$1137,MATCH(55&amp;"|"&amp;$A439&amp;"|"&amp;B$437,'Transition Stepwise'!$E$2:$E$1137,0))</f>
        <v>0.2</v>
      </c>
      <c r="C439" s="14">
        <f>INDEX('Transition Stepwise'!$J$2:$J$1137,MATCH(55&amp;"|"&amp;$A439&amp;"|"&amp;C$437,'Transition Stepwise'!$E$2:$E$1137,0))</f>
        <v>0.2</v>
      </c>
      <c r="D439" s="14">
        <f>INDEX('Transition Stepwise'!$J$2:$J$1137,MATCH(55&amp;"|"&amp;$A439&amp;"|"&amp;D$437,'Transition Stepwise'!$E$2:$E$1137,0))</f>
        <v>0.4</v>
      </c>
      <c r="E439" s="14">
        <f>INDEX('Transition Stepwise'!$J$2:$J$1137,MATCH(55&amp;"|"&amp;$A439&amp;"|"&amp;E$437,'Transition Stepwise'!$E$2:$E$1137,0))</f>
        <v>0.2</v>
      </c>
      <c r="F439" s="4">
        <f>ROUND(SUM(B439:E439),9)</f>
        <v>1</v>
      </c>
    </row>
    <row r="440" spans="1:6">
      <c r="A440" s="5" t="s">
        <v>70</v>
      </c>
      <c r="B440" s="14">
        <f>INDEX('Transition Stepwise'!$J$2:$J$1137,MATCH(55&amp;"|"&amp;$A440&amp;"|"&amp;B$437,'Transition Stepwise'!$E$2:$E$1137,0))</f>
        <v>0.2</v>
      </c>
      <c r="C440" s="14">
        <f>INDEX('Transition Stepwise'!$J$2:$J$1137,MATCH(55&amp;"|"&amp;$A440&amp;"|"&amp;C$437,'Transition Stepwise'!$E$2:$E$1137,0))</f>
        <v>0.4</v>
      </c>
      <c r="D440" s="14">
        <f>INDEX('Transition Stepwise'!$J$2:$J$1137,MATCH(55&amp;"|"&amp;$A440&amp;"|"&amp;D$437,'Transition Stepwise'!$E$2:$E$1137,0))</f>
        <v>0.2</v>
      </c>
      <c r="E440" s="14">
        <f>INDEX('Transition Stepwise'!$J$2:$J$1137,MATCH(55&amp;"|"&amp;$A440&amp;"|"&amp;E$437,'Transition Stepwise'!$E$2:$E$1137,0))</f>
        <v>0.2</v>
      </c>
      <c r="F440" s="4">
        <f>ROUND(SUM(B440:E440),9)</f>
        <v>1</v>
      </c>
    </row>
    <row r="441" spans="1:6">
      <c r="A441" s="5" t="s">
        <v>72</v>
      </c>
      <c r="B441" s="14">
        <f>INDEX('Transition Stepwise'!$J$2:$J$1137,MATCH(55&amp;"|"&amp;$A441&amp;"|"&amp;B$437,'Transition Stepwise'!$E$2:$E$1137,0))</f>
        <v>9.9502487562189053E-3</v>
      </c>
      <c r="C441" s="14">
        <f>INDEX('Transition Stepwise'!$J$2:$J$1137,MATCH(55&amp;"|"&amp;$A441&amp;"|"&amp;C$437,'Transition Stepwise'!$E$2:$E$1137,0))</f>
        <v>0.97512437810945274</v>
      </c>
      <c r="D441" s="14">
        <f>INDEX('Transition Stepwise'!$J$2:$J$1137,MATCH(55&amp;"|"&amp;$A441&amp;"|"&amp;D$437,'Transition Stepwise'!$E$2:$E$1137,0))</f>
        <v>4.9751243781094526E-3</v>
      </c>
      <c r="E441" s="14">
        <f>INDEX('Transition Stepwise'!$J$2:$J$1137,MATCH(55&amp;"|"&amp;$A441&amp;"|"&amp;E$437,'Transition Stepwise'!$E$2:$E$1137,0))</f>
        <v>9.9502487562189053E-3</v>
      </c>
      <c r="F441" s="4">
        <f>ROUND(SUM(B441:E441),9)</f>
        <v>1</v>
      </c>
    </row>
    <row r="442" spans="1:6">
      <c r="A442" s="4"/>
      <c r="B442" s="4"/>
      <c r="C442" s="4"/>
      <c r="D442" s="4"/>
      <c r="E442" s="4"/>
      <c r="F442" s="4"/>
    </row>
    <row r="443" spans="1:6">
      <c r="A443" s="4"/>
      <c r="B443" s="4"/>
      <c r="C443" s="4"/>
      <c r="D443" s="4"/>
      <c r="E443" s="4"/>
      <c r="F443" s="4"/>
    </row>
    <row r="444" spans="1:6">
      <c r="A444" s="5" t="s">
        <v>649</v>
      </c>
      <c r="B444" s="4"/>
      <c r="C444" s="4"/>
      <c r="D444" s="4"/>
      <c r="E444" s="4"/>
      <c r="F444" s="4"/>
    </row>
    <row r="445" spans="1:6">
      <c r="A445" s="9" t="s">
        <v>593</v>
      </c>
      <c r="B445" s="9" t="s">
        <v>73</v>
      </c>
      <c r="C445" s="9" t="s">
        <v>71</v>
      </c>
      <c r="D445" s="9" t="s">
        <v>70</v>
      </c>
      <c r="E445" s="9" t="s">
        <v>72</v>
      </c>
      <c r="F445" s="9" t="s">
        <v>666</v>
      </c>
    </row>
    <row r="446" spans="1:6">
      <c r="A446" s="5" t="s">
        <v>73</v>
      </c>
      <c r="B446" s="14">
        <f>INDEX('Transition Stepwise'!$J$2:$J$1137,MATCH(56&amp;"|"&amp;$A446&amp;"|"&amp;B$445,'Transition Stepwise'!$E$2:$E$1137,0))</f>
        <v>0.16666666666666666</v>
      </c>
      <c r="C446" s="14">
        <f>INDEX('Transition Stepwise'!$J$2:$J$1137,MATCH(56&amp;"|"&amp;$A446&amp;"|"&amp;C$445,'Transition Stepwise'!$E$2:$E$1137,0))</f>
        <v>0.16666666666666666</v>
      </c>
      <c r="D446" s="14">
        <f>INDEX('Transition Stepwise'!$J$2:$J$1137,MATCH(56&amp;"|"&amp;$A446&amp;"|"&amp;D$445,'Transition Stepwise'!$E$2:$E$1137,0))</f>
        <v>0.33333333333333331</v>
      </c>
      <c r="E446" s="14">
        <f>INDEX('Transition Stepwise'!$J$2:$J$1137,MATCH(56&amp;"|"&amp;$A446&amp;"|"&amp;E$445,'Transition Stepwise'!$E$2:$E$1137,0))</f>
        <v>0.33333333333333331</v>
      </c>
      <c r="F446" s="4">
        <f>ROUND(SUM(B446:E446),9)</f>
        <v>1</v>
      </c>
    </row>
    <row r="447" spans="1:6">
      <c r="A447" s="5" t="s">
        <v>71</v>
      </c>
      <c r="B447" s="14">
        <f>INDEX('Transition Stepwise'!$J$2:$J$1137,MATCH(56&amp;"|"&amp;$A447&amp;"|"&amp;B$445,'Transition Stepwise'!$E$2:$E$1137,0))</f>
        <v>0.38500000000000001</v>
      </c>
      <c r="C447" s="14">
        <f>INDEX('Transition Stepwise'!$J$2:$J$1137,MATCH(56&amp;"|"&amp;$A447&amp;"|"&amp;C$445,'Transition Stepwise'!$E$2:$E$1137,0))</f>
        <v>5.0000000000000001E-3</v>
      </c>
      <c r="D447" s="14">
        <f>INDEX('Transition Stepwise'!$J$2:$J$1137,MATCH(56&amp;"|"&amp;$A447&amp;"|"&amp;D$445,'Transition Stepwise'!$E$2:$E$1137,0))</f>
        <v>0.60499999999999998</v>
      </c>
      <c r="E447" s="14">
        <f>INDEX('Transition Stepwise'!$J$2:$J$1137,MATCH(56&amp;"|"&amp;$A447&amp;"|"&amp;E$445,'Transition Stepwise'!$E$2:$E$1137,0))</f>
        <v>5.0000000000000001E-3</v>
      </c>
      <c r="F447" s="4">
        <f>ROUND(SUM(B447:E447),9)</f>
        <v>1</v>
      </c>
    </row>
    <row r="448" spans="1:6">
      <c r="A448" s="5" t="s">
        <v>70</v>
      </c>
      <c r="B448" s="14">
        <f>INDEX('Transition Stepwise'!$J$2:$J$1137,MATCH(56&amp;"|"&amp;$A448&amp;"|"&amp;B$445,'Transition Stepwise'!$E$2:$E$1137,0))</f>
        <v>0.4</v>
      </c>
      <c r="C448" s="14">
        <f>INDEX('Transition Stepwise'!$J$2:$J$1137,MATCH(56&amp;"|"&amp;$A448&amp;"|"&amp;C$445,'Transition Stepwise'!$E$2:$E$1137,0))</f>
        <v>0.2</v>
      </c>
      <c r="D448" s="14">
        <f>INDEX('Transition Stepwise'!$J$2:$J$1137,MATCH(56&amp;"|"&amp;$A448&amp;"|"&amp;D$445,'Transition Stepwise'!$E$2:$E$1137,0))</f>
        <v>0.2</v>
      </c>
      <c r="E448" s="14">
        <f>INDEX('Transition Stepwise'!$J$2:$J$1137,MATCH(56&amp;"|"&amp;$A448&amp;"|"&amp;E$445,'Transition Stepwise'!$E$2:$E$1137,0))</f>
        <v>0.2</v>
      </c>
      <c r="F448" s="4">
        <f>ROUND(SUM(B448:E448),9)</f>
        <v>1</v>
      </c>
    </row>
    <row r="449" spans="1:6">
      <c r="A449" s="5" t="s">
        <v>72</v>
      </c>
      <c r="B449" s="14">
        <f>INDEX('Transition Stepwise'!$J$2:$J$1137,MATCH(56&amp;"|"&amp;$A449&amp;"|"&amp;B$445,'Transition Stepwise'!$E$2:$E$1137,0))</f>
        <v>0.25</v>
      </c>
      <c r="C449" s="14">
        <f>INDEX('Transition Stepwise'!$J$2:$J$1137,MATCH(56&amp;"|"&amp;$A449&amp;"|"&amp;C$445,'Transition Stepwise'!$E$2:$E$1137,0))</f>
        <v>0.25</v>
      </c>
      <c r="D449" s="14">
        <f>INDEX('Transition Stepwise'!$J$2:$J$1137,MATCH(56&amp;"|"&amp;$A449&amp;"|"&amp;D$445,'Transition Stepwise'!$E$2:$E$1137,0))</f>
        <v>0.25</v>
      </c>
      <c r="E449" s="14">
        <f>INDEX('Transition Stepwise'!$J$2:$J$1137,MATCH(56&amp;"|"&amp;$A449&amp;"|"&amp;E$445,'Transition Stepwise'!$E$2:$E$1137,0))</f>
        <v>0.25</v>
      </c>
      <c r="F449" s="4">
        <f>ROUND(SUM(B449:E449),9)</f>
        <v>1</v>
      </c>
    </row>
    <row r="450" spans="1:6">
      <c r="A450" s="4"/>
      <c r="B450" s="4"/>
      <c r="C450" s="4"/>
      <c r="D450" s="4"/>
      <c r="E450" s="4"/>
      <c r="F450" s="4"/>
    </row>
    <row r="451" spans="1:6">
      <c r="A451" s="4"/>
      <c r="B451" s="4"/>
      <c r="C451" s="4"/>
      <c r="D451" s="4"/>
      <c r="E451" s="4"/>
      <c r="F451" s="4"/>
    </row>
    <row r="452" spans="1:6">
      <c r="A452" s="5" t="s">
        <v>650</v>
      </c>
      <c r="B452" s="4"/>
      <c r="C452" s="4"/>
      <c r="D452" s="4"/>
      <c r="E452" s="4"/>
      <c r="F452" s="4"/>
    </row>
    <row r="453" spans="1:6">
      <c r="A453" s="9" t="s">
        <v>593</v>
      </c>
      <c r="B453" s="9" t="s">
        <v>73</v>
      </c>
      <c r="C453" s="9" t="s">
        <v>71</v>
      </c>
      <c r="D453" s="9" t="s">
        <v>70</v>
      </c>
      <c r="E453" s="9" t="s">
        <v>72</v>
      </c>
      <c r="F453" s="9" t="s">
        <v>666</v>
      </c>
    </row>
    <row r="454" spans="1:6">
      <c r="A454" s="5" t="s">
        <v>73</v>
      </c>
      <c r="B454" s="14">
        <f>INDEX('Transition Stepwise'!$J$2:$J$1137,MATCH(57&amp;"|"&amp;$A454&amp;"|"&amp;B$453,'Transition Stepwise'!$E$2:$E$1137,0))</f>
        <v>0.95061728395061729</v>
      </c>
      <c r="C454" s="14">
        <f>INDEX('Transition Stepwise'!$J$2:$J$1137,MATCH(57&amp;"|"&amp;$A454&amp;"|"&amp;C$453,'Transition Stepwise'!$E$2:$E$1137,0))</f>
        <v>1.2345679012345678E-2</v>
      </c>
      <c r="D454" s="14">
        <f>INDEX('Transition Stepwise'!$J$2:$J$1137,MATCH(57&amp;"|"&amp;$A454&amp;"|"&amp;D$453,'Transition Stepwise'!$E$2:$E$1137,0))</f>
        <v>1.2345679012345678E-2</v>
      </c>
      <c r="E454" s="14">
        <f>INDEX('Transition Stepwise'!$J$2:$J$1137,MATCH(57&amp;"|"&amp;$A454&amp;"|"&amp;E$453,'Transition Stepwise'!$E$2:$E$1137,0))</f>
        <v>2.4691358024691357E-2</v>
      </c>
      <c r="F454" s="4">
        <f>ROUND(SUM(B454:E454),9)</f>
        <v>1</v>
      </c>
    </row>
    <row r="455" spans="1:6">
      <c r="A455" s="5" t="s">
        <v>71</v>
      </c>
      <c r="B455" s="14">
        <f>INDEX('Transition Stepwise'!$J$2:$J$1137,MATCH(57&amp;"|"&amp;$A455&amp;"|"&amp;B$453,'Transition Stepwise'!$E$2:$E$1137,0))</f>
        <v>0.25</v>
      </c>
      <c r="C455" s="14">
        <f>INDEX('Transition Stepwise'!$J$2:$J$1137,MATCH(57&amp;"|"&amp;$A455&amp;"|"&amp;C$453,'Transition Stepwise'!$E$2:$E$1137,0))</f>
        <v>0.25</v>
      </c>
      <c r="D455" s="14">
        <f>INDEX('Transition Stepwise'!$J$2:$J$1137,MATCH(57&amp;"|"&amp;$A455&amp;"|"&amp;D$453,'Transition Stepwise'!$E$2:$E$1137,0))</f>
        <v>0.25</v>
      </c>
      <c r="E455" s="14">
        <f>INDEX('Transition Stepwise'!$J$2:$J$1137,MATCH(57&amp;"|"&amp;$A455&amp;"|"&amp;E$453,'Transition Stepwise'!$E$2:$E$1137,0))</f>
        <v>0.25</v>
      </c>
      <c r="F455" s="4">
        <f>ROUND(SUM(B455:E455),9)</f>
        <v>1</v>
      </c>
    </row>
    <row r="456" spans="1:6">
      <c r="A456" s="5" t="s">
        <v>70</v>
      </c>
      <c r="B456" s="14">
        <f>INDEX('Transition Stepwise'!$J$2:$J$1137,MATCH(57&amp;"|"&amp;$A456&amp;"|"&amp;B$453,'Transition Stepwise'!$E$2:$E$1137,0))</f>
        <v>0.97599999999999998</v>
      </c>
      <c r="C456" s="14">
        <f>INDEX('Transition Stepwise'!$J$2:$J$1137,MATCH(57&amp;"|"&amp;$A456&amp;"|"&amp;C$453,'Transition Stepwise'!$E$2:$E$1137,0))</f>
        <v>8.0000000000000002E-3</v>
      </c>
      <c r="D456" s="14">
        <f>INDEX('Transition Stepwise'!$J$2:$J$1137,MATCH(57&amp;"|"&amp;$A456&amp;"|"&amp;D$453,'Transition Stepwise'!$E$2:$E$1137,0))</f>
        <v>8.0000000000000002E-3</v>
      </c>
      <c r="E456" s="14">
        <f>INDEX('Transition Stepwise'!$J$2:$J$1137,MATCH(57&amp;"|"&amp;$A456&amp;"|"&amp;E$453,'Transition Stepwise'!$E$2:$E$1137,0))</f>
        <v>8.0000000000000002E-3</v>
      </c>
      <c r="F456" s="4">
        <f>ROUND(SUM(B456:E456),9)</f>
        <v>1</v>
      </c>
    </row>
    <row r="457" spans="1:6">
      <c r="A457" s="5" t="s">
        <v>72</v>
      </c>
      <c r="B457" s="14">
        <f>INDEX('Transition Stepwise'!$J$2:$J$1137,MATCH(57&amp;"|"&amp;$A457&amp;"|"&amp;B$453,'Transition Stepwise'!$E$2:$E$1137,0))</f>
        <v>0.2</v>
      </c>
      <c r="C457" s="14">
        <f>INDEX('Transition Stepwise'!$J$2:$J$1137,MATCH(57&amp;"|"&amp;$A457&amp;"|"&amp;C$453,'Transition Stepwise'!$E$2:$E$1137,0))</f>
        <v>0.4</v>
      </c>
      <c r="D457" s="14">
        <f>INDEX('Transition Stepwise'!$J$2:$J$1137,MATCH(57&amp;"|"&amp;$A457&amp;"|"&amp;D$453,'Transition Stepwise'!$E$2:$E$1137,0))</f>
        <v>0.2</v>
      </c>
      <c r="E457" s="14">
        <f>INDEX('Transition Stepwise'!$J$2:$J$1137,MATCH(57&amp;"|"&amp;$A457&amp;"|"&amp;E$453,'Transition Stepwise'!$E$2:$E$1137,0))</f>
        <v>0.2</v>
      </c>
      <c r="F457" s="4">
        <f>ROUND(SUM(B457:E457),9)</f>
        <v>1</v>
      </c>
    </row>
    <row r="458" spans="1:6">
      <c r="A458" s="4"/>
      <c r="B458" s="4"/>
      <c r="C458" s="4"/>
      <c r="D458" s="4"/>
      <c r="E458" s="4"/>
      <c r="F458" s="4"/>
    </row>
    <row r="459" spans="1:6">
      <c r="A459" s="4"/>
      <c r="B459" s="4"/>
      <c r="C459" s="4"/>
      <c r="D459" s="4"/>
      <c r="E459" s="4"/>
      <c r="F459" s="4"/>
    </row>
    <row r="460" spans="1:6">
      <c r="A460" s="5" t="s">
        <v>651</v>
      </c>
      <c r="B460" s="4"/>
      <c r="C460" s="4"/>
      <c r="D460" s="4"/>
      <c r="E460" s="4"/>
      <c r="F460" s="4"/>
    </row>
    <row r="461" spans="1:6">
      <c r="A461" s="9" t="s">
        <v>593</v>
      </c>
      <c r="B461" s="9" t="s">
        <v>73</v>
      </c>
      <c r="C461" s="9" t="s">
        <v>71</v>
      </c>
      <c r="D461" s="9" t="s">
        <v>70</v>
      </c>
      <c r="E461" s="9" t="s">
        <v>72</v>
      </c>
      <c r="F461" s="9" t="s">
        <v>666</v>
      </c>
    </row>
    <row r="462" spans="1:6">
      <c r="A462" s="5" t="s">
        <v>73</v>
      </c>
      <c r="B462" s="14">
        <f>INDEX('Transition Stepwise'!$J$2:$J$1137,MATCH(58&amp;"|"&amp;$A462&amp;"|"&amp;B$461,'Transition Stepwise'!$E$2:$E$1137,0))</f>
        <v>0.45544554455445546</v>
      </c>
      <c r="C462" s="14">
        <f>INDEX('Transition Stepwise'!$J$2:$J$1137,MATCH(58&amp;"|"&amp;$A462&amp;"|"&amp;C$461,'Transition Stepwise'!$E$2:$E$1137,0))</f>
        <v>5.4455445544554455E-2</v>
      </c>
      <c r="D462" s="14">
        <f>INDEX('Transition Stepwise'!$J$2:$J$1137,MATCH(58&amp;"|"&amp;$A462&amp;"|"&amp;D$461,'Transition Stepwise'!$E$2:$E$1137,0))</f>
        <v>0.23762376237623761</v>
      </c>
      <c r="E462" s="14">
        <f>INDEX('Transition Stepwise'!$J$2:$J$1137,MATCH(58&amp;"|"&amp;$A462&amp;"|"&amp;E$461,'Transition Stepwise'!$E$2:$E$1137,0))</f>
        <v>0.25247524752475248</v>
      </c>
      <c r="F462" s="4">
        <f>ROUND(SUM(B462:E462),9)</f>
        <v>1</v>
      </c>
    </row>
    <row r="463" spans="1:6">
      <c r="A463" s="5" t="s">
        <v>71</v>
      </c>
      <c r="B463" s="14">
        <f>INDEX('Transition Stepwise'!$J$2:$J$1137,MATCH(58&amp;"|"&amp;$A463&amp;"|"&amp;B$461,'Transition Stepwise'!$E$2:$E$1137,0))</f>
        <v>0.2</v>
      </c>
      <c r="C463" s="14">
        <f>INDEX('Transition Stepwise'!$J$2:$J$1137,MATCH(58&amp;"|"&amp;$A463&amp;"|"&amp;C$461,'Transition Stepwise'!$E$2:$E$1137,0))</f>
        <v>0.4</v>
      </c>
      <c r="D463" s="14">
        <f>INDEX('Transition Stepwise'!$J$2:$J$1137,MATCH(58&amp;"|"&amp;$A463&amp;"|"&amp;D$461,'Transition Stepwise'!$E$2:$E$1137,0))</f>
        <v>0.2</v>
      </c>
      <c r="E463" s="14">
        <f>INDEX('Transition Stepwise'!$J$2:$J$1137,MATCH(58&amp;"|"&amp;$A463&amp;"|"&amp;E$461,'Transition Stepwise'!$E$2:$E$1137,0))</f>
        <v>0.2</v>
      </c>
      <c r="F463" s="4">
        <f>ROUND(SUM(B463:E463),9)</f>
        <v>1</v>
      </c>
    </row>
    <row r="464" spans="1:6">
      <c r="A464" s="5" t="s">
        <v>70</v>
      </c>
      <c r="B464" s="14">
        <f>INDEX('Transition Stepwise'!$J$2:$J$1137,MATCH(58&amp;"|"&amp;$A464&amp;"|"&amp;B$461,'Transition Stepwise'!$E$2:$E$1137,0))</f>
        <v>0.25</v>
      </c>
      <c r="C464" s="14">
        <f>INDEX('Transition Stepwise'!$J$2:$J$1137,MATCH(58&amp;"|"&amp;$A464&amp;"|"&amp;C$461,'Transition Stepwise'!$E$2:$E$1137,0))</f>
        <v>0.25</v>
      </c>
      <c r="D464" s="14">
        <f>INDEX('Transition Stepwise'!$J$2:$J$1137,MATCH(58&amp;"|"&amp;$A464&amp;"|"&amp;D$461,'Transition Stepwise'!$E$2:$E$1137,0))</f>
        <v>0.25</v>
      </c>
      <c r="E464" s="14">
        <f>INDEX('Transition Stepwise'!$J$2:$J$1137,MATCH(58&amp;"|"&amp;$A464&amp;"|"&amp;E$461,'Transition Stepwise'!$E$2:$E$1137,0))</f>
        <v>0.25</v>
      </c>
      <c r="F464" s="4">
        <f>ROUND(SUM(B464:E464),9)</f>
        <v>1</v>
      </c>
    </row>
    <row r="465" spans="1:6">
      <c r="A465" s="5" t="s">
        <v>72</v>
      </c>
      <c r="B465" s="14">
        <f>INDEX('Transition Stepwise'!$J$2:$J$1137,MATCH(58&amp;"|"&amp;$A465&amp;"|"&amp;B$461,'Transition Stepwise'!$E$2:$E$1137,0))</f>
        <v>0.2</v>
      </c>
      <c r="C465" s="14">
        <f>INDEX('Transition Stepwise'!$J$2:$J$1137,MATCH(58&amp;"|"&amp;$A465&amp;"|"&amp;C$461,'Transition Stepwise'!$E$2:$E$1137,0))</f>
        <v>0.4</v>
      </c>
      <c r="D465" s="14">
        <f>INDEX('Transition Stepwise'!$J$2:$J$1137,MATCH(58&amp;"|"&amp;$A465&amp;"|"&amp;D$461,'Transition Stepwise'!$E$2:$E$1137,0))</f>
        <v>0.2</v>
      </c>
      <c r="E465" s="14">
        <f>INDEX('Transition Stepwise'!$J$2:$J$1137,MATCH(58&amp;"|"&amp;$A465&amp;"|"&amp;E$461,'Transition Stepwise'!$E$2:$E$1137,0))</f>
        <v>0.2</v>
      </c>
      <c r="F465" s="4">
        <f>ROUND(SUM(B465:E465),9)</f>
        <v>1</v>
      </c>
    </row>
    <row r="466" spans="1:6">
      <c r="A466" s="4"/>
      <c r="B466" s="4"/>
      <c r="C466" s="4"/>
      <c r="D466" s="4"/>
      <c r="E466" s="4"/>
      <c r="F466" s="4"/>
    </row>
    <row r="467" spans="1:6">
      <c r="A467" s="4"/>
      <c r="B467" s="4"/>
      <c r="C467" s="4"/>
      <c r="D467" s="4"/>
      <c r="E467" s="4"/>
      <c r="F467" s="4"/>
    </row>
    <row r="468" spans="1:6">
      <c r="A468" s="5" t="s">
        <v>652</v>
      </c>
      <c r="B468" s="4"/>
      <c r="C468" s="4"/>
      <c r="D468" s="4"/>
      <c r="E468" s="4"/>
      <c r="F468" s="4"/>
    </row>
    <row r="469" spans="1:6">
      <c r="A469" s="9" t="s">
        <v>593</v>
      </c>
      <c r="B469" s="9" t="s">
        <v>73</v>
      </c>
      <c r="C469" s="9" t="s">
        <v>71</v>
      </c>
      <c r="D469" s="9" t="s">
        <v>70</v>
      </c>
      <c r="E469" s="9" t="s">
        <v>72</v>
      </c>
      <c r="F469" s="9" t="s">
        <v>666</v>
      </c>
    </row>
    <row r="470" spans="1:6">
      <c r="A470" s="5" t="s">
        <v>73</v>
      </c>
      <c r="B470" s="14">
        <f>INDEX('Transition Stepwise'!$J$2:$J$1137,MATCH(59&amp;"|"&amp;$A470&amp;"|"&amp;B$469,'Transition Stepwise'!$E$2:$E$1137,0))</f>
        <v>2.1052631578947368E-2</v>
      </c>
      <c r="C470" s="14">
        <f>INDEX('Transition Stepwise'!$J$2:$J$1137,MATCH(59&amp;"|"&amp;$A470&amp;"|"&amp;C$469,'Transition Stepwise'!$E$2:$E$1137,0))</f>
        <v>0.10526315789473684</v>
      </c>
      <c r="D470" s="14">
        <f>INDEX('Transition Stepwise'!$J$2:$J$1137,MATCH(59&amp;"|"&amp;$A470&amp;"|"&amp;D$469,'Transition Stepwise'!$E$2:$E$1137,0))</f>
        <v>2.1052631578947368E-2</v>
      </c>
      <c r="E470" s="14">
        <f>INDEX('Transition Stepwise'!$J$2:$J$1137,MATCH(59&amp;"|"&amp;$A470&amp;"|"&amp;E$469,'Transition Stepwise'!$E$2:$E$1137,0))</f>
        <v>0.85263157894736841</v>
      </c>
      <c r="F470" s="4">
        <f>ROUND(SUM(B470:E470),9)</f>
        <v>1</v>
      </c>
    </row>
    <row r="471" spans="1:6">
      <c r="A471" s="5" t="s">
        <v>71</v>
      </c>
      <c r="B471" s="14">
        <f>INDEX('Transition Stepwise'!$J$2:$J$1137,MATCH(59&amp;"|"&amp;$A471&amp;"|"&amp;B$469,'Transition Stepwise'!$E$2:$E$1137,0))</f>
        <v>6.25E-2</v>
      </c>
      <c r="C471" s="14">
        <f>INDEX('Transition Stepwise'!$J$2:$J$1137,MATCH(59&amp;"|"&amp;$A471&amp;"|"&amp;C$469,'Transition Stepwise'!$E$2:$E$1137,0))</f>
        <v>0.25</v>
      </c>
      <c r="D471" s="14">
        <f>INDEX('Transition Stepwise'!$J$2:$J$1137,MATCH(59&amp;"|"&amp;$A471&amp;"|"&amp;D$469,'Transition Stepwise'!$E$2:$E$1137,0))</f>
        <v>0.125</v>
      </c>
      <c r="E471" s="14">
        <f>INDEX('Transition Stepwise'!$J$2:$J$1137,MATCH(59&amp;"|"&amp;$A471&amp;"|"&amp;E$469,'Transition Stepwise'!$E$2:$E$1137,0))</f>
        <v>0.5625</v>
      </c>
      <c r="F471" s="4">
        <f>ROUND(SUM(B471:E471),9)</f>
        <v>1</v>
      </c>
    </row>
    <row r="472" spans="1:6">
      <c r="A472" s="5" t="s">
        <v>70</v>
      </c>
      <c r="B472" s="14">
        <f>INDEX('Transition Stepwise'!$J$2:$J$1137,MATCH(59&amp;"|"&amp;$A472&amp;"|"&amp;B$469,'Transition Stepwise'!$E$2:$E$1137,0))</f>
        <v>1.9607843137254902E-2</v>
      </c>
      <c r="C472" s="14">
        <f>INDEX('Transition Stepwise'!$J$2:$J$1137,MATCH(59&amp;"|"&amp;$A472&amp;"|"&amp;C$469,'Transition Stepwise'!$E$2:$E$1137,0))</f>
        <v>0.13725490196078433</v>
      </c>
      <c r="D472" s="14">
        <f>INDEX('Transition Stepwise'!$J$2:$J$1137,MATCH(59&amp;"|"&amp;$A472&amp;"|"&amp;D$469,'Transition Stepwise'!$E$2:$E$1137,0))</f>
        <v>1.9607843137254902E-2</v>
      </c>
      <c r="E472" s="14">
        <f>INDEX('Transition Stepwise'!$J$2:$J$1137,MATCH(59&amp;"|"&amp;$A472&amp;"|"&amp;E$469,'Transition Stepwise'!$E$2:$E$1137,0))</f>
        <v>0.82352941176470584</v>
      </c>
      <c r="F472" s="4">
        <f>ROUND(SUM(B472:E472),9)</f>
        <v>1</v>
      </c>
    </row>
    <row r="473" spans="1:6">
      <c r="A473" s="5" t="s">
        <v>72</v>
      </c>
      <c r="B473" s="14">
        <f>INDEX('Transition Stepwise'!$J$2:$J$1137,MATCH(59&amp;"|"&amp;$A473&amp;"|"&amp;B$469,'Transition Stepwise'!$E$2:$E$1137,0))</f>
        <v>1.8518518518518517E-2</v>
      </c>
      <c r="C473" s="14">
        <f>INDEX('Transition Stepwise'!$J$2:$J$1137,MATCH(59&amp;"|"&amp;$A473&amp;"|"&amp;C$469,'Transition Stepwise'!$E$2:$E$1137,0))</f>
        <v>0.42592592592592593</v>
      </c>
      <c r="D473" s="14">
        <f>INDEX('Transition Stepwise'!$J$2:$J$1137,MATCH(59&amp;"|"&amp;$A473&amp;"|"&amp;D$469,'Transition Stepwise'!$E$2:$E$1137,0))</f>
        <v>1.8518518518518517E-2</v>
      </c>
      <c r="E473" s="14">
        <f>INDEX('Transition Stepwise'!$J$2:$J$1137,MATCH(59&amp;"|"&amp;$A473&amp;"|"&amp;E$469,'Transition Stepwise'!$E$2:$E$1137,0))</f>
        <v>0.53703703703703709</v>
      </c>
      <c r="F473" s="4">
        <f>ROUND(SUM(B473:E473),9)</f>
        <v>1</v>
      </c>
    </row>
    <row r="474" spans="1:6">
      <c r="A474" s="4"/>
      <c r="B474" s="4"/>
      <c r="C474" s="4"/>
      <c r="D474" s="4"/>
      <c r="E474" s="4"/>
      <c r="F474" s="4"/>
    </row>
    <row r="475" spans="1:6">
      <c r="A475" s="4"/>
      <c r="B475" s="4"/>
      <c r="C475" s="4"/>
      <c r="D475" s="4"/>
      <c r="E475" s="4"/>
      <c r="F475" s="4"/>
    </row>
    <row r="476" spans="1:6">
      <c r="A476" s="5" t="s">
        <v>653</v>
      </c>
      <c r="B476" s="4"/>
      <c r="C476" s="4"/>
      <c r="D476" s="4"/>
      <c r="E476" s="4"/>
      <c r="F476" s="4"/>
    </row>
    <row r="477" spans="1:6">
      <c r="A477" s="9" t="s">
        <v>593</v>
      </c>
      <c r="B477" s="9" t="s">
        <v>73</v>
      </c>
      <c r="C477" s="9" t="s">
        <v>71</v>
      </c>
      <c r="D477" s="9" t="s">
        <v>70</v>
      </c>
      <c r="E477" s="9" t="s">
        <v>72</v>
      </c>
      <c r="F477" s="9" t="s">
        <v>666</v>
      </c>
    </row>
    <row r="478" spans="1:6">
      <c r="A478" s="5" t="s">
        <v>73</v>
      </c>
      <c r="B478" s="14">
        <f>INDEX('Transition Stepwise'!$J$2:$J$1137,MATCH(60&amp;"|"&amp;$A478&amp;"|"&amp;B$477,'Transition Stepwise'!$E$2:$E$1137,0))</f>
        <v>0.2</v>
      </c>
      <c r="C478" s="14">
        <f>INDEX('Transition Stepwise'!$J$2:$J$1137,MATCH(60&amp;"|"&amp;$A478&amp;"|"&amp;C$477,'Transition Stepwise'!$E$2:$E$1137,0))</f>
        <v>0.4</v>
      </c>
      <c r="D478" s="14">
        <f>INDEX('Transition Stepwise'!$J$2:$J$1137,MATCH(60&amp;"|"&amp;$A478&amp;"|"&amp;D$477,'Transition Stepwise'!$E$2:$E$1137,0))</f>
        <v>0.2</v>
      </c>
      <c r="E478" s="14">
        <f>INDEX('Transition Stepwise'!$J$2:$J$1137,MATCH(60&amp;"|"&amp;$A478&amp;"|"&amp;E$477,'Transition Stepwise'!$E$2:$E$1137,0))</f>
        <v>0.2</v>
      </c>
      <c r="F478" s="4">
        <f>ROUND(SUM(B478:E478),9)</f>
        <v>1</v>
      </c>
    </row>
    <row r="479" spans="1:6">
      <c r="A479" s="5" t="s">
        <v>71</v>
      </c>
      <c r="B479" s="14">
        <f>INDEX('Transition Stepwise'!$J$2:$J$1137,MATCH(60&amp;"|"&amp;$A479&amp;"|"&amp;B$477,'Transition Stepwise'!$E$2:$E$1137,0))</f>
        <v>2.2727272727272728E-2</v>
      </c>
      <c r="C479" s="14">
        <f>INDEX('Transition Stepwise'!$J$2:$J$1137,MATCH(60&amp;"|"&amp;$A479&amp;"|"&amp;C$477,'Transition Stepwise'!$E$2:$E$1137,0))</f>
        <v>0.93181818181818177</v>
      </c>
      <c r="D479" s="14">
        <f>INDEX('Transition Stepwise'!$J$2:$J$1137,MATCH(60&amp;"|"&amp;$A479&amp;"|"&amp;D$477,'Transition Stepwise'!$E$2:$E$1137,0))</f>
        <v>2.2727272727272728E-2</v>
      </c>
      <c r="E479" s="14">
        <f>INDEX('Transition Stepwise'!$J$2:$J$1137,MATCH(60&amp;"|"&amp;$A479&amp;"|"&amp;E$477,'Transition Stepwise'!$E$2:$E$1137,0))</f>
        <v>2.2727272727272728E-2</v>
      </c>
      <c r="F479" s="4">
        <f>ROUND(SUM(B479:E479),9)</f>
        <v>1</v>
      </c>
    </row>
    <row r="480" spans="1:6">
      <c r="A480" s="5" t="s">
        <v>70</v>
      </c>
      <c r="B480" s="14">
        <f>INDEX('Transition Stepwise'!$J$2:$J$1137,MATCH(60&amp;"|"&amp;$A480&amp;"|"&amp;B$477,'Transition Stepwise'!$E$2:$E$1137,0))</f>
        <v>0.16666666666666666</v>
      </c>
      <c r="C480" s="14">
        <f>INDEX('Transition Stepwise'!$J$2:$J$1137,MATCH(60&amp;"|"&amp;$A480&amp;"|"&amp;C$477,'Transition Stepwise'!$E$2:$E$1137,0))</f>
        <v>0.33333333333333331</v>
      </c>
      <c r="D480" s="14">
        <f>INDEX('Transition Stepwise'!$J$2:$J$1137,MATCH(60&amp;"|"&amp;$A480&amp;"|"&amp;D$477,'Transition Stepwise'!$E$2:$E$1137,0))</f>
        <v>0.33333333333333331</v>
      </c>
      <c r="E480" s="14">
        <f>INDEX('Transition Stepwise'!$J$2:$J$1137,MATCH(60&amp;"|"&amp;$A480&amp;"|"&amp;E$477,'Transition Stepwise'!$E$2:$E$1137,0))</f>
        <v>0.16666666666666666</v>
      </c>
      <c r="F480" s="4">
        <f>ROUND(SUM(B480:E480),9)</f>
        <v>1</v>
      </c>
    </row>
    <row r="481" spans="1:6">
      <c r="A481" s="5" t="s">
        <v>72</v>
      </c>
      <c r="B481" s="14">
        <f>INDEX('Transition Stepwise'!$J$2:$J$1137,MATCH(60&amp;"|"&amp;$A481&amp;"|"&amp;B$477,'Transition Stepwise'!$E$2:$E$1137,0))</f>
        <v>6.2111801242236021E-3</v>
      </c>
      <c r="C481" s="14">
        <f>INDEX('Transition Stepwise'!$J$2:$J$1137,MATCH(60&amp;"|"&amp;$A481&amp;"|"&amp;C$477,'Transition Stepwise'!$E$2:$E$1137,0))</f>
        <v>0.97515527950310554</v>
      </c>
      <c r="D481" s="14">
        <f>INDEX('Transition Stepwise'!$J$2:$J$1137,MATCH(60&amp;"|"&amp;$A481&amp;"|"&amp;D$477,'Transition Stepwise'!$E$2:$E$1137,0))</f>
        <v>6.2111801242236021E-3</v>
      </c>
      <c r="E481" s="14">
        <f>INDEX('Transition Stepwise'!$J$2:$J$1137,MATCH(60&amp;"|"&amp;$A481&amp;"|"&amp;E$477,'Transition Stepwise'!$E$2:$E$1137,0))</f>
        <v>1.2422360248447204E-2</v>
      </c>
      <c r="F481" s="4">
        <f>ROUND(SUM(B481:E481),9)</f>
        <v>1</v>
      </c>
    </row>
    <row r="482" spans="1:6">
      <c r="A482" s="4"/>
      <c r="B482" s="4"/>
      <c r="C482" s="4"/>
      <c r="D482" s="4"/>
      <c r="E482" s="4"/>
      <c r="F482" s="4"/>
    </row>
    <row r="483" spans="1:6">
      <c r="A483" s="4"/>
      <c r="B483" s="4"/>
      <c r="C483" s="4"/>
      <c r="D483" s="4"/>
      <c r="E483" s="4"/>
      <c r="F483" s="4"/>
    </row>
    <row r="484" spans="1:6">
      <c r="A484" s="5" t="s">
        <v>654</v>
      </c>
      <c r="B484" s="4"/>
      <c r="C484" s="4"/>
      <c r="D484" s="4"/>
      <c r="E484" s="4"/>
      <c r="F484" s="4"/>
    </row>
    <row r="485" spans="1:6">
      <c r="A485" s="9" t="s">
        <v>593</v>
      </c>
      <c r="B485" s="9" t="s">
        <v>73</v>
      </c>
      <c r="C485" s="9" t="s">
        <v>71</v>
      </c>
      <c r="D485" s="9" t="s">
        <v>70</v>
      </c>
      <c r="E485" s="9" t="s">
        <v>72</v>
      </c>
      <c r="F485" s="9" t="s">
        <v>666</v>
      </c>
    </row>
    <row r="486" spans="1:6">
      <c r="A486" s="5" t="s">
        <v>73</v>
      </c>
      <c r="B486" s="14">
        <f>INDEX('Transition Stepwise'!$J$2:$J$1137,MATCH(61&amp;"|"&amp;$A486&amp;"|"&amp;B$485,'Transition Stepwise'!$E$2:$E$1137,0))</f>
        <v>0.25</v>
      </c>
      <c r="C486" s="14">
        <f>INDEX('Transition Stepwise'!$J$2:$J$1137,MATCH(61&amp;"|"&amp;$A486&amp;"|"&amp;C$485,'Transition Stepwise'!$E$2:$E$1137,0))</f>
        <v>0.25</v>
      </c>
      <c r="D486" s="14">
        <f>INDEX('Transition Stepwise'!$J$2:$J$1137,MATCH(61&amp;"|"&amp;$A486&amp;"|"&amp;D$485,'Transition Stepwise'!$E$2:$E$1137,0))</f>
        <v>0.25</v>
      </c>
      <c r="E486" s="14">
        <f>INDEX('Transition Stepwise'!$J$2:$J$1137,MATCH(61&amp;"|"&amp;$A486&amp;"|"&amp;E$485,'Transition Stepwise'!$E$2:$E$1137,0))</f>
        <v>0.25</v>
      </c>
      <c r="F486" s="4">
        <f>ROUND(SUM(B486:E486),9)</f>
        <v>1</v>
      </c>
    </row>
    <row r="487" spans="1:6">
      <c r="A487" s="5" t="s">
        <v>71</v>
      </c>
      <c r="B487" s="14">
        <f>INDEX('Transition Stepwise'!$J$2:$J$1137,MATCH(61&amp;"|"&amp;$A487&amp;"|"&amp;B$485,'Transition Stepwise'!$E$2:$E$1137,0))</f>
        <v>1.9801980198019802E-2</v>
      </c>
      <c r="C487" s="14">
        <f>INDEX('Transition Stepwise'!$J$2:$J$1137,MATCH(61&amp;"|"&amp;$A487&amp;"|"&amp;C$485,'Transition Stepwise'!$E$2:$E$1137,0))</f>
        <v>0.8366336633663366</v>
      </c>
      <c r="D487" s="14">
        <f>INDEX('Transition Stepwise'!$J$2:$J$1137,MATCH(61&amp;"|"&amp;$A487&amp;"|"&amp;D$485,'Transition Stepwise'!$E$2:$E$1137,0))</f>
        <v>1.4851485148514851E-2</v>
      </c>
      <c r="E487" s="14">
        <f>INDEX('Transition Stepwise'!$J$2:$J$1137,MATCH(61&amp;"|"&amp;$A487&amp;"|"&amp;E$485,'Transition Stepwise'!$E$2:$E$1137,0))</f>
        <v>0.12871287128712872</v>
      </c>
      <c r="F487" s="4">
        <f>ROUND(SUM(B487:E487),9)</f>
        <v>1</v>
      </c>
    </row>
    <row r="488" spans="1:6">
      <c r="A488" s="5" t="s">
        <v>70</v>
      </c>
      <c r="B488" s="14">
        <f>INDEX('Transition Stepwise'!$J$2:$J$1137,MATCH(61&amp;"|"&amp;$A488&amp;"|"&amp;B$485,'Transition Stepwise'!$E$2:$E$1137,0))</f>
        <v>0.2</v>
      </c>
      <c r="C488" s="14">
        <f>INDEX('Transition Stepwise'!$J$2:$J$1137,MATCH(61&amp;"|"&amp;$A488&amp;"|"&amp;C$485,'Transition Stepwise'!$E$2:$E$1137,0))</f>
        <v>0.2</v>
      </c>
      <c r="D488" s="14">
        <f>INDEX('Transition Stepwise'!$J$2:$J$1137,MATCH(61&amp;"|"&amp;$A488&amp;"|"&amp;D$485,'Transition Stepwise'!$E$2:$E$1137,0))</f>
        <v>0.2</v>
      </c>
      <c r="E488" s="14">
        <f>INDEX('Transition Stepwise'!$J$2:$J$1137,MATCH(61&amp;"|"&amp;$A488&amp;"|"&amp;E$485,'Transition Stepwise'!$E$2:$E$1137,0))</f>
        <v>0.4</v>
      </c>
      <c r="F488" s="4">
        <f>ROUND(SUM(B488:E488),9)</f>
        <v>1</v>
      </c>
    </row>
    <row r="489" spans="1:6">
      <c r="A489" s="5" t="s">
        <v>72</v>
      </c>
      <c r="B489" s="14">
        <f>INDEX('Transition Stepwise'!$J$2:$J$1137,MATCH(61&amp;"|"&amp;$A489&amp;"|"&amp;B$485,'Transition Stepwise'!$E$2:$E$1137,0))</f>
        <v>0.2</v>
      </c>
      <c r="C489" s="14">
        <f>INDEX('Transition Stepwise'!$J$2:$J$1137,MATCH(61&amp;"|"&amp;$A489&amp;"|"&amp;C$485,'Transition Stepwise'!$E$2:$E$1137,0))</f>
        <v>0.4</v>
      </c>
      <c r="D489" s="14">
        <f>INDEX('Transition Stepwise'!$J$2:$J$1137,MATCH(61&amp;"|"&amp;$A489&amp;"|"&amp;D$485,'Transition Stepwise'!$E$2:$E$1137,0))</f>
        <v>0.2</v>
      </c>
      <c r="E489" s="14">
        <f>INDEX('Transition Stepwise'!$J$2:$J$1137,MATCH(61&amp;"|"&amp;$A489&amp;"|"&amp;E$485,'Transition Stepwise'!$E$2:$E$1137,0))</f>
        <v>0.2</v>
      </c>
      <c r="F489" s="4">
        <f>ROUND(SUM(B489:E489),9)</f>
        <v>1</v>
      </c>
    </row>
    <row r="490" spans="1:6">
      <c r="A490" s="4"/>
      <c r="B490" s="4"/>
      <c r="C490" s="4"/>
      <c r="D490" s="4"/>
      <c r="E490" s="4"/>
      <c r="F490" s="4"/>
    </row>
    <row r="491" spans="1:6">
      <c r="A491" s="4"/>
      <c r="B491" s="4"/>
      <c r="C491" s="4"/>
      <c r="D491" s="4"/>
      <c r="E491" s="4"/>
      <c r="F491" s="4"/>
    </row>
    <row r="492" spans="1:6">
      <c r="A492" s="5" t="s">
        <v>655</v>
      </c>
      <c r="B492" s="4"/>
      <c r="C492" s="4"/>
      <c r="D492" s="4"/>
      <c r="E492" s="4"/>
      <c r="F492" s="4"/>
    </row>
    <row r="493" spans="1:6">
      <c r="A493" s="9" t="s">
        <v>593</v>
      </c>
      <c r="B493" s="9" t="s">
        <v>73</v>
      </c>
      <c r="C493" s="9" t="s">
        <v>71</v>
      </c>
      <c r="D493" s="9" t="s">
        <v>70</v>
      </c>
      <c r="E493" s="9" t="s">
        <v>72</v>
      </c>
      <c r="F493" s="9" t="s">
        <v>666</v>
      </c>
    </row>
    <row r="494" spans="1:6">
      <c r="A494" s="5" t="s">
        <v>73</v>
      </c>
      <c r="B494" s="14">
        <f>INDEX('Transition Stepwise'!$J$2:$J$1137,MATCH(62&amp;"|"&amp;$A494&amp;"|"&amp;B$493,'Transition Stepwise'!$E$2:$E$1137,0))</f>
        <v>0.14285714285714285</v>
      </c>
      <c r="C494" s="14">
        <f>INDEX('Transition Stepwise'!$J$2:$J$1137,MATCH(62&amp;"|"&amp;$A494&amp;"|"&amp;C$493,'Transition Stepwise'!$E$2:$E$1137,0))</f>
        <v>0.5714285714285714</v>
      </c>
      <c r="D494" s="14">
        <f>INDEX('Transition Stepwise'!$J$2:$J$1137,MATCH(62&amp;"|"&amp;$A494&amp;"|"&amp;D$493,'Transition Stepwise'!$E$2:$E$1137,0))</f>
        <v>0.14285714285714285</v>
      </c>
      <c r="E494" s="14">
        <f>INDEX('Transition Stepwise'!$J$2:$J$1137,MATCH(62&amp;"|"&amp;$A494&amp;"|"&amp;E$493,'Transition Stepwise'!$E$2:$E$1137,0))</f>
        <v>0.14285714285714285</v>
      </c>
      <c r="F494" s="4">
        <f>ROUND(SUM(B494:E494),9)</f>
        <v>1</v>
      </c>
    </row>
    <row r="495" spans="1:6">
      <c r="A495" s="5" t="s">
        <v>71</v>
      </c>
      <c r="B495" s="14">
        <f>INDEX('Transition Stepwise'!$J$2:$J$1137,MATCH(62&amp;"|"&amp;$A495&amp;"|"&amp;B$493,'Transition Stepwise'!$E$2:$E$1137,0))</f>
        <v>0.12716763005780346</v>
      </c>
      <c r="C495" s="14">
        <f>INDEX('Transition Stepwise'!$J$2:$J$1137,MATCH(62&amp;"|"&amp;$A495&amp;"|"&amp;C$493,'Transition Stepwise'!$E$2:$E$1137,0))</f>
        <v>0.45086705202312138</v>
      </c>
      <c r="D495" s="14">
        <f>INDEX('Transition Stepwise'!$J$2:$J$1137,MATCH(62&amp;"|"&amp;$A495&amp;"|"&amp;D$493,'Transition Stepwise'!$E$2:$E$1137,0))</f>
        <v>0.24277456647398843</v>
      </c>
      <c r="E495" s="14">
        <f>INDEX('Transition Stepwise'!$J$2:$J$1137,MATCH(62&amp;"|"&amp;$A495&amp;"|"&amp;E$493,'Transition Stepwise'!$E$2:$E$1137,0))</f>
        <v>0.1791907514450867</v>
      </c>
      <c r="F495" s="4">
        <f>ROUND(SUM(B495:E495),9)</f>
        <v>1</v>
      </c>
    </row>
    <row r="496" spans="1:6">
      <c r="A496" s="5" t="s">
        <v>70</v>
      </c>
      <c r="B496" s="14">
        <f>INDEX('Transition Stepwise'!$J$2:$J$1137,MATCH(62&amp;"|"&amp;$A496&amp;"|"&amp;B$493,'Transition Stepwise'!$E$2:$E$1137,0))</f>
        <v>0.16666666666666666</v>
      </c>
      <c r="C496" s="14">
        <f>INDEX('Transition Stepwise'!$J$2:$J$1137,MATCH(62&amp;"|"&amp;$A496&amp;"|"&amp;C$493,'Transition Stepwise'!$E$2:$E$1137,0))</f>
        <v>0.5</v>
      </c>
      <c r="D496" s="14">
        <f>INDEX('Transition Stepwise'!$J$2:$J$1137,MATCH(62&amp;"|"&amp;$A496&amp;"|"&amp;D$493,'Transition Stepwise'!$E$2:$E$1137,0))</f>
        <v>0.16666666666666666</v>
      </c>
      <c r="E496" s="14">
        <f>INDEX('Transition Stepwise'!$J$2:$J$1137,MATCH(62&amp;"|"&amp;$A496&amp;"|"&amp;E$493,'Transition Stepwise'!$E$2:$E$1137,0))</f>
        <v>0.16666666666666666</v>
      </c>
      <c r="F496" s="4">
        <f>ROUND(SUM(B496:E496),9)</f>
        <v>1</v>
      </c>
    </row>
    <row r="497" spans="1:6">
      <c r="A497" s="5" t="s">
        <v>72</v>
      </c>
      <c r="B497" s="14">
        <f>INDEX('Transition Stepwise'!$J$2:$J$1137,MATCH(62&amp;"|"&amp;$A497&amp;"|"&amp;B$493,'Transition Stepwise'!$E$2:$E$1137,0))</f>
        <v>0.1</v>
      </c>
      <c r="C497" s="14">
        <f>INDEX('Transition Stepwise'!$J$2:$J$1137,MATCH(62&amp;"|"&amp;$A497&amp;"|"&amp;C$493,'Transition Stepwise'!$E$2:$E$1137,0))</f>
        <v>0.53333333333333333</v>
      </c>
      <c r="D497" s="14">
        <f>INDEX('Transition Stepwise'!$J$2:$J$1137,MATCH(62&amp;"|"&amp;$A497&amp;"|"&amp;D$493,'Transition Stepwise'!$E$2:$E$1137,0))</f>
        <v>0.26666666666666666</v>
      </c>
      <c r="E497" s="14">
        <f>INDEX('Transition Stepwise'!$J$2:$J$1137,MATCH(62&amp;"|"&amp;$A497&amp;"|"&amp;E$493,'Transition Stepwise'!$E$2:$E$1137,0))</f>
        <v>0.1</v>
      </c>
      <c r="F497" s="4">
        <f>ROUND(SUM(B497:E497),9)</f>
        <v>1</v>
      </c>
    </row>
    <row r="498" spans="1:6">
      <c r="A498" s="4"/>
      <c r="B498" s="4"/>
      <c r="C498" s="4"/>
      <c r="D498" s="4"/>
      <c r="E498" s="4"/>
      <c r="F498" s="4"/>
    </row>
    <row r="499" spans="1:6">
      <c r="A499" s="4"/>
      <c r="B499" s="4"/>
      <c r="C499" s="4"/>
      <c r="D499" s="4"/>
      <c r="E499" s="4"/>
      <c r="F499" s="4"/>
    </row>
    <row r="500" spans="1:6">
      <c r="A500" s="5" t="s">
        <v>656</v>
      </c>
      <c r="B500" s="4"/>
      <c r="C500" s="4"/>
      <c r="D500" s="4"/>
      <c r="E500" s="4"/>
      <c r="F500" s="4"/>
    </row>
    <row r="501" spans="1:6">
      <c r="A501" s="9" t="s">
        <v>593</v>
      </c>
      <c r="B501" s="9" t="s">
        <v>73</v>
      </c>
      <c r="C501" s="9" t="s">
        <v>71</v>
      </c>
      <c r="D501" s="9" t="s">
        <v>70</v>
      </c>
      <c r="E501" s="9" t="s">
        <v>72</v>
      </c>
      <c r="F501" s="9" t="s">
        <v>666</v>
      </c>
    </row>
    <row r="502" spans="1:6">
      <c r="A502" s="5" t="s">
        <v>73</v>
      </c>
      <c r="B502" s="14">
        <f>INDEX('Transition Stepwise'!$J$2:$J$1137,MATCH(63&amp;"|"&amp;$A502&amp;"|"&amp;B$501,'Transition Stepwise'!$E$2:$E$1137,0))</f>
        <v>0.22222222222222221</v>
      </c>
      <c r="C502" s="14">
        <f>INDEX('Transition Stepwise'!$J$2:$J$1137,MATCH(63&amp;"|"&amp;$A502&amp;"|"&amp;C$501,'Transition Stepwise'!$E$2:$E$1137,0))</f>
        <v>0.29629629629629628</v>
      </c>
      <c r="D502" s="14">
        <f>INDEX('Transition Stepwise'!$J$2:$J$1137,MATCH(63&amp;"|"&amp;$A502&amp;"|"&amp;D$501,'Transition Stepwise'!$E$2:$E$1137,0))</f>
        <v>0.37037037037037035</v>
      </c>
      <c r="E502" s="14">
        <f>INDEX('Transition Stepwise'!$J$2:$J$1137,MATCH(63&amp;"|"&amp;$A502&amp;"|"&amp;E$501,'Transition Stepwise'!$E$2:$E$1137,0))</f>
        <v>0.1111111111111111</v>
      </c>
      <c r="F502" s="4">
        <f>ROUND(SUM(B502:E502),9)</f>
        <v>1</v>
      </c>
    </row>
    <row r="503" spans="1:6">
      <c r="A503" s="5" t="s">
        <v>71</v>
      </c>
      <c r="B503" s="14">
        <f>INDEX('Transition Stepwise'!$J$2:$J$1137,MATCH(63&amp;"|"&amp;$A503&amp;"|"&amp;B$501,'Transition Stepwise'!$E$2:$E$1137,0))</f>
        <v>0.18811881188118812</v>
      </c>
      <c r="C503" s="14">
        <f>INDEX('Transition Stepwise'!$J$2:$J$1137,MATCH(63&amp;"|"&amp;$A503&amp;"|"&amp;C$501,'Transition Stepwise'!$E$2:$E$1137,0))</f>
        <v>0.18811881188118812</v>
      </c>
      <c r="D503" s="14">
        <f>INDEX('Transition Stepwise'!$J$2:$J$1137,MATCH(63&amp;"|"&amp;$A503&amp;"|"&amp;D$501,'Transition Stepwise'!$E$2:$E$1137,0))</f>
        <v>0.39603960396039606</v>
      </c>
      <c r="E503" s="14">
        <f>INDEX('Transition Stepwise'!$J$2:$J$1137,MATCH(63&amp;"|"&amp;$A503&amp;"|"&amp;E$501,'Transition Stepwise'!$E$2:$E$1137,0))</f>
        <v>0.22772277227722773</v>
      </c>
      <c r="F503" s="4">
        <f>ROUND(SUM(B503:E503),9)</f>
        <v>1</v>
      </c>
    </row>
    <row r="504" spans="1:6">
      <c r="A504" s="5" t="s">
        <v>70</v>
      </c>
      <c r="B504" s="14">
        <f>INDEX('Transition Stepwise'!$J$2:$J$1137,MATCH(63&amp;"|"&amp;$A504&amp;"|"&amp;B$501,'Transition Stepwise'!$E$2:$E$1137,0))</f>
        <v>0.11538461538461539</v>
      </c>
      <c r="C504" s="14">
        <f>INDEX('Transition Stepwise'!$J$2:$J$1137,MATCH(63&amp;"|"&amp;$A504&amp;"|"&amp;C$501,'Transition Stepwise'!$E$2:$E$1137,0))</f>
        <v>0.25</v>
      </c>
      <c r="D504" s="14">
        <f>INDEX('Transition Stepwise'!$J$2:$J$1137,MATCH(63&amp;"|"&amp;$A504&amp;"|"&amp;D$501,'Transition Stepwise'!$E$2:$E$1137,0))</f>
        <v>0.51923076923076927</v>
      </c>
      <c r="E504" s="14">
        <f>INDEX('Transition Stepwise'!$J$2:$J$1137,MATCH(63&amp;"|"&amp;$A504&amp;"|"&amp;E$501,'Transition Stepwise'!$E$2:$E$1137,0))</f>
        <v>0.11538461538461539</v>
      </c>
      <c r="F504" s="4">
        <f>ROUND(SUM(B504:E504),9)</f>
        <v>1</v>
      </c>
    </row>
    <row r="505" spans="1:6">
      <c r="A505" s="5" t="s">
        <v>72</v>
      </c>
      <c r="B505" s="14">
        <f>INDEX('Transition Stepwise'!$J$2:$J$1137,MATCH(63&amp;"|"&amp;$A505&amp;"|"&amp;B$501,'Transition Stepwise'!$E$2:$E$1137,0))</f>
        <v>0.16666666666666666</v>
      </c>
      <c r="C505" s="14">
        <f>INDEX('Transition Stepwise'!$J$2:$J$1137,MATCH(63&amp;"|"&amp;$A505&amp;"|"&amp;C$501,'Transition Stepwise'!$E$2:$E$1137,0))</f>
        <v>0.16666666666666666</v>
      </c>
      <c r="D505" s="14">
        <f>INDEX('Transition Stepwise'!$J$2:$J$1137,MATCH(63&amp;"|"&amp;$A505&amp;"|"&amp;D$501,'Transition Stepwise'!$E$2:$E$1137,0))</f>
        <v>0.52777777777777779</v>
      </c>
      <c r="E505" s="14">
        <f>INDEX('Transition Stepwise'!$J$2:$J$1137,MATCH(63&amp;"|"&amp;$A505&amp;"|"&amp;E$501,'Transition Stepwise'!$E$2:$E$1137,0))</f>
        <v>0.1388888888888889</v>
      </c>
      <c r="F505" s="4">
        <f>ROUND(SUM(B505:E505),9)</f>
        <v>1</v>
      </c>
    </row>
    <row r="506" spans="1:6">
      <c r="A506" s="4"/>
      <c r="B506" s="4"/>
      <c r="C506" s="4"/>
      <c r="D506" s="4"/>
      <c r="E506" s="4"/>
      <c r="F506" s="4"/>
    </row>
    <row r="507" spans="1:6">
      <c r="A507" s="4"/>
      <c r="B507" s="4"/>
      <c r="C507" s="4"/>
      <c r="D507" s="4"/>
      <c r="E507" s="4"/>
      <c r="F507" s="4"/>
    </row>
    <row r="508" spans="1:6">
      <c r="A508" s="5" t="s">
        <v>657</v>
      </c>
      <c r="B508" s="4"/>
      <c r="C508" s="4"/>
      <c r="D508" s="4"/>
      <c r="E508" s="4"/>
      <c r="F508" s="4"/>
    </row>
    <row r="509" spans="1:6">
      <c r="A509" s="9" t="s">
        <v>593</v>
      </c>
      <c r="B509" s="9" t="s">
        <v>73</v>
      </c>
      <c r="C509" s="9" t="s">
        <v>71</v>
      </c>
      <c r="D509" s="9" t="s">
        <v>70</v>
      </c>
      <c r="E509" s="9" t="s">
        <v>72</v>
      </c>
      <c r="F509" s="9" t="s">
        <v>666</v>
      </c>
    </row>
    <row r="510" spans="1:6">
      <c r="A510" s="5" t="s">
        <v>73</v>
      </c>
      <c r="B510" s="14">
        <f>INDEX('Transition Stepwise'!$J$2:$J$1137,MATCH(64&amp;"|"&amp;$A510&amp;"|"&amp;B$509,'Transition Stepwise'!$E$2:$E$1137,0))</f>
        <v>5.5555555555555552E-2</v>
      </c>
      <c r="C510" s="14">
        <f>INDEX('Transition Stepwise'!$J$2:$J$1137,MATCH(64&amp;"|"&amp;$A510&amp;"|"&amp;C$509,'Transition Stepwise'!$E$2:$E$1137,0))</f>
        <v>0.41666666666666669</v>
      </c>
      <c r="D510" s="14">
        <f>INDEX('Transition Stepwise'!$J$2:$J$1137,MATCH(64&amp;"|"&amp;$A510&amp;"|"&amp;D$509,'Transition Stepwise'!$E$2:$E$1137,0))</f>
        <v>0.16666666666666666</v>
      </c>
      <c r="E510" s="14">
        <f>INDEX('Transition Stepwise'!$J$2:$J$1137,MATCH(64&amp;"|"&amp;$A510&amp;"|"&amp;E$509,'Transition Stepwise'!$E$2:$E$1137,0))</f>
        <v>0.3611111111111111</v>
      </c>
      <c r="F510" s="4">
        <f>ROUND(SUM(B510:E510),9)</f>
        <v>1</v>
      </c>
    </row>
    <row r="511" spans="1:6">
      <c r="A511" s="5" t="s">
        <v>71</v>
      </c>
      <c r="B511" s="14">
        <f>INDEX('Transition Stepwise'!$J$2:$J$1137,MATCH(64&amp;"|"&amp;$A511&amp;"|"&amp;B$509,'Transition Stepwise'!$E$2:$E$1137,0))</f>
        <v>0.10869565217391304</v>
      </c>
      <c r="C511" s="14">
        <f>INDEX('Transition Stepwise'!$J$2:$J$1137,MATCH(64&amp;"|"&amp;$A511&amp;"|"&amp;C$509,'Transition Stepwise'!$E$2:$E$1137,0))</f>
        <v>0.2391304347826087</v>
      </c>
      <c r="D511" s="14">
        <f>INDEX('Transition Stepwise'!$J$2:$J$1137,MATCH(64&amp;"|"&amp;$A511&amp;"|"&amp;D$509,'Transition Stepwise'!$E$2:$E$1137,0))</f>
        <v>0.2608695652173913</v>
      </c>
      <c r="E511" s="14">
        <f>INDEX('Transition Stepwise'!$J$2:$J$1137,MATCH(64&amp;"|"&amp;$A511&amp;"|"&amp;E$509,'Transition Stepwise'!$E$2:$E$1137,0))</f>
        <v>0.39130434782608697</v>
      </c>
      <c r="F511" s="4">
        <f>ROUND(SUM(B511:E511),9)</f>
        <v>1</v>
      </c>
    </row>
    <row r="512" spans="1:6">
      <c r="A512" s="5" t="s">
        <v>70</v>
      </c>
      <c r="B512" s="14">
        <f>INDEX('Transition Stepwise'!$J$2:$J$1137,MATCH(64&amp;"|"&amp;$A512&amp;"|"&amp;B$509,'Transition Stepwise'!$E$2:$E$1137,0))</f>
        <v>3.125E-2</v>
      </c>
      <c r="C512" s="14">
        <f>INDEX('Transition Stepwise'!$J$2:$J$1137,MATCH(64&amp;"|"&amp;$A512&amp;"|"&amp;C$509,'Transition Stepwise'!$E$2:$E$1137,0))</f>
        <v>0.23958333333333334</v>
      </c>
      <c r="D512" s="14">
        <f>INDEX('Transition Stepwise'!$J$2:$J$1137,MATCH(64&amp;"|"&amp;$A512&amp;"|"&amp;D$509,'Transition Stepwise'!$E$2:$E$1137,0))</f>
        <v>0.39583333333333331</v>
      </c>
      <c r="E512" s="14">
        <f>INDEX('Transition Stepwise'!$J$2:$J$1137,MATCH(64&amp;"|"&amp;$A512&amp;"|"&amp;E$509,'Transition Stepwise'!$E$2:$E$1137,0))</f>
        <v>0.33333333333333331</v>
      </c>
      <c r="F512" s="4">
        <f>ROUND(SUM(B512:E512),9)</f>
        <v>1</v>
      </c>
    </row>
    <row r="513" spans="1:6">
      <c r="A513" s="5" t="s">
        <v>72</v>
      </c>
      <c r="B513" s="14">
        <f>INDEX('Transition Stepwise'!$J$2:$J$1137,MATCH(64&amp;"|"&amp;$A513&amp;"|"&amp;B$509,'Transition Stepwise'!$E$2:$E$1137,0))</f>
        <v>8.1081081081081086E-2</v>
      </c>
      <c r="C513" s="14">
        <f>INDEX('Transition Stepwise'!$J$2:$J$1137,MATCH(64&amp;"|"&amp;$A513&amp;"|"&amp;C$509,'Transition Stepwise'!$E$2:$E$1137,0))</f>
        <v>0.48648648648648651</v>
      </c>
      <c r="D513" s="14">
        <f>INDEX('Transition Stepwise'!$J$2:$J$1137,MATCH(64&amp;"|"&amp;$A513&amp;"|"&amp;D$509,'Transition Stepwise'!$E$2:$E$1137,0))</f>
        <v>0.13513513513513514</v>
      </c>
      <c r="E513" s="14">
        <f>INDEX('Transition Stepwise'!$J$2:$J$1137,MATCH(64&amp;"|"&amp;$A513&amp;"|"&amp;E$509,'Transition Stepwise'!$E$2:$E$1137,0))</f>
        <v>0.29729729729729731</v>
      </c>
      <c r="F513" s="4">
        <f>ROUND(SUM(B513:E513),9)</f>
        <v>1</v>
      </c>
    </row>
    <row r="514" spans="1:6">
      <c r="A514" s="4"/>
      <c r="B514" s="4"/>
      <c r="C514" s="4"/>
      <c r="D514" s="4"/>
      <c r="E514" s="4"/>
      <c r="F514" s="4"/>
    </row>
    <row r="515" spans="1:6">
      <c r="A515" s="4"/>
      <c r="B515" s="4"/>
      <c r="C515" s="4"/>
      <c r="D515" s="4"/>
      <c r="E515" s="4"/>
      <c r="F515" s="4"/>
    </row>
    <row r="516" spans="1:6">
      <c r="A516" s="5" t="s">
        <v>658</v>
      </c>
      <c r="B516" s="4"/>
      <c r="C516" s="4"/>
      <c r="D516" s="4"/>
      <c r="E516" s="4"/>
      <c r="F516" s="4"/>
    </row>
    <row r="517" spans="1:6">
      <c r="A517" s="9" t="s">
        <v>593</v>
      </c>
      <c r="B517" s="9" t="s">
        <v>73</v>
      </c>
      <c r="C517" s="9" t="s">
        <v>71</v>
      </c>
      <c r="D517" s="9" t="s">
        <v>70</v>
      </c>
      <c r="E517" s="9" t="s">
        <v>72</v>
      </c>
      <c r="F517" s="9" t="s">
        <v>666</v>
      </c>
    </row>
    <row r="518" spans="1:6">
      <c r="A518" s="5" t="s">
        <v>73</v>
      </c>
      <c r="B518" s="14">
        <f>INDEX('Transition Stepwise'!$J$2:$J$1137,MATCH(65&amp;"|"&amp;$A518&amp;"|"&amp;B$517,'Transition Stepwise'!$E$2:$E$1137,0))</f>
        <v>0.15384615384615385</v>
      </c>
      <c r="C518" s="14">
        <f>INDEX('Transition Stepwise'!$J$2:$J$1137,MATCH(65&amp;"|"&amp;$A518&amp;"|"&amp;C$517,'Transition Stepwise'!$E$2:$E$1137,0))</f>
        <v>0.23076923076923078</v>
      </c>
      <c r="D518" s="14">
        <f>INDEX('Transition Stepwise'!$J$2:$J$1137,MATCH(65&amp;"|"&amp;$A518&amp;"|"&amp;D$517,'Transition Stepwise'!$E$2:$E$1137,0))</f>
        <v>7.6923076923076927E-2</v>
      </c>
      <c r="E518" s="14">
        <f>INDEX('Transition Stepwise'!$J$2:$J$1137,MATCH(65&amp;"|"&amp;$A518&amp;"|"&amp;E$517,'Transition Stepwise'!$E$2:$E$1137,0))</f>
        <v>0.53846153846153844</v>
      </c>
      <c r="F518" s="4">
        <f>ROUND(SUM(B518:E518),9)</f>
        <v>1</v>
      </c>
    </row>
    <row r="519" spans="1:6">
      <c r="A519" s="5" t="s">
        <v>71</v>
      </c>
      <c r="B519" s="14">
        <f>INDEX('Transition Stepwise'!$J$2:$J$1137,MATCH(65&amp;"|"&amp;$A519&amp;"|"&amp;B$517,'Transition Stepwise'!$E$2:$E$1137,0))</f>
        <v>0.17910447761194029</v>
      </c>
      <c r="C519" s="14">
        <f>INDEX('Transition Stepwise'!$J$2:$J$1137,MATCH(65&amp;"|"&amp;$A519&amp;"|"&amp;C$517,'Transition Stepwise'!$E$2:$E$1137,0))</f>
        <v>0.56716417910447758</v>
      </c>
      <c r="D519" s="14">
        <f>INDEX('Transition Stepwise'!$J$2:$J$1137,MATCH(65&amp;"|"&amp;$A519&amp;"|"&amp;D$517,'Transition Stepwise'!$E$2:$E$1137,0))</f>
        <v>2.9850746268656716E-2</v>
      </c>
      <c r="E519" s="14">
        <f>INDEX('Transition Stepwise'!$J$2:$J$1137,MATCH(65&amp;"|"&amp;$A519&amp;"|"&amp;E$517,'Transition Stepwise'!$E$2:$E$1137,0))</f>
        <v>0.22388059701492538</v>
      </c>
      <c r="F519" s="4">
        <f>ROUND(SUM(B519:E519),9)</f>
        <v>1</v>
      </c>
    </row>
    <row r="520" spans="1:6">
      <c r="A520" s="5" t="s">
        <v>70</v>
      </c>
      <c r="B520" s="14">
        <f>INDEX('Transition Stepwise'!$J$2:$J$1137,MATCH(65&amp;"|"&amp;$A520&amp;"|"&amp;B$517,'Transition Stepwise'!$E$2:$E$1137,0))</f>
        <v>0.16393442622950818</v>
      </c>
      <c r="C520" s="14">
        <f>INDEX('Transition Stepwise'!$J$2:$J$1137,MATCH(65&amp;"|"&amp;$A520&amp;"|"&amp;C$517,'Transition Stepwise'!$E$2:$E$1137,0))</f>
        <v>0.50819672131147542</v>
      </c>
      <c r="D520" s="14">
        <f>INDEX('Transition Stepwise'!$J$2:$J$1137,MATCH(65&amp;"|"&amp;$A520&amp;"|"&amp;D$517,'Transition Stepwise'!$E$2:$E$1137,0))</f>
        <v>3.2786885245901641E-2</v>
      </c>
      <c r="E520" s="14">
        <f>INDEX('Transition Stepwise'!$J$2:$J$1137,MATCH(65&amp;"|"&amp;$A520&amp;"|"&amp;E$517,'Transition Stepwise'!$E$2:$E$1137,0))</f>
        <v>0.29508196721311475</v>
      </c>
      <c r="F520" s="4">
        <f>ROUND(SUM(B520:E520),9)</f>
        <v>1</v>
      </c>
    </row>
    <row r="521" spans="1:6">
      <c r="A521" s="5" t="s">
        <v>72</v>
      </c>
      <c r="B521" s="14">
        <f>INDEX('Transition Stepwise'!$J$2:$J$1137,MATCH(65&amp;"|"&amp;$A521&amp;"|"&amp;B$517,'Transition Stepwise'!$E$2:$E$1137,0))</f>
        <v>0.3108108108108108</v>
      </c>
      <c r="C521" s="14">
        <f>INDEX('Transition Stepwise'!$J$2:$J$1137,MATCH(65&amp;"|"&amp;$A521&amp;"|"&amp;C$517,'Transition Stepwise'!$E$2:$E$1137,0))</f>
        <v>0.48648648648648651</v>
      </c>
      <c r="D521" s="14">
        <f>INDEX('Transition Stepwise'!$J$2:$J$1137,MATCH(65&amp;"|"&amp;$A521&amp;"|"&amp;D$517,'Transition Stepwise'!$E$2:$E$1137,0))</f>
        <v>1.3513513513513514E-2</v>
      </c>
      <c r="E521" s="14">
        <f>INDEX('Transition Stepwise'!$J$2:$J$1137,MATCH(65&amp;"|"&amp;$A521&amp;"|"&amp;E$517,'Transition Stepwise'!$E$2:$E$1137,0))</f>
        <v>0.1891891891891892</v>
      </c>
      <c r="F521" s="4">
        <f>ROUND(SUM(B521:E521),9)</f>
        <v>1</v>
      </c>
    </row>
    <row r="522" spans="1:6">
      <c r="A522" s="4"/>
      <c r="B522" s="4"/>
      <c r="C522" s="4"/>
      <c r="D522" s="4"/>
      <c r="E522" s="4"/>
      <c r="F522" s="4"/>
    </row>
    <row r="523" spans="1:6">
      <c r="A523" s="4"/>
      <c r="B523" s="4"/>
      <c r="C523" s="4"/>
      <c r="D523" s="4"/>
      <c r="E523" s="4"/>
      <c r="F523" s="4"/>
    </row>
    <row r="524" spans="1:6">
      <c r="A524" s="5" t="s">
        <v>659</v>
      </c>
      <c r="B524" s="4"/>
      <c r="C524" s="4"/>
      <c r="D524" s="4"/>
      <c r="E524" s="4"/>
      <c r="F524" s="4"/>
    </row>
    <row r="525" spans="1:6">
      <c r="A525" s="9" t="s">
        <v>593</v>
      </c>
      <c r="B525" s="9" t="s">
        <v>73</v>
      </c>
      <c r="C525" s="9" t="s">
        <v>71</v>
      </c>
      <c r="D525" s="9" t="s">
        <v>70</v>
      </c>
      <c r="E525" s="9" t="s">
        <v>72</v>
      </c>
      <c r="F525" s="9" t="s">
        <v>666</v>
      </c>
    </row>
    <row r="526" spans="1:6">
      <c r="A526" s="5" t="s">
        <v>73</v>
      </c>
      <c r="B526" s="14">
        <f>INDEX('Transition Stepwise'!$J$2:$J$1137,MATCH(66&amp;"|"&amp;$A526&amp;"|"&amp;B$525,'Transition Stepwise'!$E$2:$E$1137,0))</f>
        <v>0.10638297872340426</v>
      </c>
      <c r="C526" s="14">
        <f>INDEX('Transition Stepwise'!$J$2:$J$1137,MATCH(66&amp;"|"&amp;$A526&amp;"|"&amp;C$525,'Transition Stepwise'!$E$2:$E$1137,0))</f>
        <v>0.2978723404255319</v>
      </c>
      <c r="D526" s="14">
        <f>INDEX('Transition Stepwise'!$J$2:$J$1137,MATCH(66&amp;"|"&amp;$A526&amp;"|"&amp;D$525,'Transition Stepwise'!$E$2:$E$1137,0))</f>
        <v>0.34042553191489361</v>
      </c>
      <c r="E526" s="14">
        <f>INDEX('Transition Stepwise'!$J$2:$J$1137,MATCH(66&amp;"|"&amp;$A526&amp;"|"&amp;E$525,'Transition Stepwise'!$E$2:$E$1137,0))</f>
        <v>0.25531914893617019</v>
      </c>
      <c r="F526" s="4">
        <f>ROUND(SUM(B526:E526),9)</f>
        <v>1</v>
      </c>
    </row>
    <row r="527" spans="1:6">
      <c r="A527" s="5" t="s">
        <v>71</v>
      </c>
      <c r="B527" s="14">
        <f>INDEX('Transition Stepwise'!$J$2:$J$1137,MATCH(66&amp;"|"&amp;$A527&amp;"|"&amp;B$525,'Transition Stepwise'!$E$2:$E$1137,0))</f>
        <v>0.1834862385321101</v>
      </c>
      <c r="C527" s="14">
        <f>INDEX('Transition Stepwise'!$J$2:$J$1137,MATCH(66&amp;"|"&amp;$A527&amp;"|"&amp;C$525,'Transition Stepwise'!$E$2:$E$1137,0))</f>
        <v>0.21100917431192662</v>
      </c>
      <c r="D527" s="14">
        <f>INDEX('Transition Stepwise'!$J$2:$J$1137,MATCH(66&amp;"|"&amp;$A527&amp;"|"&amp;D$525,'Transition Stepwise'!$E$2:$E$1137,0))</f>
        <v>0.44954128440366975</v>
      </c>
      <c r="E527" s="14">
        <f>INDEX('Transition Stepwise'!$J$2:$J$1137,MATCH(66&amp;"|"&amp;$A527&amp;"|"&amp;E$525,'Transition Stepwise'!$E$2:$E$1137,0))</f>
        <v>0.15596330275229359</v>
      </c>
      <c r="F527" s="4">
        <f>ROUND(SUM(B527:E527),9)</f>
        <v>1</v>
      </c>
    </row>
    <row r="528" spans="1:6">
      <c r="A528" s="5" t="s">
        <v>70</v>
      </c>
      <c r="B528" s="14">
        <f>INDEX('Transition Stepwise'!$J$2:$J$1137,MATCH(66&amp;"|"&amp;$A528&amp;"|"&amp;B$525,'Transition Stepwise'!$E$2:$E$1137,0))</f>
        <v>0.16666666666666666</v>
      </c>
      <c r="C528" s="14">
        <f>INDEX('Transition Stepwise'!$J$2:$J$1137,MATCH(66&amp;"|"&amp;$A528&amp;"|"&amp;C$525,'Transition Stepwise'!$E$2:$E$1137,0))</f>
        <v>0.16666666666666666</v>
      </c>
      <c r="D528" s="14">
        <f>INDEX('Transition Stepwise'!$J$2:$J$1137,MATCH(66&amp;"|"&amp;$A528&amp;"|"&amp;D$525,'Transition Stepwise'!$E$2:$E$1137,0))</f>
        <v>0.5</v>
      </c>
      <c r="E528" s="14">
        <f>INDEX('Transition Stepwise'!$J$2:$J$1137,MATCH(66&amp;"|"&amp;$A528&amp;"|"&amp;E$525,'Transition Stepwise'!$E$2:$E$1137,0))</f>
        <v>0.16666666666666666</v>
      </c>
      <c r="F528" s="4">
        <f>ROUND(SUM(B528:E528),9)</f>
        <v>1</v>
      </c>
    </row>
    <row r="529" spans="1:6">
      <c r="A529" s="5" t="s">
        <v>72</v>
      </c>
      <c r="B529" s="14">
        <f>INDEX('Transition Stepwise'!$J$2:$J$1137,MATCH(66&amp;"|"&amp;$A529&amp;"|"&amp;B$525,'Transition Stepwise'!$E$2:$E$1137,0))</f>
        <v>0.37037037037037035</v>
      </c>
      <c r="C529" s="14">
        <f>INDEX('Transition Stepwise'!$J$2:$J$1137,MATCH(66&amp;"|"&amp;$A529&amp;"|"&amp;C$525,'Transition Stepwise'!$E$2:$E$1137,0))</f>
        <v>0.20370370370370369</v>
      </c>
      <c r="D529" s="14">
        <f>INDEX('Transition Stepwise'!$J$2:$J$1137,MATCH(66&amp;"|"&amp;$A529&amp;"|"&amp;D$525,'Transition Stepwise'!$E$2:$E$1137,0))</f>
        <v>0.20370370370370369</v>
      </c>
      <c r="E529" s="14">
        <f>INDEX('Transition Stepwise'!$J$2:$J$1137,MATCH(66&amp;"|"&amp;$A529&amp;"|"&amp;E$525,'Transition Stepwise'!$E$2:$E$1137,0))</f>
        <v>0.22222222222222221</v>
      </c>
      <c r="F529" s="4">
        <f>ROUND(SUM(B529:E529),9)</f>
        <v>1</v>
      </c>
    </row>
    <row r="530" spans="1:6">
      <c r="A530" s="4"/>
      <c r="B530" s="4"/>
      <c r="C530" s="4"/>
      <c r="D530" s="4"/>
      <c r="E530" s="4"/>
      <c r="F530" s="4"/>
    </row>
    <row r="531" spans="1:6">
      <c r="A531" s="4"/>
      <c r="B531" s="4"/>
      <c r="C531" s="4"/>
      <c r="D531" s="4"/>
      <c r="E531" s="4"/>
      <c r="F531" s="4"/>
    </row>
    <row r="532" spans="1:6">
      <c r="A532" s="5" t="s">
        <v>660</v>
      </c>
      <c r="B532" s="4"/>
      <c r="C532" s="4"/>
      <c r="D532" s="4"/>
      <c r="E532" s="4"/>
      <c r="F532" s="4"/>
    </row>
    <row r="533" spans="1:6">
      <c r="A533" s="9" t="s">
        <v>593</v>
      </c>
      <c r="B533" s="9" t="s">
        <v>73</v>
      </c>
      <c r="C533" s="9" t="s">
        <v>71</v>
      </c>
      <c r="D533" s="9" t="s">
        <v>70</v>
      </c>
      <c r="E533" s="9" t="s">
        <v>72</v>
      </c>
      <c r="F533" s="9" t="s">
        <v>666</v>
      </c>
    </row>
    <row r="534" spans="1:6">
      <c r="A534" s="5" t="s">
        <v>73</v>
      </c>
      <c r="B534" s="14">
        <f>INDEX('Transition Stepwise'!$J$2:$J$1137,MATCH(67&amp;"|"&amp;$A534&amp;"|"&amp;B$533,'Transition Stepwise'!$E$2:$E$1137,0))</f>
        <v>8.6956521739130432E-2</v>
      </c>
      <c r="C534" s="14">
        <f>INDEX('Transition Stepwise'!$J$2:$J$1137,MATCH(67&amp;"|"&amp;$A534&amp;"|"&amp;C$533,'Transition Stepwise'!$E$2:$E$1137,0))</f>
        <v>0.34782608695652173</v>
      </c>
      <c r="D534" s="14">
        <f>INDEX('Transition Stepwise'!$J$2:$J$1137,MATCH(67&amp;"|"&amp;$A534&amp;"|"&amp;D$533,'Transition Stepwise'!$E$2:$E$1137,0))</f>
        <v>0.30434782608695654</v>
      </c>
      <c r="E534" s="14">
        <f>INDEX('Transition Stepwise'!$J$2:$J$1137,MATCH(67&amp;"|"&amp;$A534&amp;"|"&amp;E$533,'Transition Stepwise'!$E$2:$E$1137,0))</f>
        <v>0.2608695652173913</v>
      </c>
      <c r="F534" s="4">
        <f>ROUND(SUM(B534:E534),9)</f>
        <v>1</v>
      </c>
    </row>
    <row r="535" spans="1:6">
      <c r="A535" s="5" t="s">
        <v>71</v>
      </c>
      <c r="B535" s="14">
        <f>INDEX('Transition Stepwise'!$J$2:$J$1137,MATCH(67&amp;"|"&amp;$A535&amp;"|"&amp;B$533,'Transition Stepwise'!$E$2:$E$1137,0))</f>
        <v>0.16326530612244897</v>
      </c>
      <c r="C535" s="14">
        <f>INDEX('Transition Stepwise'!$J$2:$J$1137,MATCH(67&amp;"|"&amp;$A535&amp;"|"&amp;C$533,'Transition Stepwise'!$E$2:$E$1137,0))</f>
        <v>0.32653061224489793</v>
      </c>
      <c r="D535" s="14">
        <f>INDEX('Transition Stepwise'!$J$2:$J$1137,MATCH(67&amp;"|"&amp;$A535&amp;"|"&amp;D$533,'Transition Stepwise'!$E$2:$E$1137,0))</f>
        <v>0.36734693877551022</v>
      </c>
      <c r="E535" s="14">
        <f>INDEX('Transition Stepwise'!$J$2:$J$1137,MATCH(67&amp;"|"&amp;$A535&amp;"|"&amp;E$533,'Transition Stepwise'!$E$2:$E$1137,0))</f>
        <v>0.14285714285714285</v>
      </c>
      <c r="F535" s="4">
        <f>ROUND(SUM(B535:E535),9)</f>
        <v>1</v>
      </c>
    </row>
    <row r="536" spans="1:6">
      <c r="A536" s="5" t="s">
        <v>70</v>
      </c>
      <c r="B536" s="14">
        <f>INDEX('Transition Stepwise'!$J$2:$J$1137,MATCH(67&amp;"|"&amp;$A536&amp;"|"&amp;B$533,'Transition Stepwise'!$E$2:$E$1137,0))</f>
        <v>7.5949367088607597E-2</v>
      </c>
      <c r="C536" s="14">
        <f>INDEX('Transition Stepwise'!$J$2:$J$1137,MATCH(67&amp;"|"&amp;$A536&amp;"|"&amp;C$533,'Transition Stepwise'!$E$2:$E$1137,0))</f>
        <v>0.189873417721519</v>
      </c>
      <c r="D536" s="14">
        <f>INDEX('Transition Stepwise'!$J$2:$J$1137,MATCH(67&amp;"|"&amp;$A536&amp;"|"&amp;D$533,'Transition Stepwise'!$E$2:$E$1137,0))</f>
        <v>0.59493670886075944</v>
      </c>
      <c r="E536" s="14">
        <f>INDEX('Transition Stepwise'!$J$2:$J$1137,MATCH(67&amp;"|"&amp;$A536&amp;"|"&amp;E$533,'Transition Stepwise'!$E$2:$E$1137,0))</f>
        <v>0.13924050632911392</v>
      </c>
      <c r="F536" s="4">
        <f>ROUND(SUM(B536:E536),9)</f>
        <v>1</v>
      </c>
    </row>
    <row r="537" spans="1:6">
      <c r="A537" s="5" t="s">
        <v>72</v>
      </c>
      <c r="B537" s="14">
        <f>INDEX('Transition Stepwise'!$J$2:$J$1137,MATCH(67&amp;"|"&amp;$A537&amp;"|"&amp;B$533,'Transition Stepwise'!$E$2:$E$1137,0))</f>
        <v>2.3809523809523808E-2</v>
      </c>
      <c r="C537" s="14">
        <f>INDEX('Transition Stepwise'!$J$2:$J$1137,MATCH(67&amp;"|"&amp;$A537&amp;"|"&amp;C$533,'Transition Stepwise'!$E$2:$E$1137,0))</f>
        <v>0.45238095238095238</v>
      </c>
      <c r="D537" s="14">
        <f>INDEX('Transition Stepwise'!$J$2:$J$1137,MATCH(67&amp;"|"&amp;$A537&amp;"|"&amp;D$533,'Transition Stepwise'!$E$2:$E$1137,0))</f>
        <v>0.2857142857142857</v>
      </c>
      <c r="E537" s="14">
        <f>INDEX('Transition Stepwise'!$J$2:$J$1137,MATCH(67&amp;"|"&amp;$A537&amp;"|"&amp;E$533,'Transition Stepwise'!$E$2:$E$1137,0))</f>
        <v>0.23809523809523808</v>
      </c>
      <c r="F537" s="4">
        <f>ROUND(SUM(B537:E537),9)</f>
        <v>1</v>
      </c>
    </row>
    <row r="538" spans="1:6">
      <c r="A538" s="4"/>
      <c r="B538" s="4"/>
      <c r="C538" s="4"/>
      <c r="D538" s="4"/>
      <c r="E538" s="4"/>
      <c r="F538" s="4"/>
    </row>
    <row r="539" spans="1:6">
      <c r="A539" s="4"/>
      <c r="B539" s="4"/>
      <c r="C539" s="4"/>
      <c r="D539" s="4"/>
      <c r="E539" s="4"/>
      <c r="F539" s="4"/>
    </row>
    <row r="540" spans="1:6">
      <c r="A540" s="5" t="s">
        <v>661</v>
      </c>
      <c r="B540" s="4"/>
      <c r="C540" s="4"/>
      <c r="D540" s="4"/>
      <c r="E540" s="4"/>
      <c r="F540" s="4"/>
    </row>
    <row r="541" spans="1:6">
      <c r="A541" s="9" t="s">
        <v>593</v>
      </c>
      <c r="B541" s="9" t="s">
        <v>73</v>
      </c>
      <c r="C541" s="9" t="s">
        <v>71</v>
      </c>
      <c r="D541" s="9" t="s">
        <v>70</v>
      </c>
      <c r="E541" s="9" t="s">
        <v>72</v>
      </c>
      <c r="F541" s="9" t="s">
        <v>666</v>
      </c>
    </row>
    <row r="542" spans="1:6">
      <c r="A542" s="5" t="s">
        <v>73</v>
      </c>
      <c r="B542" s="14">
        <f>INDEX('Transition Stepwise'!$J$2:$J$1137,MATCH(68&amp;"|"&amp;$A542&amp;"|"&amp;B$541,'Transition Stepwise'!$E$2:$E$1137,0))</f>
        <v>0.26315789473684209</v>
      </c>
      <c r="C542" s="14">
        <f>INDEX('Transition Stepwise'!$J$2:$J$1137,MATCH(68&amp;"|"&amp;$A542&amp;"|"&amp;C$541,'Transition Stepwise'!$E$2:$E$1137,0))</f>
        <v>0.26315789473684209</v>
      </c>
      <c r="D542" s="14">
        <f>INDEX('Transition Stepwise'!$J$2:$J$1137,MATCH(68&amp;"|"&amp;$A542&amp;"|"&amp;D$541,'Transition Stepwise'!$E$2:$E$1137,0))</f>
        <v>0.36842105263157893</v>
      </c>
      <c r="E542" s="14">
        <f>INDEX('Transition Stepwise'!$J$2:$J$1137,MATCH(68&amp;"|"&amp;$A542&amp;"|"&amp;E$541,'Transition Stepwise'!$E$2:$E$1137,0))</f>
        <v>0.10526315789473684</v>
      </c>
      <c r="F542" s="4">
        <f>ROUND(SUM(B542:E542),9)</f>
        <v>1</v>
      </c>
    </row>
    <row r="543" spans="1:6">
      <c r="A543" s="5" t="s">
        <v>71</v>
      </c>
      <c r="B543" s="14">
        <f>INDEX('Transition Stepwise'!$J$2:$J$1137,MATCH(68&amp;"|"&amp;$A543&amp;"|"&amp;B$541,'Transition Stepwise'!$E$2:$E$1137,0))</f>
        <v>7.575757575757576E-2</v>
      </c>
      <c r="C543" s="14">
        <f>INDEX('Transition Stepwise'!$J$2:$J$1137,MATCH(68&amp;"|"&amp;$A543&amp;"|"&amp;C$541,'Transition Stepwise'!$E$2:$E$1137,0))</f>
        <v>0.65151515151515149</v>
      </c>
      <c r="D543" s="14">
        <f>INDEX('Transition Stepwise'!$J$2:$J$1137,MATCH(68&amp;"|"&amp;$A543&amp;"|"&amp;D$541,'Transition Stepwise'!$E$2:$E$1137,0))</f>
        <v>0.15151515151515152</v>
      </c>
      <c r="E543" s="14">
        <f>INDEX('Transition Stepwise'!$J$2:$J$1137,MATCH(68&amp;"|"&amp;$A543&amp;"|"&amp;E$541,'Transition Stepwise'!$E$2:$E$1137,0))</f>
        <v>0.12121212121212122</v>
      </c>
      <c r="F543" s="4">
        <f>ROUND(SUM(B543:E543),9)</f>
        <v>1</v>
      </c>
    </row>
    <row r="544" spans="1:6">
      <c r="A544" s="5" t="s">
        <v>70</v>
      </c>
      <c r="B544" s="14">
        <f>INDEX('Transition Stepwise'!$J$2:$J$1137,MATCH(68&amp;"|"&amp;$A544&amp;"|"&amp;B$541,'Transition Stepwise'!$E$2:$E$1137,0))</f>
        <v>0.15384615384615385</v>
      </c>
      <c r="C544" s="14">
        <f>INDEX('Transition Stepwise'!$J$2:$J$1137,MATCH(68&amp;"|"&amp;$A544&amp;"|"&amp;C$541,'Transition Stepwise'!$E$2:$E$1137,0))</f>
        <v>0.25274725274725274</v>
      </c>
      <c r="D544" s="14">
        <f>INDEX('Transition Stepwise'!$J$2:$J$1137,MATCH(68&amp;"|"&amp;$A544&amp;"|"&amp;D$541,'Transition Stepwise'!$E$2:$E$1137,0))</f>
        <v>0.5494505494505495</v>
      </c>
      <c r="E544" s="14">
        <f>INDEX('Transition Stepwise'!$J$2:$J$1137,MATCH(68&amp;"|"&amp;$A544&amp;"|"&amp;E$541,'Transition Stepwise'!$E$2:$E$1137,0))</f>
        <v>4.3956043956043959E-2</v>
      </c>
      <c r="F544" s="4">
        <f>ROUND(SUM(B544:E544),9)</f>
        <v>1</v>
      </c>
    </row>
    <row r="545" spans="1:6">
      <c r="A545" s="5" t="s">
        <v>72</v>
      </c>
      <c r="B545" s="14">
        <f>INDEX('Transition Stepwise'!$J$2:$J$1137,MATCH(68&amp;"|"&amp;$A545&amp;"|"&amp;B$541,'Transition Stepwise'!$E$2:$E$1137,0))</f>
        <v>0.125</v>
      </c>
      <c r="C545" s="14">
        <f>INDEX('Transition Stepwise'!$J$2:$J$1137,MATCH(68&amp;"|"&amp;$A545&amp;"|"&amp;C$541,'Transition Stepwise'!$E$2:$E$1137,0))</f>
        <v>0.52500000000000002</v>
      </c>
      <c r="D545" s="14">
        <f>INDEX('Transition Stepwise'!$J$2:$J$1137,MATCH(68&amp;"|"&amp;$A545&amp;"|"&amp;D$541,'Transition Stepwise'!$E$2:$E$1137,0))</f>
        <v>0.17499999999999999</v>
      </c>
      <c r="E545" s="14">
        <f>INDEX('Transition Stepwise'!$J$2:$J$1137,MATCH(68&amp;"|"&amp;$A545&amp;"|"&amp;E$541,'Transition Stepwise'!$E$2:$E$1137,0))</f>
        <v>0.17499999999999999</v>
      </c>
      <c r="F545" s="4">
        <f>ROUND(SUM(B545:E545),9)</f>
        <v>1</v>
      </c>
    </row>
    <row r="546" spans="1:6">
      <c r="A546" s="4"/>
      <c r="B546" s="4"/>
      <c r="C546" s="4"/>
      <c r="D546" s="4"/>
      <c r="E546" s="4"/>
      <c r="F546" s="4"/>
    </row>
    <row r="547" spans="1:6">
      <c r="A547" s="4"/>
      <c r="B547" s="4"/>
      <c r="C547" s="4"/>
      <c r="D547" s="4"/>
      <c r="E547" s="4"/>
      <c r="F547" s="4"/>
    </row>
    <row r="548" spans="1:6">
      <c r="A548" s="5" t="s">
        <v>662</v>
      </c>
      <c r="B548" s="4"/>
      <c r="C548" s="4"/>
      <c r="D548" s="4"/>
      <c r="E548" s="4"/>
      <c r="F548" s="4"/>
    </row>
    <row r="549" spans="1:6">
      <c r="A549" s="9" t="s">
        <v>593</v>
      </c>
      <c r="B549" s="9" t="s">
        <v>73</v>
      </c>
      <c r="C549" s="9" t="s">
        <v>71</v>
      </c>
      <c r="D549" s="9" t="s">
        <v>70</v>
      </c>
      <c r="E549" s="9" t="s">
        <v>72</v>
      </c>
      <c r="F549" s="9" t="s">
        <v>666</v>
      </c>
    </row>
    <row r="550" spans="1:6">
      <c r="A550" s="5" t="s">
        <v>73</v>
      </c>
      <c r="B550" s="14">
        <f>INDEX('Transition Stepwise'!$J$2:$J$1137,MATCH(69&amp;"|"&amp;$A550&amp;"|"&amp;B$549,'Transition Stepwise'!$E$2:$E$1137,0))</f>
        <v>0.20689655172413793</v>
      </c>
      <c r="C550" s="14">
        <f>INDEX('Transition Stepwise'!$J$2:$J$1137,MATCH(69&amp;"|"&amp;$A550&amp;"|"&amp;C$549,'Transition Stepwise'!$E$2:$E$1137,0))</f>
        <v>0.37931034482758619</v>
      </c>
      <c r="D550" s="14">
        <f>INDEX('Transition Stepwise'!$J$2:$J$1137,MATCH(69&amp;"|"&amp;$A550&amp;"|"&amp;D$549,'Transition Stepwise'!$E$2:$E$1137,0))</f>
        <v>0.37931034482758619</v>
      </c>
      <c r="E550" s="14">
        <f>INDEX('Transition Stepwise'!$J$2:$J$1137,MATCH(69&amp;"|"&amp;$A550&amp;"|"&amp;E$549,'Transition Stepwise'!$E$2:$E$1137,0))</f>
        <v>3.4482758620689655E-2</v>
      </c>
      <c r="F550" s="4">
        <f>ROUND(SUM(B550:E550),9)</f>
        <v>1</v>
      </c>
    </row>
    <row r="551" spans="1:6">
      <c r="A551" s="5" t="s">
        <v>71</v>
      </c>
      <c r="B551" s="14">
        <f>INDEX('Transition Stepwise'!$J$2:$J$1137,MATCH(69&amp;"|"&amp;$A551&amp;"|"&amp;B$549,'Transition Stepwise'!$E$2:$E$1137,0))</f>
        <v>0.10869565217391304</v>
      </c>
      <c r="C551" s="14">
        <f>INDEX('Transition Stepwise'!$J$2:$J$1137,MATCH(69&amp;"|"&amp;$A551&amp;"|"&amp;C$549,'Transition Stepwise'!$E$2:$E$1137,0))</f>
        <v>0.34782608695652173</v>
      </c>
      <c r="D551" s="14">
        <f>INDEX('Transition Stepwise'!$J$2:$J$1137,MATCH(69&amp;"|"&amp;$A551&amp;"|"&amp;D$549,'Transition Stepwise'!$E$2:$E$1137,0))</f>
        <v>0.33695652173913043</v>
      </c>
      <c r="E551" s="14">
        <f>INDEX('Transition Stepwise'!$J$2:$J$1137,MATCH(69&amp;"|"&amp;$A551&amp;"|"&amp;E$549,'Transition Stepwise'!$E$2:$E$1137,0))</f>
        <v>0.20652173913043478</v>
      </c>
      <c r="F551" s="4">
        <f>ROUND(SUM(B551:E551),9)</f>
        <v>1</v>
      </c>
    </row>
    <row r="552" spans="1:6">
      <c r="A552" s="5" t="s">
        <v>70</v>
      </c>
      <c r="B552" s="14">
        <f>INDEX('Transition Stepwise'!$J$2:$J$1137,MATCH(69&amp;"|"&amp;$A552&amp;"|"&amp;B$549,'Transition Stepwise'!$E$2:$E$1137,0))</f>
        <v>0.13513513513513514</v>
      </c>
      <c r="C552" s="14">
        <f>INDEX('Transition Stepwise'!$J$2:$J$1137,MATCH(69&amp;"|"&amp;$A552&amp;"|"&amp;C$549,'Transition Stepwise'!$E$2:$E$1137,0))</f>
        <v>0.3108108108108108</v>
      </c>
      <c r="D552" s="14">
        <f>INDEX('Transition Stepwise'!$J$2:$J$1137,MATCH(69&amp;"|"&amp;$A552&amp;"|"&amp;D$549,'Transition Stepwise'!$E$2:$E$1137,0))</f>
        <v>0.40540540540540543</v>
      </c>
      <c r="E552" s="14">
        <f>INDEX('Transition Stepwise'!$J$2:$J$1137,MATCH(69&amp;"|"&amp;$A552&amp;"|"&amp;E$549,'Transition Stepwise'!$E$2:$E$1137,0))</f>
        <v>0.14864864864864866</v>
      </c>
      <c r="F552" s="4">
        <f>ROUND(SUM(B552:E552),9)</f>
        <v>1</v>
      </c>
    </row>
    <row r="553" spans="1:6">
      <c r="A553" s="5" t="s">
        <v>72</v>
      </c>
      <c r="B553" s="14">
        <f>INDEX('Transition Stepwise'!$J$2:$J$1137,MATCH(69&amp;"|"&amp;$A553&amp;"|"&amp;B$549,'Transition Stepwise'!$E$2:$E$1137,0))</f>
        <v>4.7619047619047616E-2</v>
      </c>
      <c r="C553" s="14">
        <f>INDEX('Transition Stepwise'!$J$2:$J$1137,MATCH(69&amp;"|"&amp;$A553&amp;"|"&amp;C$549,'Transition Stepwise'!$E$2:$E$1137,0))</f>
        <v>0.47619047619047616</v>
      </c>
      <c r="D553" s="14">
        <f>INDEX('Transition Stepwise'!$J$2:$J$1137,MATCH(69&amp;"|"&amp;$A553&amp;"|"&amp;D$549,'Transition Stepwise'!$E$2:$E$1137,0))</f>
        <v>0.33333333333333331</v>
      </c>
      <c r="E553" s="14">
        <f>INDEX('Transition Stepwise'!$J$2:$J$1137,MATCH(69&amp;"|"&amp;$A553&amp;"|"&amp;E$549,'Transition Stepwise'!$E$2:$E$1137,0))</f>
        <v>0.14285714285714285</v>
      </c>
      <c r="F553" s="4">
        <f>ROUND(SUM(B553:E553),9)</f>
        <v>1</v>
      </c>
    </row>
    <row r="554" spans="1:6">
      <c r="A554" s="4"/>
      <c r="B554" s="4"/>
      <c r="C554" s="4"/>
      <c r="D554" s="4"/>
      <c r="E554" s="4"/>
      <c r="F554" s="4"/>
    </row>
    <row r="555" spans="1:6">
      <c r="A555" s="4"/>
      <c r="B555" s="4"/>
      <c r="C555" s="4"/>
      <c r="D555" s="4"/>
      <c r="E555" s="4"/>
      <c r="F555" s="4"/>
    </row>
    <row r="556" spans="1:6">
      <c r="A556" s="5" t="s">
        <v>663</v>
      </c>
      <c r="B556" s="4"/>
      <c r="C556" s="4"/>
      <c r="D556" s="4"/>
      <c r="E556" s="4"/>
      <c r="F556" s="4"/>
    </row>
    <row r="557" spans="1:6">
      <c r="A557" s="9" t="s">
        <v>593</v>
      </c>
      <c r="B557" s="9" t="s">
        <v>73</v>
      </c>
      <c r="C557" s="9" t="s">
        <v>71</v>
      </c>
      <c r="D557" s="9" t="s">
        <v>70</v>
      </c>
      <c r="E557" s="9" t="s">
        <v>72</v>
      </c>
      <c r="F557" s="9" t="s">
        <v>666</v>
      </c>
    </row>
    <row r="558" spans="1:6">
      <c r="A558" s="5" t="s">
        <v>73</v>
      </c>
      <c r="B558" s="14">
        <f>INDEX('Transition Stepwise'!$J$2:$J$1137,MATCH(70&amp;"|"&amp;$A558&amp;"|"&amp;B$557,'Transition Stepwise'!$E$2:$E$1137,0))</f>
        <v>7.407407407407407E-2</v>
      </c>
      <c r="C558" s="14">
        <f>INDEX('Transition Stepwise'!$J$2:$J$1137,MATCH(70&amp;"|"&amp;$A558&amp;"|"&amp;C$557,'Transition Stepwise'!$E$2:$E$1137,0))</f>
        <v>0.25925925925925924</v>
      </c>
      <c r="D558" s="14">
        <f>INDEX('Transition Stepwise'!$J$2:$J$1137,MATCH(70&amp;"|"&amp;$A558&amp;"|"&amp;D$557,'Transition Stepwise'!$E$2:$E$1137,0))</f>
        <v>0.55555555555555558</v>
      </c>
      <c r="E558" s="14">
        <f>INDEX('Transition Stepwise'!$J$2:$J$1137,MATCH(70&amp;"|"&amp;$A558&amp;"|"&amp;E$557,'Transition Stepwise'!$E$2:$E$1137,0))</f>
        <v>0.1111111111111111</v>
      </c>
      <c r="F558" s="4">
        <f>ROUND(SUM(B558:E558),9)</f>
        <v>1</v>
      </c>
    </row>
    <row r="559" spans="1:6">
      <c r="A559" s="5" t="s">
        <v>71</v>
      </c>
      <c r="B559" s="14">
        <f>INDEX('Transition Stepwise'!$J$2:$J$1137,MATCH(70&amp;"|"&amp;$A559&amp;"|"&amp;B$557,'Transition Stepwise'!$E$2:$E$1137,0))</f>
        <v>2.6315789473684209E-2</v>
      </c>
      <c r="C559" s="14">
        <f>INDEX('Transition Stepwise'!$J$2:$J$1137,MATCH(70&amp;"|"&amp;$A559&amp;"|"&amp;C$557,'Transition Stepwise'!$E$2:$E$1137,0))</f>
        <v>0.64473684210526316</v>
      </c>
      <c r="D559" s="14">
        <f>INDEX('Transition Stepwise'!$J$2:$J$1137,MATCH(70&amp;"|"&amp;$A559&amp;"|"&amp;D$557,'Transition Stepwise'!$E$2:$E$1137,0))</f>
        <v>0.30263157894736842</v>
      </c>
      <c r="E559" s="14">
        <f>INDEX('Transition Stepwise'!$J$2:$J$1137,MATCH(70&amp;"|"&amp;$A559&amp;"|"&amp;E$557,'Transition Stepwise'!$E$2:$E$1137,0))</f>
        <v>2.6315789473684209E-2</v>
      </c>
      <c r="F559" s="4">
        <f>ROUND(SUM(B559:E559),9)</f>
        <v>1</v>
      </c>
    </row>
    <row r="560" spans="1:6">
      <c r="A560" s="5" t="s">
        <v>70</v>
      </c>
      <c r="B560" s="14">
        <f>INDEX('Transition Stepwise'!$J$2:$J$1137,MATCH(70&amp;"|"&amp;$A560&amp;"|"&amp;B$557,'Transition Stepwise'!$E$2:$E$1137,0))</f>
        <v>5.0632911392405063E-2</v>
      </c>
      <c r="C560" s="14">
        <f>INDEX('Transition Stepwise'!$J$2:$J$1137,MATCH(70&amp;"|"&amp;$A560&amp;"|"&amp;C$557,'Transition Stepwise'!$E$2:$E$1137,0))</f>
        <v>0.29113924050632911</v>
      </c>
      <c r="D560" s="14">
        <f>INDEX('Transition Stepwise'!$J$2:$J$1137,MATCH(70&amp;"|"&amp;$A560&amp;"|"&amp;D$557,'Transition Stepwise'!$E$2:$E$1137,0))</f>
        <v>0.569620253164557</v>
      </c>
      <c r="E560" s="14">
        <f>INDEX('Transition Stepwise'!$J$2:$J$1137,MATCH(70&amp;"|"&amp;$A560&amp;"|"&amp;E$557,'Transition Stepwise'!$E$2:$E$1137,0))</f>
        <v>8.8607594936708861E-2</v>
      </c>
      <c r="F560" s="4">
        <f>ROUND(SUM(B560:E560),9)</f>
        <v>1</v>
      </c>
    </row>
    <row r="561" spans="1:6">
      <c r="A561" s="5" t="s">
        <v>72</v>
      </c>
      <c r="B561" s="14">
        <f>INDEX('Transition Stepwise'!$J$2:$J$1137,MATCH(70&amp;"|"&amp;$A561&amp;"|"&amp;B$557,'Transition Stepwise'!$E$2:$E$1137,0))</f>
        <v>2.9411764705882353E-2</v>
      </c>
      <c r="C561" s="14">
        <f>INDEX('Transition Stepwise'!$J$2:$J$1137,MATCH(70&amp;"|"&amp;$A561&amp;"|"&amp;C$557,'Transition Stepwise'!$E$2:$E$1137,0))</f>
        <v>0.8529411764705882</v>
      </c>
      <c r="D561" s="14">
        <f>INDEX('Transition Stepwise'!$J$2:$J$1137,MATCH(70&amp;"|"&amp;$A561&amp;"|"&amp;D$557,'Transition Stepwise'!$E$2:$E$1137,0))</f>
        <v>8.8235294117647065E-2</v>
      </c>
      <c r="E561" s="14">
        <f>INDEX('Transition Stepwise'!$J$2:$J$1137,MATCH(70&amp;"|"&amp;$A561&amp;"|"&amp;E$557,'Transition Stepwise'!$E$2:$E$1137,0))</f>
        <v>2.9411764705882353E-2</v>
      </c>
      <c r="F561" s="4">
        <f>ROUND(SUM(B561:E561),9)</f>
        <v>1</v>
      </c>
    </row>
    <row r="562" spans="1:6">
      <c r="A562" s="4"/>
      <c r="B562" s="4"/>
      <c r="C562" s="4"/>
      <c r="D562" s="4"/>
      <c r="E562" s="4"/>
      <c r="F562" s="4"/>
    </row>
    <row r="563" spans="1:6">
      <c r="A563" s="4"/>
      <c r="B563" s="4"/>
      <c r="C563" s="4"/>
      <c r="D563" s="4"/>
      <c r="E563" s="4"/>
      <c r="F563" s="4"/>
    </row>
    <row r="564" spans="1:6">
      <c r="A564" s="5" t="s">
        <v>664</v>
      </c>
      <c r="B564" s="4"/>
      <c r="C564" s="4"/>
      <c r="D564" s="4"/>
      <c r="E564" s="4"/>
      <c r="F564" s="4"/>
    </row>
    <row r="565" spans="1:6">
      <c r="A565" s="9" t="s">
        <v>593</v>
      </c>
      <c r="B565" s="9" t="s">
        <v>73</v>
      </c>
      <c r="C565" s="9" t="s">
        <v>71</v>
      </c>
      <c r="D565" s="9" t="s">
        <v>70</v>
      </c>
      <c r="E565" s="9" t="s">
        <v>72</v>
      </c>
      <c r="F565" s="9" t="s">
        <v>666</v>
      </c>
    </row>
    <row r="566" spans="1:6">
      <c r="A566" s="5" t="s">
        <v>73</v>
      </c>
      <c r="B566" s="14">
        <f>INDEX('Transition Stepwise'!$J$2:$J$1137,MATCH(71&amp;"|"&amp;$A566&amp;"|"&amp;B$565,'Transition Stepwise'!$E$2:$E$1137,0))</f>
        <v>0.1111111111111111</v>
      </c>
      <c r="C566" s="14">
        <f>INDEX('Transition Stepwise'!$J$2:$J$1137,MATCH(71&amp;"|"&amp;$A566&amp;"|"&amp;C$565,'Transition Stepwise'!$E$2:$E$1137,0))</f>
        <v>0.55555555555555558</v>
      </c>
      <c r="D566" s="14">
        <f>INDEX('Transition Stepwise'!$J$2:$J$1137,MATCH(71&amp;"|"&amp;$A566&amp;"|"&amp;D$565,'Transition Stepwise'!$E$2:$E$1137,0))</f>
        <v>0.22222222222222221</v>
      </c>
      <c r="E566" s="14">
        <f>INDEX('Transition Stepwise'!$J$2:$J$1137,MATCH(71&amp;"|"&amp;$A566&amp;"|"&amp;E$565,'Transition Stepwise'!$E$2:$E$1137,0))</f>
        <v>0.1111111111111111</v>
      </c>
      <c r="F566" s="4">
        <f>ROUND(SUM(B566:E566),9)</f>
        <v>1</v>
      </c>
    </row>
    <row r="567" spans="1:6">
      <c r="A567" s="5" t="s">
        <v>71</v>
      </c>
      <c r="B567" s="14">
        <f>INDEX('Transition Stepwise'!$J$2:$J$1137,MATCH(71&amp;"|"&amp;$A567&amp;"|"&amp;B$565,'Transition Stepwise'!$E$2:$E$1137,0))</f>
        <v>7.407407407407407E-2</v>
      </c>
      <c r="C567" s="14">
        <f>INDEX('Transition Stepwise'!$J$2:$J$1137,MATCH(71&amp;"|"&amp;$A567&amp;"|"&amp;C$565,'Transition Stepwise'!$E$2:$E$1137,0))</f>
        <v>0.62037037037037035</v>
      </c>
      <c r="D567" s="14">
        <f>INDEX('Transition Stepwise'!$J$2:$J$1137,MATCH(71&amp;"|"&amp;$A567&amp;"|"&amp;D$565,'Transition Stepwise'!$E$2:$E$1137,0))</f>
        <v>0.12962962962962962</v>
      </c>
      <c r="E567" s="14">
        <f>INDEX('Transition Stepwise'!$J$2:$J$1137,MATCH(71&amp;"|"&amp;$A567&amp;"|"&amp;E$565,'Transition Stepwise'!$E$2:$E$1137,0))</f>
        <v>0.17592592592592593</v>
      </c>
      <c r="F567" s="4">
        <f>ROUND(SUM(B567:E567),9)</f>
        <v>1</v>
      </c>
    </row>
    <row r="568" spans="1:6">
      <c r="A568" s="5" t="s">
        <v>70</v>
      </c>
      <c r="B568" s="14">
        <f>INDEX('Transition Stepwise'!$J$2:$J$1137,MATCH(71&amp;"|"&amp;$A568&amp;"|"&amp;B$565,'Transition Stepwise'!$E$2:$E$1137,0))</f>
        <v>0.11627906976744186</v>
      </c>
      <c r="C568" s="14">
        <f>INDEX('Transition Stepwise'!$J$2:$J$1137,MATCH(71&amp;"|"&amp;$A568&amp;"|"&amp;C$565,'Transition Stepwise'!$E$2:$E$1137,0))</f>
        <v>0.77906976744186052</v>
      </c>
      <c r="D568" s="14">
        <f>INDEX('Transition Stepwise'!$J$2:$J$1137,MATCH(71&amp;"|"&amp;$A568&amp;"|"&amp;D$565,'Transition Stepwise'!$E$2:$E$1137,0))</f>
        <v>5.8139534883720929E-2</v>
      </c>
      <c r="E568" s="14">
        <f>INDEX('Transition Stepwise'!$J$2:$J$1137,MATCH(71&amp;"|"&amp;$A568&amp;"|"&amp;E$565,'Transition Stepwise'!$E$2:$E$1137,0))</f>
        <v>4.6511627906976744E-2</v>
      </c>
      <c r="F568" s="4">
        <f>ROUND(SUM(B568:E568),9)</f>
        <v>1</v>
      </c>
    </row>
    <row r="569" spans="1:6">
      <c r="A569" s="5" t="s">
        <v>72</v>
      </c>
      <c r="B569" s="14">
        <f>INDEX('Transition Stepwise'!$J$2:$J$1137,MATCH(71&amp;"|"&amp;$A569&amp;"|"&amp;B$565,'Transition Stepwise'!$E$2:$E$1137,0))</f>
        <v>7.6923076923076927E-2</v>
      </c>
      <c r="C569" s="14">
        <f>INDEX('Transition Stepwise'!$J$2:$J$1137,MATCH(71&amp;"|"&amp;$A569&amp;"|"&amp;C$565,'Transition Stepwise'!$E$2:$E$1137,0))</f>
        <v>0.76923076923076927</v>
      </c>
      <c r="D569" s="14">
        <f>INDEX('Transition Stepwise'!$J$2:$J$1137,MATCH(71&amp;"|"&amp;$A569&amp;"|"&amp;D$565,'Transition Stepwise'!$E$2:$E$1137,0))</f>
        <v>7.6923076923076927E-2</v>
      </c>
      <c r="E569" s="14">
        <f>INDEX('Transition Stepwise'!$J$2:$J$1137,MATCH(71&amp;"|"&amp;$A569&amp;"|"&amp;E$565,'Transition Stepwise'!$E$2:$E$1137,0))</f>
        <v>7.6923076923076927E-2</v>
      </c>
      <c r="F569" s="4">
        <f>ROUND(SUM(B569:E569),9)</f>
        <v>1</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dimension ref="A1:CA26"/>
  <sheetViews>
    <sheetView workbookViewId="0"/>
  </sheetViews>
  <sheetFormatPr defaultColWidth="8.7109375" defaultRowHeight="15"/>
  <cols>
    <col min="1" max="1" width="14" customWidth="1"/>
    <col min="2" max="2" width="12" customWidth="1"/>
    <col min="3" max="3" width="8" customWidth="1"/>
    <col min="4" max="4" width="12" customWidth="1"/>
    <col min="5" max="6" width="16" customWidth="1"/>
    <col min="7" max="7" width="8" customWidth="1"/>
  </cols>
  <sheetData>
    <row r="1" spans="1:79" ht="15.75">
      <c r="A1" s="2" t="s">
        <v>667</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row>
    <row r="2" spans="1:79">
      <c r="A2" s="4" t="s">
        <v>668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row>
    <row r="3" spans="1:79">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row>
    <row r="4" spans="1:79" ht="26.25">
      <c r="A4" s="9" t="s">
        <v>669</v>
      </c>
      <c r="B4" s="9" t="s">
        <v>670</v>
      </c>
      <c r="C4" s="9" t="s">
        <v>671</v>
      </c>
      <c r="D4" s="9" t="s">
        <v>65</v>
      </c>
      <c r="E4" s="9" t="s">
        <v>672</v>
      </c>
      <c r="F4" s="9" t="s">
        <v>673</v>
      </c>
      <c r="G4" s="9" t="s">
        <v>674</v>
      </c>
      <c r="H4" s="9" t="s">
        <v>675</v>
      </c>
      <c r="I4" s="9" t="s">
        <v>676</v>
      </c>
      <c r="J4" s="9" t="s">
        <v>677</v>
      </c>
      <c r="K4" s="9" t="s">
        <v>678</v>
      </c>
      <c r="L4" s="9" t="s">
        <v>679</v>
      </c>
      <c r="M4" s="9" t="s">
        <v>680</v>
      </c>
      <c r="N4" s="9" t="s">
        <v>681</v>
      </c>
      <c r="O4" s="9" t="s">
        <v>682</v>
      </c>
      <c r="P4" s="9" t="s">
        <v>683</v>
      </c>
      <c r="Q4" s="9" t="s">
        <v>684</v>
      </c>
      <c r="R4" s="9" t="s">
        <v>685</v>
      </c>
      <c r="S4" s="9" t="s">
        <v>686</v>
      </c>
      <c r="T4" s="9" t="s">
        <v>687</v>
      </c>
      <c r="U4" s="9" t="s">
        <v>688</v>
      </c>
      <c r="V4" s="9" t="s">
        <v>689</v>
      </c>
      <c r="W4" s="9" t="s">
        <v>690</v>
      </c>
      <c r="X4" s="9" t="s">
        <v>691</v>
      </c>
      <c r="Y4" s="9" t="s">
        <v>692</v>
      </c>
      <c r="Z4" s="9" t="s">
        <v>693</v>
      </c>
      <c r="AA4" s="9" t="s">
        <v>694</v>
      </c>
      <c r="AB4" s="9" t="s">
        <v>695</v>
      </c>
      <c r="AC4" s="9" t="s">
        <v>696</v>
      </c>
      <c r="AD4" s="9" t="s">
        <v>697</v>
      </c>
      <c r="AE4" s="9" t="s">
        <v>698</v>
      </c>
      <c r="AF4" s="9" t="s">
        <v>699</v>
      </c>
      <c r="AG4" s="9" t="s">
        <v>700</v>
      </c>
      <c r="AH4" s="9" t="s">
        <v>701</v>
      </c>
      <c r="AI4" s="9" t="s">
        <v>702</v>
      </c>
      <c r="AJ4" s="9" t="s">
        <v>703</v>
      </c>
      <c r="AK4" s="9" t="s">
        <v>704</v>
      </c>
      <c r="AL4" s="9" t="s">
        <v>705</v>
      </c>
      <c r="AM4" s="9" t="s">
        <v>706</v>
      </c>
      <c r="AN4" s="9" t="s">
        <v>707</v>
      </c>
      <c r="AO4" s="9" t="s">
        <v>708</v>
      </c>
      <c r="AP4" s="9" t="s">
        <v>709</v>
      </c>
      <c r="AQ4" s="9" t="s">
        <v>710</v>
      </c>
      <c r="AR4" s="9" t="s">
        <v>711</v>
      </c>
      <c r="AS4" s="9" t="s">
        <v>712</v>
      </c>
      <c r="AT4" s="9" t="s">
        <v>713</v>
      </c>
      <c r="AU4" s="9" t="s">
        <v>714</v>
      </c>
      <c r="AV4" s="9" t="s">
        <v>715</v>
      </c>
      <c r="AW4" s="9" t="s">
        <v>716</v>
      </c>
      <c r="AX4" s="9" t="s">
        <v>717</v>
      </c>
      <c r="AY4" s="9" t="s">
        <v>718</v>
      </c>
      <c r="AZ4" s="9" t="s">
        <v>719</v>
      </c>
      <c r="BA4" s="9" t="s">
        <v>720</v>
      </c>
      <c r="BB4" s="9" t="s">
        <v>721</v>
      </c>
      <c r="BC4" s="9" t="s">
        <v>722</v>
      </c>
      <c r="BD4" s="9" t="s">
        <v>723</v>
      </c>
      <c r="BE4" s="9" t="s">
        <v>724</v>
      </c>
      <c r="BF4" s="9" t="s">
        <v>725</v>
      </c>
      <c r="BG4" s="9" t="s">
        <v>726</v>
      </c>
      <c r="BH4" s="9" t="s">
        <v>727</v>
      </c>
      <c r="BI4" s="9" t="s">
        <v>728</v>
      </c>
      <c r="BJ4" s="9" t="s">
        <v>729</v>
      </c>
      <c r="BK4" s="9" t="s">
        <v>730</v>
      </c>
      <c r="BL4" s="9" t="s">
        <v>731</v>
      </c>
      <c r="BM4" s="9" t="s">
        <v>732</v>
      </c>
      <c r="BN4" s="9" t="s">
        <v>733</v>
      </c>
      <c r="BO4" s="9" t="s">
        <v>734</v>
      </c>
      <c r="BP4" s="9" t="s">
        <v>735</v>
      </c>
      <c r="BQ4" s="9" t="s">
        <v>736</v>
      </c>
      <c r="BR4" s="9" t="s">
        <v>737</v>
      </c>
      <c r="BS4" s="9" t="s">
        <v>738</v>
      </c>
      <c r="BT4" s="9" t="s">
        <v>739</v>
      </c>
      <c r="BU4" s="9" t="s">
        <v>740</v>
      </c>
      <c r="BV4" s="9" t="s">
        <v>741</v>
      </c>
      <c r="BW4" s="9" t="s">
        <v>742</v>
      </c>
      <c r="BX4" s="9" t="s">
        <v>743</v>
      </c>
      <c r="BY4" s="9" t="s">
        <v>744</v>
      </c>
      <c r="BZ4" s="9" t="s">
        <v>745</v>
      </c>
      <c r="CA4" s="9" t="s">
        <v>746</v>
      </c>
    </row>
    <row r="5" spans="1:79">
      <c r="A5" s="4" t="s">
        <v>747</v>
      </c>
      <c r="B5" s="4" t="s">
        <v>748</v>
      </c>
      <c r="C5" s="4" t="s">
        <v>749</v>
      </c>
      <c r="D5" s="4" t="s">
        <v>750</v>
      </c>
      <c r="E5" s="4">
        <v>70</v>
      </c>
      <c r="F5" s="4">
        <v>70</v>
      </c>
      <c r="G5" s="4">
        <v>2</v>
      </c>
      <c r="H5" s="4" t="s">
        <v>70</v>
      </c>
      <c r="I5" s="4" t="s">
        <v>72</v>
      </c>
      <c r="J5" s="4" t="s">
        <v>72</v>
      </c>
      <c r="K5" s="4" t="s">
        <v>73</v>
      </c>
      <c r="L5" s="4" t="s">
        <v>70</v>
      </c>
      <c r="M5" s="4" t="s">
        <v>73</v>
      </c>
      <c r="N5" s="4" t="s">
        <v>70</v>
      </c>
      <c r="O5" s="4" t="s">
        <v>72</v>
      </c>
      <c r="P5" s="4" t="s">
        <v>71</v>
      </c>
      <c r="Q5" s="4" t="s">
        <v>73</v>
      </c>
      <c r="R5" s="4" t="s">
        <v>73</v>
      </c>
      <c r="S5" s="4" t="s">
        <v>70</v>
      </c>
      <c r="T5" s="4" t="s">
        <v>73</v>
      </c>
      <c r="U5" s="4" t="s">
        <v>73</v>
      </c>
      <c r="V5" s="4" t="s">
        <v>73</v>
      </c>
      <c r="W5" s="10" t="s">
        <v>77</v>
      </c>
      <c r="X5" s="4" t="s">
        <v>71</v>
      </c>
      <c r="Y5" s="4" t="s">
        <v>70</v>
      </c>
      <c r="Z5" s="4" t="s">
        <v>70</v>
      </c>
      <c r="AA5" s="4" t="s">
        <v>73</v>
      </c>
      <c r="AB5" s="4" t="s">
        <v>72</v>
      </c>
      <c r="AC5" s="4" t="s">
        <v>72</v>
      </c>
      <c r="AD5" s="4" t="s">
        <v>71</v>
      </c>
      <c r="AE5" s="4" t="s">
        <v>73</v>
      </c>
      <c r="AF5" s="4" t="s">
        <v>72</v>
      </c>
      <c r="AG5" s="4" t="s">
        <v>71</v>
      </c>
      <c r="AH5" s="4" t="s">
        <v>72</v>
      </c>
      <c r="AI5" s="4" t="s">
        <v>70</v>
      </c>
      <c r="AJ5" s="4" t="s">
        <v>72</v>
      </c>
      <c r="AK5" s="4" t="s">
        <v>73</v>
      </c>
      <c r="AL5" s="4" t="s">
        <v>73</v>
      </c>
      <c r="AM5" s="4" t="s">
        <v>72</v>
      </c>
      <c r="AN5" s="4" t="s">
        <v>72</v>
      </c>
      <c r="AO5" s="4" t="s">
        <v>72</v>
      </c>
      <c r="AP5" s="4" t="s">
        <v>72</v>
      </c>
      <c r="AQ5" s="4" t="s">
        <v>73</v>
      </c>
      <c r="AR5" s="4" t="s">
        <v>73</v>
      </c>
      <c r="AS5" s="4" t="s">
        <v>73</v>
      </c>
      <c r="AT5" s="4" t="s">
        <v>72</v>
      </c>
      <c r="AU5" s="4" t="s">
        <v>72</v>
      </c>
      <c r="AV5" s="4" t="s">
        <v>73</v>
      </c>
      <c r="AW5" s="4" t="s">
        <v>71</v>
      </c>
      <c r="AX5" s="4" t="s">
        <v>73</v>
      </c>
      <c r="AY5" s="4" t="s">
        <v>70</v>
      </c>
      <c r="AZ5" s="4" t="s">
        <v>72</v>
      </c>
      <c r="BA5" s="10" t="s">
        <v>77</v>
      </c>
      <c r="BB5" s="4" t="s">
        <v>72</v>
      </c>
      <c r="BC5" s="4" t="s">
        <v>72</v>
      </c>
      <c r="BD5" s="4" t="s">
        <v>72</v>
      </c>
      <c r="BE5" s="4" t="s">
        <v>73</v>
      </c>
      <c r="BF5" s="4" t="s">
        <v>70</v>
      </c>
      <c r="BG5" s="4" t="s">
        <v>70</v>
      </c>
      <c r="BH5" s="4" t="s">
        <v>70</v>
      </c>
      <c r="BI5" s="4" t="s">
        <v>73</v>
      </c>
      <c r="BJ5" s="4" t="s">
        <v>72</v>
      </c>
      <c r="BK5" s="4" t="s">
        <v>71</v>
      </c>
      <c r="BL5" s="4" t="s">
        <v>71</v>
      </c>
      <c r="BM5" s="4" t="s">
        <v>72</v>
      </c>
      <c r="BN5" s="4" t="s">
        <v>72</v>
      </c>
      <c r="BO5" s="4" t="s">
        <v>70</v>
      </c>
      <c r="BP5" s="4" t="s">
        <v>71</v>
      </c>
      <c r="BQ5" s="4" t="s">
        <v>72</v>
      </c>
      <c r="BR5" s="4" t="s">
        <v>72</v>
      </c>
      <c r="BS5" s="4" t="s">
        <v>72</v>
      </c>
      <c r="BT5" s="4" t="s">
        <v>73</v>
      </c>
      <c r="BU5" s="4" t="s">
        <v>71</v>
      </c>
      <c r="BV5" s="4" t="s">
        <v>72</v>
      </c>
      <c r="BW5" s="4" t="s">
        <v>72</v>
      </c>
      <c r="BX5" s="4" t="s">
        <v>72</v>
      </c>
      <c r="BY5" s="4" t="s">
        <v>72</v>
      </c>
      <c r="BZ5" s="4" t="s">
        <v>73</v>
      </c>
      <c r="CA5" s="4" t="s">
        <v>72</v>
      </c>
    </row>
    <row r="6" spans="1:79">
      <c r="A6" s="4" t="s">
        <v>751</v>
      </c>
      <c r="B6" s="4" t="s">
        <v>748</v>
      </c>
      <c r="C6" s="4" t="s">
        <v>749</v>
      </c>
      <c r="D6" s="4" t="s">
        <v>750</v>
      </c>
      <c r="E6" s="4">
        <v>70</v>
      </c>
      <c r="F6" s="4">
        <v>70</v>
      </c>
      <c r="G6" s="4">
        <v>2</v>
      </c>
      <c r="H6" s="4" t="s">
        <v>70</v>
      </c>
      <c r="I6" s="4" t="s">
        <v>70</v>
      </c>
      <c r="J6" s="4" t="s">
        <v>70</v>
      </c>
      <c r="K6" s="4" t="s">
        <v>73</v>
      </c>
      <c r="L6" s="4" t="s">
        <v>70</v>
      </c>
      <c r="M6" s="4" t="s">
        <v>70</v>
      </c>
      <c r="N6" s="4" t="s">
        <v>72</v>
      </c>
      <c r="O6" s="4" t="s">
        <v>72</v>
      </c>
      <c r="P6" s="4" t="s">
        <v>72</v>
      </c>
      <c r="Q6" s="4" t="s">
        <v>70</v>
      </c>
      <c r="R6" s="4" t="s">
        <v>73</v>
      </c>
      <c r="S6" s="4" t="s">
        <v>72</v>
      </c>
      <c r="T6" s="4" t="s">
        <v>71</v>
      </c>
      <c r="U6" s="4" t="s">
        <v>70</v>
      </c>
      <c r="V6" s="4" t="s">
        <v>70</v>
      </c>
      <c r="W6" s="4" t="s">
        <v>73</v>
      </c>
      <c r="X6" s="4" t="s">
        <v>71</v>
      </c>
      <c r="Y6" s="4" t="s">
        <v>70</v>
      </c>
      <c r="Z6" s="4" t="s">
        <v>70</v>
      </c>
      <c r="AA6" s="4" t="s">
        <v>70</v>
      </c>
      <c r="AB6" s="4" t="s">
        <v>70</v>
      </c>
      <c r="AC6" s="4" t="s">
        <v>70</v>
      </c>
      <c r="AD6" s="4" t="s">
        <v>73</v>
      </c>
      <c r="AE6" s="4" t="s">
        <v>73</v>
      </c>
      <c r="AF6" s="4" t="s">
        <v>72</v>
      </c>
      <c r="AG6" s="4" t="s">
        <v>72</v>
      </c>
      <c r="AH6" s="4" t="s">
        <v>72</v>
      </c>
      <c r="AI6" s="4" t="s">
        <v>72</v>
      </c>
      <c r="AJ6" s="4" t="s">
        <v>72</v>
      </c>
      <c r="AK6" s="4" t="s">
        <v>72</v>
      </c>
      <c r="AL6" s="4" t="s">
        <v>70</v>
      </c>
      <c r="AM6" s="4" t="s">
        <v>70</v>
      </c>
      <c r="AN6" s="4" t="s">
        <v>72</v>
      </c>
      <c r="AO6" s="4" t="s">
        <v>72</v>
      </c>
      <c r="AP6" s="4" t="s">
        <v>72</v>
      </c>
      <c r="AQ6" s="4" t="s">
        <v>73</v>
      </c>
      <c r="AR6" s="4" t="s">
        <v>70</v>
      </c>
      <c r="AS6" s="4" t="s">
        <v>72</v>
      </c>
      <c r="AT6" s="4" t="s">
        <v>71</v>
      </c>
      <c r="AU6" s="4" t="s">
        <v>73</v>
      </c>
      <c r="AV6" s="4" t="s">
        <v>70</v>
      </c>
      <c r="AW6" s="4" t="s">
        <v>70</v>
      </c>
      <c r="AX6" s="4" t="s">
        <v>73</v>
      </c>
      <c r="AY6" s="4" t="s">
        <v>73</v>
      </c>
      <c r="AZ6" s="4" t="s">
        <v>72</v>
      </c>
      <c r="BA6" s="10" t="s">
        <v>77</v>
      </c>
      <c r="BB6" s="10" t="s">
        <v>77</v>
      </c>
      <c r="BC6" s="4" t="s">
        <v>72</v>
      </c>
      <c r="BD6" s="4" t="s">
        <v>72</v>
      </c>
      <c r="BE6" s="4" t="s">
        <v>71</v>
      </c>
      <c r="BF6" s="4" t="s">
        <v>72</v>
      </c>
      <c r="BG6" s="4" t="s">
        <v>70</v>
      </c>
      <c r="BH6" s="4" t="s">
        <v>70</v>
      </c>
      <c r="BI6" s="4" t="s">
        <v>72</v>
      </c>
      <c r="BJ6" s="4" t="s">
        <v>72</v>
      </c>
      <c r="BK6" s="4" t="s">
        <v>71</v>
      </c>
      <c r="BL6" s="4" t="s">
        <v>72</v>
      </c>
      <c r="BM6" s="4" t="s">
        <v>72</v>
      </c>
      <c r="BN6" s="4" t="s">
        <v>70</v>
      </c>
      <c r="BO6" s="4" t="s">
        <v>72</v>
      </c>
      <c r="BP6" s="4" t="s">
        <v>71</v>
      </c>
      <c r="BQ6" s="4" t="s">
        <v>72</v>
      </c>
      <c r="BR6" s="4" t="s">
        <v>70</v>
      </c>
      <c r="BS6" s="4" t="s">
        <v>70</v>
      </c>
      <c r="BT6" s="4" t="s">
        <v>73</v>
      </c>
      <c r="BU6" s="4" t="s">
        <v>70</v>
      </c>
      <c r="BV6" s="4" t="s">
        <v>72</v>
      </c>
      <c r="BW6" s="4" t="s">
        <v>72</v>
      </c>
      <c r="BX6" s="4" t="s">
        <v>72</v>
      </c>
      <c r="BY6" s="4" t="s">
        <v>71</v>
      </c>
      <c r="BZ6" s="4" t="s">
        <v>72</v>
      </c>
      <c r="CA6" s="4" t="s">
        <v>72</v>
      </c>
    </row>
    <row r="7" spans="1:79">
      <c r="A7" s="4" t="s">
        <v>752</v>
      </c>
      <c r="B7" s="4" t="s">
        <v>748</v>
      </c>
      <c r="C7" s="4" t="s">
        <v>749</v>
      </c>
      <c r="D7" s="4" t="s">
        <v>750</v>
      </c>
      <c r="E7" s="4">
        <v>80</v>
      </c>
      <c r="F7" s="4">
        <v>71</v>
      </c>
      <c r="G7" s="4">
        <v>1</v>
      </c>
      <c r="H7" s="4" t="s">
        <v>71</v>
      </c>
      <c r="I7" s="4" t="s">
        <v>72</v>
      </c>
      <c r="J7" s="4" t="s">
        <v>72</v>
      </c>
      <c r="K7" s="4" t="s">
        <v>72</v>
      </c>
      <c r="L7" s="4" t="s">
        <v>71</v>
      </c>
      <c r="M7" s="4" t="s">
        <v>72</v>
      </c>
      <c r="N7" s="4" t="s">
        <v>72</v>
      </c>
      <c r="O7" s="4" t="s">
        <v>72</v>
      </c>
      <c r="P7" s="4" t="s">
        <v>73</v>
      </c>
      <c r="Q7" s="4" t="s">
        <v>73</v>
      </c>
      <c r="R7" s="4" t="s">
        <v>73</v>
      </c>
      <c r="S7" s="4" t="s">
        <v>72</v>
      </c>
      <c r="T7" s="4" t="s">
        <v>73</v>
      </c>
      <c r="U7" s="4" t="s">
        <v>73</v>
      </c>
      <c r="V7" s="4" t="s">
        <v>73</v>
      </c>
      <c r="W7" s="10" t="s">
        <v>77</v>
      </c>
      <c r="X7" s="4" t="s">
        <v>73</v>
      </c>
      <c r="Y7" s="4" t="s">
        <v>70</v>
      </c>
      <c r="Z7" s="4" t="s">
        <v>70</v>
      </c>
      <c r="AA7" s="4" t="s">
        <v>73</v>
      </c>
      <c r="AB7" s="4" t="s">
        <v>71</v>
      </c>
      <c r="AC7" s="4" t="s">
        <v>72</v>
      </c>
      <c r="AD7" s="4" t="s">
        <v>73</v>
      </c>
      <c r="AE7" s="4" t="s">
        <v>72</v>
      </c>
      <c r="AF7" s="4" t="s">
        <v>72</v>
      </c>
      <c r="AG7" s="4" t="s">
        <v>71</v>
      </c>
      <c r="AH7" s="4" t="s">
        <v>72</v>
      </c>
      <c r="AI7" s="4" t="s">
        <v>71</v>
      </c>
      <c r="AJ7" s="4" t="s">
        <v>73</v>
      </c>
      <c r="AK7" s="4" t="s">
        <v>73</v>
      </c>
      <c r="AL7" s="4" t="s">
        <v>73</v>
      </c>
      <c r="AM7" s="4" t="s">
        <v>73</v>
      </c>
      <c r="AN7" s="4" t="s">
        <v>71</v>
      </c>
      <c r="AO7" s="4" t="s">
        <v>72</v>
      </c>
      <c r="AP7" s="4" t="s">
        <v>72</v>
      </c>
      <c r="AQ7" s="4" t="s">
        <v>73</v>
      </c>
      <c r="AR7" s="4" t="s">
        <v>72</v>
      </c>
      <c r="AS7" s="4" t="s">
        <v>72</v>
      </c>
      <c r="AT7" s="4" t="s">
        <v>72</v>
      </c>
      <c r="AU7" s="4" t="s">
        <v>72</v>
      </c>
      <c r="AV7" s="4" t="s">
        <v>72</v>
      </c>
      <c r="AW7" s="4" t="s">
        <v>71</v>
      </c>
      <c r="AX7" s="4" t="s">
        <v>73</v>
      </c>
      <c r="AY7" s="4" t="s">
        <v>73</v>
      </c>
      <c r="AZ7" s="4" t="s">
        <v>72</v>
      </c>
      <c r="BA7" s="4" t="s">
        <v>73</v>
      </c>
      <c r="BB7" s="4" t="s">
        <v>72</v>
      </c>
      <c r="BC7" s="4" t="s">
        <v>72</v>
      </c>
      <c r="BD7" s="4" t="s">
        <v>70</v>
      </c>
      <c r="BE7" s="4" t="s">
        <v>71</v>
      </c>
      <c r="BF7" s="4" t="s">
        <v>71</v>
      </c>
      <c r="BG7" s="4" t="s">
        <v>72</v>
      </c>
      <c r="BH7" s="4" t="s">
        <v>70</v>
      </c>
      <c r="BI7" s="4" t="s">
        <v>73</v>
      </c>
      <c r="BJ7" s="4" t="s">
        <v>72</v>
      </c>
      <c r="BK7" s="4" t="s">
        <v>71</v>
      </c>
      <c r="BL7" s="4" t="s">
        <v>71</v>
      </c>
      <c r="BM7" s="4" t="s">
        <v>72</v>
      </c>
      <c r="BN7" s="4" t="s">
        <v>71</v>
      </c>
      <c r="BO7" s="4" t="s">
        <v>72</v>
      </c>
      <c r="BP7" s="4" t="s">
        <v>71</v>
      </c>
      <c r="BQ7" s="4" t="s">
        <v>73</v>
      </c>
      <c r="BR7" s="4" t="s">
        <v>70</v>
      </c>
      <c r="BS7" s="4" t="s">
        <v>70</v>
      </c>
      <c r="BT7" s="4" t="s">
        <v>72</v>
      </c>
      <c r="BU7" s="4" t="s">
        <v>70</v>
      </c>
      <c r="BV7" s="4" t="s">
        <v>73</v>
      </c>
      <c r="BW7" s="4" t="s">
        <v>70</v>
      </c>
      <c r="BX7" s="4" t="s">
        <v>70</v>
      </c>
      <c r="BY7" s="4" t="s">
        <v>70</v>
      </c>
      <c r="BZ7" s="4" t="s">
        <v>73</v>
      </c>
      <c r="CA7" s="4" t="s">
        <v>70</v>
      </c>
    </row>
    <row r="8" spans="1:79">
      <c r="A8" s="4" t="s">
        <v>753</v>
      </c>
      <c r="B8" s="4" t="s">
        <v>748</v>
      </c>
      <c r="C8" s="4" t="s">
        <v>749</v>
      </c>
      <c r="D8" s="4" t="s">
        <v>328</v>
      </c>
      <c r="E8" s="4">
        <v>86</v>
      </c>
      <c r="F8" s="4">
        <v>72</v>
      </c>
      <c r="G8" s="4">
        <v>0</v>
      </c>
      <c r="H8" s="4" t="s">
        <v>72</v>
      </c>
      <c r="I8" s="4" t="s">
        <v>71</v>
      </c>
      <c r="J8" s="4" t="s">
        <v>73</v>
      </c>
      <c r="K8" s="4" t="s">
        <v>73</v>
      </c>
      <c r="L8" s="4" t="s">
        <v>71</v>
      </c>
      <c r="M8" s="4" t="s">
        <v>73</v>
      </c>
      <c r="N8" s="4" t="s">
        <v>72</v>
      </c>
      <c r="O8" s="4" t="s">
        <v>72</v>
      </c>
      <c r="P8" s="4" t="s">
        <v>73</v>
      </c>
      <c r="Q8" s="4" t="s">
        <v>70</v>
      </c>
      <c r="R8" s="4" t="s">
        <v>70</v>
      </c>
      <c r="S8" s="4" t="s">
        <v>73</v>
      </c>
      <c r="T8" s="4" t="s">
        <v>72</v>
      </c>
      <c r="U8" s="4" t="s">
        <v>73</v>
      </c>
      <c r="V8" s="4" t="s">
        <v>70</v>
      </c>
      <c r="W8" s="4" t="s">
        <v>73</v>
      </c>
      <c r="X8" s="4" t="s">
        <v>72</v>
      </c>
      <c r="Y8" s="4" t="s">
        <v>70</v>
      </c>
      <c r="Z8" s="4" t="s">
        <v>70</v>
      </c>
      <c r="AA8" s="4" t="s">
        <v>71</v>
      </c>
      <c r="AB8" s="4" t="s">
        <v>72</v>
      </c>
      <c r="AC8" s="4" t="s">
        <v>72</v>
      </c>
      <c r="AD8" s="4" t="s">
        <v>72</v>
      </c>
      <c r="AE8" s="4" t="s">
        <v>71</v>
      </c>
      <c r="AF8" s="4" t="s">
        <v>71</v>
      </c>
      <c r="AG8" s="4" t="s">
        <v>72</v>
      </c>
      <c r="AH8" s="4" t="s">
        <v>72</v>
      </c>
      <c r="AI8" s="4" t="s">
        <v>72</v>
      </c>
      <c r="AJ8" s="4" t="s">
        <v>71</v>
      </c>
      <c r="AK8" s="4" t="s">
        <v>72</v>
      </c>
      <c r="AL8" s="4" t="s">
        <v>72</v>
      </c>
      <c r="AM8" s="4" t="s">
        <v>72</v>
      </c>
      <c r="AN8" s="4" t="s">
        <v>72</v>
      </c>
      <c r="AO8" s="4" t="s">
        <v>71</v>
      </c>
      <c r="AP8" s="4" t="s">
        <v>72</v>
      </c>
      <c r="AQ8" s="4" t="s">
        <v>73</v>
      </c>
      <c r="AR8" s="4" t="s">
        <v>71</v>
      </c>
      <c r="AS8" s="4" t="s">
        <v>70</v>
      </c>
      <c r="AT8" s="4" t="s">
        <v>70</v>
      </c>
      <c r="AU8" s="4" t="s">
        <v>73</v>
      </c>
      <c r="AV8" s="4" t="s">
        <v>71</v>
      </c>
      <c r="AW8" s="4" t="s">
        <v>73</v>
      </c>
      <c r="AX8" s="4" t="s">
        <v>73</v>
      </c>
      <c r="AY8" s="4" t="s">
        <v>72</v>
      </c>
      <c r="AZ8" s="4" t="s">
        <v>70</v>
      </c>
      <c r="BA8" s="4" t="s">
        <v>72</v>
      </c>
      <c r="BB8" s="4" t="s">
        <v>72</v>
      </c>
      <c r="BC8" s="4" t="s">
        <v>72</v>
      </c>
      <c r="BD8" s="4" t="s">
        <v>71</v>
      </c>
      <c r="BE8" s="4" t="s">
        <v>70</v>
      </c>
      <c r="BF8" s="4" t="s">
        <v>70</v>
      </c>
      <c r="BG8" s="4" t="s">
        <v>72</v>
      </c>
      <c r="BH8" s="4" t="s">
        <v>70</v>
      </c>
      <c r="BI8" s="4" t="s">
        <v>72</v>
      </c>
      <c r="BJ8" s="4" t="s">
        <v>72</v>
      </c>
      <c r="BK8" s="4" t="s">
        <v>71</v>
      </c>
      <c r="BL8" s="4" t="s">
        <v>70</v>
      </c>
      <c r="BM8" s="4" t="s">
        <v>73</v>
      </c>
      <c r="BN8" s="4" t="s">
        <v>72</v>
      </c>
      <c r="BO8" s="4" t="s">
        <v>71</v>
      </c>
      <c r="BP8" s="4" t="s">
        <v>71</v>
      </c>
      <c r="BQ8" s="4" t="s">
        <v>73</v>
      </c>
      <c r="BR8" s="4" t="s">
        <v>71</v>
      </c>
      <c r="BS8" s="4" t="s">
        <v>71</v>
      </c>
      <c r="BT8" s="4" t="s">
        <v>70</v>
      </c>
      <c r="BU8" s="4" t="s">
        <v>70</v>
      </c>
      <c r="BV8" s="4" t="s">
        <v>72</v>
      </c>
      <c r="BW8" s="4" t="s">
        <v>70</v>
      </c>
      <c r="BX8" s="4" t="s">
        <v>72</v>
      </c>
      <c r="BY8" s="4" t="s">
        <v>72</v>
      </c>
      <c r="BZ8" s="4" t="s">
        <v>70</v>
      </c>
      <c r="CA8" s="4" t="s">
        <v>70</v>
      </c>
    </row>
    <row r="9" spans="1:79">
      <c r="A9" s="4" t="s">
        <v>754</v>
      </c>
      <c r="B9" s="4" t="s">
        <v>748</v>
      </c>
      <c r="C9" s="4" t="s">
        <v>749</v>
      </c>
      <c r="D9" s="4" t="s">
        <v>328</v>
      </c>
      <c r="E9" s="4">
        <v>88</v>
      </c>
      <c r="F9" s="4">
        <v>72</v>
      </c>
      <c r="G9" s="4">
        <v>0</v>
      </c>
      <c r="H9" s="4" t="s">
        <v>72</v>
      </c>
      <c r="I9" s="4" t="s">
        <v>71</v>
      </c>
      <c r="J9" s="4" t="s">
        <v>73</v>
      </c>
      <c r="K9" s="4" t="s">
        <v>73</v>
      </c>
      <c r="L9" s="4" t="s">
        <v>71</v>
      </c>
      <c r="M9" s="4" t="s">
        <v>73</v>
      </c>
      <c r="N9" s="4" t="s">
        <v>72</v>
      </c>
      <c r="O9" s="4" t="s">
        <v>72</v>
      </c>
      <c r="P9" s="4" t="s">
        <v>73</v>
      </c>
      <c r="Q9" s="4" t="s">
        <v>70</v>
      </c>
      <c r="R9" s="4" t="s">
        <v>70</v>
      </c>
      <c r="S9" s="4" t="s">
        <v>73</v>
      </c>
      <c r="T9" s="4" t="s">
        <v>72</v>
      </c>
      <c r="U9" s="4" t="s">
        <v>73</v>
      </c>
      <c r="V9" s="4" t="s">
        <v>70</v>
      </c>
      <c r="W9" s="4" t="s">
        <v>73</v>
      </c>
      <c r="X9" s="4" t="s">
        <v>72</v>
      </c>
      <c r="Y9" s="4" t="s">
        <v>70</v>
      </c>
      <c r="Z9" s="4" t="s">
        <v>70</v>
      </c>
      <c r="AA9" s="4" t="s">
        <v>71</v>
      </c>
      <c r="AB9" s="4" t="s">
        <v>72</v>
      </c>
      <c r="AC9" s="4" t="s">
        <v>72</v>
      </c>
      <c r="AD9" s="4" t="s">
        <v>72</v>
      </c>
      <c r="AE9" s="4" t="s">
        <v>71</v>
      </c>
      <c r="AF9" s="4" t="s">
        <v>71</v>
      </c>
      <c r="AG9" s="4" t="s">
        <v>72</v>
      </c>
      <c r="AH9" s="4" t="s">
        <v>72</v>
      </c>
      <c r="AI9" s="4" t="s">
        <v>72</v>
      </c>
      <c r="AJ9" s="4" t="s">
        <v>71</v>
      </c>
      <c r="AK9" s="4" t="s">
        <v>72</v>
      </c>
      <c r="AL9" s="4" t="s">
        <v>72</v>
      </c>
      <c r="AM9" s="4" t="s">
        <v>72</v>
      </c>
      <c r="AN9" s="4" t="s">
        <v>72</v>
      </c>
      <c r="AO9" s="4" t="s">
        <v>71</v>
      </c>
      <c r="AP9" s="4" t="s">
        <v>72</v>
      </c>
      <c r="AQ9" s="4" t="s">
        <v>73</v>
      </c>
      <c r="AR9" s="4" t="s">
        <v>71</v>
      </c>
      <c r="AS9" s="4" t="s">
        <v>73</v>
      </c>
      <c r="AT9" s="4" t="s">
        <v>70</v>
      </c>
      <c r="AU9" s="4" t="s">
        <v>70</v>
      </c>
      <c r="AV9" s="4" t="s">
        <v>73</v>
      </c>
      <c r="AW9" s="4" t="s">
        <v>73</v>
      </c>
      <c r="AX9" s="4" t="s">
        <v>70</v>
      </c>
      <c r="AY9" s="4" t="s">
        <v>70</v>
      </c>
      <c r="AZ9" s="4" t="s">
        <v>71</v>
      </c>
      <c r="BA9" s="4" t="s">
        <v>72</v>
      </c>
      <c r="BB9" s="4" t="s">
        <v>70</v>
      </c>
      <c r="BC9" s="4" t="s">
        <v>72</v>
      </c>
      <c r="BD9" s="4" t="s">
        <v>71</v>
      </c>
      <c r="BE9" s="4" t="s">
        <v>73</v>
      </c>
      <c r="BF9" s="4" t="s">
        <v>70</v>
      </c>
      <c r="BG9" s="4" t="s">
        <v>70</v>
      </c>
      <c r="BH9" s="4" t="s">
        <v>70</v>
      </c>
      <c r="BI9" s="4" t="s">
        <v>73</v>
      </c>
      <c r="BJ9" s="4" t="s">
        <v>71</v>
      </c>
      <c r="BK9" s="4" t="s">
        <v>71</v>
      </c>
      <c r="BL9" s="4" t="s">
        <v>72</v>
      </c>
      <c r="BM9" s="4" t="s">
        <v>71</v>
      </c>
      <c r="BN9" s="4" t="s">
        <v>72</v>
      </c>
      <c r="BO9" s="4" t="s">
        <v>70</v>
      </c>
      <c r="BP9" s="4" t="s">
        <v>71</v>
      </c>
      <c r="BQ9" s="4" t="s">
        <v>71</v>
      </c>
      <c r="BR9" s="4" t="s">
        <v>72</v>
      </c>
      <c r="BS9" s="4" t="s">
        <v>72</v>
      </c>
      <c r="BT9" s="4" t="s">
        <v>70</v>
      </c>
      <c r="BU9" s="4" t="s">
        <v>73</v>
      </c>
      <c r="BV9" s="4" t="s">
        <v>72</v>
      </c>
      <c r="BW9" s="4" t="s">
        <v>70</v>
      </c>
      <c r="BX9" s="4" t="s">
        <v>72</v>
      </c>
      <c r="BY9" s="4" t="s">
        <v>72</v>
      </c>
      <c r="BZ9" s="4" t="s">
        <v>70</v>
      </c>
      <c r="CA9" s="4" t="s">
        <v>70</v>
      </c>
    </row>
    <row r="10" spans="1:79">
      <c r="A10" s="4" t="s">
        <v>755</v>
      </c>
      <c r="B10" s="4" t="s">
        <v>748</v>
      </c>
      <c r="C10" s="4" t="s">
        <v>749</v>
      </c>
      <c r="D10" s="4" t="s">
        <v>328</v>
      </c>
      <c r="E10" s="4">
        <v>92</v>
      </c>
      <c r="F10" s="4">
        <v>71</v>
      </c>
      <c r="G10" s="4">
        <v>1</v>
      </c>
      <c r="H10" s="4" t="s">
        <v>71</v>
      </c>
      <c r="I10" s="4" t="s">
        <v>72</v>
      </c>
      <c r="J10" s="4" t="s">
        <v>70</v>
      </c>
      <c r="K10" s="4" t="s">
        <v>73</v>
      </c>
      <c r="L10" s="4" t="s">
        <v>70</v>
      </c>
      <c r="M10" s="4" t="s">
        <v>70</v>
      </c>
      <c r="N10" s="4" t="s">
        <v>70</v>
      </c>
      <c r="O10" s="4" t="s">
        <v>72</v>
      </c>
      <c r="P10" s="4" t="s">
        <v>72</v>
      </c>
      <c r="Q10" s="4" t="s">
        <v>70</v>
      </c>
      <c r="R10" s="4" t="s">
        <v>71</v>
      </c>
      <c r="S10" s="4" t="s">
        <v>71</v>
      </c>
      <c r="T10" s="4" t="s">
        <v>73</v>
      </c>
      <c r="U10" s="4" t="s">
        <v>70</v>
      </c>
      <c r="V10" s="4" t="s">
        <v>73</v>
      </c>
      <c r="W10" s="10" t="s">
        <v>77</v>
      </c>
      <c r="X10" s="4" t="s">
        <v>70</v>
      </c>
      <c r="Y10" s="4" t="s">
        <v>70</v>
      </c>
      <c r="Z10" s="4" t="s">
        <v>70</v>
      </c>
      <c r="AA10" s="4" t="s">
        <v>73</v>
      </c>
      <c r="AB10" s="4" t="s">
        <v>72</v>
      </c>
      <c r="AC10" s="4" t="s">
        <v>72</v>
      </c>
      <c r="AD10" s="4" t="s">
        <v>70</v>
      </c>
      <c r="AE10" s="4" t="s">
        <v>73</v>
      </c>
      <c r="AF10" s="4" t="s">
        <v>72</v>
      </c>
      <c r="AG10" s="4" t="s">
        <v>73</v>
      </c>
      <c r="AH10" s="4" t="s">
        <v>71</v>
      </c>
      <c r="AI10" s="4" t="s">
        <v>71</v>
      </c>
      <c r="AJ10" s="4" t="s">
        <v>70</v>
      </c>
      <c r="AK10" s="4" t="s">
        <v>71</v>
      </c>
      <c r="AL10" s="4" t="s">
        <v>72</v>
      </c>
      <c r="AM10" s="4" t="s">
        <v>72</v>
      </c>
      <c r="AN10" s="4" t="s">
        <v>71</v>
      </c>
      <c r="AO10" s="4" t="s">
        <v>71</v>
      </c>
      <c r="AP10" s="4" t="s">
        <v>72</v>
      </c>
      <c r="AQ10" s="4" t="s">
        <v>73</v>
      </c>
      <c r="AR10" s="4" t="s">
        <v>70</v>
      </c>
      <c r="AS10" s="4" t="s">
        <v>70</v>
      </c>
      <c r="AT10" s="4" t="s">
        <v>70</v>
      </c>
      <c r="AU10" s="4" t="s">
        <v>70</v>
      </c>
      <c r="AV10" s="4" t="s">
        <v>72</v>
      </c>
      <c r="AW10" s="4" t="s">
        <v>70</v>
      </c>
      <c r="AX10" s="4" t="s">
        <v>70</v>
      </c>
      <c r="AY10" s="4" t="s">
        <v>71</v>
      </c>
      <c r="AZ10" s="4" t="s">
        <v>71</v>
      </c>
      <c r="BA10" s="4" t="s">
        <v>70</v>
      </c>
      <c r="BB10" s="4" t="s">
        <v>70</v>
      </c>
      <c r="BC10" s="4" t="s">
        <v>72</v>
      </c>
      <c r="BD10" s="4" t="s">
        <v>73</v>
      </c>
      <c r="BE10" s="4" t="s">
        <v>73</v>
      </c>
      <c r="BF10" s="4" t="s">
        <v>70</v>
      </c>
      <c r="BG10" s="4" t="s">
        <v>70</v>
      </c>
      <c r="BH10" s="4" t="s">
        <v>70</v>
      </c>
      <c r="BI10" s="4" t="s">
        <v>72</v>
      </c>
      <c r="BJ10" s="4" t="s">
        <v>72</v>
      </c>
      <c r="BK10" s="4" t="s">
        <v>71</v>
      </c>
      <c r="BL10" s="4" t="s">
        <v>71</v>
      </c>
      <c r="BM10" s="4" t="s">
        <v>73</v>
      </c>
      <c r="BN10" s="4" t="s">
        <v>71</v>
      </c>
      <c r="BO10" s="4" t="s">
        <v>72</v>
      </c>
      <c r="BP10" s="4" t="s">
        <v>71</v>
      </c>
      <c r="BQ10" s="4" t="s">
        <v>72</v>
      </c>
      <c r="BR10" s="4" t="s">
        <v>72</v>
      </c>
      <c r="BS10" s="4" t="s">
        <v>72</v>
      </c>
      <c r="BT10" s="4" t="s">
        <v>72</v>
      </c>
      <c r="BU10" s="4" t="s">
        <v>73</v>
      </c>
      <c r="BV10" s="4" t="s">
        <v>71</v>
      </c>
      <c r="BW10" s="4" t="s">
        <v>72</v>
      </c>
      <c r="BX10" s="4" t="s">
        <v>72</v>
      </c>
      <c r="BY10" s="4" t="s">
        <v>71</v>
      </c>
      <c r="BZ10" s="4" t="s">
        <v>73</v>
      </c>
      <c r="CA10" s="4" t="s">
        <v>70</v>
      </c>
    </row>
    <row r="11" spans="1:79">
      <c r="A11" s="4" t="s">
        <v>756</v>
      </c>
      <c r="B11" s="4" t="s">
        <v>748</v>
      </c>
      <c r="C11" s="4" t="s">
        <v>749</v>
      </c>
      <c r="D11" s="4" t="s">
        <v>328</v>
      </c>
      <c r="E11" s="4">
        <v>93</v>
      </c>
      <c r="F11" s="4">
        <v>72</v>
      </c>
      <c r="G11" s="4">
        <v>0</v>
      </c>
      <c r="H11" s="4" t="s">
        <v>72</v>
      </c>
      <c r="I11" s="4" t="s">
        <v>70</v>
      </c>
      <c r="J11" s="4" t="s">
        <v>70</v>
      </c>
      <c r="K11" s="4" t="s">
        <v>72</v>
      </c>
      <c r="L11" s="4" t="s">
        <v>71</v>
      </c>
      <c r="M11" s="4" t="s">
        <v>71</v>
      </c>
      <c r="N11" s="4" t="s">
        <v>73</v>
      </c>
      <c r="O11" s="4" t="s">
        <v>72</v>
      </c>
      <c r="P11" s="4" t="s">
        <v>72</v>
      </c>
      <c r="Q11" s="4" t="s">
        <v>72</v>
      </c>
      <c r="R11" s="4" t="s">
        <v>72</v>
      </c>
      <c r="S11" s="4" t="s">
        <v>72</v>
      </c>
      <c r="T11" s="4" t="s">
        <v>71</v>
      </c>
      <c r="U11" s="4" t="s">
        <v>70</v>
      </c>
      <c r="V11" s="4" t="s">
        <v>70</v>
      </c>
      <c r="W11" s="4" t="s">
        <v>71</v>
      </c>
      <c r="X11" s="4" t="s">
        <v>71</v>
      </c>
      <c r="Y11" s="4" t="s">
        <v>70</v>
      </c>
      <c r="Z11" s="4" t="s">
        <v>70</v>
      </c>
      <c r="AA11" s="4" t="s">
        <v>71</v>
      </c>
      <c r="AB11" s="4" t="s">
        <v>70</v>
      </c>
      <c r="AC11" s="4" t="s">
        <v>70</v>
      </c>
      <c r="AD11" s="4" t="s">
        <v>70</v>
      </c>
      <c r="AE11" s="4" t="s">
        <v>73</v>
      </c>
      <c r="AF11" s="4" t="s">
        <v>70</v>
      </c>
      <c r="AG11" s="4" t="s">
        <v>70</v>
      </c>
      <c r="AH11" s="4" t="s">
        <v>73</v>
      </c>
      <c r="AI11" s="4" t="s">
        <v>70</v>
      </c>
      <c r="AJ11" s="4" t="s">
        <v>73</v>
      </c>
      <c r="AK11" s="4" t="s">
        <v>73</v>
      </c>
      <c r="AL11" s="4" t="s">
        <v>73</v>
      </c>
      <c r="AM11" s="4" t="s">
        <v>73</v>
      </c>
      <c r="AN11" s="4" t="s">
        <v>72</v>
      </c>
      <c r="AO11" s="4" t="s">
        <v>71</v>
      </c>
      <c r="AP11" s="4" t="s">
        <v>72</v>
      </c>
      <c r="AQ11" s="4" t="s">
        <v>73</v>
      </c>
      <c r="AR11" s="4" t="s">
        <v>70</v>
      </c>
      <c r="AS11" s="4" t="s">
        <v>70</v>
      </c>
      <c r="AT11" s="4" t="s">
        <v>72</v>
      </c>
      <c r="AU11" s="4" t="s">
        <v>72</v>
      </c>
      <c r="AV11" s="4" t="s">
        <v>72</v>
      </c>
      <c r="AW11" s="4" t="s">
        <v>71</v>
      </c>
      <c r="AX11" s="4" t="s">
        <v>72</v>
      </c>
      <c r="AY11" s="4" t="s">
        <v>71</v>
      </c>
      <c r="AZ11" s="4" t="s">
        <v>70</v>
      </c>
      <c r="BA11" s="4" t="s">
        <v>73</v>
      </c>
      <c r="BB11" s="4" t="s">
        <v>70</v>
      </c>
      <c r="BC11" s="4" t="s">
        <v>72</v>
      </c>
      <c r="BD11" s="4" t="s">
        <v>71</v>
      </c>
      <c r="BE11" s="4" t="s">
        <v>72</v>
      </c>
      <c r="BF11" s="4" t="s">
        <v>72</v>
      </c>
      <c r="BG11" s="4" t="s">
        <v>72</v>
      </c>
      <c r="BH11" s="4" t="s">
        <v>70</v>
      </c>
      <c r="BI11" s="4" t="s">
        <v>73</v>
      </c>
      <c r="BJ11" s="4" t="s">
        <v>71</v>
      </c>
      <c r="BK11" s="4" t="s">
        <v>71</v>
      </c>
      <c r="BL11" s="4" t="s">
        <v>72</v>
      </c>
      <c r="BM11" s="4" t="s">
        <v>72</v>
      </c>
      <c r="BN11" s="4" t="s">
        <v>72</v>
      </c>
      <c r="BO11" s="4" t="s">
        <v>72</v>
      </c>
      <c r="BP11" s="4" t="s">
        <v>71</v>
      </c>
      <c r="BQ11" s="4" t="s">
        <v>73</v>
      </c>
      <c r="BR11" s="4" t="s">
        <v>70</v>
      </c>
      <c r="BS11" s="4" t="s">
        <v>70</v>
      </c>
      <c r="BT11" s="4" t="s">
        <v>73</v>
      </c>
      <c r="BU11" s="4" t="s">
        <v>72</v>
      </c>
      <c r="BV11" s="4" t="s">
        <v>70</v>
      </c>
      <c r="BW11" s="4" t="s">
        <v>71</v>
      </c>
      <c r="BX11" s="4" t="s">
        <v>73</v>
      </c>
      <c r="BY11" s="4" t="s">
        <v>71</v>
      </c>
      <c r="BZ11" s="4" t="s">
        <v>72</v>
      </c>
      <c r="CA11" s="4" t="s">
        <v>73</v>
      </c>
    </row>
    <row r="12" spans="1:79">
      <c r="A12" s="4" t="s">
        <v>757</v>
      </c>
      <c r="B12" s="4" t="s">
        <v>748</v>
      </c>
      <c r="C12" s="4" t="s">
        <v>758</v>
      </c>
      <c r="D12" s="4" t="s">
        <v>314</v>
      </c>
      <c r="E12" s="4">
        <v>70</v>
      </c>
      <c r="F12" s="4">
        <v>70</v>
      </c>
      <c r="G12" s="4">
        <v>2</v>
      </c>
      <c r="H12" s="4" t="s">
        <v>70</v>
      </c>
      <c r="I12" s="4" t="s">
        <v>72</v>
      </c>
      <c r="J12" s="4" t="s">
        <v>71</v>
      </c>
      <c r="K12" s="4" t="s">
        <v>73</v>
      </c>
      <c r="L12" s="4" t="s">
        <v>70</v>
      </c>
      <c r="M12" s="4" t="s">
        <v>70</v>
      </c>
      <c r="N12" s="4" t="s">
        <v>70</v>
      </c>
      <c r="O12" s="4" t="s">
        <v>72</v>
      </c>
      <c r="P12" s="4" t="s">
        <v>71</v>
      </c>
      <c r="Q12" s="4" t="s">
        <v>73</v>
      </c>
      <c r="R12" s="4" t="s">
        <v>73</v>
      </c>
      <c r="S12" s="4" t="s">
        <v>70</v>
      </c>
      <c r="T12" s="4" t="s">
        <v>73</v>
      </c>
      <c r="U12" s="4" t="s">
        <v>73</v>
      </c>
      <c r="V12" s="4" t="s">
        <v>73</v>
      </c>
      <c r="W12" s="10" t="s">
        <v>77</v>
      </c>
      <c r="X12" s="4" t="s">
        <v>72</v>
      </c>
      <c r="Y12" s="4" t="s">
        <v>70</v>
      </c>
      <c r="Z12" s="4" t="s">
        <v>70</v>
      </c>
      <c r="AA12" s="4" t="s">
        <v>73</v>
      </c>
      <c r="AB12" s="4" t="s">
        <v>72</v>
      </c>
      <c r="AC12" s="4" t="s">
        <v>72</v>
      </c>
      <c r="AD12" s="4" t="s">
        <v>71</v>
      </c>
      <c r="AE12" s="4" t="s">
        <v>73</v>
      </c>
      <c r="AF12" s="4" t="s">
        <v>72</v>
      </c>
      <c r="AG12" s="4" t="s">
        <v>72</v>
      </c>
      <c r="AH12" s="4" t="s">
        <v>72</v>
      </c>
      <c r="AI12" s="4" t="s">
        <v>70</v>
      </c>
      <c r="AJ12" s="4" t="s">
        <v>72</v>
      </c>
      <c r="AK12" s="4" t="s">
        <v>73</v>
      </c>
      <c r="AL12" s="4" t="s">
        <v>70</v>
      </c>
      <c r="AM12" s="4" t="s">
        <v>72</v>
      </c>
      <c r="AN12" s="4" t="s">
        <v>72</v>
      </c>
      <c r="AO12" s="4" t="s">
        <v>72</v>
      </c>
      <c r="AP12" s="4" t="s">
        <v>71</v>
      </c>
      <c r="AQ12" s="4" t="s">
        <v>73</v>
      </c>
      <c r="AR12" s="4" t="s">
        <v>73</v>
      </c>
      <c r="AS12" s="4" t="s">
        <v>73</v>
      </c>
      <c r="AT12" s="4" t="s">
        <v>72</v>
      </c>
      <c r="AU12" s="4" t="s">
        <v>72</v>
      </c>
      <c r="AV12" s="4" t="s">
        <v>73</v>
      </c>
      <c r="AW12" s="4" t="s">
        <v>71</v>
      </c>
      <c r="AX12" s="4" t="s">
        <v>73</v>
      </c>
      <c r="AY12" s="4" t="s">
        <v>70</v>
      </c>
      <c r="AZ12" s="4" t="s">
        <v>72</v>
      </c>
      <c r="BA12" s="10" t="s">
        <v>77</v>
      </c>
      <c r="BB12" s="4" t="s">
        <v>72</v>
      </c>
      <c r="BC12" s="4" t="s">
        <v>72</v>
      </c>
      <c r="BD12" s="4" t="s">
        <v>72</v>
      </c>
      <c r="BE12" s="4" t="s">
        <v>73</v>
      </c>
      <c r="BF12" s="4" t="s">
        <v>70</v>
      </c>
      <c r="BG12" s="4" t="s">
        <v>70</v>
      </c>
      <c r="BH12" s="4" t="s">
        <v>70</v>
      </c>
      <c r="BI12" s="4" t="s">
        <v>73</v>
      </c>
      <c r="BJ12" s="4" t="s">
        <v>72</v>
      </c>
      <c r="BK12" s="4" t="s">
        <v>71</v>
      </c>
      <c r="BL12" s="4" t="s">
        <v>71</v>
      </c>
      <c r="BM12" s="4" t="s">
        <v>72</v>
      </c>
      <c r="BN12" s="4" t="s">
        <v>72</v>
      </c>
      <c r="BO12" s="4" t="s">
        <v>70</v>
      </c>
      <c r="BP12" s="4" t="s">
        <v>71</v>
      </c>
      <c r="BQ12" s="4" t="s">
        <v>72</v>
      </c>
      <c r="BR12" s="4" t="s">
        <v>72</v>
      </c>
      <c r="BS12" s="4" t="s">
        <v>72</v>
      </c>
      <c r="BT12" s="4" t="s">
        <v>73</v>
      </c>
      <c r="BU12" s="4" t="s">
        <v>71</v>
      </c>
      <c r="BV12" s="4" t="s">
        <v>72</v>
      </c>
      <c r="BW12" s="4" t="s">
        <v>72</v>
      </c>
      <c r="BX12" s="4" t="s">
        <v>72</v>
      </c>
      <c r="BY12" s="4" t="s">
        <v>72</v>
      </c>
      <c r="BZ12" s="4" t="s">
        <v>73</v>
      </c>
      <c r="CA12" s="4" t="s">
        <v>72</v>
      </c>
    </row>
    <row r="13" spans="1:79">
      <c r="A13" s="4" t="s">
        <v>759</v>
      </c>
      <c r="B13" s="4" t="s">
        <v>748</v>
      </c>
      <c r="C13" s="4" t="s">
        <v>758</v>
      </c>
      <c r="D13" s="4" t="s">
        <v>314</v>
      </c>
      <c r="E13" s="4">
        <v>71</v>
      </c>
      <c r="F13" s="4">
        <v>71</v>
      </c>
      <c r="G13" s="4">
        <v>1</v>
      </c>
      <c r="H13" s="4" t="s">
        <v>70</v>
      </c>
      <c r="I13" s="4" t="s">
        <v>71</v>
      </c>
      <c r="J13" s="4" t="s">
        <v>71</v>
      </c>
      <c r="K13" s="4" t="s">
        <v>71</v>
      </c>
      <c r="L13" s="4" t="s">
        <v>70</v>
      </c>
      <c r="M13" s="4" t="s">
        <v>70</v>
      </c>
      <c r="N13" s="4" t="s">
        <v>73</v>
      </c>
      <c r="O13" s="4" t="s">
        <v>72</v>
      </c>
      <c r="P13" s="4" t="s">
        <v>73</v>
      </c>
      <c r="Q13" s="4" t="s">
        <v>70</v>
      </c>
      <c r="R13" s="4" t="s">
        <v>71</v>
      </c>
      <c r="S13" s="4" t="s">
        <v>71</v>
      </c>
      <c r="T13" s="4" t="s">
        <v>72</v>
      </c>
      <c r="U13" s="4" t="s">
        <v>73</v>
      </c>
      <c r="V13" s="4" t="s">
        <v>70</v>
      </c>
      <c r="W13" s="4" t="s">
        <v>73</v>
      </c>
      <c r="X13" s="4" t="s">
        <v>72</v>
      </c>
      <c r="Y13" s="4" t="s">
        <v>70</v>
      </c>
      <c r="Z13" s="4" t="s">
        <v>70</v>
      </c>
      <c r="AA13" s="4" t="s">
        <v>72</v>
      </c>
      <c r="AB13" s="4" t="s">
        <v>72</v>
      </c>
      <c r="AC13" s="4" t="s">
        <v>70</v>
      </c>
      <c r="AD13" s="4" t="s">
        <v>70</v>
      </c>
      <c r="AE13" s="4" t="s">
        <v>70</v>
      </c>
      <c r="AF13" s="4" t="s">
        <v>70</v>
      </c>
      <c r="AG13" s="4" t="s">
        <v>71</v>
      </c>
      <c r="AH13" s="4" t="s">
        <v>70</v>
      </c>
      <c r="AI13" s="4" t="s">
        <v>71</v>
      </c>
      <c r="AJ13" s="4" t="s">
        <v>71</v>
      </c>
      <c r="AK13" s="4" t="s">
        <v>73</v>
      </c>
      <c r="AL13" s="4" t="s">
        <v>70</v>
      </c>
      <c r="AM13" s="4" t="s">
        <v>73</v>
      </c>
      <c r="AN13" s="4" t="s">
        <v>71</v>
      </c>
      <c r="AO13" s="4" t="s">
        <v>72</v>
      </c>
      <c r="AP13" s="4" t="s">
        <v>71</v>
      </c>
      <c r="AQ13" s="4" t="s">
        <v>73</v>
      </c>
      <c r="AR13" s="4" t="s">
        <v>72</v>
      </c>
      <c r="AS13" s="4" t="s">
        <v>72</v>
      </c>
      <c r="AT13" s="4" t="s">
        <v>71</v>
      </c>
      <c r="AU13" s="4" t="s">
        <v>72</v>
      </c>
      <c r="AV13" s="4" t="s">
        <v>70</v>
      </c>
      <c r="AW13" s="4" t="s">
        <v>70</v>
      </c>
      <c r="AX13" s="4" t="s">
        <v>73</v>
      </c>
      <c r="AY13" s="4" t="s">
        <v>70</v>
      </c>
      <c r="AZ13" s="4" t="s">
        <v>70</v>
      </c>
      <c r="BA13" s="10" t="s">
        <v>77</v>
      </c>
      <c r="BB13" s="4" t="s">
        <v>72</v>
      </c>
      <c r="BC13" s="4" t="s">
        <v>71</v>
      </c>
      <c r="BD13" s="4" t="s">
        <v>70</v>
      </c>
      <c r="BE13" s="4" t="s">
        <v>71</v>
      </c>
      <c r="BF13" s="4" t="s">
        <v>70</v>
      </c>
      <c r="BG13" s="4" t="s">
        <v>72</v>
      </c>
      <c r="BH13" s="4" t="s">
        <v>70</v>
      </c>
      <c r="BI13" s="4" t="s">
        <v>72</v>
      </c>
      <c r="BJ13" s="4" t="s">
        <v>72</v>
      </c>
      <c r="BK13" s="4" t="s">
        <v>71</v>
      </c>
      <c r="BL13" s="4" t="s">
        <v>70</v>
      </c>
      <c r="BM13" s="4" t="s">
        <v>73</v>
      </c>
      <c r="BN13" s="4" t="s">
        <v>70</v>
      </c>
      <c r="BO13" s="4" t="s">
        <v>72</v>
      </c>
      <c r="BP13" s="4" t="s">
        <v>71</v>
      </c>
      <c r="BQ13" s="4" t="s">
        <v>73</v>
      </c>
      <c r="BR13" s="4" t="s">
        <v>71</v>
      </c>
      <c r="BS13" s="4" t="s">
        <v>70</v>
      </c>
      <c r="BT13" s="4" t="s">
        <v>71</v>
      </c>
      <c r="BU13" s="4" t="s">
        <v>72</v>
      </c>
      <c r="BV13" s="4" t="s">
        <v>71</v>
      </c>
      <c r="BW13" s="4" t="s">
        <v>71</v>
      </c>
      <c r="BX13" s="4" t="s">
        <v>70</v>
      </c>
      <c r="BY13" s="4" t="s">
        <v>70</v>
      </c>
      <c r="BZ13" s="4" t="s">
        <v>70</v>
      </c>
      <c r="CA13" s="4" t="s">
        <v>71</v>
      </c>
    </row>
    <row r="14" spans="1:79">
      <c r="A14" s="16" t="s">
        <v>760</v>
      </c>
      <c r="B14" s="16" t="s">
        <v>761</v>
      </c>
      <c r="C14" s="16" t="s">
        <v>749</v>
      </c>
      <c r="D14" s="16" t="s">
        <v>750</v>
      </c>
      <c r="E14" s="16">
        <v>78</v>
      </c>
      <c r="F14" s="16">
        <v>71</v>
      </c>
      <c r="G14" s="16">
        <v>1</v>
      </c>
      <c r="H14" s="4" t="s">
        <v>72</v>
      </c>
      <c r="I14" s="4" t="s">
        <v>73</v>
      </c>
      <c r="J14" s="4" t="s">
        <v>73</v>
      </c>
      <c r="K14" s="4" t="s">
        <v>72</v>
      </c>
      <c r="L14" s="4" t="s">
        <v>73</v>
      </c>
      <c r="M14" s="4" t="s">
        <v>73</v>
      </c>
      <c r="N14" s="4" t="s">
        <v>71</v>
      </c>
      <c r="O14" s="4" t="s">
        <v>72</v>
      </c>
      <c r="P14" s="4" t="s">
        <v>70</v>
      </c>
      <c r="Q14" s="4" t="s">
        <v>70</v>
      </c>
      <c r="R14" s="4" t="s">
        <v>70</v>
      </c>
      <c r="S14" s="4" t="s">
        <v>70</v>
      </c>
      <c r="T14" s="4" t="s">
        <v>71</v>
      </c>
      <c r="U14" s="4" t="s">
        <v>70</v>
      </c>
      <c r="V14" s="4" t="s">
        <v>73</v>
      </c>
      <c r="W14" s="10" t="s">
        <v>77</v>
      </c>
      <c r="X14" s="4" t="s">
        <v>73</v>
      </c>
      <c r="Y14" s="4" t="s">
        <v>70</v>
      </c>
      <c r="Z14" s="4" t="s">
        <v>70</v>
      </c>
      <c r="AA14" s="4" t="s">
        <v>72</v>
      </c>
      <c r="AB14" s="4" t="s">
        <v>71</v>
      </c>
      <c r="AC14" s="4" t="s">
        <v>70</v>
      </c>
      <c r="AD14" s="4" t="s">
        <v>71</v>
      </c>
      <c r="AE14" s="4" t="s">
        <v>71</v>
      </c>
      <c r="AF14" s="4" t="s">
        <v>72</v>
      </c>
      <c r="AG14" s="4" t="s">
        <v>70</v>
      </c>
      <c r="AH14" s="4" t="s">
        <v>71</v>
      </c>
      <c r="AI14" s="4" t="s">
        <v>72</v>
      </c>
      <c r="AJ14" s="4" t="s">
        <v>73</v>
      </c>
      <c r="AK14" s="4" t="s">
        <v>70</v>
      </c>
      <c r="AL14" s="4" t="s">
        <v>70</v>
      </c>
      <c r="AM14" s="4" t="s">
        <v>73</v>
      </c>
      <c r="AN14" s="4" t="s">
        <v>71</v>
      </c>
      <c r="AO14" s="4" t="s">
        <v>72</v>
      </c>
      <c r="AP14" s="4" t="s">
        <v>72</v>
      </c>
      <c r="AQ14" s="4" t="s">
        <v>73</v>
      </c>
      <c r="AR14" s="4" t="s">
        <v>73</v>
      </c>
      <c r="AS14" s="4" t="s">
        <v>72</v>
      </c>
      <c r="AT14" s="4" t="s">
        <v>72</v>
      </c>
      <c r="AU14" s="4" t="s">
        <v>72</v>
      </c>
      <c r="AV14" s="4" t="s">
        <v>72</v>
      </c>
      <c r="AW14" s="4" t="s">
        <v>70</v>
      </c>
      <c r="AX14" s="4" t="s">
        <v>70</v>
      </c>
      <c r="AY14" s="4" t="s">
        <v>72</v>
      </c>
      <c r="AZ14" s="4" t="s">
        <v>70</v>
      </c>
      <c r="BA14" s="4" t="s">
        <v>71</v>
      </c>
      <c r="BB14" s="4" t="s">
        <v>73</v>
      </c>
      <c r="BC14" s="4" t="s">
        <v>72</v>
      </c>
      <c r="BD14" s="4" t="s">
        <v>70</v>
      </c>
      <c r="BE14" s="4" t="s">
        <v>73</v>
      </c>
      <c r="BF14" s="4" t="s">
        <v>71</v>
      </c>
      <c r="BG14" s="4" t="s">
        <v>70</v>
      </c>
      <c r="BH14" s="4" t="s">
        <v>70</v>
      </c>
      <c r="BI14" s="4" t="s">
        <v>72</v>
      </c>
      <c r="BJ14" s="4" t="s">
        <v>71</v>
      </c>
      <c r="BK14" s="4" t="s">
        <v>71</v>
      </c>
      <c r="BL14" s="4" t="s">
        <v>72</v>
      </c>
      <c r="BM14" s="4" t="s">
        <v>73</v>
      </c>
      <c r="BN14" s="4" t="s">
        <v>72</v>
      </c>
      <c r="BO14" s="4" t="s">
        <v>70</v>
      </c>
      <c r="BP14" s="4" t="s">
        <v>71</v>
      </c>
      <c r="BQ14" s="4" t="s">
        <v>73</v>
      </c>
      <c r="BR14" s="4" t="s">
        <v>70</v>
      </c>
      <c r="BS14" s="4" t="s">
        <v>72</v>
      </c>
      <c r="BT14" s="4" t="s">
        <v>72</v>
      </c>
      <c r="BU14" s="4" t="s">
        <v>73</v>
      </c>
      <c r="BV14" s="4" t="s">
        <v>72</v>
      </c>
      <c r="BW14" s="4" t="s">
        <v>72</v>
      </c>
      <c r="BX14" s="4" t="s">
        <v>73</v>
      </c>
      <c r="BY14" s="4" t="s">
        <v>72</v>
      </c>
      <c r="BZ14" s="4" t="s">
        <v>72</v>
      </c>
      <c r="CA14" s="4" t="s">
        <v>70</v>
      </c>
    </row>
    <row r="15" spans="1:79">
      <c r="A15" s="16" t="s">
        <v>762</v>
      </c>
      <c r="B15" s="16" t="s">
        <v>761</v>
      </c>
      <c r="C15" s="16" t="s">
        <v>749</v>
      </c>
      <c r="D15" s="16" t="s">
        <v>750</v>
      </c>
      <c r="E15" s="16">
        <v>95</v>
      </c>
      <c r="F15" s="16">
        <v>72</v>
      </c>
      <c r="G15" s="16">
        <v>0</v>
      </c>
      <c r="H15" s="4" t="s">
        <v>73</v>
      </c>
      <c r="I15" s="4" t="s">
        <v>72</v>
      </c>
      <c r="J15" s="4" t="s">
        <v>72</v>
      </c>
      <c r="K15" s="4" t="s">
        <v>71</v>
      </c>
      <c r="L15" s="4" t="s">
        <v>72</v>
      </c>
      <c r="M15" s="4" t="s">
        <v>72</v>
      </c>
      <c r="N15" s="4" t="s">
        <v>73</v>
      </c>
      <c r="O15" s="4" t="s">
        <v>72</v>
      </c>
      <c r="P15" s="4" t="s">
        <v>73</v>
      </c>
      <c r="Q15" s="4" t="s">
        <v>72</v>
      </c>
      <c r="R15" s="4" t="s">
        <v>73</v>
      </c>
      <c r="S15" s="4" t="s">
        <v>70</v>
      </c>
      <c r="T15" s="4" t="s">
        <v>72</v>
      </c>
      <c r="U15" s="4" t="s">
        <v>72</v>
      </c>
      <c r="V15" s="4" t="s">
        <v>70</v>
      </c>
      <c r="W15" s="4" t="s">
        <v>72</v>
      </c>
      <c r="X15" s="4" t="s">
        <v>73</v>
      </c>
      <c r="Y15" s="4" t="s">
        <v>70</v>
      </c>
      <c r="Z15" s="4" t="s">
        <v>70</v>
      </c>
      <c r="AA15" s="4" t="s">
        <v>72</v>
      </c>
      <c r="AB15" s="4" t="s">
        <v>73</v>
      </c>
      <c r="AC15" s="4" t="s">
        <v>73</v>
      </c>
      <c r="AD15" s="4" t="s">
        <v>72</v>
      </c>
      <c r="AE15" s="4" t="s">
        <v>72</v>
      </c>
      <c r="AF15" s="4" t="s">
        <v>73</v>
      </c>
      <c r="AG15" s="4" t="s">
        <v>72</v>
      </c>
      <c r="AH15" s="4" t="s">
        <v>70</v>
      </c>
      <c r="AI15" s="4" t="s">
        <v>73</v>
      </c>
      <c r="AJ15" s="4" t="s">
        <v>72</v>
      </c>
      <c r="AK15" s="4" t="s">
        <v>72</v>
      </c>
      <c r="AL15" s="4" t="s">
        <v>72</v>
      </c>
      <c r="AM15" s="4" t="s">
        <v>72</v>
      </c>
      <c r="AN15" s="4" t="s">
        <v>72</v>
      </c>
      <c r="AO15" s="4" t="s">
        <v>72</v>
      </c>
      <c r="AP15" s="4" t="s">
        <v>72</v>
      </c>
      <c r="AQ15" s="4" t="s">
        <v>73</v>
      </c>
      <c r="AR15" s="4" t="s">
        <v>71</v>
      </c>
      <c r="AS15" s="4" t="s">
        <v>73</v>
      </c>
      <c r="AT15" s="4" t="s">
        <v>73</v>
      </c>
      <c r="AU15" s="4" t="s">
        <v>73</v>
      </c>
      <c r="AV15" s="4" t="s">
        <v>71</v>
      </c>
      <c r="AW15" s="4" t="s">
        <v>72</v>
      </c>
      <c r="AX15" s="4" t="s">
        <v>71</v>
      </c>
      <c r="AY15" s="4" t="s">
        <v>73</v>
      </c>
      <c r="AZ15" s="4" t="s">
        <v>70</v>
      </c>
      <c r="BA15" s="4" t="s">
        <v>70</v>
      </c>
      <c r="BB15" s="4" t="s">
        <v>73</v>
      </c>
      <c r="BC15" s="4" t="s">
        <v>71</v>
      </c>
      <c r="BD15" s="4" t="s">
        <v>72</v>
      </c>
      <c r="BE15" s="4" t="s">
        <v>71</v>
      </c>
      <c r="BF15" s="4" t="s">
        <v>73</v>
      </c>
      <c r="BG15" s="4" t="s">
        <v>70</v>
      </c>
      <c r="BH15" s="4" t="s">
        <v>70</v>
      </c>
      <c r="BI15" s="4" t="s">
        <v>73</v>
      </c>
      <c r="BJ15" s="4" t="s">
        <v>72</v>
      </c>
      <c r="BK15" s="4" t="s">
        <v>71</v>
      </c>
      <c r="BL15" s="4" t="s">
        <v>73</v>
      </c>
      <c r="BM15" s="4" t="s">
        <v>72</v>
      </c>
      <c r="BN15" s="4" t="s">
        <v>73</v>
      </c>
      <c r="BO15" s="4" t="s">
        <v>72</v>
      </c>
      <c r="BP15" s="4" t="s">
        <v>71</v>
      </c>
      <c r="BQ15" s="4" t="s">
        <v>72</v>
      </c>
      <c r="BR15" s="4" t="s">
        <v>72</v>
      </c>
      <c r="BS15" s="4" t="s">
        <v>70</v>
      </c>
      <c r="BT15" s="4" t="s">
        <v>73</v>
      </c>
      <c r="BU15" s="4" t="s">
        <v>72</v>
      </c>
      <c r="BV15" s="4" t="s">
        <v>70</v>
      </c>
      <c r="BW15" s="4" t="s">
        <v>73</v>
      </c>
      <c r="BX15" s="4" t="s">
        <v>70</v>
      </c>
      <c r="BY15" s="4" t="s">
        <v>70</v>
      </c>
      <c r="BZ15" s="4" t="s">
        <v>73</v>
      </c>
      <c r="CA15" s="4" t="s">
        <v>72</v>
      </c>
    </row>
    <row r="16" spans="1:79">
      <c r="A16" s="16" t="s">
        <v>763</v>
      </c>
      <c r="B16" s="16" t="s">
        <v>761</v>
      </c>
      <c r="C16" s="16" t="s">
        <v>749</v>
      </c>
      <c r="D16" s="16" t="s">
        <v>750</v>
      </c>
      <c r="E16" s="16">
        <v>86</v>
      </c>
      <c r="F16" s="16">
        <v>71</v>
      </c>
      <c r="G16" s="16">
        <v>1</v>
      </c>
      <c r="H16" s="4" t="s">
        <v>70</v>
      </c>
      <c r="I16" s="4" t="s">
        <v>73</v>
      </c>
      <c r="J16" s="4" t="s">
        <v>70</v>
      </c>
      <c r="K16" s="4" t="s">
        <v>72</v>
      </c>
      <c r="L16" s="4" t="s">
        <v>72</v>
      </c>
      <c r="M16" s="4" t="s">
        <v>70</v>
      </c>
      <c r="N16" s="4" t="s">
        <v>73</v>
      </c>
      <c r="O16" s="4" t="s">
        <v>72</v>
      </c>
      <c r="P16" s="4" t="s">
        <v>70</v>
      </c>
      <c r="Q16" s="4" t="s">
        <v>72</v>
      </c>
      <c r="R16" s="4" t="s">
        <v>73</v>
      </c>
      <c r="S16" s="4" t="s">
        <v>72</v>
      </c>
      <c r="T16" s="4" t="s">
        <v>70</v>
      </c>
      <c r="U16" s="4" t="s">
        <v>73</v>
      </c>
      <c r="V16" s="4" t="s">
        <v>73</v>
      </c>
      <c r="W16" s="10" t="s">
        <v>77</v>
      </c>
      <c r="X16" s="4" t="s">
        <v>73</v>
      </c>
      <c r="Y16" s="4" t="s">
        <v>70</v>
      </c>
      <c r="Z16" s="4" t="s">
        <v>70</v>
      </c>
      <c r="AA16" s="4" t="s">
        <v>73</v>
      </c>
      <c r="AB16" s="4" t="s">
        <v>73</v>
      </c>
      <c r="AC16" s="4" t="s">
        <v>72</v>
      </c>
      <c r="AD16" s="4" t="s">
        <v>73</v>
      </c>
      <c r="AE16" s="4" t="s">
        <v>72</v>
      </c>
      <c r="AF16" s="4" t="s">
        <v>73</v>
      </c>
      <c r="AG16" s="4" t="s">
        <v>72</v>
      </c>
      <c r="AH16" s="4" t="s">
        <v>70</v>
      </c>
      <c r="AI16" s="4" t="s">
        <v>72</v>
      </c>
      <c r="AJ16" s="4" t="s">
        <v>70</v>
      </c>
      <c r="AK16" s="4" t="s">
        <v>70</v>
      </c>
      <c r="AL16" s="4" t="s">
        <v>73</v>
      </c>
      <c r="AM16" s="4" t="s">
        <v>71</v>
      </c>
      <c r="AN16" s="4" t="s">
        <v>72</v>
      </c>
      <c r="AO16" s="4" t="s">
        <v>72</v>
      </c>
      <c r="AP16" s="4" t="s">
        <v>72</v>
      </c>
      <c r="AQ16" s="4" t="s">
        <v>73</v>
      </c>
      <c r="AR16" s="4" t="s">
        <v>71</v>
      </c>
      <c r="AS16" s="4" t="s">
        <v>70</v>
      </c>
      <c r="AT16" s="4" t="s">
        <v>72</v>
      </c>
      <c r="AU16" s="4" t="s">
        <v>72</v>
      </c>
      <c r="AV16" s="4" t="s">
        <v>72</v>
      </c>
      <c r="AW16" s="4" t="s">
        <v>73</v>
      </c>
      <c r="AX16" s="4" t="s">
        <v>71</v>
      </c>
      <c r="AY16" s="4" t="s">
        <v>72</v>
      </c>
      <c r="AZ16" s="4" t="s">
        <v>71</v>
      </c>
      <c r="BA16" s="4" t="s">
        <v>72</v>
      </c>
      <c r="BB16" s="4" t="s">
        <v>72</v>
      </c>
      <c r="BC16" s="4" t="s">
        <v>72</v>
      </c>
      <c r="BD16" s="4" t="s">
        <v>72</v>
      </c>
      <c r="BE16" s="4" t="s">
        <v>72</v>
      </c>
      <c r="BF16" s="4" t="s">
        <v>72</v>
      </c>
      <c r="BG16" s="4" t="s">
        <v>72</v>
      </c>
      <c r="BH16" s="4" t="s">
        <v>70</v>
      </c>
      <c r="BI16" s="4" t="s">
        <v>72</v>
      </c>
      <c r="BJ16" s="4" t="s">
        <v>72</v>
      </c>
      <c r="BK16" s="4" t="s">
        <v>71</v>
      </c>
      <c r="BL16" s="4" t="s">
        <v>72</v>
      </c>
      <c r="BM16" s="4" t="s">
        <v>73</v>
      </c>
      <c r="BN16" s="4" t="s">
        <v>72</v>
      </c>
      <c r="BO16" s="4" t="s">
        <v>71</v>
      </c>
      <c r="BP16" s="4" t="s">
        <v>71</v>
      </c>
      <c r="BQ16" s="4" t="s">
        <v>73</v>
      </c>
      <c r="BR16" s="4" t="s">
        <v>70</v>
      </c>
      <c r="BS16" s="4" t="s">
        <v>70</v>
      </c>
      <c r="BT16" s="4" t="s">
        <v>73</v>
      </c>
      <c r="BU16" s="4" t="s">
        <v>72</v>
      </c>
      <c r="BV16" s="4" t="s">
        <v>71</v>
      </c>
      <c r="BW16" s="4" t="s">
        <v>72</v>
      </c>
      <c r="BX16" s="4" t="s">
        <v>73</v>
      </c>
      <c r="BY16" s="4" t="s">
        <v>71</v>
      </c>
      <c r="BZ16" s="4" t="s">
        <v>72</v>
      </c>
      <c r="CA16" s="4" t="s">
        <v>72</v>
      </c>
    </row>
    <row r="17" spans="1:79">
      <c r="A17" s="16" t="s">
        <v>764</v>
      </c>
      <c r="B17" s="16" t="s">
        <v>761</v>
      </c>
      <c r="C17" s="16" t="s">
        <v>749</v>
      </c>
      <c r="D17" s="16" t="s">
        <v>328</v>
      </c>
      <c r="E17" s="16">
        <v>85</v>
      </c>
      <c r="F17" s="16">
        <v>71</v>
      </c>
      <c r="G17" s="16">
        <v>1</v>
      </c>
      <c r="H17" s="4" t="s">
        <v>72</v>
      </c>
      <c r="I17" s="4" t="s">
        <v>72</v>
      </c>
      <c r="J17" s="4" t="s">
        <v>72</v>
      </c>
      <c r="K17" s="4" t="s">
        <v>73</v>
      </c>
      <c r="L17" s="4" t="s">
        <v>70</v>
      </c>
      <c r="M17" s="4" t="s">
        <v>73</v>
      </c>
      <c r="N17" s="4" t="s">
        <v>72</v>
      </c>
      <c r="O17" s="4" t="s">
        <v>72</v>
      </c>
      <c r="P17" s="4" t="s">
        <v>73</v>
      </c>
      <c r="Q17" s="4" t="s">
        <v>72</v>
      </c>
      <c r="R17" s="4" t="s">
        <v>70</v>
      </c>
      <c r="S17" s="4" t="s">
        <v>72</v>
      </c>
      <c r="T17" s="4" t="s">
        <v>70</v>
      </c>
      <c r="U17" s="4" t="s">
        <v>70</v>
      </c>
      <c r="V17" s="4" t="s">
        <v>72</v>
      </c>
      <c r="W17" s="10" t="s">
        <v>77</v>
      </c>
      <c r="X17" s="4" t="s">
        <v>73</v>
      </c>
      <c r="Y17" s="4" t="s">
        <v>70</v>
      </c>
      <c r="Z17" s="4" t="s">
        <v>70</v>
      </c>
      <c r="AA17" s="4" t="s">
        <v>72</v>
      </c>
      <c r="AB17" s="4" t="s">
        <v>72</v>
      </c>
      <c r="AC17" s="4" t="s">
        <v>70</v>
      </c>
      <c r="AD17" s="4" t="s">
        <v>70</v>
      </c>
      <c r="AE17" s="4" t="s">
        <v>72</v>
      </c>
      <c r="AF17" s="4" t="s">
        <v>70</v>
      </c>
      <c r="AG17" s="4" t="s">
        <v>72</v>
      </c>
      <c r="AH17" s="4" t="s">
        <v>72</v>
      </c>
      <c r="AI17" s="4" t="s">
        <v>70</v>
      </c>
      <c r="AJ17" s="4" t="s">
        <v>72</v>
      </c>
      <c r="AK17" s="4" t="s">
        <v>72</v>
      </c>
      <c r="AL17" s="4" t="s">
        <v>72</v>
      </c>
      <c r="AM17" s="4" t="s">
        <v>72</v>
      </c>
      <c r="AN17" s="4" t="s">
        <v>72</v>
      </c>
      <c r="AO17" s="4" t="s">
        <v>71</v>
      </c>
      <c r="AP17" s="4" t="s">
        <v>72</v>
      </c>
      <c r="AQ17" s="4" t="s">
        <v>73</v>
      </c>
      <c r="AR17" s="4" t="s">
        <v>73</v>
      </c>
      <c r="AS17" s="4" t="s">
        <v>70</v>
      </c>
      <c r="AT17" s="4" t="s">
        <v>70</v>
      </c>
      <c r="AU17" s="4" t="s">
        <v>72</v>
      </c>
      <c r="AV17" s="4" t="s">
        <v>73</v>
      </c>
      <c r="AW17" s="4" t="s">
        <v>71</v>
      </c>
      <c r="AX17" s="4" t="s">
        <v>73</v>
      </c>
      <c r="AY17" s="4" t="s">
        <v>73</v>
      </c>
      <c r="AZ17" s="4" t="s">
        <v>71</v>
      </c>
      <c r="BA17" s="4" t="s">
        <v>72</v>
      </c>
      <c r="BB17" s="4" t="s">
        <v>73</v>
      </c>
      <c r="BC17" s="4" t="s">
        <v>73</v>
      </c>
      <c r="BD17" s="4" t="s">
        <v>72</v>
      </c>
      <c r="BE17" s="4" t="s">
        <v>70</v>
      </c>
      <c r="BF17" s="4" t="s">
        <v>73</v>
      </c>
      <c r="BG17" s="4" t="s">
        <v>73</v>
      </c>
      <c r="BH17" s="4" t="s">
        <v>70</v>
      </c>
      <c r="BI17" s="4" t="s">
        <v>72</v>
      </c>
      <c r="BJ17" s="4" t="s">
        <v>72</v>
      </c>
      <c r="BK17" s="4" t="s">
        <v>71</v>
      </c>
      <c r="BL17" s="4" t="s">
        <v>71</v>
      </c>
      <c r="BM17" s="4" t="s">
        <v>71</v>
      </c>
      <c r="BN17" s="4" t="s">
        <v>72</v>
      </c>
      <c r="BO17" s="4" t="s">
        <v>72</v>
      </c>
      <c r="BP17" s="4" t="s">
        <v>71</v>
      </c>
      <c r="BQ17" s="4" t="s">
        <v>72</v>
      </c>
      <c r="BR17" s="4" t="s">
        <v>72</v>
      </c>
      <c r="BS17" s="4" t="s">
        <v>71</v>
      </c>
      <c r="BT17" s="4" t="s">
        <v>73</v>
      </c>
      <c r="BU17" s="4" t="s">
        <v>73</v>
      </c>
      <c r="BV17" s="4" t="s">
        <v>72</v>
      </c>
      <c r="BW17" s="4" t="s">
        <v>71</v>
      </c>
      <c r="BX17" s="4" t="s">
        <v>72</v>
      </c>
      <c r="BY17" s="4" t="s">
        <v>70</v>
      </c>
      <c r="BZ17" s="4" t="s">
        <v>73</v>
      </c>
      <c r="CA17" s="4" t="s">
        <v>73</v>
      </c>
    </row>
    <row r="18" spans="1:79">
      <c r="A18" s="16" t="s">
        <v>765</v>
      </c>
      <c r="B18" s="16" t="s">
        <v>761</v>
      </c>
      <c r="C18" s="16" t="s">
        <v>749</v>
      </c>
      <c r="D18" s="16" t="s">
        <v>328</v>
      </c>
      <c r="E18" s="16">
        <v>86</v>
      </c>
      <c r="F18" s="16">
        <v>72</v>
      </c>
      <c r="G18" s="16">
        <v>0</v>
      </c>
      <c r="H18" s="4" t="s">
        <v>72</v>
      </c>
      <c r="I18" s="4" t="s">
        <v>72</v>
      </c>
      <c r="J18" s="4" t="s">
        <v>71</v>
      </c>
      <c r="K18" s="4" t="s">
        <v>72</v>
      </c>
      <c r="L18" s="4" t="s">
        <v>72</v>
      </c>
      <c r="M18" s="4" t="s">
        <v>73</v>
      </c>
      <c r="N18" s="4" t="s">
        <v>72</v>
      </c>
      <c r="O18" s="4" t="s">
        <v>72</v>
      </c>
      <c r="P18" s="4" t="s">
        <v>71</v>
      </c>
      <c r="Q18" s="4" t="s">
        <v>72</v>
      </c>
      <c r="R18" s="4" t="s">
        <v>72</v>
      </c>
      <c r="S18" s="4" t="s">
        <v>70</v>
      </c>
      <c r="T18" s="4" t="s">
        <v>73</v>
      </c>
      <c r="U18" s="4" t="s">
        <v>73</v>
      </c>
      <c r="V18" s="4" t="s">
        <v>73</v>
      </c>
      <c r="W18" s="4" t="s">
        <v>73</v>
      </c>
      <c r="X18" s="4" t="s">
        <v>73</v>
      </c>
      <c r="Y18" s="4" t="s">
        <v>70</v>
      </c>
      <c r="Z18" s="4" t="s">
        <v>70</v>
      </c>
      <c r="AA18" s="4" t="s">
        <v>72</v>
      </c>
      <c r="AB18" s="4" t="s">
        <v>70</v>
      </c>
      <c r="AC18" s="4" t="s">
        <v>72</v>
      </c>
      <c r="AD18" s="4" t="s">
        <v>71</v>
      </c>
      <c r="AE18" s="4" t="s">
        <v>73</v>
      </c>
      <c r="AF18" s="4" t="s">
        <v>70</v>
      </c>
      <c r="AG18" s="4" t="s">
        <v>71</v>
      </c>
      <c r="AH18" s="4" t="s">
        <v>73</v>
      </c>
      <c r="AI18" s="4" t="s">
        <v>72</v>
      </c>
      <c r="AJ18" s="4" t="s">
        <v>73</v>
      </c>
      <c r="AK18" s="4" t="s">
        <v>72</v>
      </c>
      <c r="AL18" s="4" t="s">
        <v>72</v>
      </c>
      <c r="AM18" s="4" t="s">
        <v>70</v>
      </c>
      <c r="AN18" s="4" t="s">
        <v>72</v>
      </c>
      <c r="AO18" s="4" t="s">
        <v>72</v>
      </c>
      <c r="AP18" s="4" t="s">
        <v>72</v>
      </c>
      <c r="AQ18" s="4" t="s">
        <v>73</v>
      </c>
      <c r="AR18" s="4" t="s">
        <v>73</v>
      </c>
      <c r="AS18" s="4" t="s">
        <v>71</v>
      </c>
      <c r="AT18" s="4" t="s">
        <v>73</v>
      </c>
      <c r="AU18" s="4" t="s">
        <v>70</v>
      </c>
      <c r="AV18" s="4" t="s">
        <v>72</v>
      </c>
      <c r="AW18" s="4" t="s">
        <v>70</v>
      </c>
      <c r="AX18" s="4" t="s">
        <v>72</v>
      </c>
      <c r="AY18" s="4" t="s">
        <v>73</v>
      </c>
      <c r="AZ18" s="4" t="s">
        <v>70</v>
      </c>
      <c r="BA18" s="4" t="s">
        <v>73</v>
      </c>
      <c r="BB18" s="4" t="s">
        <v>73</v>
      </c>
      <c r="BC18" s="4" t="s">
        <v>72</v>
      </c>
      <c r="BD18" s="4" t="s">
        <v>73</v>
      </c>
      <c r="BE18" s="4" t="s">
        <v>73</v>
      </c>
      <c r="BF18" s="4" t="s">
        <v>72</v>
      </c>
      <c r="BG18" s="4" t="s">
        <v>72</v>
      </c>
      <c r="BH18" s="4" t="s">
        <v>70</v>
      </c>
      <c r="BI18" s="4" t="s">
        <v>72</v>
      </c>
      <c r="BJ18" s="4" t="s">
        <v>72</v>
      </c>
      <c r="BK18" s="4" t="s">
        <v>71</v>
      </c>
      <c r="BL18" s="4" t="s">
        <v>70</v>
      </c>
      <c r="BM18" s="4" t="s">
        <v>70</v>
      </c>
      <c r="BN18" s="4" t="s">
        <v>73</v>
      </c>
      <c r="BO18" s="4" t="s">
        <v>73</v>
      </c>
      <c r="BP18" s="4" t="s">
        <v>71</v>
      </c>
      <c r="BQ18" s="4" t="s">
        <v>73</v>
      </c>
      <c r="BR18" s="4" t="s">
        <v>70</v>
      </c>
      <c r="BS18" s="4" t="s">
        <v>72</v>
      </c>
      <c r="BT18" s="4" t="s">
        <v>72</v>
      </c>
      <c r="BU18" s="4" t="s">
        <v>73</v>
      </c>
      <c r="BV18" s="4" t="s">
        <v>72</v>
      </c>
      <c r="BW18" s="4" t="s">
        <v>70</v>
      </c>
      <c r="BX18" s="4" t="s">
        <v>73</v>
      </c>
      <c r="BY18" s="4" t="s">
        <v>70</v>
      </c>
      <c r="BZ18" s="4" t="s">
        <v>72</v>
      </c>
      <c r="CA18" s="4" t="s">
        <v>73</v>
      </c>
    </row>
    <row r="19" spans="1:79">
      <c r="A19" s="16" t="s">
        <v>766</v>
      </c>
      <c r="B19" s="16" t="s">
        <v>761</v>
      </c>
      <c r="C19" s="16" t="s">
        <v>749</v>
      </c>
      <c r="D19" s="16" t="s">
        <v>328</v>
      </c>
      <c r="E19" s="16">
        <v>92</v>
      </c>
      <c r="F19" s="16">
        <v>72</v>
      </c>
      <c r="G19" s="16">
        <v>0</v>
      </c>
      <c r="H19" s="4" t="s">
        <v>71</v>
      </c>
      <c r="I19" s="4" t="s">
        <v>72</v>
      </c>
      <c r="J19" s="4" t="s">
        <v>73</v>
      </c>
      <c r="K19" s="4" t="s">
        <v>70</v>
      </c>
      <c r="L19" s="4" t="s">
        <v>72</v>
      </c>
      <c r="M19" s="4" t="s">
        <v>71</v>
      </c>
      <c r="N19" s="4" t="s">
        <v>73</v>
      </c>
      <c r="O19" s="4" t="s">
        <v>72</v>
      </c>
      <c r="P19" s="4" t="s">
        <v>70</v>
      </c>
      <c r="Q19" s="4" t="s">
        <v>73</v>
      </c>
      <c r="R19" s="4" t="s">
        <v>72</v>
      </c>
      <c r="S19" s="4" t="s">
        <v>71</v>
      </c>
      <c r="T19" s="4" t="s">
        <v>72</v>
      </c>
      <c r="U19" s="4" t="s">
        <v>70</v>
      </c>
      <c r="V19" s="4" t="s">
        <v>72</v>
      </c>
      <c r="W19" s="4" t="s">
        <v>73</v>
      </c>
      <c r="X19" s="4" t="s">
        <v>73</v>
      </c>
      <c r="Y19" s="4" t="s">
        <v>70</v>
      </c>
      <c r="Z19" s="4" t="s">
        <v>70</v>
      </c>
      <c r="AA19" s="4" t="s">
        <v>71</v>
      </c>
      <c r="AB19" s="4" t="s">
        <v>73</v>
      </c>
      <c r="AC19" s="4" t="s">
        <v>73</v>
      </c>
      <c r="AD19" s="4" t="s">
        <v>70</v>
      </c>
      <c r="AE19" s="4" t="s">
        <v>73</v>
      </c>
      <c r="AF19" s="4" t="s">
        <v>72</v>
      </c>
      <c r="AG19" s="4" t="s">
        <v>73</v>
      </c>
      <c r="AH19" s="4" t="s">
        <v>72</v>
      </c>
      <c r="AI19" s="4" t="s">
        <v>72</v>
      </c>
      <c r="AJ19" s="4" t="s">
        <v>72</v>
      </c>
      <c r="AK19" s="4" t="s">
        <v>73</v>
      </c>
      <c r="AL19" s="4" t="s">
        <v>72</v>
      </c>
      <c r="AM19" s="4" t="s">
        <v>73</v>
      </c>
      <c r="AN19" s="4" t="s">
        <v>71</v>
      </c>
      <c r="AO19" s="4" t="s">
        <v>71</v>
      </c>
      <c r="AP19" s="4" t="s">
        <v>72</v>
      </c>
      <c r="AQ19" s="4" t="s">
        <v>73</v>
      </c>
      <c r="AR19" s="4" t="s">
        <v>70</v>
      </c>
      <c r="AS19" s="4" t="s">
        <v>72</v>
      </c>
      <c r="AT19" s="4" t="s">
        <v>70</v>
      </c>
      <c r="AU19" s="4" t="s">
        <v>72</v>
      </c>
      <c r="AV19" s="4" t="s">
        <v>73</v>
      </c>
      <c r="AW19" s="4" t="s">
        <v>72</v>
      </c>
      <c r="AX19" s="4" t="s">
        <v>73</v>
      </c>
      <c r="AY19" s="4" t="s">
        <v>70</v>
      </c>
      <c r="AZ19" s="4" t="s">
        <v>73</v>
      </c>
      <c r="BA19" s="4" t="s">
        <v>73</v>
      </c>
      <c r="BB19" s="4" t="s">
        <v>70</v>
      </c>
      <c r="BC19" s="4" t="s">
        <v>73</v>
      </c>
      <c r="BD19" s="4" t="s">
        <v>73</v>
      </c>
      <c r="BE19" s="4" t="s">
        <v>70</v>
      </c>
      <c r="BF19" s="4" t="s">
        <v>73</v>
      </c>
      <c r="BG19" s="4" t="s">
        <v>73</v>
      </c>
      <c r="BH19" s="4" t="s">
        <v>70</v>
      </c>
      <c r="BI19" s="4" t="s">
        <v>72</v>
      </c>
      <c r="BJ19" s="4" t="s">
        <v>71</v>
      </c>
      <c r="BK19" s="4" t="s">
        <v>71</v>
      </c>
      <c r="BL19" s="4" t="s">
        <v>72</v>
      </c>
      <c r="BM19" s="4" t="s">
        <v>73</v>
      </c>
      <c r="BN19" s="4" t="s">
        <v>70</v>
      </c>
      <c r="BO19" s="4" t="s">
        <v>72</v>
      </c>
      <c r="BP19" s="4" t="s">
        <v>71</v>
      </c>
      <c r="BQ19" s="4" t="s">
        <v>72</v>
      </c>
      <c r="BR19" s="4" t="s">
        <v>72</v>
      </c>
      <c r="BS19" s="4" t="s">
        <v>72</v>
      </c>
      <c r="BT19" s="4" t="s">
        <v>72</v>
      </c>
      <c r="BU19" s="4" t="s">
        <v>72</v>
      </c>
      <c r="BV19" s="4" t="s">
        <v>71</v>
      </c>
      <c r="BW19" s="4" t="s">
        <v>73</v>
      </c>
      <c r="BX19" s="4" t="s">
        <v>72</v>
      </c>
      <c r="BY19" s="4" t="s">
        <v>72</v>
      </c>
      <c r="BZ19" s="4" t="s">
        <v>73</v>
      </c>
      <c r="CA19" s="4" t="s">
        <v>70</v>
      </c>
    </row>
    <row r="20" spans="1:79">
      <c r="A20" s="16" t="s">
        <v>767</v>
      </c>
      <c r="B20" s="16" t="s">
        <v>761</v>
      </c>
      <c r="C20" s="16" t="s">
        <v>749</v>
      </c>
      <c r="D20" s="16" t="s">
        <v>750</v>
      </c>
      <c r="E20" s="16">
        <v>77</v>
      </c>
      <c r="F20" s="16">
        <v>72</v>
      </c>
      <c r="G20" s="16">
        <v>0</v>
      </c>
      <c r="H20" s="4" t="s">
        <v>72</v>
      </c>
      <c r="I20" s="4" t="s">
        <v>72</v>
      </c>
      <c r="J20" s="4" t="s">
        <v>72</v>
      </c>
      <c r="K20" s="4" t="s">
        <v>73</v>
      </c>
      <c r="L20" s="4" t="s">
        <v>73</v>
      </c>
      <c r="M20" s="4" t="s">
        <v>72</v>
      </c>
      <c r="N20" s="4" t="s">
        <v>70</v>
      </c>
      <c r="O20" s="4" t="s">
        <v>72</v>
      </c>
      <c r="P20" s="4" t="s">
        <v>73</v>
      </c>
      <c r="Q20" s="4" t="s">
        <v>70</v>
      </c>
      <c r="R20" s="4" t="s">
        <v>72</v>
      </c>
      <c r="S20" s="4" t="s">
        <v>72</v>
      </c>
      <c r="T20" s="4" t="s">
        <v>72</v>
      </c>
      <c r="U20" s="4" t="s">
        <v>73</v>
      </c>
      <c r="V20" s="4" t="s">
        <v>72</v>
      </c>
      <c r="W20" s="4" t="s">
        <v>73</v>
      </c>
      <c r="X20" s="4" t="s">
        <v>73</v>
      </c>
      <c r="Y20" s="4" t="s">
        <v>70</v>
      </c>
      <c r="Z20" s="4" t="s">
        <v>70</v>
      </c>
      <c r="AA20" s="4" t="s">
        <v>70</v>
      </c>
      <c r="AB20" s="4" t="s">
        <v>72</v>
      </c>
      <c r="AC20" s="4" t="s">
        <v>70</v>
      </c>
      <c r="AD20" s="4" t="s">
        <v>73</v>
      </c>
      <c r="AE20" s="4" t="s">
        <v>73</v>
      </c>
      <c r="AF20" s="4" t="s">
        <v>72</v>
      </c>
      <c r="AG20" s="4" t="s">
        <v>70</v>
      </c>
      <c r="AH20" s="4" t="s">
        <v>72</v>
      </c>
      <c r="AI20" s="4" t="s">
        <v>72</v>
      </c>
      <c r="AJ20" s="4" t="s">
        <v>72</v>
      </c>
      <c r="AK20" s="4" t="s">
        <v>72</v>
      </c>
      <c r="AL20" s="4" t="s">
        <v>73</v>
      </c>
      <c r="AM20" s="4" t="s">
        <v>72</v>
      </c>
      <c r="AN20" s="4" t="s">
        <v>72</v>
      </c>
      <c r="AO20" s="4" t="s">
        <v>72</v>
      </c>
      <c r="AP20" s="4" t="s">
        <v>72</v>
      </c>
      <c r="AQ20" s="4" t="s">
        <v>73</v>
      </c>
      <c r="AR20" s="4" t="s">
        <v>70</v>
      </c>
      <c r="AS20" s="4" t="s">
        <v>73</v>
      </c>
      <c r="AT20" s="4" t="s">
        <v>72</v>
      </c>
      <c r="AU20" s="4" t="s">
        <v>73</v>
      </c>
      <c r="AV20" s="4" t="s">
        <v>73</v>
      </c>
      <c r="AW20" s="4" t="s">
        <v>73</v>
      </c>
      <c r="AX20" s="4" t="s">
        <v>71</v>
      </c>
      <c r="AY20" s="4" t="s">
        <v>72</v>
      </c>
      <c r="AZ20" s="4" t="s">
        <v>71</v>
      </c>
      <c r="BA20" s="4" t="s">
        <v>73</v>
      </c>
      <c r="BB20" s="4" t="s">
        <v>71</v>
      </c>
      <c r="BC20" s="4" t="s">
        <v>70</v>
      </c>
      <c r="BD20" s="4" t="s">
        <v>71</v>
      </c>
      <c r="BE20" s="4" t="s">
        <v>73</v>
      </c>
      <c r="BF20" s="4" t="s">
        <v>72</v>
      </c>
      <c r="BG20" s="4" t="s">
        <v>72</v>
      </c>
      <c r="BH20" s="4" t="s">
        <v>70</v>
      </c>
      <c r="BI20" s="4" t="s">
        <v>72</v>
      </c>
      <c r="BJ20" s="4" t="s">
        <v>72</v>
      </c>
      <c r="BK20" s="4" t="s">
        <v>71</v>
      </c>
      <c r="BL20" s="4" t="s">
        <v>72</v>
      </c>
      <c r="BM20" s="4" t="s">
        <v>73</v>
      </c>
      <c r="BN20" s="4" t="s">
        <v>73</v>
      </c>
      <c r="BO20" s="4" t="s">
        <v>70</v>
      </c>
      <c r="BP20" s="4" t="s">
        <v>71</v>
      </c>
      <c r="BQ20" s="4" t="s">
        <v>70</v>
      </c>
      <c r="BR20" s="4" t="s">
        <v>73</v>
      </c>
      <c r="BS20" s="4" t="s">
        <v>71</v>
      </c>
      <c r="BT20" s="4" t="s">
        <v>70</v>
      </c>
      <c r="BU20" s="4" t="s">
        <v>71</v>
      </c>
      <c r="BV20" s="4" t="s">
        <v>73</v>
      </c>
      <c r="BW20" s="4" t="s">
        <v>72</v>
      </c>
      <c r="BX20" s="4" t="s">
        <v>72</v>
      </c>
      <c r="BY20" s="4" t="s">
        <v>73</v>
      </c>
      <c r="BZ20" s="4" t="s">
        <v>70</v>
      </c>
      <c r="CA20" s="4" t="s">
        <v>73</v>
      </c>
    </row>
    <row r="21" spans="1:79">
      <c r="A21" s="16" t="s">
        <v>768</v>
      </c>
      <c r="B21" s="16" t="s">
        <v>761</v>
      </c>
      <c r="C21" s="16" t="s">
        <v>749</v>
      </c>
      <c r="D21" s="16" t="s">
        <v>750</v>
      </c>
      <c r="E21" s="16">
        <v>71</v>
      </c>
      <c r="F21" s="16">
        <v>71</v>
      </c>
      <c r="G21" s="16">
        <v>1</v>
      </c>
      <c r="H21" s="4" t="s">
        <v>73</v>
      </c>
      <c r="I21" s="4" t="s">
        <v>72</v>
      </c>
      <c r="J21" s="4" t="s">
        <v>73</v>
      </c>
      <c r="K21" s="4" t="s">
        <v>72</v>
      </c>
      <c r="L21" s="4" t="s">
        <v>73</v>
      </c>
      <c r="M21" s="4" t="s">
        <v>73</v>
      </c>
      <c r="N21" s="4" t="s">
        <v>73</v>
      </c>
      <c r="O21" s="4" t="s">
        <v>72</v>
      </c>
      <c r="P21" s="4" t="s">
        <v>73</v>
      </c>
      <c r="Q21" s="4" t="s">
        <v>73</v>
      </c>
      <c r="R21" s="4" t="s">
        <v>73</v>
      </c>
      <c r="S21" s="4" t="s">
        <v>72</v>
      </c>
      <c r="T21" s="4" t="s">
        <v>72</v>
      </c>
      <c r="U21" s="4" t="s">
        <v>73</v>
      </c>
      <c r="V21" s="4" t="s">
        <v>71</v>
      </c>
      <c r="W21" s="4" t="s">
        <v>72</v>
      </c>
      <c r="X21" s="4" t="s">
        <v>71</v>
      </c>
      <c r="Y21" s="4" t="s">
        <v>70</v>
      </c>
      <c r="Z21" s="4" t="s">
        <v>70</v>
      </c>
      <c r="AA21" s="4" t="s">
        <v>73</v>
      </c>
      <c r="AB21" s="4" t="s">
        <v>73</v>
      </c>
      <c r="AC21" s="4" t="s">
        <v>70</v>
      </c>
      <c r="AD21" s="4" t="s">
        <v>70</v>
      </c>
      <c r="AE21" s="4" t="s">
        <v>70</v>
      </c>
      <c r="AF21" s="4" t="s">
        <v>72</v>
      </c>
      <c r="AG21" s="4" t="s">
        <v>72</v>
      </c>
      <c r="AH21" s="4" t="s">
        <v>73</v>
      </c>
      <c r="AI21" s="4" t="s">
        <v>72</v>
      </c>
      <c r="AJ21" s="4" t="s">
        <v>73</v>
      </c>
      <c r="AK21" s="4" t="s">
        <v>72</v>
      </c>
      <c r="AL21" s="4" t="s">
        <v>72</v>
      </c>
      <c r="AM21" s="4" t="s">
        <v>73</v>
      </c>
      <c r="AN21" s="4" t="s">
        <v>72</v>
      </c>
      <c r="AO21" s="4" t="s">
        <v>72</v>
      </c>
      <c r="AP21" s="4" t="s">
        <v>72</v>
      </c>
      <c r="AQ21" s="4" t="s">
        <v>73</v>
      </c>
      <c r="AR21" s="4" t="s">
        <v>73</v>
      </c>
      <c r="AS21" s="4" t="s">
        <v>72</v>
      </c>
      <c r="AT21" s="4" t="s">
        <v>73</v>
      </c>
      <c r="AU21" s="4" t="s">
        <v>73</v>
      </c>
      <c r="AV21" s="4" t="s">
        <v>72</v>
      </c>
      <c r="AW21" s="4" t="s">
        <v>70</v>
      </c>
      <c r="AX21" s="4" t="s">
        <v>72</v>
      </c>
      <c r="AY21" s="4" t="s">
        <v>73</v>
      </c>
      <c r="AZ21" s="4" t="s">
        <v>72</v>
      </c>
      <c r="BA21" s="10" t="s">
        <v>77</v>
      </c>
      <c r="BB21" s="4" t="s">
        <v>70</v>
      </c>
      <c r="BC21" s="4" t="s">
        <v>70</v>
      </c>
      <c r="BD21" s="4" t="s">
        <v>73</v>
      </c>
      <c r="BE21" s="4" t="s">
        <v>73</v>
      </c>
      <c r="BF21" s="4" t="s">
        <v>73</v>
      </c>
      <c r="BG21" s="4" t="s">
        <v>70</v>
      </c>
      <c r="BH21" s="4" t="s">
        <v>70</v>
      </c>
      <c r="BI21" s="4" t="s">
        <v>73</v>
      </c>
      <c r="BJ21" s="4" t="s">
        <v>72</v>
      </c>
      <c r="BK21" s="4" t="s">
        <v>71</v>
      </c>
      <c r="BL21" s="4" t="s">
        <v>70</v>
      </c>
      <c r="BM21" s="4" t="s">
        <v>72</v>
      </c>
      <c r="BN21" s="4" t="s">
        <v>71</v>
      </c>
      <c r="BO21" s="4" t="s">
        <v>72</v>
      </c>
      <c r="BP21" s="4" t="s">
        <v>71</v>
      </c>
      <c r="BQ21" s="4" t="s">
        <v>72</v>
      </c>
      <c r="BR21" s="4" t="s">
        <v>72</v>
      </c>
      <c r="BS21" s="4" t="s">
        <v>72</v>
      </c>
      <c r="BT21" s="4" t="s">
        <v>72</v>
      </c>
      <c r="BU21" s="4" t="s">
        <v>72</v>
      </c>
      <c r="BV21" s="4" t="s">
        <v>72</v>
      </c>
      <c r="BW21" s="4" t="s">
        <v>73</v>
      </c>
      <c r="BX21" s="4" t="s">
        <v>73</v>
      </c>
      <c r="BY21" s="4" t="s">
        <v>72</v>
      </c>
      <c r="BZ21" s="4" t="s">
        <v>73</v>
      </c>
      <c r="CA21" s="4" t="s">
        <v>72</v>
      </c>
    </row>
    <row r="22" spans="1:79">
      <c r="A22" s="16" t="s">
        <v>769</v>
      </c>
      <c r="B22" s="16" t="s">
        <v>761</v>
      </c>
      <c r="C22" s="16" t="s">
        <v>749</v>
      </c>
      <c r="D22" s="16" t="s">
        <v>328</v>
      </c>
      <c r="E22" s="16">
        <v>85</v>
      </c>
      <c r="F22" s="16">
        <v>72</v>
      </c>
      <c r="G22" s="16">
        <v>0</v>
      </c>
      <c r="H22" s="4" t="s">
        <v>71</v>
      </c>
      <c r="I22" s="4" t="s">
        <v>71</v>
      </c>
      <c r="J22" s="4" t="s">
        <v>72</v>
      </c>
      <c r="K22" s="4" t="s">
        <v>72</v>
      </c>
      <c r="L22" s="4" t="s">
        <v>72</v>
      </c>
      <c r="M22" s="4" t="s">
        <v>73</v>
      </c>
      <c r="N22" s="4" t="s">
        <v>72</v>
      </c>
      <c r="O22" s="4" t="s">
        <v>72</v>
      </c>
      <c r="P22" s="4" t="s">
        <v>73</v>
      </c>
      <c r="Q22" s="4" t="s">
        <v>73</v>
      </c>
      <c r="R22" s="4" t="s">
        <v>73</v>
      </c>
      <c r="S22" s="4" t="s">
        <v>70</v>
      </c>
      <c r="T22" s="4" t="s">
        <v>70</v>
      </c>
      <c r="U22" s="4" t="s">
        <v>72</v>
      </c>
      <c r="V22" s="4" t="s">
        <v>72</v>
      </c>
      <c r="W22" s="4" t="s">
        <v>72</v>
      </c>
      <c r="X22" s="4" t="s">
        <v>71</v>
      </c>
      <c r="Y22" s="4" t="s">
        <v>70</v>
      </c>
      <c r="Z22" s="4" t="s">
        <v>70</v>
      </c>
      <c r="AA22" s="4" t="s">
        <v>73</v>
      </c>
      <c r="AB22" s="4" t="s">
        <v>73</v>
      </c>
      <c r="AC22" s="4" t="s">
        <v>72</v>
      </c>
      <c r="AD22" s="4" t="s">
        <v>72</v>
      </c>
      <c r="AE22" s="4" t="s">
        <v>72</v>
      </c>
      <c r="AF22" s="4" t="s">
        <v>71</v>
      </c>
      <c r="AG22" s="4" t="s">
        <v>72</v>
      </c>
      <c r="AH22" s="4" t="s">
        <v>72</v>
      </c>
      <c r="AI22" s="4" t="s">
        <v>73</v>
      </c>
      <c r="AJ22" s="4" t="s">
        <v>73</v>
      </c>
      <c r="AK22" s="4" t="s">
        <v>72</v>
      </c>
      <c r="AL22" s="4" t="s">
        <v>73</v>
      </c>
      <c r="AM22" s="4" t="s">
        <v>72</v>
      </c>
      <c r="AN22" s="4" t="s">
        <v>72</v>
      </c>
      <c r="AO22" s="4" t="s">
        <v>71</v>
      </c>
      <c r="AP22" s="4" t="s">
        <v>72</v>
      </c>
      <c r="AQ22" s="4" t="s">
        <v>73</v>
      </c>
      <c r="AR22" s="4" t="s">
        <v>73</v>
      </c>
      <c r="AS22" s="4" t="s">
        <v>73</v>
      </c>
      <c r="AT22" s="4" t="s">
        <v>73</v>
      </c>
      <c r="AU22" s="4" t="s">
        <v>73</v>
      </c>
      <c r="AV22" s="4" t="s">
        <v>72</v>
      </c>
      <c r="AW22" s="4" t="s">
        <v>72</v>
      </c>
      <c r="AX22" s="4" t="s">
        <v>73</v>
      </c>
      <c r="AY22" s="4" t="s">
        <v>73</v>
      </c>
      <c r="AZ22" s="4" t="s">
        <v>70</v>
      </c>
      <c r="BA22" s="4" t="s">
        <v>72</v>
      </c>
      <c r="BB22" s="4" t="s">
        <v>72</v>
      </c>
      <c r="BC22" s="4" t="s">
        <v>70</v>
      </c>
      <c r="BD22" s="4" t="s">
        <v>72</v>
      </c>
      <c r="BE22" s="4" t="s">
        <v>72</v>
      </c>
      <c r="BF22" s="4" t="s">
        <v>72</v>
      </c>
      <c r="BG22" s="4" t="s">
        <v>71</v>
      </c>
      <c r="BH22" s="4" t="s">
        <v>70</v>
      </c>
      <c r="BI22" s="4" t="s">
        <v>73</v>
      </c>
      <c r="BJ22" s="4" t="s">
        <v>72</v>
      </c>
      <c r="BK22" s="4" t="s">
        <v>71</v>
      </c>
      <c r="BL22" s="4" t="s">
        <v>70</v>
      </c>
      <c r="BM22" s="4" t="s">
        <v>72</v>
      </c>
      <c r="BN22" s="4" t="s">
        <v>72</v>
      </c>
      <c r="BO22" s="4" t="s">
        <v>72</v>
      </c>
      <c r="BP22" s="4" t="s">
        <v>71</v>
      </c>
      <c r="BQ22" s="4" t="s">
        <v>70</v>
      </c>
      <c r="BR22" s="4" t="s">
        <v>73</v>
      </c>
      <c r="BS22" s="4" t="s">
        <v>73</v>
      </c>
      <c r="BT22" s="4" t="s">
        <v>73</v>
      </c>
      <c r="BU22" s="4" t="s">
        <v>73</v>
      </c>
      <c r="BV22" s="4" t="s">
        <v>72</v>
      </c>
      <c r="BW22" s="4" t="s">
        <v>70</v>
      </c>
      <c r="BX22" s="4" t="s">
        <v>73</v>
      </c>
      <c r="BY22" s="4" t="s">
        <v>73</v>
      </c>
      <c r="BZ22" s="4" t="s">
        <v>70</v>
      </c>
      <c r="CA22" s="4" t="s">
        <v>70</v>
      </c>
    </row>
    <row r="23" spans="1:79">
      <c r="A23" s="16" t="s">
        <v>770</v>
      </c>
      <c r="B23" s="16" t="s">
        <v>761</v>
      </c>
      <c r="C23" s="16" t="s">
        <v>749</v>
      </c>
      <c r="D23" s="16" t="s">
        <v>750</v>
      </c>
      <c r="E23" s="16">
        <v>73</v>
      </c>
      <c r="F23" s="16">
        <v>71</v>
      </c>
      <c r="G23" s="16">
        <v>1</v>
      </c>
      <c r="H23" s="4" t="s">
        <v>70</v>
      </c>
      <c r="I23" s="4" t="s">
        <v>73</v>
      </c>
      <c r="J23" s="4" t="s">
        <v>73</v>
      </c>
      <c r="K23" s="4" t="s">
        <v>73</v>
      </c>
      <c r="L23" s="4" t="s">
        <v>72</v>
      </c>
      <c r="M23" s="4" t="s">
        <v>72</v>
      </c>
      <c r="N23" s="4" t="s">
        <v>72</v>
      </c>
      <c r="O23" s="4" t="s">
        <v>72</v>
      </c>
      <c r="P23" s="4" t="s">
        <v>72</v>
      </c>
      <c r="Q23" s="4" t="s">
        <v>73</v>
      </c>
      <c r="R23" s="4" t="s">
        <v>72</v>
      </c>
      <c r="S23" s="4" t="s">
        <v>72</v>
      </c>
      <c r="T23" s="4" t="s">
        <v>72</v>
      </c>
      <c r="U23" s="4" t="s">
        <v>73</v>
      </c>
      <c r="V23" s="4" t="s">
        <v>72</v>
      </c>
      <c r="W23" s="4" t="s">
        <v>72</v>
      </c>
      <c r="X23" s="4" t="s">
        <v>70</v>
      </c>
      <c r="Y23" s="4" t="s">
        <v>70</v>
      </c>
      <c r="Z23" s="4" t="s">
        <v>70</v>
      </c>
      <c r="AA23" s="4" t="s">
        <v>73</v>
      </c>
      <c r="AB23" s="4" t="s">
        <v>71</v>
      </c>
      <c r="AC23" s="4" t="s">
        <v>73</v>
      </c>
      <c r="AD23" s="4" t="s">
        <v>73</v>
      </c>
      <c r="AE23" s="4" t="s">
        <v>73</v>
      </c>
      <c r="AF23" s="4" t="s">
        <v>72</v>
      </c>
      <c r="AG23" s="4" t="s">
        <v>72</v>
      </c>
      <c r="AH23" s="4" t="s">
        <v>72</v>
      </c>
      <c r="AI23" s="4" t="s">
        <v>72</v>
      </c>
      <c r="AJ23" s="4" t="s">
        <v>70</v>
      </c>
      <c r="AK23" s="4" t="s">
        <v>73</v>
      </c>
      <c r="AL23" s="4" t="s">
        <v>73</v>
      </c>
      <c r="AM23" s="4" t="s">
        <v>70</v>
      </c>
      <c r="AN23" s="4" t="s">
        <v>72</v>
      </c>
      <c r="AO23" s="4" t="s">
        <v>72</v>
      </c>
      <c r="AP23" s="4" t="s">
        <v>72</v>
      </c>
      <c r="AQ23" s="4" t="s">
        <v>73</v>
      </c>
      <c r="AR23" s="4" t="s">
        <v>73</v>
      </c>
      <c r="AS23" s="4" t="s">
        <v>71</v>
      </c>
      <c r="AT23" s="4" t="s">
        <v>71</v>
      </c>
      <c r="AU23" s="4" t="s">
        <v>72</v>
      </c>
      <c r="AV23" s="4" t="s">
        <v>72</v>
      </c>
      <c r="AW23" s="4" t="s">
        <v>73</v>
      </c>
      <c r="AX23" s="4" t="s">
        <v>73</v>
      </c>
      <c r="AY23" s="4" t="s">
        <v>73</v>
      </c>
      <c r="AZ23" s="4" t="s">
        <v>73</v>
      </c>
      <c r="BA23" s="10" t="s">
        <v>77</v>
      </c>
      <c r="BB23" s="4" t="s">
        <v>72</v>
      </c>
      <c r="BC23" s="4" t="s">
        <v>73</v>
      </c>
      <c r="BD23" s="4" t="s">
        <v>72</v>
      </c>
      <c r="BE23" s="4" t="s">
        <v>72</v>
      </c>
      <c r="BF23" s="4" t="s">
        <v>73</v>
      </c>
      <c r="BG23" s="4" t="s">
        <v>73</v>
      </c>
      <c r="BH23" s="4" t="s">
        <v>70</v>
      </c>
      <c r="BI23" s="4" t="s">
        <v>73</v>
      </c>
      <c r="BJ23" s="4" t="s">
        <v>72</v>
      </c>
      <c r="BK23" s="4" t="s">
        <v>71</v>
      </c>
      <c r="BL23" s="4" t="s">
        <v>73</v>
      </c>
      <c r="BM23" s="4" t="s">
        <v>72</v>
      </c>
      <c r="BN23" s="4" t="s">
        <v>73</v>
      </c>
      <c r="BO23" s="4" t="s">
        <v>72</v>
      </c>
      <c r="BP23" s="4" t="s">
        <v>71</v>
      </c>
      <c r="BQ23" s="4" t="s">
        <v>72</v>
      </c>
      <c r="BR23" s="4" t="s">
        <v>72</v>
      </c>
      <c r="BS23" s="4" t="s">
        <v>70</v>
      </c>
      <c r="BT23" s="4" t="s">
        <v>73</v>
      </c>
      <c r="BU23" s="4" t="s">
        <v>70</v>
      </c>
      <c r="BV23" s="4" t="s">
        <v>73</v>
      </c>
      <c r="BW23" s="4" t="s">
        <v>73</v>
      </c>
      <c r="BX23" s="4" t="s">
        <v>72</v>
      </c>
      <c r="BY23" s="4" t="s">
        <v>72</v>
      </c>
      <c r="BZ23" s="4" t="s">
        <v>72</v>
      </c>
      <c r="CA23" s="4" t="s">
        <v>70</v>
      </c>
    </row>
    <row r="24" spans="1:79">
      <c r="A24" s="16" t="s">
        <v>771</v>
      </c>
      <c r="B24" s="16" t="s">
        <v>761</v>
      </c>
      <c r="C24" s="16" t="s">
        <v>749</v>
      </c>
      <c r="D24" s="16" t="s">
        <v>750</v>
      </c>
      <c r="E24" s="16">
        <v>74</v>
      </c>
      <c r="F24" s="16">
        <v>72</v>
      </c>
      <c r="G24" s="16">
        <v>0</v>
      </c>
      <c r="H24" s="4" t="s">
        <v>71</v>
      </c>
      <c r="I24" s="4" t="s">
        <v>71</v>
      </c>
      <c r="J24" s="4" t="s">
        <v>73</v>
      </c>
      <c r="K24" s="4" t="s">
        <v>71</v>
      </c>
      <c r="L24" s="4" t="s">
        <v>72</v>
      </c>
      <c r="M24" s="4" t="s">
        <v>73</v>
      </c>
      <c r="N24" s="4" t="s">
        <v>71</v>
      </c>
      <c r="O24" s="4" t="s">
        <v>72</v>
      </c>
      <c r="P24" s="4" t="s">
        <v>72</v>
      </c>
      <c r="Q24" s="4" t="s">
        <v>73</v>
      </c>
      <c r="R24" s="4" t="s">
        <v>72</v>
      </c>
      <c r="S24" s="4" t="s">
        <v>70</v>
      </c>
      <c r="T24" s="4" t="s">
        <v>73</v>
      </c>
      <c r="U24" s="4" t="s">
        <v>73</v>
      </c>
      <c r="V24" s="4" t="s">
        <v>72</v>
      </c>
      <c r="W24" s="4" t="s">
        <v>71</v>
      </c>
      <c r="X24" s="4" t="s">
        <v>71</v>
      </c>
      <c r="Y24" s="4" t="s">
        <v>70</v>
      </c>
      <c r="Z24" s="4" t="s">
        <v>70</v>
      </c>
      <c r="AA24" s="4" t="s">
        <v>71</v>
      </c>
      <c r="AB24" s="4" t="s">
        <v>71</v>
      </c>
      <c r="AC24" s="4" t="s">
        <v>72</v>
      </c>
      <c r="AD24" s="4" t="s">
        <v>72</v>
      </c>
      <c r="AE24" s="4" t="s">
        <v>73</v>
      </c>
      <c r="AF24" s="4" t="s">
        <v>72</v>
      </c>
      <c r="AG24" s="4" t="s">
        <v>72</v>
      </c>
      <c r="AH24" s="4" t="s">
        <v>70</v>
      </c>
      <c r="AI24" s="4" t="s">
        <v>73</v>
      </c>
      <c r="AJ24" s="4" t="s">
        <v>72</v>
      </c>
      <c r="AK24" s="4" t="s">
        <v>72</v>
      </c>
      <c r="AL24" s="4" t="s">
        <v>73</v>
      </c>
      <c r="AM24" s="4" t="s">
        <v>70</v>
      </c>
      <c r="AN24" s="4" t="s">
        <v>72</v>
      </c>
      <c r="AO24" s="4" t="s">
        <v>72</v>
      </c>
      <c r="AP24" s="4" t="s">
        <v>72</v>
      </c>
      <c r="AQ24" s="4" t="s">
        <v>73</v>
      </c>
      <c r="AR24" s="4" t="s">
        <v>72</v>
      </c>
      <c r="AS24" s="4" t="s">
        <v>72</v>
      </c>
      <c r="AT24" s="4" t="s">
        <v>72</v>
      </c>
      <c r="AU24" s="4" t="s">
        <v>73</v>
      </c>
      <c r="AV24" s="4" t="s">
        <v>73</v>
      </c>
      <c r="AW24" s="4" t="s">
        <v>72</v>
      </c>
      <c r="AX24" s="4" t="s">
        <v>72</v>
      </c>
      <c r="AY24" s="4" t="s">
        <v>73</v>
      </c>
      <c r="AZ24" s="4" t="s">
        <v>72</v>
      </c>
      <c r="BA24" s="4" t="s">
        <v>72</v>
      </c>
      <c r="BB24" s="4" t="s">
        <v>73</v>
      </c>
      <c r="BC24" s="4" t="s">
        <v>70</v>
      </c>
      <c r="BD24" s="4" t="s">
        <v>73</v>
      </c>
      <c r="BE24" s="4" t="s">
        <v>72</v>
      </c>
      <c r="BF24" s="4" t="s">
        <v>72</v>
      </c>
      <c r="BG24" s="4" t="s">
        <v>71</v>
      </c>
      <c r="BH24" s="4" t="s">
        <v>70</v>
      </c>
      <c r="BI24" s="4" t="s">
        <v>72</v>
      </c>
      <c r="BJ24" s="4" t="s">
        <v>72</v>
      </c>
      <c r="BK24" s="4" t="s">
        <v>71</v>
      </c>
      <c r="BL24" s="4" t="s">
        <v>72</v>
      </c>
      <c r="BM24" s="4" t="s">
        <v>73</v>
      </c>
      <c r="BN24" s="4" t="s">
        <v>72</v>
      </c>
      <c r="BO24" s="4" t="s">
        <v>73</v>
      </c>
      <c r="BP24" s="4" t="s">
        <v>71</v>
      </c>
      <c r="BQ24" s="4" t="s">
        <v>72</v>
      </c>
      <c r="BR24" s="4" t="s">
        <v>73</v>
      </c>
      <c r="BS24" s="4" t="s">
        <v>70</v>
      </c>
      <c r="BT24" s="4" t="s">
        <v>72</v>
      </c>
      <c r="BU24" s="4" t="s">
        <v>70</v>
      </c>
      <c r="BV24" s="4" t="s">
        <v>72</v>
      </c>
      <c r="BW24" s="4" t="s">
        <v>73</v>
      </c>
      <c r="BX24" s="4" t="s">
        <v>70</v>
      </c>
      <c r="BY24" s="4" t="s">
        <v>72</v>
      </c>
      <c r="BZ24" s="4" t="s">
        <v>70</v>
      </c>
      <c r="CA24" s="4" t="s">
        <v>73</v>
      </c>
    </row>
    <row r="25" spans="1:79">
      <c r="A25" s="16" t="s">
        <v>772</v>
      </c>
      <c r="B25" s="16" t="s">
        <v>761</v>
      </c>
      <c r="C25" s="16" t="s">
        <v>749</v>
      </c>
      <c r="D25" s="16" t="s">
        <v>328</v>
      </c>
      <c r="E25" s="16">
        <v>82</v>
      </c>
      <c r="F25" s="16">
        <v>72</v>
      </c>
      <c r="G25" s="16">
        <v>0</v>
      </c>
      <c r="H25" s="4" t="s">
        <v>73</v>
      </c>
      <c r="I25" s="4" t="s">
        <v>70</v>
      </c>
      <c r="J25" s="4" t="s">
        <v>71</v>
      </c>
      <c r="K25" s="4" t="s">
        <v>73</v>
      </c>
      <c r="L25" s="4" t="s">
        <v>70</v>
      </c>
      <c r="M25" s="4" t="s">
        <v>70</v>
      </c>
      <c r="N25" s="4" t="s">
        <v>72</v>
      </c>
      <c r="O25" s="4" t="s">
        <v>72</v>
      </c>
      <c r="P25" s="4" t="s">
        <v>73</v>
      </c>
      <c r="Q25" s="4" t="s">
        <v>70</v>
      </c>
      <c r="R25" s="4" t="s">
        <v>70</v>
      </c>
      <c r="S25" s="4" t="s">
        <v>72</v>
      </c>
      <c r="T25" s="4" t="s">
        <v>72</v>
      </c>
      <c r="U25" s="4" t="s">
        <v>70</v>
      </c>
      <c r="V25" s="4" t="s">
        <v>71</v>
      </c>
      <c r="W25" s="4" t="s">
        <v>72</v>
      </c>
      <c r="X25" s="4" t="s">
        <v>73</v>
      </c>
      <c r="Y25" s="4" t="s">
        <v>70</v>
      </c>
      <c r="Z25" s="4" t="s">
        <v>70</v>
      </c>
      <c r="AA25" s="4" t="s">
        <v>73</v>
      </c>
      <c r="AB25" s="4" t="s">
        <v>73</v>
      </c>
      <c r="AC25" s="4" t="s">
        <v>73</v>
      </c>
      <c r="AD25" s="4" t="s">
        <v>73</v>
      </c>
      <c r="AE25" s="4" t="s">
        <v>72</v>
      </c>
      <c r="AF25" s="4" t="s">
        <v>72</v>
      </c>
      <c r="AG25" s="4" t="s">
        <v>72</v>
      </c>
      <c r="AH25" s="4" t="s">
        <v>72</v>
      </c>
      <c r="AI25" s="4" t="s">
        <v>73</v>
      </c>
      <c r="AJ25" s="4" t="s">
        <v>73</v>
      </c>
      <c r="AK25" s="4" t="s">
        <v>72</v>
      </c>
      <c r="AL25" s="4" t="s">
        <v>71</v>
      </c>
      <c r="AM25" s="4" t="s">
        <v>72</v>
      </c>
      <c r="AN25" s="4" t="s">
        <v>71</v>
      </c>
      <c r="AO25" s="4" t="s">
        <v>71</v>
      </c>
      <c r="AP25" s="4" t="s">
        <v>72</v>
      </c>
      <c r="AQ25" s="4" t="s">
        <v>73</v>
      </c>
      <c r="AR25" s="4" t="s">
        <v>73</v>
      </c>
      <c r="AS25" s="4" t="s">
        <v>70</v>
      </c>
      <c r="AT25" s="4" t="s">
        <v>70</v>
      </c>
      <c r="AU25" s="4" t="s">
        <v>70</v>
      </c>
      <c r="AV25" s="4" t="s">
        <v>72</v>
      </c>
      <c r="AW25" s="4" t="s">
        <v>72</v>
      </c>
      <c r="AX25" s="4" t="s">
        <v>73</v>
      </c>
      <c r="AY25" s="4" t="s">
        <v>73</v>
      </c>
      <c r="AZ25" s="4" t="s">
        <v>70</v>
      </c>
      <c r="BA25" s="4" t="s">
        <v>71</v>
      </c>
      <c r="BB25" s="4" t="s">
        <v>73</v>
      </c>
      <c r="BC25" s="4" t="s">
        <v>72</v>
      </c>
      <c r="BD25" s="4" t="s">
        <v>71</v>
      </c>
      <c r="BE25" s="4" t="s">
        <v>72</v>
      </c>
      <c r="BF25" s="4" t="s">
        <v>72</v>
      </c>
      <c r="BG25" s="4" t="s">
        <v>72</v>
      </c>
      <c r="BH25" s="4" t="s">
        <v>70</v>
      </c>
      <c r="BI25" s="4" t="s">
        <v>72</v>
      </c>
      <c r="BJ25" s="4" t="s">
        <v>71</v>
      </c>
      <c r="BK25" s="4" t="s">
        <v>71</v>
      </c>
      <c r="BL25" s="4" t="s">
        <v>70</v>
      </c>
      <c r="BM25" s="4" t="s">
        <v>73</v>
      </c>
      <c r="BN25" s="4" t="s">
        <v>72</v>
      </c>
      <c r="BO25" s="4" t="s">
        <v>71</v>
      </c>
      <c r="BP25" s="4" t="s">
        <v>71</v>
      </c>
      <c r="BQ25" s="4" t="s">
        <v>71</v>
      </c>
      <c r="BR25" s="4" t="s">
        <v>73</v>
      </c>
      <c r="BS25" s="4" t="s">
        <v>70</v>
      </c>
      <c r="BT25" s="4" t="s">
        <v>70</v>
      </c>
      <c r="BU25" s="4" t="s">
        <v>72</v>
      </c>
      <c r="BV25" s="4" t="s">
        <v>72</v>
      </c>
      <c r="BW25" s="4" t="s">
        <v>72</v>
      </c>
      <c r="BX25" s="4" t="s">
        <v>72</v>
      </c>
      <c r="BY25" s="4" t="s">
        <v>70</v>
      </c>
      <c r="BZ25" s="4" t="s">
        <v>72</v>
      </c>
      <c r="CA25" s="4" t="s">
        <v>72</v>
      </c>
    </row>
    <row r="26" spans="1:79">
      <c r="A26" s="16" t="s">
        <v>773</v>
      </c>
      <c r="B26" s="16" t="s">
        <v>761</v>
      </c>
      <c r="C26" s="16" t="s">
        <v>749</v>
      </c>
      <c r="D26" s="16" t="s">
        <v>328</v>
      </c>
      <c r="E26" s="16">
        <v>75</v>
      </c>
      <c r="F26" s="16">
        <v>72</v>
      </c>
      <c r="G26" s="16">
        <v>0</v>
      </c>
      <c r="H26" s="4" t="s">
        <v>73</v>
      </c>
      <c r="I26" s="4" t="s">
        <v>73</v>
      </c>
      <c r="J26" s="4" t="s">
        <v>72</v>
      </c>
      <c r="K26" s="4" t="s">
        <v>72</v>
      </c>
      <c r="L26" s="4" t="s">
        <v>71</v>
      </c>
      <c r="M26" s="4" t="s">
        <v>73</v>
      </c>
      <c r="N26" s="4" t="s">
        <v>72</v>
      </c>
      <c r="O26" s="4" t="s">
        <v>72</v>
      </c>
      <c r="P26" s="4" t="s">
        <v>72</v>
      </c>
      <c r="Q26" s="4" t="s">
        <v>73</v>
      </c>
      <c r="R26" s="4" t="s">
        <v>73</v>
      </c>
      <c r="S26" s="4" t="s">
        <v>72</v>
      </c>
      <c r="T26" s="4" t="s">
        <v>73</v>
      </c>
      <c r="U26" s="4" t="s">
        <v>73</v>
      </c>
      <c r="V26" s="4" t="s">
        <v>72</v>
      </c>
      <c r="W26" s="4" t="s">
        <v>73</v>
      </c>
      <c r="X26" s="4" t="s">
        <v>73</v>
      </c>
      <c r="Y26" s="4" t="s">
        <v>70</v>
      </c>
      <c r="Z26" s="4" t="s">
        <v>70</v>
      </c>
      <c r="AA26" s="4" t="s">
        <v>73</v>
      </c>
      <c r="AB26" s="4" t="s">
        <v>72</v>
      </c>
      <c r="AC26" s="4" t="s">
        <v>72</v>
      </c>
      <c r="AD26" s="4" t="s">
        <v>73</v>
      </c>
      <c r="AE26" s="4" t="s">
        <v>72</v>
      </c>
      <c r="AF26" s="4" t="s">
        <v>72</v>
      </c>
      <c r="AG26" s="4" t="s">
        <v>72</v>
      </c>
      <c r="AH26" s="4" t="s">
        <v>70</v>
      </c>
      <c r="AI26" s="4" t="s">
        <v>70</v>
      </c>
      <c r="AJ26" s="4" t="s">
        <v>73</v>
      </c>
      <c r="AK26" s="4" t="s">
        <v>70</v>
      </c>
      <c r="AL26" s="4" t="s">
        <v>72</v>
      </c>
      <c r="AM26" s="4" t="s">
        <v>73</v>
      </c>
      <c r="AN26" s="4" t="s">
        <v>72</v>
      </c>
      <c r="AO26" s="4" t="s">
        <v>71</v>
      </c>
      <c r="AP26" s="4" t="s">
        <v>72</v>
      </c>
      <c r="AQ26" s="4" t="s">
        <v>73</v>
      </c>
      <c r="AR26" s="4" t="s">
        <v>71</v>
      </c>
      <c r="AS26" s="4" t="s">
        <v>72</v>
      </c>
      <c r="AT26" s="4" t="s">
        <v>70</v>
      </c>
      <c r="AU26" s="4" t="s">
        <v>71</v>
      </c>
      <c r="AV26" s="4" t="s">
        <v>72</v>
      </c>
      <c r="AW26" s="4" t="s">
        <v>72</v>
      </c>
      <c r="AX26" s="4" t="s">
        <v>72</v>
      </c>
      <c r="AY26" s="4" t="s">
        <v>70</v>
      </c>
      <c r="AZ26" s="4" t="s">
        <v>72</v>
      </c>
      <c r="BA26" s="4" t="s">
        <v>73</v>
      </c>
      <c r="BB26" s="4" t="s">
        <v>72</v>
      </c>
      <c r="BC26" s="4" t="s">
        <v>73</v>
      </c>
      <c r="BD26" s="4" t="s">
        <v>70</v>
      </c>
      <c r="BE26" s="4" t="s">
        <v>70</v>
      </c>
      <c r="BF26" s="4" t="s">
        <v>71</v>
      </c>
      <c r="BG26" s="4" t="s">
        <v>73</v>
      </c>
      <c r="BH26" s="4" t="s">
        <v>70</v>
      </c>
      <c r="BI26" s="4" t="s">
        <v>73</v>
      </c>
      <c r="BJ26" s="4" t="s">
        <v>72</v>
      </c>
      <c r="BK26" s="4" t="s">
        <v>71</v>
      </c>
      <c r="BL26" s="4" t="s">
        <v>72</v>
      </c>
      <c r="BM26" s="4" t="s">
        <v>71</v>
      </c>
      <c r="BN26" s="4" t="s">
        <v>72</v>
      </c>
      <c r="BO26" s="4" t="s">
        <v>73</v>
      </c>
      <c r="BP26" s="4" t="s">
        <v>71</v>
      </c>
      <c r="BQ26" s="4" t="s">
        <v>72</v>
      </c>
      <c r="BR26" s="4" t="s">
        <v>72</v>
      </c>
      <c r="BS26" s="4" t="s">
        <v>72</v>
      </c>
      <c r="BT26" s="4" t="s">
        <v>71</v>
      </c>
      <c r="BU26" s="4" t="s">
        <v>73</v>
      </c>
      <c r="BV26" s="4" t="s">
        <v>72</v>
      </c>
      <c r="BW26" s="4" t="s">
        <v>70</v>
      </c>
      <c r="BX26" s="4" t="s">
        <v>70</v>
      </c>
      <c r="BY26" s="4" t="s">
        <v>73</v>
      </c>
      <c r="BZ26" s="4" t="s">
        <v>72</v>
      </c>
      <c r="CA26" s="4" t="s">
        <v>72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dimension ref="A1:H1585"/>
  <sheetViews>
    <sheetView workbookViewId="0"/>
  </sheetViews>
  <sheetFormatPr defaultColWidth="8.7109375" defaultRowHeight="15"/>
  <cols>
    <col min="1" max="1" width="14" customWidth="1"/>
    <col min="2" max="2" width="10" customWidth="1"/>
    <col min="3" max="3" width="8" customWidth="1"/>
    <col min="4" max="4" width="18" customWidth="1"/>
    <col min="5" max="5" width="12" customWidth="1"/>
    <col min="6" max="6" width="20" customWidth="1"/>
    <col min="7" max="7" width="14" customWidth="1"/>
    <col min="8" max="8" width="12" customWidth="1"/>
  </cols>
  <sheetData>
    <row r="1" spans="1:8">
      <c r="A1" s="9" t="s">
        <v>669</v>
      </c>
      <c r="B1" s="9" t="s">
        <v>374</v>
      </c>
      <c r="C1" s="9" t="s">
        <v>382</v>
      </c>
      <c r="D1" s="9" t="s">
        <v>774</v>
      </c>
      <c r="E1" s="9" t="s">
        <v>493</v>
      </c>
      <c r="F1" s="9" t="s">
        <v>775</v>
      </c>
      <c r="G1" s="9" t="s">
        <v>776</v>
      </c>
      <c r="H1" s="9" t="s">
        <v>777</v>
      </c>
    </row>
    <row r="2" spans="1:8">
      <c r="A2" s="4" t="s">
        <v>747</v>
      </c>
      <c r="B2" s="4">
        <v>1</v>
      </c>
      <c r="C2" s="4" t="s">
        <v>70</v>
      </c>
      <c r="D2" s="4" t="s">
        <v>778</v>
      </c>
      <c r="E2" s="4" t="str">
        <f t="shared" ref="E2:E16" si="0">B2&amp;"|"&amp;C2</f>
        <v>1|G</v>
      </c>
      <c r="F2" s="14">
        <f>INDEX('Emission Stepwise'!$H$2:$H$289,MATCH(E2,'Emission Stepwise'!$C$2:$C$289,0))</f>
        <v>0.75</v>
      </c>
      <c r="G2" s="14">
        <f>INDEX(Background!$C$4:$C$7,MATCH(C2,Background!$A$4:$A$7,0))</f>
        <v>0.32488979077741237</v>
      </c>
      <c r="H2" s="17">
        <f t="shared" ref="H2:H16" si="1">LN(F2/G2)</f>
        <v>0.83658718701009205</v>
      </c>
    </row>
    <row r="3" spans="1:8">
      <c r="A3" s="4" t="s">
        <v>747</v>
      </c>
      <c r="B3" s="4">
        <v>2</v>
      </c>
      <c r="C3" s="4" t="s">
        <v>72</v>
      </c>
      <c r="D3" s="4" t="s">
        <v>778</v>
      </c>
      <c r="E3" s="4" t="str">
        <f t="shared" si="0"/>
        <v>2|U</v>
      </c>
      <c r="F3" s="14">
        <f>INDEX('Emission Stepwise'!$H$2:$H$289,MATCH(E3,'Emission Stepwise'!$C$2:$C$289,0))</f>
        <v>3.4313725490196081E-2</v>
      </c>
      <c r="G3" s="14">
        <f>INDEX(Background!$C$4:$C$7,MATCH(C3,Background!$A$4:$A$7,0))</f>
        <v>0.21314113777902177</v>
      </c>
      <c r="H3" s="17">
        <f t="shared" si="1"/>
        <v>-1.8264091307622154</v>
      </c>
    </row>
    <row r="4" spans="1:8">
      <c r="A4" s="4" t="s">
        <v>747</v>
      </c>
      <c r="B4" s="4">
        <v>3</v>
      </c>
      <c r="C4" s="4" t="s">
        <v>72</v>
      </c>
      <c r="D4" s="4" t="s">
        <v>778</v>
      </c>
      <c r="E4" s="4" t="str">
        <f t="shared" si="0"/>
        <v>3|U</v>
      </c>
      <c r="F4" s="14">
        <f>INDEX('Emission Stepwise'!$H$2:$H$289,MATCH(E4,'Emission Stepwise'!$C$2:$C$289,0))</f>
        <v>0.11764705882352941</v>
      </c>
      <c r="G4" s="14">
        <f>INDEX(Background!$C$4:$C$7,MATCH(C4,Background!$A$4:$A$7,0))</f>
        <v>0.21314113777902177</v>
      </c>
      <c r="H4" s="17">
        <f t="shared" si="1"/>
        <v>-0.59426544946958315</v>
      </c>
    </row>
    <row r="5" spans="1:8">
      <c r="A5" s="4" t="s">
        <v>747</v>
      </c>
      <c r="B5" s="4">
        <v>4</v>
      </c>
      <c r="C5" s="4" t="s">
        <v>73</v>
      </c>
      <c r="D5" s="4" t="s">
        <v>778</v>
      </c>
      <c r="E5" s="4" t="str">
        <f t="shared" si="0"/>
        <v>4|A</v>
      </c>
      <c r="F5" s="14">
        <f>INDEX('Emission Stepwise'!$H$2:$H$289,MATCH(E5,'Emission Stepwise'!$C$2:$C$289,0))</f>
        <v>8.3333333333333329E-2</v>
      </c>
      <c r="G5" s="14">
        <f>INDEX(Background!$C$4:$C$7,MATCH(C5,Background!$A$4:$A$7,0))</f>
        <v>0.18550136449513679</v>
      </c>
      <c r="H5" s="17">
        <f t="shared" si="1"/>
        <v>-0.80021360859523116</v>
      </c>
    </row>
    <row r="6" spans="1:8">
      <c r="A6" s="4" t="s">
        <v>747</v>
      </c>
      <c r="B6" s="4">
        <v>5</v>
      </c>
      <c r="C6" s="4" t="s">
        <v>70</v>
      </c>
      <c r="D6" s="4" t="s">
        <v>778</v>
      </c>
      <c r="E6" s="4" t="str">
        <f t="shared" si="0"/>
        <v>5|G</v>
      </c>
      <c r="F6" s="14">
        <f>INDEX('Emission Stepwise'!$H$2:$H$289,MATCH(E6,'Emission Stepwise'!$C$2:$C$289,0))</f>
        <v>0.34313725490196079</v>
      </c>
      <c r="G6" s="14">
        <f>INDEX(Background!$C$4:$C$7,MATCH(C6,Background!$A$4:$A$7,0))</f>
        <v>0.32488979077741237</v>
      </c>
      <c r="H6" s="17">
        <f t="shared" si="1"/>
        <v>5.4644507667015618E-2</v>
      </c>
    </row>
    <row r="7" spans="1:8">
      <c r="A7" s="4" t="s">
        <v>747</v>
      </c>
      <c r="B7" s="4">
        <v>6</v>
      </c>
      <c r="C7" s="4" t="s">
        <v>73</v>
      </c>
      <c r="D7" s="4" t="s">
        <v>778</v>
      </c>
      <c r="E7" s="4" t="str">
        <f t="shared" si="0"/>
        <v>6|A</v>
      </c>
      <c r="F7" s="14">
        <f>INDEX('Emission Stepwise'!$H$2:$H$289,MATCH(E7,'Emission Stepwise'!$C$2:$C$289,0))</f>
        <v>0.17156862745098039</v>
      </c>
      <c r="G7" s="14">
        <f>INDEX(Background!$C$4:$C$7,MATCH(C7,Background!$A$4:$A$7,0))</f>
        <v>0.18550136449513679</v>
      </c>
      <c r="H7" s="17">
        <f t="shared" si="1"/>
        <v>-7.8078891162033495E-2</v>
      </c>
    </row>
    <row r="8" spans="1:8">
      <c r="A8" s="4" t="s">
        <v>747</v>
      </c>
      <c r="B8" s="4">
        <v>7</v>
      </c>
      <c r="C8" s="4" t="s">
        <v>70</v>
      </c>
      <c r="D8" s="4" t="s">
        <v>778</v>
      </c>
      <c r="E8" s="4" t="str">
        <f t="shared" si="0"/>
        <v>7|G</v>
      </c>
      <c r="F8" s="14">
        <f>INDEX('Emission Stepwise'!$H$2:$H$289,MATCH(E8,'Emission Stepwise'!$C$2:$C$289,0))</f>
        <v>0.51960784313725494</v>
      </c>
      <c r="G8" s="14">
        <f>INDEX(Background!$C$4:$C$7,MATCH(C8,Background!$A$4:$A$7,0))</f>
        <v>0.32488979077741237</v>
      </c>
      <c r="H8" s="17">
        <f t="shared" si="1"/>
        <v>0.46958835972972385</v>
      </c>
    </row>
    <row r="9" spans="1:8">
      <c r="A9" s="4" t="s">
        <v>747</v>
      </c>
      <c r="B9" s="4">
        <v>8</v>
      </c>
      <c r="C9" s="4" t="s">
        <v>72</v>
      </c>
      <c r="D9" s="4" t="s">
        <v>779</v>
      </c>
      <c r="E9" s="4" t="str">
        <f t="shared" si="0"/>
        <v>8|U</v>
      </c>
      <c r="F9" s="14">
        <f>INDEX('Emission Stepwise'!$H$2:$H$289,MATCH(E9,'Emission Stepwise'!$C$2:$C$289,0))</f>
        <v>0.97549019607843135</v>
      </c>
      <c r="G9" s="14">
        <f>INDEX(Background!$C$4:$C$7,MATCH(C9,Background!$A$4:$A$7,0))</f>
        <v>0.21314113777902177</v>
      </c>
      <c r="H9" s="17">
        <f t="shared" si="1"/>
        <v>1.5209855449069636</v>
      </c>
    </row>
    <row r="10" spans="1:8">
      <c r="A10" s="4" t="s">
        <v>747</v>
      </c>
      <c r="B10" s="4">
        <v>9</v>
      </c>
      <c r="C10" s="4" t="s">
        <v>71</v>
      </c>
      <c r="D10" s="4" t="s">
        <v>780</v>
      </c>
      <c r="E10" s="4" t="str">
        <f t="shared" si="0"/>
        <v>9|C</v>
      </c>
      <c r="F10" s="14">
        <f>INDEX('Emission Stepwise'!$H$2:$H$289,MATCH(E10,'Emission Stepwise'!$C$2:$C$289,0))</f>
        <v>3.9408866995073892E-2</v>
      </c>
      <c r="G10" s="14">
        <f>INDEX(Background!$C$4:$C$7,MATCH(C10,Background!$A$4:$A$7,0))</f>
        <v>0.27646770694842909</v>
      </c>
      <c r="H10" s="17">
        <f t="shared" si="1"/>
        <v>-1.9481031802915474</v>
      </c>
    </row>
    <row r="11" spans="1:8">
      <c r="A11" s="4" t="s">
        <v>747</v>
      </c>
      <c r="B11" s="4">
        <v>10</v>
      </c>
      <c r="C11" s="4" t="s">
        <v>73</v>
      </c>
      <c r="D11" s="4" t="s">
        <v>780</v>
      </c>
      <c r="E11" s="4" t="str">
        <f t="shared" si="0"/>
        <v>10|A</v>
      </c>
      <c r="F11" s="14">
        <f>INDEX('Emission Stepwise'!$H$2:$H$289,MATCH(E11,'Emission Stepwise'!$C$2:$C$289,0))</f>
        <v>4.9019607843137254E-3</v>
      </c>
      <c r="G11" s="14">
        <f>INDEX(Background!$C$4:$C$7,MATCH(C11,Background!$A$4:$A$7,0))</f>
        <v>0.18550136449513679</v>
      </c>
      <c r="H11" s="17">
        <f t="shared" si="1"/>
        <v>-3.6334269526514471</v>
      </c>
    </row>
    <row r="12" spans="1:8">
      <c r="A12" s="4" t="s">
        <v>747</v>
      </c>
      <c r="B12" s="4">
        <v>11</v>
      </c>
      <c r="C12" s="4" t="s">
        <v>73</v>
      </c>
      <c r="D12" s="4" t="s">
        <v>780</v>
      </c>
      <c r="E12" s="4" t="str">
        <f t="shared" si="0"/>
        <v>11|A</v>
      </c>
      <c r="F12" s="14">
        <f>INDEX('Emission Stepwise'!$H$2:$H$289,MATCH(E12,'Emission Stepwise'!$C$2:$C$289,0))</f>
        <v>3.9215686274509803E-2</v>
      </c>
      <c r="G12" s="14">
        <f>INDEX(Background!$C$4:$C$7,MATCH(C12,Background!$A$4:$A$7,0))</f>
        <v>0.18550136449513679</v>
      </c>
      <c r="H12" s="17">
        <f t="shared" si="1"/>
        <v>-1.5539854109716114</v>
      </c>
    </row>
    <row r="13" spans="1:8">
      <c r="A13" s="4" t="s">
        <v>747</v>
      </c>
      <c r="B13" s="4">
        <v>12</v>
      </c>
      <c r="C13" s="4" t="s">
        <v>70</v>
      </c>
      <c r="D13" s="4" t="s">
        <v>780</v>
      </c>
      <c r="E13" s="4" t="str">
        <f t="shared" si="0"/>
        <v>12|G</v>
      </c>
      <c r="F13" s="14">
        <f>INDEX('Emission Stepwise'!$H$2:$H$289,MATCH(E13,'Emission Stepwise'!$C$2:$C$289,0))</f>
        <v>0.19117647058823528</v>
      </c>
      <c r="G13" s="14">
        <f>INDEX(Background!$C$4:$C$7,MATCH(C13,Background!$A$4:$A$7,0))</f>
        <v>0.32488979077741237</v>
      </c>
      <c r="H13" s="17">
        <f t="shared" si="1"/>
        <v>-0.53028908825269705</v>
      </c>
    </row>
    <row r="14" spans="1:8">
      <c r="A14" s="4" t="s">
        <v>747</v>
      </c>
      <c r="B14" s="4">
        <v>13</v>
      </c>
      <c r="C14" s="4" t="s">
        <v>73</v>
      </c>
      <c r="D14" s="4" t="s">
        <v>780</v>
      </c>
      <c r="E14" s="4" t="str">
        <f t="shared" si="0"/>
        <v>13|A</v>
      </c>
      <c r="F14" s="14">
        <f>INDEX('Emission Stepwise'!$H$2:$H$289,MATCH(E14,'Emission Stepwise'!$C$2:$C$289,0))</f>
        <v>6.8627450980392163E-2</v>
      </c>
      <c r="G14" s="14">
        <f>INDEX(Background!$C$4:$C$7,MATCH(C14,Background!$A$4:$A$7,0))</f>
        <v>0.18550136449513679</v>
      </c>
      <c r="H14" s="17">
        <f t="shared" si="1"/>
        <v>-0.99436962303618837</v>
      </c>
    </row>
    <row r="15" spans="1:8">
      <c r="A15" s="4" t="s">
        <v>747</v>
      </c>
      <c r="B15" s="4">
        <v>14</v>
      </c>
      <c r="C15" s="4" t="s">
        <v>73</v>
      </c>
      <c r="D15" s="4" t="s">
        <v>780</v>
      </c>
      <c r="E15" s="4" t="str">
        <f t="shared" si="0"/>
        <v>14|A</v>
      </c>
      <c r="F15" s="14">
        <f>INDEX('Emission Stepwise'!$H$2:$H$289,MATCH(E15,'Emission Stepwise'!$C$2:$C$289,0))</f>
        <v>0.97549019607843135</v>
      </c>
      <c r="G15" s="14">
        <f>INDEX(Background!$C$4:$C$7,MATCH(C15,Background!$A$4:$A$7,0))</f>
        <v>0.18550136449513679</v>
      </c>
      <c r="H15" s="17">
        <f t="shared" si="1"/>
        <v>1.6598778720730452</v>
      </c>
    </row>
    <row r="16" spans="1:8">
      <c r="A16" s="4" t="s">
        <v>747</v>
      </c>
      <c r="B16" s="4">
        <v>15</v>
      </c>
      <c r="C16" s="4" t="s">
        <v>73</v>
      </c>
      <c r="D16" s="4" t="s">
        <v>780</v>
      </c>
      <c r="E16" s="4" t="str">
        <f t="shared" si="0"/>
        <v>15|A</v>
      </c>
      <c r="F16" s="14">
        <f>INDEX('Emission Stepwise'!$H$2:$H$289,MATCH(E16,'Emission Stepwise'!$C$2:$C$289,0))</f>
        <v>0.16748768472906403</v>
      </c>
      <c r="G16" s="14">
        <f>INDEX(Background!$C$4:$C$7,MATCH(C16,Background!$A$4:$A$7,0))</f>
        <v>0.18550136449513679</v>
      </c>
      <c r="H16" s="17">
        <f t="shared" si="1"/>
        <v>-0.1021524132328567</v>
      </c>
    </row>
    <row r="17" spans="1:8">
      <c r="A17" s="4" t="s">
        <v>747</v>
      </c>
      <c r="B17" s="4">
        <v>16</v>
      </c>
      <c r="C17" s="4" t="s">
        <v>77</v>
      </c>
      <c r="D17" s="4" t="s">
        <v>780</v>
      </c>
      <c r="E17" s="4"/>
      <c r="F17" s="4"/>
      <c r="G17" s="4"/>
      <c r="H17" s="4"/>
    </row>
    <row r="18" spans="1:8">
      <c r="A18" s="4" t="s">
        <v>747</v>
      </c>
      <c r="B18" s="4">
        <v>17</v>
      </c>
      <c r="C18" s="4" t="s">
        <v>71</v>
      </c>
      <c r="D18" s="4" t="s">
        <v>780</v>
      </c>
      <c r="E18" s="4" t="str">
        <f t="shared" ref="E18:E46" si="2">B18&amp;"|"&amp;C18</f>
        <v>17|C</v>
      </c>
      <c r="F18" s="14">
        <f>INDEX('Emission Stepwise'!$H$2:$H$289,MATCH(E18,'Emission Stepwise'!$C$2:$C$289,0))</f>
        <v>0.31840796019900497</v>
      </c>
      <c r="G18" s="14">
        <f>INDEX(Background!$C$4:$C$7,MATCH(C18,Background!$A$4:$A$7,0))</f>
        <v>0.27646770694842909</v>
      </c>
      <c r="H18" s="17">
        <f t="shared" ref="H18:H46" si="3">LN(F18/G18)</f>
        <v>0.14123943237100009</v>
      </c>
    </row>
    <row r="19" spans="1:8">
      <c r="A19" s="4" t="s">
        <v>747</v>
      </c>
      <c r="B19" s="4">
        <v>18</v>
      </c>
      <c r="C19" s="4" t="s">
        <v>70</v>
      </c>
      <c r="D19" s="4" t="s">
        <v>780</v>
      </c>
      <c r="E19" s="4" t="str">
        <f t="shared" si="2"/>
        <v>18|G</v>
      </c>
      <c r="F19" s="14">
        <f>INDEX('Emission Stepwise'!$H$2:$H$289,MATCH(E19,'Emission Stepwise'!$C$2:$C$289,0))</f>
        <v>0.98039215686274506</v>
      </c>
      <c r="G19" s="14">
        <f>INDEX(Background!$C$4:$C$7,MATCH(C19,Background!$A$4:$A$7,0))</f>
        <v>0.32488979077741237</v>
      </c>
      <c r="H19" s="17">
        <f t="shared" si="3"/>
        <v>1.1044666321656933</v>
      </c>
    </row>
    <row r="20" spans="1:8">
      <c r="A20" s="4" t="s">
        <v>747</v>
      </c>
      <c r="B20" s="4">
        <v>19</v>
      </c>
      <c r="C20" s="4" t="s">
        <v>70</v>
      </c>
      <c r="D20" s="4" t="s">
        <v>780</v>
      </c>
      <c r="E20" s="4" t="str">
        <f t="shared" si="2"/>
        <v>19|G</v>
      </c>
      <c r="F20" s="14">
        <f>INDEX('Emission Stepwise'!$H$2:$H$289,MATCH(E20,'Emission Stepwise'!$C$2:$C$289,0))</f>
        <v>0.97058823529411764</v>
      </c>
      <c r="G20" s="14">
        <f>INDEX(Background!$C$4:$C$7,MATCH(C20,Background!$A$4:$A$7,0))</f>
        <v>0.32488979077741237</v>
      </c>
      <c r="H20" s="17">
        <f t="shared" si="3"/>
        <v>1.0944162963121917</v>
      </c>
    </row>
    <row r="21" spans="1:8">
      <c r="A21" s="4" t="s">
        <v>747</v>
      </c>
      <c r="B21" s="4">
        <v>20</v>
      </c>
      <c r="C21" s="4" t="s">
        <v>73</v>
      </c>
      <c r="D21" s="4" t="s">
        <v>780</v>
      </c>
      <c r="E21" s="4" t="str">
        <f t="shared" si="2"/>
        <v>20|A</v>
      </c>
      <c r="F21" s="14">
        <f>INDEX('Emission Stepwise'!$H$2:$H$289,MATCH(E21,'Emission Stepwise'!$C$2:$C$289,0))</f>
        <v>8.8669950738916259E-2</v>
      </c>
      <c r="G21" s="14">
        <f>INDEX(Background!$C$4:$C$7,MATCH(C21,Background!$A$4:$A$7,0))</f>
        <v>0.18550136449513679</v>
      </c>
      <c r="H21" s="17">
        <f t="shared" si="3"/>
        <v>-0.73814117995285333</v>
      </c>
    </row>
    <row r="22" spans="1:8">
      <c r="A22" s="4" t="s">
        <v>747</v>
      </c>
      <c r="B22" s="4">
        <v>21</v>
      </c>
      <c r="C22" s="4" t="s">
        <v>72</v>
      </c>
      <c r="D22" s="4" t="s">
        <v>780</v>
      </c>
      <c r="E22" s="4" t="str">
        <f t="shared" si="2"/>
        <v>21|U</v>
      </c>
      <c r="F22" s="14">
        <f>INDEX('Emission Stepwise'!$H$2:$H$289,MATCH(E22,'Emission Stepwise'!$C$2:$C$289,0))</f>
        <v>5.3921568627450983E-2</v>
      </c>
      <c r="G22" s="14">
        <f>INDEX(Background!$C$4:$C$7,MATCH(C22,Background!$A$4:$A$7,0))</f>
        <v>0.21314113777902177</v>
      </c>
      <c r="H22" s="17">
        <f t="shared" si="3"/>
        <v>-1.3744240070191582</v>
      </c>
    </row>
    <row r="23" spans="1:8">
      <c r="A23" s="4" t="s">
        <v>747</v>
      </c>
      <c r="B23" s="4">
        <v>22</v>
      </c>
      <c r="C23" s="4" t="s">
        <v>72</v>
      </c>
      <c r="D23" s="4" t="s">
        <v>780</v>
      </c>
      <c r="E23" s="4" t="str">
        <f t="shared" si="2"/>
        <v>22|U</v>
      </c>
      <c r="F23" s="14">
        <f>INDEX('Emission Stepwise'!$H$2:$H$289,MATCH(E23,'Emission Stepwise'!$C$2:$C$289,0))</f>
        <v>7.3529411764705885E-2</v>
      </c>
      <c r="G23" s="14">
        <f>INDEX(Background!$C$4:$C$7,MATCH(C23,Background!$A$4:$A$7,0))</f>
        <v>0.21314113777902177</v>
      </c>
      <c r="H23" s="17">
        <f t="shared" si="3"/>
        <v>-1.0642690787153186</v>
      </c>
    </row>
    <row r="24" spans="1:8">
      <c r="A24" s="4" t="s">
        <v>747</v>
      </c>
      <c r="B24" s="4">
        <v>23</v>
      </c>
      <c r="C24" s="4" t="s">
        <v>71</v>
      </c>
      <c r="D24" s="4" t="s">
        <v>780</v>
      </c>
      <c r="E24" s="4" t="str">
        <f t="shared" si="2"/>
        <v>23|C</v>
      </c>
      <c r="F24" s="14">
        <f>INDEX('Emission Stepwise'!$H$2:$H$289,MATCH(E24,'Emission Stepwise'!$C$2:$C$289,0))</f>
        <v>0.19117647058823528</v>
      </c>
      <c r="G24" s="14">
        <f>INDEX(Background!$C$4:$C$7,MATCH(C24,Background!$A$4:$A$7,0))</f>
        <v>0.27646770694842909</v>
      </c>
      <c r="H24" s="17">
        <f t="shared" si="3"/>
        <v>-0.36889709064416604</v>
      </c>
    </row>
    <row r="25" spans="1:8">
      <c r="A25" s="4" t="s">
        <v>747</v>
      </c>
      <c r="B25" s="4">
        <v>24</v>
      </c>
      <c r="C25" s="4" t="s">
        <v>73</v>
      </c>
      <c r="D25" s="4" t="s">
        <v>780</v>
      </c>
      <c r="E25" s="4" t="str">
        <f t="shared" si="2"/>
        <v>24|A</v>
      </c>
      <c r="F25" s="14">
        <f>INDEX('Emission Stepwise'!$H$2:$H$289,MATCH(E25,'Emission Stepwise'!$C$2:$C$289,0))</f>
        <v>0.18627450980392157</v>
      </c>
      <c r="G25" s="14">
        <f>INDEX(Background!$C$4:$C$7,MATCH(C25,Background!$A$4:$A$7,0))</f>
        <v>0.18550136449513679</v>
      </c>
      <c r="H25" s="17">
        <f t="shared" si="3"/>
        <v>4.1592070749386289E-3</v>
      </c>
    </row>
    <row r="26" spans="1:8">
      <c r="A26" s="4" t="s">
        <v>747</v>
      </c>
      <c r="B26" s="4">
        <v>25</v>
      </c>
      <c r="C26" s="4" t="s">
        <v>72</v>
      </c>
      <c r="D26" s="4" t="s">
        <v>780</v>
      </c>
      <c r="E26" s="4" t="str">
        <f t="shared" si="2"/>
        <v>25|U</v>
      </c>
      <c r="F26" s="14">
        <f>INDEX('Emission Stepwise'!$H$2:$H$289,MATCH(E26,'Emission Stepwise'!$C$2:$C$289,0))</f>
        <v>7.3529411764705885E-2</v>
      </c>
      <c r="G26" s="14">
        <f>INDEX(Background!$C$4:$C$7,MATCH(C26,Background!$A$4:$A$7,0))</f>
        <v>0.21314113777902177</v>
      </c>
      <c r="H26" s="17">
        <f t="shared" si="3"/>
        <v>-1.0642690787153186</v>
      </c>
    </row>
    <row r="27" spans="1:8">
      <c r="A27" s="4" t="s">
        <v>747</v>
      </c>
      <c r="B27" s="4">
        <v>26</v>
      </c>
      <c r="C27" s="4" t="s">
        <v>71</v>
      </c>
      <c r="D27" s="4" t="s">
        <v>781</v>
      </c>
      <c r="E27" s="4" t="str">
        <f t="shared" si="2"/>
        <v>26|C</v>
      </c>
      <c r="F27" s="14">
        <f>INDEX('Emission Stepwise'!$H$2:$H$289,MATCH(E27,'Emission Stepwise'!$C$2:$C$289,0))</f>
        <v>2.9411764705882353E-2</v>
      </c>
      <c r="G27" s="14">
        <f>INDEX(Background!$C$4:$C$7,MATCH(C27,Background!$A$4:$A$7,0))</f>
        <v>0.27646770694842909</v>
      </c>
      <c r="H27" s="17">
        <f t="shared" si="3"/>
        <v>-2.2406992675457573</v>
      </c>
    </row>
    <row r="28" spans="1:8">
      <c r="A28" s="4" t="s">
        <v>747</v>
      </c>
      <c r="B28" s="4">
        <v>27</v>
      </c>
      <c r="C28" s="4" t="s">
        <v>72</v>
      </c>
      <c r="D28" s="4" t="s">
        <v>781</v>
      </c>
      <c r="E28" s="4" t="str">
        <f t="shared" si="2"/>
        <v>27|U</v>
      </c>
      <c r="F28" s="14">
        <f>INDEX('Emission Stepwise'!$H$2:$H$289,MATCH(E28,'Emission Stepwise'!$C$2:$C$289,0))</f>
        <v>0.25980392156862747</v>
      </c>
      <c r="G28" s="14">
        <f>INDEX(Background!$C$4:$C$7,MATCH(C28,Background!$A$4:$A$7,0))</f>
        <v>0.21314113777902177</v>
      </c>
      <c r="H28" s="17">
        <f t="shared" si="3"/>
        <v>0.19797263373459306</v>
      </c>
    </row>
    <row r="29" spans="1:8">
      <c r="A29" s="4" t="s">
        <v>747</v>
      </c>
      <c r="B29" s="4">
        <v>28</v>
      </c>
      <c r="C29" s="4" t="s">
        <v>70</v>
      </c>
      <c r="D29" s="4" t="s">
        <v>781</v>
      </c>
      <c r="E29" s="4" t="str">
        <f t="shared" si="2"/>
        <v>28|G</v>
      </c>
      <c r="F29" s="14">
        <f>INDEX('Emission Stepwise'!$H$2:$H$289,MATCH(E29,'Emission Stepwise'!$C$2:$C$289,0))</f>
        <v>0.11274509803921569</v>
      </c>
      <c r="G29" s="14">
        <f>INDEX(Background!$C$4:$C$7,MATCH(C29,Background!$A$4:$A$7,0))</f>
        <v>0.32488979077741237</v>
      </c>
      <c r="H29" s="17">
        <f t="shared" si="3"/>
        <v>-1.0583565184531936</v>
      </c>
    </row>
    <row r="30" spans="1:8">
      <c r="A30" s="4" t="s">
        <v>747</v>
      </c>
      <c r="B30" s="4">
        <v>29</v>
      </c>
      <c r="C30" s="4" t="s">
        <v>72</v>
      </c>
      <c r="D30" s="4" t="s">
        <v>781</v>
      </c>
      <c r="E30" s="4" t="str">
        <f t="shared" si="2"/>
        <v>29|U</v>
      </c>
      <c r="F30" s="14">
        <f>INDEX('Emission Stepwise'!$H$2:$H$289,MATCH(E30,'Emission Stepwise'!$C$2:$C$289,0))</f>
        <v>0.27450980392156865</v>
      </c>
      <c r="G30" s="14">
        <f>INDEX(Background!$C$4:$C$7,MATCH(C30,Background!$A$4:$A$7,0))</f>
        <v>0.21314113777902177</v>
      </c>
      <c r="H30" s="17">
        <f t="shared" si="3"/>
        <v>0.25303241091762058</v>
      </c>
    </row>
    <row r="31" spans="1:8">
      <c r="A31" s="4" t="s">
        <v>747</v>
      </c>
      <c r="B31" s="4">
        <v>30</v>
      </c>
      <c r="C31" s="4" t="s">
        <v>73</v>
      </c>
      <c r="D31" s="4" t="s">
        <v>781</v>
      </c>
      <c r="E31" s="4" t="str">
        <f t="shared" si="2"/>
        <v>30|A</v>
      </c>
      <c r="F31" s="14">
        <f>INDEX('Emission Stepwise'!$H$2:$H$289,MATCH(E31,'Emission Stepwise'!$C$2:$C$289,0))</f>
        <v>4.9019607843137254E-3</v>
      </c>
      <c r="G31" s="14">
        <f>INDEX(Background!$C$4:$C$7,MATCH(C31,Background!$A$4:$A$7,0))</f>
        <v>0.18550136449513679</v>
      </c>
      <c r="H31" s="17">
        <f t="shared" si="3"/>
        <v>-3.6334269526514471</v>
      </c>
    </row>
    <row r="32" spans="1:8">
      <c r="A32" s="4" t="s">
        <v>747</v>
      </c>
      <c r="B32" s="4">
        <v>31</v>
      </c>
      <c r="C32" s="4" t="s">
        <v>73</v>
      </c>
      <c r="D32" s="4" t="s">
        <v>781</v>
      </c>
      <c r="E32" s="4" t="str">
        <f t="shared" si="2"/>
        <v>31|A</v>
      </c>
      <c r="F32" s="14">
        <f>INDEX('Emission Stepwise'!$H$2:$H$289,MATCH(E32,'Emission Stepwise'!$C$2:$C$289,0))</f>
        <v>0.26960784313725489</v>
      </c>
      <c r="G32" s="14">
        <f>INDEX(Background!$C$4:$C$7,MATCH(C32,Background!$A$4:$A$7,0))</f>
        <v>0.18550136449513679</v>
      </c>
      <c r="H32" s="17">
        <f t="shared" si="3"/>
        <v>0.37390623258102373</v>
      </c>
    </row>
    <row r="33" spans="1:8">
      <c r="A33" s="4" t="s">
        <v>747</v>
      </c>
      <c r="B33" s="4">
        <v>32</v>
      </c>
      <c r="C33" s="4" t="s">
        <v>72</v>
      </c>
      <c r="D33" s="4" t="s">
        <v>781</v>
      </c>
      <c r="E33" s="4" t="str">
        <f t="shared" si="2"/>
        <v>32|U</v>
      </c>
      <c r="F33" s="14">
        <f>INDEX('Emission Stepwise'!$H$2:$H$289,MATCH(E33,'Emission Stepwise'!$C$2:$C$289,0))</f>
        <v>0.29411764705882354</v>
      </c>
      <c r="G33" s="14">
        <f>INDEX(Background!$C$4:$C$7,MATCH(C33,Background!$A$4:$A$7,0))</f>
        <v>0.21314113777902177</v>
      </c>
      <c r="H33" s="17">
        <f t="shared" si="3"/>
        <v>0.32202528240457201</v>
      </c>
    </row>
    <row r="34" spans="1:8">
      <c r="A34" s="4" t="s">
        <v>747</v>
      </c>
      <c r="B34" s="4">
        <v>33</v>
      </c>
      <c r="C34" s="4" t="s">
        <v>72</v>
      </c>
      <c r="D34" s="4" t="s">
        <v>781</v>
      </c>
      <c r="E34" s="4" t="str">
        <f t="shared" si="2"/>
        <v>33|U</v>
      </c>
      <c r="F34" s="14">
        <f>INDEX('Emission Stepwise'!$H$2:$H$289,MATCH(E34,'Emission Stepwise'!$C$2:$C$289,0))</f>
        <v>0.97549019607843135</v>
      </c>
      <c r="G34" s="14">
        <f>INDEX(Background!$C$4:$C$7,MATCH(C34,Background!$A$4:$A$7,0))</f>
        <v>0.21314113777902177</v>
      </c>
      <c r="H34" s="17">
        <f t="shared" si="3"/>
        <v>1.5209855449069636</v>
      </c>
    </row>
    <row r="35" spans="1:8">
      <c r="A35" s="4" t="s">
        <v>747</v>
      </c>
      <c r="B35" s="4">
        <v>34</v>
      </c>
      <c r="C35" s="4" t="s">
        <v>72</v>
      </c>
      <c r="D35" s="4" t="s">
        <v>781</v>
      </c>
      <c r="E35" s="4" t="str">
        <f t="shared" si="2"/>
        <v>34|U</v>
      </c>
      <c r="F35" s="14">
        <f>INDEX('Emission Stepwise'!$H$2:$H$289,MATCH(E35,'Emission Stepwise'!$C$2:$C$289,0))</f>
        <v>0.28921568627450983</v>
      </c>
      <c r="G35" s="14">
        <f>INDEX(Background!$C$4:$C$7,MATCH(C35,Background!$A$4:$A$7,0))</f>
        <v>0.21314113777902177</v>
      </c>
      <c r="H35" s="17">
        <f t="shared" si="3"/>
        <v>0.30521816408819075</v>
      </c>
    </row>
    <row r="36" spans="1:8">
      <c r="A36" s="4" t="s">
        <v>747</v>
      </c>
      <c r="B36" s="4">
        <v>35</v>
      </c>
      <c r="C36" s="4" t="s">
        <v>72</v>
      </c>
      <c r="D36" s="4" t="s">
        <v>781</v>
      </c>
      <c r="E36" s="4" t="str">
        <f t="shared" si="2"/>
        <v>35|U</v>
      </c>
      <c r="F36" s="14">
        <f>INDEX('Emission Stepwise'!$H$2:$H$289,MATCH(E36,'Emission Stepwise'!$C$2:$C$289,0))</f>
        <v>0.20588235294117646</v>
      </c>
      <c r="G36" s="14">
        <f>INDEX(Background!$C$4:$C$7,MATCH(C36,Background!$A$4:$A$7,0))</f>
        <v>0.21314113777902177</v>
      </c>
      <c r="H36" s="17">
        <f t="shared" si="3"/>
        <v>-3.4649661534160589E-2</v>
      </c>
    </row>
    <row r="37" spans="1:8">
      <c r="A37" s="4" t="s">
        <v>747</v>
      </c>
      <c r="B37" s="4">
        <v>36</v>
      </c>
      <c r="C37" s="4" t="s">
        <v>73</v>
      </c>
      <c r="D37" s="4" t="s">
        <v>781</v>
      </c>
      <c r="E37" s="4" t="str">
        <f t="shared" si="2"/>
        <v>36|A</v>
      </c>
      <c r="F37" s="14">
        <f>INDEX('Emission Stepwise'!$H$2:$H$289,MATCH(E37,'Emission Stepwise'!$C$2:$C$289,0))</f>
        <v>0.21568627450980393</v>
      </c>
      <c r="G37" s="14">
        <f>INDEX(Background!$C$4:$C$7,MATCH(C37,Background!$A$4:$A$7,0))</f>
        <v>0.18550136449513679</v>
      </c>
      <c r="H37" s="17">
        <f t="shared" si="3"/>
        <v>0.15076268126681408</v>
      </c>
    </row>
    <row r="38" spans="1:8">
      <c r="A38" s="4" t="s">
        <v>747</v>
      </c>
      <c r="B38" s="4">
        <v>37</v>
      </c>
      <c r="C38" s="4" t="s">
        <v>73</v>
      </c>
      <c r="D38" s="4" t="s">
        <v>781</v>
      </c>
      <c r="E38" s="4" t="str">
        <f t="shared" si="2"/>
        <v>37|A</v>
      </c>
      <c r="F38" s="14">
        <f>INDEX('Emission Stepwise'!$H$2:$H$289,MATCH(E38,'Emission Stepwise'!$C$2:$C$289,0))</f>
        <v>0.74509803921568629</v>
      </c>
      <c r="G38" s="14">
        <f>INDEX(Background!$C$4:$C$7,MATCH(C38,Background!$A$4:$A$7,0))</f>
        <v>0.18550136449513679</v>
      </c>
      <c r="H38" s="17">
        <f t="shared" si="3"/>
        <v>1.3904535681948293</v>
      </c>
    </row>
    <row r="39" spans="1:8">
      <c r="A39" s="4" t="s">
        <v>747</v>
      </c>
      <c r="B39" s="4">
        <v>38</v>
      </c>
      <c r="C39" s="4" t="s">
        <v>73</v>
      </c>
      <c r="D39" s="4" t="s">
        <v>781</v>
      </c>
      <c r="E39" s="4" t="str">
        <f t="shared" si="2"/>
        <v>38|A</v>
      </c>
      <c r="F39" s="14">
        <f>INDEX('Emission Stepwise'!$H$2:$H$289,MATCH(E39,'Emission Stepwise'!$C$2:$C$289,0))</f>
        <v>0.72549019607843135</v>
      </c>
      <c r="G39" s="14">
        <f>INDEX(Background!$C$4:$C$7,MATCH(C39,Background!$A$4:$A$7,0))</f>
        <v>0.18550136449513679</v>
      </c>
      <c r="H39" s="17">
        <f t="shared" si="3"/>
        <v>1.3637853211126678</v>
      </c>
    </row>
    <row r="40" spans="1:8">
      <c r="A40" s="4" t="s">
        <v>747</v>
      </c>
      <c r="B40" s="4">
        <v>39</v>
      </c>
      <c r="C40" s="4" t="s">
        <v>72</v>
      </c>
      <c r="D40" s="4" t="s">
        <v>781</v>
      </c>
      <c r="E40" s="4" t="str">
        <f t="shared" si="2"/>
        <v>39|U</v>
      </c>
      <c r="F40" s="14">
        <f>INDEX('Emission Stepwise'!$H$2:$H$289,MATCH(E40,'Emission Stepwise'!$C$2:$C$289,0))</f>
        <v>0.29411764705882354</v>
      </c>
      <c r="G40" s="14">
        <f>INDEX(Background!$C$4:$C$7,MATCH(C40,Background!$A$4:$A$7,0))</f>
        <v>0.21314113777902177</v>
      </c>
      <c r="H40" s="17">
        <f t="shared" si="3"/>
        <v>0.32202528240457201</v>
      </c>
    </row>
    <row r="41" spans="1:8">
      <c r="A41" s="4" t="s">
        <v>747</v>
      </c>
      <c r="B41" s="4">
        <v>40</v>
      </c>
      <c r="C41" s="4" t="s">
        <v>72</v>
      </c>
      <c r="D41" s="4" t="s">
        <v>781</v>
      </c>
      <c r="E41" s="4" t="str">
        <f t="shared" si="2"/>
        <v>40|U</v>
      </c>
      <c r="F41" s="14">
        <f>INDEX('Emission Stepwise'!$H$2:$H$289,MATCH(E41,'Emission Stepwise'!$C$2:$C$289,0))</f>
        <v>4.4117647058823532E-2</v>
      </c>
      <c r="G41" s="14">
        <f>INDEX(Background!$C$4:$C$7,MATCH(C41,Background!$A$4:$A$7,0))</f>
        <v>0.21314113777902177</v>
      </c>
      <c r="H41" s="17">
        <f t="shared" si="3"/>
        <v>-1.5750947024813093</v>
      </c>
    </row>
    <row r="42" spans="1:8">
      <c r="A42" s="4" t="s">
        <v>747</v>
      </c>
      <c r="B42" s="4">
        <v>41</v>
      </c>
      <c r="C42" s="4" t="s">
        <v>73</v>
      </c>
      <c r="D42" s="4" t="s">
        <v>781</v>
      </c>
      <c r="E42" s="4" t="str">
        <f t="shared" si="2"/>
        <v>41|A</v>
      </c>
      <c r="F42" s="14">
        <f>INDEX('Emission Stepwise'!$H$2:$H$289,MATCH(E42,'Emission Stepwise'!$C$2:$C$289,0))</f>
        <v>0.26960784313725489</v>
      </c>
      <c r="G42" s="14">
        <f>INDEX(Background!$C$4:$C$7,MATCH(C42,Background!$A$4:$A$7,0))</f>
        <v>0.18550136449513679</v>
      </c>
      <c r="H42" s="17">
        <f t="shared" si="3"/>
        <v>0.37390623258102373</v>
      </c>
    </row>
    <row r="43" spans="1:8">
      <c r="A43" s="4" t="s">
        <v>747</v>
      </c>
      <c r="B43" s="4">
        <v>42</v>
      </c>
      <c r="C43" s="4" t="s">
        <v>71</v>
      </c>
      <c r="D43" s="4" t="s">
        <v>781</v>
      </c>
      <c r="E43" s="4" t="str">
        <f t="shared" si="2"/>
        <v>42|C</v>
      </c>
      <c r="F43" s="14">
        <f>INDEX('Emission Stepwise'!$H$2:$H$289,MATCH(E43,'Emission Stepwise'!$C$2:$C$289,0))</f>
        <v>0.10294117647058823</v>
      </c>
      <c r="G43" s="14">
        <f>INDEX(Background!$C$4:$C$7,MATCH(C43,Background!$A$4:$A$7,0))</f>
        <v>0.27646770694842909</v>
      </c>
      <c r="H43" s="17">
        <f t="shared" si="3"/>
        <v>-0.98793629905038949</v>
      </c>
    </row>
    <row r="44" spans="1:8">
      <c r="A44" s="4" t="s">
        <v>747</v>
      </c>
      <c r="B44" s="4">
        <v>43</v>
      </c>
      <c r="C44" s="4" t="s">
        <v>73</v>
      </c>
      <c r="D44" s="4" t="s">
        <v>781</v>
      </c>
      <c r="E44" s="4" t="str">
        <f t="shared" si="2"/>
        <v>43|A</v>
      </c>
      <c r="F44" s="14">
        <f>INDEX('Emission Stepwise'!$H$2:$H$289,MATCH(E44,'Emission Stepwise'!$C$2:$C$289,0))</f>
        <v>0.22549019607843138</v>
      </c>
      <c r="G44" s="14">
        <f>INDEX(Background!$C$4:$C$7,MATCH(C44,Background!$A$4:$A$7,0))</f>
        <v>0.18550136449513679</v>
      </c>
      <c r="H44" s="17">
        <f t="shared" si="3"/>
        <v>0.1952144438376478</v>
      </c>
    </row>
    <row r="45" spans="1:8">
      <c r="A45" s="4" t="s">
        <v>747</v>
      </c>
      <c r="B45" s="4">
        <v>44</v>
      </c>
      <c r="C45" s="4" t="s">
        <v>70</v>
      </c>
      <c r="D45" s="4" t="s">
        <v>781</v>
      </c>
      <c r="E45" s="4" t="str">
        <f t="shared" si="2"/>
        <v>44|G</v>
      </c>
      <c r="F45" s="14">
        <f>INDEX('Emission Stepwise'!$H$2:$H$289,MATCH(E45,'Emission Stepwise'!$C$2:$C$289,0))</f>
        <v>0.23039215686274508</v>
      </c>
      <c r="G45" s="14">
        <f>INDEX(Background!$C$4:$C$7,MATCH(C45,Background!$A$4:$A$7,0))</f>
        <v>0.32488979077741237</v>
      </c>
      <c r="H45" s="17">
        <f t="shared" si="3"/>
        <v>-0.34370313267228481</v>
      </c>
    </row>
    <row r="46" spans="1:8">
      <c r="A46" s="4" t="s">
        <v>747</v>
      </c>
      <c r="B46" s="4">
        <v>45</v>
      </c>
      <c r="C46" s="4" t="s">
        <v>72</v>
      </c>
      <c r="D46" s="4" t="s">
        <v>782</v>
      </c>
      <c r="E46" s="4" t="str">
        <f t="shared" si="2"/>
        <v>45|U</v>
      </c>
      <c r="F46" s="14">
        <f>INDEX('Emission Stepwise'!$H$2:$H$289,MATCH(E46,'Emission Stepwise'!$C$2:$C$289,0))</f>
        <v>0.14356435643564355</v>
      </c>
      <c r="G46" s="14">
        <f>INDEX(Background!$C$4:$C$7,MATCH(C46,Background!$A$4:$A$7,0))</f>
        <v>0.21314113777902177</v>
      </c>
      <c r="H46" s="17">
        <f t="shared" si="3"/>
        <v>-0.39517115338804326</v>
      </c>
    </row>
    <row r="47" spans="1:8">
      <c r="A47" s="4" t="s">
        <v>747</v>
      </c>
      <c r="B47" s="4">
        <v>46</v>
      </c>
      <c r="C47" s="4" t="s">
        <v>77</v>
      </c>
      <c r="D47" s="4" t="s">
        <v>782</v>
      </c>
      <c r="E47" s="4"/>
      <c r="F47" s="4"/>
      <c r="G47" s="4"/>
      <c r="H47" s="4"/>
    </row>
    <row r="48" spans="1:8">
      <c r="A48" s="4" t="s">
        <v>747</v>
      </c>
      <c r="B48" s="4">
        <v>47</v>
      </c>
      <c r="C48" s="4" t="s">
        <v>72</v>
      </c>
      <c r="D48" s="4" t="s">
        <v>782</v>
      </c>
      <c r="E48" s="4" t="str">
        <f t="shared" ref="E48:E79" si="4">B48&amp;"|"&amp;C48</f>
        <v>47|U</v>
      </c>
      <c r="F48" s="14">
        <f>INDEX('Emission Stepwise'!$H$2:$H$289,MATCH(E48,'Emission Stepwise'!$C$2:$C$289,0))</f>
        <v>0.66666666666666663</v>
      </c>
      <c r="G48" s="14">
        <f>INDEX(Background!$C$4:$C$7,MATCH(C48,Background!$A$4:$A$7,0))</f>
        <v>0.21314113777902177</v>
      </c>
      <c r="H48" s="17">
        <f t="shared" ref="H48:H79" si="5">LN(F48/G48)</f>
        <v>1.1403356059185232</v>
      </c>
    </row>
    <row r="49" spans="1:8">
      <c r="A49" s="4" t="s">
        <v>747</v>
      </c>
      <c r="B49" s="4">
        <v>48</v>
      </c>
      <c r="C49" s="4" t="s">
        <v>72</v>
      </c>
      <c r="D49" s="4" t="s">
        <v>782</v>
      </c>
      <c r="E49" s="4" t="str">
        <f t="shared" si="4"/>
        <v>48|U</v>
      </c>
      <c r="F49" s="14">
        <f>INDEX('Emission Stepwise'!$H$2:$H$289,MATCH(E49,'Emission Stepwise'!$C$2:$C$289,0))</f>
        <v>0.14705882352941177</v>
      </c>
      <c r="G49" s="14">
        <f>INDEX(Background!$C$4:$C$7,MATCH(C49,Background!$A$4:$A$7,0))</f>
        <v>0.21314113777902177</v>
      </c>
      <c r="H49" s="17">
        <f t="shared" si="5"/>
        <v>-0.37112189815537333</v>
      </c>
    </row>
    <row r="50" spans="1:8">
      <c r="A50" s="4" t="s">
        <v>747</v>
      </c>
      <c r="B50" s="4">
        <v>49</v>
      </c>
      <c r="C50" s="4" t="s">
        <v>72</v>
      </c>
      <c r="D50" s="4" t="s">
        <v>783</v>
      </c>
      <c r="E50" s="4" t="str">
        <f t="shared" si="4"/>
        <v>49|U</v>
      </c>
      <c r="F50" s="14">
        <f>INDEX('Emission Stepwise'!$H$2:$H$289,MATCH(E50,'Emission Stepwise'!$C$2:$C$289,0))</f>
        <v>5.8823529411764705E-2</v>
      </c>
      <c r="G50" s="14">
        <f>INDEX(Background!$C$4:$C$7,MATCH(C50,Background!$A$4:$A$7,0))</f>
        <v>0.21314113777902177</v>
      </c>
      <c r="H50" s="17">
        <f t="shared" si="5"/>
        <v>-1.2874126300295285</v>
      </c>
    </row>
    <row r="51" spans="1:8">
      <c r="A51" s="4" t="s">
        <v>747</v>
      </c>
      <c r="B51" s="4">
        <v>50</v>
      </c>
      <c r="C51" s="4" t="s">
        <v>73</v>
      </c>
      <c r="D51" s="4" t="s">
        <v>783</v>
      </c>
      <c r="E51" s="4" t="str">
        <f t="shared" si="4"/>
        <v>50|A</v>
      </c>
      <c r="F51" s="14">
        <f>INDEX('Emission Stepwise'!$H$2:$H$289,MATCH(E51,'Emission Stepwise'!$C$2:$C$289,0))</f>
        <v>0.11764705882352941</v>
      </c>
      <c r="G51" s="14">
        <f>INDEX(Background!$C$4:$C$7,MATCH(C51,Background!$A$4:$A$7,0))</f>
        <v>0.18550136449513679</v>
      </c>
      <c r="H51" s="17">
        <f t="shared" si="5"/>
        <v>-0.45537312230350152</v>
      </c>
    </row>
    <row r="52" spans="1:8">
      <c r="A52" s="4" t="s">
        <v>747</v>
      </c>
      <c r="B52" s="4">
        <v>51</v>
      </c>
      <c r="C52" s="4" t="s">
        <v>70</v>
      </c>
      <c r="D52" s="4" t="s">
        <v>783</v>
      </c>
      <c r="E52" s="4" t="str">
        <f t="shared" si="4"/>
        <v>51|G</v>
      </c>
      <c r="F52" s="14">
        <f>INDEX('Emission Stepwise'!$H$2:$H$289,MATCH(E52,'Emission Stepwise'!$C$2:$C$289,0))</f>
        <v>0.49261083743842365</v>
      </c>
      <c r="G52" s="14">
        <f>INDEX(Background!$C$4:$C$7,MATCH(C52,Background!$A$4:$A$7,0))</f>
        <v>0.32488979077741237</v>
      </c>
      <c r="H52" s="17">
        <f t="shared" si="5"/>
        <v>0.41623346640817716</v>
      </c>
    </row>
    <row r="53" spans="1:8">
      <c r="A53" s="4" t="s">
        <v>747</v>
      </c>
      <c r="B53" s="4">
        <v>52</v>
      </c>
      <c r="C53" s="4" t="s">
        <v>70</v>
      </c>
      <c r="D53" s="4" t="s">
        <v>783</v>
      </c>
      <c r="E53" s="4" t="str">
        <f t="shared" si="4"/>
        <v>52|G</v>
      </c>
      <c r="F53" s="14">
        <f>INDEX('Emission Stepwise'!$H$2:$H$289,MATCH(E53,'Emission Stepwise'!$C$2:$C$289,0))</f>
        <v>0.82843137254901966</v>
      </c>
      <c r="G53" s="14">
        <f>INDEX(Background!$C$4:$C$7,MATCH(C53,Background!$A$4:$A$7,0))</f>
        <v>0.32488979077741237</v>
      </c>
      <c r="H53" s="17">
        <f t="shared" si="5"/>
        <v>0.93604798054073013</v>
      </c>
    </row>
    <row r="54" spans="1:8">
      <c r="A54" s="4" t="s">
        <v>747</v>
      </c>
      <c r="B54" s="4">
        <v>53</v>
      </c>
      <c r="C54" s="4" t="s">
        <v>70</v>
      </c>
      <c r="D54" s="4" t="s">
        <v>783</v>
      </c>
      <c r="E54" s="4" t="str">
        <f t="shared" si="4"/>
        <v>53|G</v>
      </c>
      <c r="F54" s="14">
        <f>INDEX('Emission Stepwise'!$H$2:$H$289,MATCH(E54,'Emission Stepwise'!$C$2:$C$289,0))</f>
        <v>0.96568627450980393</v>
      </c>
      <c r="G54" s="14">
        <f>INDEX(Background!$C$4:$C$7,MATCH(C54,Background!$A$4:$A$7,0))</f>
        <v>0.32488979077741237</v>
      </c>
      <c r="H54" s="17">
        <f t="shared" si="5"/>
        <v>1.089352994355645</v>
      </c>
    </row>
    <row r="55" spans="1:8">
      <c r="A55" s="4" t="s">
        <v>747</v>
      </c>
      <c r="B55" s="4">
        <v>54</v>
      </c>
      <c r="C55" s="4" t="s">
        <v>73</v>
      </c>
      <c r="D55" s="4" t="s">
        <v>783</v>
      </c>
      <c r="E55" s="4" t="str">
        <f t="shared" si="4"/>
        <v>54|A</v>
      </c>
      <c r="F55" s="14">
        <f>INDEX('Emission Stepwise'!$H$2:$H$289,MATCH(E55,'Emission Stepwise'!$C$2:$C$289,0))</f>
        <v>1.4705882352941176E-2</v>
      </c>
      <c r="G55" s="14">
        <f>INDEX(Background!$C$4:$C$7,MATCH(C55,Background!$A$4:$A$7,0))</f>
        <v>0.18550136449513679</v>
      </c>
      <c r="H55" s="17">
        <f t="shared" si="5"/>
        <v>-2.5348146639833375</v>
      </c>
    </row>
    <row r="56" spans="1:8">
      <c r="A56" s="4" t="s">
        <v>747</v>
      </c>
      <c r="B56" s="4">
        <v>55</v>
      </c>
      <c r="C56" s="4" t="s">
        <v>72</v>
      </c>
      <c r="D56" s="4" t="s">
        <v>783</v>
      </c>
      <c r="E56" s="4" t="str">
        <f t="shared" si="4"/>
        <v>55|U</v>
      </c>
      <c r="F56" s="14">
        <f>INDEX('Emission Stepwise'!$H$2:$H$289,MATCH(E56,'Emission Stepwise'!$C$2:$C$289,0))</f>
        <v>0.97058823529411764</v>
      </c>
      <c r="G56" s="14">
        <f>INDEX(Background!$C$4:$C$7,MATCH(C56,Background!$A$4:$A$7,0))</f>
        <v>0.21314113777902177</v>
      </c>
      <c r="H56" s="17">
        <f t="shared" si="5"/>
        <v>1.5159477508770065</v>
      </c>
    </row>
    <row r="57" spans="1:8">
      <c r="A57" s="4" t="s">
        <v>747</v>
      </c>
      <c r="B57" s="4">
        <v>56</v>
      </c>
      <c r="C57" s="4" t="s">
        <v>71</v>
      </c>
      <c r="D57" s="4" t="s">
        <v>783</v>
      </c>
      <c r="E57" s="4" t="str">
        <f t="shared" si="4"/>
        <v>56|C</v>
      </c>
      <c r="F57" s="14">
        <f>INDEX('Emission Stepwise'!$H$2:$H$289,MATCH(E57,'Emission Stepwise'!$C$2:$C$289,0))</f>
        <v>0.96568627450980393</v>
      </c>
      <c r="G57" s="14">
        <f>INDEX(Background!$C$4:$C$7,MATCH(C57,Background!$A$4:$A$7,0))</f>
        <v>0.27646770694842909</v>
      </c>
      <c r="H57" s="17">
        <f t="shared" si="5"/>
        <v>1.250744991964176</v>
      </c>
    </row>
    <row r="58" spans="1:8">
      <c r="A58" s="4" t="s">
        <v>747</v>
      </c>
      <c r="B58" s="4">
        <v>57</v>
      </c>
      <c r="C58" s="4" t="s">
        <v>71</v>
      </c>
      <c r="D58" s="4" t="s">
        <v>783</v>
      </c>
      <c r="E58" s="4" t="str">
        <f t="shared" si="4"/>
        <v>57|C</v>
      </c>
      <c r="F58" s="14">
        <f>INDEX('Emission Stepwise'!$H$2:$H$289,MATCH(E58,'Emission Stepwise'!$C$2:$C$289,0))</f>
        <v>4.9261083743842365E-3</v>
      </c>
      <c r="G58" s="14">
        <f>INDEX(Background!$C$4:$C$7,MATCH(C58,Background!$A$4:$A$7,0))</f>
        <v>0.27646770694842909</v>
      </c>
      <c r="H58" s="17">
        <f t="shared" si="5"/>
        <v>-4.0275447219713829</v>
      </c>
    </row>
    <row r="59" spans="1:8">
      <c r="A59" s="4" t="s">
        <v>747</v>
      </c>
      <c r="B59" s="4">
        <v>58</v>
      </c>
      <c r="C59" s="4" t="s">
        <v>72</v>
      </c>
      <c r="D59" s="4" t="s">
        <v>783</v>
      </c>
      <c r="E59" s="4" t="str">
        <f t="shared" si="4"/>
        <v>58|U</v>
      </c>
      <c r="F59" s="14">
        <f>INDEX('Emission Stepwise'!$H$2:$H$289,MATCH(E59,'Emission Stepwise'!$C$2:$C$289,0))</f>
        <v>9.8039215686274508E-3</v>
      </c>
      <c r="G59" s="14">
        <f>INDEX(Background!$C$4:$C$7,MATCH(C59,Background!$A$4:$A$7,0))</f>
        <v>0.21314113777902177</v>
      </c>
      <c r="H59" s="17">
        <f t="shared" si="5"/>
        <v>-3.0791720992575837</v>
      </c>
    </row>
    <row r="60" spans="1:8">
      <c r="A60" s="4" t="s">
        <v>747</v>
      </c>
      <c r="B60" s="4">
        <v>59</v>
      </c>
      <c r="C60" s="4" t="s">
        <v>72</v>
      </c>
      <c r="D60" s="4" t="s">
        <v>783</v>
      </c>
      <c r="E60" s="4" t="str">
        <f t="shared" si="4"/>
        <v>59|U</v>
      </c>
      <c r="F60" s="14">
        <f>INDEX('Emission Stepwise'!$H$2:$H$289,MATCH(E60,'Emission Stepwise'!$C$2:$C$289,0))</f>
        <v>0.25</v>
      </c>
      <c r="G60" s="14">
        <f>INDEX(Background!$C$4:$C$7,MATCH(C60,Background!$A$4:$A$7,0))</f>
        <v>0.21314113777902177</v>
      </c>
      <c r="H60" s="17">
        <f t="shared" si="5"/>
        <v>0.15950635290679691</v>
      </c>
    </row>
    <row r="61" spans="1:8">
      <c r="A61" s="4" t="s">
        <v>747</v>
      </c>
      <c r="B61" s="4">
        <v>60</v>
      </c>
      <c r="C61" s="4" t="s">
        <v>70</v>
      </c>
      <c r="D61" s="4" t="s">
        <v>783</v>
      </c>
      <c r="E61" s="4" t="str">
        <f t="shared" si="4"/>
        <v>60|G</v>
      </c>
      <c r="F61" s="14">
        <f>INDEX('Emission Stepwise'!$H$2:$H$289,MATCH(E61,'Emission Stepwise'!$C$2:$C$289,0))</f>
        <v>1.4705882352941176E-2</v>
      </c>
      <c r="G61" s="14">
        <f>INDEX(Background!$C$4:$C$7,MATCH(C61,Background!$A$4:$A$7,0))</f>
        <v>0.32488979077741237</v>
      </c>
      <c r="H61" s="17">
        <f t="shared" si="5"/>
        <v>-3.0952384457142337</v>
      </c>
    </row>
    <row r="62" spans="1:8">
      <c r="A62" s="4" t="s">
        <v>747</v>
      </c>
      <c r="B62" s="4">
        <v>61</v>
      </c>
      <c r="C62" s="4" t="s">
        <v>71</v>
      </c>
      <c r="D62" s="4" t="s">
        <v>783</v>
      </c>
      <c r="E62" s="4" t="str">
        <f t="shared" si="4"/>
        <v>61|C</v>
      </c>
      <c r="F62" s="14">
        <f>INDEX('Emission Stepwise'!$H$2:$H$289,MATCH(E62,'Emission Stepwise'!$C$2:$C$289,0))</f>
        <v>0.97549019607843135</v>
      </c>
      <c r="G62" s="14">
        <f>INDEX(Background!$C$4:$C$7,MATCH(C62,Background!$A$4:$A$7,0))</f>
        <v>0.27646770694842909</v>
      </c>
      <c r="H62" s="17">
        <f t="shared" si="5"/>
        <v>1.26084608795068</v>
      </c>
    </row>
    <row r="63" spans="1:8">
      <c r="A63" s="4" t="s">
        <v>747</v>
      </c>
      <c r="B63" s="4">
        <v>62</v>
      </c>
      <c r="C63" s="4" t="s">
        <v>72</v>
      </c>
      <c r="D63" s="4" t="s">
        <v>783</v>
      </c>
      <c r="E63" s="4" t="str">
        <f t="shared" si="4"/>
        <v>62|U</v>
      </c>
      <c r="F63" s="14">
        <f>INDEX('Emission Stepwise'!$H$2:$H$289,MATCH(E63,'Emission Stepwise'!$C$2:$C$289,0))</f>
        <v>0.13235294117647059</v>
      </c>
      <c r="G63" s="14">
        <f>INDEX(Background!$C$4:$C$7,MATCH(C63,Background!$A$4:$A$7,0))</f>
        <v>0.21314113777902177</v>
      </c>
      <c r="H63" s="17">
        <f t="shared" si="5"/>
        <v>-0.47648241381319967</v>
      </c>
    </row>
    <row r="64" spans="1:8">
      <c r="A64" s="4" t="s">
        <v>747</v>
      </c>
      <c r="B64" s="4">
        <v>63</v>
      </c>
      <c r="C64" s="4" t="s">
        <v>72</v>
      </c>
      <c r="D64" s="4" t="s">
        <v>783</v>
      </c>
      <c r="E64" s="4" t="str">
        <f t="shared" si="4"/>
        <v>63|U</v>
      </c>
      <c r="F64" s="14">
        <f>INDEX('Emission Stepwise'!$H$2:$H$289,MATCH(E64,'Emission Stepwise'!$C$2:$C$289,0))</f>
        <v>0.16176470588235295</v>
      </c>
      <c r="G64" s="14">
        <f>INDEX(Background!$C$4:$C$7,MATCH(C64,Background!$A$4:$A$7,0))</f>
        <v>0.21314113777902177</v>
      </c>
      <c r="H64" s="17">
        <f t="shared" si="5"/>
        <v>-0.27581171835104856</v>
      </c>
    </row>
    <row r="65" spans="1:8">
      <c r="A65" s="4" t="s">
        <v>747</v>
      </c>
      <c r="B65" s="4">
        <v>64</v>
      </c>
      <c r="C65" s="4" t="s">
        <v>72</v>
      </c>
      <c r="D65" s="4" t="s">
        <v>783</v>
      </c>
      <c r="E65" s="4" t="str">
        <f t="shared" si="4"/>
        <v>64|U</v>
      </c>
      <c r="F65" s="14">
        <f>INDEX('Emission Stepwise'!$H$2:$H$289,MATCH(E65,'Emission Stepwise'!$C$2:$C$289,0))</f>
        <v>0.16666666666666666</v>
      </c>
      <c r="G65" s="14">
        <f>INDEX(Background!$C$4:$C$7,MATCH(C65,Background!$A$4:$A$7,0))</f>
        <v>0.21314113777902177</v>
      </c>
      <c r="H65" s="17">
        <f t="shared" si="5"/>
        <v>-0.24595875520136748</v>
      </c>
    </row>
    <row r="66" spans="1:8">
      <c r="A66" s="4" t="s">
        <v>747</v>
      </c>
      <c r="B66" s="4">
        <v>65</v>
      </c>
      <c r="C66" s="4" t="s">
        <v>73</v>
      </c>
      <c r="D66" s="4" t="s">
        <v>783</v>
      </c>
      <c r="E66" s="4" t="str">
        <f t="shared" si="4"/>
        <v>65|A</v>
      </c>
      <c r="F66" s="14">
        <f>INDEX('Emission Stepwise'!$H$2:$H$289,MATCH(E66,'Emission Stepwise'!$C$2:$C$289,0))</f>
        <v>4.9261083743842367E-2</v>
      </c>
      <c r="G66" s="14">
        <f>INDEX(Background!$C$4:$C$7,MATCH(C66,Background!$A$4:$A$7,0))</f>
        <v>0.18550136449513679</v>
      </c>
      <c r="H66" s="17">
        <f t="shared" si="5"/>
        <v>-1.3259278448549723</v>
      </c>
    </row>
    <row r="67" spans="1:8">
      <c r="A67" s="4" t="s">
        <v>747</v>
      </c>
      <c r="B67" s="4">
        <v>66</v>
      </c>
      <c r="C67" s="4" t="s">
        <v>71</v>
      </c>
      <c r="D67" s="4" t="s">
        <v>784</v>
      </c>
      <c r="E67" s="4" t="str">
        <f t="shared" si="4"/>
        <v>66|C</v>
      </c>
      <c r="F67" s="14">
        <f>INDEX('Emission Stepwise'!$H$2:$H$289,MATCH(E67,'Emission Stepwise'!$C$2:$C$289,0))</f>
        <v>0.51960784313725494</v>
      </c>
      <c r="G67" s="14">
        <f>INDEX(Background!$C$4:$C$7,MATCH(C67,Background!$A$4:$A$7,0))</f>
        <v>0.27646770694842909</v>
      </c>
      <c r="H67" s="17">
        <f t="shared" si="5"/>
        <v>0.63098035733825475</v>
      </c>
    </row>
    <row r="68" spans="1:8">
      <c r="A68" s="4" t="s">
        <v>747</v>
      </c>
      <c r="B68" s="4">
        <v>67</v>
      </c>
      <c r="C68" s="4" t="s">
        <v>72</v>
      </c>
      <c r="D68" s="4" t="s">
        <v>784</v>
      </c>
      <c r="E68" s="4" t="str">
        <f t="shared" si="4"/>
        <v>67|U</v>
      </c>
      <c r="F68" s="14">
        <f>INDEX('Emission Stepwise'!$H$2:$H$289,MATCH(E68,'Emission Stepwise'!$C$2:$C$289,0))</f>
        <v>0.19117647058823528</v>
      </c>
      <c r="G68" s="14">
        <f>INDEX(Background!$C$4:$C$7,MATCH(C68,Background!$A$4:$A$7,0))</f>
        <v>0.21314113777902177</v>
      </c>
      <c r="H68" s="17">
        <f t="shared" si="5"/>
        <v>-0.1087576336878824</v>
      </c>
    </row>
    <row r="69" spans="1:8">
      <c r="A69" s="4" t="s">
        <v>747</v>
      </c>
      <c r="B69" s="4">
        <v>68</v>
      </c>
      <c r="C69" s="4" t="s">
        <v>72</v>
      </c>
      <c r="D69" s="4" t="s">
        <v>784</v>
      </c>
      <c r="E69" s="4" t="str">
        <f t="shared" si="4"/>
        <v>68|U</v>
      </c>
      <c r="F69" s="14">
        <f>INDEX('Emission Stepwise'!$H$2:$H$289,MATCH(E69,'Emission Stepwise'!$C$2:$C$289,0))</f>
        <v>0.18137254901960784</v>
      </c>
      <c r="G69" s="14">
        <f>INDEX(Background!$C$4:$C$7,MATCH(C69,Background!$A$4:$A$7,0))</f>
        <v>0.21314113777902177</v>
      </c>
      <c r="H69" s="17">
        <f t="shared" si="5"/>
        <v>-0.16140136717330436</v>
      </c>
    </row>
    <row r="70" spans="1:8">
      <c r="A70" s="4" t="s">
        <v>747</v>
      </c>
      <c r="B70" s="4">
        <v>69</v>
      </c>
      <c r="C70" s="4" t="s">
        <v>72</v>
      </c>
      <c r="D70" s="4" t="s">
        <v>784</v>
      </c>
      <c r="E70" s="4" t="str">
        <f t="shared" si="4"/>
        <v>69|U</v>
      </c>
      <c r="F70" s="14">
        <f>INDEX('Emission Stepwise'!$H$2:$H$289,MATCH(E70,'Emission Stepwise'!$C$2:$C$289,0))</f>
        <v>8.8235294117647065E-2</v>
      </c>
      <c r="G70" s="14">
        <f>INDEX(Background!$C$4:$C$7,MATCH(C70,Background!$A$4:$A$7,0))</f>
        <v>0.21314113777902177</v>
      </c>
      <c r="H70" s="17">
        <f t="shared" si="5"/>
        <v>-0.88194752192136405</v>
      </c>
    </row>
    <row r="71" spans="1:8">
      <c r="A71" s="4" t="s">
        <v>747</v>
      </c>
      <c r="B71" s="4">
        <v>70</v>
      </c>
      <c r="C71" s="4" t="s">
        <v>72</v>
      </c>
      <c r="D71" s="4" t="s">
        <v>784</v>
      </c>
      <c r="E71" s="4" t="str">
        <f t="shared" si="4"/>
        <v>70|U</v>
      </c>
      <c r="F71" s="14">
        <f>INDEX('Emission Stepwise'!$H$2:$H$289,MATCH(E71,'Emission Stepwise'!$C$2:$C$289,0))</f>
        <v>0.15196078431372548</v>
      </c>
      <c r="G71" s="14">
        <f>INDEX(Background!$C$4:$C$7,MATCH(C71,Background!$A$4:$A$7,0))</f>
        <v>0.21314113777902177</v>
      </c>
      <c r="H71" s="17">
        <f t="shared" si="5"/>
        <v>-0.33833207533238269</v>
      </c>
    </row>
    <row r="72" spans="1:8">
      <c r="A72" s="4" t="s">
        <v>747</v>
      </c>
      <c r="B72" s="4">
        <v>71</v>
      </c>
      <c r="C72" s="4" t="s">
        <v>73</v>
      </c>
      <c r="D72" s="4" t="s">
        <v>784</v>
      </c>
      <c r="E72" s="4" t="str">
        <f t="shared" si="4"/>
        <v>71|A</v>
      </c>
      <c r="F72" s="14">
        <f>INDEX('Emission Stepwise'!$H$2:$H$289,MATCH(E72,'Emission Stepwise'!$C$2:$C$289,0))</f>
        <v>2.9411764705882353E-2</v>
      </c>
      <c r="G72" s="14">
        <f>INDEX(Background!$C$4:$C$7,MATCH(C72,Background!$A$4:$A$7,0))</f>
        <v>0.18550136449513679</v>
      </c>
      <c r="H72" s="17">
        <f t="shared" si="5"/>
        <v>-1.8416674834233921</v>
      </c>
    </row>
    <row r="73" spans="1:8">
      <c r="A73" s="4" t="s">
        <v>747</v>
      </c>
      <c r="B73" s="4">
        <v>72</v>
      </c>
      <c r="C73" s="4" t="s">
        <v>72</v>
      </c>
      <c r="D73" s="4" t="s">
        <v>784</v>
      </c>
      <c r="E73" s="4" t="str">
        <f t="shared" si="4"/>
        <v>72|U</v>
      </c>
      <c r="F73" s="14">
        <f>INDEX('Emission Stepwise'!$H$2:$H$289,MATCH(E73,'Emission Stepwise'!$C$2:$C$289,0))</f>
        <v>0.10784313725490197</v>
      </c>
      <c r="G73" s="14">
        <f>INDEX(Background!$C$4:$C$7,MATCH(C73,Background!$A$4:$A$7,0))</f>
        <v>0.21314113777902177</v>
      </c>
      <c r="H73" s="17">
        <f t="shared" si="5"/>
        <v>-0.68127682645921295</v>
      </c>
    </row>
    <row r="74" spans="1:8">
      <c r="A74" s="4" t="s">
        <v>751</v>
      </c>
      <c r="B74" s="4">
        <v>1</v>
      </c>
      <c r="C74" s="4" t="s">
        <v>70</v>
      </c>
      <c r="D74" s="4" t="s">
        <v>778</v>
      </c>
      <c r="E74" s="4" t="str">
        <f t="shared" si="4"/>
        <v>1|G</v>
      </c>
      <c r="F74" s="14">
        <f>INDEX('Emission Stepwise'!$H$2:$H$289,MATCH(E74,'Emission Stepwise'!$C$2:$C$289,0))</f>
        <v>0.75</v>
      </c>
      <c r="G74" s="14">
        <f>INDEX(Background!$C$4:$C$7,MATCH(C74,Background!$A$4:$A$7,0))</f>
        <v>0.32488979077741237</v>
      </c>
      <c r="H74" s="17">
        <f t="shared" si="5"/>
        <v>0.83658718701009205</v>
      </c>
    </row>
    <row r="75" spans="1:8">
      <c r="A75" s="4" t="s">
        <v>751</v>
      </c>
      <c r="B75" s="4">
        <v>2</v>
      </c>
      <c r="C75" s="4" t="s">
        <v>70</v>
      </c>
      <c r="D75" s="4" t="s">
        <v>778</v>
      </c>
      <c r="E75" s="4" t="str">
        <f t="shared" si="4"/>
        <v>2|G</v>
      </c>
      <c r="F75" s="14">
        <f>INDEX('Emission Stepwise'!$H$2:$H$289,MATCH(E75,'Emission Stepwise'!$C$2:$C$289,0))</f>
        <v>0.52450980392156865</v>
      </c>
      <c r="G75" s="14">
        <f>INDEX(Background!$C$4:$C$7,MATCH(C75,Background!$A$4:$A$7,0))</f>
        <v>0.32488979077741237</v>
      </c>
      <c r="H75" s="17">
        <f t="shared" si="5"/>
        <v>0.47897810007956287</v>
      </c>
    </row>
    <row r="76" spans="1:8">
      <c r="A76" s="4" t="s">
        <v>751</v>
      </c>
      <c r="B76" s="4">
        <v>3</v>
      </c>
      <c r="C76" s="4" t="s">
        <v>70</v>
      </c>
      <c r="D76" s="4" t="s">
        <v>778</v>
      </c>
      <c r="E76" s="4" t="str">
        <f t="shared" si="4"/>
        <v>3|G</v>
      </c>
      <c r="F76" s="14">
        <f>INDEX('Emission Stepwise'!$H$2:$H$289,MATCH(E76,'Emission Stepwise'!$C$2:$C$289,0))</f>
        <v>0.4264705882352941</v>
      </c>
      <c r="G76" s="14">
        <f>INDEX(Background!$C$4:$C$7,MATCH(C76,Background!$A$4:$A$7,0))</f>
        <v>0.32488979077741237</v>
      </c>
      <c r="H76" s="17">
        <f t="shared" si="5"/>
        <v>0.27205738427224041</v>
      </c>
    </row>
    <row r="77" spans="1:8">
      <c r="A77" s="4" t="s">
        <v>751</v>
      </c>
      <c r="B77" s="4">
        <v>4</v>
      </c>
      <c r="C77" s="4" t="s">
        <v>73</v>
      </c>
      <c r="D77" s="4" t="s">
        <v>778</v>
      </c>
      <c r="E77" s="4" t="str">
        <f t="shared" si="4"/>
        <v>4|A</v>
      </c>
      <c r="F77" s="14">
        <f>INDEX('Emission Stepwise'!$H$2:$H$289,MATCH(E77,'Emission Stepwise'!$C$2:$C$289,0))</f>
        <v>8.3333333333333329E-2</v>
      </c>
      <c r="G77" s="14">
        <f>INDEX(Background!$C$4:$C$7,MATCH(C77,Background!$A$4:$A$7,0))</f>
        <v>0.18550136449513679</v>
      </c>
      <c r="H77" s="17">
        <f t="shared" si="5"/>
        <v>-0.80021360859523116</v>
      </c>
    </row>
    <row r="78" spans="1:8">
      <c r="A78" s="4" t="s">
        <v>751</v>
      </c>
      <c r="B78" s="4">
        <v>5</v>
      </c>
      <c r="C78" s="4" t="s">
        <v>70</v>
      </c>
      <c r="D78" s="4" t="s">
        <v>778</v>
      </c>
      <c r="E78" s="4" t="str">
        <f t="shared" si="4"/>
        <v>5|G</v>
      </c>
      <c r="F78" s="14">
        <f>INDEX('Emission Stepwise'!$H$2:$H$289,MATCH(E78,'Emission Stepwise'!$C$2:$C$289,0))</f>
        <v>0.34313725490196079</v>
      </c>
      <c r="G78" s="14">
        <f>INDEX(Background!$C$4:$C$7,MATCH(C78,Background!$A$4:$A$7,0))</f>
        <v>0.32488979077741237</v>
      </c>
      <c r="H78" s="17">
        <f t="shared" si="5"/>
        <v>5.4644507667015618E-2</v>
      </c>
    </row>
    <row r="79" spans="1:8">
      <c r="A79" s="4" t="s">
        <v>751</v>
      </c>
      <c r="B79" s="4">
        <v>6</v>
      </c>
      <c r="C79" s="4" t="s">
        <v>70</v>
      </c>
      <c r="D79" s="4" t="s">
        <v>778</v>
      </c>
      <c r="E79" s="4" t="str">
        <f t="shared" si="4"/>
        <v>6|G</v>
      </c>
      <c r="F79" s="14">
        <f>INDEX('Emission Stepwise'!$H$2:$H$289,MATCH(E79,'Emission Stepwise'!$C$2:$C$289,0))</f>
        <v>0.24019607843137256</v>
      </c>
      <c r="G79" s="14">
        <f>INDEX(Background!$C$4:$C$7,MATCH(C79,Background!$A$4:$A$7,0))</f>
        <v>0.32488979077741237</v>
      </c>
      <c r="H79" s="17">
        <f t="shared" si="5"/>
        <v>-0.30203043627171677</v>
      </c>
    </row>
    <row r="80" spans="1:8">
      <c r="A80" s="4" t="s">
        <v>751</v>
      </c>
      <c r="B80" s="4">
        <v>7</v>
      </c>
      <c r="C80" s="4" t="s">
        <v>72</v>
      </c>
      <c r="D80" s="4" t="s">
        <v>778</v>
      </c>
      <c r="E80" s="4" t="str">
        <f t="shared" ref="E80:E111" si="6">B80&amp;"|"&amp;C80</f>
        <v>7|U</v>
      </c>
      <c r="F80" s="14">
        <f>INDEX('Emission Stepwise'!$H$2:$H$289,MATCH(E80,'Emission Stepwise'!$C$2:$C$289,0))</f>
        <v>0.22058823529411764</v>
      </c>
      <c r="G80" s="14">
        <f>INDEX(Background!$C$4:$C$7,MATCH(C80,Background!$A$4:$A$7,0))</f>
        <v>0.21314113777902177</v>
      </c>
      <c r="H80" s="17">
        <f t="shared" ref="H80:H111" si="7">LN(F80/G80)</f>
        <v>3.4343209952791019E-2</v>
      </c>
    </row>
    <row r="81" spans="1:8">
      <c r="A81" s="4" t="s">
        <v>751</v>
      </c>
      <c r="B81" s="4">
        <v>8</v>
      </c>
      <c r="C81" s="4" t="s">
        <v>72</v>
      </c>
      <c r="D81" s="4" t="s">
        <v>779</v>
      </c>
      <c r="E81" s="4" t="str">
        <f t="shared" si="6"/>
        <v>8|U</v>
      </c>
      <c r="F81" s="14">
        <f>INDEX('Emission Stepwise'!$H$2:$H$289,MATCH(E81,'Emission Stepwise'!$C$2:$C$289,0))</f>
        <v>0.97549019607843135</v>
      </c>
      <c r="G81" s="14">
        <f>INDEX(Background!$C$4:$C$7,MATCH(C81,Background!$A$4:$A$7,0))</f>
        <v>0.21314113777902177</v>
      </c>
      <c r="H81" s="17">
        <f t="shared" si="7"/>
        <v>1.5209855449069636</v>
      </c>
    </row>
    <row r="82" spans="1:8">
      <c r="A82" s="4" t="s">
        <v>751</v>
      </c>
      <c r="B82" s="4">
        <v>9</v>
      </c>
      <c r="C82" s="4" t="s">
        <v>72</v>
      </c>
      <c r="D82" s="4" t="s">
        <v>780</v>
      </c>
      <c r="E82" s="4" t="str">
        <f t="shared" si="6"/>
        <v>9|U</v>
      </c>
      <c r="F82" s="14">
        <f>INDEX('Emission Stepwise'!$H$2:$H$289,MATCH(E82,'Emission Stepwise'!$C$2:$C$289,0))</f>
        <v>4.9261083743842365E-3</v>
      </c>
      <c r="G82" s="14">
        <f>INDEX(Background!$C$4:$C$7,MATCH(C82,Background!$A$4:$A$7,0))</f>
        <v>0.21314113777902177</v>
      </c>
      <c r="H82" s="17">
        <f t="shared" si="7"/>
        <v>-3.7674052650150998</v>
      </c>
    </row>
    <row r="83" spans="1:8">
      <c r="A83" s="4" t="s">
        <v>751</v>
      </c>
      <c r="B83" s="4">
        <v>10</v>
      </c>
      <c r="C83" s="4" t="s">
        <v>70</v>
      </c>
      <c r="D83" s="4" t="s">
        <v>780</v>
      </c>
      <c r="E83" s="4" t="str">
        <f t="shared" si="6"/>
        <v>10|G</v>
      </c>
      <c r="F83" s="14">
        <f>INDEX('Emission Stepwise'!$H$2:$H$289,MATCH(E83,'Emission Stepwise'!$C$2:$C$289,0))</f>
        <v>0.94607843137254899</v>
      </c>
      <c r="G83" s="14">
        <f>INDEX(Background!$C$4:$C$7,MATCH(C83,Background!$A$4:$A$7,0))</f>
        <v>0.32488979077741237</v>
      </c>
      <c r="H83" s="17">
        <f t="shared" si="7"/>
        <v>1.0688394545225421</v>
      </c>
    </row>
    <row r="84" spans="1:8">
      <c r="A84" s="4" t="s">
        <v>751</v>
      </c>
      <c r="B84" s="4">
        <v>11</v>
      </c>
      <c r="C84" s="4" t="s">
        <v>73</v>
      </c>
      <c r="D84" s="4" t="s">
        <v>780</v>
      </c>
      <c r="E84" s="4" t="str">
        <f t="shared" si="6"/>
        <v>11|A</v>
      </c>
      <c r="F84" s="14">
        <f>INDEX('Emission Stepwise'!$H$2:$H$289,MATCH(E84,'Emission Stepwise'!$C$2:$C$289,0))</f>
        <v>3.9215686274509803E-2</v>
      </c>
      <c r="G84" s="14">
        <f>INDEX(Background!$C$4:$C$7,MATCH(C84,Background!$A$4:$A$7,0))</f>
        <v>0.18550136449513679</v>
      </c>
      <c r="H84" s="17">
        <f t="shared" si="7"/>
        <v>-1.5539854109716114</v>
      </c>
    </row>
    <row r="85" spans="1:8">
      <c r="A85" s="4" t="s">
        <v>751</v>
      </c>
      <c r="B85" s="4">
        <v>12</v>
      </c>
      <c r="C85" s="4" t="s">
        <v>72</v>
      </c>
      <c r="D85" s="4" t="s">
        <v>780</v>
      </c>
      <c r="E85" s="4" t="str">
        <f t="shared" si="6"/>
        <v>12|U</v>
      </c>
      <c r="F85" s="14">
        <f>INDEX('Emission Stepwise'!$H$2:$H$289,MATCH(E85,'Emission Stepwise'!$C$2:$C$289,0))</f>
        <v>0.59313725490196079</v>
      </c>
      <c r="G85" s="14">
        <f>INDEX(Background!$C$4:$C$7,MATCH(C85,Background!$A$4:$A$7,0))</f>
        <v>0.21314113777902177</v>
      </c>
      <c r="H85" s="17">
        <f t="shared" si="7"/>
        <v>1.0234712657792122</v>
      </c>
    </row>
    <row r="86" spans="1:8">
      <c r="A86" s="4" t="s">
        <v>751</v>
      </c>
      <c r="B86" s="4">
        <v>13</v>
      </c>
      <c r="C86" s="4" t="s">
        <v>71</v>
      </c>
      <c r="D86" s="4" t="s">
        <v>780</v>
      </c>
      <c r="E86" s="4" t="str">
        <f t="shared" si="6"/>
        <v>13|C</v>
      </c>
      <c r="F86" s="14">
        <f>INDEX('Emission Stepwise'!$H$2:$H$289,MATCH(E86,'Emission Stepwise'!$C$2:$C$289,0))</f>
        <v>0.64215686274509809</v>
      </c>
      <c r="G86" s="14">
        <f>INDEX(Background!$C$4:$C$7,MATCH(C86,Background!$A$4:$A$7,0))</f>
        <v>0.27646770694842909</v>
      </c>
      <c r="H86" s="17">
        <f t="shared" si="7"/>
        <v>0.84273858642733934</v>
      </c>
    </row>
    <row r="87" spans="1:8">
      <c r="A87" s="4" t="s">
        <v>751</v>
      </c>
      <c r="B87" s="4">
        <v>14</v>
      </c>
      <c r="C87" s="4" t="s">
        <v>70</v>
      </c>
      <c r="D87" s="4" t="s">
        <v>780</v>
      </c>
      <c r="E87" s="4" t="str">
        <f t="shared" si="6"/>
        <v>14|G</v>
      </c>
      <c r="F87" s="14">
        <f>INDEX('Emission Stepwise'!$H$2:$H$289,MATCH(E87,'Emission Stepwise'!$C$2:$C$289,0))</f>
        <v>9.8039215686274508E-3</v>
      </c>
      <c r="G87" s="14">
        <f>INDEX(Background!$C$4:$C$7,MATCH(C87,Background!$A$4:$A$7,0))</f>
        <v>0.32488979077741237</v>
      </c>
      <c r="H87" s="17">
        <f t="shared" si="7"/>
        <v>-3.5007035538223983</v>
      </c>
    </row>
    <row r="88" spans="1:8">
      <c r="A88" s="4" t="s">
        <v>751</v>
      </c>
      <c r="B88" s="4">
        <v>15</v>
      </c>
      <c r="C88" s="4" t="s">
        <v>70</v>
      </c>
      <c r="D88" s="4" t="s">
        <v>780</v>
      </c>
      <c r="E88" s="4" t="str">
        <f t="shared" si="6"/>
        <v>15|G</v>
      </c>
      <c r="F88" s="14">
        <f>INDEX('Emission Stepwise'!$H$2:$H$289,MATCH(E88,'Emission Stepwise'!$C$2:$C$289,0))</f>
        <v>0.80295566502463056</v>
      </c>
      <c r="G88" s="14">
        <f>INDEX(Background!$C$4:$C$7,MATCH(C88,Background!$A$4:$A$7,0))</f>
        <v>0.32488979077741237</v>
      </c>
      <c r="H88" s="17">
        <f t="shared" si="7"/>
        <v>0.90481348122684802</v>
      </c>
    </row>
    <row r="89" spans="1:8">
      <c r="A89" s="4" t="s">
        <v>751</v>
      </c>
      <c r="B89" s="4">
        <v>16</v>
      </c>
      <c r="C89" s="4" t="s">
        <v>73</v>
      </c>
      <c r="D89" s="4" t="s">
        <v>780</v>
      </c>
      <c r="E89" s="4" t="str">
        <f t="shared" si="6"/>
        <v>16|A</v>
      </c>
      <c r="F89" s="14">
        <f>INDEX('Emission Stepwise'!$H$2:$H$289,MATCH(E89,'Emission Stepwise'!$C$2:$C$289,0))</f>
        <v>2.9197080291970802E-2</v>
      </c>
      <c r="G89" s="14">
        <f>INDEX(Background!$C$4:$C$7,MATCH(C89,Background!$A$4:$A$7,0))</f>
        <v>0.18550136449513679</v>
      </c>
      <c r="H89" s="17">
        <f t="shared" si="7"/>
        <v>-1.8489935235154651</v>
      </c>
    </row>
    <row r="90" spans="1:8">
      <c r="A90" s="4" t="s">
        <v>751</v>
      </c>
      <c r="B90" s="4">
        <v>17</v>
      </c>
      <c r="C90" s="4" t="s">
        <v>71</v>
      </c>
      <c r="D90" s="4" t="s">
        <v>780</v>
      </c>
      <c r="E90" s="4" t="str">
        <f t="shared" si="6"/>
        <v>17|C</v>
      </c>
      <c r="F90" s="14">
        <f>INDEX('Emission Stepwise'!$H$2:$H$289,MATCH(E90,'Emission Stepwise'!$C$2:$C$289,0))</f>
        <v>0.31840796019900497</v>
      </c>
      <c r="G90" s="14">
        <f>INDEX(Background!$C$4:$C$7,MATCH(C90,Background!$A$4:$A$7,0))</f>
        <v>0.27646770694842909</v>
      </c>
      <c r="H90" s="17">
        <f t="shared" si="7"/>
        <v>0.14123943237100009</v>
      </c>
    </row>
    <row r="91" spans="1:8">
      <c r="A91" s="4" t="s">
        <v>751</v>
      </c>
      <c r="B91" s="4">
        <v>18</v>
      </c>
      <c r="C91" s="4" t="s">
        <v>70</v>
      </c>
      <c r="D91" s="4" t="s">
        <v>780</v>
      </c>
      <c r="E91" s="4" t="str">
        <f t="shared" si="6"/>
        <v>18|G</v>
      </c>
      <c r="F91" s="14">
        <f>INDEX('Emission Stepwise'!$H$2:$H$289,MATCH(E91,'Emission Stepwise'!$C$2:$C$289,0))</f>
        <v>0.98039215686274506</v>
      </c>
      <c r="G91" s="14">
        <f>INDEX(Background!$C$4:$C$7,MATCH(C91,Background!$A$4:$A$7,0))</f>
        <v>0.32488979077741237</v>
      </c>
      <c r="H91" s="17">
        <f t="shared" si="7"/>
        <v>1.1044666321656933</v>
      </c>
    </row>
    <row r="92" spans="1:8">
      <c r="A92" s="4" t="s">
        <v>751</v>
      </c>
      <c r="B92" s="4">
        <v>19</v>
      </c>
      <c r="C92" s="4" t="s">
        <v>70</v>
      </c>
      <c r="D92" s="4" t="s">
        <v>780</v>
      </c>
      <c r="E92" s="4" t="str">
        <f t="shared" si="6"/>
        <v>19|G</v>
      </c>
      <c r="F92" s="14">
        <f>INDEX('Emission Stepwise'!$H$2:$H$289,MATCH(E92,'Emission Stepwise'!$C$2:$C$289,0))</f>
        <v>0.97058823529411764</v>
      </c>
      <c r="G92" s="14">
        <f>INDEX(Background!$C$4:$C$7,MATCH(C92,Background!$A$4:$A$7,0))</f>
        <v>0.32488979077741237</v>
      </c>
      <c r="H92" s="17">
        <f t="shared" si="7"/>
        <v>1.0944162963121917</v>
      </c>
    </row>
    <row r="93" spans="1:8">
      <c r="A93" s="4" t="s">
        <v>751</v>
      </c>
      <c r="B93" s="4">
        <v>20</v>
      </c>
      <c r="C93" s="4" t="s">
        <v>70</v>
      </c>
      <c r="D93" s="4" t="s">
        <v>780</v>
      </c>
      <c r="E93" s="4" t="str">
        <f t="shared" si="6"/>
        <v>20|G</v>
      </c>
      <c r="F93" s="14">
        <f>INDEX('Emission Stepwise'!$H$2:$H$289,MATCH(E93,'Emission Stepwise'!$C$2:$C$289,0))</f>
        <v>9.3596059113300489E-2</v>
      </c>
      <c r="G93" s="14">
        <f>INDEX(Background!$C$4:$C$7,MATCH(C93,Background!$A$4:$A$7,0))</f>
        <v>0.32488979077741237</v>
      </c>
      <c r="H93" s="17">
        <f t="shared" si="7"/>
        <v>-1.2444977404134738</v>
      </c>
    </row>
    <row r="94" spans="1:8">
      <c r="A94" s="4" t="s">
        <v>751</v>
      </c>
      <c r="B94" s="4">
        <v>21</v>
      </c>
      <c r="C94" s="4" t="s">
        <v>70</v>
      </c>
      <c r="D94" s="4" t="s">
        <v>780</v>
      </c>
      <c r="E94" s="4" t="str">
        <f t="shared" si="6"/>
        <v>21|G</v>
      </c>
      <c r="F94" s="14">
        <f>INDEX('Emission Stepwise'!$H$2:$H$289,MATCH(E94,'Emission Stepwise'!$C$2:$C$289,0))</f>
        <v>3.9215686274509803E-2</v>
      </c>
      <c r="G94" s="14">
        <f>INDEX(Background!$C$4:$C$7,MATCH(C94,Background!$A$4:$A$7,0))</f>
        <v>0.32488979077741237</v>
      </c>
      <c r="H94" s="17">
        <f t="shared" si="7"/>
        <v>-2.1144091927025075</v>
      </c>
    </row>
    <row r="95" spans="1:8">
      <c r="A95" s="4" t="s">
        <v>751</v>
      </c>
      <c r="B95" s="4">
        <v>22</v>
      </c>
      <c r="C95" s="4" t="s">
        <v>70</v>
      </c>
      <c r="D95" s="4" t="s">
        <v>780</v>
      </c>
      <c r="E95" s="4" t="str">
        <f t="shared" si="6"/>
        <v>22|G</v>
      </c>
      <c r="F95" s="14">
        <f>INDEX('Emission Stepwise'!$H$2:$H$289,MATCH(E95,'Emission Stepwise'!$C$2:$C$289,0))</f>
        <v>0.71568627450980393</v>
      </c>
      <c r="G95" s="14">
        <f>INDEX(Background!$C$4:$C$7,MATCH(C95,Background!$A$4:$A$7,0))</f>
        <v>0.32488979077741237</v>
      </c>
      <c r="H95" s="17">
        <f t="shared" si="7"/>
        <v>0.789755887325993</v>
      </c>
    </row>
    <row r="96" spans="1:8">
      <c r="A96" s="4" t="s">
        <v>751</v>
      </c>
      <c r="B96" s="4">
        <v>23</v>
      </c>
      <c r="C96" s="4" t="s">
        <v>73</v>
      </c>
      <c r="D96" s="4" t="s">
        <v>780</v>
      </c>
      <c r="E96" s="4" t="str">
        <f t="shared" si="6"/>
        <v>23|A</v>
      </c>
      <c r="F96" s="14">
        <f>INDEX('Emission Stepwise'!$H$2:$H$289,MATCH(E96,'Emission Stepwise'!$C$2:$C$289,0))</f>
        <v>0.59803921568627449</v>
      </c>
      <c r="G96" s="14">
        <f>INDEX(Background!$C$4:$C$7,MATCH(C96,Background!$A$4:$A$7,0))</f>
        <v>0.18550136449513679</v>
      </c>
      <c r="H96" s="17">
        <f t="shared" si="7"/>
        <v>1.1705940920818094</v>
      </c>
    </row>
    <row r="97" spans="1:8">
      <c r="A97" s="4" t="s">
        <v>751</v>
      </c>
      <c r="B97" s="4">
        <v>24</v>
      </c>
      <c r="C97" s="4" t="s">
        <v>73</v>
      </c>
      <c r="D97" s="4" t="s">
        <v>780</v>
      </c>
      <c r="E97" s="4" t="str">
        <f t="shared" si="6"/>
        <v>24|A</v>
      </c>
      <c r="F97" s="14">
        <f>INDEX('Emission Stepwise'!$H$2:$H$289,MATCH(E97,'Emission Stepwise'!$C$2:$C$289,0))</f>
        <v>0.18627450980392157</v>
      </c>
      <c r="G97" s="14">
        <f>INDEX(Background!$C$4:$C$7,MATCH(C97,Background!$A$4:$A$7,0))</f>
        <v>0.18550136449513679</v>
      </c>
      <c r="H97" s="17">
        <f t="shared" si="7"/>
        <v>4.1592070749386289E-3</v>
      </c>
    </row>
    <row r="98" spans="1:8">
      <c r="A98" s="4" t="s">
        <v>751</v>
      </c>
      <c r="B98" s="4">
        <v>25</v>
      </c>
      <c r="C98" s="4" t="s">
        <v>72</v>
      </c>
      <c r="D98" s="4" t="s">
        <v>780</v>
      </c>
      <c r="E98" s="4" t="str">
        <f t="shared" si="6"/>
        <v>25|U</v>
      </c>
      <c r="F98" s="14">
        <f>INDEX('Emission Stepwise'!$H$2:$H$289,MATCH(E98,'Emission Stepwise'!$C$2:$C$289,0))</f>
        <v>7.3529411764705885E-2</v>
      </c>
      <c r="G98" s="14">
        <f>INDEX(Background!$C$4:$C$7,MATCH(C98,Background!$A$4:$A$7,0))</f>
        <v>0.21314113777902177</v>
      </c>
      <c r="H98" s="17">
        <f t="shared" si="7"/>
        <v>-1.0642690787153186</v>
      </c>
    </row>
    <row r="99" spans="1:8">
      <c r="A99" s="4" t="s">
        <v>751</v>
      </c>
      <c r="B99" s="4">
        <v>26</v>
      </c>
      <c r="C99" s="4" t="s">
        <v>72</v>
      </c>
      <c r="D99" s="4" t="s">
        <v>781</v>
      </c>
      <c r="E99" s="4" t="str">
        <f t="shared" si="6"/>
        <v>26|U</v>
      </c>
      <c r="F99" s="14">
        <f>INDEX('Emission Stepwise'!$H$2:$H$289,MATCH(E99,'Emission Stepwise'!$C$2:$C$289,0))</f>
        <v>5.8823529411764705E-2</v>
      </c>
      <c r="G99" s="14">
        <f>INDEX(Background!$C$4:$C$7,MATCH(C99,Background!$A$4:$A$7,0))</f>
        <v>0.21314113777902177</v>
      </c>
      <c r="H99" s="17">
        <f t="shared" si="7"/>
        <v>-1.2874126300295285</v>
      </c>
    </row>
    <row r="100" spans="1:8">
      <c r="A100" s="4" t="s">
        <v>751</v>
      </c>
      <c r="B100" s="4">
        <v>27</v>
      </c>
      <c r="C100" s="4" t="s">
        <v>72</v>
      </c>
      <c r="D100" s="4" t="s">
        <v>781</v>
      </c>
      <c r="E100" s="4" t="str">
        <f t="shared" si="6"/>
        <v>27|U</v>
      </c>
      <c r="F100" s="14">
        <f>INDEX('Emission Stepwise'!$H$2:$H$289,MATCH(E100,'Emission Stepwise'!$C$2:$C$289,0))</f>
        <v>0.25980392156862747</v>
      </c>
      <c r="G100" s="14">
        <f>INDEX(Background!$C$4:$C$7,MATCH(C100,Background!$A$4:$A$7,0))</f>
        <v>0.21314113777902177</v>
      </c>
      <c r="H100" s="17">
        <f t="shared" si="7"/>
        <v>0.19797263373459306</v>
      </c>
    </row>
    <row r="101" spans="1:8">
      <c r="A101" s="4" t="s">
        <v>751</v>
      </c>
      <c r="B101" s="4">
        <v>28</v>
      </c>
      <c r="C101" s="4" t="s">
        <v>72</v>
      </c>
      <c r="D101" s="4" t="s">
        <v>781</v>
      </c>
      <c r="E101" s="4" t="str">
        <f t="shared" si="6"/>
        <v>28|U</v>
      </c>
      <c r="F101" s="14">
        <f>INDEX('Emission Stepwise'!$H$2:$H$289,MATCH(E101,'Emission Stepwise'!$C$2:$C$289,0))</f>
        <v>0.25490196078431371</v>
      </c>
      <c r="G101" s="14">
        <f>INDEX(Background!$C$4:$C$7,MATCH(C101,Background!$A$4:$A$7,0))</f>
        <v>0.21314113777902177</v>
      </c>
      <c r="H101" s="17">
        <f t="shared" si="7"/>
        <v>0.17892443876389855</v>
      </c>
    </row>
    <row r="102" spans="1:8">
      <c r="A102" s="4" t="s">
        <v>751</v>
      </c>
      <c r="B102" s="4">
        <v>29</v>
      </c>
      <c r="C102" s="4" t="s">
        <v>72</v>
      </c>
      <c r="D102" s="4" t="s">
        <v>781</v>
      </c>
      <c r="E102" s="4" t="str">
        <f t="shared" si="6"/>
        <v>29|U</v>
      </c>
      <c r="F102" s="14">
        <f>INDEX('Emission Stepwise'!$H$2:$H$289,MATCH(E102,'Emission Stepwise'!$C$2:$C$289,0))</f>
        <v>0.27450980392156865</v>
      </c>
      <c r="G102" s="14">
        <f>INDEX(Background!$C$4:$C$7,MATCH(C102,Background!$A$4:$A$7,0))</f>
        <v>0.21314113777902177</v>
      </c>
      <c r="H102" s="17">
        <f t="shared" si="7"/>
        <v>0.25303241091762058</v>
      </c>
    </row>
    <row r="103" spans="1:8">
      <c r="A103" s="4" t="s">
        <v>751</v>
      </c>
      <c r="B103" s="4">
        <v>30</v>
      </c>
      <c r="C103" s="4" t="s">
        <v>72</v>
      </c>
      <c r="D103" s="4" t="s">
        <v>781</v>
      </c>
      <c r="E103" s="4" t="str">
        <f t="shared" si="6"/>
        <v>30|U</v>
      </c>
      <c r="F103" s="14">
        <f>INDEX('Emission Stepwise'!$H$2:$H$289,MATCH(E103,'Emission Stepwise'!$C$2:$C$289,0))</f>
        <v>3.9215686274509803E-2</v>
      </c>
      <c r="G103" s="14">
        <f>INDEX(Background!$C$4:$C$7,MATCH(C103,Background!$A$4:$A$7,0))</f>
        <v>0.21314113777902177</v>
      </c>
      <c r="H103" s="17">
        <f t="shared" si="7"/>
        <v>-1.6928777381376929</v>
      </c>
    </row>
    <row r="104" spans="1:8">
      <c r="A104" s="4" t="s">
        <v>751</v>
      </c>
      <c r="B104" s="4">
        <v>31</v>
      </c>
      <c r="C104" s="4" t="s">
        <v>70</v>
      </c>
      <c r="D104" s="4" t="s">
        <v>781</v>
      </c>
      <c r="E104" s="4" t="str">
        <f t="shared" si="6"/>
        <v>31|G</v>
      </c>
      <c r="F104" s="14">
        <f>INDEX('Emission Stepwise'!$H$2:$H$289,MATCH(E104,'Emission Stepwise'!$C$2:$C$289,0))</f>
        <v>0.27450980392156865</v>
      </c>
      <c r="G104" s="14">
        <f>INDEX(Background!$C$4:$C$7,MATCH(C104,Background!$A$4:$A$7,0))</f>
        <v>0.32488979077741237</v>
      </c>
      <c r="H104" s="17">
        <f t="shared" si="7"/>
        <v>-0.16849904364719412</v>
      </c>
    </row>
    <row r="105" spans="1:8">
      <c r="A105" s="4" t="s">
        <v>751</v>
      </c>
      <c r="B105" s="4">
        <v>32</v>
      </c>
      <c r="C105" s="4" t="s">
        <v>70</v>
      </c>
      <c r="D105" s="4" t="s">
        <v>781</v>
      </c>
      <c r="E105" s="4" t="str">
        <f t="shared" si="6"/>
        <v>32|G</v>
      </c>
      <c r="F105" s="14">
        <f>INDEX('Emission Stepwise'!$H$2:$H$289,MATCH(E105,'Emission Stepwise'!$C$2:$C$289,0))</f>
        <v>4.9019607843137254E-3</v>
      </c>
      <c r="G105" s="14">
        <f>INDEX(Background!$C$4:$C$7,MATCH(C105,Background!$A$4:$A$7,0))</f>
        <v>0.32488979077741237</v>
      </c>
      <c r="H105" s="17">
        <f t="shared" si="7"/>
        <v>-4.1938507343823437</v>
      </c>
    </row>
    <row r="106" spans="1:8">
      <c r="A106" s="4" t="s">
        <v>751</v>
      </c>
      <c r="B106" s="4">
        <v>33</v>
      </c>
      <c r="C106" s="4" t="s">
        <v>72</v>
      </c>
      <c r="D106" s="4" t="s">
        <v>781</v>
      </c>
      <c r="E106" s="4" t="str">
        <f t="shared" si="6"/>
        <v>33|U</v>
      </c>
      <c r="F106" s="14">
        <f>INDEX('Emission Stepwise'!$H$2:$H$289,MATCH(E106,'Emission Stepwise'!$C$2:$C$289,0))</f>
        <v>0.97549019607843135</v>
      </c>
      <c r="G106" s="14">
        <f>INDEX(Background!$C$4:$C$7,MATCH(C106,Background!$A$4:$A$7,0))</f>
        <v>0.21314113777902177</v>
      </c>
      <c r="H106" s="17">
        <f t="shared" si="7"/>
        <v>1.5209855449069636</v>
      </c>
    </row>
    <row r="107" spans="1:8">
      <c r="A107" s="4" t="s">
        <v>751</v>
      </c>
      <c r="B107" s="4">
        <v>34</v>
      </c>
      <c r="C107" s="4" t="s">
        <v>72</v>
      </c>
      <c r="D107" s="4" t="s">
        <v>781</v>
      </c>
      <c r="E107" s="4" t="str">
        <f t="shared" si="6"/>
        <v>34|U</v>
      </c>
      <c r="F107" s="14">
        <f>INDEX('Emission Stepwise'!$H$2:$H$289,MATCH(E107,'Emission Stepwise'!$C$2:$C$289,0))</f>
        <v>0.28921568627450983</v>
      </c>
      <c r="G107" s="14">
        <f>INDEX(Background!$C$4:$C$7,MATCH(C107,Background!$A$4:$A$7,0))</f>
        <v>0.21314113777902177</v>
      </c>
      <c r="H107" s="17">
        <f t="shared" si="7"/>
        <v>0.30521816408819075</v>
      </c>
    </row>
    <row r="108" spans="1:8">
      <c r="A108" s="4" t="s">
        <v>751</v>
      </c>
      <c r="B108" s="4">
        <v>35</v>
      </c>
      <c r="C108" s="4" t="s">
        <v>72</v>
      </c>
      <c r="D108" s="4" t="s">
        <v>781</v>
      </c>
      <c r="E108" s="4" t="str">
        <f t="shared" si="6"/>
        <v>35|U</v>
      </c>
      <c r="F108" s="14">
        <f>INDEX('Emission Stepwise'!$H$2:$H$289,MATCH(E108,'Emission Stepwise'!$C$2:$C$289,0))</f>
        <v>0.20588235294117646</v>
      </c>
      <c r="G108" s="14">
        <f>INDEX(Background!$C$4:$C$7,MATCH(C108,Background!$A$4:$A$7,0))</f>
        <v>0.21314113777902177</v>
      </c>
      <c r="H108" s="17">
        <f t="shared" si="7"/>
        <v>-3.4649661534160589E-2</v>
      </c>
    </row>
    <row r="109" spans="1:8">
      <c r="A109" s="4" t="s">
        <v>751</v>
      </c>
      <c r="B109" s="4">
        <v>36</v>
      </c>
      <c r="C109" s="4" t="s">
        <v>73</v>
      </c>
      <c r="D109" s="4" t="s">
        <v>781</v>
      </c>
      <c r="E109" s="4" t="str">
        <f t="shared" si="6"/>
        <v>36|A</v>
      </c>
      <c r="F109" s="14">
        <f>INDEX('Emission Stepwise'!$H$2:$H$289,MATCH(E109,'Emission Stepwise'!$C$2:$C$289,0))</f>
        <v>0.21568627450980393</v>
      </c>
      <c r="G109" s="14">
        <f>INDEX(Background!$C$4:$C$7,MATCH(C109,Background!$A$4:$A$7,0))</f>
        <v>0.18550136449513679</v>
      </c>
      <c r="H109" s="17">
        <f t="shared" si="7"/>
        <v>0.15076268126681408</v>
      </c>
    </row>
    <row r="110" spans="1:8">
      <c r="A110" s="4" t="s">
        <v>751</v>
      </c>
      <c r="B110" s="4">
        <v>37</v>
      </c>
      <c r="C110" s="4" t="s">
        <v>70</v>
      </c>
      <c r="D110" s="4" t="s">
        <v>781</v>
      </c>
      <c r="E110" s="4" t="str">
        <f t="shared" si="6"/>
        <v>37|G</v>
      </c>
      <c r="F110" s="14">
        <f>INDEX('Emission Stepwise'!$H$2:$H$289,MATCH(E110,'Emission Stepwise'!$C$2:$C$289,0))</f>
        <v>0.24019607843137256</v>
      </c>
      <c r="G110" s="14">
        <f>INDEX(Background!$C$4:$C$7,MATCH(C110,Background!$A$4:$A$7,0))</f>
        <v>0.32488979077741237</v>
      </c>
      <c r="H110" s="17">
        <f t="shared" si="7"/>
        <v>-0.30203043627171677</v>
      </c>
    </row>
    <row r="111" spans="1:8">
      <c r="A111" s="4" t="s">
        <v>751</v>
      </c>
      <c r="B111" s="4">
        <v>38</v>
      </c>
      <c r="C111" s="4" t="s">
        <v>72</v>
      </c>
      <c r="D111" s="4" t="s">
        <v>781</v>
      </c>
      <c r="E111" s="4" t="str">
        <f t="shared" si="6"/>
        <v>38|U</v>
      </c>
      <c r="F111" s="14">
        <f>INDEX('Emission Stepwise'!$H$2:$H$289,MATCH(E111,'Emission Stepwise'!$C$2:$C$289,0))</f>
        <v>0.11764705882352941</v>
      </c>
      <c r="G111" s="14">
        <f>INDEX(Background!$C$4:$C$7,MATCH(C111,Background!$A$4:$A$7,0))</f>
        <v>0.21314113777902177</v>
      </c>
      <c r="H111" s="17">
        <f t="shared" si="7"/>
        <v>-0.59426544946958315</v>
      </c>
    </row>
    <row r="112" spans="1:8">
      <c r="A112" s="4" t="s">
        <v>751</v>
      </c>
      <c r="B112" s="4">
        <v>39</v>
      </c>
      <c r="C112" s="4" t="s">
        <v>71</v>
      </c>
      <c r="D112" s="4" t="s">
        <v>781</v>
      </c>
      <c r="E112" s="4" t="str">
        <f t="shared" ref="E112:E118" si="8">B112&amp;"|"&amp;C112</f>
        <v>39|C</v>
      </c>
      <c r="F112" s="14">
        <f>INDEX('Emission Stepwise'!$H$2:$H$289,MATCH(E112,'Emission Stepwise'!$C$2:$C$289,0))</f>
        <v>0.25490196078431371</v>
      </c>
      <c r="G112" s="14">
        <f>INDEX(Background!$C$4:$C$7,MATCH(C112,Background!$A$4:$A$7,0))</f>
        <v>0.27646770694842909</v>
      </c>
      <c r="H112" s="17">
        <f t="shared" ref="H112:H143" si="9">LN(F112/G112)</f>
        <v>-8.1215018192385094E-2</v>
      </c>
    </row>
    <row r="113" spans="1:8">
      <c r="A113" s="4" t="s">
        <v>751</v>
      </c>
      <c r="B113" s="4">
        <v>40</v>
      </c>
      <c r="C113" s="4" t="s">
        <v>73</v>
      </c>
      <c r="D113" s="4" t="s">
        <v>781</v>
      </c>
      <c r="E113" s="4" t="str">
        <f t="shared" si="8"/>
        <v>40|A</v>
      </c>
      <c r="F113" s="14">
        <f>INDEX('Emission Stepwise'!$H$2:$H$289,MATCH(E113,'Emission Stepwise'!$C$2:$C$289,0))</f>
        <v>9.8039215686274508E-3</v>
      </c>
      <c r="G113" s="14">
        <f>INDEX(Background!$C$4:$C$7,MATCH(C113,Background!$A$4:$A$7,0))</f>
        <v>0.18550136449513679</v>
      </c>
      <c r="H113" s="17">
        <f t="shared" si="9"/>
        <v>-2.9402797720915017</v>
      </c>
    </row>
    <row r="114" spans="1:8">
      <c r="A114" s="4" t="s">
        <v>751</v>
      </c>
      <c r="B114" s="4">
        <v>41</v>
      </c>
      <c r="C114" s="4" t="s">
        <v>70</v>
      </c>
      <c r="D114" s="4" t="s">
        <v>781</v>
      </c>
      <c r="E114" s="4" t="str">
        <f t="shared" si="8"/>
        <v>41|G</v>
      </c>
      <c r="F114" s="14">
        <f>INDEX('Emission Stepwise'!$H$2:$H$289,MATCH(E114,'Emission Stepwise'!$C$2:$C$289,0))</f>
        <v>0.18137254901960784</v>
      </c>
      <c r="G114" s="14">
        <f>INDEX(Background!$C$4:$C$7,MATCH(C114,Background!$A$4:$A$7,0))</f>
        <v>0.32488979077741237</v>
      </c>
      <c r="H114" s="17">
        <f t="shared" si="9"/>
        <v>-0.582932821738119</v>
      </c>
    </row>
    <row r="115" spans="1:8">
      <c r="A115" s="4" t="s">
        <v>751</v>
      </c>
      <c r="B115" s="4">
        <v>42</v>
      </c>
      <c r="C115" s="4" t="s">
        <v>70</v>
      </c>
      <c r="D115" s="4" t="s">
        <v>781</v>
      </c>
      <c r="E115" s="4" t="str">
        <f t="shared" si="8"/>
        <v>42|G</v>
      </c>
      <c r="F115" s="14">
        <f>INDEX('Emission Stepwise'!$H$2:$H$289,MATCH(E115,'Emission Stepwise'!$C$2:$C$289,0))</f>
        <v>0.51960784313725494</v>
      </c>
      <c r="G115" s="14">
        <f>INDEX(Background!$C$4:$C$7,MATCH(C115,Background!$A$4:$A$7,0))</f>
        <v>0.32488979077741237</v>
      </c>
      <c r="H115" s="17">
        <f t="shared" si="9"/>
        <v>0.46958835972972385</v>
      </c>
    </row>
    <row r="116" spans="1:8">
      <c r="A116" s="4" t="s">
        <v>751</v>
      </c>
      <c r="B116" s="4">
        <v>43</v>
      </c>
      <c r="C116" s="4" t="s">
        <v>73</v>
      </c>
      <c r="D116" s="4" t="s">
        <v>781</v>
      </c>
      <c r="E116" s="4" t="str">
        <f t="shared" si="8"/>
        <v>43|A</v>
      </c>
      <c r="F116" s="14">
        <f>INDEX('Emission Stepwise'!$H$2:$H$289,MATCH(E116,'Emission Stepwise'!$C$2:$C$289,0))</f>
        <v>0.22549019607843138</v>
      </c>
      <c r="G116" s="14">
        <f>INDEX(Background!$C$4:$C$7,MATCH(C116,Background!$A$4:$A$7,0))</f>
        <v>0.18550136449513679</v>
      </c>
      <c r="H116" s="17">
        <f t="shared" si="9"/>
        <v>0.1952144438376478</v>
      </c>
    </row>
    <row r="117" spans="1:8">
      <c r="A117" s="4" t="s">
        <v>751</v>
      </c>
      <c r="B117" s="4">
        <v>44</v>
      </c>
      <c r="C117" s="4" t="s">
        <v>73</v>
      </c>
      <c r="D117" s="4" t="s">
        <v>781</v>
      </c>
      <c r="E117" s="4" t="str">
        <f t="shared" si="8"/>
        <v>44|A</v>
      </c>
      <c r="F117" s="14">
        <f>INDEX('Emission Stepwise'!$H$2:$H$289,MATCH(E117,'Emission Stepwise'!$C$2:$C$289,0))</f>
        <v>0.49509803921568629</v>
      </c>
      <c r="G117" s="14">
        <f>INDEX(Background!$C$4:$C$7,MATCH(C117,Background!$A$4:$A$7,0))</f>
        <v>0.18550136449513679</v>
      </c>
      <c r="H117" s="17">
        <f t="shared" si="9"/>
        <v>0.98169356418981235</v>
      </c>
    </row>
    <row r="118" spans="1:8">
      <c r="A118" s="4" t="s">
        <v>751</v>
      </c>
      <c r="B118" s="4">
        <v>45</v>
      </c>
      <c r="C118" s="4" t="s">
        <v>72</v>
      </c>
      <c r="D118" s="4" t="s">
        <v>782</v>
      </c>
      <c r="E118" s="4" t="str">
        <f t="shared" si="8"/>
        <v>45|U</v>
      </c>
      <c r="F118" s="14">
        <f>INDEX('Emission Stepwise'!$H$2:$H$289,MATCH(E118,'Emission Stepwise'!$C$2:$C$289,0))</f>
        <v>0.14356435643564355</v>
      </c>
      <c r="G118" s="14">
        <f>INDEX(Background!$C$4:$C$7,MATCH(C118,Background!$A$4:$A$7,0))</f>
        <v>0.21314113777902177</v>
      </c>
      <c r="H118" s="17">
        <f t="shared" si="9"/>
        <v>-0.39517115338804326</v>
      </c>
    </row>
    <row r="119" spans="1:8">
      <c r="A119" s="4" t="s">
        <v>751</v>
      </c>
      <c r="B119" s="4">
        <v>46</v>
      </c>
      <c r="C119" s="4" t="s">
        <v>77</v>
      </c>
      <c r="D119" s="4" t="s">
        <v>782</v>
      </c>
      <c r="E119" s="4"/>
      <c r="F119" s="4"/>
      <c r="G119" s="4"/>
      <c r="H119" s="4"/>
    </row>
    <row r="120" spans="1:8">
      <c r="A120" s="4" t="s">
        <v>751</v>
      </c>
      <c r="B120" s="4">
        <v>47</v>
      </c>
      <c r="C120" s="4" t="s">
        <v>77</v>
      </c>
      <c r="D120" s="4" t="s">
        <v>782</v>
      </c>
      <c r="E120" s="4"/>
      <c r="F120" s="4"/>
      <c r="G120" s="4"/>
      <c r="H120" s="4"/>
    </row>
    <row r="121" spans="1:8">
      <c r="A121" s="4" t="s">
        <v>751</v>
      </c>
      <c r="B121" s="4">
        <v>48</v>
      </c>
      <c r="C121" s="4" t="s">
        <v>72</v>
      </c>
      <c r="D121" s="4" t="s">
        <v>782</v>
      </c>
      <c r="E121" s="4" t="str">
        <f t="shared" ref="E121:E160" si="10">B121&amp;"|"&amp;C121</f>
        <v>48|U</v>
      </c>
      <c r="F121" s="14">
        <f>INDEX('Emission Stepwise'!$H$2:$H$289,MATCH(E121,'Emission Stepwise'!$C$2:$C$289,0))</f>
        <v>0.14705882352941177</v>
      </c>
      <c r="G121" s="14">
        <f>INDEX(Background!$C$4:$C$7,MATCH(C121,Background!$A$4:$A$7,0))</f>
        <v>0.21314113777902177</v>
      </c>
      <c r="H121" s="17">
        <f t="shared" ref="H121:H160" si="11">LN(F121/G121)</f>
        <v>-0.37112189815537333</v>
      </c>
    </row>
    <row r="122" spans="1:8">
      <c r="A122" s="4" t="s">
        <v>751</v>
      </c>
      <c r="B122" s="4">
        <v>49</v>
      </c>
      <c r="C122" s="4" t="s">
        <v>72</v>
      </c>
      <c r="D122" s="4" t="s">
        <v>783</v>
      </c>
      <c r="E122" s="4" t="str">
        <f t="shared" si="10"/>
        <v>49|U</v>
      </c>
      <c r="F122" s="14">
        <f>INDEX('Emission Stepwise'!$H$2:$H$289,MATCH(E122,'Emission Stepwise'!$C$2:$C$289,0))</f>
        <v>5.8823529411764705E-2</v>
      </c>
      <c r="G122" s="14">
        <f>INDEX(Background!$C$4:$C$7,MATCH(C122,Background!$A$4:$A$7,0))</f>
        <v>0.21314113777902177</v>
      </c>
      <c r="H122" s="17">
        <f t="shared" si="11"/>
        <v>-1.2874126300295285</v>
      </c>
    </row>
    <row r="123" spans="1:8">
      <c r="A123" s="4" t="s">
        <v>751</v>
      </c>
      <c r="B123" s="4">
        <v>50</v>
      </c>
      <c r="C123" s="4" t="s">
        <v>71</v>
      </c>
      <c r="D123" s="4" t="s">
        <v>783</v>
      </c>
      <c r="E123" s="4" t="str">
        <f t="shared" si="10"/>
        <v>50|C</v>
      </c>
      <c r="F123" s="14">
        <f>INDEX('Emission Stepwise'!$H$2:$H$289,MATCH(E123,'Emission Stepwise'!$C$2:$C$289,0))</f>
        <v>0.43137254901960786</v>
      </c>
      <c r="G123" s="14">
        <f>INDEX(Background!$C$4:$C$7,MATCH(C123,Background!$A$4:$A$7,0))</f>
        <v>0.27646770694842909</v>
      </c>
      <c r="H123" s="17">
        <f t="shared" si="11"/>
        <v>0.44487807770439414</v>
      </c>
    </row>
    <row r="124" spans="1:8">
      <c r="A124" s="4" t="s">
        <v>751</v>
      </c>
      <c r="B124" s="4">
        <v>51</v>
      </c>
      <c r="C124" s="4" t="s">
        <v>72</v>
      </c>
      <c r="D124" s="4" t="s">
        <v>783</v>
      </c>
      <c r="E124" s="4" t="str">
        <f t="shared" si="10"/>
        <v>51|U</v>
      </c>
      <c r="F124" s="14">
        <f>INDEX('Emission Stepwise'!$H$2:$H$289,MATCH(E124,'Emission Stepwise'!$C$2:$C$289,0))</f>
        <v>0.15763546798029557</v>
      </c>
      <c r="G124" s="14">
        <f>INDEX(Background!$C$4:$C$7,MATCH(C124,Background!$A$4:$A$7,0))</f>
        <v>0.21314113777902177</v>
      </c>
      <c r="H124" s="17">
        <f t="shared" si="11"/>
        <v>-0.30166936221537316</v>
      </c>
    </row>
    <row r="125" spans="1:8">
      <c r="A125" s="4" t="s">
        <v>751</v>
      </c>
      <c r="B125" s="4">
        <v>52</v>
      </c>
      <c r="C125" s="4" t="s">
        <v>70</v>
      </c>
      <c r="D125" s="4" t="s">
        <v>783</v>
      </c>
      <c r="E125" s="4" t="str">
        <f t="shared" si="10"/>
        <v>52|G</v>
      </c>
      <c r="F125" s="14">
        <f>INDEX('Emission Stepwise'!$H$2:$H$289,MATCH(E125,'Emission Stepwise'!$C$2:$C$289,0))</f>
        <v>0.82843137254901966</v>
      </c>
      <c r="G125" s="14">
        <f>INDEX(Background!$C$4:$C$7,MATCH(C125,Background!$A$4:$A$7,0))</f>
        <v>0.32488979077741237</v>
      </c>
      <c r="H125" s="17">
        <f t="shared" si="11"/>
        <v>0.93604798054073013</v>
      </c>
    </row>
    <row r="126" spans="1:8">
      <c r="A126" s="4" t="s">
        <v>751</v>
      </c>
      <c r="B126" s="4">
        <v>53</v>
      </c>
      <c r="C126" s="4" t="s">
        <v>70</v>
      </c>
      <c r="D126" s="4" t="s">
        <v>783</v>
      </c>
      <c r="E126" s="4" t="str">
        <f t="shared" si="10"/>
        <v>53|G</v>
      </c>
      <c r="F126" s="14">
        <f>INDEX('Emission Stepwise'!$H$2:$H$289,MATCH(E126,'Emission Stepwise'!$C$2:$C$289,0))</f>
        <v>0.96568627450980393</v>
      </c>
      <c r="G126" s="14">
        <f>INDEX(Background!$C$4:$C$7,MATCH(C126,Background!$A$4:$A$7,0))</f>
        <v>0.32488979077741237</v>
      </c>
      <c r="H126" s="17">
        <f t="shared" si="11"/>
        <v>1.089352994355645</v>
      </c>
    </row>
    <row r="127" spans="1:8">
      <c r="A127" s="4" t="s">
        <v>751</v>
      </c>
      <c r="B127" s="4">
        <v>54</v>
      </c>
      <c r="C127" s="4" t="s">
        <v>72</v>
      </c>
      <c r="D127" s="4" t="s">
        <v>783</v>
      </c>
      <c r="E127" s="4" t="str">
        <f t="shared" si="10"/>
        <v>54|U</v>
      </c>
      <c r="F127" s="14">
        <f>INDEX('Emission Stepwise'!$H$2:$H$289,MATCH(E127,'Emission Stepwise'!$C$2:$C$289,0))</f>
        <v>0.97549019607843135</v>
      </c>
      <c r="G127" s="14">
        <f>INDEX(Background!$C$4:$C$7,MATCH(C127,Background!$A$4:$A$7,0))</f>
        <v>0.21314113777902177</v>
      </c>
      <c r="H127" s="17">
        <f t="shared" si="11"/>
        <v>1.5209855449069636</v>
      </c>
    </row>
    <row r="128" spans="1:8">
      <c r="A128" s="4" t="s">
        <v>751</v>
      </c>
      <c r="B128" s="4">
        <v>55</v>
      </c>
      <c r="C128" s="4" t="s">
        <v>72</v>
      </c>
      <c r="D128" s="4" t="s">
        <v>783</v>
      </c>
      <c r="E128" s="4" t="str">
        <f t="shared" si="10"/>
        <v>55|U</v>
      </c>
      <c r="F128" s="14">
        <f>INDEX('Emission Stepwise'!$H$2:$H$289,MATCH(E128,'Emission Stepwise'!$C$2:$C$289,0))</f>
        <v>0.97058823529411764</v>
      </c>
      <c r="G128" s="14">
        <f>INDEX(Background!$C$4:$C$7,MATCH(C128,Background!$A$4:$A$7,0))</f>
        <v>0.21314113777902177</v>
      </c>
      <c r="H128" s="17">
        <f t="shared" si="11"/>
        <v>1.5159477508770065</v>
      </c>
    </row>
    <row r="129" spans="1:8">
      <c r="A129" s="4" t="s">
        <v>751</v>
      </c>
      <c r="B129" s="4">
        <v>56</v>
      </c>
      <c r="C129" s="4" t="s">
        <v>71</v>
      </c>
      <c r="D129" s="4" t="s">
        <v>783</v>
      </c>
      <c r="E129" s="4" t="str">
        <f t="shared" si="10"/>
        <v>56|C</v>
      </c>
      <c r="F129" s="14">
        <f>INDEX('Emission Stepwise'!$H$2:$H$289,MATCH(E129,'Emission Stepwise'!$C$2:$C$289,0))</f>
        <v>0.96568627450980393</v>
      </c>
      <c r="G129" s="14">
        <f>INDEX(Background!$C$4:$C$7,MATCH(C129,Background!$A$4:$A$7,0))</f>
        <v>0.27646770694842909</v>
      </c>
      <c r="H129" s="17">
        <f t="shared" si="11"/>
        <v>1.250744991964176</v>
      </c>
    </row>
    <row r="130" spans="1:8">
      <c r="A130" s="4" t="s">
        <v>751</v>
      </c>
      <c r="B130" s="4">
        <v>57</v>
      </c>
      <c r="C130" s="4" t="s">
        <v>72</v>
      </c>
      <c r="D130" s="4" t="s">
        <v>783</v>
      </c>
      <c r="E130" s="4" t="str">
        <f t="shared" si="10"/>
        <v>57|U</v>
      </c>
      <c r="F130" s="14">
        <f>INDEX('Emission Stepwise'!$H$2:$H$289,MATCH(E130,'Emission Stepwise'!$C$2:$C$289,0))</f>
        <v>9.852216748768473E-3</v>
      </c>
      <c r="G130" s="14">
        <f>INDEX(Background!$C$4:$C$7,MATCH(C130,Background!$A$4:$A$7,0))</f>
        <v>0.21314113777902177</v>
      </c>
      <c r="H130" s="17">
        <f t="shared" si="11"/>
        <v>-3.0742580844551544</v>
      </c>
    </row>
    <row r="131" spans="1:8">
      <c r="A131" s="4" t="s">
        <v>751</v>
      </c>
      <c r="B131" s="4">
        <v>58</v>
      </c>
      <c r="C131" s="4" t="s">
        <v>72</v>
      </c>
      <c r="D131" s="4" t="s">
        <v>783</v>
      </c>
      <c r="E131" s="4" t="str">
        <f t="shared" si="10"/>
        <v>58|U</v>
      </c>
      <c r="F131" s="14">
        <f>INDEX('Emission Stepwise'!$H$2:$H$289,MATCH(E131,'Emission Stepwise'!$C$2:$C$289,0))</f>
        <v>9.8039215686274508E-3</v>
      </c>
      <c r="G131" s="14">
        <f>INDEX(Background!$C$4:$C$7,MATCH(C131,Background!$A$4:$A$7,0))</f>
        <v>0.21314113777902177</v>
      </c>
      <c r="H131" s="17">
        <f t="shared" si="11"/>
        <v>-3.0791720992575837</v>
      </c>
    </row>
    <row r="132" spans="1:8">
      <c r="A132" s="4" t="s">
        <v>751</v>
      </c>
      <c r="B132" s="4">
        <v>59</v>
      </c>
      <c r="C132" s="4" t="s">
        <v>70</v>
      </c>
      <c r="D132" s="4" t="s">
        <v>783</v>
      </c>
      <c r="E132" s="4" t="str">
        <f t="shared" si="10"/>
        <v>59|G</v>
      </c>
      <c r="F132" s="14">
        <f>INDEX('Emission Stepwise'!$H$2:$H$289,MATCH(E132,'Emission Stepwise'!$C$2:$C$289,0))</f>
        <v>0.23529411764705882</v>
      </c>
      <c r="G132" s="14">
        <f>INDEX(Background!$C$4:$C$7,MATCH(C132,Background!$A$4:$A$7,0))</f>
        <v>0.32488979077741237</v>
      </c>
      <c r="H132" s="17">
        <f t="shared" si="11"/>
        <v>-0.32264972347445248</v>
      </c>
    </row>
    <row r="133" spans="1:8">
      <c r="A133" s="4" t="s">
        <v>751</v>
      </c>
      <c r="B133" s="4">
        <v>60</v>
      </c>
      <c r="C133" s="4" t="s">
        <v>72</v>
      </c>
      <c r="D133" s="4" t="s">
        <v>783</v>
      </c>
      <c r="E133" s="4" t="str">
        <f t="shared" si="10"/>
        <v>60|U</v>
      </c>
      <c r="F133" s="14">
        <f>INDEX('Emission Stepwise'!$H$2:$H$289,MATCH(E133,'Emission Stepwise'!$C$2:$C$289,0))</f>
        <v>0.77450980392156865</v>
      </c>
      <c r="G133" s="14">
        <f>INDEX(Background!$C$4:$C$7,MATCH(C133,Background!$A$4:$A$7,0))</f>
        <v>0.21314113777902177</v>
      </c>
      <c r="H133" s="17">
        <f t="shared" si="11"/>
        <v>1.290275753209438</v>
      </c>
    </row>
    <row r="134" spans="1:8">
      <c r="A134" s="4" t="s">
        <v>751</v>
      </c>
      <c r="B134" s="4">
        <v>61</v>
      </c>
      <c r="C134" s="4" t="s">
        <v>71</v>
      </c>
      <c r="D134" s="4" t="s">
        <v>783</v>
      </c>
      <c r="E134" s="4" t="str">
        <f t="shared" si="10"/>
        <v>61|C</v>
      </c>
      <c r="F134" s="14">
        <f>INDEX('Emission Stepwise'!$H$2:$H$289,MATCH(E134,'Emission Stepwise'!$C$2:$C$289,0))</f>
        <v>0.97549019607843135</v>
      </c>
      <c r="G134" s="14">
        <f>INDEX(Background!$C$4:$C$7,MATCH(C134,Background!$A$4:$A$7,0))</f>
        <v>0.27646770694842909</v>
      </c>
      <c r="H134" s="17">
        <f t="shared" si="11"/>
        <v>1.26084608795068</v>
      </c>
    </row>
    <row r="135" spans="1:8">
      <c r="A135" s="4" t="s">
        <v>751</v>
      </c>
      <c r="B135" s="4">
        <v>62</v>
      </c>
      <c r="C135" s="4" t="s">
        <v>72</v>
      </c>
      <c r="D135" s="4" t="s">
        <v>783</v>
      </c>
      <c r="E135" s="4" t="str">
        <f t="shared" si="10"/>
        <v>62|U</v>
      </c>
      <c r="F135" s="14">
        <f>INDEX('Emission Stepwise'!$H$2:$H$289,MATCH(E135,'Emission Stepwise'!$C$2:$C$289,0))</f>
        <v>0.13235294117647059</v>
      </c>
      <c r="G135" s="14">
        <f>INDEX(Background!$C$4:$C$7,MATCH(C135,Background!$A$4:$A$7,0))</f>
        <v>0.21314113777902177</v>
      </c>
      <c r="H135" s="17">
        <f t="shared" si="11"/>
        <v>-0.47648241381319967</v>
      </c>
    </row>
    <row r="136" spans="1:8">
      <c r="A136" s="4" t="s">
        <v>751</v>
      </c>
      <c r="B136" s="4">
        <v>63</v>
      </c>
      <c r="C136" s="4" t="s">
        <v>70</v>
      </c>
      <c r="D136" s="4" t="s">
        <v>783</v>
      </c>
      <c r="E136" s="4" t="str">
        <f t="shared" si="10"/>
        <v>63|G</v>
      </c>
      <c r="F136" s="14">
        <f>INDEX('Emission Stepwise'!$H$2:$H$289,MATCH(E136,'Emission Stepwise'!$C$2:$C$289,0))</f>
        <v>0.24019607843137256</v>
      </c>
      <c r="G136" s="14">
        <f>INDEX(Background!$C$4:$C$7,MATCH(C136,Background!$A$4:$A$7,0))</f>
        <v>0.32488979077741237</v>
      </c>
      <c r="H136" s="17">
        <f t="shared" si="11"/>
        <v>-0.30203043627171677</v>
      </c>
    </row>
    <row r="137" spans="1:8">
      <c r="A137" s="4" t="s">
        <v>751</v>
      </c>
      <c r="B137" s="4">
        <v>64</v>
      </c>
      <c r="C137" s="4" t="s">
        <v>70</v>
      </c>
      <c r="D137" s="4" t="s">
        <v>783</v>
      </c>
      <c r="E137" s="4" t="str">
        <f t="shared" si="10"/>
        <v>64|G</v>
      </c>
      <c r="F137" s="14">
        <f>INDEX('Emission Stepwise'!$H$2:$H$289,MATCH(E137,'Emission Stepwise'!$C$2:$C$289,0))</f>
        <v>0.45588235294117646</v>
      </c>
      <c r="G137" s="14">
        <f>INDEX(Background!$C$4:$C$7,MATCH(C137,Background!$A$4:$A$7,0))</f>
        <v>0.32488979077741237</v>
      </c>
      <c r="H137" s="17">
        <f t="shared" si="11"/>
        <v>0.33874875877091259</v>
      </c>
    </row>
    <row r="138" spans="1:8">
      <c r="A138" s="4" t="s">
        <v>751</v>
      </c>
      <c r="B138" s="4">
        <v>65</v>
      </c>
      <c r="C138" s="4" t="s">
        <v>73</v>
      </c>
      <c r="D138" s="4" t="s">
        <v>783</v>
      </c>
      <c r="E138" s="4" t="str">
        <f t="shared" si="10"/>
        <v>65|A</v>
      </c>
      <c r="F138" s="14">
        <f>INDEX('Emission Stepwise'!$H$2:$H$289,MATCH(E138,'Emission Stepwise'!$C$2:$C$289,0))</f>
        <v>4.9261083743842367E-2</v>
      </c>
      <c r="G138" s="14">
        <f>INDEX(Background!$C$4:$C$7,MATCH(C138,Background!$A$4:$A$7,0))</f>
        <v>0.18550136449513679</v>
      </c>
      <c r="H138" s="17">
        <f t="shared" si="11"/>
        <v>-1.3259278448549723</v>
      </c>
    </row>
    <row r="139" spans="1:8">
      <c r="A139" s="4" t="s">
        <v>751</v>
      </c>
      <c r="B139" s="4">
        <v>66</v>
      </c>
      <c r="C139" s="4" t="s">
        <v>70</v>
      </c>
      <c r="D139" s="4" t="s">
        <v>784</v>
      </c>
      <c r="E139" s="4" t="str">
        <f t="shared" si="10"/>
        <v>66|G</v>
      </c>
      <c r="F139" s="14">
        <f>INDEX('Emission Stepwise'!$H$2:$H$289,MATCH(E139,'Emission Stepwise'!$C$2:$C$289,0))</f>
        <v>1.4705882352941176E-2</v>
      </c>
      <c r="G139" s="14">
        <f>INDEX(Background!$C$4:$C$7,MATCH(C139,Background!$A$4:$A$7,0))</f>
        <v>0.32488979077741237</v>
      </c>
      <c r="H139" s="17">
        <f t="shared" si="11"/>
        <v>-3.0952384457142337</v>
      </c>
    </row>
    <row r="140" spans="1:8">
      <c r="A140" s="4" t="s">
        <v>751</v>
      </c>
      <c r="B140" s="4">
        <v>67</v>
      </c>
      <c r="C140" s="4" t="s">
        <v>72</v>
      </c>
      <c r="D140" s="4" t="s">
        <v>784</v>
      </c>
      <c r="E140" s="4" t="str">
        <f t="shared" si="10"/>
        <v>67|U</v>
      </c>
      <c r="F140" s="14">
        <f>INDEX('Emission Stepwise'!$H$2:$H$289,MATCH(E140,'Emission Stepwise'!$C$2:$C$289,0))</f>
        <v>0.19117647058823528</v>
      </c>
      <c r="G140" s="14">
        <f>INDEX(Background!$C$4:$C$7,MATCH(C140,Background!$A$4:$A$7,0))</f>
        <v>0.21314113777902177</v>
      </c>
      <c r="H140" s="17">
        <f t="shared" si="11"/>
        <v>-0.1087576336878824</v>
      </c>
    </row>
    <row r="141" spans="1:8">
      <c r="A141" s="4" t="s">
        <v>751</v>
      </c>
      <c r="B141" s="4">
        <v>68</v>
      </c>
      <c r="C141" s="4" t="s">
        <v>72</v>
      </c>
      <c r="D141" s="4" t="s">
        <v>784</v>
      </c>
      <c r="E141" s="4" t="str">
        <f t="shared" si="10"/>
        <v>68|U</v>
      </c>
      <c r="F141" s="14">
        <f>INDEX('Emission Stepwise'!$H$2:$H$289,MATCH(E141,'Emission Stepwise'!$C$2:$C$289,0))</f>
        <v>0.18137254901960784</v>
      </c>
      <c r="G141" s="14">
        <f>INDEX(Background!$C$4:$C$7,MATCH(C141,Background!$A$4:$A$7,0))</f>
        <v>0.21314113777902177</v>
      </c>
      <c r="H141" s="17">
        <f t="shared" si="11"/>
        <v>-0.16140136717330436</v>
      </c>
    </row>
    <row r="142" spans="1:8">
      <c r="A142" s="4" t="s">
        <v>751</v>
      </c>
      <c r="B142" s="4">
        <v>69</v>
      </c>
      <c r="C142" s="4" t="s">
        <v>72</v>
      </c>
      <c r="D142" s="4" t="s">
        <v>784</v>
      </c>
      <c r="E142" s="4" t="str">
        <f t="shared" si="10"/>
        <v>69|U</v>
      </c>
      <c r="F142" s="14">
        <f>INDEX('Emission Stepwise'!$H$2:$H$289,MATCH(E142,'Emission Stepwise'!$C$2:$C$289,0))</f>
        <v>8.8235294117647065E-2</v>
      </c>
      <c r="G142" s="14">
        <f>INDEX(Background!$C$4:$C$7,MATCH(C142,Background!$A$4:$A$7,0))</f>
        <v>0.21314113777902177</v>
      </c>
      <c r="H142" s="17">
        <f t="shared" si="11"/>
        <v>-0.88194752192136405</v>
      </c>
    </row>
    <row r="143" spans="1:8">
      <c r="A143" s="4" t="s">
        <v>751</v>
      </c>
      <c r="B143" s="4">
        <v>70</v>
      </c>
      <c r="C143" s="4" t="s">
        <v>71</v>
      </c>
      <c r="D143" s="4" t="s">
        <v>784</v>
      </c>
      <c r="E143" s="4" t="str">
        <f t="shared" si="10"/>
        <v>70|C</v>
      </c>
      <c r="F143" s="14">
        <f>INDEX('Emission Stepwise'!$H$2:$H$289,MATCH(E143,'Emission Stepwise'!$C$2:$C$289,0))</f>
        <v>0.35784313725490197</v>
      </c>
      <c r="G143" s="14">
        <f>INDEX(Background!$C$4:$C$7,MATCH(C143,Background!$A$4:$A$7,0))</f>
        <v>0.27646770694842909</v>
      </c>
      <c r="H143" s="17">
        <f t="shared" si="11"/>
        <v>0.25800070437457878</v>
      </c>
    </row>
    <row r="144" spans="1:8">
      <c r="A144" s="4" t="s">
        <v>751</v>
      </c>
      <c r="B144" s="4">
        <v>71</v>
      </c>
      <c r="C144" s="4" t="s">
        <v>72</v>
      </c>
      <c r="D144" s="4" t="s">
        <v>784</v>
      </c>
      <c r="E144" s="4" t="str">
        <f t="shared" si="10"/>
        <v>71|U</v>
      </c>
      <c r="F144" s="14">
        <f>INDEX('Emission Stepwise'!$H$2:$H$289,MATCH(E144,'Emission Stepwise'!$C$2:$C$289,0))</f>
        <v>4.9019607843137254E-2</v>
      </c>
      <c r="G144" s="14">
        <f>INDEX(Background!$C$4:$C$7,MATCH(C144,Background!$A$4:$A$7,0))</f>
        <v>0.21314113777902177</v>
      </c>
      <c r="H144" s="17">
        <f t="shared" si="11"/>
        <v>-1.469734186823483</v>
      </c>
    </row>
    <row r="145" spans="1:8">
      <c r="A145" s="4" t="s">
        <v>751</v>
      </c>
      <c r="B145" s="4">
        <v>72</v>
      </c>
      <c r="C145" s="4" t="s">
        <v>72</v>
      </c>
      <c r="D145" s="4" t="s">
        <v>784</v>
      </c>
      <c r="E145" s="4" t="str">
        <f t="shared" si="10"/>
        <v>72|U</v>
      </c>
      <c r="F145" s="14">
        <f>INDEX('Emission Stepwise'!$H$2:$H$289,MATCH(E145,'Emission Stepwise'!$C$2:$C$289,0))</f>
        <v>0.10784313725490197</v>
      </c>
      <c r="G145" s="14">
        <f>INDEX(Background!$C$4:$C$7,MATCH(C145,Background!$A$4:$A$7,0))</f>
        <v>0.21314113777902177</v>
      </c>
      <c r="H145" s="17">
        <f t="shared" si="11"/>
        <v>-0.68127682645921295</v>
      </c>
    </row>
    <row r="146" spans="1:8">
      <c r="A146" s="4" t="s">
        <v>752</v>
      </c>
      <c r="B146" s="4">
        <v>1</v>
      </c>
      <c r="C146" s="4" t="s">
        <v>71</v>
      </c>
      <c r="D146" s="4" t="s">
        <v>778</v>
      </c>
      <c r="E146" s="4" t="str">
        <f t="shared" si="10"/>
        <v>1|C</v>
      </c>
      <c r="F146" s="14">
        <f>INDEX('Emission Stepwise'!$H$2:$H$289,MATCH(E146,'Emission Stepwise'!$C$2:$C$289,0))</f>
        <v>0.11274509803921569</v>
      </c>
      <c r="G146" s="14">
        <f>INDEX(Background!$C$4:$C$7,MATCH(C146,Background!$A$4:$A$7,0))</f>
        <v>0.27646770694842909</v>
      </c>
      <c r="H146" s="17">
        <f t="shared" si="11"/>
        <v>-0.89696452084466272</v>
      </c>
    </row>
    <row r="147" spans="1:8">
      <c r="A147" s="4" t="s">
        <v>752</v>
      </c>
      <c r="B147" s="4">
        <v>2</v>
      </c>
      <c r="C147" s="4" t="s">
        <v>72</v>
      </c>
      <c r="D147" s="4" t="s">
        <v>778</v>
      </c>
      <c r="E147" s="4" t="str">
        <f t="shared" si="10"/>
        <v>2|U</v>
      </c>
      <c r="F147" s="14">
        <f>INDEX('Emission Stepwise'!$H$2:$H$289,MATCH(E147,'Emission Stepwise'!$C$2:$C$289,0))</f>
        <v>3.4313725490196081E-2</v>
      </c>
      <c r="G147" s="14">
        <f>INDEX(Background!$C$4:$C$7,MATCH(C147,Background!$A$4:$A$7,0))</f>
        <v>0.21314113777902177</v>
      </c>
      <c r="H147" s="17">
        <f t="shared" si="11"/>
        <v>-1.8264091307622154</v>
      </c>
    </row>
    <row r="148" spans="1:8">
      <c r="A148" s="4" t="s">
        <v>752</v>
      </c>
      <c r="B148" s="4">
        <v>3</v>
      </c>
      <c r="C148" s="4" t="s">
        <v>72</v>
      </c>
      <c r="D148" s="4" t="s">
        <v>778</v>
      </c>
      <c r="E148" s="4" t="str">
        <f t="shared" si="10"/>
        <v>3|U</v>
      </c>
      <c r="F148" s="14">
        <f>INDEX('Emission Stepwise'!$H$2:$H$289,MATCH(E148,'Emission Stepwise'!$C$2:$C$289,0))</f>
        <v>0.11764705882352941</v>
      </c>
      <c r="G148" s="14">
        <f>INDEX(Background!$C$4:$C$7,MATCH(C148,Background!$A$4:$A$7,0))</f>
        <v>0.21314113777902177</v>
      </c>
      <c r="H148" s="17">
        <f t="shared" si="11"/>
        <v>-0.59426544946958315</v>
      </c>
    </row>
    <row r="149" spans="1:8">
      <c r="A149" s="4" t="s">
        <v>752</v>
      </c>
      <c r="B149" s="4">
        <v>4</v>
      </c>
      <c r="C149" s="4" t="s">
        <v>72</v>
      </c>
      <c r="D149" s="4" t="s">
        <v>778</v>
      </c>
      <c r="E149" s="4" t="str">
        <f t="shared" si="10"/>
        <v>4|U</v>
      </c>
      <c r="F149" s="14">
        <f>INDEX('Emission Stepwise'!$H$2:$H$289,MATCH(E149,'Emission Stepwise'!$C$2:$C$289,0))</f>
        <v>0.17156862745098039</v>
      </c>
      <c r="G149" s="14">
        <f>INDEX(Background!$C$4:$C$7,MATCH(C149,Background!$A$4:$A$7,0))</f>
        <v>0.21314113777902177</v>
      </c>
      <c r="H149" s="17">
        <f t="shared" si="11"/>
        <v>-0.21697121832811511</v>
      </c>
    </row>
    <row r="150" spans="1:8">
      <c r="A150" s="4" t="s">
        <v>752</v>
      </c>
      <c r="B150" s="4">
        <v>5</v>
      </c>
      <c r="C150" s="4" t="s">
        <v>71</v>
      </c>
      <c r="D150" s="4" t="s">
        <v>778</v>
      </c>
      <c r="E150" s="4" t="str">
        <f t="shared" si="10"/>
        <v>5|C</v>
      </c>
      <c r="F150" s="14">
        <f>INDEX('Emission Stepwise'!$H$2:$H$289,MATCH(E150,'Emission Stepwise'!$C$2:$C$289,0))</f>
        <v>0.39215686274509803</v>
      </c>
      <c r="G150" s="14">
        <f>INDEX(Background!$C$4:$C$7,MATCH(C150,Background!$A$4:$A$7,0))</f>
        <v>0.27646770694842909</v>
      </c>
      <c r="H150" s="17">
        <f t="shared" si="11"/>
        <v>0.3495678979000692</v>
      </c>
    </row>
    <row r="151" spans="1:8">
      <c r="A151" s="4" t="s">
        <v>752</v>
      </c>
      <c r="B151" s="4">
        <v>6</v>
      </c>
      <c r="C151" s="4" t="s">
        <v>72</v>
      </c>
      <c r="D151" s="4" t="s">
        <v>778</v>
      </c>
      <c r="E151" s="4" t="str">
        <f t="shared" si="10"/>
        <v>6|U</v>
      </c>
      <c r="F151" s="14">
        <f>INDEX('Emission Stepwise'!$H$2:$H$289,MATCH(E151,'Emission Stepwise'!$C$2:$C$289,0))</f>
        <v>0.26470588235294118</v>
      </c>
      <c r="G151" s="14">
        <f>INDEX(Background!$C$4:$C$7,MATCH(C151,Background!$A$4:$A$7,0))</f>
        <v>0.21314113777902177</v>
      </c>
      <c r="H151" s="17">
        <f t="shared" si="11"/>
        <v>0.21666476674674565</v>
      </c>
    </row>
    <row r="152" spans="1:8">
      <c r="A152" s="4" t="s">
        <v>752</v>
      </c>
      <c r="B152" s="4">
        <v>7</v>
      </c>
      <c r="C152" s="4" t="s">
        <v>72</v>
      </c>
      <c r="D152" s="4" t="s">
        <v>778</v>
      </c>
      <c r="E152" s="4" t="str">
        <f t="shared" si="10"/>
        <v>7|U</v>
      </c>
      <c r="F152" s="14">
        <f>INDEX('Emission Stepwise'!$H$2:$H$289,MATCH(E152,'Emission Stepwise'!$C$2:$C$289,0))</f>
        <v>0.22058823529411764</v>
      </c>
      <c r="G152" s="14">
        <f>INDEX(Background!$C$4:$C$7,MATCH(C152,Background!$A$4:$A$7,0))</f>
        <v>0.21314113777902177</v>
      </c>
      <c r="H152" s="17">
        <f t="shared" si="11"/>
        <v>3.4343209952791019E-2</v>
      </c>
    </row>
    <row r="153" spans="1:8">
      <c r="A153" s="4" t="s">
        <v>752</v>
      </c>
      <c r="B153" s="4">
        <v>8</v>
      </c>
      <c r="C153" s="4" t="s">
        <v>72</v>
      </c>
      <c r="D153" s="4" t="s">
        <v>779</v>
      </c>
      <c r="E153" s="4" t="str">
        <f t="shared" si="10"/>
        <v>8|U</v>
      </c>
      <c r="F153" s="14">
        <f>INDEX('Emission Stepwise'!$H$2:$H$289,MATCH(E153,'Emission Stepwise'!$C$2:$C$289,0))</f>
        <v>0.97549019607843135</v>
      </c>
      <c r="G153" s="14">
        <f>INDEX(Background!$C$4:$C$7,MATCH(C153,Background!$A$4:$A$7,0))</f>
        <v>0.21314113777902177</v>
      </c>
      <c r="H153" s="17">
        <f t="shared" si="11"/>
        <v>1.5209855449069636</v>
      </c>
    </row>
    <row r="154" spans="1:8">
      <c r="A154" s="4" t="s">
        <v>752</v>
      </c>
      <c r="B154" s="4">
        <v>9</v>
      </c>
      <c r="C154" s="4" t="s">
        <v>73</v>
      </c>
      <c r="D154" s="4" t="s">
        <v>780</v>
      </c>
      <c r="E154" s="4" t="str">
        <f t="shared" si="10"/>
        <v>9|A</v>
      </c>
      <c r="F154" s="14">
        <f>INDEX('Emission Stepwise'!$H$2:$H$289,MATCH(E154,'Emission Stepwise'!$C$2:$C$289,0))</f>
        <v>0.65024630541871919</v>
      </c>
      <c r="G154" s="14">
        <f>INDEX(Background!$C$4:$C$7,MATCH(C154,Background!$A$4:$A$7,0))</f>
        <v>0.18550136449513679</v>
      </c>
      <c r="H154" s="17">
        <f t="shared" si="11"/>
        <v>1.2542889847373526</v>
      </c>
    </row>
    <row r="155" spans="1:8">
      <c r="A155" s="4" t="s">
        <v>752</v>
      </c>
      <c r="B155" s="4">
        <v>10</v>
      </c>
      <c r="C155" s="4" t="s">
        <v>73</v>
      </c>
      <c r="D155" s="4" t="s">
        <v>780</v>
      </c>
      <c r="E155" s="4" t="str">
        <f t="shared" si="10"/>
        <v>10|A</v>
      </c>
      <c r="F155" s="14">
        <f>INDEX('Emission Stepwise'!$H$2:$H$289,MATCH(E155,'Emission Stepwise'!$C$2:$C$289,0))</f>
        <v>4.9019607843137254E-3</v>
      </c>
      <c r="G155" s="14">
        <f>INDEX(Background!$C$4:$C$7,MATCH(C155,Background!$A$4:$A$7,0))</f>
        <v>0.18550136449513679</v>
      </c>
      <c r="H155" s="17">
        <f t="shared" si="11"/>
        <v>-3.6334269526514471</v>
      </c>
    </row>
    <row r="156" spans="1:8">
      <c r="A156" s="4" t="s">
        <v>752</v>
      </c>
      <c r="B156" s="4">
        <v>11</v>
      </c>
      <c r="C156" s="4" t="s">
        <v>73</v>
      </c>
      <c r="D156" s="4" t="s">
        <v>780</v>
      </c>
      <c r="E156" s="4" t="str">
        <f t="shared" si="10"/>
        <v>11|A</v>
      </c>
      <c r="F156" s="14">
        <f>INDEX('Emission Stepwise'!$H$2:$H$289,MATCH(E156,'Emission Stepwise'!$C$2:$C$289,0))</f>
        <v>3.9215686274509803E-2</v>
      </c>
      <c r="G156" s="14">
        <f>INDEX(Background!$C$4:$C$7,MATCH(C156,Background!$A$4:$A$7,0))</f>
        <v>0.18550136449513679</v>
      </c>
      <c r="H156" s="17">
        <f t="shared" si="11"/>
        <v>-1.5539854109716114</v>
      </c>
    </row>
    <row r="157" spans="1:8">
      <c r="A157" s="4" t="s">
        <v>752</v>
      </c>
      <c r="B157" s="4">
        <v>12</v>
      </c>
      <c r="C157" s="4" t="s">
        <v>72</v>
      </c>
      <c r="D157" s="4" t="s">
        <v>780</v>
      </c>
      <c r="E157" s="4" t="str">
        <f t="shared" si="10"/>
        <v>12|U</v>
      </c>
      <c r="F157" s="14">
        <f>INDEX('Emission Stepwise'!$H$2:$H$289,MATCH(E157,'Emission Stepwise'!$C$2:$C$289,0))</f>
        <v>0.59313725490196079</v>
      </c>
      <c r="G157" s="14">
        <f>INDEX(Background!$C$4:$C$7,MATCH(C157,Background!$A$4:$A$7,0))</f>
        <v>0.21314113777902177</v>
      </c>
      <c r="H157" s="17">
        <f t="shared" si="11"/>
        <v>1.0234712657792122</v>
      </c>
    </row>
    <row r="158" spans="1:8">
      <c r="A158" s="4" t="s">
        <v>752</v>
      </c>
      <c r="B158" s="4">
        <v>13</v>
      </c>
      <c r="C158" s="4" t="s">
        <v>73</v>
      </c>
      <c r="D158" s="4" t="s">
        <v>780</v>
      </c>
      <c r="E158" s="4" t="str">
        <f t="shared" si="10"/>
        <v>13|A</v>
      </c>
      <c r="F158" s="14">
        <f>INDEX('Emission Stepwise'!$H$2:$H$289,MATCH(E158,'Emission Stepwise'!$C$2:$C$289,0))</f>
        <v>6.8627450980392163E-2</v>
      </c>
      <c r="G158" s="14">
        <f>INDEX(Background!$C$4:$C$7,MATCH(C158,Background!$A$4:$A$7,0))</f>
        <v>0.18550136449513679</v>
      </c>
      <c r="H158" s="17">
        <f t="shared" si="11"/>
        <v>-0.99436962303618837</v>
      </c>
    </row>
    <row r="159" spans="1:8">
      <c r="A159" s="4" t="s">
        <v>752</v>
      </c>
      <c r="B159" s="4">
        <v>14</v>
      </c>
      <c r="C159" s="4" t="s">
        <v>73</v>
      </c>
      <c r="D159" s="4" t="s">
        <v>780</v>
      </c>
      <c r="E159" s="4" t="str">
        <f t="shared" si="10"/>
        <v>14|A</v>
      </c>
      <c r="F159" s="14">
        <f>INDEX('Emission Stepwise'!$H$2:$H$289,MATCH(E159,'Emission Stepwise'!$C$2:$C$289,0))</f>
        <v>0.97549019607843135</v>
      </c>
      <c r="G159" s="14">
        <f>INDEX(Background!$C$4:$C$7,MATCH(C159,Background!$A$4:$A$7,0))</f>
        <v>0.18550136449513679</v>
      </c>
      <c r="H159" s="17">
        <f t="shared" si="11"/>
        <v>1.6598778720730452</v>
      </c>
    </row>
    <row r="160" spans="1:8">
      <c r="A160" s="4" t="s">
        <v>752</v>
      </c>
      <c r="B160" s="4">
        <v>15</v>
      </c>
      <c r="C160" s="4" t="s">
        <v>73</v>
      </c>
      <c r="D160" s="4" t="s">
        <v>780</v>
      </c>
      <c r="E160" s="4" t="str">
        <f t="shared" si="10"/>
        <v>15|A</v>
      </c>
      <c r="F160" s="14">
        <f>INDEX('Emission Stepwise'!$H$2:$H$289,MATCH(E160,'Emission Stepwise'!$C$2:$C$289,0))</f>
        <v>0.16748768472906403</v>
      </c>
      <c r="G160" s="14">
        <f>INDEX(Background!$C$4:$C$7,MATCH(C160,Background!$A$4:$A$7,0))</f>
        <v>0.18550136449513679</v>
      </c>
      <c r="H160" s="17">
        <f t="shared" si="11"/>
        <v>-0.1021524132328567</v>
      </c>
    </row>
    <row r="161" spans="1:8">
      <c r="A161" s="4" t="s">
        <v>752</v>
      </c>
      <c r="B161" s="4">
        <v>16</v>
      </c>
      <c r="C161" s="4" t="s">
        <v>77</v>
      </c>
      <c r="D161" s="4" t="s">
        <v>780</v>
      </c>
      <c r="E161" s="4"/>
      <c r="F161" s="4"/>
      <c r="G161" s="4"/>
      <c r="H161" s="4"/>
    </row>
    <row r="162" spans="1:8">
      <c r="A162" s="4" t="s">
        <v>752</v>
      </c>
      <c r="B162" s="4">
        <v>17</v>
      </c>
      <c r="C162" s="4" t="s">
        <v>73</v>
      </c>
      <c r="D162" s="4" t="s">
        <v>780</v>
      </c>
      <c r="E162" s="4" t="str">
        <f t="shared" ref="E162:E225" si="12">B162&amp;"|"&amp;C162</f>
        <v>17|A</v>
      </c>
      <c r="F162" s="14">
        <f>INDEX('Emission Stepwise'!$H$2:$H$289,MATCH(E162,'Emission Stepwise'!$C$2:$C$289,0))</f>
        <v>6.4676616915422883E-2</v>
      </c>
      <c r="G162" s="14">
        <f>INDEX(Background!$C$4:$C$7,MATCH(C162,Background!$A$4:$A$7,0))</f>
        <v>0.18550136449513679</v>
      </c>
      <c r="H162" s="17">
        <f t="shared" ref="H162:H225" si="13">LN(F162/G162)</f>
        <v>-1.0536625094047698</v>
      </c>
    </row>
    <row r="163" spans="1:8">
      <c r="A163" s="4" t="s">
        <v>752</v>
      </c>
      <c r="B163" s="4">
        <v>18</v>
      </c>
      <c r="C163" s="4" t="s">
        <v>70</v>
      </c>
      <c r="D163" s="4" t="s">
        <v>780</v>
      </c>
      <c r="E163" s="4" t="str">
        <f t="shared" si="12"/>
        <v>18|G</v>
      </c>
      <c r="F163" s="14">
        <f>INDEX('Emission Stepwise'!$H$2:$H$289,MATCH(E163,'Emission Stepwise'!$C$2:$C$289,0))</f>
        <v>0.98039215686274506</v>
      </c>
      <c r="G163" s="14">
        <f>INDEX(Background!$C$4:$C$7,MATCH(C163,Background!$A$4:$A$7,0))</f>
        <v>0.32488979077741237</v>
      </c>
      <c r="H163" s="17">
        <f t="shared" si="13"/>
        <v>1.1044666321656933</v>
      </c>
    </row>
    <row r="164" spans="1:8">
      <c r="A164" s="4" t="s">
        <v>752</v>
      </c>
      <c r="B164" s="4">
        <v>19</v>
      </c>
      <c r="C164" s="4" t="s">
        <v>70</v>
      </c>
      <c r="D164" s="4" t="s">
        <v>780</v>
      </c>
      <c r="E164" s="4" t="str">
        <f t="shared" si="12"/>
        <v>19|G</v>
      </c>
      <c r="F164" s="14">
        <f>INDEX('Emission Stepwise'!$H$2:$H$289,MATCH(E164,'Emission Stepwise'!$C$2:$C$289,0))</f>
        <v>0.97058823529411764</v>
      </c>
      <c r="G164" s="14">
        <f>INDEX(Background!$C$4:$C$7,MATCH(C164,Background!$A$4:$A$7,0))</f>
        <v>0.32488979077741237</v>
      </c>
      <c r="H164" s="17">
        <f t="shared" si="13"/>
        <v>1.0944162963121917</v>
      </c>
    </row>
    <row r="165" spans="1:8">
      <c r="A165" s="4" t="s">
        <v>752</v>
      </c>
      <c r="B165" s="4">
        <v>20</v>
      </c>
      <c r="C165" s="4" t="s">
        <v>73</v>
      </c>
      <c r="D165" s="4" t="s">
        <v>780</v>
      </c>
      <c r="E165" s="4" t="str">
        <f t="shared" si="12"/>
        <v>20|A</v>
      </c>
      <c r="F165" s="14">
        <f>INDEX('Emission Stepwise'!$H$2:$H$289,MATCH(E165,'Emission Stepwise'!$C$2:$C$289,0))</f>
        <v>8.8669950738916259E-2</v>
      </c>
      <c r="G165" s="14">
        <f>INDEX(Background!$C$4:$C$7,MATCH(C165,Background!$A$4:$A$7,0))</f>
        <v>0.18550136449513679</v>
      </c>
      <c r="H165" s="17">
        <f t="shared" si="13"/>
        <v>-0.73814117995285333</v>
      </c>
    </row>
    <row r="166" spans="1:8">
      <c r="A166" s="4" t="s">
        <v>752</v>
      </c>
      <c r="B166" s="4">
        <v>21</v>
      </c>
      <c r="C166" s="4" t="s">
        <v>71</v>
      </c>
      <c r="D166" s="4" t="s">
        <v>780</v>
      </c>
      <c r="E166" s="4" t="str">
        <f t="shared" si="12"/>
        <v>21|C</v>
      </c>
      <c r="F166" s="14">
        <f>INDEX('Emission Stepwise'!$H$2:$H$289,MATCH(E166,'Emission Stepwise'!$C$2:$C$289,0))</f>
        <v>2.4509803921568627E-2</v>
      </c>
      <c r="G166" s="14">
        <f>INDEX(Background!$C$4:$C$7,MATCH(C166,Background!$A$4:$A$7,0))</f>
        <v>0.27646770694842909</v>
      </c>
      <c r="H166" s="17">
        <f t="shared" si="13"/>
        <v>-2.4230208243397122</v>
      </c>
    </row>
    <row r="167" spans="1:8">
      <c r="A167" s="4" t="s">
        <v>752</v>
      </c>
      <c r="B167" s="4">
        <v>22</v>
      </c>
      <c r="C167" s="4" t="s">
        <v>72</v>
      </c>
      <c r="D167" s="4" t="s">
        <v>780</v>
      </c>
      <c r="E167" s="4" t="str">
        <f t="shared" si="12"/>
        <v>22|U</v>
      </c>
      <c r="F167" s="14">
        <f>INDEX('Emission Stepwise'!$H$2:$H$289,MATCH(E167,'Emission Stepwise'!$C$2:$C$289,0))</f>
        <v>7.3529411764705885E-2</v>
      </c>
      <c r="G167" s="14">
        <f>INDEX(Background!$C$4:$C$7,MATCH(C167,Background!$A$4:$A$7,0))</f>
        <v>0.21314113777902177</v>
      </c>
      <c r="H167" s="17">
        <f t="shared" si="13"/>
        <v>-1.0642690787153186</v>
      </c>
    </row>
    <row r="168" spans="1:8">
      <c r="A168" s="4" t="s">
        <v>752</v>
      </c>
      <c r="B168" s="4">
        <v>23</v>
      </c>
      <c r="C168" s="4" t="s">
        <v>73</v>
      </c>
      <c r="D168" s="4" t="s">
        <v>780</v>
      </c>
      <c r="E168" s="4" t="str">
        <f t="shared" si="12"/>
        <v>23|A</v>
      </c>
      <c r="F168" s="14">
        <f>INDEX('Emission Stepwise'!$H$2:$H$289,MATCH(E168,'Emission Stepwise'!$C$2:$C$289,0))</f>
        <v>0.59803921568627449</v>
      </c>
      <c r="G168" s="14">
        <f>INDEX(Background!$C$4:$C$7,MATCH(C168,Background!$A$4:$A$7,0))</f>
        <v>0.18550136449513679</v>
      </c>
      <c r="H168" s="17">
        <f t="shared" si="13"/>
        <v>1.1705940920818094</v>
      </c>
    </row>
    <row r="169" spans="1:8">
      <c r="A169" s="4" t="s">
        <v>752</v>
      </c>
      <c r="B169" s="4">
        <v>24</v>
      </c>
      <c r="C169" s="4" t="s">
        <v>72</v>
      </c>
      <c r="D169" s="4" t="s">
        <v>780</v>
      </c>
      <c r="E169" s="4" t="str">
        <f t="shared" si="12"/>
        <v>24|U</v>
      </c>
      <c r="F169" s="14">
        <f>INDEX('Emission Stepwise'!$H$2:$H$289,MATCH(E169,'Emission Stepwise'!$C$2:$C$289,0))</f>
        <v>3.9215686274509803E-2</v>
      </c>
      <c r="G169" s="14">
        <f>INDEX(Background!$C$4:$C$7,MATCH(C169,Background!$A$4:$A$7,0))</f>
        <v>0.21314113777902177</v>
      </c>
      <c r="H169" s="17">
        <f t="shared" si="13"/>
        <v>-1.6928777381376929</v>
      </c>
    </row>
    <row r="170" spans="1:8">
      <c r="A170" s="4" t="s">
        <v>752</v>
      </c>
      <c r="B170" s="4">
        <v>25</v>
      </c>
      <c r="C170" s="4" t="s">
        <v>72</v>
      </c>
      <c r="D170" s="4" t="s">
        <v>780</v>
      </c>
      <c r="E170" s="4" t="str">
        <f t="shared" si="12"/>
        <v>25|U</v>
      </c>
      <c r="F170" s="14">
        <f>INDEX('Emission Stepwise'!$H$2:$H$289,MATCH(E170,'Emission Stepwise'!$C$2:$C$289,0))</f>
        <v>7.3529411764705885E-2</v>
      </c>
      <c r="G170" s="14">
        <f>INDEX(Background!$C$4:$C$7,MATCH(C170,Background!$A$4:$A$7,0))</f>
        <v>0.21314113777902177</v>
      </c>
      <c r="H170" s="17">
        <f t="shared" si="13"/>
        <v>-1.0642690787153186</v>
      </c>
    </row>
    <row r="171" spans="1:8">
      <c r="A171" s="4" t="s">
        <v>752</v>
      </c>
      <c r="B171" s="4">
        <v>26</v>
      </c>
      <c r="C171" s="4" t="s">
        <v>71</v>
      </c>
      <c r="D171" s="4" t="s">
        <v>781</v>
      </c>
      <c r="E171" s="4" t="str">
        <f t="shared" si="12"/>
        <v>26|C</v>
      </c>
      <c r="F171" s="14">
        <f>INDEX('Emission Stepwise'!$H$2:$H$289,MATCH(E171,'Emission Stepwise'!$C$2:$C$289,0))</f>
        <v>2.9411764705882353E-2</v>
      </c>
      <c r="G171" s="14">
        <f>INDEX(Background!$C$4:$C$7,MATCH(C171,Background!$A$4:$A$7,0))</f>
        <v>0.27646770694842909</v>
      </c>
      <c r="H171" s="17">
        <f t="shared" si="13"/>
        <v>-2.2406992675457573</v>
      </c>
    </row>
    <row r="172" spans="1:8">
      <c r="A172" s="4" t="s">
        <v>752</v>
      </c>
      <c r="B172" s="4">
        <v>27</v>
      </c>
      <c r="C172" s="4" t="s">
        <v>72</v>
      </c>
      <c r="D172" s="4" t="s">
        <v>781</v>
      </c>
      <c r="E172" s="4" t="str">
        <f t="shared" si="12"/>
        <v>27|U</v>
      </c>
      <c r="F172" s="14">
        <f>INDEX('Emission Stepwise'!$H$2:$H$289,MATCH(E172,'Emission Stepwise'!$C$2:$C$289,0))</f>
        <v>0.25980392156862747</v>
      </c>
      <c r="G172" s="14">
        <f>INDEX(Background!$C$4:$C$7,MATCH(C172,Background!$A$4:$A$7,0))</f>
        <v>0.21314113777902177</v>
      </c>
      <c r="H172" s="17">
        <f t="shared" si="13"/>
        <v>0.19797263373459306</v>
      </c>
    </row>
    <row r="173" spans="1:8">
      <c r="A173" s="4" t="s">
        <v>752</v>
      </c>
      <c r="B173" s="4">
        <v>28</v>
      </c>
      <c r="C173" s="4" t="s">
        <v>71</v>
      </c>
      <c r="D173" s="4" t="s">
        <v>781</v>
      </c>
      <c r="E173" s="4" t="str">
        <f t="shared" si="12"/>
        <v>28|C</v>
      </c>
      <c r="F173" s="14">
        <f>INDEX('Emission Stepwise'!$H$2:$H$289,MATCH(E173,'Emission Stepwise'!$C$2:$C$289,0))</f>
        <v>0.50980392156862742</v>
      </c>
      <c r="G173" s="14">
        <f>INDEX(Background!$C$4:$C$7,MATCH(C173,Background!$A$4:$A$7,0))</f>
        <v>0.27646770694842909</v>
      </c>
      <c r="H173" s="17">
        <f t="shared" si="13"/>
        <v>0.61193216236756021</v>
      </c>
    </row>
    <row r="174" spans="1:8">
      <c r="A174" s="4" t="s">
        <v>752</v>
      </c>
      <c r="B174" s="4">
        <v>29</v>
      </c>
      <c r="C174" s="4" t="s">
        <v>73</v>
      </c>
      <c r="D174" s="4" t="s">
        <v>781</v>
      </c>
      <c r="E174" s="4" t="str">
        <f t="shared" si="12"/>
        <v>29|A</v>
      </c>
      <c r="F174" s="14">
        <f>INDEX('Emission Stepwise'!$H$2:$H$289,MATCH(E174,'Emission Stepwise'!$C$2:$C$289,0))</f>
        <v>0.16176470588235295</v>
      </c>
      <c r="G174" s="14">
        <f>INDEX(Background!$C$4:$C$7,MATCH(C174,Background!$A$4:$A$7,0))</f>
        <v>0.18550136449513679</v>
      </c>
      <c r="H174" s="17">
        <f t="shared" si="13"/>
        <v>-0.13691939118496679</v>
      </c>
    </row>
    <row r="175" spans="1:8">
      <c r="A175" s="4" t="s">
        <v>752</v>
      </c>
      <c r="B175" s="4">
        <v>30</v>
      </c>
      <c r="C175" s="4" t="s">
        <v>73</v>
      </c>
      <c r="D175" s="4" t="s">
        <v>781</v>
      </c>
      <c r="E175" s="4" t="str">
        <f t="shared" si="12"/>
        <v>30|A</v>
      </c>
      <c r="F175" s="14">
        <f>INDEX('Emission Stepwise'!$H$2:$H$289,MATCH(E175,'Emission Stepwise'!$C$2:$C$289,0))</f>
        <v>4.9019607843137254E-3</v>
      </c>
      <c r="G175" s="14">
        <f>INDEX(Background!$C$4:$C$7,MATCH(C175,Background!$A$4:$A$7,0))</f>
        <v>0.18550136449513679</v>
      </c>
      <c r="H175" s="17">
        <f t="shared" si="13"/>
        <v>-3.6334269526514471</v>
      </c>
    </row>
    <row r="176" spans="1:8">
      <c r="A176" s="4" t="s">
        <v>752</v>
      </c>
      <c r="B176" s="4">
        <v>31</v>
      </c>
      <c r="C176" s="4" t="s">
        <v>73</v>
      </c>
      <c r="D176" s="4" t="s">
        <v>781</v>
      </c>
      <c r="E176" s="4" t="str">
        <f t="shared" si="12"/>
        <v>31|A</v>
      </c>
      <c r="F176" s="14">
        <f>INDEX('Emission Stepwise'!$H$2:$H$289,MATCH(E176,'Emission Stepwise'!$C$2:$C$289,0))</f>
        <v>0.26960784313725489</v>
      </c>
      <c r="G176" s="14">
        <f>INDEX(Background!$C$4:$C$7,MATCH(C176,Background!$A$4:$A$7,0))</f>
        <v>0.18550136449513679</v>
      </c>
      <c r="H176" s="17">
        <f t="shared" si="13"/>
        <v>0.37390623258102373</v>
      </c>
    </row>
    <row r="177" spans="1:8">
      <c r="A177" s="4" t="s">
        <v>752</v>
      </c>
      <c r="B177" s="4">
        <v>32</v>
      </c>
      <c r="C177" s="4" t="s">
        <v>73</v>
      </c>
      <c r="D177" s="4" t="s">
        <v>781</v>
      </c>
      <c r="E177" s="4" t="str">
        <f t="shared" si="12"/>
        <v>32|A</v>
      </c>
      <c r="F177" s="14">
        <f>INDEX('Emission Stepwise'!$H$2:$H$289,MATCH(E177,'Emission Stepwise'!$C$2:$C$289,0))</f>
        <v>3.4313725490196081E-2</v>
      </c>
      <c r="G177" s="14">
        <f>INDEX(Background!$C$4:$C$7,MATCH(C177,Background!$A$4:$A$7,0))</f>
        <v>0.18550136449513679</v>
      </c>
      <c r="H177" s="17">
        <f t="shared" si="13"/>
        <v>-1.6875168035961337</v>
      </c>
    </row>
    <row r="178" spans="1:8">
      <c r="A178" s="4" t="s">
        <v>752</v>
      </c>
      <c r="B178" s="4">
        <v>33</v>
      </c>
      <c r="C178" s="4" t="s">
        <v>71</v>
      </c>
      <c r="D178" s="4" t="s">
        <v>781</v>
      </c>
      <c r="E178" s="4" t="str">
        <f t="shared" si="12"/>
        <v>33|C</v>
      </c>
      <c r="F178" s="14">
        <f>INDEX('Emission Stepwise'!$H$2:$H$289,MATCH(E178,'Emission Stepwise'!$C$2:$C$289,0))</f>
        <v>9.8039215686274508E-3</v>
      </c>
      <c r="G178" s="14">
        <f>INDEX(Background!$C$4:$C$7,MATCH(C178,Background!$A$4:$A$7,0))</f>
        <v>0.27646770694842909</v>
      </c>
      <c r="H178" s="17">
        <f t="shared" si="13"/>
        <v>-3.3393115562138669</v>
      </c>
    </row>
    <row r="179" spans="1:8">
      <c r="A179" s="4" t="s">
        <v>752</v>
      </c>
      <c r="B179" s="4">
        <v>34</v>
      </c>
      <c r="C179" s="4" t="s">
        <v>72</v>
      </c>
      <c r="D179" s="4" t="s">
        <v>781</v>
      </c>
      <c r="E179" s="4" t="str">
        <f t="shared" si="12"/>
        <v>34|U</v>
      </c>
      <c r="F179" s="14">
        <f>INDEX('Emission Stepwise'!$H$2:$H$289,MATCH(E179,'Emission Stepwise'!$C$2:$C$289,0))</f>
        <v>0.28921568627450983</v>
      </c>
      <c r="G179" s="14">
        <f>INDEX(Background!$C$4:$C$7,MATCH(C179,Background!$A$4:$A$7,0))</f>
        <v>0.21314113777902177</v>
      </c>
      <c r="H179" s="17">
        <f t="shared" si="13"/>
        <v>0.30521816408819075</v>
      </c>
    </row>
    <row r="180" spans="1:8">
      <c r="A180" s="4" t="s">
        <v>752</v>
      </c>
      <c r="B180" s="4">
        <v>35</v>
      </c>
      <c r="C180" s="4" t="s">
        <v>72</v>
      </c>
      <c r="D180" s="4" t="s">
        <v>781</v>
      </c>
      <c r="E180" s="4" t="str">
        <f t="shared" si="12"/>
        <v>35|U</v>
      </c>
      <c r="F180" s="14">
        <f>INDEX('Emission Stepwise'!$H$2:$H$289,MATCH(E180,'Emission Stepwise'!$C$2:$C$289,0))</f>
        <v>0.20588235294117646</v>
      </c>
      <c r="G180" s="14">
        <f>INDEX(Background!$C$4:$C$7,MATCH(C180,Background!$A$4:$A$7,0))</f>
        <v>0.21314113777902177</v>
      </c>
      <c r="H180" s="17">
        <f t="shared" si="13"/>
        <v>-3.4649661534160589E-2</v>
      </c>
    </row>
    <row r="181" spans="1:8">
      <c r="A181" s="4" t="s">
        <v>752</v>
      </c>
      <c r="B181" s="4">
        <v>36</v>
      </c>
      <c r="C181" s="4" t="s">
        <v>73</v>
      </c>
      <c r="D181" s="4" t="s">
        <v>781</v>
      </c>
      <c r="E181" s="4" t="str">
        <f t="shared" si="12"/>
        <v>36|A</v>
      </c>
      <c r="F181" s="14">
        <f>INDEX('Emission Stepwise'!$H$2:$H$289,MATCH(E181,'Emission Stepwise'!$C$2:$C$289,0))</f>
        <v>0.21568627450980393</v>
      </c>
      <c r="G181" s="14">
        <f>INDEX(Background!$C$4:$C$7,MATCH(C181,Background!$A$4:$A$7,0))</f>
        <v>0.18550136449513679</v>
      </c>
      <c r="H181" s="17">
        <f t="shared" si="13"/>
        <v>0.15076268126681408</v>
      </c>
    </row>
    <row r="182" spans="1:8">
      <c r="A182" s="4" t="s">
        <v>752</v>
      </c>
      <c r="B182" s="4">
        <v>37</v>
      </c>
      <c r="C182" s="4" t="s">
        <v>72</v>
      </c>
      <c r="D182" s="4" t="s">
        <v>781</v>
      </c>
      <c r="E182" s="4" t="str">
        <f t="shared" si="12"/>
        <v>37|U</v>
      </c>
      <c r="F182" s="14">
        <f>INDEX('Emission Stepwise'!$H$2:$H$289,MATCH(E182,'Emission Stepwise'!$C$2:$C$289,0))</f>
        <v>4.9019607843137254E-3</v>
      </c>
      <c r="G182" s="14">
        <f>INDEX(Background!$C$4:$C$7,MATCH(C182,Background!$A$4:$A$7,0))</f>
        <v>0.21314113777902177</v>
      </c>
      <c r="H182" s="17">
        <f t="shared" si="13"/>
        <v>-3.7723192798175287</v>
      </c>
    </row>
    <row r="183" spans="1:8">
      <c r="A183" s="4" t="s">
        <v>752</v>
      </c>
      <c r="B183" s="4">
        <v>38</v>
      </c>
      <c r="C183" s="4" t="s">
        <v>72</v>
      </c>
      <c r="D183" s="4" t="s">
        <v>781</v>
      </c>
      <c r="E183" s="4" t="str">
        <f t="shared" si="12"/>
        <v>38|U</v>
      </c>
      <c r="F183" s="14">
        <f>INDEX('Emission Stepwise'!$H$2:$H$289,MATCH(E183,'Emission Stepwise'!$C$2:$C$289,0))</f>
        <v>0.11764705882352941</v>
      </c>
      <c r="G183" s="14">
        <f>INDEX(Background!$C$4:$C$7,MATCH(C183,Background!$A$4:$A$7,0))</f>
        <v>0.21314113777902177</v>
      </c>
      <c r="H183" s="17">
        <f t="shared" si="13"/>
        <v>-0.59426544946958315</v>
      </c>
    </row>
    <row r="184" spans="1:8">
      <c r="A184" s="4" t="s">
        <v>752</v>
      </c>
      <c r="B184" s="4">
        <v>39</v>
      </c>
      <c r="C184" s="4" t="s">
        <v>72</v>
      </c>
      <c r="D184" s="4" t="s">
        <v>781</v>
      </c>
      <c r="E184" s="4" t="str">
        <f t="shared" si="12"/>
        <v>39|U</v>
      </c>
      <c r="F184" s="14">
        <f>INDEX('Emission Stepwise'!$H$2:$H$289,MATCH(E184,'Emission Stepwise'!$C$2:$C$289,0))</f>
        <v>0.29411764705882354</v>
      </c>
      <c r="G184" s="14">
        <f>INDEX(Background!$C$4:$C$7,MATCH(C184,Background!$A$4:$A$7,0))</f>
        <v>0.21314113777902177</v>
      </c>
      <c r="H184" s="17">
        <f t="shared" si="13"/>
        <v>0.32202528240457201</v>
      </c>
    </row>
    <row r="185" spans="1:8">
      <c r="A185" s="4" t="s">
        <v>752</v>
      </c>
      <c r="B185" s="4">
        <v>40</v>
      </c>
      <c r="C185" s="4" t="s">
        <v>72</v>
      </c>
      <c r="D185" s="4" t="s">
        <v>781</v>
      </c>
      <c r="E185" s="4" t="str">
        <f t="shared" si="12"/>
        <v>40|U</v>
      </c>
      <c r="F185" s="14">
        <f>INDEX('Emission Stepwise'!$H$2:$H$289,MATCH(E185,'Emission Stepwise'!$C$2:$C$289,0))</f>
        <v>4.4117647058823532E-2</v>
      </c>
      <c r="G185" s="14">
        <f>INDEX(Background!$C$4:$C$7,MATCH(C185,Background!$A$4:$A$7,0))</f>
        <v>0.21314113777902177</v>
      </c>
      <c r="H185" s="17">
        <f t="shared" si="13"/>
        <v>-1.5750947024813093</v>
      </c>
    </row>
    <row r="186" spans="1:8">
      <c r="A186" s="4" t="s">
        <v>752</v>
      </c>
      <c r="B186" s="4">
        <v>41</v>
      </c>
      <c r="C186" s="4" t="s">
        <v>72</v>
      </c>
      <c r="D186" s="4" t="s">
        <v>781</v>
      </c>
      <c r="E186" s="4" t="str">
        <f t="shared" si="12"/>
        <v>41|U</v>
      </c>
      <c r="F186" s="14">
        <f>INDEX('Emission Stepwise'!$H$2:$H$289,MATCH(E186,'Emission Stepwise'!$C$2:$C$289,0))</f>
        <v>0.16666666666666666</v>
      </c>
      <c r="G186" s="14">
        <f>INDEX(Background!$C$4:$C$7,MATCH(C186,Background!$A$4:$A$7,0))</f>
        <v>0.21314113777902177</v>
      </c>
      <c r="H186" s="17">
        <f t="shared" si="13"/>
        <v>-0.24595875520136748</v>
      </c>
    </row>
    <row r="187" spans="1:8">
      <c r="A187" s="4" t="s">
        <v>752</v>
      </c>
      <c r="B187" s="4">
        <v>42</v>
      </c>
      <c r="C187" s="4" t="s">
        <v>71</v>
      </c>
      <c r="D187" s="4" t="s">
        <v>781</v>
      </c>
      <c r="E187" s="4" t="str">
        <f t="shared" si="12"/>
        <v>42|C</v>
      </c>
      <c r="F187" s="14">
        <f>INDEX('Emission Stepwise'!$H$2:$H$289,MATCH(E187,'Emission Stepwise'!$C$2:$C$289,0))</f>
        <v>0.10294117647058823</v>
      </c>
      <c r="G187" s="14">
        <f>INDEX(Background!$C$4:$C$7,MATCH(C187,Background!$A$4:$A$7,0))</f>
        <v>0.27646770694842909</v>
      </c>
      <c r="H187" s="17">
        <f t="shared" si="13"/>
        <v>-0.98793629905038949</v>
      </c>
    </row>
    <row r="188" spans="1:8">
      <c r="A188" s="4" t="s">
        <v>752</v>
      </c>
      <c r="B188" s="4">
        <v>43</v>
      </c>
      <c r="C188" s="4" t="s">
        <v>73</v>
      </c>
      <c r="D188" s="4" t="s">
        <v>781</v>
      </c>
      <c r="E188" s="4" t="str">
        <f t="shared" si="12"/>
        <v>43|A</v>
      </c>
      <c r="F188" s="14">
        <f>INDEX('Emission Stepwise'!$H$2:$H$289,MATCH(E188,'Emission Stepwise'!$C$2:$C$289,0))</f>
        <v>0.22549019607843138</v>
      </c>
      <c r="G188" s="14">
        <f>INDEX(Background!$C$4:$C$7,MATCH(C188,Background!$A$4:$A$7,0))</f>
        <v>0.18550136449513679</v>
      </c>
      <c r="H188" s="17">
        <f t="shared" si="13"/>
        <v>0.1952144438376478</v>
      </c>
    </row>
    <row r="189" spans="1:8">
      <c r="A189" s="4" t="s">
        <v>752</v>
      </c>
      <c r="B189" s="4">
        <v>44</v>
      </c>
      <c r="C189" s="4" t="s">
        <v>73</v>
      </c>
      <c r="D189" s="4" t="s">
        <v>781</v>
      </c>
      <c r="E189" s="4" t="str">
        <f t="shared" si="12"/>
        <v>44|A</v>
      </c>
      <c r="F189" s="14">
        <f>INDEX('Emission Stepwise'!$H$2:$H$289,MATCH(E189,'Emission Stepwise'!$C$2:$C$289,0))</f>
        <v>0.49509803921568629</v>
      </c>
      <c r="G189" s="14">
        <f>INDEX(Background!$C$4:$C$7,MATCH(C189,Background!$A$4:$A$7,0))</f>
        <v>0.18550136449513679</v>
      </c>
      <c r="H189" s="17">
        <f t="shared" si="13"/>
        <v>0.98169356418981235</v>
      </c>
    </row>
    <row r="190" spans="1:8">
      <c r="A190" s="4" t="s">
        <v>752</v>
      </c>
      <c r="B190" s="4">
        <v>45</v>
      </c>
      <c r="C190" s="4" t="s">
        <v>72</v>
      </c>
      <c r="D190" s="4" t="s">
        <v>782</v>
      </c>
      <c r="E190" s="4" t="str">
        <f t="shared" si="12"/>
        <v>45|U</v>
      </c>
      <c r="F190" s="14">
        <f>INDEX('Emission Stepwise'!$H$2:$H$289,MATCH(E190,'Emission Stepwise'!$C$2:$C$289,0))</f>
        <v>0.14356435643564355</v>
      </c>
      <c r="G190" s="14">
        <f>INDEX(Background!$C$4:$C$7,MATCH(C190,Background!$A$4:$A$7,0))</f>
        <v>0.21314113777902177</v>
      </c>
      <c r="H190" s="17">
        <f t="shared" si="13"/>
        <v>-0.39517115338804326</v>
      </c>
    </row>
    <row r="191" spans="1:8">
      <c r="A191" s="4" t="s">
        <v>752</v>
      </c>
      <c r="B191" s="4">
        <v>46</v>
      </c>
      <c r="C191" s="4" t="s">
        <v>73</v>
      </c>
      <c r="D191" s="4" t="s">
        <v>782</v>
      </c>
      <c r="E191" s="4" t="str">
        <f t="shared" si="12"/>
        <v>46|A</v>
      </c>
      <c r="F191" s="14">
        <f>INDEX('Emission Stepwise'!$H$2:$H$289,MATCH(E191,'Emission Stepwise'!$C$2:$C$289,0))</f>
        <v>9.8265895953757232E-2</v>
      </c>
      <c r="G191" s="14">
        <f>INDEX(Background!$C$4:$C$7,MATCH(C191,Background!$A$4:$A$7,0))</f>
        <v>0.18550136449513679</v>
      </c>
      <c r="H191" s="17">
        <f t="shared" si="13"/>
        <v>-0.6353852092487936</v>
      </c>
    </row>
    <row r="192" spans="1:8">
      <c r="A192" s="4" t="s">
        <v>752</v>
      </c>
      <c r="B192" s="4">
        <v>47</v>
      </c>
      <c r="C192" s="4" t="s">
        <v>72</v>
      </c>
      <c r="D192" s="4" t="s">
        <v>782</v>
      </c>
      <c r="E192" s="4" t="str">
        <f t="shared" si="12"/>
        <v>47|U</v>
      </c>
      <c r="F192" s="14">
        <f>INDEX('Emission Stepwise'!$H$2:$H$289,MATCH(E192,'Emission Stepwise'!$C$2:$C$289,0))</f>
        <v>0.66666666666666663</v>
      </c>
      <c r="G192" s="14">
        <f>INDEX(Background!$C$4:$C$7,MATCH(C192,Background!$A$4:$A$7,0))</f>
        <v>0.21314113777902177</v>
      </c>
      <c r="H192" s="17">
        <f t="shared" si="13"/>
        <v>1.1403356059185232</v>
      </c>
    </row>
    <row r="193" spans="1:8">
      <c r="A193" s="4" t="s">
        <v>752</v>
      </c>
      <c r="B193" s="4">
        <v>48</v>
      </c>
      <c r="C193" s="4" t="s">
        <v>72</v>
      </c>
      <c r="D193" s="4" t="s">
        <v>782</v>
      </c>
      <c r="E193" s="4" t="str">
        <f t="shared" si="12"/>
        <v>48|U</v>
      </c>
      <c r="F193" s="14">
        <f>INDEX('Emission Stepwise'!$H$2:$H$289,MATCH(E193,'Emission Stepwise'!$C$2:$C$289,0))</f>
        <v>0.14705882352941177</v>
      </c>
      <c r="G193" s="14">
        <f>INDEX(Background!$C$4:$C$7,MATCH(C193,Background!$A$4:$A$7,0))</f>
        <v>0.21314113777902177</v>
      </c>
      <c r="H193" s="17">
        <f t="shared" si="13"/>
        <v>-0.37112189815537333</v>
      </c>
    </row>
    <row r="194" spans="1:8">
      <c r="A194" s="4" t="s">
        <v>752</v>
      </c>
      <c r="B194" s="4">
        <v>49</v>
      </c>
      <c r="C194" s="4" t="s">
        <v>70</v>
      </c>
      <c r="D194" s="4" t="s">
        <v>783</v>
      </c>
      <c r="E194" s="4" t="str">
        <f t="shared" si="12"/>
        <v>49|G</v>
      </c>
      <c r="F194" s="14">
        <f>INDEX('Emission Stepwise'!$H$2:$H$289,MATCH(E194,'Emission Stepwise'!$C$2:$C$289,0))</f>
        <v>0.5</v>
      </c>
      <c r="G194" s="14">
        <f>INDEX(Background!$C$4:$C$7,MATCH(C194,Background!$A$4:$A$7,0))</f>
        <v>0.32488979077741237</v>
      </c>
      <c r="H194" s="17">
        <f t="shared" si="13"/>
        <v>0.43112207890192766</v>
      </c>
    </row>
    <row r="195" spans="1:8">
      <c r="A195" s="4" t="s">
        <v>752</v>
      </c>
      <c r="B195" s="4">
        <v>50</v>
      </c>
      <c r="C195" s="4" t="s">
        <v>71</v>
      </c>
      <c r="D195" s="4" t="s">
        <v>783</v>
      </c>
      <c r="E195" s="4" t="str">
        <f t="shared" si="12"/>
        <v>50|C</v>
      </c>
      <c r="F195" s="14">
        <f>INDEX('Emission Stepwise'!$H$2:$H$289,MATCH(E195,'Emission Stepwise'!$C$2:$C$289,0))</f>
        <v>0.43137254901960786</v>
      </c>
      <c r="G195" s="14">
        <f>INDEX(Background!$C$4:$C$7,MATCH(C195,Background!$A$4:$A$7,0))</f>
        <v>0.27646770694842909</v>
      </c>
      <c r="H195" s="17">
        <f t="shared" si="13"/>
        <v>0.44487807770439414</v>
      </c>
    </row>
    <row r="196" spans="1:8">
      <c r="A196" s="4" t="s">
        <v>752</v>
      </c>
      <c r="B196" s="4">
        <v>51</v>
      </c>
      <c r="C196" s="4" t="s">
        <v>71</v>
      </c>
      <c r="D196" s="4" t="s">
        <v>783</v>
      </c>
      <c r="E196" s="4" t="str">
        <f t="shared" si="12"/>
        <v>51|C</v>
      </c>
      <c r="F196" s="14">
        <f>INDEX('Emission Stepwise'!$H$2:$H$289,MATCH(E196,'Emission Stepwise'!$C$2:$C$289,0))</f>
        <v>0.20689655172413793</v>
      </c>
      <c r="G196" s="14">
        <f>INDEX(Background!$C$4:$C$7,MATCH(C196,Background!$A$4:$A$7,0))</f>
        <v>0.27646770694842909</v>
      </c>
      <c r="H196" s="17">
        <f t="shared" si="13"/>
        <v>-0.289875103688015</v>
      </c>
    </row>
    <row r="197" spans="1:8">
      <c r="A197" s="4" t="s">
        <v>752</v>
      </c>
      <c r="B197" s="4">
        <v>52</v>
      </c>
      <c r="C197" s="4" t="s">
        <v>72</v>
      </c>
      <c r="D197" s="4" t="s">
        <v>783</v>
      </c>
      <c r="E197" s="4" t="str">
        <f t="shared" si="12"/>
        <v>52|U</v>
      </c>
      <c r="F197" s="14">
        <f>INDEX('Emission Stepwise'!$H$2:$H$289,MATCH(E197,'Emission Stepwise'!$C$2:$C$289,0))</f>
        <v>2.4509803921568627E-2</v>
      </c>
      <c r="G197" s="14">
        <f>INDEX(Background!$C$4:$C$7,MATCH(C197,Background!$A$4:$A$7,0))</f>
        <v>0.21314113777902177</v>
      </c>
      <c r="H197" s="17">
        <f t="shared" si="13"/>
        <v>-2.1628813673834282</v>
      </c>
    </row>
    <row r="198" spans="1:8">
      <c r="A198" s="4" t="s">
        <v>752</v>
      </c>
      <c r="B198" s="4">
        <v>53</v>
      </c>
      <c r="C198" s="4" t="s">
        <v>70</v>
      </c>
      <c r="D198" s="4" t="s">
        <v>783</v>
      </c>
      <c r="E198" s="4" t="str">
        <f t="shared" si="12"/>
        <v>53|G</v>
      </c>
      <c r="F198" s="14">
        <f>INDEX('Emission Stepwise'!$H$2:$H$289,MATCH(E198,'Emission Stepwise'!$C$2:$C$289,0))</f>
        <v>0.96568627450980393</v>
      </c>
      <c r="G198" s="14">
        <f>INDEX(Background!$C$4:$C$7,MATCH(C198,Background!$A$4:$A$7,0))</f>
        <v>0.32488979077741237</v>
      </c>
      <c r="H198" s="17">
        <f t="shared" si="13"/>
        <v>1.089352994355645</v>
      </c>
    </row>
    <row r="199" spans="1:8">
      <c r="A199" s="4" t="s">
        <v>752</v>
      </c>
      <c r="B199" s="4">
        <v>54</v>
      </c>
      <c r="C199" s="4" t="s">
        <v>73</v>
      </c>
      <c r="D199" s="4" t="s">
        <v>783</v>
      </c>
      <c r="E199" s="4" t="str">
        <f t="shared" si="12"/>
        <v>54|A</v>
      </c>
      <c r="F199" s="14">
        <f>INDEX('Emission Stepwise'!$H$2:$H$289,MATCH(E199,'Emission Stepwise'!$C$2:$C$289,0))</f>
        <v>1.4705882352941176E-2</v>
      </c>
      <c r="G199" s="14">
        <f>INDEX(Background!$C$4:$C$7,MATCH(C199,Background!$A$4:$A$7,0))</f>
        <v>0.18550136449513679</v>
      </c>
      <c r="H199" s="17">
        <f t="shared" si="13"/>
        <v>-2.5348146639833375</v>
      </c>
    </row>
    <row r="200" spans="1:8">
      <c r="A200" s="4" t="s">
        <v>752</v>
      </c>
      <c r="B200" s="4">
        <v>55</v>
      </c>
      <c r="C200" s="4" t="s">
        <v>72</v>
      </c>
      <c r="D200" s="4" t="s">
        <v>783</v>
      </c>
      <c r="E200" s="4" t="str">
        <f t="shared" si="12"/>
        <v>55|U</v>
      </c>
      <c r="F200" s="14">
        <f>INDEX('Emission Stepwise'!$H$2:$H$289,MATCH(E200,'Emission Stepwise'!$C$2:$C$289,0))</f>
        <v>0.97058823529411764</v>
      </c>
      <c r="G200" s="14">
        <f>INDEX(Background!$C$4:$C$7,MATCH(C200,Background!$A$4:$A$7,0))</f>
        <v>0.21314113777902177</v>
      </c>
      <c r="H200" s="17">
        <f t="shared" si="13"/>
        <v>1.5159477508770065</v>
      </c>
    </row>
    <row r="201" spans="1:8">
      <c r="A201" s="4" t="s">
        <v>752</v>
      </c>
      <c r="B201" s="4">
        <v>56</v>
      </c>
      <c r="C201" s="4" t="s">
        <v>71</v>
      </c>
      <c r="D201" s="4" t="s">
        <v>783</v>
      </c>
      <c r="E201" s="4" t="str">
        <f t="shared" si="12"/>
        <v>56|C</v>
      </c>
      <c r="F201" s="14">
        <f>INDEX('Emission Stepwise'!$H$2:$H$289,MATCH(E201,'Emission Stepwise'!$C$2:$C$289,0))</f>
        <v>0.96568627450980393</v>
      </c>
      <c r="G201" s="14">
        <f>INDEX(Background!$C$4:$C$7,MATCH(C201,Background!$A$4:$A$7,0))</f>
        <v>0.27646770694842909</v>
      </c>
      <c r="H201" s="17">
        <f t="shared" si="13"/>
        <v>1.250744991964176</v>
      </c>
    </row>
    <row r="202" spans="1:8">
      <c r="A202" s="4" t="s">
        <v>752</v>
      </c>
      <c r="B202" s="4">
        <v>57</v>
      </c>
      <c r="C202" s="4" t="s">
        <v>71</v>
      </c>
      <c r="D202" s="4" t="s">
        <v>783</v>
      </c>
      <c r="E202" s="4" t="str">
        <f t="shared" si="12"/>
        <v>57|C</v>
      </c>
      <c r="F202" s="14">
        <f>INDEX('Emission Stepwise'!$H$2:$H$289,MATCH(E202,'Emission Stepwise'!$C$2:$C$289,0))</f>
        <v>4.9261083743842365E-3</v>
      </c>
      <c r="G202" s="14">
        <f>INDEX(Background!$C$4:$C$7,MATCH(C202,Background!$A$4:$A$7,0))</f>
        <v>0.27646770694842909</v>
      </c>
      <c r="H202" s="17">
        <f t="shared" si="13"/>
        <v>-4.0275447219713829</v>
      </c>
    </row>
    <row r="203" spans="1:8">
      <c r="A203" s="4" t="s">
        <v>752</v>
      </c>
      <c r="B203" s="4">
        <v>58</v>
      </c>
      <c r="C203" s="4" t="s">
        <v>72</v>
      </c>
      <c r="D203" s="4" t="s">
        <v>783</v>
      </c>
      <c r="E203" s="4" t="str">
        <f t="shared" si="12"/>
        <v>58|U</v>
      </c>
      <c r="F203" s="14">
        <f>INDEX('Emission Stepwise'!$H$2:$H$289,MATCH(E203,'Emission Stepwise'!$C$2:$C$289,0))</f>
        <v>9.8039215686274508E-3</v>
      </c>
      <c r="G203" s="14">
        <f>INDEX(Background!$C$4:$C$7,MATCH(C203,Background!$A$4:$A$7,0))</f>
        <v>0.21314113777902177</v>
      </c>
      <c r="H203" s="17">
        <f t="shared" si="13"/>
        <v>-3.0791720992575837</v>
      </c>
    </row>
    <row r="204" spans="1:8">
      <c r="A204" s="4" t="s">
        <v>752</v>
      </c>
      <c r="B204" s="4">
        <v>59</v>
      </c>
      <c r="C204" s="4" t="s">
        <v>71</v>
      </c>
      <c r="D204" s="4" t="s">
        <v>783</v>
      </c>
      <c r="E204" s="4" t="str">
        <f t="shared" si="12"/>
        <v>59|C</v>
      </c>
      <c r="F204" s="14">
        <f>INDEX('Emission Stepwise'!$H$2:$H$289,MATCH(E204,'Emission Stepwise'!$C$2:$C$289,0))</f>
        <v>6.3725490196078427E-2</v>
      </c>
      <c r="G204" s="14">
        <f>INDEX(Background!$C$4:$C$7,MATCH(C204,Background!$A$4:$A$7,0))</f>
        <v>0.27646770694842909</v>
      </c>
      <c r="H204" s="17">
        <f t="shared" si="13"/>
        <v>-1.4675093793122758</v>
      </c>
    </row>
    <row r="205" spans="1:8">
      <c r="A205" s="4" t="s">
        <v>752</v>
      </c>
      <c r="B205" s="4">
        <v>60</v>
      </c>
      <c r="C205" s="4" t="s">
        <v>72</v>
      </c>
      <c r="D205" s="4" t="s">
        <v>783</v>
      </c>
      <c r="E205" s="4" t="str">
        <f t="shared" si="12"/>
        <v>60|U</v>
      </c>
      <c r="F205" s="14">
        <f>INDEX('Emission Stepwise'!$H$2:$H$289,MATCH(E205,'Emission Stepwise'!$C$2:$C$289,0))</f>
        <v>0.77450980392156865</v>
      </c>
      <c r="G205" s="14">
        <f>INDEX(Background!$C$4:$C$7,MATCH(C205,Background!$A$4:$A$7,0))</f>
        <v>0.21314113777902177</v>
      </c>
      <c r="H205" s="17">
        <f t="shared" si="13"/>
        <v>1.290275753209438</v>
      </c>
    </row>
    <row r="206" spans="1:8">
      <c r="A206" s="4" t="s">
        <v>752</v>
      </c>
      <c r="B206" s="4">
        <v>61</v>
      </c>
      <c r="C206" s="4" t="s">
        <v>71</v>
      </c>
      <c r="D206" s="4" t="s">
        <v>783</v>
      </c>
      <c r="E206" s="4" t="str">
        <f t="shared" si="12"/>
        <v>61|C</v>
      </c>
      <c r="F206" s="14">
        <f>INDEX('Emission Stepwise'!$H$2:$H$289,MATCH(E206,'Emission Stepwise'!$C$2:$C$289,0))</f>
        <v>0.97549019607843135</v>
      </c>
      <c r="G206" s="14">
        <f>INDEX(Background!$C$4:$C$7,MATCH(C206,Background!$A$4:$A$7,0))</f>
        <v>0.27646770694842909</v>
      </c>
      <c r="H206" s="17">
        <f t="shared" si="13"/>
        <v>1.26084608795068</v>
      </c>
    </row>
    <row r="207" spans="1:8">
      <c r="A207" s="4" t="s">
        <v>752</v>
      </c>
      <c r="B207" s="4">
        <v>62</v>
      </c>
      <c r="C207" s="4" t="s">
        <v>73</v>
      </c>
      <c r="D207" s="4" t="s">
        <v>783</v>
      </c>
      <c r="E207" s="4" t="str">
        <f t="shared" si="12"/>
        <v>62|A</v>
      </c>
      <c r="F207" s="14">
        <f>INDEX('Emission Stepwise'!$H$2:$H$289,MATCH(E207,'Emission Stepwise'!$C$2:$C$289,0))</f>
        <v>1.9607843137254902E-2</v>
      </c>
      <c r="G207" s="14">
        <f>INDEX(Background!$C$4:$C$7,MATCH(C207,Background!$A$4:$A$7,0))</f>
        <v>0.18550136449513679</v>
      </c>
      <c r="H207" s="17">
        <f t="shared" si="13"/>
        <v>-2.2471325915315568</v>
      </c>
    </row>
    <row r="208" spans="1:8">
      <c r="A208" s="4" t="s">
        <v>752</v>
      </c>
      <c r="B208" s="4">
        <v>63</v>
      </c>
      <c r="C208" s="4" t="s">
        <v>70</v>
      </c>
      <c r="D208" s="4" t="s">
        <v>783</v>
      </c>
      <c r="E208" s="4" t="str">
        <f t="shared" si="12"/>
        <v>63|G</v>
      </c>
      <c r="F208" s="14">
        <f>INDEX('Emission Stepwise'!$H$2:$H$289,MATCH(E208,'Emission Stepwise'!$C$2:$C$289,0))</f>
        <v>0.24019607843137256</v>
      </c>
      <c r="G208" s="14">
        <f>INDEX(Background!$C$4:$C$7,MATCH(C208,Background!$A$4:$A$7,0))</f>
        <v>0.32488979077741237</v>
      </c>
      <c r="H208" s="17">
        <f t="shared" si="13"/>
        <v>-0.30203043627171677</v>
      </c>
    </row>
    <row r="209" spans="1:8">
      <c r="A209" s="4" t="s">
        <v>752</v>
      </c>
      <c r="B209" s="4">
        <v>64</v>
      </c>
      <c r="C209" s="4" t="s">
        <v>70</v>
      </c>
      <c r="D209" s="4" t="s">
        <v>783</v>
      </c>
      <c r="E209" s="4" t="str">
        <f t="shared" si="12"/>
        <v>64|G</v>
      </c>
      <c r="F209" s="14">
        <f>INDEX('Emission Stepwise'!$H$2:$H$289,MATCH(E209,'Emission Stepwise'!$C$2:$C$289,0))</f>
        <v>0.45588235294117646</v>
      </c>
      <c r="G209" s="14">
        <f>INDEX(Background!$C$4:$C$7,MATCH(C209,Background!$A$4:$A$7,0))</f>
        <v>0.32488979077741237</v>
      </c>
      <c r="H209" s="17">
        <f t="shared" si="13"/>
        <v>0.33874875877091259</v>
      </c>
    </row>
    <row r="210" spans="1:8">
      <c r="A210" s="4" t="s">
        <v>752</v>
      </c>
      <c r="B210" s="4">
        <v>65</v>
      </c>
      <c r="C210" s="4" t="s">
        <v>72</v>
      </c>
      <c r="D210" s="4" t="s">
        <v>783</v>
      </c>
      <c r="E210" s="4" t="str">
        <f t="shared" si="12"/>
        <v>65|U</v>
      </c>
      <c r="F210" s="14">
        <f>INDEX('Emission Stepwise'!$H$2:$H$289,MATCH(E210,'Emission Stepwise'!$C$2:$C$289,0))</f>
        <v>0.34975369458128081</v>
      </c>
      <c r="G210" s="14">
        <f>INDEX(Background!$C$4:$C$7,MATCH(C210,Background!$A$4:$A$7,0))</f>
        <v>0.21314113777902177</v>
      </c>
      <c r="H210" s="17">
        <f t="shared" si="13"/>
        <v>0.49527461202621575</v>
      </c>
    </row>
    <row r="211" spans="1:8">
      <c r="A211" s="4" t="s">
        <v>752</v>
      </c>
      <c r="B211" s="4">
        <v>66</v>
      </c>
      <c r="C211" s="4" t="s">
        <v>70</v>
      </c>
      <c r="D211" s="4" t="s">
        <v>784</v>
      </c>
      <c r="E211" s="4" t="str">
        <f t="shared" si="12"/>
        <v>66|G</v>
      </c>
      <c r="F211" s="14">
        <f>INDEX('Emission Stepwise'!$H$2:$H$289,MATCH(E211,'Emission Stepwise'!$C$2:$C$289,0))</f>
        <v>1.4705882352941176E-2</v>
      </c>
      <c r="G211" s="14">
        <f>INDEX(Background!$C$4:$C$7,MATCH(C211,Background!$A$4:$A$7,0))</f>
        <v>0.32488979077741237</v>
      </c>
      <c r="H211" s="17">
        <f t="shared" si="13"/>
        <v>-3.0952384457142337</v>
      </c>
    </row>
    <row r="212" spans="1:8">
      <c r="A212" s="4" t="s">
        <v>752</v>
      </c>
      <c r="B212" s="4">
        <v>67</v>
      </c>
      <c r="C212" s="4" t="s">
        <v>73</v>
      </c>
      <c r="D212" s="4" t="s">
        <v>784</v>
      </c>
      <c r="E212" s="4" t="str">
        <f t="shared" si="12"/>
        <v>67|A</v>
      </c>
      <c r="F212" s="14">
        <f>INDEX('Emission Stepwise'!$H$2:$H$289,MATCH(E212,'Emission Stepwise'!$C$2:$C$289,0))</f>
        <v>0.2107843137254902</v>
      </c>
      <c r="G212" s="14">
        <f>INDEX(Background!$C$4:$C$7,MATCH(C212,Background!$A$4:$A$7,0))</f>
        <v>0.18550136449513679</v>
      </c>
      <c r="H212" s="17">
        <f t="shared" si="13"/>
        <v>0.12777316304211531</v>
      </c>
    </row>
    <row r="213" spans="1:8">
      <c r="A213" s="4" t="s">
        <v>752</v>
      </c>
      <c r="B213" s="4">
        <v>68</v>
      </c>
      <c r="C213" s="4" t="s">
        <v>70</v>
      </c>
      <c r="D213" s="4" t="s">
        <v>784</v>
      </c>
      <c r="E213" s="4" t="str">
        <f t="shared" si="12"/>
        <v>68|G</v>
      </c>
      <c r="F213" s="14">
        <f>INDEX('Emission Stepwise'!$H$2:$H$289,MATCH(E213,'Emission Stepwise'!$C$2:$C$289,0))</f>
        <v>0.43137254901960786</v>
      </c>
      <c r="G213" s="14">
        <f>INDEX(Background!$C$4:$C$7,MATCH(C213,Background!$A$4:$A$7,0))</f>
        <v>0.32488979077741237</v>
      </c>
      <c r="H213" s="17">
        <f t="shared" si="13"/>
        <v>0.28348608009586312</v>
      </c>
    </row>
    <row r="214" spans="1:8">
      <c r="A214" s="4" t="s">
        <v>752</v>
      </c>
      <c r="B214" s="4">
        <v>69</v>
      </c>
      <c r="C214" s="4" t="s">
        <v>70</v>
      </c>
      <c r="D214" s="4" t="s">
        <v>784</v>
      </c>
      <c r="E214" s="4" t="str">
        <f t="shared" si="12"/>
        <v>69|G</v>
      </c>
      <c r="F214" s="14">
        <f>INDEX('Emission Stepwise'!$H$2:$H$289,MATCH(E214,'Emission Stepwise'!$C$2:$C$289,0))</f>
        <v>0.34803921568627449</v>
      </c>
      <c r="G214" s="14">
        <f>INDEX(Background!$C$4:$C$7,MATCH(C214,Background!$A$4:$A$7,0))</f>
        <v>0.32488979077741237</v>
      </c>
      <c r="H214" s="17">
        <f t="shared" si="13"/>
        <v>6.882914265897204E-2</v>
      </c>
    </row>
    <row r="215" spans="1:8">
      <c r="A215" s="4" t="s">
        <v>752</v>
      </c>
      <c r="B215" s="4">
        <v>70</v>
      </c>
      <c r="C215" s="4" t="s">
        <v>70</v>
      </c>
      <c r="D215" s="4" t="s">
        <v>784</v>
      </c>
      <c r="E215" s="4" t="str">
        <f t="shared" si="12"/>
        <v>70|G</v>
      </c>
      <c r="F215" s="14">
        <f>INDEX('Emission Stepwise'!$H$2:$H$289,MATCH(E215,'Emission Stepwise'!$C$2:$C$289,0))</f>
        <v>0.37254901960784315</v>
      </c>
      <c r="G215" s="14">
        <f>INDEX(Background!$C$4:$C$7,MATCH(C215,Background!$A$4:$A$7,0))</f>
        <v>0.32488979077741237</v>
      </c>
      <c r="H215" s="17">
        <f t="shared" si="13"/>
        <v>0.13688260590398765</v>
      </c>
    </row>
    <row r="216" spans="1:8">
      <c r="A216" s="4" t="s">
        <v>752</v>
      </c>
      <c r="B216" s="4">
        <v>71</v>
      </c>
      <c r="C216" s="4" t="s">
        <v>73</v>
      </c>
      <c r="D216" s="4" t="s">
        <v>784</v>
      </c>
      <c r="E216" s="4" t="str">
        <f t="shared" si="12"/>
        <v>71|A</v>
      </c>
      <c r="F216" s="14">
        <f>INDEX('Emission Stepwise'!$H$2:$H$289,MATCH(E216,'Emission Stepwise'!$C$2:$C$289,0))</f>
        <v>2.9411764705882353E-2</v>
      </c>
      <c r="G216" s="14">
        <f>INDEX(Background!$C$4:$C$7,MATCH(C216,Background!$A$4:$A$7,0))</f>
        <v>0.18550136449513679</v>
      </c>
      <c r="H216" s="17">
        <f t="shared" si="13"/>
        <v>-1.8416674834233921</v>
      </c>
    </row>
    <row r="217" spans="1:8">
      <c r="A217" s="4" t="s">
        <v>752</v>
      </c>
      <c r="B217" s="4">
        <v>72</v>
      </c>
      <c r="C217" s="4" t="s">
        <v>70</v>
      </c>
      <c r="D217" s="4" t="s">
        <v>784</v>
      </c>
      <c r="E217" s="4" t="str">
        <f t="shared" si="12"/>
        <v>72|G</v>
      </c>
      <c r="F217" s="14">
        <f>INDEX('Emission Stepwise'!$H$2:$H$289,MATCH(E217,'Emission Stepwise'!$C$2:$C$289,0))</f>
        <v>9.3137254901960786E-2</v>
      </c>
      <c r="G217" s="14">
        <f>INDEX(Background!$C$4:$C$7,MATCH(C217,Background!$A$4:$A$7,0))</f>
        <v>0.32488979077741237</v>
      </c>
      <c r="H217" s="17">
        <f t="shared" si="13"/>
        <v>-1.249411755215903</v>
      </c>
    </row>
    <row r="218" spans="1:8">
      <c r="A218" s="4" t="s">
        <v>753</v>
      </c>
      <c r="B218" s="4">
        <v>1</v>
      </c>
      <c r="C218" s="4" t="s">
        <v>72</v>
      </c>
      <c r="D218" s="4" t="s">
        <v>778</v>
      </c>
      <c r="E218" s="4" t="str">
        <f t="shared" si="12"/>
        <v>1|U</v>
      </c>
      <c r="F218" s="14">
        <f>INDEX('Emission Stepwise'!$H$2:$H$289,MATCH(E218,'Emission Stepwise'!$C$2:$C$289,0))</f>
        <v>6.8627450980392163E-2</v>
      </c>
      <c r="G218" s="14">
        <f>INDEX(Background!$C$4:$C$7,MATCH(C218,Background!$A$4:$A$7,0))</f>
        <v>0.21314113777902177</v>
      </c>
      <c r="H218" s="17">
        <f t="shared" si="13"/>
        <v>-1.1332619502022701</v>
      </c>
    </row>
    <row r="219" spans="1:8">
      <c r="A219" s="4" t="s">
        <v>753</v>
      </c>
      <c r="B219" s="4">
        <v>2</v>
      </c>
      <c r="C219" s="4" t="s">
        <v>71</v>
      </c>
      <c r="D219" s="4" t="s">
        <v>778</v>
      </c>
      <c r="E219" s="4" t="str">
        <f t="shared" si="12"/>
        <v>2|C</v>
      </c>
      <c r="F219" s="14">
        <f>INDEX('Emission Stepwise'!$H$2:$H$289,MATCH(E219,'Emission Stepwise'!$C$2:$C$289,0))</f>
        <v>0.40686274509803921</v>
      </c>
      <c r="G219" s="14">
        <f>INDEX(Background!$C$4:$C$7,MATCH(C219,Background!$A$4:$A$7,0))</f>
        <v>0.27646770694842909</v>
      </c>
      <c r="H219" s="17">
        <f t="shared" si="13"/>
        <v>0.38638187102278543</v>
      </c>
    </row>
    <row r="220" spans="1:8">
      <c r="A220" s="4" t="s">
        <v>753</v>
      </c>
      <c r="B220" s="4">
        <v>3</v>
      </c>
      <c r="C220" s="4" t="s">
        <v>73</v>
      </c>
      <c r="D220" s="4" t="s">
        <v>778</v>
      </c>
      <c r="E220" s="4" t="str">
        <f t="shared" si="12"/>
        <v>3|A</v>
      </c>
      <c r="F220" s="14">
        <f>INDEX('Emission Stepwise'!$H$2:$H$289,MATCH(E220,'Emission Stepwise'!$C$2:$C$289,0))</f>
        <v>7.3529411764705885E-2</v>
      </c>
      <c r="G220" s="14">
        <f>INDEX(Background!$C$4:$C$7,MATCH(C220,Background!$A$4:$A$7,0))</f>
        <v>0.18550136449513679</v>
      </c>
      <c r="H220" s="17">
        <f t="shared" si="13"/>
        <v>-0.92537675154923693</v>
      </c>
    </row>
    <row r="221" spans="1:8">
      <c r="A221" s="4" t="s">
        <v>753</v>
      </c>
      <c r="B221" s="4">
        <v>4</v>
      </c>
      <c r="C221" s="4" t="s">
        <v>73</v>
      </c>
      <c r="D221" s="4" t="s">
        <v>778</v>
      </c>
      <c r="E221" s="4" t="str">
        <f t="shared" si="12"/>
        <v>4|A</v>
      </c>
      <c r="F221" s="14">
        <f>INDEX('Emission Stepwise'!$H$2:$H$289,MATCH(E221,'Emission Stepwise'!$C$2:$C$289,0))</f>
        <v>8.3333333333333329E-2</v>
      </c>
      <c r="G221" s="14">
        <f>INDEX(Background!$C$4:$C$7,MATCH(C221,Background!$A$4:$A$7,0))</f>
        <v>0.18550136449513679</v>
      </c>
      <c r="H221" s="17">
        <f t="shared" si="13"/>
        <v>-0.80021360859523116</v>
      </c>
    </row>
    <row r="222" spans="1:8">
      <c r="A222" s="4" t="s">
        <v>753</v>
      </c>
      <c r="B222" s="4">
        <v>5</v>
      </c>
      <c r="C222" s="4" t="s">
        <v>71</v>
      </c>
      <c r="D222" s="4" t="s">
        <v>778</v>
      </c>
      <c r="E222" s="4" t="str">
        <f t="shared" si="12"/>
        <v>5|C</v>
      </c>
      <c r="F222" s="14">
        <f>INDEX('Emission Stepwise'!$H$2:$H$289,MATCH(E222,'Emission Stepwise'!$C$2:$C$289,0))</f>
        <v>0.39215686274509803</v>
      </c>
      <c r="G222" s="14">
        <f>INDEX(Background!$C$4:$C$7,MATCH(C222,Background!$A$4:$A$7,0))</f>
        <v>0.27646770694842909</v>
      </c>
      <c r="H222" s="17">
        <f t="shared" si="13"/>
        <v>0.3495678979000692</v>
      </c>
    </row>
    <row r="223" spans="1:8">
      <c r="A223" s="4" t="s">
        <v>753</v>
      </c>
      <c r="B223" s="4">
        <v>6</v>
      </c>
      <c r="C223" s="4" t="s">
        <v>73</v>
      </c>
      <c r="D223" s="4" t="s">
        <v>778</v>
      </c>
      <c r="E223" s="4" t="str">
        <f t="shared" si="12"/>
        <v>6|A</v>
      </c>
      <c r="F223" s="14">
        <f>INDEX('Emission Stepwise'!$H$2:$H$289,MATCH(E223,'Emission Stepwise'!$C$2:$C$289,0))</f>
        <v>0.17156862745098039</v>
      </c>
      <c r="G223" s="14">
        <f>INDEX(Background!$C$4:$C$7,MATCH(C223,Background!$A$4:$A$7,0))</f>
        <v>0.18550136449513679</v>
      </c>
      <c r="H223" s="17">
        <f t="shared" si="13"/>
        <v>-7.8078891162033495E-2</v>
      </c>
    </row>
    <row r="224" spans="1:8">
      <c r="A224" s="4" t="s">
        <v>753</v>
      </c>
      <c r="B224" s="4">
        <v>7</v>
      </c>
      <c r="C224" s="4" t="s">
        <v>72</v>
      </c>
      <c r="D224" s="4" t="s">
        <v>778</v>
      </c>
      <c r="E224" s="4" t="str">
        <f t="shared" si="12"/>
        <v>7|U</v>
      </c>
      <c r="F224" s="14">
        <f>INDEX('Emission Stepwise'!$H$2:$H$289,MATCH(E224,'Emission Stepwise'!$C$2:$C$289,0))</f>
        <v>0.22058823529411764</v>
      </c>
      <c r="G224" s="14">
        <f>INDEX(Background!$C$4:$C$7,MATCH(C224,Background!$A$4:$A$7,0))</f>
        <v>0.21314113777902177</v>
      </c>
      <c r="H224" s="17">
        <f t="shared" si="13"/>
        <v>3.4343209952791019E-2</v>
      </c>
    </row>
    <row r="225" spans="1:8">
      <c r="A225" s="4" t="s">
        <v>753</v>
      </c>
      <c r="B225" s="4">
        <v>8</v>
      </c>
      <c r="C225" s="4" t="s">
        <v>72</v>
      </c>
      <c r="D225" s="4" t="s">
        <v>779</v>
      </c>
      <c r="E225" s="4" t="str">
        <f t="shared" si="12"/>
        <v>8|U</v>
      </c>
      <c r="F225" s="14">
        <f>INDEX('Emission Stepwise'!$H$2:$H$289,MATCH(E225,'Emission Stepwise'!$C$2:$C$289,0))</f>
        <v>0.97549019607843135</v>
      </c>
      <c r="G225" s="14">
        <f>INDEX(Background!$C$4:$C$7,MATCH(C225,Background!$A$4:$A$7,0))</f>
        <v>0.21314113777902177</v>
      </c>
      <c r="H225" s="17">
        <f t="shared" si="13"/>
        <v>1.5209855449069636</v>
      </c>
    </row>
    <row r="226" spans="1:8">
      <c r="A226" s="4" t="s">
        <v>753</v>
      </c>
      <c r="B226" s="4">
        <v>9</v>
      </c>
      <c r="C226" s="4" t="s">
        <v>73</v>
      </c>
      <c r="D226" s="4" t="s">
        <v>780</v>
      </c>
      <c r="E226" s="4" t="str">
        <f t="shared" ref="E226:E289" si="14">B226&amp;"|"&amp;C226</f>
        <v>9|A</v>
      </c>
      <c r="F226" s="14">
        <f>INDEX('Emission Stepwise'!$H$2:$H$289,MATCH(E226,'Emission Stepwise'!$C$2:$C$289,0))</f>
        <v>0.65024630541871919</v>
      </c>
      <c r="G226" s="14">
        <f>INDEX(Background!$C$4:$C$7,MATCH(C226,Background!$A$4:$A$7,0))</f>
        <v>0.18550136449513679</v>
      </c>
      <c r="H226" s="17">
        <f t="shared" ref="H226:H289" si="15">LN(F226/G226)</f>
        <v>1.2542889847373526</v>
      </c>
    </row>
    <row r="227" spans="1:8">
      <c r="A227" s="4" t="s">
        <v>753</v>
      </c>
      <c r="B227" s="4">
        <v>10</v>
      </c>
      <c r="C227" s="4" t="s">
        <v>70</v>
      </c>
      <c r="D227" s="4" t="s">
        <v>780</v>
      </c>
      <c r="E227" s="4" t="str">
        <f t="shared" si="14"/>
        <v>10|G</v>
      </c>
      <c r="F227" s="14">
        <f>INDEX('Emission Stepwise'!$H$2:$H$289,MATCH(E227,'Emission Stepwise'!$C$2:$C$289,0))</f>
        <v>0.94607843137254899</v>
      </c>
      <c r="G227" s="14">
        <f>INDEX(Background!$C$4:$C$7,MATCH(C227,Background!$A$4:$A$7,0))</f>
        <v>0.32488979077741237</v>
      </c>
      <c r="H227" s="17">
        <f t="shared" si="15"/>
        <v>1.0688394545225421</v>
      </c>
    </row>
    <row r="228" spans="1:8">
      <c r="A228" s="4" t="s">
        <v>753</v>
      </c>
      <c r="B228" s="4">
        <v>11</v>
      </c>
      <c r="C228" s="4" t="s">
        <v>70</v>
      </c>
      <c r="D228" s="4" t="s">
        <v>780</v>
      </c>
      <c r="E228" s="4" t="str">
        <f t="shared" si="14"/>
        <v>11|G</v>
      </c>
      <c r="F228" s="14">
        <f>INDEX('Emission Stepwise'!$H$2:$H$289,MATCH(E228,'Emission Stepwise'!$C$2:$C$289,0))</f>
        <v>3.4313725490196081E-2</v>
      </c>
      <c r="G228" s="14">
        <f>INDEX(Background!$C$4:$C$7,MATCH(C228,Background!$A$4:$A$7,0))</f>
        <v>0.32488979077741237</v>
      </c>
      <c r="H228" s="17">
        <f t="shared" si="15"/>
        <v>-2.2479405853270302</v>
      </c>
    </row>
    <row r="229" spans="1:8">
      <c r="A229" s="4" t="s">
        <v>753</v>
      </c>
      <c r="B229" s="4">
        <v>12</v>
      </c>
      <c r="C229" s="4" t="s">
        <v>73</v>
      </c>
      <c r="D229" s="4" t="s">
        <v>780</v>
      </c>
      <c r="E229" s="4" t="str">
        <f t="shared" si="14"/>
        <v>12|A</v>
      </c>
      <c r="F229" s="14">
        <f>INDEX('Emission Stepwise'!$H$2:$H$289,MATCH(E229,'Emission Stepwise'!$C$2:$C$289,0))</f>
        <v>6.8627450980392163E-2</v>
      </c>
      <c r="G229" s="14">
        <f>INDEX(Background!$C$4:$C$7,MATCH(C229,Background!$A$4:$A$7,0))</f>
        <v>0.18550136449513679</v>
      </c>
      <c r="H229" s="17">
        <f t="shared" si="15"/>
        <v>-0.99436962303618837</v>
      </c>
    </row>
    <row r="230" spans="1:8">
      <c r="A230" s="4" t="s">
        <v>753</v>
      </c>
      <c r="B230" s="4">
        <v>13</v>
      </c>
      <c r="C230" s="4" t="s">
        <v>72</v>
      </c>
      <c r="D230" s="4" t="s">
        <v>780</v>
      </c>
      <c r="E230" s="4" t="str">
        <f t="shared" si="14"/>
        <v>13|U</v>
      </c>
      <c r="F230" s="14">
        <f>INDEX('Emission Stepwise'!$H$2:$H$289,MATCH(E230,'Emission Stepwise'!$C$2:$C$289,0))</f>
        <v>0.19117647058823528</v>
      </c>
      <c r="G230" s="14">
        <f>INDEX(Background!$C$4:$C$7,MATCH(C230,Background!$A$4:$A$7,0))</f>
        <v>0.21314113777902177</v>
      </c>
      <c r="H230" s="17">
        <f t="shared" si="15"/>
        <v>-0.1087576336878824</v>
      </c>
    </row>
    <row r="231" spans="1:8">
      <c r="A231" s="4" t="s">
        <v>753</v>
      </c>
      <c r="B231" s="4">
        <v>14</v>
      </c>
      <c r="C231" s="4" t="s">
        <v>73</v>
      </c>
      <c r="D231" s="4" t="s">
        <v>780</v>
      </c>
      <c r="E231" s="4" t="str">
        <f t="shared" si="14"/>
        <v>14|A</v>
      </c>
      <c r="F231" s="14">
        <f>INDEX('Emission Stepwise'!$H$2:$H$289,MATCH(E231,'Emission Stepwise'!$C$2:$C$289,0))</f>
        <v>0.97549019607843135</v>
      </c>
      <c r="G231" s="14">
        <f>INDEX(Background!$C$4:$C$7,MATCH(C231,Background!$A$4:$A$7,0))</f>
        <v>0.18550136449513679</v>
      </c>
      <c r="H231" s="17">
        <f t="shared" si="15"/>
        <v>1.6598778720730452</v>
      </c>
    </row>
    <row r="232" spans="1:8">
      <c r="A232" s="4" t="s">
        <v>753</v>
      </c>
      <c r="B232" s="4">
        <v>15</v>
      </c>
      <c r="C232" s="4" t="s">
        <v>70</v>
      </c>
      <c r="D232" s="4" t="s">
        <v>780</v>
      </c>
      <c r="E232" s="4" t="str">
        <f t="shared" si="14"/>
        <v>15|G</v>
      </c>
      <c r="F232" s="14">
        <f>INDEX('Emission Stepwise'!$H$2:$H$289,MATCH(E232,'Emission Stepwise'!$C$2:$C$289,0))</f>
        <v>0.80295566502463056</v>
      </c>
      <c r="G232" s="14">
        <f>INDEX(Background!$C$4:$C$7,MATCH(C232,Background!$A$4:$A$7,0))</f>
        <v>0.32488979077741237</v>
      </c>
      <c r="H232" s="17">
        <f t="shared" si="15"/>
        <v>0.90481348122684802</v>
      </c>
    </row>
    <row r="233" spans="1:8">
      <c r="A233" s="4" t="s">
        <v>753</v>
      </c>
      <c r="B233" s="4">
        <v>16</v>
      </c>
      <c r="C233" s="4" t="s">
        <v>73</v>
      </c>
      <c r="D233" s="4" t="s">
        <v>780</v>
      </c>
      <c r="E233" s="4" t="str">
        <f t="shared" si="14"/>
        <v>16|A</v>
      </c>
      <c r="F233" s="14">
        <f>INDEX('Emission Stepwise'!$H$2:$H$289,MATCH(E233,'Emission Stepwise'!$C$2:$C$289,0))</f>
        <v>2.9197080291970802E-2</v>
      </c>
      <c r="G233" s="14">
        <f>INDEX(Background!$C$4:$C$7,MATCH(C233,Background!$A$4:$A$7,0))</f>
        <v>0.18550136449513679</v>
      </c>
      <c r="H233" s="17">
        <f t="shared" si="15"/>
        <v>-1.8489935235154651</v>
      </c>
    </row>
    <row r="234" spans="1:8">
      <c r="A234" s="4" t="s">
        <v>753</v>
      </c>
      <c r="B234" s="4">
        <v>17</v>
      </c>
      <c r="C234" s="4" t="s">
        <v>72</v>
      </c>
      <c r="D234" s="4" t="s">
        <v>780</v>
      </c>
      <c r="E234" s="4" t="str">
        <f t="shared" si="14"/>
        <v>17|U</v>
      </c>
      <c r="F234" s="14">
        <f>INDEX('Emission Stepwise'!$H$2:$H$289,MATCH(E234,'Emission Stepwise'!$C$2:$C$289,0))</f>
        <v>0.57213930348258701</v>
      </c>
      <c r="G234" s="14">
        <f>INDEX(Background!$C$4:$C$7,MATCH(C234,Background!$A$4:$A$7,0))</f>
        <v>0.21314113777902177</v>
      </c>
      <c r="H234" s="17">
        <f t="shared" si="15"/>
        <v>0.98742793433086185</v>
      </c>
    </row>
    <row r="235" spans="1:8">
      <c r="A235" s="4" t="s">
        <v>753</v>
      </c>
      <c r="B235" s="4">
        <v>18</v>
      </c>
      <c r="C235" s="4" t="s">
        <v>70</v>
      </c>
      <c r="D235" s="4" t="s">
        <v>780</v>
      </c>
      <c r="E235" s="4" t="str">
        <f t="shared" si="14"/>
        <v>18|G</v>
      </c>
      <c r="F235" s="14">
        <f>INDEX('Emission Stepwise'!$H$2:$H$289,MATCH(E235,'Emission Stepwise'!$C$2:$C$289,0))</f>
        <v>0.98039215686274506</v>
      </c>
      <c r="G235" s="14">
        <f>INDEX(Background!$C$4:$C$7,MATCH(C235,Background!$A$4:$A$7,0))</f>
        <v>0.32488979077741237</v>
      </c>
      <c r="H235" s="17">
        <f t="shared" si="15"/>
        <v>1.1044666321656933</v>
      </c>
    </row>
    <row r="236" spans="1:8">
      <c r="A236" s="4" t="s">
        <v>753</v>
      </c>
      <c r="B236" s="4">
        <v>19</v>
      </c>
      <c r="C236" s="4" t="s">
        <v>70</v>
      </c>
      <c r="D236" s="4" t="s">
        <v>780</v>
      </c>
      <c r="E236" s="4" t="str">
        <f t="shared" si="14"/>
        <v>19|G</v>
      </c>
      <c r="F236" s="14">
        <f>INDEX('Emission Stepwise'!$H$2:$H$289,MATCH(E236,'Emission Stepwise'!$C$2:$C$289,0))</f>
        <v>0.97058823529411764</v>
      </c>
      <c r="G236" s="14">
        <f>INDEX(Background!$C$4:$C$7,MATCH(C236,Background!$A$4:$A$7,0))</f>
        <v>0.32488979077741237</v>
      </c>
      <c r="H236" s="17">
        <f t="shared" si="15"/>
        <v>1.0944162963121917</v>
      </c>
    </row>
    <row r="237" spans="1:8">
      <c r="A237" s="4" t="s">
        <v>753</v>
      </c>
      <c r="B237" s="4">
        <v>20</v>
      </c>
      <c r="C237" s="4" t="s">
        <v>71</v>
      </c>
      <c r="D237" s="4" t="s">
        <v>780</v>
      </c>
      <c r="E237" s="4" t="str">
        <f t="shared" si="14"/>
        <v>20|C</v>
      </c>
      <c r="F237" s="14">
        <f>INDEX('Emission Stepwise'!$H$2:$H$289,MATCH(E237,'Emission Stepwise'!$C$2:$C$289,0))</f>
        <v>0.22660098522167488</v>
      </c>
      <c r="G237" s="14">
        <f>INDEX(Background!$C$4:$C$7,MATCH(C237,Background!$A$4:$A$7,0))</f>
        <v>0.27646770694842909</v>
      </c>
      <c r="H237" s="17">
        <f t="shared" si="15"/>
        <v>-0.19890332548228834</v>
      </c>
    </row>
    <row r="238" spans="1:8">
      <c r="A238" s="4" t="s">
        <v>753</v>
      </c>
      <c r="B238" s="4">
        <v>21</v>
      </c>
      <c r="C238" s="4" t="s">
        <v>72</v>
      </c>
      <c r="D238" s="4" t="s">
        <v>780</v>
      </c>
      <c r="E238" s="4" t="str">
        <f t="shared" si="14"/>
        <v>21|U</v>
      </c>
      <c r="F238" s="14">
        <f>INDEX('Emission Stepwise'!$H$2:$H$289,MATCH(E238,'Emission Stepwise'!$C$2:$C$289,0))</f>
        <v>5.3921568627450983E-2</v>
      </c>
      <c r="G238" s="14">
        <f>INDEX(Background!$C$4:$C$7,MATCH(C238,Background!$A$4:$A$7,0))</f>
        <v>0.21314113777902177</v>
      </c>
      <c r="H238" s="17">
        <f t="shared" si="15"/>
        <v>-1.3744240070191582</v>
      </c>
    </row>
    <row r="239" spans="1:8">
      <c r="A239" s="4" t="s">
        <v>753</v>
      </c>
      <c r="B239" s="4">
        <v>22</v>
      </c>
      <c r="C239" s="4" t="s">
        <v>72</v>
      </c>
      <c r="D239" s="4" t="s">
        <v>780</v>
      </c>
      <c r="E239" s="4" t="str">
        <f t="shared" si="14"/>
        <v>22|U</v>
      </c>
      <c r="F239" s="14">
        <f>INDEX('Emission Stepwise'!$H$2:$H$289,MATCH(E239,'Emission Stepwise'!$C$2:$C$289,0))</f>
        <v>7.3529411764705885E-2</v>
      </c>
      <c r="G239" s="14">
        <f>INDEX(Background!$C$4:$C$7,MATCH(C239,Background!$A$4:$A$7,0))</f>
        <v>0.21314113777902177</v>
      </c>
      <c r="H239" s="17">
        <f t="shared" si="15"/>
        <v>-1.0642690787153186</v>
      </c>
    </row>
    <row r="240" spans="1:8">
      <c r="A240" s="4" t="s">
        <v>753</v>
      </c>
      <c r="B240" s="4">
        <v>23</v>
      </c>
      <c r="C240" s="4" t="s">
        <v>72</v>
      </c>
      <c r="D240" s="4" t="s">
        <v>780</v>
      </c>
      <c r="E240" s="4" t="str">
        <f t="shared" si="14"/>
        <v>23|U</v>
      </c>
      <c r="F240" s="14">
        <f>INDEX('Emission Stepwise'!$H$2:$H$289,MATCH(E240,'Emission Stepwise'!$C$2:$C$289,0))</f>
        <v>6.3725490196078427E-2</v>
      </c>
      <c r="G240" s="14">
        <f>INDEX(Background!$C$4:$C$7,MATCH(C240,Background!$A$4:$A$7,0))</f>
        <v>0.21314113777902177</v>
      </c>
      <c r="H240" s="17">
        <f t="shared" si="15"/>
        <v>-1.2073699223559922</v>
      </c>
    </row>
    <row r="241" spans="1:8">
      <c r="A241" s="4" t="s">
        <v>753</v>
      </c>
      <c r="B241" s="4">
        <v>24</v>
      </c>
      <c r="C241" s="4" t="s">
        <v>71</v>
      </c>
      <c r="D241" s="4" t="s">
        <v>780</v>
      </c>
      <c r="E241" s="4" t="str">
        <f t="shared" si="14"/>
        <v>24|C</v>
      </c>
      <c r="F241" s="14">
        <f>INDEX('Emission Stepwise'!$H$2:$H$289,MATCH(E241,'Emission Stepwise'!$C$2:$C$289,0))</f>
        <v>3.4313725490196081E-2</v>
      </c>
      <c r="G241" s="14">
        <f>INDEX(Background!$C$4:$C$7,MATCH(C241,Background!$A$4:$A$7,0))</f>
        <v>0.27646770694842909</v>
      </c>
      <c r="H241" s="17">
        <f t="shared" si="15"/>
        <v>-2.0865485877184988</v>
      </c>
    </row>
    <row r="242" spans="1:8">
      <c r="A242" s="4" t="s">
        <v>753</v>
      </c>
      <c r="B242" s="4">
        <v>25</v>
      </c>
      <c r="C242" s="4" t="s">
        <v>71</v>
      </c>
      <c r="D242" s="4" t="s">
        <v>780</v>
      </c>
      <c r="E242" s="4" t="str">
        <f t="shared" si="14"/>
        <v>25|C</v>
      </c>
      <c r="F242" s="14">
        <f>INDEX('Emission Stepwise'!$H$2:$H$289,MATCH(E242,'Emission Stepwise'!$C$2:$C$289,0))</f>
        <v>0.87745098039215685</v>
      </c>
      <c r="G242" s="14">
        <f>INDEX(Background!$C$4:$C$7,MATCH(C242,Background!$A$4:$A$7,0))</f>
        <v>0.27646770694842909</v>
      </c>
      <c r="H242" s="17">
        <f t="shared" si="15"/>
        <v>1.1549270690669426</v>
      </c>
    </row>
    <row r="243" spans="1:8">
      <c r="A243" s="4" t="s">
        <v>753</v>
      </c>
      <c r="B243" s="4">
        <v>26</v>
      </c>
      <c r="C243" s="4" t="s">
        <v>72</v>
      </c>
      <c r="D243" s="4" t="s">
        <v>781</v>
      </c>
      <c r="E243" s="4" t="str">
        <f t="shared" si="14"/>
        <v>26|U</v>
      </c>
      <c r="F243" s="14">
        <f>INDEX('Emission Stepwise'!$H$2:$H$289,MATCH(E243,'Emission Stepwise'!$C$2:$C$289,0))</f>
        <v>5.8823529411764705E-2</v>
      </c>
      <c r="G243" s="14">
        <f>INDEX(Background!$C$4:$C$7,MATCH(C243,Background!$A$4:$A$7,0))</f>
        <v>0.21314113777902177</v>
      </c>
      <c r="H243" s="17">
        <f t="shared" si="15"/>
        <v>-1.2874126300295285</v>
      </c>
    </row>
    <row r="244" spans="1:8">
      <c r="A244" s="4" t="s">
        <v>753</v>
      </c>
      <c r="B244" s="4">
        <v>27</v>
      </c>
      <c r="C244" s="4" t="s">
        <v>72</v>
      </c>
      <c r="D244" s="4" t="s">
        <v>781</v>
      </c>
      <c r="E244" s="4" t="str">
        <f t="shared" si="14"/>
        <v>27|U</v>
      </c>
      <c r="F244" s="14">
        <f>INDEX('Emission Stepwise'!$H$2:$H$289,MATCH(E244,'Emission Stepwise'!$C$2:$C$289,0))</f>
        <v>0.25980392156862747</v>
      </c>
      <c r="G244" s="14">
        <f>INDEX(Background!$C$4:$C$7,MATCH(C244,Background!$A$4:$A$7,0))</f>
        <v>0.21314113777902177</v>
      </c>
      <c r="H244" s="17">
        <f t="shared" si="15"/>
        <v>0.19797263373459306</v>
      </c>
    </row>
    <row r="245" spans="1:8">
      <c r="A245" s="4" t="s">
        <v>753</v>
      </c>
      <c r="B245" s="4">
        <v>28</v>
      </c>
      <c r="C245" s="4" t="s">
        <v>72</v>
      </c>
      <c r="D245" s="4" t="s">
        <v>781</v>
      </c>
      <c r="E245" s="4" t="str">
        <f t="shared" si="14"/>
        <v>28|U</v>
      </c>
      <c r="F245" s="14">
        <f>INDEX('Emission Stepwise'!$H$2:$H$289,MATCH(E245,'Emission Stepwise'!$C$2:$C$289,0))</f>
        <v>0.25490196078431371</v>
      </c>
      <c r="G245" s="14">
        <f>INDEX(Background!$C$4:$C$7,MATCH(C245,Background!$A$4:$A$7,0))</f>
        <v>0.21314113777902177</v>
      </c>
      <c r="H245" s="17">
        <f t="shared" si="15"/>
        <v>0.17892443876389855</v>
      </c>
    </row>
    <row r="246" spans="1:8">
      <c r="A246" s="4" t="s">
        <v>753</v>
      </c>
      <c r="B246" s="4">
        <v>29</v>
      </c>
      <c r="C246" s="4" t="s">
        <v>71</v>
      </c>
      <c r="D246" s="4" t="s">
        <v>781</v>
      </c>
      <c r="E246" s="4" t="str">
        <f t="shared" si="14"/>
        <v>29|C</v>
      </c>
      <c r="F246" s="14">
        <f>INDEX('Emission Stepwise'!$H$2:$H$289,MATCH(E246,'Emission Stepwise'!$C$2:$C$289,0))</f>
        <v>0.18137254901960784</v>
      </c>
      <c r="G246" s="14">
        <f>INDEX(Background!$C$4:$C$7,MATCH(C246,Background!$A$4:$A$7,0))</f>
        <v>0.27646770694842909</v>
      </c>
      <c r="H246" s="17">
        <f t="shared" si="15"/>
        <v>-0.42154082412958793</v>
      </c>
    </row>
    <row r="247" spans="1:8">
      <c r="A247" s="4" t="s">
        <v>753</v>
      </c>
      <c r="B247" s="4">
        <v>30</v>
      </c>
      <c r="C247" s="4" t="s">
        <v>72</v>
      </c>
      <c r="D247" s="4" t="s">
        <v>781</v>
      </c>
      <c r="E247" s="4" t="str">
        <f t="shared" si="14"/>
        <v>30|U</v>
      </c>
      <c r="F247" s="14">
        <f>INDEX('Emission Stepwise'!$H$2:$H$289,MATCH(E247,'Emission Stepwise'!$C$2:$C$289,0))</f>
        <v>3.9215686274509803E-2</v>
      </c>
      <c r="G247" s="14">
        <f>INDEX(Background!$C$4:$C$7,MATCH(C247,Background!$A$4:$A$7,0))</f>
        <v>0.21314113777902177</v>
      </c>
      <c r="H247" s="17">
        <f t="shared" si="15"/>
        <v>-1.6928777381376929</v>
      </c>
    </row>
    <row r="248" spans="1:8">
      <c r="A248" s="4" t="s">
        <v>753</v>
      </c>
      <c r="B248" s="4">
        <v>31</v>
      </c>
      <c r="C248" s="4" t="s">
        <v>72</v>
      </c>
      <c r="D248" s="4" t="s">
        <v>781</v>
      </c>
      <c r="E248" s="4" t="str">
        <f t="shared" si="14"/>
        <v>31|U</v>
      </c>
      <c r="F248" s="14">
        <f>INDEX('Emission Stepwise'!$H$2:$H$289,MATCH(E248,'Emission Stepwise'!$C$2:$C$289,0))</f>
        <v>9.8039215686274508E-2</v>
      </c>
      <c r="G248" s="14">
        <f>INDEX(Background!$C$4:$C$7,MATCH(C248,Background!$A$4:$A$7,0))</f>
        <v>0.21314113777902177</v>
      </c>
      <c r="H248" s="17">
        <f t="shared" si="15"/>
        <v>-0.77658700626353783</v>
      </c>
    </row>
    <row r="249" spans="1:8">
      <c r="A249" s="4" t="s">
        <v>753</v>
      </c>
      <c r="B249" s="4">
        <v>32</v>
      </c>
      <c r="C249" s="4" t="s">
        <v>72</v>
      </c>
      <c r="D249" s="4" t="s">
        <v>781</v>
      </c>
      <c r="E249" s="4" t="str">
        <f t="shared" si="14"/>
        <v>32|U</v>
      </c>
      <c r="F249" s="14">
        <f>INDEX('Emission Stepwise'!$H$2:$H$289,MATCH(E249,'Emission Stepwise'!$C$2:$C$289,0))</f>
        <v>0.29411764705882354</v>
      </c>
      <c r="G249" s="14">
        <f>INDEX(Background!$C$4:$C$7,MATCH(C249,Background!$A$4:$A$7,0))</f>
        <v>0.21314113777902177</v>
      </c>
      <c r="H249" s="17">
        <f t="shared" si="15"/>
        <v>0.32202528240457201</v>
      </c>
    </row>
    <row r="250" spans="1:8">
      <c r="A250" s="4" t="s">
        <v>753</v>
      </c>
      <c r="B250" s="4">
        <v>33</v>
      </c>
      <c r="C250" s="4" t="s">
        <v>72</v>
      </c>
      <c r="D250" s="4" t="s">
        <v>781</v>
      </c>
      <c r="E250" s="4" t="str">
        <f t="shared" si="14"/>
        <v>33|U</v>
      </c>
      <c r="F250" s="14">
        <f>INDEX('Emission Stepwise'!$H$2:$H$289,MATCH(E250,'Emission Stepwise'!$C$2:$C$289,0))</f>
        <v>0.97549019607843135</v>
      </c>
      <c r="G250" s="14">
        <f>INDEX(Background!$C$4:$C$7,MATCH(C250,Background!$A$4:$A$7,0))</f>
        <v>0.21314113777902177</v>
      </c>
      <c r="H250" s="17">
        <f t="shared" si="15"/>
        <v>1.5209855449069636</v>
      </c>
    </row>
    <row r="251" spans="1:8">
      <c r="A251" s="4" t="s">
        <v>753</v>
      </c>
      <c r="B251" s="4">
        <v>34</v>
      </c>
      <c r="C251" s="4" t="s">
        <v>71</v>
      </c>
      <c r="D251" s="4" t="s">
        <v>781</v>
      </c>
      <c r="E251" s="4" t="str">
        <f t="shared" si="14"/>
        <v>34|C</v>
      </c>
      <c r="F251" s="14">
        <f>INDEX('Emission Stepwise'!$H$2:$H$289,MATCH(E251,'Emission Stepwise'!$C$2:$C$289,0))</f>
        <v>0.32843137254901961</v>
      </c>
      <c r="G251" s="14">
        <f>INDEX(Background!$C$4:$C$7,MATCH(C251,Background!$A$4:$A$7,0))</f>
        <v>0.27646770694842909</v>
      </c>
      <c r="H251" s="17">
        <f t="shared" si="15"/>
        <v>0.17223388261715358</v>
      </c>
    </row>
    <row r="252" spans="1:8">
      <c r="A252" s="4" t="s">
        <v>753</v>
      </c>
      <c r="B252" s="4">
        <v>35</v>
      </c>
      <c r="C252" s="4" t="s">
        <v>72</v>
      </c>
      <c r="D252" s="4" t="s">
        <v>781</v>
      </c>
      <c r="E252" s="4" t="str">
        <f t="shared" si="14"/>
        <v>35|U</v>
      </c>
      <c r="F252" s="14">
        <f>INDEX('Emission Stepwise'!$H$2:$H$289,MATCH(E252,'Emission Stepwise'!$C$2:$C$289,0))</f>
        <v>0.20588235294117646</v>
      </c>
      <c r="G252" s="14">
        <f>INDEX(Background!$C$4:$C$7,MATCH(C252,Background!$A$4:$A$7,0))</f>
        <v>0.21314113777902177</v>
      </c>
      <c r="H252" s="17">
        <f t="shared" si="15"/>
        <v>-3.4649661534160589E-2</v>
      </c>
    </row>
    <row r="253" spans="1:8">
      <c r="A253" s="4" t="s">
        <v>753</v>
      </c>
      <c r="B253" s="4">
        <v>36</v>
      </c>
      <c r="C253" s="4" t="s">
        <v>73</v>
      </c>
      <c r="D253" s="4" t="s">
        <v>781</v>
      </c>
      <c r="E253" s="4" t="str">
        <f t="shared" si="14"/>
        <v>36|A</v>
      </c>
      <c r="F253" s="14">
        <f>INDEX('Emission Stepwise'!$H$2:$H$289,MATCH(E253,'Emission Stepwise'!$C$2:$C$289,0))</f>
        <v>0.21568627450980393</v>
      </c>
      <c r="G253" s="14">
        <f>INDEX(Background!$C$4:$C$7,MATCH(C253,Background!$A$4:$A$7,0))</f>
        <v>0.18550136449513679</v>
      </c>
      <c r="H253" s="17">
        <f t="shared" si="15"/>
        <v>0.15076268126681408</v>
      </c>
    </row>
    <row r="254" spans="1:8">
      <c r="A254" s="4" t="s">
        <v>753</v>
      </c>
      <c r="B254" s="4">
        <v>37</v>
      </c>
      <c r="C254" s="4" t="s">
        <v>71</v>
      </c>
      <c r="D254" s="4" t="s">
        <v>781</v>
      </c>
      <c r="E254" s="4" t="str">
        <f t="shared" si="14"/>
        <v>37|C</v>
      </c>
      <c r="F254" s="14">
        <f>INDEX('Emission Stepwise'!$H$2:$H$289,MATCH(E254,'Emission Stepwise'!$C$2:$C$289,0))</f>
        <v>9.8039215686274508E-3</v>
      </c>
      <c r="G254" s="14">
        <f>INDEX(Background!$C$4:$C$7,MATCH(C254,Background!$A$4:$A$7,0))</f>
        <v>0.27646770694842909</v>
      </c>
      <c r="H254" s="17">
        <f t="shared" si="15"/>
        <v>-3.3393115562138669</v>
      </c>
    </row>
    <row r="255" spans="1:8">
      <c r="A255" s="4" t="s">
        <v>753</v>
      </c>
      <c r="B255" s="4">
        <v>38</v>
      </c>
      <c r="C255" s="4" t="s">
        <v>70</v>
      </c>
      <c r="D255" s="4" t="s">
        <v>781</v>
      </c>
      <c r="E255" s="4" t="str">
        <f t="shared" si="14"/>
        <v>38|G</v>
      </c>
      <c r="F255" s="14">
        <f>INDEX('Emission Stepwise'!$H$2:$H$289,MATCH(E255,'Emission Stepwise'!$C$2:$C$289,0))</f>
        <v>9.8039215686274508E-3</v>
      </c>
      <c r="G255" s="14">
        <f>INDEX(Background!$C$4:$C$7,MATCH(C255,Background!$A$4:$A$7,0))</f>
        <v>0.32488979077741237</v>
      </c>
      <c r="H255" s="17">
        <f t="shared" si="15"/>
        <v>-3.5007035538223983</v>
      </c>
    </row>
    <row r="256" spans="1:8">
      <c r="A256" s="4" t="s">
        <v>753</v>
      </c>
      <c r="B256" s="4">
        <v>39</v>
      </c>
      <c r="C256" s="4" t="s">
        <v>70</v>
      </c>
      <c r="D256" s="4" t="s">
        <v>781</v>
      </c>
      <c r="E256" s="4" t="str">
        <f t="shared" si="14"/>
        <v>39|G</v>
      </c>
      <c r="F256" s="14">
        <f>INDEX('Emission Stepwise'!$H$2:$H$289,MATCH(E256,'Emission Stepwise'!$C$2:$C$289,0))</f>
        <v>0.35784313725490197</v>
      </c>
      <c r="G256" s="14">
        <f>INDEX(Background!$C$4:$C$7,MATCH(C256,Background!$A$4:$A$7,0))</f>
        <v>0.32488979077741237</v>
      </c>
      <c r="H256" s="17">
        <f t="shared" si="15"/>
        <v>9.6608706766047728E-2</v>
      </c>
    </row>
    <row r="257" spans="1:8">
      <c r="A257" s="4" t="s">
        <v>753</v>
      </c>
      <c r="B257" s="4">
        <v>40</v>
      </c>
      <c r="C257" s="4" t="s">
        <v>73</v>
      </c>
      <c r="D257" s="4" t="s">
        <v>781</v>
      </c>
      <c r="E257" s="4" t="str">
        <f t="shared" si="14"/>
        <v>40|A</v>
      </c>
      <c r="F257" s="14">
        <f>INDEX('Emission Stepwise'!$H$2:$H$289,MATCH(E257,'Emission Stepwise'!$C$2:$C$289,0))</f>
        <v>9.8039215686274508E-3</v>
      </c>
      <c r="G257" s="14">
        <f>INDEX(Background!$C$4:$C$7,MATCH(C257,Background!$A$4:$A$7,0))</f>
        <v>0.18550136449513679</v>
      </c>
      <c r="H257" s="17">
        <f t="shared" si="15"/>
        <v>-2.9402797720915017</v>
      </c>
    </row>
    <row r="258" spans="1:8">
      <c r="A258" s="4" t="s">
        <v>753</v>
      </c>
      <c r="B258" s="4">
        <v>41</v>
      </c>
      <c r="C258" s="4" t="s">
        <v>71</v>
      </c>
      <c r="D258" s="4" t="s">
        <v>781</v>
      </c>
      <c r="E258" s="4" t="str">
        <f t="shared" si="14"/>
        <v>41|C</v>
      </c>
      <c r="F258" s="14">
        <f>INDEX('Emission Stepwise'!$H$2:$H$289,MATCH(E258,'Emission Stepwise'!$C$2:$C$289,0))</f>
        <v>0.38235294117647056</v>
      </c>
      <c r="G258" s="14">
        <f>INDEX(Background!$C$4:$C$7,MATCH(C258,Background!$A$4:$A$7,0))</f>
        <v>0.27646770694842909</v>
      </c>
      <c r="H258" s="17">
        <f t="shared" si="15"/>
        <v>0.32425008991577925</v>
      </c>
    </row>
    <row r="259" spans="1:8">
      <c r="A259" s="4" t="s">
        <v>753</v>
      </c>
      <c r="B259" s="4">
        <v>42</v>
      </c>
      <c r="C259" s="4" t="s">
        <v>73</v>
      </c>
      <c r="D259" s="4" t="s">
        <v>781</v>
      </c>
      <c r="E259" s="4" t="str">
        <f t="shared" si="14"/>
        <v>42|A</v>
      </c>
      <c r="F259" s="14">
        <f>INDEX('Emission Stepwise'!$H$2:$H$289,MATCH(E259,'Emission Stepwise'!$C$2:$C$289,0))</f>
        <v>0.24509803921568626</v>
      </c>
      <c r="G259" s="14">
        <f>INDEX(Background!$C$4:$C$7,MATCH(C259,Background!$A$4:$A$7,0))</f>
        <v>0.18550136449513679</v>
      </c>
      <c r="H259" s="17">
        <f t="shared" si="15"/>
        <v>0.27859605277669885</v>
      </c>
    </row>
    <row r="260" spans="1:8">
      <c r="A260" s="4" t="s">
        <v>753</v>
      </c>
      <c r="B260" s="4">
        <v>43</v>
      </c>
      <c r="C260" s="4" t="s">
        <v>73</v>
      </c>
      <c r="D260" s="4" t="s">
        <v>781</v>
      </c>
      <c r="E260" s="4" t="str">
        <f t="shared" si="14"/>
        <v>43|A</v>
      </c>
      <c r="F260" s="14">
        <f>INDEX('Emission Stepwise'!$H$2:$H$289,MATCH(E260,'Emission Stepwise'!$C$2:$C$289,0))</f>
        <v>0.22549019607843138</v>
      </c>
      <c r="G260" s="14">
        <f>INDEX(Background!$C$4:$C$7,MATCH(C260,Background!$A$4:$A$7,0))</f>
        <v>0.18550136449513679</v>
      </c>
      <c r="H260" s="17">
        <f t="shared" si="15"/>
        <v>0.1952144438376478</v>
      </c>
    </row>
    <row r="261" spans="1:8">
      <c r="A261" s="4" t="s">
        <v>753</v>
      </c>
      <c r="B261" s="4">
        <v>44</v>
      </c>
      <c r="C261" s="4" t="s">
        <v>72</v>
      </c>
      <c r="D261" s="4" t="s">
        <v>781</v>
      </c>
      <c r="E261" s="4" t="str">
        <f t="shared" si="14"/>
        <v>44|U</v>
      </c>
      <c r="F261" s="14">
        <f>INDEX('Emission Stepwise'!$H$2:$H$289,MATCH(E261,'Emission Stepwise'!$C$2:$C$289,0))</f>
        <v>0.11764705882352941</v>
      </c>
      <c r="G261" s="14">
        <f>INDEX(Background!$C$4:$C$7,MATCH(C261,Background!$A$4:$A$7,0))</f>
        <v>0.21314113777902177</v>
      </c>
      <c r="H261" s="17">
        <f t="shared" si="15"/>
        <v>-0.59426544946958315</v>
      </c>
    </row>
    <row r="262" spans="1:8">
      <c r="A262" s="4" t="s">
        <v>753</v>
      </c>
      <c r="B262" s="4">
        <v>45</v>
      </c>
      <c r="C262" s="4" t="s">
        <v>70</v>
      </c>
      <c r="D262" s="4" t="s">
        <v>782</v>
      </c>
      <c r="E262" s="4" t="str">
        <f t="shared" si="14"/>
        <v>45|G</v>
      </c>
      <c r="F262" s="14">
        <f>INDEX('Emission Stepwise'!$H$2:$H$289,MATCH(E262,'Emission Stepwise'!$C$2:$C$289,0))</f>
        <v>0.74752475247524752</v>
      </c>
      <c r="G262" s="14">
        <f>INDEX(Background!$C$4:$C$7,MATCH(C262,Background!$A$4:$A$7,0))</f>
        <v>0.32488979077741237</v>
      </c>
      <c r="H262" s="17">
        <f t="shared" si="15"/>
        <v>0.8332813988755926</v>
      </c>
    </row>
    <row r="263" spans="1:8">
      <c r="A263" s="4" t="s">
        <v>753</v>
      </c>
      <c r="B263" s="4">
        <v>46</v>
      </c>
      <c r="C263" s="4" t="s">
        <v>72</v>
      </c>
      <c r="D263" s="4" t="s">
        <v>782</v>
      </c>
      <c r="E263" s="4" t="str">
        <f t="shared" si="14"/>
        <v>46|U</v>
      </c>
      <c r="F263" s="14">
        <f>INDEX('Emission Stepwise'!$H$2:$H$289,MATCH(E263,'Emission Stepwise'!$C$2:$C$289,0))</f>
        <v>7.5144508670520235E-2</v>
      </c>
      <c r="G263" s="14">
        <f>INDEX(Background!$C$4:$C$7,MATCH(C263,Background!$A$4:$A$7,0))</f>
        <v>0.21314113777902177</v>
      </c>
      <c r="H263" s="17">
        <f t="shared" si="15"/>
        <v>-1.0425415230095545</v>
      </c>
    </row>
    <row r="264" spans="1:8">
      <c r="A264" s="4" t="s">
        <v>753</v>
      </c>
      <c r="B264" s="4">
        <v>47</v>
      </c>
      <c r="C264" s="4" t="s">
        <v>72</v>
      </c>
      <c r="D264" s="4" t="s">
        <v>782</v>
      </c>
      <c r="E264" s="4" t="str">
        <f t="shared" si="14"/>
        <v>47|U</v>
      </c>
      <c r="F264" s="14">
        <f>INDEX('Emission Stepwise'!$H$2:$H$289,MATCH(E264,'Emission Stepwise'!$C$2:$C$289,0))</f>
        <v>0.66666666666666663</v>
      </c>
      <c r="G264" s="14">
        <f>INDEX(Background!$C$4:$C$7,MATCH(C264,Background!$A$4:$A$7,0))</f>
        <v>0.21314113777902177</v>
      </c>
      <c r="H264" s="17">
        <f t="shared" si="15"/>
        <v>1.1403356059185232</v>
      </c>
    </row>
    <row r="265" spans="1:8">
      <c r="A265" s="4" t="s">
        <v>753</v>
      </c>
      <c r="B265" s="4">
        <v>48</v>
      </c>
      <c r="C265" s="4" t="s">
        <v>72</v>
      </c>
      <c r="D265" s="4" t="s">
        <v>782</v>
      </c>
      <c r="E265" s="4" t="str">
        <f t="shared" si="14"/>
        <v>48|U</v>
      </c>
      <c r="F265" s="14">
        <f>INDEX('Emission Stepwise'!$H$2:$H$289,MATCH(E265,'Emission Stepwise'!$C$2:$C$289,0))</f>
        <v>0.14705882352941177</v>
      </c>
      <c r="G265" s="14">
        <f>INDEX(Background!$C$4:$C$7,MATCH(C265,Background!$A$4:$A$7,0))</f>
        <v>0.21314113777902177</v>
      </c>
      <c r="H265" s="17">
        <f t="shared" si="15"/>
        <v>-0.37112189815537333</v>
      </c>
    </row>
    <row r="266" spans="1:8">
      <c r="A266" s="4" t="s">
        <v>753</v>
      </c>
      <c r="B266" s="4">
        <v>49</v>
      </c>
      <c r="C266" s="4" t="s">
        <v>71</v>
      </c>
      <c r="D266" s="4" t="s">
        <v>783</v>
      </c>
      <c r="E266" s="4" t="str">
        <f t="shared" si="14"/>
        <v>49|C</v>
      </c>
      <c r="F266" s="14">
        <f>INDEX('Emission Stepwise'!$H$2:$H$289,MATCH(E266,'Emission Stepwise'!$C$2:$C$289,0))</f>
        <v>0.28431372549019607</v>
      </c>
      <c r="G266" s="14">
        <f>INDEX(Background!$C$4:$C$7,MATCH(C266,Background!$A$4:$A$7,0))</f>
        <v>0.27646770694842909</v>
      </c>
      <c r="H266" s="17">
        <f t="shared" si="15"/>
        <v>2.7984273772606979E-2</v>
      </c>
    </row>
    <row r="267" spans="1:8">
      <c r="A267" s="4" t="s">
        <v>753</v>
      </c>
      <c r="B267" s="4">
        <v>50</v>
      </c>
      <c r="C267" s="4" t="s">
        <v>70</v>
      </c>
      <c r="D267" s="4" t="s">
        <v>783</v>
      </c>
      <c r="E267" s="4" t="str">
        <f t="shared" si="14"/>
        <v>50|G</v>
      </c>
      <c r="F267" s="14">
        <f>INDEX('Emission Stepwise'!$H$2:$H$289,MATCH(E267,'Emission Stepwise'!$C$2:$C$289,0))</f>
        <v>0.26960784313725489</v>
      </c>
      <c r="G267" s="14">
        <f>INDEX(Background!$C$4:$C$7,MATCH(C267,Background!$A$4:$A$7,0))</f>
        <v>0.32488979077741237</v>
      </c>
      <c r="H267" s="17">
        <f t="shared" si="15"/>
        <v>-0.18651754914987254</v>
      </c>
    </row>
    <row r="268" spans="1:8">
      <c r="A268" s="4" t="s">
        <v>753</v>
      </c>
      <c r="B268" s="4">
        <v>51</v>
      </c>
      <c r="C268" s="4" t="s">
        <v>70</v>
      </c>
      <c r="D268" s="4" t="s">
        <v>783</v>
      </c>
      <c r="E268" s="4" t="str">
        <f t="shared" si="14"/>
        <v>51|G</v>
      </c>
      <c r="F268" s="14">
        <f>INDEX('Emission Stepwise'!$H$2:$H$289,MATCH(E268,'Emission Stepwise'!$C$2:$C$289,0))</f>
        <v>0.49261083743842365</v>
      </c>
      <c r="G268" s="14">
        <f>INDEX(Background!$C$4:$C$7,MATCH(C268,Background!$A$4:$A$7,0))</f>
        <v>0.32488979077741237</v>
      </c>
      <c r="H268" s="17">
        <f t="shared" si="15"/>
        <v>0.41623346640817716</v>
      </c>
    </row>
    <row r="269" spans="1:8">
      <c r="A269" s="4" t="s">
        <v>753</v>
      </c>
      <c r="B269" s="4">
        <v>52</v>
      </c>
      <c r="C269" s="4" t="s">
        <v>72</v>
      </c>
      <c r="D269" s="4" t="s">
        <v>783</v>
      </c>
      <c r="E269" s="4" t="str">
        <f t="shared" si="14"/>
        <v>52|U</v>
      </c>
      <c r="F269" s="14">
        <f>INDEX('Emission Stepwise'!$H$2:$H$289,MATCH(E269,'Emission Stepwise'!$C$2:$C$289,0))</f>
        <v>2.4509803921568627E-2</v>
      </c>
      <c r="G269" s="14">
        <f>INDEX(Background!$C$4:$C$7,MATCH(C269,Background!$A$4:$A$7,0))</f>
        <v>0.21314113777902177</v>
      </c>
      <c r="H269" s="17">
        <f t="shared" si="15"/>
        <v>-2.1628813673834282</v>
      </c>
    </row>
    <row r="270" spans="1:8">
      <c r="A270" s="4" t="s">
        <v>753</v>
      </c>
      <c r="B270" s="4">
        <v>53</v>
      </c>
      <c r="C270" s="4" t="s">
        <v>70</v>
      </c>
      <c r="D270" s="4" t="s">
        <v>783</v>
      </c>
      <c r="E270" s="4" t="str">
        <f t="shared" si="14"/>
        <v>53|G</v>
      </c>
      <c r="F270" s="14">
        <f>INDEX('Emission Stepwise'!$H$2:$H$289,MATCH(E270,'Emission Stepwise'!$C$2:$C$289,0))</f>
        <v>0.96568627450980393</v>
      </c>
      <c r="G270" s="14">
        <f>INDEX(Background!$C$4:$C$7,MATCH(C270,Background!$A$4:$A$7,0))</f>
        <v>0.32488979077741237</v>
      </c>
      <c r="H270" s="17">
        <f t="shared" si="15"/>
        <v>1.089352994355645</v>
      </c>
    </row>
    <row r="271" spans="1:8">
      <c r="A271" s="4" t="s">
        <v>753</v>
      </c>
      <c r="B271" s="4">
        <v>54</v>
      </c>
      <c r="C271" s="4" t="s">
        <v>72</v>
      </c>
      <c r="D271" s="4" t="s">
        <v>783</v>
      </c>
      <c r="E271" s="4" t="str">
        <f t="shared" si="14"/>
        <v>54|U</v>
      </c>
      <c r="F271" s="14">
        <f>INDEX('Emission Stepwise'!$H$2:$H$289,MATCH(E271,'Emission Stepwise'!$C$2:$C$289,0))</f>
        <v>0.97549019607843135</v>
      </c>
      <c r="G271" s="14">
        <f>INDEX(Background!$C$4:$C$7,MATCH(C271,Background!$A$4:$A$7,0))</f>
        <v>0.21314113777902177</v>
      </c>
      <c r="H271" s="17">
        <f t="shared" si="15"/>
        <v>1.5209855449069636</v>
      </c>
    </row>
    <row r="272" spans="1:8">
      <c r="A272" s="4" t="s">
        <v>753</v>
      </c>
      <c r="B272" s="4">
        <v>55</v>
      </c>
      <c r="C272" s="4" t="s">
        <v>72</v>
      </c>
      <c r="D272" s="4" t="s">
        <v>783</v>
      </c>
      <c r="E272" s="4" t="str">
        <f t="shared" si="14"/>
        <v>55|U</v>
      </c>
      <c r="F272" s="14">
        <f>INDEX('Emission Stepwise'!$H$2:$H$289,MATCH(E272,'Emission Stepwise'!$C$2:$C$289,0))</f>
        <v>0.97058823529411764</v>
      </c>
      <c r="G272" s="14">
        <f>INDEX(Background!$C$4:$C$7,MATCH(C272,Background!$A$4:$A$7,0))</f>
        <v>0.21314113777902177</v>
      </c>
      <c r="H272" s="17">
        <f t="shared" si="15"/>
        <v>1.5159477508770065</v>
      </c>
    </row>
    <row r="273" spans="1:8">
      <c r="A273" s="4" t="s">
        <v>753</v>
      </c>
      <c r="B273" s="4">
        <v>56</v>
      </c>
      <c r="C273" s="4" t="s">
        <v>71</v>
      </c>
      <c r="D273" s="4" t="s">
        <v>783</v>
      </c>
      <c r="E273" s="4" t="str">
        <f t="shared" si="14"/>
        <v>56|C</v>
      </c>
      <c r="F273" s="14">
        <f>INDEX('Emission Stepwise'!$H$2:$H$289,MATCH(E273,'Emission Stepwise'!$C$2:$C$289,0))</f>
        <v>0.96568627450980393</v>
      </c>
      <c r="G273" s="14">
        <f>INDEX(Background!$C$4:$C$7,MATCH(C273,Background!$A$4:$A$7,0))</f>
        <v>0.27646770694842909</v>
      </c>
      <c r="H273" s="17">
        <f t="shared" si="15"/>
        <v>1.250744991964176</v>
      </c>
    </row>
    <row r="274" spans="1:8">
      <c r="A274" s="4" t="s">
        <v>753</v>
      </c>
      <c r="B274" s="4">
        <v>57</v>
      </c>
      <c r="C274" s="4" t="s">
        <v>70</v>
      </c>
      <c r="D274" s="4" t="s">
        <v>783</v>
      </c>
      <c r="E274" s="4" t="str">
        <f t="shared" si="14"/>
        <v>57|G</v>
      </c>
      <c r="F274" s="14">
        <f>INDEX('Emission Stepwise'!$H$2:$H$289,MATCH(E274,'Emission Stepwise'!$C$2:$C$289,0))</f>
        <v>0.60098522167487689</v>
      </c>
      <c r="G274" s="14">
        <f>INDEX(Background!$C$4:$C$7,MATCH(C274,Background!$A$4:$A$7,0))</f>
        <v>0.32488979077741237</v>
      </c>
      <c r="H274" s="17">
        <f t="shared" si="15"/>
        <v>0.61508432515334222</v>
      </c>
    </row>
    <row r="275" spans="1:8">
      <c r="A275" s="4" t="s">
        <v>753</v>
      </c>
      <c r="B275" s="4">
        <v>58</v>
      </c>
      <c r="C275" s="4" t="s">
        <v>73</v>
      </c>
      <c r="D275" s="4" t="s">
        <v>783</v>
      </c>
      <c r="E275" s="4" t="str">
        <f t="shared" si="14"/>
        <v>58|A</v>
      </c>
      <c r="F275" s="14">
        <f>INDEX('Emission Stepwise'!$H$2:$H$289,MATCH(E275,'Emission Stepwise'!$C$2:$C$289,0))</f>
        <v>0.97549019607843135</v>
      </c>
      <c r="G275" s="14">
        <f>INDEX(Background!$C$4:$C$7,MATCH(C275,Background!$A$4:$A$7,0))</f>
        <v>0.18550136449513679</v>
      </c>
      <c r="H275" s="17">
        <f t="shared" si="15"/>
        <v>1.6598778720730452</v>
      </c>
    </row>
    <row r="276" spans="1:8">
      <c r="A276" s="4" t="s">
        <v>753</v>
      </c>
      <c r="B276" s="4">
        <v>59</v>
      </c>
      <c r="C276" s="4" t="s">
        <v>72</v>
      </c>
      <c r="D276" s="4" t="s">
        <v>783</v>
      </c>
      <c r="E276" s="4" t="str">
        <f t="shared" si="14"/>
        <v>59|U</v>
      </c>
      <c r="F276" s="14">
        <f>INDEX('Emission Stepwise'!$H$2:$H$289,MATCH(E276,'Emission Stepwise'!$C$2:$C$289,0))</f>
        <v>0.25</v>
      </c>
      <c r="G276" s="14">
        <f>INDEX(Background!$C$4:$C$7,MATCH(C276,Background!$A$4:$A$7,0))</f>
        <v>0.21314113777902177</v>
      </c>
      <c r="H276" s="17">
        <f t="shared" si="15"/>
        <v>0.15950635290679691</v>
      </c>
    </row>
    <row r="277" spans="1:8">
      <c r="A277" s="4" t="s">
        <v>753</v>
      </c>
      <c r="B277" s="4">
        <v>60</v>
      </c>
      <c r="C277" s="4" t="s">
        <v>71</v>
      </c>
      <c r="D277" s="4" t="s">
        <v>783</v>
      </c>
      <c r="E277" s="4" t="str">
        <f t="shared" si="14"/>
        <v>60|C</v>
      </c>
      <c r="F277" s="14">
        <f>INDEX('Emission Stepwise'!$H$2:$H$289,MATCH(E277,'Emission Stepwise'!$C$2:$C$289,0))</f>
        <v>0.20098039215686275</v>
      </c>
      <c r="G277" s="14">
        <f>INDEX(Background!$C$4:$C$7,MATCH(C277,Background!$A$4:$A$7,0))</f>
        <v>0.27646770694842909</v>
      </c>
      <c r="H277" s="17">
        <f t="shared" si="15"/>
        <v>-0.3188866700695045</v>
      </c>
    </row>
    <row r="278" spans="1:8">
      <c r="A278" s="4" t="s">
        <v>753</v>
      </c>
      <c r="B278" s="4">
        <v>61</v>
      </c>
      <c r="C278" s="4" t="s">
        <v>71</v>
      </c>
      <c r="D278" s="4" t="s">
        <v>783</v>
      </c>
      <c r="E278" s="4" t="str">
        <f t="shared" si="14"/>
        <v>61|C</v>
      </c>
      <c r="F278" s="14">
        <f>INDEX('Emission Stepwise'!$H$2:$H$289,MATCH(E278,'Emission Stepwise'!$C$2:$C$289,0))</f>
        <v>0.97549019607843135</v>
      </c>
      <c r="G278" s="14">
        <f>INDEX(Background!$C$4:$C$7,MATCH(C278,Background!$A$4:$A$7,0))</f>
        <v>0.27646770694842909</v>
      </c>
      <c r="H278" s="17">
        <f t="shared" si="15"/>
        <v>1.26084608795068</v>
      </c>
    </row>
    <row r="279" spans="1:8">
      <c r="A279" s="4" t="s">
        <v>753</v>
      </c>
      <c r="B279" s="4">
        <v>62</v>
      </c>
      <c r="C279" s="4" t="s">
        <v>73</v>
      </c>
      <c r="D279" s="4" t="s">
        <v>783</v>
      </c>
      <c r="E279" s="4" t="str">
        <f t="shared" si="14"/>
        <v>62|A</v>
      </c>
      <c r="F279" s="14">
        <f>INDEX('Emission Stepwise'!$H$2:$H$289,MATCH(E279,'Emission Stepwise'!$C$2:$C$289,0))</f>
        <v>1.9607843137254902E-2</v>
      </c>
      <c r="G279" s="14">
        <f>INDEX(Background!$C$4:$C$7,MATCH(C279,Background!$A$4:$A$7,0))</f>
        <v>0.18550136449513679</v>
      </c>
      <c r="H279" s="17">
        <f t="shared" si="15"/>
        <v>-2.2471325915315568</v>
      </c>
    </row>
    <row r="280" spans="1:8">
      <c r="A280" s="4" t="s">
        <v>753</v>
      </c>
      <c r="B280" s="4">
        <v>63</v>
      </c>
      <c r="C280" s="4" t="s">
        <v>71</v>
      </c>
      <c r="D280" s="4" t="s">
        <v>783</v>
      </c>
      <c r="E280" s="4" t="str">
        <f t="shared" si="14"/>
        <v>63|C</v>
      </c>
      <c r="F280" s="14">
        <f>INDEX('Emission Stepwise'!$H$2:$H$289,MATCH(E280,'Emission Stepwise'!$C$2:$C$289,0))</f>
        <v>0.48039215686274511</v>
      </c>
      <c r="G280" s="14">
        <f>INDEX(Background!$C$4:$C$7,MATCH(C280,Background!$A$4:$A$7,0))</f>
        <v>0.27646770694842909</v>
      </c>
      <c r="H280" s="17">
        <f t="shared" si="15"/>
        <v>0.55250874189675947</v>
      </c>
    </row>
    <row r="281" spans="1:8">
      <c r="A281" s="4" t="s">
        <v>753</v>
      </c>
      <c r="B281" s="4">
        <v>64</v>
      </c>
      <c r="C281" s="4" t="s">
        <v>71</v>
      </c>
      <c r="D281" s="4" t="s">
        <v>783</v>
      </c>
      <c r="E281" s="4" t="str">
        <f t="shared" si="14"/>
        <v>64|C</v>
      </c>
      <c r="F281" s="14">
        <f>INDEX('Emission Stepwise'!$H$2:$H$289,MATCH(E281,'Emission Stepwise'!$C$2:$C$289,0))</f>
        <v>0.2107843137254902</v>
      </c>
      <c r="G281" s="14">
        <f>INDEX(Background!$C$4:$C$7,MATCH(C281,Background!$A$4:$A$7,0))</f>
        <v>0.27646770694842909</v>
      </c>
      <c r="H281" s="17">
        <f t="shared" si="15"/>
        <v>-0.27125862108025001</v>
      </c>
    </row>
    <row r="282" spans="1:8">
      <c r="A282" s="4" t="s">
        <v>753</v>
      </c>
      <c r="B282" s="4">
        <v>65</v>
      </c>
      <c r="C282" s="4" t="s">
        <v>70</v>
      </c>
      <c r="D282" s="4" t="s">
        <v>783</v>
      </c>
      <c r="E282" s="4" t="str">
        <f t="shared" si="14"/>
        <v>65|G</v>
      </c>
      <c r="F282" s="14">
        <f>INDEX('Emission Stepwise'!$H$2:$H$289,MATCH(E282,'Emission Stepwise'!$C$2:$C$289,0))</f>
        <v>0.2857142857142857</v>
      </c>
      <c r="G282" s="14">
        <f>INDEX(Background!$C$4:$C$7,MATCH(C282,Background!$A$4:$A$7,0))</f>
        <v>0.32488979077741237</v>
      </c>
      <c r="H282" s="17">
        <f t="shared" si="15"/>
        <v>-0.12849370903349497</v>
      </c>
    </row>
    <row r="283" spans="1:8">
      <c r="A283" s="4" t="s">
        <v>753</v>
      </c>
      <c r="B283" s="4">
        <v>66</v>
      </c>
      <c r="C283" s="4" t="s">
        <v>70</v>
      </c>
      <c r="D283" s="4" t="s">
        <v>784</v>
      </c>
      <c r="E283" s="4" t="str">
        <f t="shared" si="14"/>
        <v>66|G</v>
      </c>
      <c r="F283" s="14">
        <f>INDEX('Emission Stepwise'!$H$2:$H$289,MATCH(E283,'Emission Stepwise'!$C$2:$C$289,0))</f>
        <v>1.4705882352941176E-2</v>
      </c>
      <c r="G283" s="14">
        <f>INDEX(Background!$C$4:$C$7,MATCH(C283,Background!$A$4:$A$7,0))</f>
        <v>0.32488979077741237</v>
      </c>
      <c r="H283" s="17">
        <f t="shared" si="15"/>
        <v>-3.0952384457142337</v>
      </c>
    </row>
    <row r="284" spans="1:8">
      <c r="A284" s="4" t="s">
        <v>753</v>
      </c>
      <c r="B284" s="4">
        <v>67</v>
      </c>
      <c r="C284" s="4" t="s">
        <v>72</v>
      </c>
      <c r="D284" s="4" t="s">
        <v>784</v>
      </c>
      <c r="E284" s="4" t="str">
        <f t="shared" si="14"/>
        <v>67|U</v>
      </c>
      <c r="F284" s="14">
        <f>INDEX('Emission Stepwise'!$H$2:$H$289,MATCH(E284,'Emission Stepwise'!$C$2:$C$289,0))</f>
        <v>0.19117647058823528</v>
      </c>
      <c r="G284" s="14">
        <f>INDEX(Background!$C$4:$C$7,MATCH(C284,Background!$A$4:$A$7,0))</f>
        <v>0.21314113777902177</v>
      </c>
      <c r="H284" s="17">
        <f t="shared" si="15"/>
        <v>-0.1087576336878824</v>
      </c>
    </row>
    <row r="285" spans="1:8">
      <c r="A285" s="4" t="s">
        <v>753</v>
      </c>
      <c r="B285" s="4">
        <v>68</v>
      </c>
      <c r="C285" s="4" t="s">
        <v>70</v>
      </c>
      <c r="D285" s="4" t="s">
        <v>784</v>
      </c>
      <c r="E285" s="4" t="str">
        <f t="shared" si="14"/>
        <v>68|G</v>
      </c>
      <c r="F285" s="14">
        <f>INDEX('Emission Stepwise'!$H$2:$H$289,MATCH(E285,'Emission Stepwise'!$C$2:$C$289,0))</f>
        <v>0.43137254901960786</v>
      </c>
      <c r="G285" s="14">
        <f>INDEX(Background!$C$4:$C$7,MATCH(C285,Background!$A$4:$A$7,0))</f>
        <v>0.32488979077741237</v>
      </c>
      <c r="H285" s="17">
        <f t="shared" si="15"/>
        <v>0.28348608009586312</v>
      </c>
    </row>
    <row r="286" spans="1:8">
      <c r="A286" s="4" t="s">
        <v>753</v>
      </c>
      <c r="B286" s="4">
        <v>69</v>
      </c>
      <c r="C286" s="4" t="s">
        <v>72</v>
      </c>
      <c r="D286" s="4" t="s">
        <v>784</v>
      </c>
      <c r="E286" s="4" t="str">
        <f t="shared" si="14"/>
        <v>69|U</v>
      </c>
      <c r="F286" s="14">
        <f>INDEX('Emission Stepwise'!$H$2:$H$289,MATCH(E286,'Emission Stepwise'!$C$2:$C$289,0))</f>
        <v>8.8235294117647065E-2</v>
      </c>
      <c r="G286" s="14">
        <f>INDEX(Background!$C$4:$C$7,MATCH(C286,Background!$A$4:$A$7,0))</f>
        <v>0.21314113777902177</v>
      </c>
      <c r="H286" s="17">
        <f t="shared" si="15"/>
        <v>-0.88194752192136405</v>
      </c>
    </row>
    <row r="287" spans="1:8">
      <c r="A287" s="4" t="s">
        <v>753</v>
      </c>
      <c r="B287" s="4">
        <v>70</v>
      </c>
      <c r="C287" s="4" t="s">
        <v>72</v>
      </c>
      <c r="D287" s="4" t="s">
        <v>784</v>
      </c>
      <c r="E287" s="4" t="str">
        <f t="shared" si="14"/>
        <v>70|U</v>
      </c>
      <c r="F287" s="14">
        <f>INDEX('Emission Stepwise'!$H$2:$H$289,MATCH(E287,'Emission Stepwise'!$C$2:$C$289,0))</f>
        <v>0.15196078431372548</v>
      </c>
      <c r="G287" s="14">
        <f>INDEX(Background!$C$4:$C$7,MATCH(C287,Background!$A$4:$A$7,0))</f>
        <v>0.21314113777902177</v>
      </c>
      <c r="H287" s="17">
        <f t="shared" si="15"/>
        <v>-0.33833207533238269</v>
      </c>
    </row>
    <row r="288" spans="1:8">
      <c r="A288" s="4" t="s">
        <v>753</v>
      </c>
      <c r="B288" s="4">
        <v>71</v>
      </c>
      <c r="C288" s="4" t="s">
        <v>70</v>
      </c>
      <c r="D288" s="4" t="s">
        <v>784</v>
      </c>
      <c r="E288" s="4" t="str">
        <f t="shared" si="14"/>
        <v>71|G</v>
      </c>
      <c r="F288" s="14">
        <f>INDEX('Emission Stepwise'!$H$2:$H$289,MATCH(E288,'Emission Stepwise'!$C$2:$C$289,0))</f>
        <v>0.40686274509803921</v>
      </c>
      <c r="G288" s="14">
        <f>INDEX(Background!$C$4:$C$7,MATCH(C288,Background!$A$4:$A$7,0))</f>
        <v>0.32488979077741237</v>
      </c>
      <c r="H288" s="17">
        <f t="shared" si="15"/>
        <v>0.22498987341425464</v>
      </c>
    </row>
    <row r="289" spans="1:8">
      <c r="A289" s="4" t="s">
        <v>753</v>
      </c>
      <c r="B289" s="4">
        <v>72</v>
      </c>
      <c r="C289" s="4" t="s">
        <v>70</v>
      </c>
      <c r="D289" s="4" t="s">
        <v>784</v>
      </c>
      <c r="E289" s="4" t="str">
        <f t="shared" si="14"/>
        <v>72|G</v>
      </c>
      <c r="F289" s="14">
        <f>INDEX('Emission Stepwise'!$H$2:$H$289,MATCH(E289,'Emission Stepwise'!$C$2:$C$289,0))</f>
        <v>9.3137254901960786E-2</v>
      </c>
      <c r="G289" s="14">
        <f>INDEX(Background!$C$4:$C$7,MATCH(C289,Background!$A$4:$A$7,0))</f>
        <v>0.32488979077741237</v>
      </c>
      <c r="H289" s="17">
        <f t="shared" si="15"/>
        <v>-1.249411755215903</v>
      </c>
    </row>
    <row r="290" spans="1:8">
      <c r="A290" s="4" t="s">
        <v>754</v>
      </c>
      <c r="B290" s="4">
        <v>1</v>
      </c>
      <c r="C290" s="4" t="s">
        <v>72</v>
      </c>
      <c r="D290" s="4" t="s">
        <v>778</v>
      </c>
      <c r="E290" s="4" t="str">
        <f t="shared" ref="E290:E353" si="16">B290&amp;"|"&amp;C290</f>
        <v>1|U</v>
      </c>
      <c r="F290" s="14">
        <f>INDEX('Emission Stepwise'!$H$2:$H$289,MATCH(E290,'Emission Stepwise'!$C$2:$C$289,0))</f>
        <v>6.8627450980392163E-2</v>
      </c>
      <c r="G290" s="14">
        <f>INDEX(Background!$C$4:$C$7,MATCH(C290,Background!$A$4:$A$7,0))</f>
        <v>0.21314113777902177</v>
      </c>
      <c r="H290" s="17">
        <f t="shared" ref="H290:H353" si="17">LN(F290/G290)</f>
        <v>-1.1332619502022701</v>
      </c>
    </row>
    <row r="291" spans="1:8">
      <c r="A291" s="4" t="s">
        <v>754</v>
      </c>
      <c r="B291" s="4">
        <v>2</v>
      </c>
      <c r="C291" s="4" t="s">
        <v>71</v>
      </c>
      <c r="D291" s="4" t="s">
        <v>778</v>
      </c>
      <c r="E291" s="4" t="str">
        <f t="shared" si="16"/>
        <v>2|C</v>
      </c>
      <c r="F291" s="14">
        <f>INDEX('Emission Stepwise'!$H$2:$H$289,MATCH(E291,'Emission Stepwise'!$C$2:$C$289,0))</f>
        <v>0.40686274509803921</v>
      </c>
      <c r="G291" s="14">
        <f>INDEX(Background!$C$4:$C$7,MATCH(C291,Background!$A$4:$A$7,0))</f>
        <v>0.27646770694842909</v>
      </c>
      <c r="H291" s="17">
        <f t="shared" si="17"/>
        <v>0.38638187102278543</v>
      </c>
    </row>
    <row r="292" spans="1:8">
      <c r="A292" s="4" t="s">
        <v>754</v>
      </c>
      <c r="B292" s="4">
        <v>3</v>
      </c>
      <c r="C292" s="4" t="s">
        <v>73</v>
      </c>
      <c r="D292" s="4" t="s">
        <v>778</v>
      </c>
      <c r="E292" s="4" t="str">
        <f t="shared" si="16"/>
        <v>3|A</v>
      </c>
      <c r="F292" s="14">
        <f>INDEX('Emission Stepwise'!$H$2:$H$289,MATCH(E292,'Emission Stepwise'!$C$2:$C$289,0))</f>
        <v>7.3529411764705885E-2</v>
      </c>
      <c r="G292" s="14">
        <f>INDEX(Background!$C$4:$C$7,MATCH(C292,Background!$A$4:$A$7,0))</f>
        <v>0.18550136449513679</v>
      </c>
      <c r="H292" s="17">
        <f t="shared" si="17"/>
        <v>-0.92537675154923693</v>
      </c>
    </row>
    <row r="293" spans="1:8">
      <c r="A293" s="4" t="s">
        <v>754</v>
      </c>
      <c r="B293" s="4">
        <v>4</v>
      </c>
      <c r="C293" s="4" t="s">
        <v>73</v>
      </c>
      <c r="D293" s="4" t="s">
        <v>778</v>
      </c>
      <c r="E293" s="4" t="str">
        <f t="shared" si="16"/>
        <v>4|A</v>
      </c>
      <c r="F293" s="14">
        <f>INDEX('Emission Stepwise'!$H$2:$H$289,MATCH(E293,'Emission Stepwise'!$C$2:$C$289,0))</f>
        <v>8.3333333333333329E-2</v>
      </c>
      <c r="G293" s="14">
        <f>INDEX(Background!$C$4:$C$7,MATCH(C293,Background!$A$4:$A$7,0))</f>
        <v>0.18550136449513679</v>
      </c>
      <c r="H293" s="17">
        <f t="shared" si="17"/>
        <v>-0.80021360859523116</v>
      </c>
    </row>
    <row r="294" spans="1:8">
      <c r="A294" s="4" t="s">
        <v>754</v>
      </c>
      <c r="B294" s="4">
        <v>5</v>
      </c>
      <c r="C294" s="4" t="s">
        <v>71</v>
      </c>
      <c r="D294" s="4" t="s">
        <v>778</v>
      </c>
      <c r="E294" s="4" t="str">
        <f t="shared" si="16"/>
        <v>5|C</v>
      </c>
      <c r="F294" s="14">
        <f>INDEX('Emission Stepwise'!$H$2:$H$289,MATCH(E294,'Emission Stepwise'!$C$2:$C$289,0))</f>
        <v>0.39215686274509803</v>
      </c>
      <c r="G294" s="14">
        <f>INDEX(Background!$C$4:$C$7,MATCH(C294,Background!$A$4:$A$7,0))</f>
        <v>0.27646770694842909</v>
      </c>
      <c r="H294" s="17">
        <f t="shared" si="17"/>
        <v>0.3495678979000692</v>
      </c>
    </row>
    <row r="295" spans="1:8">
      <c r="A295" s="4" t="s">
        <v>754</v>
      </c>
      <c r="B295" s="4">
        <v>6</v>
      </c>
      <c r="C295" s="4" t="s">
        <v>73</v>
      </c>
      <c r="D295" s="4" t="s">
        <v>778</v>
      </c>
      <c r="E295" s="4" t="str">
        <f t="shared" si="16"/>
        <v>6|A</v>
      </c>
      <c r="F295" s="14">
        <f>INDEX('Emission Stepwise'!$H$2:$H$289,MATCH(E295,'Emission Stepwise'!$C$2:$C$289,0))</f>
        <v>0.17156862745098039</v>
      </c>
      <c r="G295" s="14">
        <f>INDEX(Background!$C$4:$C$7,MATCH(C295,Background!$A$4:$A$7,0))</f>
        <v>0.18550136449513679</v>
      </c>
      <c r="H295" s="17">
        <f t="shared" si="17"/>
        <v>-7.8078891162033495E-2</v>
      </c>
    </row>
    <row r="296" spans="1:8">
      <c r="A296" s="4" t="s">
        <v>754</v>
      </c>
      <c r="B296" s="4">
        <v>7</v>
      </c>
      <c r="C296" s="4" t="s">
        <v>72</v>
      </c>
      <c r="D296" s="4" t="s">
        <v>778</v>
      </c>
      <c r="E296" s="4" t="str">
        <f t="shared" si="16"/>
        <v>7|U</v>
      </c>
      <c r="F296" s="14">
        <f>INDEX('Emission Stepwise'!$H$2:$H$289,MATCH(E296,'Emission Stepwise'!$C$2:$C$289,0))</f>
        <v>0.22058823529411764</v>
      </c>
      <c r="G296" s="14">
        <f>INDEX(Background!$C$4:$C$7,MATCH(C296,Background!$A$4:$A$7,0))</f>
        <v>0.21314113777902177</v>
      </c>
      <c r="H296" s="17">
        <f t="shared" si="17"/>
        <v>3.4343209952791019E-2</v>
      </c>
    </row>
    <row r="297" spans="1:8">
      <c r="A297" s="4" t="s">
        <v>754</v>
      </c>
      <c r="B297" s="4">
        <v>8</v>
      </c>
      <c r="C297" s="4" t="s">
        <v>72</v>
      </c>
      <c r="D297" s="4" t="s">
        <v>779</v>
      </c>
      <c r="E297" s="4" t="str">
        <f t="shared" si="16"/>
        <v>8|U</v>
      </c>
      <c r="F297" s="14">
        <f>INDEX('Emission Stepwise'!$H$2:$H$289,MATCH(E297,'Emission Stepwise'!$C$2:$C$289,0))</f>
        <v>0.97549019607843135</v>
      </c>
      <c r="G297" s="14">
        <f>INDEX(Background!$C$4:$C$7,MATCH(C297,Background!$A$4:$A$7,0))</f>
        <v>0.21314113777902177</v>
      </c>
      <c r="H297" s="17">
        <f t="shared" si="17"/>
        <v>1.5209855449069636</v>
      </c>
    </row>
    <row r="298" spans="1:8">
      <c r="A298" s="4" t="s">
        <v>754</v>
      </c>
      <c r="B298" s="4">
        <v>9</v>
      </c>
      <c r="C298" s="4" t="s">
        <v>73</v>
      </c>
      <c r="D298" s="4" t="s">
        <v>780</v>
      </c>
      <c r="E298" s="4" t="str">
        <f t="shared" si="16"/>
        <v>9|A</v>
      </c>
      <c r="F298" s="14">
        <f>INDEX('Emission Stepwise'!$H$2:$H$289,MATCH(E298,'Emission Stepwise'!$C$2:$C$289,0))</f>
        <v>0.65024630541871919</v>
      </c>
      <c r="G298" s="14">
        <f>INDEX(Background!$C$4:$C$7,MATCH(C298,Background!$A$4:$A$7,0))</f>
        <v>0.18550136449513679</v>
      </c>
      <c r="H298" s="17">
        <f t="shared" si="17"/>
        <v>1.2542889847373526</v>
      </c>
    </row>
    <row r="299" spans="1:8">
      <c r="A299" s="4" t="s">
        <v>754</v>
      </c>
      <c r="B299" s="4">
        <v>10</v>
      </c>
      <c r="C299" s="4" t="s">
        <v>70</v>
      </c>
      <c r="D299" s="4" t="s">
        <v>780</v>
      </c>
      <c r="E299" s="4" t="str">
        <f t="shared" si="16"/>
        <v>10|G</v>
      </c>
      <c r="F299" s="14">
        <f>INDEX('Emission Stepwise'!$H$2:$H$289,MATCH(E299,'Emission Stepwise'!$C$2:$C$289,0))</f>
        <v>0.94607843137254899</v>
      </c>
      <c r="G299" s="14">
        <f>INDEX(Background!$C$4:$C$7,MATCH(C299,Background!$A$4:$A$7,0))</f>
        <v>0.32488979077741237</v>
      </c>
      <c r="H299" s="17">
        <f t="shared" si="17"/>
        <v>1.0688394545225421</v>
      </c>
    </row>
    <row r="300" spans="1:8">
      <c r="A300" s="4" t="s">
        <v>754</v>
      </c>
      <c r="B300" s="4">
        <v>11</v>
      </c>
      <c r="C300" s="4" t="s">
        <v>70</v>
      </c>
      <c r="D300" s="4" t="s">
        <v>780</v>
      </c>
      <c r="E300" s="4" t="str">
        <f t="shared" si="16"/>
        <v>11|G</v>
      </c>
      <c r="F300" s="14">
        <f>INDEX('Emission Stepwise'!$H$2:$H$289,MATCH(E300,'Emission Stepwise'!$C$2:$C$289,0))</f>
        <v>3.4313725490196081E-2</v>
      </c>
      <c r="G300" s="14">
        <f>INDEX(Background!$C$4:$C$7,MATCH(C300,Background!$A$4:$A$7,0))</f>
        <v>0.32488979077741237</v>
      </c>
      <c r="H300" s="17">
        <f t="shared" si="17"/>
        <v>-2.2479405853270302</v>
      </c>
    </row>
    <row r="301" spans="1:8">
      <c r="A301" s="4" t="s">
        <v>754</v>
      </c>
      <c r="B301" s="4">
        <v>12</v>
      </c>
      <c r="C301" s="4" t="s">
        <v>73</v>
      </c>
      <c r="D301" s="4" t="s">
        <v>780</v>
      </c>
      <c r="E301" s="4" t="str">
        <f t="shared" si="16"/>
        <v>12|A</v>
      </c>
      <c r="F301" s="14">
        <f>INDEX('Emission Stepwise'!$H$2:$H$289,MATCH(E301,'Emission Stepwise'!$C$2:$C$289,0))</f>
        <v>6.8627450980392163E-2</v>
      </c>
      <c r="G301" s="14">
        <f>INDEX(Background!$C$4:$C$7,MATCH(C301,Background!$A$4:$A$7,0))</f>
        <v>0.18550136449513679</v>
      </c>
      <c r="H301" s="17">
        <f t="shared" si="17"/>
        <v>-0.99436962303618837</v>
      </c>
    </row>
    <row r="302" spans="1:8">
      <c r="A302" s="4" t="s">
        <v>754</v>
      </c>
      <c r="B302" s="4">
        <v>13</v>
      </c>
      <c r="C302" s="4" t="s">
        <v>72</v>
      </c>
      <c r="D302" s="4" t="s">
        <v>780</v>
      </c>
      <c r="E302" s="4" t="str">
        <f t="shared" si="16"/>
        <v>13|U</v>
      </c>
      <c r="F302" s="14">
        <f>INDEX('Emission Stepwise'!$H$2:$H$289,MATCH(E302,'Emission Stepwise'!$C$2:$C$289,0))</f>
        <v>0.19117647058823528</v>
      </c>
      <c r="G302" s="14">
        <f>INDEX(Background!$C$4:$C$7,MATCH(C302,Background!$A$4:$A$7,0))</f>
        <v>0.21314113777902177</v>
      </c>
      <c r="H302" s="17">
        <f t="shared" si="17"/>
        <v>-0.1087576336878824</v>
      </c>
    </row>
    <row r="303" spans="1:8">
      <c r="A303" s="4" t="s">
        <v>754</v>
      </c>
      <c r="B303" s="4">
        <v>14</v>
      </c>
      <c r="C303" s="4" t="s">
        <v>73</v>
      </c>
      <c r="D303" s="4" t="s">
        <v>780</v>
      </c>
      <c r="E303" s="4" t="str">
        <f t="shared" si="16"/>
        <v>14|A</v>
      </c>
      <c r="F303" s="14">
        <f>INDEX('Emission Stepwise'!$H$2:$H$289,MATCH(E303,'Emission Stepwise'!$C$2:$C$289,0))</f>
        <v>0.97549019607843135</v>
      </c>
      <c r="G303" s="14">
        <f>INDEX(Background!$C$4:$C$7,MATCH(C303,Background!$A$4:$A$7,0))</f>
        <v>0.18550136449513679</v>
      </c>
      <c r="H303" s="17">
        <f t="shared" si="17"/>
        <v>1.6598778720730452</v>
      </c>
    </row>
    <row r="304" spans="1:8">
      <c r="A304" s="4" t="s">
        <v>754</v>
      </c>
      <c r="B304" s="4">
        <v>15</v>
      </c>
      <c r="C304" s="4" t="s">
        <v>70</v>
      </c>
      <c r="D304" s="4" t="s">
        <v>780</v>
      </c>
      <c r="E304" s="4" t="str">
        <f t="shared" si="16"/>
        <v>15|G</v>
      </c>
      <c r="F304" s="14">
        <f>INDEX('Emission Stepwise'!$H$2:$H$289,MATCH(E304,'Emission Stepwise'!$C$2:$C$289,0))</f>
        <v>0.80295566502463056</v>
      </c>
      <c r="G304" s="14">
        <f>INDEX(Background!$C$4:$C$7,MATCH(C304,Background!$A$4:$A$7,0))</f>
        <v>0.32488979077741237</v>
      </c>
      <c r="H304" s="17">
        <f t="shared" si="17"/>
        <v>0.90481348122684802</v>
      </c>
    </row>
    <row r="305" spans="1:8">
      <c r="A305" s="4" t="s">
        <v>754</v>
      </c>
      <c r="B305" s="4">
        <v>16</v>
      </c>
      <c r="C305" s="4" t="s">
        <v>73</v>
      </c>
      <c r="D305" s="4" t="s">
        <v>780</v>
      </c>
      <c r="E305" s="4" t="str">
        <f t="shared" si="16"/>
        <v>16|A</v>
      </c>
      <c r="F305" s="14">
        <f>INDEX('Emission Stepwise'!$H$2:$H$289,MATCH(E305,'Emission Stepwise'!$C$2:$C$289,0))</f>
        <v>2.9197080291970802E-2</v>
      </c>
      <c r="G305" s="14">
        <f>INDEX(Background!$C$4:$C$7,MATCH(C305,Background!$A$4:$A$7,0))</f>
        <v>0.18550136449513679</v>
      </c>
      <c r="H305" s="17">
        <f t="shared" si="17"/>
        <v>-1.8489935235154651</v>
      </c>
    </row>
    <row r="306" spans="1:8">
      <c r="A306" s="4" t="s">
        <v>754</v>
      </c>
      <c r="B306" s="4">
        <v>17</v>
      </c>
      <c r="C306" s="4" t="s">
        <v>72</v>
      </c>
      <c r="D306" s="4" t="s">
        <v>780</v>
      </c>
      <c r="E306" s="4" t="str">
        <f t="shared" si="16"/>
        <v>17|U</v>
      </c>
      <c r="F306" s="14">
        <f>INDEX('Emission Stepwise'!$H$2:$H$289,MATCH(E306,'Emission Stepwise'!$C$2:$C$289,0))</f>
        <v>0.57213930348258701</v>
      </c>
      <c r="G306" s="14">
        <f>INDEX(Background!$C$4:$C$7,MATCH(C306,Background!$A$4:$A$7,0))</f>
        <v>0.21314113777902177</v>
      </c>
      <c r="H306" s="17">
        <f t="shared" si="17"/>
        <v>0.98742793433086185</v>
      </c>
    </row>
    <row r="307" spans="1:8">
      <c r="A307" s="4" t="s">
        <v>754</v>
      </c>
      <c r="B307" s="4">
        <v>18</v>
      </c>
      <c r="C307" s="4" t="s">
        <v>70</v>
      </c>
      <c r="D307" s="4" t="s">
        <v>780</v>
      </c>
      <c r="E307" s="4" t="str">
        <f t="shared" si="16"/>
        <v>18|G</v>
      </c>
      <c r="F307" s="14">
        <f>INDEX('Emission Stepwise'!$H$2:$H$289,MATCH(E307,'Emission Stepwise'!$C$2:$C$289,0))</f>
        <v>0.98039215686274506</v>
      </c>
      <c r="G307" s="14">
        <f>INDEX(Background!$C$4:$C$7,MATCH(C307,Background!$A$4:$A$7,0))</f>
        <v>0.32488979077741237</v>
      </c>
      <c r="H307" s="17">
        <f t="shared" si="17"/>
        <v>1.1044666321656933</v>
      </c>
    </row>
    <row r="308" spans="1:8">
      <c r="A308" s="4" t="s">
        <v>754</v>
      </c>
      <c r="B308" s="4">
        <v>19</v>
      </c>
      <c r="C308" s="4" t="s">
        <v>70</v>
      </c>
      <c r="D308" s="4" t="s">
        <v>780</v>
      </c>
      <c r="E308" s="4" t="str">
        <f t="shared" si="16"/>
        <v>19|G</v>
      </c>
      <c r="F308" s="14">
        <f>INDEX('Emission Stepwise'!$H$2:$H$289,MATCH(E308,'Emission Stepwise'!$C$2:$C$289,0))</f>
        <v>0.97058823529411764</v>
      </c>
      <c r="G308" s="14">
        <f>INDEX(Background!$C$4:$C$7,MATCH(C308,Background!$A$4:$A$7,0))</f>
        <v>0.32488979077741237</v>
      </c>
      <c r="H308" s="17">
        <f t="shared" si="17"/>
        <v>1.0944162963121917</v>
      </c>
    </row>
    <row r="309" spans="1:8">
      <c r="A309" s="4" t="s">
        <v>754</v>
      </c>
      <c r="B309" s="4">
        <v>20</v>
      </c>
      <c r="C309" s="4" t="s">
        <v>71</v>
      </c>
      <c r="D309" s="4" t="s">
        <v>780</v>
      </c>
      <c r="E309" s="4" t="str">
        <f t="shared" si="16"/>
        <v>20|C</v>
      </c>
      <c r="F309" s="14">
        <f>INDEX('Emission Stepwise'!$H$2:$H$289,MATCH(E309,'Emission Stepwise'!$C$2:$C$289,0))</f>
        <v>0.22660098522167488</v>
      </c>
      <c r="G309" s="14">
        <f>INDEX(Background!$C$4:$C$7,MATCH(C309,Background!$A$4:$A$7,0))</f>
        <v>0.27646770694842909</v>
      </c>
      <c r="H309" s="17">
        <f t="shared" si="17"/>
        <v>-0.19890332548228834</v>
      </c>
    </row>
    <row r="310" spans="1:8">
      <c r="A310" s="4" t="s">
        <v>754</v>
      </c>
      <c r="B310" s="4">
        <v>21</v>
      </c>
      <c r="C310" s="4" t="s">
        <v>72</v>
      </c>
      <c r="D310" s="4" t="s">
        <v>780</v>
      </c>
      <c r="E310" s="4" t="str">
        <f t="shared" si="16"/>
        <v>21|U</v>
      </c>
      <c r="F310" s="14">
        <f>INDEX('Emission Stepwise'!$H$2:$H$289,MATCH(E310,'Emission Stepwise'!$C$2:$C$289,0))</f>
        <v>5.3921568627450983E-2</v>
      </c>
      <c r="G310" s="14">
        <f>INDEX(Background!$C$4:$C$7,MATCH(C310,Background!$A$4:$A$7,0))</f>
        <v>0.21314113777902177</v>
      </c>
      <c r="H310" s="17">
        <f t="shared" si="17"/>
        <v>-1.3744240070191582</v>
      </c>
    </row>
    <row r="311" spans="1:8">
      <c r="A311" s="4" t="s">
        <v>754</v>
      </c>
      <c r="B311" s="4">
        <v>22</v>
      </c>
      <c r="C311" s="4" t="s">
        <v>72</v>
      </c>
      <c r="D311" s="4" t="s">
        <v>780</v>
      </c>
      <c r="E311" s="4" t="str">
        <f t="shared" si="16"/>
        <v>22|U</v>
      </c>
      <c r="F311" s="14">
        <f>INDEX('Emission Stepwise'!$H$2:$H$289,MATCH(E311,'Emission Stepwise'!$C$2:$C$289,0))</f>
        <v>7.3529411764705885E-2</v>
      </c>
      <c r="G311" s="14">
        <f>INDEX(Background!$C$4:$C$7,MATCH(C311,Background!$A$4:$A$7,0))</f>
        <v>0.21314113777902177</v>
      </c>
      <c r="H311" s="17">
        <f t="shared" si="17"/>
        <v>-1.0642690787153186</v>
      </c>
    </row>
    <row r="312" spans="1:8">
      <c r="A312" s="4" t="s">
        <v>754</v>
      </c>
      <c r="B312" s="4">
        <v>23</v>
      </c>
      <c r="C312" s="4" t="s">
        <v>72</v>
      </c>
      <c r="D312" s="4" t="s">
        <v>780</v>
      </c>
      <c r="E312" s="4" t="str">
        <f t="shared" si="16"/>
        <v>23|U</v>
      </c>
      <c r="F312" s="14">
        <f>INDEX('Emission Stepwise'!$H$2:$H$289,MATCH(E312,'Emission Stepwise'!$C$2:$C$289,0))</f>
        <v>6.3725490196078427E-2</v>
      </c>
      <c r="G312" s="14">
        <f>INDEX(Background!$C$4:$C$7,MATCH(C312,Background!$A$4:$A$7,0))</f>
        <v>0.21314113777902177</v>
      </c>
      <c r="H312" s="17">
        <f t="shared" si="17"/>
        <v>-1.2073699223559922</v>
      </c>
    </row>
    <row r="313" spans="1:8">
      <c r="A313" s="4" t="s">
        <v>754</v>
      </c>
      <c r="B313" s="4">
        <v>24</v>
      </c>
      <c r="C313" s="4" t="s">
        <v>71</v>
      </c>
      <c r="D313" s="4" t="s">
        <v>780</v>
      </c>
      <c r="E313" s="4" t="str">
        <f t="shared" si="16"/>
        <v>24|C</v>
      </c>
      <c r="F313" s="14">
        <f>INDEX('Emission Stepwise'!$H$2:$H$289,MATCH(E313,'Emission Stepwise'!$C$2:$C$289,0))</f>
        <v>3.4313725490196081E-2</v>
      </c>
      <c r="G313" s="14">
        <f>INDEX(Background!$C$4:$C$7,MATCH(C313,Background!$A$4:$A$7,0))</f>
        <v>0.27646770694842909</v>
      </c>
      <c r="H313" s="17">
        <f t="shared" si="17"/>
        <v>-2.0865485877184988</v>
      </c>
    </row>
    <row r="314" spans="1:8">
      <c r="A314" s="4" t="s">
        <v>754</v>
      </c>
      <c r="B314" s="4">
        <v>25</v>
      </c>
      <c r="C314" s="4" t="s">
        <v>71</v>
      </c>
      <c r="D314" s="4" t="s">
        <v>780</v>
      </c>
      <c r="E314" s="4" t="str">
        <f t="shared" si="16"/>
        <v>25|C</v>
      </c>
      <c r="F314" s="14">
        <f>INDEX('Emission Stepwise'!$H$2:$H$289,MATCH(E314,'Emission Stepwise'!$C$2:$C$289,0))</f>
        <v>0.87745098039215685</v>
      </c>
      <c r="G314" s="14">
        <f>INDEX(Background!$C$4:$C$7,MATCH(C314,Background!$A$4:$A$7,0))</f>
        <v>0.27646770694842909</v>
      </c>
      <c r="H314" s="17">
        <f t="shared" si="17"/>
        <v>1.1549270690669426</v>
      </c>
    </row>
    <row r="315" spans="1:8">
      <c r="A315" s="4" t="s">
        <v>754</v>
      </c>
      <c r="B315" s="4">
        <v>26</v>
      </c>
      <c r="C315" s="4" t="s">
        <v>72</v>
      </c>
      <c r="D315" s="4" t="s">
        <v>781</v>
      </c>
      <c r="E315" s="4" t="str">
        <f t="shared" si="16"/>
        <v>26|U</v>
      </c>
      <c r="F315" s="14">
        <f>INDEX('Emission Stepwise'!$H$2:$H$289,MATCH(E315,'Emission Stepwise'!$C$2:$C$289,0))</f>
        <v>5.8823529411764705E-2</v>
      </c>
      <c r="G315" s="14">
        <f>INDEX(Background!$C$4:$C$7,MATCH(C315,Background!$A$4:$A$7,0))</f>
        <v>0.21314113777902177</v>
      </c>
      <c r="H315" s="17">
        <f t="shared" si="17"/>
        <v>-1.2874126300295285</v>
      </c>
    </row>
    <row r="316" spans="1:8">
      <c r="A316" s="4" t="s">
        <v>754</v>
      </c>
      <c r="B316" s="4">
        <v>27</v>
      </c>
      <c r="C316" s="4" t="s">
        <v>72</v>
      </c>
      <c r="D316" s="4" t="s">
        <v>781</v>
      </c>
      <c r="E316" s="4" t="str">
        <f t="shared" si="16"/>
        <v>27|U</v>
      </c>
      <c r="F316" s="14">
        <f>INDEX('Emission Stepwise'!$H$2:$H$289,MATCH(E316,'Emission Stepwise'!$C$2:$C$289,0))</f>
        <v>0.25980392156862747</v>
      </c>
      <c r="G316" s="14">
        <f>INDEX(Background!$C$4:$C$7,MATCH(C316,Background!$A$4:$A$7,0))</f>
        <v>0.21314113777902177</v>
      </c>
      <c r="H316" s="17">
        <f t="shared" si="17"/>
        <v>0.19797263373459306</v>
      </c>
    </row>
    <row r="317" spans="1:8">
      <c r="A317" s="4" t="s">
        <v>754</v>
      </c>
      <c r="B317" s="4">
        <v>28</v>
      </c>
      <c r="C317" s="4" t="s">
        <v>72</v>
      </c>
      <c r="D317" s="4" t="s">
        <v>781</v>
      </c>
      <c r="E317" s="4" t="str">
        <f t="shared" si="16"/>
        <v>28|U</v>
      </c>
      <c r="F317" s="14">
        <f>INDEX('Emission Stepwise'!$H$2:$H$289,MATCH(E317,'Emission Stepwise'!$C$2:$C$289,0))</f>
        <v>0.25490196078431371</v>
      </c>
      <c r="G317" s="14">
        <f>INDEX(Background!$C$4:$C$7,MATCH(C317,Background!$A$4:$A$7,0))</f>
        <v>0.21314113777902177</v>
      </c>
      <c r="H317" s="17">
        <f t="shared" si="17"/>
        <v>0.17892443876389855</v>
      </c>
    </row>
    <row r="318" spans="1:8">
      <c r="A318" s="4" t="s">
        <v>754</v>
      </c>
      <c r="B318" s="4">
        <v>29</v>
      </c>
      <c r="C318" s="4" t="s">
        <v>71</v>
      </c>
      <c r="D318" s="4" t="s">
        <v>781</v>
      </c>
      <c r="E318" s="4" t="str">
        <f t="shared" si="16"/>
        <v>29|C</v>
      </c>
      <c r="F318" s="14">
        <f>INDEX('Emission Stepwise'!$H$2:$H$289,MATCH(E318,'Emission Stepwise'!$C$2:$C$289,0))</f>
        <v>0.18137254901960784</v>
      </c>
      <c r="G318" s="14">
        <f>INDEX(Background!$C$4:$C$7,MATCH(C318,Background!$A$4:$A$7,0))</f>
        <v>0.27646770694842909</v>
      </c>
      <c r="H318" s="17">
        <f t="shared" si="17"/>
        <v>-0.42154082412958793</v>
      </c>
    </row>
    <row r="319" spans="1:8">
      <c r="A319" s="4" t="s">
        <v>754</v>
      </c>
      <c r="B319" s="4">
        <v>30</v>
      </c>
      <c r="C319" s="4" t="s">
        <v>72</v>
      </c>
      <c r="D319" s="4" t="s">
        <v>781</v>
      </c>
      <c r="E319" s="4" t="str">
        <f t="shared" si="16"/>
        <v>30|U</v>
      </c>
      <c r="F319" s="14">
        <f>INDEX('Emission Stepwise'!$H$2:$H$289,MATCH(E319,'Emission Stepwise'!$C$2:$C$289,0))</f>
        <v>3.9215686274509803E-2</v>
      </c>
      <c r="G319" s="14">
        <f>INDEX(Background!$C$4:$C$7,MATCH(C319,Background!$A$4:$A$7,0))</f>
        <v>0.21314113777902177</v>
      </c>
      <c r="H319" s="17">
        <f t="shared" si="17"/>
        <v>-1.6928777381376929</v>
      </c>
    </row>
    <row r="320" spans="1:8">
      <c r="A320" s="4" t="s">
        <v>754</v>
      </c>
      <c r="B320" s="4">
        <v>31</v>
      </c>
      <c r="C320" s="4" t="s">
        <v>72</v>
      </c>
      <c r="D320" s="4" t="s">
        <v>781</v>
      </c>
      <c r="E320" s="4" t="str">
        <f t="shared" si="16"/>
        <v>31|U</v>
      </c>
      <c r="F320" s="14">
        <f>INDEX('Emission Stepwise'!$H$2:$H$289,MATCH(E320,'Emission Stepwise'!$C$2:$C$289,0))</f>
        <v>9.8039215686274508E-2</v>
      </c>
      <c r="G320" s="14">
        <f>INDEX(Background!$C$4:$C$7,MATCH(C320,Background!$A$4:$A$7,0))</f>
        <v>0.21314113777902177</v>
      </c>
      <c r="H320" s="17">
        <f t="shared" si="17"/>
        <v>-0.77658700626353783</v>
      </c>
    </row>
    <row r="321" spans="1:8">
      <c r="A321" s="4" t="s">
        <v>754</v>
      </c>
      <c r="B321" s="4">
        <v>32</v>
      </c>
      <c r="C321" s="4" t="s">
        <v>72</v>
      </c>
      <c r="D321" s="4" t="s">
        <v>781</v>
      </c>
      <c r="E321" s="4" t="str">
        <f t="shared" si="16"/>
        <v>32|U</v>
      </c>
      <c r="F321" s="14">
        <f>INDEX('Emission Stepwise'!$H$2:$H$289,MATCH(E321,'Emission Stepwise'!$C$2:$C$289,0))</f>
        <v>0.29411764705882354</v>
      </c>
      <c r="G321" s="14">
        <f>INDEX(Background!$C$4:$C$7,MATCH(C321,Background!$A$4:$A$7,0))</f>
        <v>0.21314113777902177</v>
      </c>
      <c r="H321" s="17">
        <f t="shared" si="17"/>
        <v>0.32202528240457201</v>
      </c>
    </row>
    <row r="322" spans="1:8">
      <c r="A322" s="4" t="s">
        <v>754</v>
      </c>
      <c r="B322" s="4">
        <v>33</v>
      </c>
      <c r="C322" s="4" t="s">
        <v>72</v>
      </c>
      <c r="D322" s="4" t="s">
        <v>781</v>
      </c>
      <c r="E322" s="4" t="str">
        <f t="shared" si="16"/>
        <v>33|U</v>
      </c>
      <c r="F322" s="14">
        <f>INDEX('Emission Stepwise'!$H$2:$H$289,MATCH(E322,'Emission Stepwise'!$C$2:$C$289,0))</f>
        <v>0.97549019607843135</v>
      </c>
      <c r="G322" s="14">
        <f>INDEX(Background!$C$4:$C$7,MATCH(C322,Background!$A$4:$A$7,0))</f>
        <v>0.21314113777902177</v>
      </c>
      <c r="H322" s="17">
        <f t="shared" si="17"/>
        <v>1.5209855449069636</v>
      </c>
    </row>
    <row r="323" spans="1:8">
      <c r="A323" s="4" t="s">
        <v>754</v>
      </c>
      <c r="B323" s="4">
        <v>34</v>
      </c>
      <c r="C323" s="4" t="s">
        <v>71</v>
      </c>
      <c r="D323" s="4" t="s">
        <v>781</v>
      </c>
      <c r="E323" s="4" t="str">
        <f t="shared" si="16"/>
        <v>34|C</v>
      </c>
      <c r="F323" s="14">
        <f>INDEX('Emission Stepwise'!$H$2:$H$289,MATCH(E323,'Emission Stepwise'!$C$2:$C$289,0))</f>
        <v>0.32843137254901961</v>
      </c>
      <c r="G323" s="14">
        <f>INDEX(Background!$C$4:$C$7,MATCH(C323,Background!$A$4:$A$7,0))</f>
        <v>0.27646770694842909</v>
      </c>
      <c r="H323" s="17">
        <f t="shared" si="17"/>
        <v>0.17223388261715358</v>
      </c>
    </row>
    <row r="324" spans="1:8">
      <c r="A324" s="4" t="s">
        <v>754</v>
      </c>
      <c r="B324" s="4">
        <v>35</v>
      </c>
      <c r="C324" s="4" t="s">
        <v>72</v>
      </c>
      <c r="D324" s="4" t="s">
        <v>781</v>
      </c>
      <c r="E324" s="4" t="str">
        <f t="shared" si="16"/>
        <v>35|U</v>
      </c>
      <c r="F324" s="14">
        <f>INDEX('Emission Stepwise'!$H$2:$H$289,MATCH(E324,'Emission Stepwise'!$C$2:$C$289,0))</f>
        <v>0.20588235294117646</v>
      </c>
      <c r="G324" s="14">
        <f>INDEX(Background!$C$4:$C$7,MATCH(C324,Background!$A$4:$A$7,0))</f>
        <v>0.21314113777902177</v>
      </c>
      <c r="H324" s="17">
        <f t="shared" si="17"/>
        <v>-3.4649661534160589E-2</v>
      </c>
    </row>
    <row r="325" spans="1:8">
      <c r="A325" s="4" t="s">
        <v>754</v>
      </c>
      <c r="B325" s="4">
        <v>36</v>
      </c>
      <c r="C325" s="4" t="s">
        <v>73</v>
      </c>
      <c r="D325" s="4" t="s">
        <v>781</v>
      </c>
      <c r="E325" s="4" t="str">
        <f t="shared" si="16"/>
        <v>36|A</v>
      </c>
      <c r="F325" s="14">
        <f>INDEX('Emission Stepwise'!$H$2:$H$289,MATCH(E325,'Emission Stepwise'!$C$2:$C$289,0))</f>
        <v>0.21568627450980393</v>
      </c>
      <c r="G325" s="14">
        <f>INDEX(Background!$C$4:$C$7,MATCH(C325,Background!$A$4:$A$7,0))</f>
        <v>0.18550136449513679</v>
      </c>
      <c r="H325" s="17">
        <f t="shared" si="17"/>
        <v>0.15076268126681408</v>
      </c>
    </row>
    <row r="326" spans="1:8">
      <c r="A326" s="4" t="s">
        <v>754</v>
      </c>
      <c r="B326" s="4">
        <v>37</v>
      </c>
      <c r="C326" s="4" t="s">
        <v>71</v>
      </c>
      <c r="D326" s="4" t="s">
        <v>781</v>
      </c>
      <c r="E326" s="4" t="str">
        <f t="shared" si="16"/>
        <v>37|C</v>
      </c>
      <c r="F326" s="14">
        <f>INDEX('Emission Stepwise'!$H$2:$H$289,MATCH(E326,'Emission Stepwise'!$C$2:$C$289,0))</f>
        <v>9.8039215686274508E-3</v>
      </c>
      <c r="G326" s="14">
        <f>INDEX(Background!$C$4:$C$7,MATCH(C326,Background!$A$4:$A$7,0))</f>
        <v>0.27646770694842909</v>
      </c>
      <c r="H326" s="17">
        <f t="shared" si="17"/>
        <v>-3.3393115562138669</v>
      </c>
    </row>
    <row r="327" spans="1:8">
      <c r="A327" s="4" t="s">
        <v>754</v>
      </c>
      <c r="B327" s="4">
        <v>38</v>
      </c>
      <c r="C327" s="4" t="s">
        <v>73</v>
      </c>
      <c r="D327" s="4" t="s">
        <v>781</v>
      </c>
      <c r="E327" s="4" t="str">
        <f t="shared" si="16"/>
        <v>38|A</v>
      </c>
      <c r="F327" s="14">
        <f>INDEX('Emission Stepwise'!$H$2:$H$289,MATCH(E327,'Emission Stepwise'!$C$2:$C$289,0))</f>
        <v>0.72549019607843135</v>
      </c>
      <c r="G327" s="14">
        <f>INDEX(Background!$C$4:$C$7,MATCH(C327,Background!$A$4:$A$7,0))</f>
        <v>0.18550136449513679</v>
      </c>
      <c r="H327" s="17">
        <f t="shared" si="17"/>
        <v>1.3637853211126678</v>
      </c>
    </row>
    <row r="328" spans="1:8">
      <c r="A328" s="4" t="s">
        <v>754</v>
      </c>
      <c r="B328" s="4">
        <v>39</v>
      </c>
      <c r="C328" s="4" t="s">
        <v>70</v>
      </c>
      <c r="D328" s="4" t="s">
        <v>781</v>
      </c>
      <c r="E328" s="4" t="str">
        <f t="shared" si="16"/>
        <v>39|G</v>
      </c>
      <c r="F328" s="14">
        <f>INDEX('Emission Stepwise'!$H$2:$H$289,MATCH(E328,'Emission Stepwise'!$C$2:$C$289,0))</f>
        <v>0.35784313725490197</v>
      </c>
      <c r="G328" s="14">
        <f>INDEX(Background!$C$4:$C$7,MATCH(C328,Background!$A$4:$A$7,0))</f>
        <v>0.32488979077741237</v>
      </c>
      <c r="H328" s="17">
        <f t="shared" si="17"/>
        <v>9.6608706766047728E-2</v>
      </c>
    </row>
    <row r="329" spans="1:8">
      <c r="A329" s="4" t="s">
        <v>754</v>
      </c>
      <c r="B329" s="4">
        <v>40</v>
      </c>
      <c r="C329" s="4" t="s">
        <v>70</v>
      </c>
      <c r="D329" s="4" t="s">
        <v>781</v>
      </c>
      <c r="E329" s="4" t="str">
        <f t="shared" si="16"/>
        <v>40|G</v>
      </c>
      <c r="F329" s="14">
        <f>INDEX('Emission Stepwise'!$H$2:$H$289,MATCH(E329,'Emission Stepwise'!$C$2:$C$289,0))</f>
        <v>0.24019607843137256</v>
      </c>
      <c r="G329" s="14">
        <f>INDEX(Background!$C$4:$C$7,MATCH(C329,Background!$A$4:$A$7,0))</f>
        <v>0.32488979077741237</v>
      </c>
      <c r="H329" s="17">
        <f t="shared" si="17"/>
        <v>-0.30203043627171677</v>
      </c>
    </row>
    <row r="330" spans="1:8">
      <c r="A330" s="4" t="s">
        <v>754</v>
      </c>
      <c r="B330" s="4">
        <v>41</v>
      </c>
      <c r="C330" s="4" t="s">
        <v>73</v>
      </c>
      <c r="D330" s="4" t="s">
        <v>781</v>
      </c>
      <c r="E330" s="4" t="str">
        <f t="shared" si="16"/>
        <v>41|A</v>
      </c>
      <c r="F330" s="14">
        <f>INDEX('Emission Stepwise'!$H$2:$H$289,MATCH(E330,'Emission Stepwise'!$C$2:$C$289,0))</f>
        <v>0.26960784313725489</v>
      </c>
      <c r="G330" s="14">
        <f>INDEX(Background!$C$4:$C$7,MATCH(C330,Background!$A$4:$A$7,0))</f>
        <v>0.18550136449513679</v>
      </c>
      <c r="H330" s="17">
        <f t="shared" si="17"/>
        <v>0.37390623258102373</v>
      </c>
    </row>
    <row r="331" spans="1:8">
      <c r="A331" s="4" t="s">
        <v>754</v>
      </c>
      <c r="B331" s="4">
        <v>42</v>
      </c>
      <c r="C331" s="4" t="s">
        <v>73</v>
      </c>
      <c r="D331" s="4" t="s">
        <v>781</v>
      </c>
      <c r="E331" s="4" t="str">
        <f t="shared" si="16"/>
        <v>42|A</v>
      </c>
      <c r="F331" s="14">
        <f>INDEX('Emission Stepwise'!$H$2:$H$289,MATCH(E331,'Emission Stepwise'!$C$2:$C$289,0))</f>
        <v>0.24509803921568626</v>
      </c>
      <c r="G331" s="14">
        <f>INDEX(Background!$C$4:$C$7,MATCH(C331,Background!$A$4:$A$7,0))</f>
        <v>0.18550136449513679</v>
      </c>
      <c r="H331" s="17">
        <f t="shared" si="17"/>
        <v>0.27859605277669885</v>
      </c>
    </row>
    <row r="332" spans="1:8">
      <c r="A332" s="4" t="s">
        <v>754</v>
      </c>
      <c r="B332" s="4">
        <v>43</v>
      </c>
      <c r="C332" s="4" t="s">
        <v>70</v>
      </c>
      <c r="D332" s="4" t="s">
        <v>781</v>
      </c>
      <c r="E332" s="4" t="str">
        <f t="shared" si="16"/>
        <v>43|G</v>
      </c>
      <c r="F332" s="14">
        <f>INDEX('Emission Stepwise'!$H$2:$H$289,MATCH(E332,'Emission Stepwise'!$C$2:$C$289,0))</f>
        <v>0.49509803921568629</v>
      </c>
      <c r="G332" s="14">
        <f>INDEX(Background!$C$4:$C$7,MATCH(C332,Background!$A$4:$A$7,0))</f>
        <v>0.32488979077741237</v>
      </c>
      <c r="H332" s="17">
        <f t="shared" si="17"/>
        <v>0.42126978245891616</v>
      </c>
    </row>
    <row r="333" spans="1:8">
      <c r="A333" s="4" t="s">
        <v>754</v>
      </c>
      <c r="B333" s="4">
        <v>44</v>
      </c>
      <c r="C333" s="4" t="s">
        <v>70</v>
      </c>
      <c r="D333" s="4" t="s">
        <v>781</v>
      </c>
      <c r="E333" s="4" t="str">
        <f t="shared" si="16"/>
        <v>44|G</v>
      </c>
      <c r="F333" s="14">
        <f>INDEX('Emission Stepwise'!$H$2:$H$289,MATCH(E333,'Emission Stepwise'!$C$2:$C$289,0))</f>
        <v>0.23039215686274508</v>
      </c>
      <c r="G333" s="14">
        <f>INDEX(Background!$C$4:$C$7,MATCH(C333,Background!$A$4:$A$7,0))</f>
        <v>0.32488979077741237</v>
      </c>
      <c r="H333" s="17">
        <f t="shared" si="17"/>
        <v>-0.34370313267228481</v>
      </c>
    </row>
    <row r="334" spans="1:8">
      <c r="A334" s="4" t="s">
        <v>754</v>
      </c>
      <c r="B334" s="4">
        <v>45</v>
      </c>
      <c r="C334" s="4" t="s">
        <v>71</v>
      </c>
      <c r="D334" s="4" t="s">
        <v>782</v>
      </c>
      <c r="E334" s="4" t="str">
        <f t="shared" si="16"/>
        <v>45|C</v>
      </c>
      <c r="F334" s="14">
        <f>INDEX('Emission Stepwise'!$H$2:$H$289,MATCH(E334,'Emission Stepwise'!$C$2:$C$289,0))</f>
        <v>2.9702970297029702E-2</v>
      </c>
      <c r="G334" s="14">
        <f>INDEX(Background!$C$4:$C$7,MATCH(C334,Background!$A$4:$A$7,0))</f>
        <v>0.27646770694842909</v>
      </c>
      <c r="H334" s="17">
        <f t="shared" si="17"/>
        <v>-2.2308469711027459</v>
      </c>
    </row>
    <row r="335" spans="1:8">
      <c r="A335" s="4" t="s">
        <v>754</v>
      </c>
      <c r="B335" s="4">
        <v>46</v>
      </c>
      <c r="C335" s="4" t="s">
        <v>72</v>
      </c>
      <c r="D335" s="4" t="s">
        <v>782</v>
      </c>
      <c r="E335" s="4" t="str">
        <f t="shared" si="16"/>
        <v>46|U</v>
      </c>
      <c r="F335" s="14">
        <f>INDEX('Emission Stepwise'!$H$2:$H$289,MATCH(E335,'Emission Stepwise'!$C$2:$C$289,0))</f>
        <v>7.5144508670520235E-2</v>
      </c>
      <c r="G335" s="14">
        <f>INDEX(Background!$C$4:$C$7,MATCH(C335,Background!$A$4:$A$7,0))</f>
        <v>0.21314113777902177</v>
      </c>
      <c r="H335" s="17">
        <f t="shared" si="17"/>
        <v>-1.0425415230095545</v>
      </c>
    </row>
    <row r="336" spans="1:8">
      <c r="A336" s="4" t="s">
        <v>754</v>
      </c>
      <c r="B336" s="4">
        <v>47</v>
      </c>
      <c r="C336" s="4" t="s">
        <v>70</v>
      </c>
      <c r="D336" s="4" t="s">
        <v>782</v>
      </c>
      <c r="E336" s="4" t="str">
        <f t="shared" si="16"/>
        <v>47|G</v>
      </c>
      <c r="F336" s="14">
        <f>INDEX('Emission Stepwise'!$H$2:$H$289,MATCH(E336,'Emission Stepwise'!$C$2:$C$289,0))</f>
        <v>8.3333333333333329E-2</v>
      </c>
      <c r="G336" s="14">
        <f>INDEX(Background!$C$4:$C$7,MATCH(C336,Background!$A$4:$A$7,0))</f>
        <v>0.32488979077741237</v>
      </c>
      <c r="H336" s="17">
        <f t="shared" si="17"/>
        <v>-1.3606373903261273</v>
      </c>
    </row>
    <row r="337" spans="1:8">
      <c r="A337" s="4" t="s">
        <v>754</v>
      </c>
      <c r="B337" s="4">
        <v>48</v>
      </c>
      <c r="C337" s="4" t="s">
        <v>72</v>
      </c>
      <c r="D337" s="4" t="s">
        <v>782</v>
      </c>
      <c r="E337" s="4" t="str">
        <f t="shared" si="16"/>
        <v>48|U</v>
      </c>
      <c r="F337" s="14">
        <f>INDEX('Emission Stepwise'!$H$2:$H$289,MATCH(E337,'Emission Stepwise'!$C$2:$C$289,0))</f>
        <v>0.14705882352941177</v>
      </c>
      <c r="G337" s="14">
        <f>INDEX(Background!$C$4:$C$7,MATCH(C337,Background!$A$4:$A$7,0))</f>
        <v>0.21314113777902177</v>
      </c>
      <c r="H337" s="17">
        <f t="shared" si="17"/>
        <v>-0.37112189815537333</v>
      </c>
    </row>
    <row r="338" spans="1:8">
      <c r="A338" s="4" t="s">
        <v>754</v>
      </c>
      <c r="B338" s="4">
        <v>49</v>
      </c>
      <c r="C338" s="4" t="s">
        <v>71</v>
      </c>
      <c r="D338" s="4" t="s">
        <v>783</v>
      </c>
      <c r="E338" s="4" t="str">
        <f t="shared" si="16"/>
        <v>49|C</v>
      </c>
      <c r="F338" s="14">
        <f>INDEX('Emission Stepwise'!$H$2:$H$289,MATCH(E338,'Emission Stepwise'!$C$2:$C$289,0))</f>
        <v>0.28431372549019607</v>
      </c>
      <c r="G338" s="14">
        <f>INDEX(Background!$C$4:$C$7,MATCH(C338,Background!$A$4:$A$7,0))</f>
        <v>0.27646770694842909</v>
      </c>
      <c r="H338" s="17">
        <f t="shared" si="17"/>
        <v>2.7984273772606979E-2</v>
      </c>
    </row>
    <row r="339" spans="1:8">
      <c r="A339" s="4" t="s">
        <v>754</v>
      </c>
      <c r="B339" s="4">
        <v>50</v>
      </c>
      <c r="C339" s="4" t="s">
        <v>73</v>
      </c>
      <c r="D339" s="4" t="s">
        <v>783</v>
      </c>
      <c r="E339" s="4" t="str">
        <f t="shared" si="16"/>
        <v>50|A</v>
      </c>
      <c r="F339" s="14">
        <f>INDEX('Emission Stepwise'!$H$2:$H$289,MATCH(E339,'Emission Stepwise'!$C$2:$C$289,0))</f>
        <v>0.11764705882352941</v>
      </c>
      <c r="G339" s="14">
        <f>INDEX(Background!$C$4:$C$7,MATCH(C339,Background!$A$4:$A$7,0))</f>
        <v>0.18550136449513679</v>
      </c>
      <c r="H339" s="17">
        <f t="shared" si="17"/>
        <v>-0.45537312230350152</v>
      </c>
    </row>
    <row r="340" spans="1:8">
      <c r="A340" s="4" t="s">
        <v>754</v>
      </c>
      <c r="B340" s="4">
        <v>51</v>
      </c>
      <c r="C340" s="4" t="s">
        <v>70</v>
      </c>
      <c r="D340" s="4" t="s">
        <v>783</v>
      </c>
      <c r="E340" s="4" t="str">
        <f t="shared" si="16"/>
        <v>51|G</v>
      </c>
      <c r="F340" s="14">
        <f>INDEX('Emission Stepwise'!$H$2:$H$289,MATCH(E340,'Emission Stepwise'!$C$2:$C$289,0))</f>
        <v>0.49261083743842365</v>
      </c>
      <c r="G340" s="14">
        <f>INDEX(Background!$C$4:$C$7,MATCH(C340,Background!$A$4:$A$7,0))</f>
        <v>0.32488979077741237</v>
      </c>
      <c r="H340" s="17">
        <f t="shared" si="17"/>
        <v>0.41623346640817716</v>
      </c>
    </row>
    <row r="341" spans="1:8">
      <c r="A341" s="4" t="s">
        <v>754</v>
      </c>
      <c r="B341" s="4">
        <v>52</v>
      </c>
      <c r="C341" s="4" t="s">
        <v>70</v>
      </c>
      <c r="D341" s="4" t="s">
        <v>783</v>
      </c>
      <c r="E341" s="4" t="str">
        <f t="shared" si="16"/>
        <v>52|G</v>
      </c>
      <c r="F341" s="14">
        <f>INDEX('Emission Stepwise'!$H$2:$H$289,MATCH(E341,'Emission Stepwise'!$C$2:$C$289,0))</f>
        <v>0.82843137254901966</v>
      </c>
      <c r="G341" s="14">
        <f>INDEX(Background!$C$4:$C$7,MATCH(C341,Background!$A$4:$A$7,0))</f>
        <v>0.32488979077741237</v>
      </c>
      <c r="H341" s="17">
        <f t="shared" si="17"/>
        <v>0.93604798054073013</v>
      </c>
    </row>
    <row r="342" spans="1:8">
      <c r="A342" s="4" t="s">
        <v>754</v>
      </c>
      <c r="B342" s="4">
        <v>53</v>
      </c>
      <c r="C342" s="4" t="s">
        <v>70</v>
      </c>
      <c r="D342" s="4" t="s">
        <v>783</v>
      </c>
      <c r="E342" s="4" t="str">
        <f t="shared" si="16"/>
        <v>53|G</v>
      </c>
      <c r="F342" s="14">
        <f>INDEX('Emission Stepwise'!$H$2:$H$289,MATCH(E342,'Emission Stepwise'!$C$2:$C$289,0))</f>
        <v>0.96568627450980393</v>
      </c>
      <c r="G342" s="14">
        <f>INDEX(Background!$C$4:$C$7,MATCH(C342,Background!$A$4:$A$7,0))</f>
        <v>0.32488979077741237</v>
      </c>
      <c r="H342" s="17">
        <f t="shared" si="17"/>
        <v>1.089352994355645</v>
      </c>
    </row>
    <row r="343" spans="1:8">
      <c r="A343" s="4" t="s">
        <v>754</v>
      </c>
      <c r="B343" s="4">
        <v>54</v>
      </c>
      <c r="C343" s="4" t="s">
        <v>73</v>
      </c>
      <c r="D343" s="4" t="s">
        <v>783</v>
      </c>
      <c r="E343" s="4" t="str">
        <f t="shared" si="16"/>
        <v>54|A</v>
      </c>
      <c r="F343" s="14">
        <f>INDEX('Emission Stepwise'!$H$2:$H$289,MATCH(E343,'Emission Stepwise'!$C$2:$C$289,0))</f>
        <v>1.4705882352941176E-2</v>
      </c>
      <c r="G343" s="14">
        <f>INDEX(Background!$C$4:$C$7,MATCH(C343,Background!$A$4:$A$7,0))</f>
        <v>0.18550136449513679</v>
      </c>
      <c r="H343" s="17">
        <f t="shared" si="17"/>
        <v>-2.5348146639833375</v>
      </c>
    </row>
    <row r="344" spans="1:8">
      <c r="A344" s="4" t="s">
        <v>754</v>
      </c>
      <c r="B344" s="4">
        <v>55</v>
      </c>
      <c r="C344" s="4" t="s">
        <v>71</v>
      </c>
      <c r="D344" s="4" t="s">
        <v>783</v>
      </c>
      <c r="E344" s="4" t="str">
        <f t="shared" si="16"/>
        <v>55|C</v>
      </c>
      <c r="F344" s="14">
        <f>INDEX('Emission Stepwise'!$H$2:$H$289,MATCH(E344,'Emission Stepwise'!$C$2:$C$289,0))</f>
        <v>9.8039215686274508E-3</v>
      </c>
      <c r="G344" s="14">
        <f>INDEX(Background!$C$4:$C$7,MATCH(C344,Background!$A$4:$A$7,0))</f>
        <v>0.27646770694842909</v>
      </c>
      <c r="H344" s="17">
        <f t="shared" si="17"/>
        <v>-3.3393115562138669</v>
      </c>
    </row>
    <row r="345" spans="1:8">
      <c r="A345" s="4" t="s">
        <v>754</v>
      </c>
      <c r="B345" s="4">
        <v>56</v>
      </c>
      <c r="C345" s="4" t="s">
        <v>71</v>
      </c>
      <c r="D345" s="4" t="s">
        <v>783</v>
      </c>
      <c r="E345" s="4" t="str">
        <f t="shared" si="16"/>
        <v>56|C</v>
      </c>
      <c r="F345" s="14">
        <f>INDEX('Emission Stepwise'!$H$2:$H$289,MATCH(E345,'Emission Stepwise'!$C$2:$C$289,0))</f>
        <v>0.96568627450980393</v>
      </c>
      <c r="G345" s="14">
        <f>INDEX(Background!$C$4:$C$7,MATCH(C345,Background!$A$4:$A$7,0))</f>
        <v>0.27646770694842909</v>
      </c>
      <c r="H345" s="17">
        <f t="shared" si="17"/>
        <v>1.250744991964176</v>
      </c>
    </row>
    <row r="346" spans="1:8">
      <c r="A346" s="4" t="s">
        <v>754</v>
      </c>
      <c r="B346" s="4">
        <v>57</v>
      </c>
      <c r="C346" s="4" t="s">
        <v>72</v>
      </c>
      <c r="D346" s="4" t="s">
        <v>783</v>
      </c>
      <c r="E346" s="4" t="str">
        <f t="shared" si="16"/>
        <v>57|U</v>
      </c>
      <c r="F346" s="14">
        <f>INDEX('Emission Stepwise'!$H$2:$H$289,MATCH(E346,'Emission Stepwise'!$C$2:$C$289,0))</f>
        <v>9.852216748768473E-3</v>
      </c>
      <c r="G346" s="14">
        <f>INDEX(Background!$C$4:$C$7,MATCH(C346,Background!$A$4:$A$7,0))</f>
        <v>0.21314113777902177</v>
      </c>
      <c r="H346" s="17">
        <f t="shared" si="17"/>
        <v>-3.0742580844551544</v>
      </c>
    </row>
    <row r="347" spans="1:8">
      <c r="A347" s="4" t="s">
        <v>754</v>
      </c>
      <c r="B347" s="4">
        <v>58</v>
      </c>
      <c r="C347" s="4" t="s">
        <v>71</v>
      </c>
      <c r="D347" s="4" t="s">
        <v>783</v>
      </c>
      <c r="E347" s="4" t="str">
        <f t="shared" si="16"/>
        <v>58|C</v>
      </c>
      <c r="F347" s="14">
        <f>INDEX('Emission Stepwise'!$H$2:$H$289,MATCH(E347,'Emission Stepwise'!$C$2:$C$289,0))</f>
        <v>9.8039215686274508E-3</v>
      </c>
      <c r="G347" s="14">
        <f>INDEX(Background!$C$4:$C$7,MATCH(C347,Background!$A$4:$A$7,0))</f>
        <v>0.27646770694842909</v>
      </c>
      <c r="H347" s="17">
        <f t="shared" si="17"/>
        <v>-3.3393115562138669</v>
      </c>
    </row>
    <row r="348" spans="1:8">
      <c r="A348" s="4" t="s">
        <v>754</v>
      </c>
      <c r="B348" s="4">
        <v>59</v>
      </c>
      <c r="C348" s="4" t="s">
        <v>72</v>
      </c>
      <c r="D348" s="4" t="s">
        <v>783</v>
      </c>
      <c r="E348" s="4" t="str">
        <f t="shared" si="16"/>
        <v>59|U</v>
      </c>
      <c r="F348" s="14">
        <f>INDEX('Emission Stepwise'!$H$2:$H$289,MATCH(E348,'Emission Stepwise'!$C$2:$C$289,0))</f>
        <v>0.25</v>
      </c>
      <c r="G348" s="14">
        <f>INDEX(Background!$C$4:$C$7,MATCH(C348,Background!$A$4:$A$7,0))</f>
        <v>0.21314113777902177</v>
      </c>
      <c r="H348" s="17">
        <f t="shared" si="17"/>
        <v>0.15950635290679691</v>
      </c>
    </row>
    <row r="349" spans="1:8">
      <c r="A349" s="4" t="s">
        <v>754</v>
      </c>
      <c r="B349" s="4">
        <v>60</v>
      </c>
      <c r="C349" s="4" t="s">
        <v>70</v>
      </c>
      <c r="D349" s="4" t="s">
        <v>783</v>
      </c>
      <c r="E349" s="4" t="str">
        <f t="shared" si="16"/>
        <v>60|G</v>
      </c>
      <c r="F349" s="14">
        <f>INDEX('Emission Stepwise'!$H$2:$H$289,MATCH(E349,'Emission Stepwise'!$C$2:$C$289,0))</f>
        <v>1.4705882352941176E-2</v>
      </c>
      <c r="G349" s="14">
        <f>INDEX(Background!$C$4:$C$7,MATCH(C349,Background!$A$4:$A$7,0))</f>
        <v>0.32488979077741237</v>
      </c>
      <c r="H349" s="17">
        <f t="shared" si="17"/>
        <v>-3.0952384457142337</v>
      </c>
    </row>
    <row r="350" spans="1:8">
      <c r="A350" s="4" t="s">
        <v>754</v>
      </c>
      <c r="B350" s="4">
        <v>61</v>
      </c>
      <c r="C350" s="4" t="s">
        <v>71</v>
      </c>
      <c r="D350" s="4" t="s">
        <v>783</v>
      </c>
      <c r="E350" s="4" t="str">
        <f t="shared" si="16"/>
        <v>61|C</v>
      </c>
      <c r="F350" s="14">
        <f>INDEX('Emission Stepwise'!$H$2:$H$289,MATCH(E350,'Emission Stepwise'!$C$2:$C$289,0))</f>
        <v>0.97549019607843135</v>
      </c>
      <c r="G350" s="14">
        <f>INDEX(Background!$C$4:$C$7,MATCH(C350,Background!$A$4:$A$7,0))</f>
        <v>0.27646770694842909</v>
      </c>
      <c r="H350" s="17">
        <f t="shared" si="17"/>
        <v>1.26084608795068</v>
      </c>
    </row>
    <row r="351" spans="1:8">
      <c r="A351" s="4" t="s">
        <v>754</v>
      </c>
      <c r="B351" s="4">
        <v>62</v>
      </c>
      <c r="C351" s="4" t="s">
        <v>71</v>
      </c>
      <c r="D351" s="4" t="s">
        <v>783</v>
      </c>
      <c r="E351" s="4" t="str">
        <f t="shared" si="16"/>
        <v>62|C</v>
      </c>
      <c r="F351" s="14">
        <f>INDEX('Emission Stepwise'!$H$2:$H$289,MATCH(E351,'Emission Stepwise'!$C$2:$C$289,0))</f>
        <v>0.83333333333333337</v>
      </c>
      <c r="G351" s="14">
        <f>INDEX(Background!$C$4:$C$7,MATCH(C351,Background!$A$4:$A$7,0))</f>
        <v>0.27646770694842909</v>
      </c>
      <c r="H351" s="17">
        <f t="shared" si="17"/>
        <v>1.1033397002764493</v>
      </c>
    </row>
    <row r="352" spans="1:8">
      <c r="A352" s="4" t="s">
        <v>754</v>
      </c>
      <c r="B352" s="4">
        <v>63</v>
      </c>
      <c r="C352" s="4" t="s">
        <v>72</v>
      </c>
      <c r="D352" s="4" t="s">
        <v>783</v>
      </c>
      <c r="E352" s="4" t="str">
        <f t="shared" si="16"/>
        <v>63|U</v>
      </c>
      <c r="F352" s="14">
        <f>INDEX('Emission Stepwise'!$H$2:$H$289,MATCH(E352,'Emission Stepwise'!$C$2:$C$289,0))</f>
        <v>0.16176470588235295</v>
      </c>
      <c r="G352" s="14">
        <f>INDEX(Background!$C$4:$C$7,MATCH(C352,Background!$A$4:$A$7,0))</f>
        <v>0.21314113777902177</v>
      </c>
      <c r="H352" s="17">
        <f t="shared" si="17"/>
        <v>-0.27581171835104856</v>
      </c>
    </row>
    <row r="353" spans="1:8">
      <c r="A353" s="4" t="s">
        <v>754</v>
      </c>
      <c r="B353" s="4">
        <v>64</v>
      </c>
      <c r="C353" s="4" t="s">
        <v>72</v>
      </c>
      <c r="D353" s="4" t="s">
        <v>783</v>
      </c>
      <c r="E353" s="4" t="str">
        <f t="shared" si="16"/>
        <v>64|U</v>
      </c>
      <c r="F353" s="14">
        <f>INDEX('Emission Stepwise'!$H$2:$H$289,MATCH(E353,'Emission Stepwise'!$C$2:$C$289,0))</f>
        <v>0.16666666666666666</v>
      </c>
      <c r="G353" s="14">
        <f>INDEX(Background!$C$4:$C$7,MATCH(C353,Background!$A$4:$A$7,0))</f>
        <v>0.21314113777902177</v>
      </c>
      <c r="H353" s="17">
        <f t="shared" si="17"/>
        <v>-0.24595875520136748</v>
      </c>
    </row>
    <row r="354" spans="1:8">
      <c r="A354" s="4" t="s">
        <v>754</v>
      </c>
      <c r="B354" s="4">
        <v>65</v>
      </c>
      <c r="C354" s="4" t="s">
        <v>70</v>
      </c>
      <c r="D354" s="4" t="s">
        <v>783</v>
      </c>
      <c r="E354" s="4" t="str">
        <f t="shared" ref="E354:E376" si="18">B354&amp;"|"&amp;C354</f>
        <v>65|G</v>
      </c>
      <c r="F354" s="14">
        <f>INDEX('Emission Stepwise'!$H$2:$H$289,MATCH(E354,'Emission Stepwise'!$C$2:$C$289,0))</f>
        <v>0.2857142857142857</v>
      </c>
      <c r="G354" s="14">
        <f>INDEX(Background!$C$4:$C$7,MATCH(C354,Background!$A$4:$A$7,0))</f>
        <v>0.32488979077741237</v>
      </c>
      <c r="H354" s="17">
        <f t="shared" ref="H354:H417" si="19">LN(F354/G354)</f>
        <v>-0.12849370903349497</v>
      </c>
    </row>
    <row r="355" spans="1:8">
      <c r="A355" s="4" t="s">
        <v>754</v>
      </c>
      <c r="B355" s="4">
        <v>66</v>
      </c>
      <c r="C355" s="4" t="s">
        <v>73</v>
      </c>
      <c r="D355" s="4" t="s">
        <v>784</v>
      </c>
      <c r="E355" s="4" t="str">
        <f t="shared" si="18"/>
        <v>66|A</v>
      </c>
      <c r="F355" s="14">
        <f>INDEX('Emission Stepwise'!$H$2:$H$289,MATCH(E355,'Emission Stepwise'!$C$2:$C$289,0))</f>
        <v>0.21568627450980393</v>
      </c>
      <c r="G355" s="14">
        <f>INDEX(Background!$C$4:$C$7,MATCH(C355,Background!$A$4:$A$7,0))</f>
        <v>0.18550136449513679</v>
      </c>
      <c r="H355" s="17">
        <f t="shared" si="19"/>
        <v>0.15076268126681408</v>
      </c>
    </row>
    <row r="356" spans="1:8">
      <c r="A356" s="4" t="s">
        <v>754</v>
      </c>
      <c r="B356" s="4">
        <v>67</v>
      </c>
      <c r="C356" s="4" t="s">
        <v>72</v>
      </c>
      <c r="D356" s="4" t="s">
        <v>784</v>
      </c>
      <c r="E356" s="4" t="str">
        <f t="shared" si="18"/>
        <v>67|U</v>
      </c>
      <c r="F356" s="14">
        <f>INDEX('Emission Stepwise'!$H$2:$H$289,MATCH(E356,'Emission Stepwise'!$C$2:$C$289,0))</f>
        <v>0.19117647058823528</v>
      </c>
      <c r="G356" s="14">
        <f>INDEX(Background!$C$4:$C$7,MATCH(C356,Background!$A$4:$A$7,0))</f>
        <v>0.21314113777902177</v>
      </c>
      <c r="H356" s="17">
        <f t="shared" si="19"/>
        <v>-0.1087576336878824</v>
      </c>
    </row>
    <row r="357" spans="1:8">
      <c r="A357" s="4" t="s">
        <v>754</v>
      </c>
      <c r="B357" s="4">
        <v>68</v>
      </c>
      <c r="C357" s="4" t="s">
        <v>70</v>
      </c>
      <c r="D357" s="4" t="s">
        <v>784</v>
      </c>
      <c r="E357" s="4" t="str">
        <f t="shared" si="18"/>
        <v>68|G</v>
      </c>
      <c r="F357" s="14">
        <f>INDEX('Emission Stepwise'!$H$2:$H$289,MATCH(E357,'Emission Stepwise'!$C$2:$C$289,0))</f>
        <v>0.43137254901960786</v>
      </c>
      <c r="G357" s="14">
        <f>INDEX(Background!$C$4:$C$7,MATCH(C357,Background!$A$4:$A$7,0))</f>
        <v>0.32488979077741237</v>
      </c>
      <c r="H357" s="17">
        <f t="shared" si="19"/>
        <v>0.28348608009586312</v>
      </c>
    </row>
    <row r="358" spans="1:8">
      <c r="A358" s="4" t="s">
        <v>754</v>
      </c>
      <c r="B358" s="4">
        <v>69</v>
      </c>
      <c r="C358" s="4" t="s">
        <v>72</v>
      </c>
      <c r="D358" s="4" t="s">
        <v>784</v>
      </c>
      <c r="E358" s="4" t="str">
        <f t="shared" si="18"/>
        <v>69|U</v>
      </c>
      <c r="F358" s="14">
        <f>INDEX('Emission Stepwise'!$H$2:$H$289,MATCH(E358,'Emission Stepwise'!$C$2:$C$289,0))</f>
        <v>8.8235294117647065E-2</v>
      </c>
      <c r="G358" s="14">
        <f>INDEX(Background!$C$4:$C$7,MATCH(C358,Background!$A$4:$A$7,0))</f>
        <v>0.21314113777902177</v>
      </c>
      <c r="H358" s="17">
        <f t="shared" si="19"/>
        <v>-0.88194752192136405</v>
      </c>
    </row>
    <row r="359" spans="1:8">
      <c r="A359" s="4" t="s">
        <v>754</v>
      </c>
      <c r="B359" s="4">
        <v>70</v>
      </c>
      <c r="C359" s="4" t="s">
        <v>72</v>
      </c>
      <c r="D359" s="4" t="s">
        <v>784</v>
      </c>
      <c r="E359" s="4" t="str">
        <f t="shared" si="18"/>
        <v>70|U</v>
      </c>
      <c r="F359" s="14">
        <f>INDEX('Emission Stepwise'!$H$2:$H$289,MATCH(E359,'Emission Stepwise'!$C$2:$C$289,0))</f>
        <v>0.15196078431372548</v>
      </c>
      <c r="G359" s="14">
        <f>INDEX(Background!$C$4:$C$7,MATCH(C359,Background!$A$4:$A$7,0))</f>
        <v>0.21314113777902177</v>
      </c>
      <c r="H359" s="17">
        <f t="shared" si="19"/>
        <v>-0.33833207533238269</v>
      </c>
    </row>
    <row r="360" spans="1:8">
      <c r="A360" s="4" t="s">
        <v>754</v>
      </c>
      <c r="B360" s="4">
        <v>71</v>
      </c>
      <c r="C360" s="4" t="s">
        <v>70</v>
      </c>
      <c r="D360" s="4" t="s">
        <v>784</v>
      </c>
      <c r="E360" s="4" t="str">
        <f t="shared" si="18"/>
        <v>71|G</v>
      </c>
      <c r="F360" s="14">
        <f>INDEX('Emission Stepwise'!$H$2:$H$289,MATCH(E360,'Emission Stepwise'!$C$2:$C$289,0))</f>
        <v>0.40686274509803921</v>
      </c>
      <c r="G360" s="14">
        <f>INDEX(Background!$C$4:$C$7,MATCH(C360,Background!$A$4:$A$7,0))</f>
        <v>0.32488979077741237</v>
      </c>
      <c r="H360" s="17">
        <f t="shared" si="19"/>
        <v>0.22498987341425464</v>
      </c>
    </row>
    <row r="361" spans="1:8">
      <c r="A361" s="4" t="s">
        <v>754</v>
      </c>
      <c r="B361" s="4">
        <v>72</v>
      </c>
      <c r="C361" s="4" t="s">
        <v>70</v>
      </c>
      <c r="D361" s="4" t="s">
        <v>784</v>
      </c>
      <c r="E361" s="4" t="str">
        <f t="shared" si="18"/>
        <v>72|G</v>
      </c>
      <c r="F361" s="14">
        <f>INDEX('Emission Stepwise'!$H$2:$H$289,MATCH(E361,'Emission Stepwise'!$C$2:$C$289,0))</f>
        <v>9.3137254901960786E-2</v>
      </c>
      <c r="G361" s="14">
        <f>INDEX(Background!$C$4:$C$7,MATCH(C361,Background!$A$4:$A$7,0))</f>
        <v>0.32488979077741237</v>
      </c>
      <c r="H361" s="17">
        <f t="shared" si="19"/>
        <v>-1.249411755215903</v>
      </c>
    </row>
    <row r="362" spans="1:8">
      <c r="A362" s="4" t="s">
        <v>755</v>
      </c>
      <c r="B362" s="4">
        <v>1</v>
      </c>
      <c r="C362" s="4" t="s">
        <v>71</v>
      </c>
      <c r="D362" s="4" t="s">
        <v>778</v>
      </c>
      <c r="E362" s="4" t="str">
        <f t="shared" si="18"/>
        <v>1|C</v>
      </c>
      <c r="F362" s="14">
        <f>INDEX('Emission Stepwise'!$H$2:$H$289,MATCH(E362,'Emission Stepwise'!$C$2:$C$289,0))</f>
        <v>0.11274509803921569</v>
      </c>
      <c r="G362" s="14">
        <f>INDEX(Background!$C$4:$C$7,MATCH(C362,Background!$A$4:$A$7,0))</f>
        <v>0.27646770694842909</v>
      </c>
      <c r="H362" s="17">
        <f t="shared" si="19"/>
        <v>-0.89696452084466272</v>
      </c>
    </row>
    <row r="363" spans="1:8">
      <c r="A363" s="4" t="s">
        <v>755</v>
      </c>
      <c r="B363" s="4">
        <v>2</v>
      </c>
      <c r="C363" s="4" t="s">
        <v>72</v>
      </c>
      <c r="D363" s="4" t="s">
        <v>778</v>
      </c>
      <c r="E363" s="4" t="str">
        <f t="shared" si="18"/>
        <v>2|U</v>
      </c>
      <c r="F363" s="14">
        <f>INDEX('Emission Stepwise'!$H$2:$H$289,MATCH(E363,'Emission Stepwise'!$C$2:$C$289,0))</f>
        <v>3.4313725490196081E-2</v>
      </c>
      <c r="G363" s="14">
        <f>INDEX(Background!$C$4:$C$7,MATCH(C363,Background!$A$4:$A$7,0))</f>
        <v>0.21314113777902177</v>
      </c>
      <c r="H363" s="17">
        <f t="shared" si="19"/>
        <v>-1.8264091307622154</v>
      </c>
    </row>
    <row r="364" spans="1:8">
      <c r="A364" s="4" t="s">
        <v>755</v>
      </c>
      <c r="B364" s="4">
        <v>3</v>
      </c>
      <c r="C364" s="4" t="s">
        <v>70</v>
      </c>
      <c r="D364" s="4" t="s">
        <v>778</v>
      </c>
      <c r="E364" s="4" t="str">
        <f t="shared" si="18"/>
        <v>3|G</v>
      </c>
      <c r="F364" s="14">
        <f>INDEX('Emission Stepwise'!$H$2:$H$289,MATCH(E364,'Emission Stepwise'!$C$2:$C$289,0))</f>
        <v>0.4264705882352941</v>
      </c>
      <c r="G364" s="14">
        <f>INDEX(Background!$C$4:$C$7,MATCH(C364,Background!$A$4:$A$7,0))</f>
        <v>0.32488979077741237</v>
      </c>
      <c r="H364" s="17">
        <f t="shared" si="19"/>
        <v>0.27205738427224041</v>
      </c>
    </row>
    <row r="365" spans="1:8">
      <c r="A365" s="4" t="s">
        <v>755</v>
      </c>
      <c r="B365" s="4">
        <v>4</v>
      </c>
      <c r="C365" s="4" t="s">
        <v>73</v>
      </c>
      <c r="D365" s="4" t="s">
        <v>778</v>
      </c>
      <c r="E365" s="4" t="str">
        <f t="shared" si="18"/>
        <v>4|A</v>
      </c>
      <c r="F365" s="14">
        <f>INDEX('Emission Stepwise'!$H$2:$H$289,MATCH(E365,'Emission Stepwise'!$C$2:$C$289,0))</f>
        <v>8.3333333333333329E-2</v>
      </c>
      <c r="G365" s="14">
        <f>INDEX(Background!$C$4:$C$7,MATCH(C365,Background!$A$4:$A$7,0))</f>
        <v>0.18550136449513679</v>
      </c>
      <c r="H365" s="17">
        <f t="shared" si="19"/>
        <v>-0.80021360859523116</v>
      </c>
    </row>
    <row r="366" spans="1:8">
      <c r="A366" s="4" t="s">
        <v>755</v>
      </c>
      <c r="B366" s="4">
        <v>5</v>
      </c>
      <c r="C366" s="4" t="s">
        <v>70</v>
      </c>
      <c r="D366" s="4" t="s">
        <v>778</v>
      </c>
      <c r="E366" s="4" t="str">
        <f t="shared" si="18"/>
        <v>5|G</v>
      </c>
      <c r="F366" s="14">
        <f>INDEX('Emission Stepwise'!$H$2:$H$289,MATCH(E366,'Emission Stepwise'!$C$2:$C$289,0))</f>
        <v>0.34313725490196079</v>
      </c>
      <c r="G366" s="14">
        <f>INDEX(Background!$C$4:$C$7,MATCH(C366,Background!$A$4:$A$7,0))</f>
        <v>0.32488979077741237</v>
      </c>
      <c r="H366" s="17">
        <f t="shared" si="19"/>
        <v>5.4644507667015618E-2</v>
      </c>
    </row>
    <row r="367" spans="1:8">
      <c r="A367" s="4" t="s">
        <v>755</v>
      </c>
      <c r="B367" s="4">
        <v>6</v>
      </c>
      <c r="C367" s="4" t="s">
        <v>70</v>
      </c>
      <c r="D367" s="4" t="s">
        <v>778</v>
      </c>
      <c r="E367" s="4" t="str">
        <f t="shared" si="18"/>
        <v>6|G</v>
      </c>
      <c r="F367" s="14">
        <f>INDEX('Emission Stepwise'!$H$2:$H$289,MATCH(E367,'Emission Stepwise'!$C$2:$C$289,0))</f>
        <v>0.24019607843137256</v>
      </c>
      <c r="G367" s="14">
        <f>INDEX(Background!$C$4:$C$7,MATCH(C367,Background!$A$4:$A$7,0))</f>
        <v>0.32488979077741237</v>
      </c>
      <c r="H367" s="17">
        <f t="shared" si="19"/>
        <v>-0.30203043627171677</v>
      </c>
    </row>
    <row r="368" spans="1:8">
      <c r="A368" s="4" t="s">
        <v>755</v>
      </c>
      <c r="B368" s="4">
        <v>7</v>
      </c>
      <c r="C368" s="4" t="s">
        <v>70</v>
      </c>
      <c r="D368" s="4" t="s">
        <v>778</v>
      </c>
      <c r="E368" s="4" t="str">
        <f t="shared" si="18"/>
        <v>7|G</v>
      </c>
      <c r="F368" s="14">
        <f>INDEX('Emission Stepwise'!$H$2:$H$289,MATCH(E368,'Emission Stepwise'!$C$2:$C$289,0))</f>
        <v>0.51960784313725494</v>
      </c>
      <c r="G368" s="14">
        <f>INDEX(Background!$C$4:$C$7,MATCH(C368,Background!$A$4:$A$7,0))</f>
        <v>0.32488979077741237</v>
      </c>
      <c r="H368" s="17">
        <f t="shared" si="19"/>
        <v>0.46958835972972385</v>
      </c>
    </row>
    <row r="369" spans="1:8">
      <c r="A369" s="4" t="s">
        <v>755</v>
      </c>
      <c r="B369" s="4">
        <v>8</v>
      </c>
      <c r="C369" s="4" t="s">
        <v>72</v>
      </c>
      <c r="D369" s="4" t="s">
        <v>779</v>
      </c>
      <c r="E369" s="4" t="str">
        <f t="shared" si="18"/>
        <v>8|U</v>
      </c>
      <c r="F369" s="14">
        <f>INDEX('Emission Stepwise'!$H$2:$H$289,MATCH(E369,'Emission Stepwise'!$C$2:$C$289,0))</f>
        <v>0.97549019607843135</v>
      </c>
      <c r="G369" s="14">
        <f>INDEX(Background!$C$4:$C$7,MATCH(C369,Background!$A$4:$A$7,0))</f>
        <v>0.21314113777902177</v>
      </c>
      <c r="H369" s="17">
        <f t="shared" si="19"/>
        <v>1.5209855449069636</v>
      </c>
    </row>
    <row r="370" spans="1:8">
      <c r="A370" s="4" t="s">
        <v>755</v>
      </c>
      <c r="B370" s="4">
        <v>9</v>
      </c>
      <c r="C370" s="4" t="s">
        <v>72</v>
      </c>
      <c r="D370" s="4" t="s">
        <v>780</v>
      </c>
      <c r="E370" s="4" t="str">
        <f t="shared" si="18"/>
        <v>9|U</v>
      </c>
      <c r="F370" s="14">
        <f>INDEX('Emission Stepwise'!$H$2:$H$289,MATCH(E370,'Emission Stepwise'!$C$2:$C$289,0))</f>
        <v>4.9261083743842365E-3</v>
      </c>
      <c r="G370" s="14">
        <f>INDEX(Background!$C$4:$C$7,MATCH(C370,Background!$A$4:$A$7,0))</f>
        <v>0.21314113777902177</v>
      </c>
      <c r="H370" s="17">
        <f t="shared" si="19"/>
        <v>-3.7674052650150998</v>
      </c>
    </row>
    <row r="371" spans="1:8">
      <c r="A371" s="4" t="s">
        <v>755</v>
      </c>
      <c r="B371" s="4">
        <v>10</v>
      </c>
      <c r="C371" s="4" t="s">
        <v>70</v>
      </c>
      <c r="D371" s="4" t="s">
        <v>780</v>
      </c>
      <c r="E371" s="4" t="str">
        <f t="shared" si="18"/>
        <v>10|G</v>
      </c>
      <c r="F371" s="14">
        <f>INDEX('Emission Stepwise'!$H$2:$H$289,MATCH(E371,'Emission Stepwise'!$C$2:$C$289,0))</f>
        <v>0.94607843137254899</v>
      </c>
      <c r="G371" s="14">
        <f>INDEX(Background!$C$4:$C$7,MATCH(C371,Background!$A$4:$A$7,0))</f>
        <v>0.32488979077741237</v>
      </c>
      <c r="H371" s="17">
        <f t="shared" si="19"/>
        <v>1.0688394545225421</v>
      </c>
    </row>
    <row r="372" spans="1:8">
      <c r="A372" s="4" t="s">
        <v>755</v>
      </c>
      <c r="B372" s="4">
        <v>11</v>
      </c>
      <c r="C372" s="4" t="s">
        <v>71</v>
      </c>
      <c r="D372" s="4" t="s">
        <v>780</v>
      </c>
      <c r="E372" s="4" t="str">
        <f t="shared" si="18"/>
        <v>11|C</v>
      </c>
      <c r="F372" s="14">
        <f>INDEX('Emission Stepwise'!$H$2:$H$289,MATCH(E372,'Emission Stepwise'!$C$2:$C$289,0))</f>
        <v>0.72549019607843135</v>
      </c>
      <c r="G372" s="14">
        <f>INDEX(Background!$C$4:$C$7,MATCH(C372,Background!$A$4:$A$7,0))</f>
        <v>0.27646770694842909</v>
      </c>
      <c r="H372" s="17">
        <f t="shared" si="19"/>
        <v>0.96475353699030275</v>
      </c>
    </row>
    <row r="373" spans="1:8">
      <c r="A373" s="4" t="s">
        <v>755</v>
      </c>
      <c r="B373" s="4">
        <v>12</v>
      </c>
      <c r="C373" s="4" t="s">
        <v>71</v>
      </c>
      <c r="D373" s="4" t="s">
        <v>780</v>
      </c>
      <c r="E373" s="4" t="str">
        <f t="shared" si="18"/>
        <v>12|C</v>
      </c>
      <c r="F373" s="14">
        <f>INDEX('Emission Stepwise'!$H$2:$H$289,MATCH(E373,'Emission Stepwise'!$C$2:$C$289,0))</f>
        <v>0.14705882352941177</v>
      </c>
      <c r="G373" s="14">
        <f>INDEX(Background!$C$4:$C$7,MATCH(C373,Background!$A$4:$A$7,0))</f>
        <v>0.27646770694842909</v>
      </c>
      <c r="H373" s="17">
        <f t="shared" si="19"/>
        <v>-0.63126135511165704</v>
      </c>
    </row>
    <row r="374" spans="1:8">
      <c r="A374" s="4" t="s">
        <v>755</v>
      </c>
      <c r="B374" s="4">
        <v>13</v>
      </c>
      <c r="C374" s="4" t="s">
        <v>73</v>
      </c>
      <c r="D374" s="4" t="s">
        <v>780</v>
      </c>
      <c r="E374" s="4" t="str">
        <f t="shared" si="18"/>
        <v>13|A</v>
      </c>
      <c r="F374" s="14">
        <f>INDEX('Emission Stepwise'!$H$2:$H$289,MATCH(E374,'Emission Stepwise'!$C$2:$C$289,0))</f>
        <v>6.8627450980392163E-2</v>
      </c>
      <c r="G374" s="14">
        <f>INDEX(Background!$C$4:$C$7,MATCH(C374,Background!$A$4:$A$7,0))</f>
        <v>0.18550136449513679</v>
      </c>
      <c r="H374" s="17">
        <f t="shared" si="19"/>
        <v>-0.99436962303618837</v>
      </c>
    </row>
    <row r="375" spans="1:8">
      <c r="A375" s="4" t="s">
        <v>755</v>
      </c>
      <c r="B375" s="4">
        <v>14</v>
      </c>
      <c r="C375" s="4" t="s">
        <v>70</v>
      </c>
      <c r="D375" s="4" t="s">
        <v>780</v>
      </c>
      <c r="E375" s="4" t="str">
        <f t="shared" si="18"/>
        <v>14|G</v>
      </c>
      <c r="F375" s="14">
        <f>INDEX('Emission Stepwise'!$H$2:$H$289,MATCH(E375,'Emission Stepwise'!$C$2:$C$289,0))</f>
        <v>9.8039215686274508E-3</v>
      </c>
      <c r="G375" s="14">
        <f>INDEX(Background!$C$4:$C$7,MATCH(C375,Background!$A$4:$A$7,0))</f>
        <v>0.32488979077741237</v>
      </c>
      <c r="H375" s="17">
        <f t="shared" si="19"/>
        <v>-3.5007035538223983</v>
      </c>
    </row>
    <row r="376" spans="1:8">
      <c r="A376" s="4" t="s">
        <v>755</v>
      </c>
      <c r="B376" s="4">
        <v>15</v>
      </c>
      <c r="C376" s="4" t="s">
        <v>73</v>
      </c>
      <c r="D376" s="4" t="s">
        <v>780</v>
      </c>
      <c r="E376" s="4" t="str">
        <f t="shared" si="18"/>
        <v>15|A</v>
      </c>
      <c r="F376" s="14">
        <f>INDEX('Emission Stepwise'!$H$2:$H$289,MATCH(E376,'Emission Stepwise'!$C$2:$C$289,0))</f>
        <v>0.16748768472906403</v>
      </c>
      <c r="G376" s="14">
        <f>INDEX(Background!$C$4:$C$7,MATCH(C376,Background!$A$4:$A$7,0))</f>
        <v>0.18550136449513679</v>
      </c>
      <c r="H376" s="17">
        <f t="shared" si="19"/>
        <v>-0.1021524132328567</v>
      </c>
    </row>
    <row r="377" spans="1:8">
      <c r="A377" s="4" t="s">
        <v>755</v>
      </c>
      <c r="B377" s="4">
        <v>16</v>
      </c>
      <c r="C377" s="4" t="s">
        <v>77</v>
      </c>
      <c r="D377" s="4" t="s">
        <v>780</v>
      </c>
      <c r="E377" s="4"/>
      <c r="F377" s="4"/>
      <c r="G377" s="4"/>
      <c r="H377" s="4"/>
    </row>
    <row r="378" spans="1:8">
      <c r="A378" s="4" t="s">
        <v>755</v>
      </c>
      <c r="B378" s="4">
        <v>17</v>
      </c>
      <c r="C378" s="4" t="s">
        <v>70</v>
      </c>
      <c r="D378" s="4" t="s">
        <v>780</v>
      </c>
      <c r="E378" s="4" t="str">
        <f t="shared" ref="E378:E409" si="20">B378&amp;"|"&amp;C378</f>
        <v>17|G</v>
      </c>
      <c r="F378" s="14">
        <f>INDEX('Emission Stepwise'!$H$2:$H$289,MATCH(E378,'Emission Stepwise'!$C$2:$C$289,0))</f>
        <v>4.4776119402985072E-2</v>
      </c>
      <c r="G378" s="14">
        <f>INDEX(Background!$C$4:$C$7,MATCH(C378,Background!$A$4:$A$7,0))</f>
        <v>0.32488979077741237</v>
      </c>
      <c r="H378" s="17">
        <f t="shared" ref="H378:H409" si="21">LN(F378/G378)</f>
        <v>-1.9818110712609835</v>
      </c>
    </row>
    <row r="379" spans="1:8">
      <c r="A379" s="4" t="s">
        <v>755</v>
      </c>
      <c r="B379" s="4">
        <v>18</v>
      </c>
      <c r="C379" s="4" t="s">
        <v>70</v>
      </c>
      <c r="D379" s="4" t="s">
        <v>780</v>
      </c>
      <c r="E379" s="4" t="str">
        <f t="shared" si="20"/>
        <v>18|G</v>
      </c>
      <c r="F379" s="14">
        <f>INDEX('Emission Stepwise'!$H$2:$H$289,MATCH(E379,'Emission Stepwise'!$C$2:$C$289,0))</f>
        <v>0.98039215686274506</v>
      </c>
      <c r="G379" s="14">
        <f>INDEX(Background!$C$4:$C$7,MATCH(C379,Background!$A$4:$A$7,0))</f>
        <v>0.32488979077741237</v>
      </c>
      <c r="H379" s="17">
        <f t="shared" si="21"/>
        <v>1.1044666321656933</v>
      </c>
    </row>
    <row r="380" spans="1:8">
      <c r="A380" s="4" t="s">
        <v>755</v>
      </c>
      <c r="B380" s="4">
        <v>19</v>
      </c>
      <c r="C380" s="4" t="s">
        <v>70</v>
      </c>
      <c r="D380" s="4" t="s">
        <v>780</v>
      </c>
      <c r="E380" s="4" t="str">
        <f t="shared" si="20"/>
        <v>19|G</v>
      </c>
      <c r="F380" s="14">
        <f>INDEX('Emission Stepwise'!$H$2:$H$289,MATCH(E380,'Emission Stepwise'!$C$2:$C$289,0))</f>
        <v>0.97058823529411764</v>
      </c>
      <c r="G380" s="14">
        <f>INDEX(Background!$C$4:$C$7,MATCH(C380,Background!$A$4:$A$7,0))</f>
        <v>0.32488979077741237</v>
      </c>
      <c r="H380" s="17">
        <f t="shared" si="21"/>
        <v>1.0944162963121917</v>
      </c>
    </row>
    <row r="381" spans="1:8">
      <c r="A381" s="4" t="s">
        <v>755</v>
      </c>
      <c r="B381" s="4">
        <v>20</v>
      </c>
      <c r="C381" s="4" t="s">
        <v>73</v>
      </c>
      <c r="D381" s="4" t="s">
        <v>780</v>
      </c>
      <c r="E381" s="4" t="str">
        <f t="shared" si="20"/>
        <v>20|A</v>
      </c>
      <c r="F381" s="14">
        <f>INDEX('Emission Stepwise'!$H$2:$H$289,MATCH(E381,'Emission Stepwise'!$C$2:$C$289,0))</f>
        <v>8.8669950738916259E-2</v>
      </c>
      <c r="G381" s="14">
        <f>INDEX(Background!$C$4:$C$7,MATCH(C381,Background!$A$4:$A$7,0))</f>
        <v>0.18550136449513679</v>
      </c>
      <c r="H381" s="17">
        <f t="shared" si="21"/>
        <v>-0.73814117995285333</v>
      </c>
    </row>
    <row r="382" spans="1:8">
      <c r="A382" s="4" t="s">
        <v>755</v>
      </c>
      <c r="B382" s="4">
        <v>21</v>
      </c>
      <c r="C382" s="4" t="s">
        <v>72</v>
      </c>
      <c r="D382" s="4" t="s">
        <v>780</v>
      </c>
      <c r="E382" s="4" t="str">
        <f t="shared" si="20"/>
        <v>21|U</v>
      </c>
      <c r="F382" s="14">
        <f>INDEX('Emission Stepwise'!$H$2:$H$289,MATCH(E382,'Emission Stepwise'!$C$2:$C$289,0))</f>
        <v>5.3921568627450983E-2</v>
      </c>
      <c r="G382" s="14">
        <f>INDEX(Background!$C$4:$C$7,MATCH(C382,Background!$A$4:$A$7,0))</f>
        <v>0.21314113777902177</v>
      </c>
      <c r="H382" s="17">
        <f t="shared" si="21"/>
        <v>-1.3744240070191582</v>
      </c>
    </row>
    <row r="383" spans="1:8">
      <c r="A383" s="4" t="s">
        <v>755</v>
      </c>
      <c r="B383" s="4">
        <v>22</v>
      </c>
      <c r="C383" s="4" t="s">
        <v>72</v>
      </c>
      <c r="D383" s="4" t="s">
        <v>780</v>
      </c>
      <c r="E383" s="4" t="str">
        <f t="shared" si="20"/>
        <v>22|U</v>
      </c>
      <c r="F383" s="14">
        <f>INDEX('Emission Stepwise'!$H$2:$H$289,MATCH(E383,'Emission Stepwise'!$C$2:$C$289,0))</f>
        <v>7.3529411764705885E-2</v>
      </c>
      <c r="G383" s="14">
        <f>INDEX(Background!$C$4:$C$7,MATCH(C383,Background!$A$4:$A$7,0))</f>
        <v>0.21314113777902177</v>
      </c>
      <c r="H383" s="17">
        <f t="shared" si="21"/>
        <v>-1.0642690787153186</v>
      </c>
    </row>
    <row r="384" spans="1:8">
      <c r="A384" s="4" t="s">
        <v>755</v>
      </c>
      <c r="B384" s="4">
        <v>23</v>
      </c>
      <c r="C384" s="4" t="s">
        <v>70</v>
      </c>
      <c r="D384" s="4" t="s">
        <v>780</v>
      </c>
      <c r="E384" s="4" t="str">
        <f t="shared" si="20"/>
        <v>23|G</v>
      </c>
      <c r="F384" s="14">
        <f>INDEX('Emission Stepwise'!$H$2:$H$289,MATCH(E384,'Emission Stepwise'!$C$2:$C$289,0))</f>
        <v>0.14705882352941177</v>
      </c>
      <c r="G384" s="14">
        <f>INDEX(Background!$C$4:$C$7,MATCH(C384,Background!$A$4:$A$7,0))</f>
        <v>0.32488979077741237</v>
      </c>
      <c r="H384" s="17">
        <f t="shared" si="21"/>
        <v>-0.792653352720188</v>
      </c>
    </row>
    <row r="385" spans="1:8">
      <c r="A385" s="4" t="s">
        <v>755</v>
      </c>
      <c r="B385" s="4">
        <v>24</v>
      </c>
      <c r="C385" s="4" t="s">
        <v>73</v>
      </c>
      <c r="D385" s="4" t="s">
        <v>780</v>
      </c>
      <c r="E385" s="4" t="str">
        <f t="shared" si="20"/>
        <v>24|A</v>
      </c>
      <c r="F385" s="14">
        <f>INDEX('Emission Stepwise'!$H$2:$H$289,MATCH(E385,'Emission Stepwise'!$C$2:$C$289,0))</f>
        <v>0.18627450980392157</v>
      </c>
      <c r="G385" s="14">
        <f>INDEX(Background!$C$4:$C$7,MATCH(C385,Background!$A$4:$A$7,0))</f>
        <v>0.18550136449513679</v>
      </c>
      <c r="H385" s="17">
        <f t="shared" si="21"/>
        <v>4.1592070749386289E-3</v>
      </c>
    </row>
    <row r="386" spans="1:8">
      <c r="A386" s="4" t="s">
        <v>755</v>
      </c>
      <c r="B386" s="4">
        <v>25</v>
      </c>
      <c r="C386" s="4" t="s">
        <v>72</v>
      </c>
      <c r="D386" s="4" t="s">
        <v>780</v>
      </c>
      <c r="E386" s="4" t="str">
        <f t="shared" si="20"/>
        <v>25|U</v>
      </c>
      <c r="F386" s="14">
        <f>INDEX('Emission Stepwise'!$H$2:$H$289,MATCH(E386,'Emission Stepwise'!$C$2:$C$289,0))</f>
        <v>7.3529411764705885E-2</v>
      </c>
      <c r="G386" s="14">
        <f>INDEX(Background!$C$4:$C$7,MATCH(C386,Background!$A$4:$A$7,0))</f>
        <v>0.21314113777902177</v>
      </c>
      <c r="H386" s="17">
        <f t="shared" si="21"/>
        <v>-1.0642690787153186</v>
      </c>
    </row>
    <row r="387" spans="1:8">
      <c r="A387" s="4" t="s">
        <v>755</v>
      </c>
      <c r="B387" s="4">
        <v>26</v>
      </c>
      <c r="C387" s="4" t="s">
        <v>73</v>
      </c>
      <c r="D387" s="4" t="s">
        <v>781</v>
      </c>
      <c r="E387" s="4" t="str">
        <f t="shared" si="20"/>
        <v>26|A</v>
      </c>
      <c r="F387" s="14">
        <f>INDEX('Emission Stepwise'!$H$2:$H$289,MATCH(E387,'Emission Stepwise'!$C$2:$C$289,0))</f>
        <v>0.41666666666666669</v>
      </c>
      <c r="G387" s="14">
        <f>INDEX(Background!$C$4:$C$7,MATCH(C387,Background!$A$4:$A$7,0))</f>
        <v>0.18550136449513679</v>
      </c>
      <c r="H387" s="17">
        <f t="shared" si="21"/>
        <v>0.80922430383886945</v>
      </c>
    </row>
    <row r="388" spans="1:8">
      <c r="A388" s="4" t="s">
        <v>755</v>
      </c>
      <c r="B388" s="4">
        <v>27</v>
      </c>
      <c r="C388" s="4" t="s">
        <v>71</v>
      </c>
      <c r="D388" s="4" t="s">
        <v>781</v>
      </c>
      <c r="E388" s="4" t="str">
        <f t="shared" si="20"/>
        <v>27|C</v>
      </c>
      <c r="F388" s="14">
        <f>INDEX('Emission Stepwise'!$H$2:$H$289,MATCH(E388,'Emission Stepwise'!$C$2:$C$289,0))</f>
        <v>0.46078431372549017</v>
      </c>
      <c r="G388" s="14">
        <f>INDEX(Background!$C$4:$C$7,MATCH(C388,Background!$A$4:$A$7,0))</f>
        <v>0.27646770694842909</v>
      </c>
      <c r="H388" s="17">
        <f t="shared" si="21"/>
        <v>0.51083604549619144</v>
      </c>
    </row>
    <row r="389" spans="1:8">
      <c r="A389" s="4" t="s">
        <v>755</v>
      </c>
      <c r="B389" s="4">
        <v>28</v>
      </c>
      <c r="C389" s="4" t="s">
        <v>71</v>
      </c>
      <c r="D389" s="4" t="s">
        <v>781</v>
      </c>
      <c r="E389" s="4" t="str">
        <f t="shared" si="20"/>
        <v>28|C</v>
      </c>
      <c r="F389" s="14">
        <f>INDEX('Emission Stepwise'!$H$2:$H$289,MATCH(E389,'Emission Stepwise'!$C$2:$C$289,0))</f>
        <v>0.50980392156862742</v>
      </c>
      <c r="G389" s="14">
        <f>INDEX(Background!$C$4:$C$7,MATCH(C389,Background!$A$4:$A$7,0))</f>
        <v>0.27646770694842909</v>
      </c>
      <c r="H389" s="17">
        <f t="shared" si="21"/>
        <v>0.61193216236756021</v>
      </c>
    </row>
    <row r="390" spans="1:8">
      <c r="A390" s="4" t="s">
        <v>755</v>
      </c>
      <c r="B390" s="4">
        <v>29</v>
      </c>
      <c r="C390" s="4" t="s">
        <v>70</v>
      </c>
      <c r="D390" s="4" t="s">
        <v>781</v>
      </c>
      <c r="E390" s="4" t="str">
        <f t="shared" si="20"/>
        <v>29|G</v>
      </c>
      <c r="F390" s="14">
        <f>INDEX('Emission Stepwise'!$H$2:$H$289,MATCH(E390,'Emission Stepwise'!$C$2:$C$289,0))</f>
        <v>0.38235294117647056</v>
      </c>
      <c r="G390" s="14">
        <f>INDEX(Background!$C$4:$C$7,MATCH(C390,Background!$A$4:$A$7,0))</f>
        <v>0.32488979077741237</v>
      </c>
      <c r="H390" s="17">
        <f t="shared" si="21"/>
        <v>0.16285809230724829</v>
      </c>
    </row>
    <row r="391" spans="1:8">
      <c r="A391" s="4" t="s">
        <v>755</v>
      </c>
      <c r="B391" s="4">
        <v>30</v>
      </c>
      <c r="C391" s="4" t="s">
        <v>71</v>
      </c>
      <c r="D391" s="4" t="s">
        <v>781</v>
      </c>
      <c r="E391" s="4" t="str">
        <f t="shared" si="20"/>
        <v>30|C</v>
      </c>
      <c r="F391" s="14">
        <f>INDEX('Emission Stepwise'!$H$2:$H$289,MATCH(E391,'Emission Stepwise'!$C$2:$C$289,0))</f>
        <v>0.21568627450980393</v>
      </c>
      <c r="G391" s="14">
        <f>INDEX(Background!$C$4:$C$7,MATCH(C391,Background!$A$4:$A$7,0))</f>
        <v>0.27646770694842909</v>
      </c>
      <c r="H391" s="17">
        <f t="shared" si="21"/>
        <v>-0.24826910285555115</v>
      </c>
    </row>
    <row r="392" spans="1:8">
      <c r="A392" s="4" t="s">
        <v>755</v>
      </c>
      <c r="B392" s="4">
        <v>31</v>
      </c>
      <c r="C392" s="4" t="s">
        <v>72</v>
      </c>
      <c r="D392" s="4" t="s">
        <v>781</v>
      </c>
      <c r="E392" s="4" t="str">
        <f t="shared" si="20"/>
        <v>31|U</v>
      </c>
      <c r="F392" s="14">
        <f>INDEX('Emission Stepwise'!$H$2:$H$289,MATCH(E392,'Emission Stepwise'!$C$2:$C$289,0))</f>
        <v>9.8039215686274508E-2</v>
      </c>
      <c r="G392" s="14">
        <f>INDEX(Background!$C$4:$C$7,MATCH(C392,Background!$A$4:$A$7,0))</f>
        <v>0.21314113777902177</v>
      </c>
      <c r="H392" s="17">
        <f t="shared" si="21"/>
        <v>-0.77658700626353783</v>
      </c>
    </row>
    <row r="393" spans="1:8">
      <c r="A393" s="4" t="s">
        <v>755</v>
      </c>
      <c r="B393" s="4">
        <v>32</v>
      </c>
      <c r="C393" s="4" t="s">
        <v>72</v>
      </c>
      <c r="D393" s="4" t="s">
        <v>781</v>
      </c>
      <c r="E393" s="4" t="str">
        <f t="shared" si="20"/>
        <v>32|U</v>
      </c>
      <c r="F393" s="14">
        <f>INDEX('Emission Stepwise'!$H$2:$H$289,MATCH(E393,'Emission Stepwise'!$C$2:$C$289,0))</f>
        <v>0.29411764705882354</v>
      </c>
      <c r="G393" s="14">
        <f>INDEX(Background!$C$4:$C$7,MATCH(C393,Background!$A$4:$A$7,0))</f>
        <v>0.21314113777902177</v>
      </c>
      <c r="H393" s="17">
        <f t="shared" si="21"/>
        <v>0.32202528240457201</v>
      </c>
    </row>
    <row r="394" spans="1:8">
      <c r="A394" s="4" t="s">
        <v>755</v>
      </c>
      <c r="B394" s="4">
        <v>33</v>
      </c>
      <c r="C394" s="4" t="s">
        <v>71</v>
      </c>
      <c r="D394" s="4" t="s">
        <v>781</v>
      </c>
      <c r="E394" s="4" t="str">
        <f t="shared" si="20"/>
        <v>33|C</v>
      </c>
      <c r="F394" s="14">
        <f>INDEX('Emission Stepwise'!$H$2:$H$289,MATCH(E394,'Emission Stepwise'!$C$2:$C$289,0))</f>
        <v>9.8039215686274508E-3</v>
      </c>
      <c r="G394" s="14">
        <f>INDEX(Background!$C$4:$C$7,MATCH(C394,Background!$A$4:$A$7,0))</f>
        <v>0.27646770694842909</v>
      </c>
      <c r="H394" s="17">
        <f t="shared" si="21"/>
        <v>-3.3393115562138669</v>
      </c>
    </row>
    <row r="395" spans="1:8">
      <c r="A395" s="4" t="s">
        <v>755</v>
      </c>
      <c r="B395" s="4">
        <v>34</v>
      </c>
      <c r="C395" s="4" t="s">
        <v>71</v>
      </c>
      <c r="D395" s="4" t="s">
        <v>781</v>
      </c>
      <c r="E395" s="4" t="str">
        <f t="shared" si="20"/>
        <v>34|C</v>
      </c>
      <c r="F395" s="14">
        <f>INDEX('Emission Stepwise'!$H$2:$H$289,MATCH(E395,'Emission Stepwise'!$C$2:$C$289,0))</f>
        <v>0.32843137254901961</v>
      </c>
      <c r="G395" s="14">
        <f>INDEX(Background!$C$4:$C$7,MATCH(C395,Background!$A$4:$A$7,0))</f>
        <v>0.27646770694842909</v>
      </c>
      <c r="H395" s="17">
        <f t="shared" si="21"/>
        <v>0.17223388261715358</v>
      </c>
    </row>
    <row r="396" spans="1:8">
      <c r="A396" s="4" t="s">
        <v>755</v>
      </c>
      <c r="B396" s="4">
        <v>35</v>
      </c>
      <c r="C396" s="4" t="s">
        <v>72</v>
      </c>
      <c r="D396" s="4" t="s">
        <v>781</v>
      </c>
      <c r="E396" s="4" t="str">
        <f t="shared" si="20"/>
        <v>35|U</v>
      </c>
      <c r="F396" s="14">
        <f>INDEX('Emission Stepwise'!$H$2:$H$289,MATCH(E396,'Emission Stepwise'!$C$2:$C$289,0))</f>
        <v>0.20588235294117646</v>
      </c>
      <c r="G396" s="14">
        <f>INDEX(Background!$C$4:$C$7,MATCH(C396,Background!$A$4:$A$7,0))</f>
        <v>0.21314113777902177</v>
      </c>
      <c r="H396" s="17">
        <f t="shared" si="21"/>
        <v>-3.4649661534160589E-2</v>
      </c>
    </row>
    <row r="397" spans="1:8">
      <c r="A397" s="4" t="s">
        <v>755</v>
      </c>
      <c r="B397" s="4">
        <v>36</v>
      </c>
      <c r="C397" s="4" t="s">
        <v>73</v>
      </c>
      <c r="D397" s="4" t="s">
        <v>781</v>
      </c>
      <c r="E397" s="4" t="str">
        <f t="shared" si="20"/>
        <v>36|A</v>
      </c>
      <c r="F397" s="14">
        <f>INDEX('Emission Stepwise'!$H$2:$H$289,MATCH(E397,'Emission Stepwise'!$C$2:$C$289,0))</f>
        <v>0.21568627450980393</v>
      </c>
      <c r="G397" s="14">
        <f>INDEX(Background!$C$4:$C$7,MATCH(C397,Background!$A$4:$A$7,0))</f>
        <v>0.18550136449513679</v>
      </c>
      <c r="H397" s="17">
        <f t="shared" si="21"/>
        <v>0.15076268126681408</v>
      </c>
    </row>
    <row r="398" spans="1:8">
      <c r="A398" s="4" t="s">
        <v>755</v>
      </c>
      <c r="B398" s="4">
        <v>37</v>
      </c>
      <c r="C398" s="4" t="s">
        <v>70</v>
      </c>
      <c r="D398" s="4" t="s">
        <v>781</v>
      </c>
      <c r="E398" s="4" t="str">
        <f t="shared" si="20"/>
        <v>37|G</v>
      </c>
      <c r="F398" s="14">
        <f>INDEX('Emission Stepwise'!$H$2:$H$289,MATCH(E398,'Emission Stepwise'!$C$2:$C$289,0))</f>
        <v>0.24019607843137256</v>
      </c>
      <c r="G398" s="14">
        <f>INDEX(Background!$C$4:$C$7,MATCH(C398,Background!$A$4:$A$7,0))</f>
        <v>0.32488979077741237</v>
      </c>
      <c r="H398" s="17">
        <f t="shared" si="21"/>
        <v>-0.30203043627171677</v>
      </c>
    </row>
    <row r="399" spans="1:8">
      <c r="A399" s="4" t="s">
        <v>755</v>
      </c>
      <c r="B399" s="4">
        <v>38</v>
      </c>
      <c r="C399" s="4" t="s">
        <v>70</v>
      </c>
      <c r="D399" s="4" t="s">
        <v>781</v>
      </c>
      <c r="E399" s="4" t="str">
        <f t="shared" si="20"/>
        <v>38|G</v>
      </c>
      <c r="F399" s="14">
        <f>INDEX('Emission Stepwise'!$H$2:$H$289,MATCH(E399,'Emission Stepwise'!$C$2:$C$289,0))</f>
        <v>9.8039215686274508E-3</v>
      </c>
      <c r="G399" s="14">
        <f>INDEX(Background!$C$4:$C$7,MATCH(C399,Background!$A$4:$A$7,0))</f>
        <v>0.32488979077741237</v>
      </c>
      <c r="H399" s="17">
        <f t="shared" si="21"/>
        <v>-3.5007035538223983</v>
      </c>
    </row>
    <row r="400" spans="1:8">
      <c r="A400" s="4" t="s">
        <v>755</v>
      </c>
      <c r="B400" s="4">
        <v>39</v>
      </c>
      <c r="C400" s="4" t="s">
        <v>70</v>
      </c>
      <c r="D400" s="4" t="s">
        <v>781</v>
      </c>
      <c r="E400" s="4" t="str">
        <f t="shared" si="20"/>
        <v>39|G</v>
      </c>
      <c r="F400" s="14">
        <f>INDEX('Emission Stepwise'!$H$2:$H$289,MATCH(E400,'Emission Stepwise'!$C$2:$C$289,0))</f>
        <v>0.35784313725490197</v>
      </c>
      <c r="G400" s="14">
        <f>INDEX(Background!$C$4:$C$7,MATCH(C400,Background!$A$4:$A$7,0))</f>
        <v>0.32488979077741237</v>
      </c>
      <c r="H400" s="17">
        <f t="shared" si="21"/>
        <v>9.6608706766047728E-2</v>
      </c>
    </row>
    <row r="401" spans="1:8">
      <c r="A401" s="4" t="s">
        <v>755</v>
      </c>
      <c r="B401" s="4">
        <v>40</v>
      </c>
      <c r="C401" s="4" t="s">
        <v>70</v>
      </c>
      <c r="D401" s="4" t="s">
        <v>781</v>
      </c>
      <c r="E401" s="4" t="str">
        <f t="shared" si="20"/>
        <v>40|G</v>
      </c>
      <c r="F401" s="14">
        <f>INDEX('Emission Stepwise'!$H$2:$H$289,MATCH(E401,'Emission Stepwise'!$C$2:$C$289,0))</f>
        <v>0.24019607843137256</v>
      </c>
      <c r="G401" s="14">
        <f>INDEX(Background!$C$4:$C$7,MATCH(C401,Background!$A$4:$A$7,0))</f>
        <v>0.32488979077741237</v>
      </c>
      <c r="H401" s="17">
        <f t="shared" si="21"/>
        <v>-0.30203043627171677</v>
      </c>
    </row>
    <row r="402" spans="1:8">
      <c r="A402" s="4" t="s">
        <v>755</v>
      </c>
      <c r="B402" s="4">
        <v>41</v>
      </c>
      <c r="C402" s="4" t="s">
        <v>72</v>
      </c>
      <c r="D402" s="4" t="s">
        <v>781</v>
      </c>
      <c r="E402" s="4" t="str">
        <f t="shared" si="20"/>
        <v>41|U</v>
      </c>
      <c r="F402" s="14">
        <f>INDEX('Emission Stepwise'!$H$2:$H$289,MATCH(E402,'Emission Stepwise'!$C$2:$C$289,0))</f>
        <v>0.16666666666666666</v>
      </c>
      <c r="G402" s="14">
        <f>INDEX(Background!$C$4:$C$7,MATCH(C402,Background!$A$4:$A$7,0))</f>
        <v>0.21314113777902177</v>
      </c>
      <c r="H402" s="17">
        <f t="shared" si="21"/>
        <v>-0.24595875520136748</v>
      </c>
    </row>
    <row r="403" spans="1:8">
      <c r="A403" s="4" t="s">
        <v>755</v>
      </c>
      <c r="B403" s="4">
        <v>42</v>
      </c>
      <c r="C403" s="4" t="s">
        <v>70</v>
      </c>
      <c r="D403" s="4" t="s">
        <v>781</v>
      </c>
      <c r="E403" s="4" t="str">
        <f t="shared" si="20"/>
        <v>42|G</v>
      </c>
      <c r="F403" s="14">
        <f>INDEX('Emission Stepwise'!$H$2:$H$289,MATCH(E403,'Emission Stepwise'!$C$2:$C$289,0))</f>
        <v>0.51960784313725494</v>
      </c>
      <c r="G403" s="14">
        <f>INDEX(Background!$C$4:$C$7,MATCH(C403,Background!$A$4:$A$7,0))</f>
        <v>0.32488979077741237</v>
      </c>
      <c r="H403" s="17">
        <f t="shared" si="21"/>
        <v>0.46958835972972385</v>
      </c>
    </row>
    <row r="404" spans="1:8">
      <c r="A404" s="4" t="s">
        <v>755</v>
      </c>
      <c r="B404" s="4">
        <v>43</v>
      </c>
      <c r="C404" s="4" t="s">
        <v>70</v>
      </c>
      <c r="D404" s="4" t="s">
        <v>781</v>
      </c>
      <c r="E404" s="4" t="str">
        <f t="shared" si="20"/>
        <v>43|G</v>
      </c>
      <c r="F404" s="14">
        <f>INDEX('Emission Stepwise'!$H$2:$H$289,MATCH(E404,'Emission Stepwise'!$C$2:$C$289,0))</f>
        <v>0.49509803921568629</v>
      </c>
      <c r="G404" s="14">
        <f>INDEX(Background!$C$4:$C$7,MATCH(C404,Background!$A$4:$A$7,0))</f>
        <v>0.32488979077741237</v>
      </c>
      <c r="H404" s="17">
        <f t="shared" si="21"/>
        <v>0.42126978245891616</v>
      </c>
    </row>
    <row r="405" spans="1:8">
      <c r="A405" s="4" t="s">
        <v>755</v>
      </c>
      <c r="B405" s="4">
        <v>44</v>
      </c>
      <c r="C405" s="4" t="s">
        <v>71</v>
      </c>
      <c r="D405" s="4" t="s">
        <v>781</v>
      </c>
      <c r="E405" s="4" t="str">
        <f t="shared" si="20"/>
        <v>44|C</v>
      </c>
      <c r="F405" s="14">
        <f>INDEX('Emission Stepwise'!$H$2:$H$289,MATCH(E405,'Emission Stepwise'!$C$2:$C$289,0))</f>
        <v>0.15686274509803921</v>
      </c>
      <c r="G405" s="14">
        <f>INDEX(Background!$C$4:$C$7,MATCH(C405,Background!$A$4:$A$7,0))</f>
        <v>0.27646770694842909</v>
      </c>
      <c r="H405" s="17">
        <f t="shared" si="21"/>
        <v>-0.56672283397408585</v>
      </c>
    </row>
    <row r="406" spans="1:8">
      <c r="A406" s="4" t="s">
        <v>755</v>
      </c>
      <c r="B406" s="4">
        <v>45</v>
      </c>
      <c r="C406" s="4" t="s">
        <v>71</v>
      </c>
      <c r="D406" s="4" t="s">
        <v>782</v>
      </c>
      <c r="E406" s="4" t="str">
        <f t="shared" si="20"/>
        <v>45|C</v>
      </c>
      <c r="F406" s="14">
        <f>INDEX('Emission Stepwise'!$H$2:$H$289,MATCH(E406,'Emission Stepwise'!$C$2:$C$289,0))</f>
        <v>2.9702970297029702E-2</v>
      </c>
      <c r="G406" s="14">
        <f>INDEX(Background!$C$4:$C$7,MATCH(C406,Background!$A$4:$A$7,0))</f>
        <v>0.27646770694842909</v>
      </c>
      <c r="H406" s="17">
        <f t="shared" si="21"/>
        <v>-2.2308469711027459</v>
      </c>
    </row>
    <row r="407" spans="1:8">
      <c r="A407" s="4" t="s">
        <v>755</v>
      </c>
      <c r="B407" s="4">
        <v>46</v>
      </c>
      <c r="C407" s="4" t="s">
        <v>70</v>
      </c>
      <c r="D407" s="4" t="s">
        <v>782</v>
      </c>
      <c r="E407" s="4" t="str">
        <f t="shared" si="20"/>
        <v>46|G</v>
      </c>
      <c r="F407" s="14">
        <f>INDEX('Emission Stepwise'!$H$2:$H$289,MATCH(E407,'Emission Stepwise'!$C$2:$C$289,0))</f>
        <v>0.79768786127167635</v>
      </c>
      <c r="G407" s="14">
        <f>INDEX(Background!$C$4:$C$7,MATCH(C407,Background!$A$4:$A$7,0))</f>
        <v>0.32488979077741237</v>
      </c>
      <c r="H407" s="17">
        <f t="shared" si="21"/>
        <v>0.89823135012129884</v>
      </c>
    </row>
    <row r="408" spans="1:8">
      <c r="A408" s="4" t="s">
        <v>755</v>
      </c>
      <c r="B408" s="4">
        <v>47</v>
      </c>
      <c r="C408" s="4" t="s">
        <v>70</v>
      </c>
      <c r="D408" s="4" t="s">
        <v>782</v>
      </c>
      <c r="E408" s="4" t="str">
        <f t="shared" si="20"/>
        <v>47|G</v>
      </c>
      <c r="F408" s="14">
        <f>INDEX('Emission Stepwise'!$H$2:$H$289,MATCH(E408,'Emission Stepwise'!$C$2:$C$289,0))</f>
        <v>8.3333333333333329E-2</v>
      </c>
      <c r="G408" s="14">
        <f>INDEX(Background!$C$4:$C$7,MATCH(C408,Background!$A$4:$A$7,0))</f>
        <v>0.32488979077741237</v>
      </c>
      <c r="H408" s="17">
        <f t="shared" si="21"/>
        <v>-1.3606373903261273</v>
      </c>
    </row>
    <row r="409" spans="1:8">
      <c r="A409" s="4" t="s">
        <v>755</v>
      </c>
      <c r="B409" s="4">
        <v>48</v>
      </c>
      <c r="C409" s="4" t="s">
        <v>72</v>
      </c>
      <c r="D409" s="4" t="s">
        <v>782</v>
      </c>
      <c r="E409" s="4" t="str">
        <f t="shared" si="20"/>
        <v>48|U</v>
      </c>
      <c r="F409" s="14">
        <f>INDEX('Emission Stepwise'!$H$2:$H$289,MATCH(E409,'Emission Stepwise'!$C$2:$C$289,0))</f>
        <v>0.14705882352941177</v>
      </c>
      <c r="G409" s="14">
        <f>INDEX(Background!$C$4:$C$7,MATCH(C409,Background!$A$4:$A$7,0))</f>
        <v>0.21314113777902177</v>
      </c>
      <c r="H409" s="17">
        <f t="shared" si="21"/>
        <v>-0.37112189815537333</v>
      </c>
    </row>
    <row r="410" spans="1:8">
      <c r="A410" s="4" t="s">
        <v>755</v>
      </c>
      <c r="B410" s="4">
        <v>49</v>
      </c>
      <c r="C410" s="4" t="s">
        <v>73</v>
      </c>
      <c r="D410" s="4" t="s">
        <v>783</v>
      </c>
      <c r="E410" s="4" t="str">
        <f t="shared" ref="E410:E441" si="22">B410&amp;"|"&amp;C410</f>
        <v>49|A</v>
      </c>
      <c r="F410" s="14">
        <f>INDEX('Emission Stepwise'!$H$2:$H$289,MATCH(E410,'Emission Stepwise'!$C$2:$C$289,0))</f>
        <v>0.15686274509803921</v>
      </c>
      <c r="G410" s="14">
        <f>INDEX(Background!$C$4:$C$7,MATCH(C410,Background!$A$4:$A$7,0))</f>
        <v>0.18550136449513679</v>
      </c>
      <c r="H410" s="17">
        <f t="shared" ref="H410:H441" si="23">LN(F410/G410)</f>
        <v>-0.16769104985172067</v>
      </c>
    </row>
    <row r="411" spans="1:8">
      <c r="A411" s="4" t="s">
        <v>755</v>
      </c>
      <c r="B411" s="4">
        <v>50</v>
      </c>
      <c r="C411" s="4" t="s">
        <v>73</v>
      </c>
      <c r="D411" s="4" t="s">
        <v>783</v>
      </c>
      <c r="E411" s="4" t="str">
        <f t="shared" si="22"/>
        <v>50|A</v>
      </c>
      <c r="F411" s="14">
        <f>INDEX('Emission Stepwise'!$H$2:$H$289,MATCH(E411,'Emission Stepwise'!$C$2:$C$289,0))</f>
        <v>0.11764705882352941</v>
      </c>
      <c r="G411" s="14">
        <f>INDEX(Background!$C$4:$C$7,MATCH(C411,Background!$A$4:$A$7,0))</f>
        <v>0.18550136449513679</v>
      </c>
      <c r="H411" s="17">
        <f t="shared" si="23"/>
        <v>-0.45537312230350152</v>
      </c>
    </row>
    <row r="412" spans="1:8">
      <c r="A412" s="4" t="s">
        <v>755</v>
      </c>
      <c r="B412" s="4">
        <v>51</v>
      </c>
      <c r="C412" s="4" t="s">
        <v>70</v>
      </c>
      <c r="D412" s="4" t="s">
        <v>783</v>
      </c>
      <c r="E412" s="4" t="str">
        <f t="shared" si="22"/>
        <v>51|G</v>
      </c>
      <c r="F412" s="14">
        <f>INDEX('Emission Stepwise'!$H$2:$H$289,MATCH(E412,'Emission Stepwise'!$C$2:$C$289,0))</f>
        <v>0.49261083743842365</v>
      </c>
      <c r="G412" s="14">
        <f>INDEX(Background!$C$4:$C$7,MATCH(C412,Background!$A$4:$A$7,0))</f>
        <v>0.32488979077741237</v>
      </c>
      <c r="H412" s="17">
        <f t="shared" si="23"/>
        <v>0.41623346640817716</v>
      </c>
    </row>
    <row r="413" spans="1:8">
      <c r="A413" s="4" t="s">
        <v>755</v>
      </c>
      <c r="B413" s="4">
        <v>52</v>
      </c>
      <c r="C413" s="4" t="s">
        <v>70</v>
      </c>
      <c r="D413" s="4" t="s">
        <v>783</v>
      </c>
      <c r="E413" s="4" t="str">
        <f t="shared" si="22"/>
        <v>52|G</v>
      </c>
      <c r="F413" s="14">
        <f>INDEX('Emission Stepwise'!$H$2:$H$289,MATCH(E413,'Emission Stepwise'!$C$2:$C$289,0))</f>
        <v>0.82843137254901966</v>
      </c>
      <c r="G413" s="14">
        <f>INDEX(Background!$C$4:$C$7,MATCH(C413,Background!$A$4:$A$7,0))</f>
        <v>0.32488979077741237</v>
      </c>
      <c r="H413" s="17">
        <f t="shared" si="23"/>
        <v>0.93604798054073013</v>
      </c>
    </row>
    <row r="414" spans="1:8">
      <c r="A414" s="4" t="s">
        <v>755</v>
      </c>
      <c r="B414" s="4">
        <v>53</v>
      </c>
      <c r="C414" s="4" t="s">
        <v>70</v>
      </c>
      <c r="D414" s="4" t="s">
        <v>783</v>
      </c>
      <c r="E414" s="4" t="str">
        <f t="shared" si="22"/>
        <v>53|G</v>
      </c>
      <c r="F414" s="14">
        <f>INDEX('Emission Stepwise'!$H$2:$H$289,MATCH(E414,'Emission Stepwise'!$C$2:$C$289,0))</f>
        <v>0.96568627450980393</v>
      </c>
      <c r="G414" s="14">
        <f>INDEX(Background!$C$4:$C$7,MATCH(C414,Background!$A$4:$A$7,0))</f>
        <v>0.32488979077741237</v>
      </c>
      <c r="H414" s="17">
        <f t="shared" si="23"/>
        <v>1.089352994355645</v>
      </c>
    </row>
    <row r="415" spans="1:8">
      <c r="A415" s="4" t="s">
        <v>755</v>
      </c>
      <c r="B415" s="4">
        <v>54</v>
      </c>
      <c r="C415" s="4" t="s">
        <v>72</v>
      </c>
      <c r="D415" s="4" t="s">
        <v>783</v>
      </c>
      <c r="E415" s="4" t="str">
        <f t="shared" si="22"/>
        <v>54|U</v>
      </c>
      <c r="F415" s="14">
        <f>INDEX('Emission Stepwise'!$H$2:$H$289,MATCH(E415,'Emission Stepwise'!$C$2:$C$289,0))</f>
        <v>0.97549019607843135</v>
      </c>
      <c r="G415" s="14">
        <f>INDEX(Background!$C$4:$C$7,MATCH(C415,Background!$A$4:$A$7,0))</f>
        <v>0.21314113777902177</v>
      </c>
      <c r="H415" s="17">
        <f t="shared" si="23"/>
        <v>1.5209855449069636</v>
      </c>
    </row>
    <row r="416" spans="1:8">
      <c r="A416" s="4" t="s">
        <v>755</v>
      </c>
      <c r="B416" s="4">
        <v>55</v>
      </c>
      <c r="C416" s="4" t="s">
        <v>72</v>
      </c>
      <c r="D416" s="4" t="s">
        <v>783</v>
      </c>
      <c r="E416" s="4" t="str">
        <f t="shared" si="22"/>
        <v>55|U</v>
      </c>
      <c r="F416" s="14">
        <f>INDEX('Emission Stepwise'!$H$2:$H$289,MATCH(E416,'Emission Stepwise'!$C$2:$C$289,0))</f>
        <v>0.97058823529411764</v>
      </c>
      <c r="G416" s="14">
        <f>INDEX(Background!$C$4:$C$7,MATCH(C416,Background!$A$4:$A$7,0))</f>
        <v>0.21314113777902177</v>
      </c>
      <c r="H416" s="17">
        <f t="shared" si="23"/>
        <v>1.5159477508770065</v>
      </c>
    </row>
    <row r="417" spans="1:8">
      <c r="A417" s="4" t="s">
        <v>755</v>
      </c>
      <c r="B417" s="4">
        <v>56</v>
      </c>
      <c r="C417" s="4" t="s">
        <v>71</v>
      </c>
      <c r="D417" s="4" t="s">
        <v>783</v>
      </c>
      <c r="E417" s="4" t="str">
        <f t="shared" si="22"/>
        <v>56|C</v>
      </c>
      <c r="F417" s="14">
        <f>INDEX('Emission Stepwise'!$H$2:$H$289,MATCH(E417,'Emission Stepwise'!$C$2:$C$289,0))</f>
        <v>0.96568627450980393</v>
      </c>
      <c r="G417" s="14">
        <f>INDEX(Background!$C$4:$C$7,MATCH(C417,Background!$A$4:$A$7,0))</f>
        <v>0.27646770694842909</v>
      </c>
      <c r="H417" s="17">
        <f t="shared" si="23"/>
        <v>1.250744991964176</v>
      </c>
    </row>
    <row r="418" spans="1:8">
      <c r="A418" s="4" t="s">
        <v>755</v>
      </c>
      <c r="B418" s="4">
        <v>57</v>
      </c>
      <c r="C418" s="4" t="s">
        <v>71</v>
      </c>
      <c r="D418" s="4" t="s">
        <v>783</v>
      </c>
      <c r="E418" s="4" t="str">
        <f t="shared" si="22"/>
        <v>57|C</v>
      </c>
      <c r="F418" s="14">
        <f>INDEX('Emission Stepwise'!$H$2:$H$289,MATCH(E418,'Emission Stepwise'!$C$2:$C$289,0))</f>
        <v>4.9261083743842365E-3</v>
      </c>
      <c r="G418" s="14">
        <f>INDEX(Background!$C$4:$C$7,MATCH(C418,Background!$A$4:$A$7,0))</f>
        <v>0.27646770694842909</v>
      </c>
      <c r="H418" s="17">
        <f t="shared" si="23"/>
        <v>-4.0275447219713829</v>
      </c>
    </row>
    <row r="419" spans="1:8">
      <c r="A419" s="4" t="s">
        <v>755</v>
      </c>
      <c r="B419" s="4">
        <v>58</v>
      </c>
      <c r="C419" s="4" t="s">
        <v>73</v>
      </c>
      <c r="D419" s="4" t="s">
        <v>783</v>
      </c>
      <c r="E419" s="4" t="str">
        <f t="shared" si="22"/>
        <v>58|A</v>
      </c>
      <c r="F419" s="14">
        <f>INDEX('Emission Stepwise'!$H$2:$H$289,MATCH(E419,'Emission Stepwise'!$C$2:$C$289,0))</f>
        <v>0.97549019607843135</v>
      </c>
      <c r="G419" s="14">
        <f>INDEX(Background!$C$4:$C$7,MATCH(C419,Background!$A$4:$A$7,0))</f>
        <v>0.18550136449513679</v>
      </c>
      <c r="H419" s="17">
        <f t="shared" si="23"/>
        <v>1.6598778720730452</v>
      </c>
    </row>
    <row r="420" spans="1:8">
      <c r="A420" s="4" t="s">
        <v>755</v>
      </c>
      <c r="B420" s="4">
        <v>59</v>
      </c>
      <c r="C420" s="4" t="s">
        <v>71</v>
      </c>
      <c r="D420" s="4" t="s">
        <v>783</v>
      </c>
      <c r="E420" s="4" t="str">
        <f t="shared" si="22"/>
        <v>59|C</v>
      </c>
      <c r="F420" s="14">
        <f>INDEX('Emission Stepwise'!$H$2:$H$289,MATCH(E420,'Emission Stepwise'!$C$2:$C$289,0))</f>
        <v>6.3725490196078427E-2</v>
      </c>
      <c r="G420" s="14">
        <f>INDEX(Background!$C$4:$C$7,MATCH(C420,Background!$A$4:$A$7,0))</f>
        <v>0.27646770694842909</v>
      </c>
      <c r="H420" s="17">
        <f t="shared" si="23"/>
        <v>-1.4675093793122758</v>
      </c>
    </row>
    <row r="421" spans="1:8">
      <c r="A421" s="4" t="s">
        <v>755</v>
      </c>
      <c r="B421" s="4">
        <v>60</v>
      </c>
      <c r="C421" s="4" t="s">
        <v>72</v>
      </c>
      <c r="D421" s="4" t="s">
        <v>783</v>
      </c>
      <c r="E421" s="4" t="str">
        <f t="shared" si="22"/>
        <v>60|U</v>
      </c>
      <c r="F421" s="14">
        <f>INDEX('Emission Stepwise'!$H$2:$H$289,MATCH(E421,'Emission Stepwise'!$C$2:$C$289,0))</f>
        <v>0.77450980392156865</v>
      </c>
      <c r="G421" s="14">
        <f>INDEX(Background!$C$4:$C$7,MATCH(C421,Background!$A$4:$A$7,0))</f>
        <v>0.21314113777902177</v>
      </c>
      <c r="H421" s="17">
        <f t="shared" si="23"/>
        <v>1.290275753209438</v>
      </c>
    </row>
    <row r="422" spans="1:8">
      <c r="A422" s="4" t="s">
        <v>755</v>
      </c>
      <c r="B422" s="4">
        <v>61</v>
      </c>
      <c r="C422" s="4" t="s">
        <v>71</v>
      </c>
      <c r="D422" s="4" t="s">
        <v>783</v>
      </c>
      <c r="E422" s="4" t="str">
        <f t="shared" si="22"/>
        <v>61|C</v>
      </c>
      <c r="F422" s="14">
        <f>INDEX('Emission Stepwise'!$H$2:$H$289,MATCH(E422,'Emission Stepwise'!$C$2:$C$289,0))</f>
        <v>0.97549019607843135</v>
      </c>
      <c r="G422" s="14">
        <f>INDEX(Background!$C$4:$C$7,MATCH(C422,Background!$A$4:$A$7,0))</f>
        <v>0.27646770694842909</v>
      </c>
      <c r="H422" s="17">
        <f t="shared" si="23"/>
        <v>1.26084608795068</v>
      </c>
    </row>
    <row r="423" spans="1:8">
      <c r="A423" s="4" t="s">
        <v>755</v>
      </c>
      <c r="B423" s="4">
        <v>62</v>
      </c>
      <c r="C423" s="4" t="s">
        <v>72</v>
      </c>
      <c r="D423" s="4" t="s">
        <v>783</v>
      </c>
      <c r="E423" s="4" t="str">
        <f t="shared" si="22"/>
        <v>62|U</v>
      </c>
      <c r="F423" s="14">
        <f>INDEX('Emission Stepwise'!$H$2:$H$289,MATCH(E423,'Emission Stepwise'!$C$2:$C$289,0))</f>
        <v>0.13235294117647059</v>
      </c>
      <c r="G423" s="14">
        <f>INDEX(Background!$C$4:$C$7,MATCH(C423,Background!$A$4:$A$7,0))</f>
        <v>0.21314113777902177</v>
      </c>
      <c r="H423" s="17">
        <f t="shared" si="23"/>
        <v>-0.47648241381319967</v>
      </c>
    </row>
    <row r="424" spans="1:8">
      <c r="A424" s="4" t="s">
        <v>755</v>
      </c>
      <c r="B424" s="4">
        <v>63</v>
      </c>
      <c r="C424" s="4" t="s">
        <v>72</v>
      </c>
      <c r="D424" s="4" t="s">
        <v>783</v>
      </c>
      <c r="E424" s="4" t="str">
        <f t="shared" si="22"/>
        <v>63|U</v>
      </c>
      <c r="F424" s="14">
        <f>INDEX('Emission Stepwise'!$H$2:$H$289,MATCH(E424,'Emission Stepwise'!$C$2:$C$289,0))</f>
        <v>0.16176470588235295</v>
      </c>
      <c r="G424" s="14">
        <f>INDEX(Background!$C$4:$C$7,MATCH(C424,Background!$A$4:$A$7,0))</f>
        <v>0.21314113777902177</v>
      </c>
      <c r="H424" s="17">
        <f t="shared" si="23"/>
        <v>-0.27581171835104856</v>
      </c>
    </row>
    <row r="425" spans="1:8">
      <c r="A425" s="4" t="s">
        <v>755</v>
      </c>
      <c r="B425" s="4">
        <v>64</v>
      </c>
      <c r="C425" s="4" t="s">
        <v>72</v>
      </c>
      <c r="D425" s="4" t="s">
        <v>783</v>
      </c>
      <c r="E425" s="4" t="str">
        <f t="shared" si="22"/>
        <v>64|U</v>
      </c>
      <c r="F425" s="14">
        <f>INDEX('Emission Stepwise'!$H$2:$H$289,MATCH(E425,'Emission Stepwise'!$C$2:$C$289,0))</f>
        <v>0.16666666666666666</v>
      </c>
      <c r="G425" s="14">
        <f>INDEX(Background!$C$4:$C$7,MATCH(C425,Background!$A$4:$A$7,0))</f>
        <v>0.21314113777902177</v>
      </c>
      <c r="H425" s="17">
        <f t="shared" si="23"/>
        <v>-0.24595875520136748</v>
      </c>
    </row>
    <row r="426" spans="1:8">
      <c r="A426" s="4" t="s">
        <v>755</v>
      </c>
      <c r="B426" s="4">
        <v>65</v>
      </c>
      <c r="C426" s="4" t="s">
        <v>72</v>
      </c>
      <c r="D426" s="4" t="s">
        <v>783</v>
      </c>
      <c r="E426" s="4" t="str">
        <f t="shared" si="22"/>
        <v>65|U</v>
      </c>
      <c r="F426" s="14">
        <f>INDEX('Emission Stepwise'!$H$2:$H$289,MATCH(E426,'Emission Stepwise'!$C$2:$C$289,0))</f>
        <v>0.34975369458128081</v>
      </c>
      <c r="G426" s="14">
        <f>INDEX(Background!$C$4:$C$7,MATCH(C426,Background!$A$4:$A$7,0))</f>
        <v>0.21314113777902177</v>
      </c>
      <c r="H426" s="17">
        <f t="shared" si="23"/>
        <v>0.49527461202621575</v>
      </c>
    </row>
    <row r="427" spans="1:8">
      <c r="A427" s="4" t="s">
        <v>755</v>
      </c>
      <c r="B427" s="4">
        <v>66</v>
      </c>
      <c r="C427" s="4" t="s">
        <v>73</v>
      </c>
      <c r="D427" s="4" t="s">
        <v>784</v>
      </c>
      <c r="E427" s="4" t="str">
        <f t="shared" si="22"/>
        <v>66|A</v>
      </c>
      <c r="F427" s="14">
        <f>INDEX('Emission Stepwise'!$H$2:$H$289,MATCH(E427,'Emission Stepwise'!$C$2:$C$289,0))</f>
        <v>0.21568627450980393</v>
      </c>
      <c r="G427" s="14">
        <f>INDEX(Background!$C$4:$C$7,MATCH(C427,Background!$A$4:$A$7,0))</f>
        <v>0.18550136449513679</v>
      </c>
      <c r="H427" s="17">
        <f t="shared" si="23"/>
        <v>0.15076268126681408</v>
      </c>
    </row>
    <row r="428" spans="1:8">
      <c r="A428" s="4" t="s">
        <v>755</v>
      </c>
      <c r="B428" s="4">
        <v>67</v>
      </c>
      <c r="C428" s="4" t="s">
        <v>71</v>
      </c>
      <c r="D428" s="4" t="s">
        <v>784</v>
      </c>
      <c r="E428" s="4" t="str">
        <f t="shared" si="22"/>
        <v>67|C</v>
      </c>
      <c r="F428" s="14">
        <f>INDEX('Emission Stepwise'!$H$2:$H$289,MATCH(E428,'Emission Stepwise'!$C$2:$C$289,0))</f>
        <v>0.22549019607843138</v>
      </c>
      <c r="G428" s="14">
        <f>INDEX(Background!$C$4:$C$7,MATCH(C428,Background!$A$4:$A$7,0))</f>
        <v>0.27646770694842909</v>
      </c>
      <c r="H428" s="17">
        <f t="shared" si="23"/>
        <v>-0.20381734028471743</v>
      </c>
    </row>
    <row r="429" spans="1:8">
      <c r="A429" s="4" t="s">
        <v>755</v>
      </c>
      <c r="B429" s="4">
        <v>68</v>
      </c>
      <c r="C429" s="4" t="s">
        <v>72</v>
      </c>
      <c r="D429" s="4" t="s">
        <v>784</v>
      </c>
      <c r="E429" s="4" t="str">
        <f t="shared" si="22"/>
        <v>68|U</v>
      </c>
      <c r="F429" s="14">
        <f>INDEX('Emission Stepwise'!$H$2:$H$289,MATCH(E429,'Emission Stepwise'!$C$2:$C$289,0))</f>
        <v>0.18137254901960784</v>
      </c>
      <c r="G429" s="14">
        <f>INDEX(Background!$C$4:$C$7,MATCH(C429,Background!$A$4:$A$7,0))</f>
        <v>0.21314113777902177</v>
      </c>
      <c r="H429" s="17">
        <f t="shared" si="23"/>
        <v>-0.16140136717330436</v>
      </c>
    </row>
    <row r="430" spans="1:8">
      <c r="A430" s="4" t="s">
        <v>755</v>
      </c>
      <c r="B430" s="4">
        <v>69</v>
      </c>
      <c r="C430" s="4" t="s">
        <v>72</v>
      </c>
      <c r="D430" s="4" t="s">
        <v>784</v>
      </c>
      <c r="E430" s="4" t="str">
        <f t="shared" si="22"/>
        <v>69|U</v>
      </c>
      <c r="F430" s="14">
        <f>INDEX('Emission Stepwise'!$H$2:$H$289,MATCH(E430,'Emission Stepwise'!$C$2:$C$289,0))</f>
        <v>8.8235294117647065E-2</v>
      </c>
      <c r="G430" s="14">
        <f>INDEX(Background!$C$4:$C$7,MATCH(C430,Background!$A$4:$A$7,0))</f>
        <v>0.21314113777902177</v>
      </c>
      <c r="H430" s="17">
        <f t="shared" si="23"/>
        <v>-0.88194752192136405</v>
      </c>
    </row>
    <row r="431" spans="1:8">
      <c r="A431" s="4" t="s">
        <v>755</v>
      </c>
      <c r="B431" s="4">
        <v>70</v>
      </c>
      <c r="C431" s="4" t="s">
        <v>71</v>
      </c>
      <c r="D431" s="4" t="s">
        <v>784</v>
      </c>
      <c r="E431" s="4" t="str">
        <f t="shared" si="22"/>
        <v>70|C</v>
      </c>
      <c r="F431" s="14">
        <f>INDEX('Emission Stepwise'!$H$2:$H$289,MATCH(E431,'Emission Stepwise'!$C$2:$C$289,0))</f>
        <v>0.35784313725490197</v>
      </c>
      <c r="G431" s="14">
        <f>INDEX(Background!$C$4:$C$7,MATCH(C431,Background!$A$4:$A$7,0))</f>
        <v>0.27646770694842909</v>
      </c>
      <c r="H431" s="17">
        <f t="shared" si="23"/>
        <v>0.25800070437457878</v>
      </c>
    </row>
    <row r="432" spans="1:8">
      <c r="A432" s="4" t="s">
        <v>755</v>
      </c>
      <c r="B432" s="4">
        <v>71</v>
      </c>
      <c r="C432" s="4" t="s">
        <v>73</v>
      </c>
      <c r="D432" s="4" t="s">
        <v>784</v>
      </c>
      <c r="E432" s="4" t="str">
        <f t="shared" si="22"/>
        <v>71|A</v>
      </c>
      <c r="F432" s="14">
        <f>INDEX('Emission Stepwise'!$H$2:$H$289,MATCH(E432,'Emission Stepwise'!$C$2:$C$289,0))</f>
        <v>2.9411764705882353E-2</v>
      </c>
      <c r="G432" s="14">
        <f>INDEX(Background!$C$4:$C$7,MATCH(C432,Background!$A$4:$A$7,0))</f>
        <v>0.18550136449513679</v>
      </c>
      <c r="H432" s="17">
        <f t="shared" si="23"/>
        <v>-1.8416674834233921</v>
      </c>
    </row>
    <row r="433" spans="1:8">
      <c r="A433" s="4" t="s">
        <v>755</v>
      </c>
      <c r="B433" s="4">
        <v>72</v>
      </c>
      <c r="C433" s="4" t="s">
        <v>70</v>
      </c>
      <c r="D433" s="4" t="s">
        <v>784</v>
      </c>
      <c r="E433" s="4" t="str">
        <f t="shared" si="22"/>
        <v>72|G</v>
      </c>
      <c r="F433" s="14">
        <f>INDEX('Emission Stepwise'!$H$2:$H$289,MATCH(E433,'Emission Stepwise'!$C$2:$C$289,0))</f>
        <v>9.3137254901960786E-2</v>
      </c>
      <c r="G433" s="14">
        <f>INDEX(Background!$C$4:$C$7,MATCH(C433,Background!$A$4:$A$7,0))</f>
        <v>0.32488979077741237</v>
      </c>
      <c r="H433" s="17">
        <f t="shared" si="23"/>
        <v>-1.249411755215903</v>
      </c>
    </row>
    <row r="434" spans="1:8">
      <c r="A434" s="4" t="s">
        <v>756</v>
      </c>
      <c r="B434" s="4">
        <v>1</v>
      </c>
      <c r="C434" s="4" t="s">
        <v>72</v>
      </c>
      <c r="D434" s="4" t="s">
        <v>778</v>
      </c>
      <c r="E434" s="4" t="str">
        <f t="shared" si="22"/>
        <v>1|U</v>
      </c>
      <c r="F434" s="14">
        <f>INDEX('Emission Stepwise'!$H$2:$H$289,MATCH(E434,'Emission Stepwise'!$C$2:$C$289,0))</f>
        <v>6.8627450980392163E-2</v>
      </c>
      <c r="G434" s="14">
        <f>INDEX(Background!$C$4:$C$7,MATCH(C434,Background!$A$4:$A$7,0))</f>
        <v>0.21314113777902177</v>
      </c>
      <c r="H434" s="17">
        <f t="shared" si="23"/>
        <v>-1.1332619502022701</v>
      </c>
    </row>
    <row r="435" spans="1:8">
      <c r="A435" s="4" t="s">
        <v>756</v>
      </c>
      <c r="B435" s="4">
        <v>2</v>
      </c>
      <c r="C435" s="4" t="s">
        <v>70</v>
      </c>
      <c r="D435" s="4" t="s">
        <v>778</v>
      </c>
      <c r="E435" s="4" t="str">
        <f t="shared" si="22"/>
        <v>2|G</v>
      </c>
      <c r="F435" s="14">
        <f>INDEX('Emission Stepwise'!$H$2:$H$289,MATCH(E435,'Emission Stepwise'!$C$2:$C$289,0))</f>
        <v>0.52450980392156865</v>
      </c>
      <c r="G435" s="14">
        <f>INDEX(Background!$C$4:$C$7,MATCH(C435,Background!$A$4:$A$7,0))</f>
        <v>0.32488979077741237</v>
      </c>
      <c r="H435" s="17">
        <f t="shared" si="23"/>
        <v>0.47897810007956287</v>
      </c>
    </row>
    <row r="436" spans="1:8">
      <c r="A436" s="4" t="s">
        <v>756</v>
      </c>
      <c r="B436" s="4">
        <v>3</v>
      </c>
      <c r="C436" s="4" t="s">
        <v>70</v>
      </c>
      <c r="D436" s="4" t="s">
        <v>778</v>
      </c>
      <c r="E436" s="4" t="str">
        <f t="shared" si="22"/>
        <v>3|G</v>
      </c>
      <c r="F436" s="14">
        <f>INDEX('Emission Stepwise'!$H$2:$H$289,MATCH(E436,'Emission Stepwise'!$C$2:$C$289,0))</f>
        <v>0.4264705882352941</v>
      </c>
      <c r="G436" s="14">
        <f>INDEX(Background!$C$4:$C$7,MATCH(C436,Background!$A$4:$A$7,0))</f>
        <v>0.32488979077741237</v>
      </c>
      <c r="H436" s="17">
        <f t="shared" si="23"/>
        <v>0.27205738427224041</v>
      </c>
    </row>
    <row r="437" spans="1:8">
      <c r="A437" s="4" t="s">
        <v>756</v>
      </c>
      <c r="B437" s="4">
        <v>4</v>
      </c>
      <c r="C437" s="4" t="s">
        <v>72</v>
      </c>
      <c r="D437" s="4" t="s">
        <v>778</v>
      </c>
      <c r="E437" s="4" t="str">
        <f t="shared" si="22"/>
        <v>4|U</v>
      </c>
      <c r="F437" s="14">
        <f>INDEX('Emission Stepwise'!$H$2:$H$289,MATCH(E437,'Emission Stepwise'!$C$2:$C$289,0))</f>
        <v>0.17156862745098039</v>
      </c>
      <c r="G437" s="14">
        <f>INDEX(Background!$C$4:$C$7,MATCH(C437,Background!$A$4:$A$7,0))</f>
        <v>0.21314113777902177</v>
      </c>
      <c r="H437" s="17">
        <f t="shared" si="23"/>
        <v>-0.21697121832811511</v>
      </c>
    </row>
    <row r="438" spans="1:8">
      <c r="A438" s="4" t="s">
        <v>756</v>
      </c>
      <c r="B438" s="4">
        <v>5</v>
      </c>
      <c r="C438" s="4" t="s">
        <v>71</v>
      </c>
      <c r="D438" s="4" t="s">
        <v>778</v>
      </c>
      <c r="E438" s="4" t="str">
        <f t="shared" si="22"/>
        <v>5|C</v>
      </c>
      <c r="F438" s="14">
        <f>INDEX('Emission Stepwise'!$H$2:$H$289,MATCH(E438,'Emission Stepwise'!$C$2:$C$289,0))</f>
        <v>0.39215686274509803</v>
      </c>
      <c r="G438" s="14">
        <f>INDEX(Background!$C$4:$C$7,MATCH(C438,Background!$A$4:$A$7,0))</f>
        <v>0.27646770694842909</v>
      </c>
      <c r="H438" s="17">
        <f t="shared" si="23"/>
        <v>0.3495678979000692</v>
      </c>
    </row>
    <row r="439" spans="1:8">
      <c r="A439" s="4" t="s">
        <v>756</v>
      </c>
      <c r="B439" s="4">
        <v>6</v>
      </c>
      <c r="C439" s="4" t="s">
        <v>71</v>
      </c>
      <c r="D439" s="4" t="s">
        <v>778</v>
      </c>
      <c r="E439" s="4" t="str">
        <f t="shared" si="22"/>
        <v>6|C</v>
      </c>
      <c r="F439" s="14">
        <f>INDEX('Emission Stepwise'!$H$2:$H$289,MATCH(E439,'Emission Stepwise'!$C$2:$C$289,0))</f>
        <v>0.3235294117647059</v>
      </c>
      <c r="G439" s="14">
        <f>INDEX(Background!$C$4:$C$7,MATCH(C439,Background!$A$4:$A$7,0))</f>
        <v>0.27646770694842909</v>
      </c>
      <c r="H439" s="17">
        <f t="shared" si="23"/>
        <v>0.15719600525261329</v>
      </c>
    </row>
    <row r="440" spans="1:8">
      <c r="A440" s="4" t="s">
        <v>756</v>
      </c>
      <c r="B440" s="4">
        <v>7</v>
      </c>
      <c r="C440" s="4" t="s">
        <v>73</v>
      </c>
      <c r="D440" s="4" t="s">
        <v>778</v>
      </c>
      <c r="E440" s="4" t="str">
        <f t="shared" si="22"/>
        <v>7|A</v>
      </c>
      <c r="F440" s="14">
        <f>INDEX('Emission Stepwise'!$H$2:$H$289,MATCH(E440,'Emission Stepwise'!$C$2:$C$289,0))</f>
        <v>0.24019607843137256</v>
      </c>
      <c r="G440" s="14">
        <f>INDEX(Background!$C$4:$C$7,MATCH(C440,Background!$A$4:$A$7,0))</f>
        <v>0.18550136449513679</v>
      </c>
      <c r="H440" s="17">
        <f t="shared" si="23"/>
        <v>0.25839334545917952</v>
      </c>
    </row>
    <row r="441" spans="1:8">
      <c r="A441" s="4" t="s">
        <v>756</v>
      </c>
      <c r="B441" s="4">
        <v>8</v>
      </c>
      <c r="C441" s="4" t="s">
        <v>72</v>
      </c>
      <c r="D441" s="4" t="s">
        <v>779</v>
      </c>
      <c r="E441" s="4" t="str">
        <f t="shared" si="22"/>
        <v>8|U</v>
      </c>
      <c r="F441" s="14">
        <f>INDEX('Emission Stepwise'!$H$2:$H$289,MATCH(E441,'Emission Stepwise'!$C$2:$C$289,0))</f>
        <v>0.97549019607843135</v>
      </c>
      <c r="G441" s="14">
        <f>INDEX(Background!$C$4:$C$7,MATCH(C441,Background!$A$4:$A$7,0))</f>
        <v>0.21314113777902177</v>
      </c>
      <c r="H441" s="17">
        <f t="shared" si="23"/>
        <v>1.5209855449069636</v>
      </c>
    </row>
    <row r="442" spans="1:8">
      <c r="A442" s="4" t="s">
        <v>756</v>
      </c>
      <c r="B442" s="4">
        <v>9</v>
      </c>
      <c r="C442" s="4" t="s">
        <v>72</v>
      </c>
      <c r="D442" s="4" t="s">
        <v>780</v>
      </c>
      <c r="E442" s="4" t="str">
        <f t="shared" ref="E442:E473" si="24">B442&amp;"|"&amp;C442</f>
        <v>9|U</v>
      </c>
      <c r="F442" s="14">
        <f>INDEX('Emission Stepwise'!$H$2:$H$289,MATCH(E442,'Emission Stepwise'!$C$2:$C$289,0))</f>
        <v>4.9261083743842365E-3</v>
      </c>
      <c r="G442" s="14">
        <f>INDEX(Background!$C$4:$C$7,MATCH(C442,Background!$A$4:$A$7,0))</f>
        <v>0.21314113777902177</v>
      </c>
      <c r="H442" s="17">
        <f t="shared" ref="H442:H473" si="25">LN(F442/G442)</f>
        <v>-3.7674052650150998</v>
      </c>
    </row>
    <row r="443" spans="1:8">
      <c r="A443" s="4" t="s">
        <v>756</v>
      </c>
      <c r="B443" s="4">
        <v>10</v>
      </c>
      <c r="C443" s="4" t="s">
        <v>72</v>
      </c>
      <c r="D443" s="4" t="s">
        <v>780</v>
      </c>
      <c r="E443" s="4" t="str">
        <f t="shared" si="24"/>
        <v>10|U</v>
      </c>
      <c r="F443" s="14">
        <f>INDEX('Emission Stepwise'!$H$2:$H$289,MATCH(E443,'Emission Stepwise'!$C$2:$C$289,0))</f>
        <v>4.9019607843137254E-3</v>
      </c>
      <c r="G443" s="14">
        <f>INDEX(Background!$C$4:$C$7,MATCH(C443,Background!$A$4:$A$7,0))</f>
        <v>0.21314113777902177</v>
      </c>
      <c r="H443" s="17">
        <f t="shared" si="25"/>
        <v>-3.7723192798175287</v>
      </c>
    </row>
    <row r="444" spans="1:8">
      <c r="A444" s="4" t="s">
        <v>756</v>
      </c>
      <c r="B444" s="4">
        <v>11</v>
      </c>
      <c r="C444" s="4" t="s">
        <v>72</v>
      </c>
      <c r="D444" s="4" t="s">
        <v>780</v>
      </c>
      <c r="E444" s="4" t="str">
        <f t="shared" si="24"/>
        <v>11|U</v>
      </c>
      <c r="F444" s="14">
        <f>INDEX('Emission Stepwise'!$H$2:$H$289,MATCH(E444,'Emission Stepwise'!$C$2:$C$289,0))</f>
        <v>0.20098039215686275</v>
      </c>
      <c r="G444" s="14">
        <f>INDEX(Background!$C$4:$C$7,MATCH(C444,Background!$A$4:$A$7,0))</f>
        <v>0.21314113777902177</v>
      </c>
      <c r="H444" s="17">
        <f t="shared" si="25"/>
        <v>-5.8747213113220911E-2</v>
      </c>
    </row>
    <row r="445" spans="1:8">
      <c r="A445" s="4" t="s">
        <v>756</v>
      </c>
      <c r="B445" s="4">
        <v>12</v>
      </c>
      <c r="C445" s="4" t="s">
        <v>72</v>
      </c>
      <c r="D445" s="4" t="s">
        <v>780</v>
      </c>
      <c r="E445" s="4" t="str">
        <f t="shared" si="24"/>
        <v>12|U</v>
      </c>
      <c r="F445" s="14">
        <f>INDEX('Emission Stepwise'!$H$2:$H$289,MATCH(E445,'Emission Stepwise'!$C$2:$C$289,0))</f>
        <v>0.59313725490196079</v>
      </c>
      <c r="G445" s="14">
        <f>INDEX(Background!$C$4:$C$7,MATCH(C445,Background!$A$4:$A$7,0))</f>
        <v>0.21314113777902177</v>
      </c>
      <c r="H445" s="17">
        <f t="shared" si="25"/>
        <v>1.0234712657792122</v>
      </c>
    </row>
    <row r="446" spans="1:8">
      <c r="A446" s="4" t="s">
        <v>756</v>
      </c>
      <c r="B446" s="4">
        <v>13</v>
      </c>
      <c r="C446" s="4" t="s">
        <v>71</v>
      </c>
      <c r="D446" s="4" t="s">
        <v>780</v>
      </c>
      <c r="E446" s="4" t="str">
        <f t="shared" si="24"/>
        <v>13|C</v>
      </c>
      <c r="F446" s="14">
        <f>INDEX('Emission Stepwise'!$H$2:$H$289,MATCH(E446,'Emission Stepwise'!$C$2:$C$289,0))</f>
        <v>0.64215686274509809</v>
      </c>
      <c r="G446" s="14">
        <f>INDEX(Background!$C$4:$C$7,MATCH(C446,Background!$A$4:$A$7,0))</f>
        <v>0.27646770694842909</v>
      </c>
      <c r="H446" s="17">
        <f t="shared" si="25"/>
        <v>0.84273858642733934</v>
      </c>
    </row>
    <row r="447" spans="1:8">
      <c r="A447" s="4" t="s">
        <v>756</v>
      </c>
      <c r="B447" s="4">
        <v>14</v>
      </c>
      <c r="C447" s="4" t="s">
        <v>70</v>
      </c>
      <c r="D447" s="4" t="s">
        <v>780</v>
      </c>
      <c r="E447" s="4" t="str">
        <f t="shared" si="24"/>
        <v>14|G</v>
      </c>
      <c r="F447" s="14">
        <f>INDEX('Emission Stepwise'!$H$2:$H$289,MATCH(E447,'Emission Stepwise'!$C$2:$C$289,0))</f>
        <v>9.8039215686274508E-3</v>
      </c>
      <c r="G447" s="14">
        <f>INDEX(Background!$C$4:$C$7,MATCH(C447,Background!$A$4:$A$7,0))</f>
        <v>0.32488979077741237</v>
      </c>
      <c r="H447" s="17">
        <f t="shared" si="25"/>
        <v>-3.5007035538223983</v>
      </c>
    </row>
    <row r="448" spans="1:8">
      <c r="A448" s="4" t="s">
        <v>756</v>
      </c>
      <c r="B448" s="4">
        <v>15</v>
      </c>
      <c r="C448" s="4" t="s">
        <v>70</v>
      </c>
      <c r="D448" s="4" t="s">
        <v>780</v>
      </c>
      <c r="E448" s="4" t="str">
        <f t="shared" si="24"/>
        <v>15|G</v>
      </c>
      <c r="F448" s="14">
        <f>INDEX('Emission Stepwise'!$H$2:$H$289,MATCH(E448,'Emission Stepwise'!$C$2:$C$289,0))</f>
        <v>0.80295566502463056</v>
      </c>
      <c r="G448" s="14">
        <f>INDEX(Background!$C$4:$C$7,MATCH(C448,Background!$A$4:$A$7,0))</f>
        <v>0.32488979077741237</v>
      </c>
      <c r="H448" s="17">
        <f t="shared" si="25"/>
        <v>0.90481348122684802</v>
      </c>
    </row>
    <row r="449" spans="1:8">
      <c r="A449" s="4" t="s">
        <v>756</v>
      </c>
      <c r="B449" s="4">
        <v>16</v>
      </c>
      <c r="C449" s="4" t="s">
        <v>71</v>
      </c>
      <c r="D449" s="4" t="s">
        <v>780</v>
      </c>
      <c r="E449" s="4" t="str">
        <f t="shared" si="24"/>
        <v>16|C</v>
      </c>
      <c r="F449" s="14">
        <f>INDEX('Emission Stepwise'!$H$2:$H$289,MATCH(E449,'Emission Stepwise'!$C$2:$C$289,0))</f>
        <v>0.35766423357664234</v>
      </c>
      <c r="G449" s="14">
        <f>INDEX(Background!$C$4:$C$7,MATCH(C449,Background!$A$4:$A$7,0))</f>
        <v>0.27646770694842909</v>
      </c>
      <c r="H449" s="17">
        <f t="shared" si="25"/>
        <v>0.25750062935290569</v>
      </c>
    </row>
    <row r="450" spans="1:8">
      <c r="A450" s="4" t="s">
        <v>756</v>
      </c>
      <c r="B450" s="4">
        <v>17</v>
      </c>
      <c r="C450" s="4" t="s">
        <v>71</v>
      </c>
      <c r="D450" s="4" t="s">
        <v>780</v>
      </c>
      <c r="E450" s="4" t="str">
        <f t="shared" si="24"/>
        <v>17|C</v>
      </c>
      <c r="F450" s="14">
        <f>INDEX('Emission Stepwise'!$H$2:$H$289,MATCH(E450,'Emission Stepwise'!$C$2:$C$289,0))</f>
        <v>0.31840796019900497</v>
      </c>
      <c r="G450" s="14">
        <f>INDEX(Background!$C$4:$C$7,MATCH(C450,Background!$A$4:$A$7,0))</f>
        <v>0.27646770694842909</v>
      </c>
      <c r="H450" s="17">
        <f t="shared" si="25"/>
        <v>0.14123943237100009</v>
      </c>
    </row>
    <row r="451" spans="1:8">
      <c r="A451" s="4" t="s">
        <v>756</v>
      </c>
      <c r="B451" s="4">
        <v>18</v>
      </c>
      <c r="C451" s="4" t="s">
        <v>70</v>
      </c>
      <c r="D451" s="4" t="s">
        <v>780</v>
      </c>
      <c r="E451" s="4" t="str">
        <f t="shared" si="24"/>
        <v>18|G</v>
      </c>
      <c r="F451" s="14">
        <f>INDEX('Emission Stepwise'!$H$2:$H$289,MATCH(E451,'Emission Stepwise'!$C$2:$C$289,0))</f>
        <v>0.98039215686274506</v>
      </c>
      <c r="G451" s="14">
        <f>INDEX(Background!$C$4:$C$7,MATCH(C451,Background!$A$4:$A$7,0))</f>
        <v>0.32488979077741237</v>
      </c>
      <c r="H451" s="17">
        <f t="shared" si="25"/>
        <v>1.1044666321656933</v>
      </c>
    </row>
    <row r="452" spans="1:8">
      <c r="A452" s="4" t="s">
        <v>756</v>
      </c>
      <c r="B452" s="4">
        <v>19</v>
      </c>
      <c r="C452" s="4" t="s">
        <v>70</v>
      </c>
      <c r="D452" s="4" t="s">
        <v>780</v>
      </c>
      <c r="E452" s="4" t="str">
        <f t="shared" si="24"/>
        <v>19|G</v>
      </c>
      <c r="F452" s="14">
        <f>INDEX('Emission Stepwise'!$H$2:$H$289,MATCH(E452,'Emission Stepwise'!$C$2:$C$289,0))</f>
        <v>0.97058823529411764</v>
      </c>
      <c r="G452" s="14">
        <f>INDEX(Background!$C$4:$C$7,MATCH(C452,Background!$A$4:$A$7,0))</f>
        <v>0.32488979077741237</v>
      </c>
      <c r="H452" s="17">
        <f t="shared" si="25"/>
        <v>1.0944162963121917</v>
      </c>
    </row>
    <row r="453" spans="1:8">
      <c r="A453" s="4" t="s">
        <v>756</v>
      </c>
      <c r="B453" s="4">
        <v>20</v>
      </c>
      <c r="C453" s="4" t="s">
        <v>71</v>
      </c>
      <c r="D453" s="4" t="s">
        <v>780</v>
      </c>
      <c r="E453" s="4" t="str">
        <f t="shared" si="24"/>
        <v>20|C</v>
      </c>
      <c r="F453" s="14">
        <f>INDEX('Emission Stepwise'!$H$2:$H$289,MATCH(E453,'Emission Stepwise'!$C$2:$C$289,0))</f>
        <v>0.22660098522167488</v>
      </c>
      <c r="G453" s="14">
        <f>INDEX(Background!$C$4:$C$7,MATCH(C453,Background!$A$4:$A$7,0))</f>
        <v>0.27646770694842909</v>
      </c>
      <c r="H453" s="17">
        <f t="shared" si="25"/>
        <v>-0.19890332548228834</v>
      </c>
    </row>
    <row r="454" spans="1:8">
      <c r="A454" s="4" t="s">
        <v>756</v>
      </c>
      <c r="B454" s="4">
        <v>21</v>
      </c>
      <c r="C454" s="4" t="s">
        <v>70</v>
      </c>
      <c r="D454" s="4" t="s">
        <v>780</v>
      </c>
      <c r="E454" s="4" t="str">
        <f t="shared" si="24"/>
        <v>21|G</v>
      </c>
      <c r="F454" s="14">
        <f>INDEX('Emission Stepwise'!$H$2:$H$289,MATCH(E454,'Emission Stepwise'!$C$2:$C$289,0))</f>
        <v>3.9215686274509803E-2</v>
      </c>
      <c r="G454" s="14">
        <f>INDEX(Background!$C$4:$C$7,MATCH(C454,Background!$A$4:$A$7,0))</f>
        <v>0.32488979077741237</v>
      </c>
      <c r="H454" s="17">
        <f t="shared" si="25"/>
        <v>-2.1144091927025075</v>
      </c>
    </row>
    <row r="455" spans="1:8">
      <c r="A455" s="4" t="s">
        <v>756</v>
      </c>
      <c r="B455" s="4">
        <v>22</v>
      </c>
      <c r="C455" s="4" t="s">
        <v>70</v>
      </c>
      <c r="D455" s="4" t="s">
        <v>780</v>
      </c>
      <c r="E455" s="4" t="str">
        <f t="shared" si="24"/>
        <v>22|G</v>
      </c>
      <c r="F455" s="14">
        <f>INDEX('Emission Stepwise'!$H$2:$H$289,MATCH(E455,'Emission Stepwise'!$C$2:$C$289,0))</f>
        <v>0.71568627450980393</v>
      </c>
      <c r="G455" s="14">
        <f>INDEX(Background!$C$4:$C$7,MATCH(C455,Background!$A$4:$A$7,0))</f>
        <v>0.32488979077741237</v>
      </c>
      <c r="H455" s="17">
        <f t="shared" si="25"/>
        <v>0.789755887325993</v>
      </c>
    </row>
    <row r="456" spans="1:8">
      <c r="A456" s="4" t="s">
        <v>756</v>
      </c>
      <c r="B456" s="4">
        <v>23</v>
      </c>
      <c r="C456" s="4" t="s">
        <v>70</v>
      </c>
      <c r="D456" s="4" t="s">
        <v>780</v>
      </c>
      <c r="E456" s="4" t="str">
        <f t="shared" si="24"/>
        <v>23|G</v>
      </c>
      <c r="F456" s="14">
        <f>INDEX('Emission Stepwise'!$H$2:$H$289,MATCH(E456,'Emission Stepwise'!$C$2:$C$289,0))</f>
        <v>0.14705882352941177</v>
      </c>
      <c r="G456" s="14">
        <f>INDEX(Background!$C$4:$C$7,MATCH(C456,Background!$A$4:$A$7,0))</f>
        <v>0.32488979077741237</v>
      </c>
      <c r="H456" s="17">
        <f t="shared" si="25"/>
        <v>-0.792653352720188</v>
      </c>
    </row>
    <row r="457" spans="1:8">
      <c r="A457" s="4" t="s">
        <v>756</v>
      </c>
      <c r="B457" s="4">
        <v>24</v>
      </c>
      <c r="C457" s="4" t="s">
        <v>73</v>
      </c>
      <c r="D457" s="4" t="s">
        <v>780</v>
      </c>
      <c r="E457" s="4" t="str">
        <f t="shared" si="24"/>
        <v>24|A</v>
      </c>
      <c r="F457" s="14">
        <f>INDEX('Emission Stepwise'!$H$2:$H$289,MATCH(E457,'Emission Stepwise'!$C$2:$C$289,0))</f>
        <v>0.18627450980392157</v>
      </c>
      <c r="G457" s="14">
        <f>INDEX(Background!$C$4:$C$7,MATCH(C457,Background!$A$4:$A$7,0))</f>
        <v>0.18550136449513679</v>
      </c>
      <c r="H457" s="17">
        <f t="shared" si="25"/>
        <v>4.1592070749386289E-3</v>
      </c>
    </row>
    <row r="458" spans="1:8">
      <c r="A458" s="4" t="s">
        <v>756</v>
      </c>
      <c r="B458" s="4">
        <v>25</v>
      </c>
      <c r="C458" s="4" t="s">
        <v>70</v>
      </c>
      <c r="D458" s="4" t="s">
        <v>780</v>
      </c>
      <c r="E458" s="4" t="str">
        <f t="shared" si="24"/>
        <v>25|G</v>
      </c>
      <c r="F458" s="14">
        <f>INDEX('Emission Stepwise'!$H$2:$H$289,MATCH(E458,'Emission Stepwise'!$C$2:$C$289,0))</f>
        <v>3.9215686274509803E-2</v>
      </c>
      <c r="G458" s="14">
        <f>INDEX(Background!$C$4:$C$7,MATCH(C458,Background!$A$4:$A$7,0))</f>
        <v>0.32488979077741237</v>
      </c>
      <c r="H458" s="17">
        <f t="shared" si="25"/>
        <v>-2.1144091927025075</v>
      </c>
    </row>
    <row r="459" spans="1:8">
      <c r="A459" s="4" t="s">
        <v>756</v>
      </c>
      <c r="B459" s="4">
        <v>26</v>
      </c>
      <c r="C459" s="4" t="s">
        <v>70</v>
      </c>
      <c r="D459" s="4" t="s">
        <v>781</v>
      </c>
      <c r="E459" s="4" t="str">
        <f t="shared" si="24"/>
        <v>26|G</v>
      </c>
      <c r="F459" s="14">
        <f>INDEX('Emission Stepwise'!$H$2:$H$289,MATCH(E459,'Emission Stepwise'!$C$2:$C$289,0))</f>
        <v>0.49509803921568629</v>
      </c>
      <c r="G459" s="14">
        <f>INDEX(Background!$C$4:$C$7,MATCH(C459,Background!$A$4:$A$7,0))</f>
        <v>0.32488979077741237</v>
      </c>
      <c r="H459" s="17">
        <f t="shared" si="25"/>
        <v>0.42126978245891616</v>
      </c>
    </row>
    <row r="460" spans="1:8">
      <c r="A460" s="4" t="s">
        <v>756</v>
      </c>
      <c r="B460" s="4">
        <v>27</v>
      </c>
      <c r="C460" s="4" t="s">
        <v>73</v>
      </c>
      <c r="D460" s="4" t="s">
        <v>781</v>
      </c>
      <c r="E460" s="4" t="str">
        <f t="shared" si="24"/>
        <v>27|A</v>
      </c>
      <c r="F460" s="14">
        <f>INDEX('Emission Stepwise'!$H$2:$H$289,MATCH(E460,'Emission Stepwise'!$C$2:$C$289,0))</f>
        <v>0.12254901960784313</v>
      </c>
      <c r="G460" s="14">
        <f>INDEX(Background!$C$4:$C$7,MATCH(C460,Background!$A$4:$A$7,0))</f>
        <v>0.18550136449513679</v>
      </c>
      <c r="H460" s="17">
        <f t="shared" si="25"/>
        <v>-0.41455112778324649</v>
      </c>
    </row>
    <row r="461" spans="1:8">
      <c r="A461" s="4" t="s">
        <v>756</v>
      </c>
      <c r="B461" s="4">
        <v>28</v>
      </c>
      <c r="C461" s="4" t="s">
        <v>70</v>
      </c>
      <c r="D461" s="4" t="s">
        <v>781</v>
      </c>
      <c r="E461" s="4" t="str">
        <f t="shared" si="24"/>
        <v>28|G</v>
      </c>
      <c r="F461" s="14">
        <f>INDEX('Emission Stepwise'!$H$2:$H$289,MATCH(E461,'Emission Stepwise'!$C$2:$C$289,0))</f>
        <v>0.11274509803921569</v>
      </c>
      <c r="G461" s="14">
        <f>INDEX(Background!$C$4:$C$7,MATCH(C461,Background!$A$4:$A$7,0))</f>
        <v>0.32488979077741237</v>
      </c>
      <c r="H461" s="17">
        <f t="shared" si="25"/>
        <v>-1.0583565184531936</v>
      </c>
    </row>
    <row r="462" spans="1:8">
      <c r="A462" s="4" t="s">
        <v>756</v>
      </c>
      <c r="B462" s="4">
        <v>29</v>
      </c>
      <c r="C462" s="4" t="s">
        <v>73</v>
      </c>
      <c r="D462" s="4" t="s">
        <v>781</v>
      </c>
      <c r="E462" s="4" t="str">
        <f t="shared" si="24"/>
        <v>29|A</v>
      </c>
      <c r="F462" s="14">
        <f>INDEX('Emission Stepwise'!$H$2:$H$289,MATCH(E462,'Emission Stepwise'!$C$2:$C$289,0))</f>
        <v>0.16176470588235295</v>
      </c>
      <c r="G462" s="14">
        <f>INDEX(Background!$C$4:$C$7,MATCH(C462,Background!$A$4:$A$7,0))</f>
        <v>0.18550136449513679</v>
      </c>
      <c r="H462" s="17">
        <f t="shared" si="25"/>
        <v>-0.13691939118496679</v>
      </c>
    </row>
    <row r="463" spans="1:8">
      <c r="A463" s="4" t="s">
        <v>756</v>
      </c>
      <c r="B463" s="4">
        <v>30</v>
      </c>
      <c r="C463" s="4" t="s">
        <v>73</v>
      </c>
      <c r="D463" s="4" t="s">
        <v>781</v>
      </c>
      <c r="E463" s="4" t="str">
        <f t="shared" si="24"/>
        <v>30|A</v>
      </c>
      <c r="F463" s="14">
        <f>INDEX('Emission Stepwise'!$H$2:$H$289,MATCH(E463,'Emission Stepwise'!$C$2:$C$289,0))</f>
        <v>4.9019607843137254E-3</v>
      </c>
      <c r="G463" s="14">
        <f>INDEX(Background!$C$4:$C$7,MATCH(C463,Background!$A$4:$A$7,0))</f>
        <v>0.18550136449513679</v>
      </c>
      <c r="H463" s="17">
        <f t="shared" si="25"/>
        <v>-3.6334269526514471</v>
      </c>
    </row>
    <row r="464" spans="1:8">
      <c r="A464" s="4" t="s">
        <v>756</v>
      </c>
      <c r="B464" s="4">
        <v>31</v>
      </c>
      <c r="C464" s="4" t="s">
        <v>73</v>
      </c>
      <c r="D464" s="4" t="s">
        <v>781</v>
      </c>
      <c r="E464" s="4" t="str">
        <f t="shared" si="24"/>
        <v>31|A</v>
      </c>
      <c r="F464" s="14">
        <f>INDEX('Emission Stepwise'!$H$2:$H$289,MATCH(E464,'Emission Stepwise'!$C$2:$C$289,0))</f>
        <v>0.26960784313725489</v>
      </c>
      <c r="G464" s="14">
        <f>INDEX(Background!$C$4:$C$7,MATCH(C464,Background!$A$4:$A$7,0))</f>
        <v>0.18550136449513679</v>
      </c>
      <c r="H464" s="17">
        <f t="shared" si="25"/>
        <v>0.37390623258102373</v>
      </c>
    </row>
    <row r="465" spans="1:8">
      <c r="A465" s="4" t="s">
        <v>756</v>
      </c>
      <c r="B465" s="4">
        <v>32</v>
      </c>
      <c r="C465" s="4" t="s">
        <v>73</v>
      </c>
      <c r="D465" s="4" t="s">
        <v>781</v>
      </c>
      <c r="E465" s="4" t="str">
        <f t="shared" si="24"/>
        <v>32|A</v>
      </c>
      <c r="F465" s="14">
        <f>INDEX('Emission Stepwise'!$H$2:$H$289,MATCH(E465,'Emission Stepwise'!$C$2:$C$289,0))</f>
        <v>3.4313725490196081E-2</v>
      </c>
      <c r="G465" s="14">
        <f>INDEX(Background!$C$4:$C$7,MATCH(C465,Background!$A$4:$A$7,0))</f>
        <v>0.18550136449513679</v>
      </c>
      <c r="H465" s="17">
        <f t="shared" si="25"/>
        <v>-1.6875168035961337</v>
      </c>
    </row>
    <row r="466" spans="1:8">
      <c r="A466" s="4" t="s">
        <v>756</v>
      </c>
      <c r="B466" s="4">
        <v>33</v>
      </c>
      <c r="C466" s="4" t="s">
        <v>72</v>
      </c>
      <c r="D466" s="4" t="s">
        <v>781</v>
      </c>
      <c r="E466" s="4" t="str">
        <f t="shared" si="24"/>
        <v>33|U</v>
      </c>
      <c r="F466" s="14">
        <f>INDEX('Emission Stepwise'!$H$2:$H$289,MATCH(E466,'Emission Stepwise'!$C$2:$C$289,0))</f>
        <v>0.97549019607843135</v>
      </c>
      <c r="G466" s="14">
        <f>INDEX(Background!$C$4:$C$7,MATCH(C466,Background!$A$4:$A$7,0))</f>
        <v>0.21314113777902177</v>
      </c>
      <c r="H466" s="17">
        <f t="shared" si="25"/>
        <v>1.5209855449069636</v>
      </c>
    </row>
    <row r="467" spans="1:8">
      <c r="A467" s="4" t="s">
        <v>756</v>
      </c>
      <c r="B467" s="4">
        <v>34</v>
      </c>
      <c r="C467" s="4" t="s">
        <v>71</v>
      </c>
      <c r="D467" s="4" t="s">
        <v>781</v>
      </c>
      <c r="E467" s="4" t="str">
        <f t="shared" si="24"/>
        <v>34|C</v>
      </c>
      <c r="F467" s="14">
        <f>INDEX('Emission Stepwise'!$H$2:$H$289,MATCH(E467,'Emission Stepwise'!$C$2:$C$289,0))</f>
        <v>0.32843137254901961</v>
      </c>
      <c r="G467" s="14">
        <f>INDEX(Background!$C$4:$C$7,MATCH(C467,Background!$A$4:$A$7,0))</f>
        <v>0.27646770694842909</v>
      </c>
      <c r="H467" s="17">
        <f t="shared" si="25"/>
        <v>0.17223388261715358</v>
      </c>
    </row>
    <row r="468" spans="1:8">
      <c r="A468" s="4" t="s">
        <v>756</v>
      </c>
      <c r="B468" s="4">
        <v>35</v>
      </c>
      <c r="C468" s="4" t="s">
        <v>72</v>
      </c>
      <c r="D468" s="4" t="s">
        <v>781</v>
      </c>
      <c r="E468" s="4" t="str">
        <f t="shared" si="24"/>
        <v>35|U</v>
      </c>
      <c r="F468" s="14">
        <f>INDEX('Emission Stepwise'!$H$2:$H$289,MATCH(E468,'Emission Stepwise'!$C$2:$C$289,0))</f>
        <v>0.20588235294117646</v>
      </c>
      <c r="G468" s="14">
        <f>INDEX(Background!$C$4:$C$7,MATCH(C468,Background!$A$4:$A$7,0))</f>
        <v>0.21314113777902177</v>
      </c>
      <c r="H468" s="17">
        <f t="shared" si="25"/>
        <v>-3.4649661534160589E-2</v>
      </c>
    </row>
    <row r="469" spans="1:8">
      <c r="A469" s="4" t="s">
        <v>756</v>
      </c>
      <c r="B469" s="4">
        <v>36</v>
      </c>
      <c r="C469" s="4" t="s">
        <v>73</v>
      </c>
      <c r="D469" s="4" t="s">
        <v>781</v>
      </c>
      <c r="E469" s="4" t="str">
        <f t="shared" si="24"/>
        <v>36|A</v>
      </c>
      <c r="F469" s="14">
        <f>INDEX('Emission Stepwise'!$H$2:$H$289,MATCH(E469,'Emission Stepwise'!$C$2:$C$289,0))</f>
        <v>0.21568627450980393</v>
      </c>
      <c r="G469" s="14">
        <f>INDEX(Background!$C$4:$C$7,MATCH(C469,Background!$A$4:$A$7,0))</f>
        <v>0.18550136449513679</v>
      </c>
      <c r="H469" s="17">
        <f t="shared" si="25"/>
        <v>0.15076268126681408</v>
      </c>
    </row>
    <row r="470" spans="1:8">
      <c r="A470" s="4" t="s">
        <v>756</v>
      </c>
      <c r="B470" s="4">
        <v>37</v>
      </c>
      <c r="C470" s="4" t="s">
        <v>70</v>
      </c>
      <c r="D470" s="4" t="s">
        <v>781</v>
      </c>
      <c r="E470" s="4" t="str">
        <f t="shared" si="24"/>
        <v>37|G</v>
      </c>
      <c r="F470" s="14">
        <f>INDEX('Emission Stepwise'!$H$2:$H$289,MATCH(E470,'Emission Stepwise'!$C$2:$C$289,0))</f>
        <v>0.24019607843137256</v>
      </c>
      <c r="G470" s="14">
        <f>INDEX(Background!$C$4:$C$7,MATCH(C470,Background!$A$4:$A$7,0))</f>
        <v>0.32488979077741237</v>
      </c>
      <c r="H470" s="17">
        <f t="shared" si="25"/>
        <v>-0.30203043627171677</v>
      </c>
    </row>
    <row r="471" spans="1:8">
      <c r="A471" s="4" t="s">
        <v>756</v>
      </c>
      <c r="B471" s="4">
        <v>38</v>
      </c>
      <c r="C471" s="4" t="s">
        <v>70</v>
      </c>
      <c r="D471" s="4" t="s">
        <v>781</v>
      </c>
      <c r="E471" s="4" t="str">
        <f t="shared" si="24"/>
        <v>38|G</v>
      </c>
      <c r="F471" s="14">
        <f>INDEX('Emission Stepwise'!$H$2:$H$289,MATCH(E471,'Emission Stepwise'!$C$2:$C$289,0))</f>
        <v>9.8039215686274508E-3</v>
      </c>
      <c r="G471" s="14">
        <f>INDEX(Background!$C$4:$C$7,MATCH(C471,Background!$A$4:$A$7,0))</f>
        <v>0.32488979077741237</v>
      </c>
      <c r="H471" s="17">
        <f t="shared" si="25"/>
        <v>-3.5007035538223983</v>
      </c>
    </row>
    <row r="472" spans="1:8">
      <c r="A472" s="4" t="s">
        <v>756</v>
      </c>
      <c r="B472" s="4">
        <v>39</v>
      </c>
      <c r="C472" s="4" t="s">
        <v>72</v>
      </c>
      <c r="D472" s="4" t="s">
        <v>781</v>
      </c>
      <c r="E472" s="4" t="str">
        <f t="shared" si="24"/>
        <v>39|U</v>
      </c>
      <c r="F472" s="14">
        <f>INDEX('Emission Stepwise'!$H$2:$H$289,MATCH(E472,'Emission Stepwise'!$C$2:$C$289,0))</f>
        <v>0.29411764705882354</v>
      </c>
      <c r="G472" s="14">
        <f>INDEX(Background!$C$4:$C$7,MATCH(C472,Background!$A$4:$A$7,0))</f>
        <v>0.21314113777902177</v>
      </c>
      <c r="H472" s="17">
        <f t="shared" si="25"/>
        <v>0.32202528240457201</v>
      </c>
    </row>
    <row r="473" spans="1:8">
      <c r="A473" s="4" t="s">
        <v>756</v>
      </c>
      <c r="B473" s="4">
        <v>40</v>
      </c>
      <c r="C473" s="4" t="s">
        <v>72</v>
      </c>
      <c r="D473" s="4" t="s">
        <v>781</v>
      </c>
      <c r="E473" s="4" t="str">
        <f t="shared" si="24"/>
        <v>40|U</v>
      </c>
      <c r="F473" s="14">
        <f>INDEX('Emission Stepwise'!$H$2:$H$289,MATCH(E473,'Emission Stepwise'!$C$2:$C$289,0))</f>
        <v>4.4117647058823532E-2</v>
      </c>
      <c r="G473" s="14">
        <f>INDEX(Background!$C$4:$C$7,MATCH(C473,Background!$A$4:$A$7,0))</f>
        <v>0.21314113777902177</v>
      </c>
      <c r="H473" s="17">
        <f t="shared" si="25"/>
        <v>-1.5750947024813093</v>
      </c>
    </row>
    <row r="474" spans="1:8">
      <c r="A474" s="4" t="s">
        <v>756</v>
      </c>
      <c r="B474" s="4">
        <v>41</v>
      </c>
      <c r="C474" s="4" t="s">
        <v>72</v>
      </c>
      <c r="D474" s="4" t="s">
        <v>781</v>
      </c>
      <c r="E474" s="4" t="str">
        <f t="shared" ref="E474:E505" si="26">B474&amp;"|"&amp;C474</f>
        <v>41|U</v>
      </c>
      <c r="F474" s="14">
        <f>INDEX('Emission Stepwise'!$H$2:$H$289,MATCH(E474,'Emission Stepwise'!$C$2:$C$289,0))</f>
        <v>0.16666666666666666</v>
      </c>
      <c r="G474" s="14">
        <f>INDEX(Background!$C$4:$C$7,MATCH(C474,Background!$A$4:$A$7,0))</f>
        <v>0.21314113777902177</v>
      </c>
      <c r="H474" s="17">
        <f t="shared" ref="H474:H505" si="27">LN(F474/G474)</f>
        <v>-0.24595875520136748</v>
      </c>
    </row>
    <row r="475" spans="1:8">
      <c r="A475" s="4" t="s">
        <v>756</v>
      </c>
      <c r="B475" s="4">
        <v>42</v>
      </c>
      <c r="C475" s="4" t="s">
        <v>71</v>
      </c>
      <c r="D475" s="4" t="s">
        <v>781</v>
      </c>
      <c r="E475" s="4" t="str">
        <f t="shared" si="26"/>
        <v>42|C</v>
      </c>
      <c r="F475" s="14">
        <f>INDEX('Emission Stepwise'!$H$2:$H$289,MATCH(E475,'Emission Stepwise'!$C$2:$C$289,0))</f>
        <v>0.10294117647058823</v>
      </c>
      <c r="G475" s="14">
        <f>INDEX(Background!$C$4:$C$7,MATCH(C475,Background!$A$4:$A$7,0))</f>
        <v>0.27646770694842909</v>
      </c>
      <c r="H475" s="17">
        <f t="shared" si="27"/>
        <v>-0.98793629905038949</v>
      </c>
    </row>
    <row r="476" spans="1:8">
      <c r="A476" s="4" t="s">
        <v>756</v>
      </c>
      <c r="B476" s="4">
        <v>43</v>
      </c>
      <c r="C476" s="4" t="s">
        <v>72</v>
      </c>
      <c r="D476" s="4" t="s">
        <v>781</v>
      </c>
      <c r="E476" s="4" t="str">
        <f t="shared" si="26"/>
        <v>43|U</v>
      </c>
      <c r="F476" s="14">
        <f>INDEX('Emission Stepwise'!$H$2:$H$289,MATCH(E476,'Emission Stepwise'!$C$2:$C$289,0))</f>
        <v>0.16176470588235295</v>
      </c>
      <c r="G476" s="14">
        <f>INDEX(Background!$C$4:$C$7,MATCH(C476,Background!$A$4:$A$7,0))</f>
        <v>0.21314113777902177</v>
      </c>
      <c r="H476" s="17">
        <f t="shared" si="27"/>
        <v>-0.27581171835104856</v>
      </c>
    </row>
    <row r="477" spans="1:8">
      <c r="A477" s="4" t="s">
        <v>756</v>
      </c>
      <c r="B477" s="4">
        <v>44</v>
      </c>
      <c r="C477" s="4" t="s">
        <v>71</v>
      </c>
      <c r="D477" s="4" t="s">
        <v>781</v>
      </c>
      <c r="E477" s="4" t="str">
        <f t="shared" si="26"/>
        <v>44|C</v>
      </c>
      <c r="F477" s="14">
        <f>INDEX('Emission Stepwise'!$H$2:$H$289,MATCH(E477,'Emission Stepwise'!$C$2:$C$289,0))</f>
        <v>0.15686274509803921</v>
      </c>
      <c r="G477" s="14">
        <f>INDEX(Background!$C$4:$C$7,MATCH(C477,Background!$A$4:$A$7,0))</f>
        <v>0.27646770694842909</v>
      </c>
      <c r="H477" s="17">
        <f t="shared" si="27"/>
        <v>-0.56672283397408585</v>
      </c>
    </row>
    <row r="478" spans="1:8">
      <c r="A478" s="4" t="s">
        <v>756</v>
      </c>
      <c r="B478" s="4">
        <v>45</v>
      </c>
      <c r="C478" s="4" t="s">
        <v>70</v>
      </c>
      <c r="D478" s="4" t="s">
        <v>782</v>
      </c>
      <c r="E478" s="4" t="str">
        <f t="shared" si="26"/>
        <v>45|G</v>
      </c>
      <c r="F478" s="14">
        <f>INDEX('Emission Stepwise'!$H$2:$H$289,MATCH(E478,'Emission Stepwise'!$C$2:$C$289,0))</f>
        <v>0.74752475247524752</v>
      </c>
      <c r="G478" s="14">
        <f>INDEX(Background!$C$4:$C$7,MATCH(C478,Background!$A$4:$A$7,0))</f>
        <v>0.32488979077741237</v>
      </c>
      <c r="H478" s="17">
        <f t="shared" si="27"/>
        <v>0.8332813988755926</v>
      </c>
    </row>
    <row r="479" spans="1:8">
      <c r="A479" s="4" t="s">
        <v>756</v>
      </c>
      <c r="B479" s="4">
        <v>46</v>
      </c>
      <c r="C479" s="4" t="s">
        <v>73</v>
      </c>
      <c r="D479" s="4" t="s">
        <v>782</v>
      </c>
      <c r="E479" s="4" t="str">
        <f t="shared" si="26"/>
        <v>46|A</v>
      </c>
      <c r="F479" s="14">
        <f>INDEX('Emission Stepwise'!$H$2:$H$289,MATCH(E479,'Emission Stepwise'!$C$2:$C$289,0))</f>
        <v>9.8265895953757232E-2</v>
      </c>
      <c r="G479" s="14">
        <f>INDEX(Background!$C$4:$C$7,MATCH(C479,Background!$A$4:$A$7,0))</f>
        <v>0.18550136449513679</v>
      </c>
      <c r="H479" s="17">
        <f t="shared" si="27"/>
        <v>-0.6353852092487936</v>
      </c>
    </row>
    <row r="480" spans="1:8">
      <c r="A480" s="4" t="s">
        <v>756</v>
      </c>
      <c r="B480" s="4">
        <v>47</v>
      </c>
      <c r="C480" s="4" t="s">
        <v>70</v>
      </c>
      <c r="D480" s="4" t="s">
        <v>782</v>
      </c>
      <c r="E480" s="4" t="str">
        <f t="shared" si="26"/>
        <v>47|G</v>
      </c>
      <c r="F480" s="14">
        <f>INDEX('Emission Stepwise'!$H$2:$H$289,MATCH(E480,'Emission Stepwise'!$C$2:$C$289,0))</f>
        <v>8.3333333333333329E-2</v>
      </c>
      <c r="G480" s="14">
        <f>INDEX(Background!$C$4:$C$7,MATCH(C480,Background!$A$4:$A$7,0))</f>
        <v>0.32488979077741237</v>
      </c>
      <c r="H480" s="17">
        <f t="shared" si="27"/>
        <v>-1.3606373903261273</v>
      </c>
    </row>
    <row r="481" spans="1:8">
      <c r="A481" s="4" t="s">
        <v>756</v>
      </c>
      <c r="B481" s="4">
        <v>48</v>
      </c>
      <c r="C481" s="4" t="s">
        <v>72</v>
      </c>
      <c r="D481" s="4" t="s">
        <v>782</v>
      </c>
      <c r="E481" s="4" t="str">
        <f t="shared" si="26"/>
        <v>48|U</v>
      </c>
      <c r="F481" s="14">
        <f>INDEX('Emission Stepwise'!$H$2:$H$289,MATCH(E481,'Emission Stepwise'!$C$2:$C$289,0))</f>
        <v>0.14705882352941177</v>
      </c>
      <c r="G481" s="14">
        <f>INDEX(Background!$C$4:$C$7,MATCH(C481,Background!$A$4:$A$7,0))</f>
        <v>0.21314113777902177</v>
      </c>
      <c r="H481" s="17">
        <f t="shared" si="27"/>
        <v>-0.37112189815537333</v>
      </c>
    </row>
    <row r="482" spans="1:8">
      <c r="A482" s="4" t="s">
        <v>756</v>
      </c>
      <c r="B482" s="4">
        <v>49</v>
      </c>
      <c r="C482" s="4" t="s">
        <v>71</v>
      </c>
      <c r="D482" s="4" t="s">
        <v>783</v>
      </c>
      <c r="E482" s="4" t="str">
        <f t="shared" si="26"/>
        <v>49|C</v>
      </c>
      <c r="F482" s="14">
        <f>INDEX('Emission Stepwise'!$H$2:$H$289,MATCH(E482,'Emission Stepwise'!$C$2:$C$289,0))</f>
        <v>0.28431372549019607</v>
      </c>
      <c r="G482" s="14">
        <f>INDEX(Background!$C$4:$C$7,MATCH(C482,Background!$A$4:$A$7,0))</f>
        <v>0.27646770694842909</v>
      </c>
      <c r="H482" s="17">
        <f t="shared" si="27"/>
        <v>2.7984273772606979E-2</v>
      </c>
    </row>
    <row r="483" spans="1:8">
      <c r="A483" s="4" t="s">
        <v>756</v>
      </c>
      <c r="B483" s="4">
        <v>50</v>
      </c>
      <c r="C483" s="4" t="s">
        <v>72</v>
      </c>
      <c r="D483" s="4" t="s">
        <v>783</v>
      </c>
      <c r="E483" s="4" t="str">
        <f t="shared" si="26"/>
        <v>50|U</v>
      </c>
      <c r="F483" s="14">
        <f>INDEX('Emission Stepwise'!$H$2:$H$289,MATCH(E483,'Emission Stepwise'!$C$2:$C$289,0))</f>
        <v>0.18137254901960784</v>
      </c>
      <c r="G483" s="14">
        <f>INDEX(Background!$C$4:$C$7,MATCH(C483,Background!$A$4:$A$7,0))</f>
        <v>0.21314113777902177</v>
      </c>
      <c r="H483" s="17">
        <f t="shared" si="27"/>
        <v>-0.16140136717330436</v>
      </c>
    </row>
    <row r="484" spans="1:8">
      <c r="A484" s="4" t="s">
        <v>756</v>
      </c>
      <c r="B484" s="4">
        <v>51</v>
      </c>
      <c r="C484" s="4" t="s">
        <v>72</v>
      </c>
      <c r="D484" s="4" t="s">
        <v>783</v>
      </c>
      <c r="E484" s="4" t="str">
        <f t="shared" si="26"/>
        <v>51|U</v>
      </c>
      <c r="F484" s="14">
        <f>INDEX('Emission Stepwise'!$H$2:$H$289,MATCH(E484,'Emission Stepwise'!$C$2:$C$289,0))</f>
        <v>0.15763546798029557</v>
      </c>
      <c r="G484" s="14">
        <f>INDEX(Background!$C$4:$C$7,MATCH(C484,Background!$A$4:$A$7,0))</f>
        <v>0.21314113777902177</v>
      </c>
      <c r="H484" s="17">
        <f t="shared" si="27"/>
        <v>-0.30166936221537316</v>
      </c>
    </row>
    <row r="485" spans="1:8">
      <c r="A485" s="4" t="s">
        <v>756</v>
      </c>
      <c r="B485" s="4">
        <v>52</v>
      </c>
      <c r="C485" s="4" t="s">
        <v>72</v>
      </c>
      <c r="D485" s="4" t="s">
        <v>783</v>
      </c>
      <c r="E485" s="4" t="str">
        <f t="shared" si="26"/>
        <v>52|U</v>
      </c>
      <c r="F485" s="14">
        <f>INDEX('Emission Stepwise'!$H$2:$H$289,MATCH(E485,'Emission Stepwise'!$C$2:$C$289,0))</f>
        <v>2.4509803921568627E-2</v>
      </c>
      <c r="G485" s="14">
        <f>INDEX(Background!$C$4:$C$7,MATCH(C485,Background!$A$4:$A$7,0))</f>
        <v>0.21314113777902177</v>
      </c>
      <c r="H485" s="17">
        <f t="shared" si="27"/>
        <v>-2.1628813673834282</v>
      </c>
    </row>
    <row r="486" spans="1:8">
      <c r="A486" s="4" t="s">
        <v>756</v>
      </c>
      <c r="B486" s="4">
        <v>53</v>
      </c>
      <c r="C486" s="4" t="s">
        <v>70</v>
      </c>
      <c r="D486" s="4" t="s">
        <v>783</v>
      </c>
      <c r="E486" s="4" t="str">
        <f t="shared" si="26"/>
        <v>53|G</v>
      </c>
      <c r="F486" s="14">
        <f>INDEX('Emission Stepwise'!$H$2:$H$289,MATCH(E486,'Emission Stepwise'!$C$2:$C$289,0))</f>
        <v>0.96568627450980393</v>
      </c>
      <c r="G486" s="14">
        <f>INDEX(Background!$C$4:$C$7,MATCH(C486,Background!$A$4:$A$7,0))</f>
        <v>0.32488979077741237</v>
      </c>
      <c r="H486" s="17">
        <f t="shared" si="27"/>
        <v>1.089352994355645</v>
      </c>
    </row>
    <row r="487" spans="1:8">
      <c r="A487" s="4" t="s">
        <v>756</v>
      </c>
      <c r="B487" s="4">
        <v>54</v>
      </c>
      <c r="C487" s="4" t="s">
        <v>73</v>
      </c>
      <c r="D487" s="4" t="s">
        <v>783</v>
      </c>
      <c r="E487" s="4" t="str">
        <f t="shared" si="26"/>
        <v>54|A</v>
      </c>
      <c r="F487" s="14">
        <f>INDEX('Emission Stepwise'!$H$2:$H$289,MATCH(E487,'Emission Stepwise'!$C$2:$C$289,0))</f>
        <v>1.4705882352941176E-2</v>
      </c>
      <c r="G487" s="14">
        <f>INDEX(Background!$C$4:$C$7,MATCH(C487,Background!$A$4:$A$7,0))</f>
        <v>0.18550136449513679</v>
      </c>
      <c r="H487" s="17">
        <f t="shared" si="27"/>
        <v>-2.5348146639833375</v>
      </c>
    </row>
    <row r="488" spans="1:8">
      <c r="A488" s="4" t="s">
        <v>756</v>
      </c>
      <c r="B488" s="4">
        <v>55</v>
      </c>
      <c r="C488" s="4" t="s">
        <v>71</v>
      </c>
      <c r="D488" s="4" t="s">
        <v>783</v>
      </c>
      <c r="E488" s="4" t="str">
        <f t="shared" si="26"/>
        <v>55|C</v>
      </c>
      <c r="F488" s="14">
        <f>INDEX('Emission Stepwise'!$H$2:$H$289,MATCH(E488,'Emission Stepwise'!$C$2:$C$289,0))</f>
        <v>9.8039215686274508E-3</v>
      </c>
      <c r="G488" s="14">
        <f>INDEX(Background!$C$4:$C$7,MATCH(C488,Background!$A$4:$A$7,0))</f>
        <v>0.27646770694842909</v>
      </c>
      <c r="H488" s="17">
        <f t="shared" si="27"/>
        <v>-3.3393115562138669</v>
      </c>
    </row>
    <row r="489" spans="1:8">
      <c r="A489" s="4" t="s">
        <v>756</v>
      </c>
      <c r="B489" s="4">
        <v>56</v>
      </c>
      <c r="C489" s="4" t="s">
        <v>71</v>
      </c>
      <c r="D489" s="4" t="s">
        <v>783</v>
      </c>
      <c r="E489" s="4" t="str">
        <f t="shared" si="26"/>
        <v>56|C</v>
      </c>
      <c r="F489" s="14">
        <f>INDEX('Emission Stepwise'!$H$2:$H$289,MATCH(E489,'Emission Stepwise'!$C$2:$C$289,0))</f>
        <v>0.96568627450980393</v>
      </c>
      <c r="G489" s="14">
        <f>INDEX(Background!$C$4:$C$7,MATCH(C489,Background!$A$4:$A$7,0))</f>
        <v>0.27646770694842909</v>
      </c>
      <c r="H489" s="17">
        <f t="shared" si="27"/>
        <v>1.250744991964176</v>
      </c>
    </row>
    <row r="490" spans="1:8">
      <c r="A490" s="4" t="s">
        <v>756</v>
      </c>
      <c r="B490" s="4">
        <v>57</v>
      </c>
      <c r="C490" s="4" t="s">
        <v>72</v>
      </c>
      <c r="D490" s="4" t="s">
        <v>783</v>
      </c>
      <c r="E490" s="4" t="str">
        <f t="shared" si="26"/>
        <v>57|U</v>
      </c>
      <c r="F490" s="14">
        <f>INDEX('Emission Stepwise'!$H$2:$H$289,MATCH(E490,'Emission Stepwise'!$C$2:$C$289,0))</f>
        <v>9.852216748768473E-3</v>
      </c>
      <c r="G490" s="14">
        <f>INDEX(Background!$C$4:$C$7,MATCH(C490,Background!$A$4:$A$7,0))</f>
        <v>0.21314113777902177</v>
      </c>
      <c r="H490" s="17">
        <f t="shared" si="27"/>
        <v>-3.0742580844551544</v>
      </c>
    </row>
    <row r="491" spans="1:8">
      <c r="A491" s="4" t="s">
        <v>756</v>
      </c>
      <c r="B491" s="4">
        <v>58</v>
      </c>
      <c r="C491" s="4" t="s">
        <v>72</v>
      </c>
      <c r="D491" s="4" t="s">
        <v>783</v>
      </c>
      <c r="E491" s="4" t="str">
        <f t="shared" si="26"/>
        <v>58|U</v>
      </c>
      <c r="F491" s="14">
        <f>INDEX('Emission Stepwise'!$H$2:$H$289,MATCH(E491,'Emission Stepwise'!$C$2:$C$289,0))</f>
        <v>9.8039215686274508E-3</v>
      </c>
      <c r="G491" s="14">
        <f>INDEX(Background!$C$4:$C$7,MATCH(C491,Background!$A$4:$A$7,0))</f>
        <v>0.21314113777902177</v>
      </c>
      <c r="H491" s="17">
        <f t="shared" si="27"/>
        <v>-3.0791720992575837</v>
      </c>
    </row>
    <row r="492" spans="1:8">
      <c r="A492" s="4" t="s">
        <v>756</v>
      </c>
      <c r="B492" s="4">
        <v>59</v>
      </c>
      <c r="C492" s="4" t="s">
        <v>72</v>
      </c>
      <c r="D492" s="4" t="s">
        <v>783</v>
      </c>
      <c r="E492" s="4" t="str">
        <f t="shared" si="26"/>
        <v>59|U</v>
      </c>
      <c r="F492" s="14">
        <f>INDEX('Emission Stepwise'!$H$2:$H$289,MATCH(E492,'Emission Stepwise'!$C$2:$C$289,0))</f>
        <v>0.25</v>
      </c>
      <c r="G492" s="14">
        <f>INDEX(Background!$C$4:$C$7,MATCH(C492,Background!$A$4:$A$7,0))</f>
        <v>0.21314113777902177</v>
      </c>
      <c r="H492" s="17">
        <f t="shared" si="27"/>
        <v>0.15950635290679691</v>
      </c>
    </row>
    <row r="493" spans="1:8">
      <c r="A493" s="4" t="s">
        <v>756</v>
      </c>
      <c r="B493" s="4">
        <v>60</v>
      </c>
      <c r="C493" s="4" t="s">
        <v>72</v>
      </c>
      <c r="D493" s="4" t="s">
        <v>783</v>
      </c>
      <c r="E493" s="4" t="str">
        <f t="shared" si="26"/>
        <v>60|U</v>
      </c>
      <c r="F493" s="14">
        <f>INDEX('Emission Stepwise'!$H$2:$H$289,MATCH(E493,'Emission Stepwise'!$C$2:$C$289,0))</f>
        <v>0.77450980392156865</v>
      </c>
      <c r="G493" s="14">
        <f>INDEX(Background!$C$4:$C$7,MATCH(C493,Background!$A$4:$A$7,0))</f>
        <v>0.21314113777902177</v>
      </c>
      <c r="H493" s="17">
        <f t="shared" si="27"/>
        <v>1.290275753209438</v>
      </c>
    </row>
    <row r="494" spans="1:8">
      <c r="A494" s="4" t="s">
        <v>756</v>
      </c>
      <c r="B494" s="4">
        <v>61</v>
      </c>
      <c r="C494" s="4" t="s">
        <v>71</v>
      </c>
      <c r="D494" s="4" t="s">
        <v>783</v>
      </c>
      <c r="E494" s="4" t="str">
        <f t="shared" si="26"/>
        <v>61|C</v>
      </c>
      <c r="F494" s="14">
        <f>INDEX('Emission Stepwise'!$H$2:$H$289,MATCH(E494,'Emission Stepwise'!$C$2:$C$289,0))</f>
        <v>0.97549019607843135</v>
      </c>
      <c r="G494" s="14">
        <f>INDEX(Background!$C$4:$C$7,MATCH(C494,Background!$A$4:$A$7,0))</f>
        <v>0.27646770694842909</v>
      </c>
      <c r="H494" s="17">
        <f t="shared" si="27"/>
        <v>1.26084608795068</v>
      </c>
    </row>
    <row r="495" spans="1:8">
      <c r="A495" s="4" t="s">
        <v>756</v>
      </c>
      <c r="B495" s="4">
        <v>62</v>
      </c>
      <c r="C495" s="4" t="s">
        <v>73</v>
      </c>
      <c r="D495" s="4" t="s">
        <v>783</v>
      </c>
      <c r="E495" s="4" t="str">
        <f t="shared" si="26"/>
        <v>62|A</v>
      </c>
      <c r="F495" s="14">
        <f>INDEX('Emission Stepwise'!$H$2:$H$289,MATCH(E495,'Emission Stepwise'!$C$2:$C$289,0))</f>
        <v>1.9607843137254902E-2</v>
      </c>
      <c r="G495" s="14">
        <f>INDEX(Background!$C$4:$C$7,MATCH(C495,Background!$A$4:$A$7,0))</f>
        <v>0.18550136449513679</v>
      </c>
      <c r="H495" s="17">
        <f t="shared" si="27"/>
        <v>-2.2471325915315568</v>
      </c>
    </row>
    <row r="496" spans="1:8">
      <c r="A496" s="4" t="s">
        <v>756</v>
      </c>
      <c r="B496" s="4">
        <v>63</v>
      </c>
      <c r="C496" s="4" t="s">
        <v>70</v>
      </c>
      <c r="D496" s="4" t="s">
        <v>783</v>
      </c>
      <c r="E496" s="4" t="str">
        <f t="shared" si="26"/>
        <v>63|G</v>
      </c>
      <c r="F496" s="14">
        <f>INDEX('Emission Stepwise'!$H$2:$H$289,MATCH(E496,'Emission Stepwise'!$C$2:$C$289,0))</f>
        <v>0.24019607843137256</v>
      </c>
      <c r="G496" s="14">
        <f>INDEX(Background!$C$4:$C$7,MATCH(C496,Background!$A$4:$A$7,0))</f>
        <v>0.32488979077741237</v>
      </c>
      <c r="H496" s="17">
        <f t="shared" si="27"/>
        <v>-0.30203043627171677</v>
      </c>
    </row>
    <row r="497" spans="1:8">
      <c r="A497" s="4" t="s">
        <v>756</v>
      </c>
      <c r="B497" s="4">
        <v>64</v>
      </c>
      <c r="C497" s="4" t="s">
        <v>70</v>
      </c>
      <c r="D497" s="4" t="s">
        <v>783</v>
      </c>
      <c r="E497" s="4" t="str">
        <f t="shared" si="26"/>
        <v>64|G</v>
      </c>
      <c r="F497" s="14">
        <f>INDEX('Emission Stepwise'!$H$2:$H$289,MATCH(E497,'Emission Stepwise'!$C$2:$C$289,0))</f>
        <v>0.45588235294117646</v>
      </c>
      <c r="G497" s="14">
        <f>INDEX(Background!$C$4:$C$7,MATCH(C497,Background!$A$4:$A$7,0))</f>
        <v>0.32488979077741237</v>
      </c>
      <c r="H497" s="17">
        <f t="shared" si="27"/>
        <v>0.33874875877091259</v>
      </c>
    </row>
    <row r="498" spans="1:8">
      <c r="A498" s="4" t="s">
        <v>756</v>
      </c>
      <c r="B498" s="4">
        <v>65</v>
      </c>
      <c r="C498" s="4" t="s">
        <v>73</v>
      </c>
      <c r="D498" s="4" t="s">
        <v>783</v>
      </c>
      <c r="E498" s="4" t="str">
        <f t="shared" si="26"/>
        <v>65|A</v>
      </c>
      <c r="F498" s="14">
        <f>INDEX('Emission Stepwise'!$H$2:$H$289,MATCH(E498,'Emission Stepwise'!$C$2:$C$289,0))</f>
        <v>4.9261083743842367E-2</v>
      </c>
      <c r="G498" s="14">
        <f>INDEX(Background!$C$4:$C$7,MATCH(C498,Background!$A$4:$A$7,0))</f>
        <v>0.18550136449513679</v>
      </c>
      <c r="H498" s="17">
        <f t="shared" si="27"/>
        <v>-1.3259278448549723</v>
      </c>
    </row>
    <row r="499" spans="1:8">
      <c r="A499" s="4" t="s">
        <v>756</v>
      </c>
      <c r="B499" s="4">
        <v>66</v>
      </c>
      <c r="C499" s="4" t="s">
        <v>72</v>
      </c>
      <c r="D499" s="4" t="s">
        <v>784</v>
      </c>
      <c r="E499" s="4" t="str">
        <f t="shared" si="26"/>
        <v>66|U</v>
      </c>
      <c r="F499" s="14">
        <f>INDEX('Emission Stepwise'!$H$2:$H$289,MATCH(E499,'Emission Stepwise'!$C$2:$C$289,0))</f>
        <v>0.25</v>
      </c>
      <c r="G499" s="14">
        <f>INDEX(Background!$C$4:$C$7,MATCH(C499,Background!$A$4:$A$7,0))</f>
        <v>0.21314113777902177</v>
      </c>
      <c r="H499" s="17">
        <f t="shared" si="27"/>
        <v>0.15950635290679691</v>
      </c>
    </row>
    <row r="500" spans="1:8">
      <c r="A500" s="4" t="s">
        <v>756</v>
      </c>
      <c r="B500" s="4">
        <v>67</v>
      </c>
      <c r="C500" s="4" t="s">
        <v>70</v>
      </c>
      <c r="D500" s="4" t="s">
        <v>784</v>
      </c>
      <c r="E500" s="4" t="str">
        <f t="shared" si="26"/>
        <v>67|G</v>
      </c>
      <c r="F500" s="14">
        <f>INDEX('Emission Stepwise'!$H$2:$H$289,MATCH(E500,'Emission Stepwise'!$C$2:$C$289,0))</f>
        <v>0.37254901960784315</v>
      </c>
      <c r="G500" s="14">
        <f>INDEX(Background!$C$4:$C$7,MATCH(C500,Background!$A$4:$A$7,0))</f>
        <v>0.32488979077741237</v>
      </c>
      <c r="H500" s="17">
        <f t="shared" si="27"/>
        <v>0.13688260590398765</v>
      </c>
    </row>
    <row r="501" spans="1:8">
      <c r="A501" s="4" t="s">
        <v>756</v>
      </c>
      <c r="B501" s="4">
        <v>68</v>
      </c>
      <c r="C501" s="4" t="s">
        <v>71</v>
      </c>
      <c r="D501" s="4" t="s">
        <v>784</v>
      </c>
      <c r="E501" s="4" t="str">
        <f t="shared" si="26"/>
        <v>68|C</v>
      </c>
      <c r="F501" s="14">
        <f>INDEX('Emission Stepwise'!$H$2:$H$289,MATCH(E501,'Emission Stepwise'!$C$2:$C$289,0))</f>
        <v>0.30882352941176472</v>
      </c>
      <c r="G501" s="14">
        <f>INDEX(Background!$C$4:$C$7,MATCH(C501,Background!$A$4:$A$7,0))</f>
        <v>0.27646770694842909</v>
      </c>
      <c r="H501" s="17">
        <f t="shared" si="27"/>
        <v>0.11067598961772034</v>
      </c>
    </row>
    <row r="502" spans="1:8">
      <c r="A502" s="4" t="s">
        <v>756</v>
      </c>
      <c r="B502" s="4">
        <v>69</v>
      </c>
      <c r="C502" s="4" t="s">
        <v>73</v>
      </c>
      <c r="D502" s="4" t="s">
        <v>784</v>
      </c>
      <c r="E502" s="4" t="str">
        <f t="shared" si="26"/>
        <v>69|A</v>
      </c>
      <c r="F502" s="14">
        <f>INDEX('Emission Stepwise'!$H$2:$H$289,MATCH(E502,'Emission Stepwise'!$C$2:$C$289,0))</f>
        <v>0.12745098039215685</v>
      </c>
      <c r="G502" s="14">
        <f>INDEX(Background!$C$4:$C$7,MATCH(C502,Background!$A$4:$A$7,0))</f>
        <v>0.18550136449513679</v>
      </c>
      <c r="H502" s="17">
        <f t="shared" si="27"/>
        <v>-0.37533041462996508</v>
      </c>
    </row>
    <row r="503" spans="1:8">
      <c r="A503" s="4" t="s">
        <v>756</v>
      </c>
      <c r="B503" s="4">
        <v>70</v>
      </c>
      <c r="C503" s="4" t="s">
        <v>71</v>
      </c>
      <c r="D503" s="4" t="s">
        <v>784</v>
      </c>
      <c r="E503" s="4" t="str">
        <f t="shared" si="26"/>
        <v>70|C</v>
      </c>
      <c r="F503" s="14">
        <f>INDEX('Emission Stepwise'!$H$2:$H$289,MATCH(E503,'Emission Stepwise'!$C$2:$C$289,0))</f>
        <v>0.35784313725490197</v>
      </c>
      <c r="G503" s="14">
        <f>INDEX(Background!$C$4:$C$7,MATCH(C503,Background!$A$4:$A$7,0))</f>
        <v>0.27646770694842909</v>
      </c>
      <c r="H503" s="17">
        <f t="shared" si="27"/>
        <v>0.25800070437457878</v>
      </c>
    </row>
    <row r="504" spans="1:8">
      <c r="A504" s="4" t="s">
        <v>756</v>
      </c>
      <c r="B504" s="4">
        <v>71</v>
      </c>
      <c r="C504" s="4" t="s">
        <v>72</v>
      </c>
      <c r="D504" s="4" t="s">
        <v>784</v>
      </c>
      <c r="E504" s="4" t="str">
        <f t="shared" si="26"/>
        <v>71|U</v>
      </c>
      <c r="F504" s="14">
        <f>INDEX('Emission Stepwise'!$H$2:$H$289,MATCH(E504,'Emission Stepwise'!$C$2:$C$289,0))</f>
        <v>4.9019607843137254E-2</v>
      </c>
      <c r="G504" s="14">
        <f>INDEX(Background!$C$4:$C$7,MATCH(C504,Background!$A$4:$A$7,0))</f>
        <v>0.21314113777902177</v>
      </c>
      <c r="H504" s="17">
        <f t="shared" si="27"/>
        <v>-1.469734186823483</v>
      </c>
    </row>
    <row r="505" spans="1:8">
      <c r="A505" s="4" t="s">
        <v>756</v>
      </c>
      <c r="B505" s="4">
        <v>72</v>
      </c>
      <c r="C505" s="4" t="s">
        <v>73</v>
      </c>
      <c r="D505" s="4" t="s">
        <v>784</v>
      </c>
      <c r="E505" s="4" t="str">
        <f t="shared" si="26"/>
        <v>72|A</v>
      </c>
      <c r="F505" s="14">
        <f>INDEX('Emission Stepwise'!$H$2:$H$289,MATCH(E505,'Emission Stepwise'!$C$2:$C$289,0))</f>
        <v>8.3333333333333329E-2</v>
      </c>
      <c r="G505" s="14">
        <f>INDEX(Background!$C$4:$C$7,MATCH(C505,Background!$A$4:$A$7,0))</f>
        <v>0.18550136449513679</v>
      </c>
      <c r="H505" s="17">
        <f t="shared" si="27"/>
        <v>-0.80021360859523116</v>
      </c>
    </row>
    <row r="506" spans="1:8">
      <c r="A506" s="4" t="s">
        <v>757</v>
      </c>
      <c r="B506" s="4">
        <v>1</v>
      </c>
      <c r="C506" s="4" t="s">
        <v>70</v>
      </c>
      <c r="D506" s="4" t="s">
        <v>778</v>
      </c>
      <c r="E506" s="4" t="str">
        <f t="shared" ref="E506:E520" si="28">B506&amp;"|"&amp;C506</f>
        <v>1|G</v>
      </c>
      <c r="F506" s="14">
        <f>INDEX('Emission Stepwise'!$H$2:$H$289,MATCH(E506,'Emission Stepwise'!$C$2:$C$289,0))</f>
        <v>0.75</v>
      </c>
      <c r="G506" s="14">
        <f>INDEX(Background!$C$4:$C$7,MATCH(C506,Background!$A$4:$A$7,0))</f>
        <v>0.32488979077741237</v>
      </c>
      <c r="H506" s="17">
        <f t="shared" ref="H506:H537" si="29">LN(F506/G506)</f>
        <v>0.83658718701009205</v>
      </c>
    </row>
    <row r="507" spans="1:8">
      <c r="A507" s="4" t="s">
        <v>757</v>
      </c>
      <c r="B507" s="4">
        <v>2</v>
      </c>
      <c r="C507" s="4" t="s">
        <v>72</v>
      </c>
      <c r="D507" s="4" t="s">
        <v>778</v>
      </c>
      <c r="E507" s="4" t="str">
        <f t="shared" si="28"/>
        <v>2|U</v>
      </c>
      <c r="F507" s="14">
        <f>INDEX('Emission Stepwise'!$H$2:$H$289,MATCH(E507,'Emission Stepwise'!$C$2:$C$289,0))</f>
        <v>3.4313725490196081E-2</v>
      </c>
      <c r="G507" s="14">
        <f>INDEX(Background!$C$4:$C$7,MATCH(C507,Background!$A$4:$A$7,0))</f>
        <v>0.21314113777902177</v>
      </c>
      <c r="H507" s="17">
        <f t="shared" si="29"/>
        <v>-1.8264091307622154</v>
      </c>
    </row>
    <row r="508" spans="1:8">
      <c r="A508" s="4" t="s">
        <v>757</v>
      </c>
      <c r="B508" s="4">
        <v>3</v>
      </c>
      <c r="C508" s="4" t="s">
        <v>71</v>
      </c>
      <c r="D508" s="4" t="s">
        <v>778</v>
      </c>
      <c r="E508" s="4" t="str">
        <f t="shared" si="28"/>
        <v>3|C</v>
      </c>
      <c r="F508" s="14">
        <f>INDEX('Emission Stepwise'!$H$2:$H$289,MATCH(E508,'Emission Stepwise'!$C$2:$C$289,0))</f>
        <v>0.38235294117647056</v>
      </c>
      <c r="G508" s="14">
        <f>INDEX(Background!$C$4:$C$7,MATCH(C508,Background!$A$4:$A$7,0))</f>
        <v>0.27646770694842909</v>
      </c>
      <c r="H508" s="17">
        <f t="shared" si="29"/>
        <v>0.32425008991577925</v>
      </c>
    </row>
    <row r="509" spans="1:8">
      <c r="A509" s="4" t="s">
        <v>757</v>
      </c>
      <c r="B509" s="4">
        <v>4</v>
      </c>
      <c r="C509" s="4" t="s">
        <v>73</v>
      </c>
      <c r="D509" s="4" t="s">
        <v>778</v>
      </c>
      <c r="E509" s="4" t="str">
        <f t="shared" si="28"/>
        <v>4|A</v>
      </c>
      <c r="F509" s="14">
        <f>INDEX('Emission Stepwise'!$H$2:$H$289,MATCH(E509,'Emission Stepwise'!$C$2:$C$289,0))</f>
        <v>8.3333333333333329E-2</v>
      </c>
      <c r="G509" s="14">
        <f>INDEX(Background!$C$4:$C$7,MATCH(C509,Background!$A$4:$A$7,0))</f>
        <v>0.18550136449513679</v>
      </c>
      <c r="H509" s="17">
        <f t="shared" si="29"/>
        <v>-0.80021360859523116</v>
      </c>
    </row>
    <row r="510" spans="1:8">
      <c r="A510" s="4" t="s">
        <v>757</v>
      </c>
      <c r="B510" s="4">
        <v>5</v>
      </c>
      <c r="C510" s="4" t="s">
        <v>70</v>
      </c>
      <c r="D510" s="4" t="s">
        <v>778</v>
      </c>
      <c r="E510" s="4" t="str">
        <f t="shared" si="28"/>
        <v>5|G</v>
      </c>
      <c r="F510" s="14">
        <f>INDEX('Emission Stepwise'!$H$2:$H$289,MATCH(E510,'Emission Stepwise'!$C$2:$C$289,0))</f>
        <v>0.34313725490196079</v>
      </c>
      <c r="G510" s="14">
        <f>INDEX(Background!$C$4:$C$7,MATCH(C510,Background!$A$4:$A$7,0))</f>
        <v>0.32488979077741237</v>
      </c>
      <c r="H510" s="17">
        <f t="shared" si="29"/>
        <v>5.4644507667015618E-2</v>
      </c>
    </row>
    <row r="511" spans="1:8">
      <c r="A511" s="4" t="s">
        <v>757</v>
      </c>
      <c r="B511" s="4">
        <v>6</v>
      </c>
      <c r="C511" s="4" t="s">
        <v>70</v>
      </c>
      <c r="D511" s="4" t="s">
        <v>778</v>
      </c>
      <c r="E511" s="4" t="str">
        <f t="shared" si="28"/>
        <v>6|G</v>
      </c>
      <c r="F511" s="14">
        <f>INDEX('Emission Stepwise'!$H$2:$H$289,MATCH(E511,'Emission Stepwise'!$C$2:$C$289,0))</f>
        <v>0.24019607843137256</v>
      </c>
      <c r="G511" s="14">
        <f>INDEX(Background!$C$4:$C$7,MATCH(C511,Background!$A$4:$A$7,0))</f>
        <v>0.32488979077741237</v>
      </c>
      <c r="H511" s="17">
        <f t="shared" si="29"/>
        <v>-0.30203043627171677</v>
      </c>
    </row>
    <row r="512" spans="1:8">
      <c r="A512" s="4" t="s">
        <v>757</v>
      </c>
      <c r="B512" s="4">
        <v>7</v>
      </c>
      <c r="C512" s="4" t="s">
        <v>70</v>
      </c>
      <c r="D512" s="4" t="s">
        <v>778</v>
      </c>
      <c r="E512" s="4" t="str">
        <f t="shared" si="28"/>
        <v>7|G</v>
      </c>
      <c r="F512" s="14">
        <f>INDEX('Emission Stepwise'!$H$2:$H$289,MATCH(E512,'Emission Stepwise'!$C$2:$C$289,0))</f>
        <v>0.51960784313725494</v>
      </c>
      <c r="G512" s="14">
        <f>INDEX(Background!$C$4:$C$7,MATCH(C512,Background!$A$4:$A$7,0))</f>
        <v>0.32488979077741237</v>
      </c>
      <c r="H512" s="17">
        <f t="shared" si="29"/>
        <v>0.46958835972972385</v>
      </c>
    </row>
    <row r="513" spans="1:8">
      <c r="A513" s="4" t="s">
        <v>757</v>
      </c>
      <c r="B513" s="4">
        <v>8</v>
      </c>
      <c r="C513" s="4" t="s">
        <v>72</v>
      </c>
      <c r="D513" s="4" t="s">
        <v>779</v>
      </c>
      <c r="E513" s="4" t="str">
        <f t="shared" si="28"/>
        <v>8|U</v>
      </c>
      <c r="F513" s="14">
        <f>INDEX('Emission Stepwise'!$H$2:$H$289,MATCH(E513,'Emission Stepwise'!$C$2:$C$289,0))</f>
        <v>0.97549019607843135</v>
      </c>
      <c r="G513" s="14">
        <f>INDEX(Background!$C$4:$C$7,MATCH(C513,Background!$A$4:$A$7,0))</f>
        <v>0.21314113777902177</v>
      </c>
      <c r="H513" s="17">
        <f t="shared" si="29"/>
        <v>1.5209855449069636</v>
      </c>
    </row>
    <row r="514" spans="1:8">
      <c r="A514" s="4" t="s">
        <v>757</v>
      </c>
      <c r="B514" s="4">
        <v>9</v>
      </c>
      <c r="C514" s="4" t="s">
        <v>71</v>
      </c>
      <c r="D514" s="4" t="s">
        <v>780</v>
      </c>
      <c r="E514" s="4" t="str">
        <f t="shared" si="28"/>
        <v>9|C</v>
      </c>
      <c r="F514" s="14">
        <f>INDEX('Emission Stepwise'!$H$2:$H$289,MATCH(E514,'Emission Stepwise'!$C$2:$C$289,0))</f>
        <v>3.9408866995073892E-2</v>
      </c>
      <c r="G514" s="14">
        <f>INDEX(Background!$C$4:$C$7,MATCH(C514,Background!$A$4:$A$7,0))</f>
        <v>0.27646770694842909</v>
      </c>
      <c r="H514" s="17">
        <f t="shared" si="29"/>
        <v>-1.9481031802915474</v>
      </c>
    </row>
    <row r="515" spans="1:8">
      <c r="A515" s="4" t="s">
        <v>757</v>
      </c>
      <c r="B515" s="4">
        <v>10</v>
      </c>
      <c r="C515" s="4" t="s">
        <v>73</v>
      </c>
      <c r="D515" s="4" t="s">
        <v>780</v>
      </c>
      <c r="E515" s="4" t="str">
        <f t="shared" si="28"/>
        <v>10|A</v>
      </c>
      <c r="F515" s="14">
        <f>INDEX('Emission Stepwise'!$H$2:$H$289,MATCH(E515,'Emission Stepwise'!$C$2:$C$289,0))</f>
        <v>4.9019607843137254E-3</v>
      </c>
      <c r="G515" s="14">
        <f>INDEX(Background!$C$4:$C$7,MATCH(C515,Background!$A$4:$A$7,0))</f>
        <v>0.18550136449513679</v>
      </c>
      <c r="H515" s="17">
        <f t="shared" si="29"/>
        <v>-3.6334269526514471</v>
      </c>
    </row>
    <row r="516" spans="1:8">
      <c r="A516" s="4" t="s">
        <v>757</v>
      </c>
      <c r="B516" s="4">
        <v>11</v>
      </c>
      <c r="C516" s="4" t="s">
        <v>73</v>
      </c>
      <c r="D516" s="4" t="s">
        <v>780</v>
      </c>
      <c r="E516" s="4" t="str">
        <f t="shared" si="28"/>
        <v>11|A</v>
      </c>
      <c r="F516" s="14">
        <f>INDEX('Emission Stepwise'!$H$2:$H$289,MATCH(E516,'Emission Stepwise'!$C$2:$C$289,0))</f>
        <v>3.9215686274509803E-2</v>
      </c>
      <c r="G516" s="14">
        <f>INDEX(Background!$C$4:$C$7,MATCH(C516,Background!$A$4:$A$7,0))</f>
        <v>0.18550136449513679</v>
      </c>
      <c r="H516" s="17">
        <f t="shared" si="29"/>
        <v>-1.5539854109716114</v>
      </c>
    </row>
    <row r="517" spans="1:8">
      <c r="A517" s="4" t="s">
        <v>757</v>
      </c>
      <c r="B517" s="4">
        <v>12</v>
      </c>
      <c r="C517" s="4" t="s">
        <v>70</v>
      </c>
      <c r="D517" s="4" t="s">
        <v>780</v>
      </c>
      <c r="E517" s="4" t="str">
        <f t="shared" si="28"/>
        <v>12|G</v>
      </c>
      <c r="F517" s="14">
        <f>INDEX('Emission Stepwise'!$H$2:$H$289,MATCH(E517,'Emission Stepwise'!$C$2:$C$289,0))</f>
        <v>0.19117647058823528</v>
      </c>
      <c r="G517" s="14">
        <f>INDEX(Background!$C$4:$C$7,MATCH(C517,Background!$A$4:$A$7,0))</f>
        <v>0.32488979077741237</v>
      </c>
      <c r="H517" s="17">
        <f t="shared" si="29"/>
        <v>-0.53028908825269705</v>
      </c>
    </row>
    <row r="518" spans="1:8">
      <c r="A518" s="4" t="s">
        <v>757</v>
      </c>
      <c r="B518" s="4">
        <v>13</v>
      </c>
      <c r="C518" s="4" t="s">
        <v>73</v>
      </c>
      <c r="D518" s="4" t="s">
        <v>780</v>
      </c>
      <c r="E518" s="4" t="str">
        <f t="shared" si="28"/>
        <v>13|A</v>
      </c>
      <c r="F518" s="14">
        <f>INDEX('Emission Stepwise'!$H$2:$H$289,MATCH(E518,'Emission Stepwise'!$C$2:$C$289,0))</f>
        <v>6.8627450980392163E-2</v>
      </c>
      <c r="G518" s="14">
        <f>INDEX(Background!$C$4:$C$7,MATCH(C518,Background!$A$4:$A$7,0))</f>
        <v>0.18550136449513679</v>
      </c>
      <c r="H518" s="17">
        <f t="shared" si="29"/>
        <v>-0.99436962303618837</v>
      </c>
    </row>
    <row r="519" spans="1:8">
      <c r="A519" s="4" t="s">
        <v>757</v>
      </c>
      <c r="B519" s="4">
        <v>14</v>
      </c>
      <c r="C519" s="4" t="s">
        <v>73</v>
      </c>
      <c r="D519" s="4" t="s">
        <v>780</v>
      </c>
      <c r="E519" s="4" t="str">
        <f t="shared" si="28"/>
        <v>14|A</v>
      </c>
      <c r="F519" s="14">
        <f>INDEX('Emission Stepwise'!$H$2:$H$289,MATCH(E519,'Emission Stepwise'!$C$2:$C$289,0))</f>
        <v>0.97549019607843135</v>
      </c>
      <c r="G519" s="14">
        <f>INDEX(Background!$C$4:$C$7,MATCH(C519,Background!$A$4:$A$7,0))</f>
        <v>0.18550136449513679</v>
      </c>
      <c r="H519" s="17">
        <f t="shared" si="29"/>
        <v>1.6598778720730452</v>
      </c>
    </row>
    <row r="520" spans="1:8">
      <c r="A520" s="4" t="s">
        <v>757</v>
      </c>
      <c r="B520" s="4">
        <v>15</v>
      </c>
      <c r="C520" s="4" t="s">
        <v>73</v>
      </c>
      <c r="D520" s="4" t="s">
        <v>780</v>
      </c>
      <c r="E520" s="4" t="str">
        <f t="shared" si="28"/>
        <v>15|A</v>
      </c>
      <c r="F520" s="14">
        <f>INDEX('Emission Stepwise'!$H$2:$H$289,MATCH(E520,'Emission Stepwise'!$C$2:$C$289,0))</f>
        <v>0.16748768472906403</v>
      </c>
      <c r="G520" s="14">
        <f>INDEX(Background!$C$4:$C$7,MATCH(C520,Background!$A$4:$A$7,0))</f>
        <v>0.18550136449513679</v>
      </c>
      <c r="H520" s="17">
        <f t="shared" si="29"/>
        <v>-0.1021524132328567</v>
      </c>
    </row>
    <row r="521" spans="1:8">
      <c r="A521" s="4" t="s">
        <v>757</v>
      </c>
      <c r="B521" s="4">
        <v>16</v>
      </c>
      <c r="C521" s="4" t="s">
        <v>77</v>
      </c>
      <c r="D521" s="4" t="s">
        <v>780</v>
      </c>
      <c r="E521" s="4"/>
      <c r="F521" s="4"/>
      <c r="G521" s="4"/>
      <c r="H521" s="4"/>
    </row>
    <row r="522" spans="1:8">
      <c r="A522" s="4" t="s">
        <v>757</v>
      </c>
      <c r="B522" s="4">
        <v>17</v>
      </c>
      <c r="C522" s="4" t="s">
        <v>72</v>
      </c>
      <c r="D522" s="4" t="s">
        <v>780</v>
      </c>
      <c r="E522" s="4" t="str">
        <f t="shared" ref="E522:E550" si="30">B522&amp;"|"&amp;C522</f>
        <v>17|U</v>
      </c>
      <c r="F522" s="14">
        <f>INDEX('Emission Stepwise'!$H$2:$H$289,MATCH(E522,'Emission Stepwise'!$C$2:$C$289,0))</f>
        <v>0.57213930348258701</v>
      </c>
      <c r="G522" s="14">
        <f>INDEX(Background!$C$4:$C$7,MATCH(C522,Background!$A$4:$A$7,0))</f>
        <v>0.21314113777902177</v>
      </c>
      <c r="H522" s="17">
        <f t="shared" ref="H522:H550" si="31">LN(F522/G522)</f>
        <v>0.98742793433086185</v>
      </c>
    </row>
    <row r="523" spans="1:8">
      <c r="A523" s="4" t="s">
        <v>757</v>
      </c>
      <c r="B523" s="4">
        <v>18</v>
      </c>
      <c r="C523" s="4" t="s">
        <v>70</v>
      </c>
      <c r="D523" s="4" t="s">
        <v>780</v>
      </c>
      <c r="E523" s="4" t="str">
        <f t="shared" si="30"/>
        <v>18|G</v>
      </c>
      <c r="F523" s="14">
        <f>INDEX('Emission Stepwise'!$H$2:$H$289,MATCH(E523,'Emission Stepwise'!$C$2:$C$289,0))</f>
        <v>0.98039215686274506</v>
      </c>
      <c r="G523" s="14">
        <f>INDEX(Background!$C$4:$C$7,MATCH(C523,Background!$A$4:$A$7,0))</f>
        <v>0.32488979077741237</v>
      </c>
      <c r="H523" s="17">
        <f t="shared" si="31"/>
        <v>1.1044666321656933</v>
      </c>
    </row>
    <row r="524" spans="1:8">
      <c r="A524" s="4" t="s">
        <v>757</v>
      </c>
      <c r="B524" s="4">
        <v>19</v>
      </c>
      <c r="C524" s="4" t="s">
        <v>70</v>
      </c>
      <c r="D524" s="4" t="s">
        <v>780</v>
      </c>
      <c r="E524" s="4" t="str">
        <f t="shared" si="30"/>
        <v>19|G</v>
      </c>
      <c r="F524" s="14">
        <f>INDEX('Emission Stepwise'!$H$2:$H$289,MATCH(E524,'Emission Stepwise'!$C$2:$C$289,0))</f>
        <v>0.97058823529411764</v>
      </c>
      <c r="G524" s="14">
        <f>INDEX(Background!$C$4:$C$7,MATCH(C524,Background!$A$4:$A$7,0))</f>
        <v>0.32488979077741237</v>
      </c>
      <c r="H524" s="17">
        <f t="shared" si="31"/>
        <v>1.0944162963121917</v>
      </c>
    </row>
    <row r="525" spans="1:8">
      <c r="A525" s="4" t="s">
        <v>757</v>
      </c>
      <c r="B525" s="4">
        <v>20</v>
      </c>
      <c r="C525" s="4" t="s">
        <v>73</v>
      </c>
      <c r="D525" s="4" t="s">
        <v>780</v>
      </c>
      <c r="E525" s="4" t="str">
        <f t="shared" si="30"/>
        <v>20|A</v>
      </c>
      <c r="F525" s="14">
        <f>INDEX('Emission Stepwise'!$H$2:$H$289,MATCH(E525,'Emission Stepwise'!$C$2:$C$289,0))</f>
        <v>8.8669950738916259E-2</v>
      </c>
      <c r="G525" s="14">
        <f>INDEX(Background!$C$4:$C$7,MATCH(C525,Background!$A$4:$A$7,0))</f>
        <v>0.18550136449513679</v>
      </c>
      <c r="H525" s="17">
        <f t="shared" si="31"/>
        <v>-0.73814117995285333</v>
      </c>
    </row>
    <row r="526" spans="1:8">
      <c r="A526" s="4" t="s">
        <v>757</v>
      </c>
      <c r="B526" s="4">
        <v>21</v>
      </c>
      <c r="C526" s="4" t="s">
        <v>72</v>
      </c>
      <c r="D526" s="4" t="s">
        <v>780</v>
      </c>
      <c r="E526" s="4" t="str">
        <f t="shared" si="30"/>
        <v>21|U</v>
      </c>
      <c r="F526" s="14">
        <f>INDEX('Emission Stepwise'!$H$2:$H$289,MATCH(E526,'Emission Stepwise'!$C$2:$C$289,0))</f>
        <v>5.3921568627450983E-2</v>
      </c>
      <c r="G526" s="14">
        <f>INDEX(Background!$C$4:$C$7,MATCH(C526,Background!$A$4:$A$7,0))</f>
        <v>0.21314113777902177</v>
      </c>
      <c r="H526" s="17">
        <f t="shared" si="31"/>
        <v>-1.3744240070191582</v>
      </c>
    </row>
    <row r="527" spans="1:8">
      <c r="A527" s="4" t="s">
        <v>757</v>
      </c>
      <c r="B527" s="4">
        <v>22</v>
      </c>
      <c r="C527" s="4" t="s">
        <v>72</v>
      </c>
      <c r="D527" s="4" t="s">
        <v>780</v>
      </c>
      <c r="E527" s="4" t="str">
        <f t="shared" si="30"/>
        <v>22|U</v>
      </c>
      <c r="F527" s="14">
        <f>INDEX('Emission Stepwise'!$H$2:$H$289,MATCH(E527,'Emission Stepwise'!$C$2:$C$289,0))</f>
        <v>7.3529411764705885E-2</v>
      </c>
      <c r="G527" s="14">
        <f>INDEX(Background!$C$4:$C$7,MATCH(C527,Background!$A$4:$A$7,0))</f>
        <v>0.21314113777902177</v>
      </c>
      <c r="H527" s="17">
        <f t="shared" si="31"/>
        <v>-1.0642690787153186</v>
      </c>
    </row>
    <row r="528" spans="1:8">
      <c r="A528" s="4" t="s">
        <v>757</v>
      </c>
      <c r="B528" s="4">
        <v>23</v>
      </c>
      <c r="C528" s="4" t="s">
        <v>71</v>
      </c>
      <c r="D528" s="4" t="s">
        <v>780</v>
      </c>
      <c r="E528" s="4" t="str">
        <f t="shared" si="30"/>
        <v>23|C</v>
      </c>
      <c r="F528" s="14">
        <f>INDEX('Emission Stepwise'!$H$2:$H$289,MATCH(E528,'Emission Stepwise'!$C$2:$C$289,0))</f>
        <v>0.19117647058823528</v>
      </c>
      <c r="G528" s="14">
        <f>INDEX(Background!$C$4:$C$7,MATCH(C528,Background!$A$4:$A$7,0))</f>
        <v>0.27646770694842909</v>
      </c>
      <c r="H528" s="17">
        <f t="shared" si="31"/>
        <v>-0.36889709064416604</v>
      </c>
    </row>
    <row r="529" spans="1:8">
      <c r="A529" s="4" t="s">
        <v>757</v>
      </c>
      <c r="B529" s="4">
        <v>24</v>
      </c>
      <c r="C529" s="4" t="s">
        <v>73</v>
      </c>
      <c r="D529" s="4" t="s">
        <v>780</v>
      </c>
      <c r="E529" s="4" t="str">
        <f t="shared" si="30"/>
        <v>24|A</v>
      </c>
      <c r="F529" s="14">
        <f>INDEX('Emission Stepwise'!$H$2:$H$289,MATCH(E529,'Emission Stepwise'!$C$2:$C$289,0))</f>
        <v>0.18627450980392157</v>
      </c>
      <c r="G529" s="14">
        <f>INDEX(Background!$C$4:$C$7,MATCH(C529,Background!$A$4:$A$7,0))</f>
        <v>0.18550136449513679</v>
      </c>
      <c r="H529" s="17">
        <f t="shared" si="31"/>
        <v>4.1592070749386289E-3</v>
      </c>
    </row>
    <row r="530" spans="1:8">
      <c r="A530" s="4" t="s">
        <v>757</v>
      </c>
      <c r="B530" s="4">
        <v>25</v>
      </c>
      <c r="C530" s="4" t="s">
        <v>72</v>
      </c>
      <c r="D530" s="4" t="s">
        <v>780</v>
      </c>
      <c r="E530" s="4" t="str">
        <f t="shared" si="30"/>
        <v>25|U</v>
      </c>
      <c r="F530" s="14">
        <f>INDEX('Emission Stepwise'!$H$2:$H$289,MATCH(E530,'Emission Stepwise'!$C$2:$C$289,0))</f>
        <v>7.3529411764705885E-2</v>
      </c>
      <c r="G530" s="14">
        <f>INDEX(Background!$C$4:$C$7,MATCH(C530,Background!$A$4:$A$7,0))</f>
        <v>0.21314113777902177</v>
      </c>
      <c r="H530" s="17">
        <f t="shared" si="31"/>
        <v>-1.0642690787153186</v>
      </c>
    </row>
    <row r="531" spans="1:8">
      <c r="A531" s="4" t="s">
        <v>757</v>
      </c>
      <c r="B531" s="4">
        <v>26</v>
      </c>
      <c r="C531" s="4" t="s">
        <v>72</v>
      </c>
      <c r="D531" s="4" t="s">
        <v>781</v>
      </c>
      <c r="E531" s="4" t="str">
        <f t="shared" si="30"/>
        <v>26|U</v>
      </c>
      <c r="F531" s="14">
        <f>INDEX('Emission Stepwise'!$H$2:$H$289,MATCH(E531,'Emission Stepwise'!$C$2:$C$289,0))</f>
        <v>5.8823529411764705E-2</v>
      </c>
      <c r="G531" s="14">
        <f>INDEX(Background!$C$4:$C$7,MATCH(C531,Background!$A$4:$A$7,0))</f>
        <v>0.21314113777902177</v>
      </c>
      <c r="H531" s="17">
        <f t="shared" si="31"/>
        <v>-1.2874126300295285</v>
      </c>
    </row>
    <row r="532" spans="1:8">
      <c r="A532" s="4" t="s">
        <v>757</v>
      </c>
      <c r="B532" s="4">
        <v>27</v>
      </c>
      <c r="C532" s="4" t="s">
        <v>72</v>
      </c>
      <c r="D532" s="4" t="s">
        <v>781</v>
      </c>
      <c r="E532" s="4" t="str">
        <f t="shared" si="30"/>
        <v>27|U</v>
      </c>
      <c r="F532" s="14">
        <f>INDEX('Emission Stepwise'!$H$2:$H$289,MATCH(E532,'Emission Stepwise'!$C$2:$C$289,0))</f>
        <v>0.25980392156862747</v>
      </c>
      <c r="G532" s="14">
        <f>INDEX(Background!$C$4:$C$7,MATCH(C532,Background!$A$4:$A$7,0))</f>
        <v>0.21314113777902177</v>
      </c>
      <c r="H532" s="17">
        <f t="shared" si="31"/>
        <v>0.19797263373459306</v>
      </c>
    </row>
    <row r="533" spans="1:8">
      <c r="A533" s="4" t="s">
        <v>757</v>
      </c>
      <c r="B533" s="4">
        <v>28</v>
      </c>
      <c r="C533" s="4" t="s">
        <v>70</v>
      </c>
      <c r="D533" s="4" t="s">
        <v>781</v>
      </c>
      <c r="E533" s="4" t="str">
        <f t="shared" si="30"/>
        <v>28|G</v>
      </c>
      <c r="F533" s="14">
        <f>INDEX('Emission Stepwise'!$H$2:$H$289,MATCH(E533,'Emission Stepwise'!$C$2:$C$289,0))</f>
        <v>0.11274509803921569</v>
      </c>
      <c r="G533" s="14">
        <f>INDEX(Background!$C$4:$C$7,MATCH(C533,Background!$A$4:$A$7,0))</f>
        <v>0.32488979077741237</v>
      </c>
      <c r="H533" s="17">
        <f t="shared" si="31"/>
        <v>-1.0583565184531936</v>
      </c>
    </row>
    <row r="534" spans="1:8">
      <c r="A534" s="4" t="s">
        <v>757</v>
      </c>
      <c r="B534" s="4">
        <v>29</v>
      </c>
      <c r="C534" s="4" t="s">
        <v>72</v>
      </c>
      <c r="D534" s="4" t="s">
        <v>781</v>
      </c>
      <c r="E534" s="4" t="str">
        <f t="shared" si="30"/>
        <v>29|U</v>
      </c>
      <c r="F534" s="14">
        <f>INDEX('Emission Stepwise'!$H$2:$H$289,MATCH(E534,'Emission Stepwise'!$C$2:$C$289,0))</f>
        <v>0.27450980392156865</v>
      </c>
      <c r="G534" s="14">
        <f>INDEX(Background!$C$4:$C$7,MATCH(C534,Background!$A$4:$A$7,0))</f>
        <v>0.21314113777902177</v>
      </c>
      <c r="H534" s="17">
        <f t="shared" si="31"/>
        <v>0.25303241091762058</v>
      </c>
    </row>
    <row r="535" spans="1:8">
      <c r="A535" s="4" t="s">
        <v>757</v>
      </c>
      <c r="B535" s="4">
        <v>30</v>
      </c>
      <c r="C535" s="4" t="s">
        <v>73</v>
      </c>
      <c r="D535" s="4" t="s">
        <v>781</v>
      </c>
      <c r="E535" s="4" t="str">
        <f t="shared" si="30"/>
        <v>30|A</v>
      </c>
      <c r="F535" s="14">
        <f>INDEX('Emission Stepwise'!$H$2:$H$289,MATCH(E535,'Emission Stepwise'!$C$2:$C$289,0))</f>
        <v>4.9019607843137254E-3</v>
      </c>
      <c r="G535" s="14">
        <f>INDEX(Background!$C$4:$C$7,MATCH(C535,Background!$A$4:$A$7,0))</f>
        <v>0.18550136449513679</v>
      </c>
      <c r="H535" s="17">
        <f t="shared" si="31"/>
        <v>-3.6334269526514471</v>
      </c>
    </row>
    <row r="536" spans="1:8">
      <c r="A536" s="4" t="s">
        <v>757</v>
      </c>
      <c r="B536" s="4">
        <v>31</v>
      </c>
      <c r="C536" s="4" t="s">
        <v>70</v>
      </c>
      <c r="D536" s="4" t="s">
        <v>781</v>
      </c>
      <c r="E536" s="4" t="str">
        <f t="shared" si="30"/>
        <v>31|G</v>
      </c>
      <c r="F536" s="14">
        <f>INDEX('Emission Stepwise'!$H$2:$H$289,MATCH(E536,'Emission Stepwise'!$C$2:$C$289,0))</f>
        <v>0.27450980392156865</v>
      </c>
      <c r="G536" s="14">
        <f>INDEX(Background!$C$4:$C$7,MATCH(C536,Background!$A$4:$A$7,0))</f>
        <v>0.32488979077741237</v>
      </c>
      <c r="H536" s="17">
        <f t="shared" si="31"/>
        <v>-0.16849904364719412</v>
      </c>
    </row>
    <row r="537" spans="1:8">
      <c r="A537" s="4" t="s">
        <v>757</v>
      </c>
      <c r="B537" s="4">
        <v>32</v>
      </c>
      <c r="C537" s="4" t="s">
        <v>72</v>
      </c>
      <c r="D537" s="4" t="s">
        <v>781</v>
      </c>
      <c r="E537" s="4" t="str">
        <f t="shared" si="30"/>
        <v>32|U</v>
      </c>
      <c r="F537" s="14">
        <f>INDEX('Emission Stepwise'!$H$2:$H$289,MATCH(E537,'Emission Stepwise'!$C$2:$C$289,0))</f>
        <v>0.29411764705882354</v>
      </c>
      <c r="G537" s="14">
        <f>INDEX(Background!$C$4:$C$7,MATCH(C537,Background!$A$4:$A$7,0))</f>
        <v>0.21314113777902177</v>
      </c>
      <c r="H537" s="17">
        <f t="shared" si="31"/>
        <v>0.32202528240457201</v>
      </c>
    </row>
    <row r="538" spans="1:8">
      <c r="A538" s="4" t="s">
        <v>757</v>
      </c>
      <c r="B538" s="4">
        <v>33</v>
      </c>
      <c r="C538" s="4" t="s">
        <v>72</v>
      </c>
      <c r="D538" s="4" t="s">
        <v>781</v>
      </c>
      <c r="E538" s="4" t="str">
        <f t="shared" si="30"/>
        <v>33|U</v>
      </c>
      <c r="F538" s="14">
        <f>INDEX('Emission Stepwise'!$H$2:$H$289,MATCH(E538,'Emission Stepwise'!$C$2:$C$289,0))</f>
        <v>0.97549019607843135</v>
      </c>
      <c r="G538" s="14">
        <f>INDEX(Background!$C$4:$C$7,MATCH(C538,Background!$A$4:$A$7,0))</f>
        <v>0.21314113777902177</v>
      </c>
      <c r="H538" s="17">
        <f t="shared" si="31"/>
        <v>1.5209855449069636</v>
      </c>
    </row>
    <row r="539" spans="1:8">
      <c r="A539" s="4" t="s">
        <v>757</v>
      </c>
      <c r="B539" s="4">
        <v>34</v>
      </c>
      <c r="C539" s="4" t="s">
        <v>72</v>
      </c>
      <c r="D539" s="4" t="s">
        <v>781</v>
      </c>
      <c r="E539" s="4" t="str">
        <f t="shared" si="30"/>
        <v>34|U</v>
      </c>
      <c r="F539" s="14">
        <f>INDEX('Emission Stepwise'!$H$2:$H$289,MATCH(E539,'Emission Stepwise'!$C$2:$C$289,0))</f>
        <v>0.28921568627450983</v>
      </c>
      <c r="G539" s="14">
        <f>INDEX(Background!$C$4:$C$7,MATCH(C539,Background!$A$4:$A$7,0))</f>
        <v>0.21314113777902177</v>
      </c>
      <c r="H539" s="17">
        <f t="shared" si="31"/>
        <v>0.30521816408819075</v>
      </c>
    </row>
    <row r="540" spans="1:8">
      <c r="A540" s="4" t="s">
        <v>757</v>
      </c>
      <c r="B540" s="4">
        <v>35</v>
      </c>
      <c r="C540" s="4" t="s">
        <v>71</v>
      </c>
      <c r="D540" s="4" t="s">
        <v>781</v>
      </c>
      <c r="E540" s="4" t="str">
        <f t="shared" si="30"/>
        <v>35|C</v>
      </c>
      <c r="F540" s="14">
        <f>INDEX('Emission Stepwise'!$H$2:$H$289,MATCH(E540,'Emission Stepwise'!$C$2:$C$289,0))</f>
        <v>0.23039215686274508</v>
      </c>
      <c r="G540" s="14">
        <f>INDEX(Background!$C$4:$C$7,MATCH(C540,Background!$A$4:$A$7,0))</f>
        <v>0.27646770694842909</v>
      </c>
      <c r="H540" s="17">
        <f t="shared" si="31"/>
        <v>-0.18231113506375388</v>
      </c>
    </row>
    <row r="541" spans="1:8">
      <c r="A541" s="4" t="s">
        <v>757</v>
      </c>
      <c r="B541" s="4">
        <v>36</v>
      </c>
      <c r="C541" s="4" t="s">
        <v>73</v>
      </c>
      <c r="D541" s="4" t="s">
        <v>781</v>
      </c>
      <c r="E541" s="4" t="str">
        <f t="shared" si="30"/>
        <v>36|A</v>
      </c>
      <c r="F541" s="14">
        <f>INDEX('Emission Stepwise'!$H$2:$H$289,MATCH(E541,'Emission Stepwise'!$C$2:$C$289,0))</f>
        <v>0.21568627450980393</v>
      </c>
      <c r="G541" s="14">
        <f>INDEX(Background!$C$4:$C$7,MATCH(C541,Background!$A$4:$A$7,0))</f>
        <v>0.18550136449513679</v>
      </c>
      <c r="H541" s="17">
        <f t="shared" si="31"/>
        <v>0.15076268126681408</v>
      </c>
    </row>
    <row r="542" spans="1:8">
      <c r="A542" s="4" t="s">
        <v>757</v>
      </c>
      <c r="B542" s="4">
        <v>37</v>
      </c>
      <c r="C542" s="4" t="s">
        <v>73</v>
      </c>
      <c r="D542" s="4" t="s">
        <v>781</v>
      </c>
      <c r="E542" s="4" t="str">
        <f t="shared" si="30"/>
        <v>37|A</v>
      </c>
      <c r="F542" s="14">
        <f>INDEX('Emission Stepwise'!$H$2:$H$289,MATCH(E542,'Emission Stepwise'!$C$2:$C$289,0))</f>
        <v>0.74509803921568629</v>
      </c>
      <c r="G542" s="14">
        <f>INDEX(Background!$C$4:$C$7,MATCH(C542,Background!$A$4:$A$7,0))</f>
        <v>0.18550136449513679</v>
      </c>
      <c r="H542" s="17">
        <f t="shared" si="31"/>
        <v>1.3904535681948293</v>
      </c>
    </row>
    <row r="543" spans="1:8">
      <c r="A543" s="4" t="s">
        <v>757</v>
      </c>
      <c r="B543" s="4">
        <v>38</v>
      </c>
      <c r="C543" s="4" t="s">
        <v>73</v>
      </c>
      <c r="D543" s="4" t="s">
        <v>781</v>
      </c>
      <c r="E543" s="4" t="str">
        <f t="shared" si="30"/>
        <v>38|A</v>
      </c>
      <c r="F543" s="14">
        <f>INDEX('Emission Stepwise'!$H$2:$H$289,MATCH(E543,'Emission Stepwise'!$C$2:$C$289,0))</f>
        <v>0.72549019607843135</v>
      </c>
      <c r="G543" s="14">
        <f>INDEX(Background!$C$4:$C$7,MATCH(C543,Background!$A$4:$A$7,0))</f>
        <v>0.18550136449513679</v>
      </c>
      <c r="H543" s="17">
        <f t="shared" si="31"/>
        <v>1.3637853211126678</v>
      </c>
    </row>
    <row r="544" spans="1:8">
      <c r="A544" s="4" t="s">
        <v>757</v>
      </c>
      <c r="B544" s="4">
        <v>39</v>
      </c>
      <c r="C544" s="4" t="s">
        <v>72</v>
      </c>
      <c r="D544" s="4" t="s">
        <v>781</v>
      </c>
      <c r="E544" s="4" t="str">
        <f t="shared" si="30"/>
        <v>39|U</v>
      </c>
      <c r="F544" s="14">
        <f>INDEX('Emission Stepwise'!$H$2:$H$289,MATCH(E544,'Emission Stepwise'!$C$2:$C$289,0))</f>
        <v>0.29411764705882354</v>
      </c>
      <c r="G544" s="14">
        <f>INDEX(Background!$C$4:$C$7,MATCH(C544,Background!$A$4:$A$7,0))</f>
        <v>0.21314113777902177</v>
      </c>
      <c r="H544" s="17">
        <f t="shared" si="31"/>
        <v>0.32202528240457201</v>
      </c>
    </row>
    <row r="545" spans="1:8">
      <c r="A545" s="4" t="s">
        <v>757</v>
      </c>
      <c r="B545" s="4">
        <v>40</v>
      </c>
      <c r="C545" s="4" t="s">
        <v>72</v>
      </c>
      <c r="D545" s="4" t="s">
        <v>781</v>
      </c>
      <c r="E545" s="4" t="str">
        <f t="shared" si="30"/>
        <v>40|U</v>
      </c>
      <c r="F545" s="14">
        <f>INDEX('Emission Stepwise'!$H$2:$H$289,MATCH(E545,'Emission Stepwise'!$C$2:$C$289,0))</f>
        <v>4.4117647058823532E-2</v>
      </c>
      <c r="G545" s="14">
        <f>INDEX(Background!$C$4:$C$7,MATCH(C545,Background!$A$4:$A$7,0))</f>
        <v>0.21314113777902177</v>
      </c>
      <c r="H545" s="17">
        <f t="shared" si="31"/>
        <v>-1.5750947024813093</v>
      </c>
    </row>
    <row r="546" spans="1:8">
      <c r="A546" s="4" t="s">
        <v>757</v>
      </c>
      <c r="B546" s="4">
        <v>41</v>
      </c>
      <c r="C546" s="4" t="s">
        <v>73</v>
      </c>
      <c r="D546" s="4" t="s">
        <v>781</v>
      </c>
      <c r="E546" s="4" t="str">
        <f t="shared" si="30"/>
        <v>41|A</v>
      </c>
      <c r="F546" s="14">
        <f>INDEX('Emission Stepwise'!$H$2:$H$289,MATCH(E546,'Emission Stepwise'!$C$2:$C$289,0))</f>
        <v>0.26960784313725489</v>
      </c>
      <c r="G546" s="14">
        <f>INDEX(Background!$C$4:$C$7,MATCH(C546,Background!$A$4:$A$7,0))</f>
        <v>0.18550136449513679</v>
      </c>
      <c r="H546" s="17">
        <f t="shared" si="31"/>
        <v>0.37390623258102373</v>
      </c>
    </row>
    <row r="547" spans="1:8">
      <c r="A547" s="4" t="s">
        <v>757</v>
      </c>
      <c r="B547" s="4">
        <v>42</v>
      </c>
      <c r="C547" s="4" t="s">
        <v>71</v>
      </c>
      <c r="D547" s="4" t="s">
        <v>781</v>
      </c>
      <c r="E547" s="4" t="str">
        <f t="shared" si="30"/>
        <v>42|C</v>
      </c>
      <c r="F547" s="14">
        <f>INDEX('Emission Stepwise'!$H$2:$H$289,MATCH(E547,'Emission Stepwise'!$C$2:$C$289,0))</f>
        <v>0.10294117647058823</v>
      </c>
      <c r="G547" s="14">
        <f>INDEX(Background!$C$4:$C$7,MATCH(C547,Background!$A$4:$A$7,0))</f>
        <v>0.27646770694842909</v>
      </c>
      <c r="H547" s="17">
        <f t="shared" si="31"/>
        <v>-0.98793629905038949</v>
      </c>
    </row>
    <row r="548" spans="1:8">
      <c r="A548" s="4" t="s">
        <v>757</v>
      </c>
      <c r="B548" s="4">
        <v>43</v>
      </c>
      <c r="C548" s="4" t="s">
        <v>73</v>
      </c>
      <c r="D548" s="4" t="s">
        <v>781</v>
      </c>
      <c r="E548" s="4" t="str">
        <f t="shared" si="30"/>
        <v>43|A</v>
      </c>
      <c r="F548" s="14">
        <f>INDEX('Emission Stepwise'!$H$2:$H$289,MATCH(E548,'Emission Stepwise'!$C$2:$C$289,0))</f>
        <v>0.22549019607843138</v>
      </c>
      <c r="G548" s="14">
        <f>INDEX(Background!$C$4:$C$7,MATCH(C548,Background!$A$4:$A$7,0))</f>
        <v>0.18550136449513679</v>
      </c>
      <c r="H548" s="17">
        <f t="shared" si="31"/>
        <v>0.1952144438376478</v>
      </c>
    </row>
    <row r="549" spans="1:8">
      <c r="A549" s="4" t="s">
        <v>757</v>
      </c>
      <c r="B549" s="4">
        <v>44</v>
      </c>
      <c r="C549" s="4" t="s">
        <v>70</v>
      </c>
      <c r="D549" s="4" t="s">
        <v>781</v>
      </c>
      <c r="E549" s="4" t="str">
        <f t="shared" si="30"/>
        <v>44|G</v>
      </c>
      <c r="F549" s="14">
        <f>INDEX('Emission Stepwise'!$H$2:$H$289,MATCH(E549,'Emission Stepwise'!$C$2:$C$289,0))</f>
        <v>0.23039215686274508</v>
      </c>
      <c r="G549" s="14">
        <f>INDEX(Background!$C$4:$C$7,MATCH(C549,Background!$A$4:$A$7,0))</f>
        <v>0.32488979077741237</v>
      </c>
      <c r="H549" s="17">
        <f t="shared" si="31"/>
        <v>-0.34370313267228481</v>
      </c>
    </row>
    <row r="550" spans="1:8">
      <c r="A550" s="4" t="s">
        <v>757</v>
      </c>
      <c r="B550" s="4">
        <v>45</v>
      </c>
      <c r="C550" s="4" t="s">
        <v>72</v>
      </c>
      <c r="D550" s="4" t="s">
        <v>782</v>
      </c>
      <c r="E550" s="4" t="str">
        <f t="shared" si="30"/>
        <v>45|U</v>
      </c>
      <c r="F550" s="14">
        <f>INDEX('Emission Stepwise'!$H$2:$H$289,MATCH(E550,'Emission Stepwise'!$C$2:$C$289,0))</f>
        <v>0.14356435643564355</v>
      </c>
      <c r="G550" s="14">
        <f>INDEX(Background!$C$4:$C$7,MATCH(C550,Background!$A$4:$A$7,0))</f>
        <v>0.21314113777902177</v>
      </c>
      <c r="H550" s="17">
        <f t="shared" si="31"/>
        <v>-0.39517115338804326</v>
      </c>
    </row>
    <row r="551" spans="1:8">
      <c r="A551" s="4" t="s">
        <v>757</v>
      </c>
      <c r="B551" s="4">
        <v>46</v>
      </c>
      <c r="C551" s="4" t="s">
        <v>77</v>
      </c>
      <c r="D551" s="4" t="s">
        <v>782</v>
      </c>
      <c r="E551" s="4"/>
      <c r="F551" s="4"/>
      <c r="G551" s="4"/>
      <c r="H551" s="4"/>
    </row>
    <row r="552" spans="1:8">
      <c r="A552" s="4" t="s">
        <v>757</v>
      </c>
      <c r="B552" s="4">
        <v>47</v>
      </c>
      <c r="C552" s="4" t="s">
        <v>72</v>
      </c>
      <c r="D552" s="4" t="s">
        <v>782</v>
      </c>
      <c r="E552" s="4" t="str">
        <f t="shared" ref="E552:E583" si="32">B552&amp;"|"&amp;C552</f>
        <v>47|U</v>
      </c>
      <c r="F552" s="14">
        <f>INDEX('Emission Stepwise'!$H$2:$H$289,MATCH(E552,'Emission Stepwise'!$C$2:$C$289,0))</f>
        <v>0.66666666666666663</v>
      </c>
      <c r="G552" s="14">
        <f>INDEX(Background!$C$4:$C$7,MATCH(C552,Background!$A$4:$A$7,0))</f>
        <v>0.21314113777902177</v>
      </c>
      <c r="H552" s="17">
        <f t="shared" ref="H552:H583" si="33">LN(F552/G552)</f>
        <v>1.1403356059185232</v>
      </c>
    </row>
    <row r="553" spans="1:8">
      <c r="A553" s="4" t="s">
        <v>757</v>
      </c>
      <c r="B553" s="4">
        <v>48</v>
      </c>
      <c r="C553" s="4" t="s">
        <v>72</v>
      </c>
      <c r="D553" s="4" t="s">
        <v>782</v>
      </c>
      <c r="E553" s="4" t="str">
        <f t="shared" si="32"/>
        <v>48|U</v>
      </c>
      <c r="F553" s="14">
        <f>INDEX('Emission Stepwise'!$H$2:$H$289,MATCH(E553,'Emission Stepwise'!$C$2:$C$289,0))</f>
        <v>0.14705882352941177</v>
      </c>
      <c r="G553" s="14">
        <f>INDEX(Background!$C$4:$C$7,MATCH(C553,Background!$A$4:$A$7,0))</f>
        <v>0.21314113777902177</v>
      </c>
      <c r="H553" s="17">
        <f t="shared" si="33"/>
        <v>-0.37112189815537333</v>
      </c>
    </row>
    <row r="554" spans="1:8">
      <c r="A554" s="4" t="s">
        <v>757</v>
      </c>
      <c r="B554" s="4">
        <v>49</v>
      </c>
      <c r="C554" s="4" t="s">
        <v>72</v>
      </c>
      <c r="D554" s="4" t="s">
        <v>783</v>
      </c>
      <c r="E554" s="4" t="str">
        <f t="shared" si="32"/>
        <v>49|U</v>
      </c>
      <c r="F554" s="14">
        <f>INDEX('Emission Stepwise'!$H$2:$H$289,MATCH(E554,'Emission Stepwise'!$C$2:$C$289,0))</f>
        <v>5.8823529411764705E-2</v>
      </c>
      <c r="G554" s="14">
        <f>INDEX(Background!$C$4:$C$7,MATCH(C554,Background!$A$4:$A$7,0))</f>
        <v>0.21314113777902177</v>
      </c>
      <c r="H554" s="17">
        <f t="shared" si="33"/>
        <v>-1.2874126300295285</v>
      </c>
    </row>
    <row r="555" spans="1:8">
      <c r="A555" s="4" t="s">
        <v>757</v>
      </c>
      <c r="B555" s="4">
        <v>50</v>
      </c>
      <c r="C555" s="4" t="s">
        <v>73</v>
      </c>
      <c r="D555" s="4" t="s">
        <v>783</v>
      </c>
      <c r="E555" s="4" t="str">
        <f t="shared" si="32"/>
        <v>50|A</v>
      </c>
      <c r="F555" s="14">
        <f>INDEX('Emission Stepwise'!$H$2:$H$289,MATCH(E555,'Emission Stepwise'!$C$2:$C$289,0))</f>
        <v>0.11764705882352941</v>
      </c>
      <c r="G555" s="14">
        <f>INDEX(Background!$C$4:$C$7,MATCH(C555,Background!$A$4:$A$7,0))</f>
        <v>0.18550136449513679</v>
      </c>
      <c r="H555" s="17">
        <f t="shared" si="33"/>
        <v>-0.45537312230350152</v>
      </c>
    </row>
    <row r="556" spans="1:8">
      <c r="A556" s="4" t="s">
        <v>757</v>
      </c>
      <c r="B556" s="4">
        <v>51</v>
      </c>
      <c r="C556" s="4" t="s">
        <v>70</v>
      </c>
      <c r="D556" s="4" t="s">
        <v>783</v>
      </c>
      <c r="E556" s="4" t="str">
        <f t="shared" si="32"/>
        <v>51|G</v>
      </c>
      <c r="F556" s="14">
        <f>INDEX('Emission Stepwise'!$H$2:$H$289,MATCH(E556,'Emission Stepwise'!$C$2:$C$289,0))</f>
        <v>0.49261083743842365</v>
      </c>
      <c r="G556" s="14">
        <f>INDEX(Background!$C$4:$C$7,MATCH(C556,Background!$A$4:$A$7,0))</f>
        <v>0.32488979077741237</v>
      </c>
      <c r="H556" s="17">
        <f t="shared" si="33"/>
        <v>0.41623346640817716</v>
      </c>
    </row>
    <row r="557" spans="1:8">
      <c r="A557" s="4" t="s">
        <v>757</v>
      </c>
      <c r="B557" s="4">
        <v>52</v>
      </c>
      <c r="C557" s="4" t="s">
        <v>70</v>
      </c>
      <c r="D557" s="4" t="s">
        <v>783</v>
      </c>
      <c r="E557" s="4" t="str">
        <f t="shared" si="32"/>
        <v>52|G</v>
      </c>
      <c r="F557" s="14">
        <f>INDEX('Emission Stepwise'!$H$2:$H$289,MATCH(E557,'Emission Stepwise'!$C$2:$C$289,0))</f>
        <v>0.82843137254901966</v>
      </c>
      <c r="G557" s="14">
        <f>INDEX(Background!$C$4:$C$7,MATCH(C557,Background!$A$4:$A$7,0))</f>
        <v>0.32488979077741237</v>
      </c>
      <c r="H557" s="17">
        <f t="shared" si="33"/>
        <v>0.93604798054073013</v>
      </c>
    </row>
    <row r="558" spans="1:8">
      <c r="A558" s="4" t="s">
        <v>757</v>
      </c>
      <c r="B558" s="4">
        <v>53</v>
      </c>
      <c r="C558" s="4" t="s">
        <v>70</v>
      </c>
      <c r="D558" s="4" t="s">
        <v>783</v>
      </c>
      <c r="E558" s="4" t="str">
        <f t="shared" si="32"/>
        <v>53|G</v>
      </c>
      <c r="F558" s="14">
        <f>INDEX('Emission Stepwise'!$H$2:$H$289,MATCH(E558,'Emission Stepwise'!$C$2:$C$289,0))</f>
        <v>0.96568627450980393</v>
      </c>
      <c r="G558" s="14">
        <f>INDEX(Background!$C$4:$C$7,MATCH(C558,Background!$A$4:$A$7,0))</f>
        <v>0.32488979077741237</v>
      </c>
      <c r="H558" s="17">
        <f t="shared" si="33"/>
        <v>1.089352994355645</v>
      </c>
    </row>
    <row r="559" spans="1:8">
      <c r="A559" s="4" t="s">
        <v>757</v>
      </c>
      <c r="B559" s="4">
        <v>54</v>
      </c>
      <c r="C559" s="4" t="s">
        <v>73</v>
      </c>
      <c r="D559" s="4" t="s">
        <v>783</v>
      </c>
      <c r="E559" s="4" t="str">
        <f t="shared" si="32"/>
        <v>54|A</v>
      </c>
      <c r="F559" s="14">
        <f>INDEX('Emission Stepwise'!$H$2:$H$289,MATCH(E559,'Emission Stepwise'!$C$2:$C$289,0))</f>
        <v>1.4705882352941176E-2</v>
      </c>
      <c r="G559" s="14">
        <f>INDEX(Background!$C$4:$C$7,MATCH(C559,Background!$A$4:$A$7,0))</f>
        <v>0.18550136449513679</v>
      </c>
      <c r="H559" s="17">
        <f t="shared" si="33"/>
        <v>-2.5348146639833375</v>
      </c>
    </row>
    <row r="560" spans="1:8">
      <c r="A560" s="4" t="s">
        <v>757</v>
      </c>
      <c r="B560" s="4">
        <v>55</v>
      </c>
      <c r="C560" s="4" t="s">
        <v>72</v>
      </c>
      <c r="D560" s="4" t="s">
        <v>783</v>
      </c>
      <c r="E560" s="4" t="str">
        <f t="shared" si="32"/>
        <v>55|U</v>
      </c>
      <c r="F560" s="14">
        <f>INDEX('Emission Stepwise'!$H$2:$H$289,MATCH(E560,'Emission Stepwise'!$C$2:$C$289,0))</f>
        <v>0.97058823529411764</v>
      </c>
      <c r="G560" s="14">
        <f>INDEX(Background!$C$4:$C$7,MATCH(C560,Background!$A$4:$A$7,0))</f>
        <v>0.21314113777902177</v>
      </c>
      <c r="H560" s="17">
        <f t="shared" si="33"/>
        <v>1.5159477508770065</v>
      </c>
    </row>
    <row r="561" spans="1:8">
      <c r="A561" s="4" t="s">
        <v>757</v>
      </c>
      <c r="B561" s="4">
        <v>56</v>
      </c>
      <c r="C561" s="4" t="s">
        <v>71</v>
      </c>
      <c r="D561" s="4" t="s">
        <v>783</v>
      </c>
      <c r="E561" s="4" t="str">
        <f t="shared" si="32"/>
        <v>56|C</v>
      </c>
      <c r="F561" s="14">
        <f>INDEX('Emission Stepwise'!$H$2:$H$289,MATCH(E561,'Emission Stepwise'!$C$2:$C$289,0))</f>
        <v>0.96568627450980393</v>
      </c>
      <c r="G561" s="14">
        <f>INDEX(Background!$C$4:$C$7,MATCH(C561,Background!$A$4:$A$7,0))</f>
        <v>0.27646770694842909</v>
      </c>
      <c r="H561" s="17">
        <f t="shared" si="33"/>
        <v>1.250744991964176</v>
      </c>
    </row>
    <row r="562" spans="1:8">
      <c r="A562" s="4" t="s">
        <v>757</v>
      </c>
      <c r="B562" s="4">
        <v>57</v>
      </c>
      <c r="C562" s="4" t="s">
        <v>71</v>
      </c>
      <c r="D562" s="4" t="s">
        <v>783</v>
      </c>
      <c r="E562" s="4" t="str">
        <f t="shared" si="32"/>
        <v>57|C</v>
      </c>
      <c r="F562" s="14">
        <f>INDEX('Emission Stepwise'!$H$2:$H$289,MATCH(E562,'Emission Stepwise'!$C$2:$C$289,0))</f>
        <v>4.9261083743842365E-3</v>
      </c>
      <c r="G562" s="14">
        <f>INDEX(Background!$C$4:$C$7,MATCH(C562,Background!$A$4:$A$7,0))</f>
        <v>0.27646770694842909</v>
      </c>
      <c r="H562" s="17">
        <f t="shared" si="33"/>
        <v>-4.0275447219713829</v>
      </c>
    </row>
    <row r="563" spans="1:8">
      <c r="A563" s="4" t="s">
        <v>757</v>
      </c>
      <c r="B563" s="4">
        <v>58</v>
      </c>
      <c r="C563" s="4" t="s">
        <v>72</v>
      </c>
      <c r="D563" s="4" t="s">
        <v>783</v>
      </c>
      <c r="E563" s="4" t="str">
        <f t="shared" si="32"/>
        <v>58|U</v>
      </c>
      <c r="F563" s="14">
        <f>INDEX('Emission Stepwise'!$H$2:$H$289,MATCH(E563,'Emission Stepwise'!$C$2:$C$289,0))</f>
        <v>9.8039215686274508E-3</v>
      </c>
      <c r="G563" s="14">
        <f>INDEX(Background!$C$4:$C$7,MATCH(C563,Background!$A$4:$A$7,0))</f>
        <v>0.21314113777902177</v>
      </c>
      <c r="H563" s="17">
        <f t="shared" si="33"/>
        <v>-3.0791720992575837</v>
      </c>
    </row>
    <row r="564" spans="1:8">
      <c r="A564" s="4" t="s">
        <v>757</v>
      </c>
      <c r="B564" s="4">
        <v>59</v>
      </c>
      <c r="C564" s="4" t="s">
        <v>72</v>
      </c>
      <c r="D564" s="4" t="s">
        <v>783</v>
      </c>
      <c r="E564" s="4" t="str">
        <f t="shared" si="32"/>
        <v>59|U</v>
      </c>
      <c r="F564" s="14">
        <f>INDEX('Emission Stepwise'!$H$2:$H$289,MATCH(E564,'Emission Stepwise'!$C$2:$C$289,0))</f>
        <v>0.25</v>
      </c>
      <c r="G564" s="14">
        <f>INDEX(Background!$C$4:$C$7,MATCH(C564,Background!$A$4:$A$7,0))</f>
        <v>0.21314113777902177</v>
      </c>
      <c r="H564" s="17">
        <f t="shared" si="33"/>
        <v>0.15950635290679691</v>
      </c>
    </row>
    <row r="565" spans="1:8">
      <c r="A565" s="4" t="s">
        <v>757</v>
      </c>
      <c r="B565" s="4">
        <v>60</v>
      </c>
      <c r="C565" s="4" t="s">
        <v>70</v>
      </c>
      <c r="D565" s="4" t="s">
        <v>783</v>
      </c>
      <c r="E565" s="4" t="str">
        <f t="shared" si="32"/>
        <v>60|G</v>
      </c>
      <c r="F565" s="14">
        <f>INDEX('Emission Stepwise'!$H$2:$H$289,MATCH(E565,'Emission Stepwise'!$C$2:$C$289,0))</f>
        <v>1.4705882352941176E-2</v>
      </c>
      <c r="G565" s="14">
        <f>INDEX(Background!$C$4:$C$7,MATCH(C565,Background!$A$4:$A$7,0))</f>
        <v>0.32488979077741237</v>
      </c>
      <c r="H565" s="17">
        <f t="shared" si="33"/>
        <v>-3.0952384457142337</v>
      </c>
    </row>
    <row r="566" spans="1:8">
      <c r="A566" s="4" t="s">
        <v>757</v>
      </c>
      <c r="B566" s="4">
        <v>61</v>
      </c>
      <c r="C566" s="4" t="s">
        <v>71</v>
      </c>
      <c r="D566" s="4" t="s">
        <v>783</v>
      </c>
      <c r="E566" s="4" t="str">
        <f t="shared" si="32"/>
        <v>61|C</v>
      </c>
      <c r="F566" s="14">
        <f>INDEX('Emission Stepwise'!$H$2:$H$289,MATCH(E566,'Emission Stepwise'!$C$2:$C$289,0))</f>
        <v>0.97549019607843135</v>
      </c>
      <c r="G566" s="14">
        <f>INDEX(Background!$C$4:$C$7,MATCH(C566,Background!$A$4:$A$7,0))</f>
        <v>0.27646770694842909</v>
      </c>
      <c r="H566" s="17">
        <f t="shared" si="33"/>
        <v>1.26084608795068</v>
      </c>
    </row>
    <row r="567" spans="1:8">
      <c r="A567" s="4" t="s">
        <v>757</v>
      </c>
      <c r="B567" s="4">
        <v>62</v>
      </c>
      <c r="C567" s="4" t="s">
        <v>72</v>
      </c>
      <c r="D567" s="4" t="s">
        <v>783</v>
      </c>
      <c r="E567" s="4" t="str">
        <f t="shared" si="32"/>
        <v>62|U</v>
      </c>
      <c r="F567" s="14">
        <f>INDEX('Emission Stepwise'!$H$2:$H$289,MATCH(E567,'Emission Stepwise'!$C$2:$C$289,0))</f>
        <v>0.13235294117647059</v>
      </c>
      <c r="G567" s="14">
        <f>INDEX(Background!$C$4:$C$7,MATCH(C567,Background!$A$4:$A$7,0))</f>
        <v>0.21314113777902177</v>
      </c>
      <c r="H567" s="17">
        <f t="shared" si="33"/>
        <v>-0.47648241381319967</v>
      </c>
    </row>
    <row r="568" spans="1:8">
      <c r="A568" s="4" t="s">
        <v>757</v>
      </c>
      <c r="B568" s="4">
        <v>63</v>
      </c>
      <c r="C568" s="4" t="s">
        <v>72</v>
      </c>
      <c r="D568" s="4" t="s">
        <v>783</v>
      </c>
      <c r="E568" s="4" t="str">
        <f t="shared" si="32"/>
        <v>63|U</v>
      </c>
      <c r="F568" s="14">
        <f>INDEX('Emission Stepwise'!$H$2:$H$289,MATCH(E568,'Emission Stepwise'!$C$2:$C$289,0))</f>
        <v>0.16176470588235295</v>
      </c>
      <c r="G568" s="14">
        <f>INDEX(Background!$C$4:$C$7,MATCH(C568,Background!$A$4:$A$7,0))</f>
        <v>0.21314113777902177</v>
      </c>
      <c r="H568" s="17">
        <f t="shared" si="33"/>
        <v>-0.27581171835104856</v>
      </c>
    </row>
    <row r="569" spans="1:8">
      <c r="A569" s="4" t="s">
        <v>757</v>
      </c>
      <c r="B569" s="4">
        <v>64</v>
      </c>
      <c r="C569" s="4" t="s">
        <v>72</v>
      </c>
      <c r="D569" s="4" t="s">
        <v>783</v>
      </c>
      <c r="E569" s="4" t="str">
        <f t="shared" si="32"/>
        <v>64|U</v>
      </c>
      <c r="F569" s="14">
        <f>INDEX('Emission Stepwise'!$H$2:$H$289,MATCH(E569,'Emission Stepwise'!$C$2:$C$289,0))</f>
        <v>0.16666666666666666</v>
      </c>
      <c r="G569" s="14">
        <f>INDEX(Background!$C$4:$C$7,MATCH(C569,Background!$A$4:$A$7,0))</f>
        <v>0.21314113777902177</v>
      </c>
      <c r="H569" s="17">
        <f t="shared" si="33"/>
        <v>-0.24595875520136748</v>
      </c>
    </row>
    <row r="570" spans="1:8">
      <c r="A570" s="4" t="s">
        <v>757</v>
      </c>
      <c r="B570" s="4">
        <v>65</v>
      </c>
      <c r="C570" s="4" t="s">
        <v>73</v>
      </c>
      <c r="D570" s="4" t="s">
        <v>783</v>
      </c>
      <c r="E570" s="4" t="str">
        <f t="shared" si="32"/>
        <v>65|A</v>
      </c>
      <c r="F570" s="14">
        <f>INDEX('Emission Stepwise'!$H$2:$H$289,MATCH(E570,'Emission Stepwise'!$C$2:$C$289,0))</f>
        <v>4.9261083743842367E-2</v>
      </c>
      <c r="G570" s="14">
        <f>INDEX(Background!$C$4:$C$7,MATCH(C570,Background!$A$4:$A$7,0))</f>
        <v>0.18550136449513679</v>
      </c>
      <c r="H570" s="17">
        <f t="shared" si="33"/>
        <v>-1.3259278448549723</v>
      </c>
    </row>
    <row r="571" spans="1:8">
      <c r="A571" s="4" t="s">
        <v>757</v>
      </c>
      <c r="B571" s="4">
        <v>66</v>
      </c>
      <c r="C571" s="4" t="s">
        <v>71</v>
      </c>
      <c r="D571" s="4" t="s">
        <v>784</v>
      </c>
      <c r="E571" s="4" t="str">
        <f t="shared" si="32"/>
        <v>66|C</v>
      </c>
      <c r="F571" s="14">
        <f>INDEX('Emission Stepwise'!$H$2:$H$289,MATCH(E571,'Emission Stepwise'!$C$2:$C$289,0))</f>
        <v>0.51960784313725494</v>
      </c>
      <c r="G571" s="14">
        <f>INDEX(Background!$C$4:$C$7,MATCH(C571,Background!$A$4:$A$7,0))</f>
        <v>0.27646770694842909</v>
      </c>
      <c r="H571" s="17">
        <f t="shared" si="33"/>
        <v>0.63098035733825475</v>
      </c>
    </row>
    <row r="572" spans="1:8">
      <c r="A572" s="4" t="s">
        <v>757</v>
      </c>
      <c r="B572" s="4">
        <v>67</v>
      </c>
      <c r="C572" s="4" t="s">
        <v>72</v>
      </c>
      <c r="D572" s="4" t="s">
        <v>784</v>
      </c>
      <c r="E572" s="4" t="str">
        <f t="shared" si="32"/>
        <v>67|U</v>
      </c>
      <c r="F572" s="14">
        <f>INDEX('Emission Stepwise'!$H$2:$H$289,MATCH(E572,'Emission Stepwise'!$C$2:$C$289,0))</f>
        <v>0.19117647058823528</v>
      </c>
      <c r="G572" s="14">
        <f>INDEX(Background!$C$4:$C$7,MATCH(C572,Background!$A$4:$A$7,0))</f>
        <v>0.21314113777902177</v>
      </c>
      <c r="H572" s="17">
        <f t="shared" si="33"/>
        <v>-0.1087576336878824</v>
      </c>
    </row>
    <row r="573" spans="1:8">
      <c r="A573" s="4" t="s">
        <v>757</v>
      </c>
      <c r="B573" s="4">
        <v>68</v>
      </c>
      <c r="C573" s="4" t="s">
        <v>72</v>
      </c>
      <c r="D573" s="4" t="s">
        <v>784</v>
      </c>
      <c r="E573" s="4" t="str">
        <f t="shared" si="32"/>
        <v>68|U</v>
      </c>
      <c r="F573" s="14">
        <f>INDEX('Emission Stepwise'!$H$2:$H$289,MATCH(E573,'Emission Stepwise'!$C$2:$C$289,0))</f>
        <v>0.18137254901960784</v>
      </c>
      <c r="G573" s="14">
        <f>INDEX(Background!$C$4:$C$7,MATCH(C573,Background!$A$4:$A$7,0))</f>
        <v>0.21314113777902177</v>
      </c>
      <c r="H573" s="17">
        <f t="shared" si="33"/>
        <v>-0.16140136717330436</v>
      </c>
    </row>
    <row r="574" spans="1:8">
      <c r="A574" s="4" t="s">
        <v>757</v>
      </c>
      <c r="B574" s="4">
        <v>69</v>
      </c>
      <c r="C574" s="4" t="s">
        <v>72</v>
      </c>
      <c r="D574" s="4" t="s">
        <v>784</v>
      </c>
      <c r="E574" s="4" t="str">
        <f t="shared" si="32"/>
        <v>69|U</v>
      </c>
      <c r="F574" s="14">
        <f>INDEX('Emission Stepwise'!$H$2:$H$289,MATCH(E574,'Emission Stepwise'!$C$2:$C$289,0))</f>
        <v>8.8235294117647065E-2</v>
      </c>
      <c r="G574" s="14">
        <f>INDEX(Background!$C$4:$C$7,MATCH(C574,Background!$A$4:$A$7,0))</f>
        <v>0.21314113777902177</v>
      </c>
      <c r="H574" s="17">
        <f t="shared" si="33"/>
        <v>-0.88194752192136405</v>
      </c>
    </row>
    <row r="575" spans="1:8">
      <c r="A575" s="4" t="s">
        <v>757</v>
      </c>
      <c r="B575" s="4">
        <v>70</v>
      </c>
      <c r="C575" s="4" t="s">
        <v>72</v>
      </c>
      <c r="D575" s="4" t="s">
        <v>784</v>
      </c>
      <c r="E575" s="4" t="str">
        <f t="shared" si="32"/>
        <v>70|U</v>
      </c>
      <c r="F575" s="14">
        <f>INDEX('Emission Stepwise'!$H$2:$H$289,MATCH(E575,'Emission Stepwise'!$C$2:$C$289,0))</f>
        <v>0.15196078431372548</v>
      </c>
      <c r="G575" s="14">
        <f>INDEX(Background!$C$4:$C$7,MATCH(C575,Background!$A$4:$A$7,0))</f>
        <v>0.21314113777902177</v>
      </c>
      <c r="H575" s="17">
        <f t="shared" si="33"/>
        <v>-0.33833207533238269</v>
      </c>
    </row>
    <row r="576" spans="1:8">
      <c r="A576" s="4" t="s">
        <v>757</v>
      </c>
      <c r="B576" s="4">
        <v>71</v>
      </c>
      <c r="C576" s="4" t="s">
        <v>73</v>
      </c>
      <c r="D576" s="4" t="s">
        <v>784</v>
      </c>
      <c r="E576" s="4" t="str">
        <f t="shared" si="32"/>
        <v>71|A</v>
      </c>
      <c r="F576" s="14">
        <f>INDEX('Emission Stepwise'!$H$2:$H$289,MATCH(E576,'Emission Stepwise'!$C$2:$C$289,0))</f>
        <v>2.9411764705882353E-2</v>
      </c>
      <c r="G576" s="14">
        <f>INDEX(Background!$C$4:$C$7,MATCH(C576,Background!$A$4:$A$7,0))</f>
        <v>0.18550136449513679</v>
      </c>
      <c r="H576" s="17">
        <f t="shared" si="33"/>
        <v>-1.8416674834233921</v>
      </c>
    </row>
    <row r="577" spans="1:8">
      <c r="A577" s="4" t="s">
        <v>757</v>
      </c>
      <c r="B577" s="4">
        <v>72</v>
      </c>
      <c r="C577" s="4" t="s">
        <v>72</v>
      </c>
      <c r="D577" s="4" t="s">
        <v>784</v>
      </c>
      <c r="E577" s="4" t="str">
        <f t="shared" si="32"/>
        <v>72|U</v>
      </c>
      <c r="F577" s="14">
        <f>INDEX('Emission Stepwise'!$H$2:$H$289,MATCH(E577,'Emission Stepwise'!$C$2:$C$289,0))</f>
        <v>0.10784313725490197</v>
      </c>
      <c r="G577" s="14">
        <f>INDEX(Background!$C$4:$C$7,MATCH(C577,Background!$A$4:$A$7,0))</f>
        <v>0.21314113777902177</v>
      </c>
      <c r="H577" s="17">
        <f t="shared" si="33"/>
        <v>-0.68127682645921295</v>
      </c>
    </row>
    <row r="578" spans="1:8">
      <c r="A578" s="4" t="s">
        <v>759</v>
      </c>
      <c r="B578" s="4">
        <v>1</v>
      </c>
      <c r="C578" s="4" t="s">
        <v>70</v>
      </c>
      <c r="D578" s="4" t="s">
        <v>778</v>
      </c>
      <c r="E578" s="4" t="str">
        <f t="shared" si="32"/>
        <v>1|G</v>
      </c>
      <c r="F578" s="14">
        <f>INDEX('Emission Stepwise'!$H$2:$H$289,MATCH(E578,'Emission Stepwise'!$C$2:$C$289,0))</f>
        <v>0.75</v>
      </c>
      <c r="G578" s="14">
        <f>INDEX(Background!$C$4:$C$7,MATCH(C578,Background!$A$4:$A$7,0))</f>
        <v>0.32488979077741237</v>
      </c>
      <c r="H578" s="17">
        <f t="shared" si="33"/>
        <v>0.83658718701009205</v>
      </c>
    </row>
    <row r="579" spans="1:8">
      <c r="A579" s="4" t="s">
        <v>759</v>
      </c>
      <c r="B579" s="4">
        <v>2</v>
      </c>
      <c r="C579" s="4" t="s">
        <v>71</v>
      </c>
      <c r="D579" s="4" t="s">
        <v>778</v>
      </c>
      <c r="E579" s="4" t="str">
        <f t="shared" si="32"/>
        <v>2|C</v>
      </c>
      <c r="F579" s="14">
        <f>INDEX('Emission Stepwise'!$H$2:$H$289,MATCH(E579,'Emission Stepwise'!$C$2:$C$289,0))</f>
        <v>0.40686274509803921</v>
      </c>
      <c r="G579" s="14">
        <f>INDEX(Background!$C$4:$C$7,MATCH(C579,Background!$A$4:$A$7,0))</f>
        <v>0.27646770694842909</v>
      </c>
      <c r="H579" s="17">
        <f t="shared" si="33"/>
        <v>0.38638187102278543</v>
      </c>
    </row>
    <row r="580" spans="1:8">
      <c r="A580" s="4" t="s">
        <v>759</v>
      </c>
      <c r="B580" s="4">
        <v>3</v>
      </c>
      <c r="C580" s="4" t="s">
        <v>71</v>
      </c>
      <c r="D580" s="4" t="s">
        <v>778</v>
      </c>
      <c r="E580" s="4" t="str">
        <f t="shared" si="32"/>
        <v>3|C</v>
      </c>
      <c r="F580" s="14">
        <f>INDEX('Emission Stepwise'!$H$2:$H$289,MATCH(E580,'Emission Stepwise'!$C$2:$C$289,0))</f>
        <v>0.38235294117647056</v>
      </c>
      <c r="G580" s="14">
        <f>INDEX(Background!$C$4:$C$7,MATCH(C580,Background!$A$4:$A$7,0))</f>
        <v>0.27646770694842909</v>
      </c>
      <c r="H580" s="17">
        <f t="shared" si="33"/>
        <v>0.32425008991577925</v>
      </c>
    </row>
    <row r="581" spans="1:8">
      <c r="A581" s="4" t="s">
        <v>759</v>
      </c>
      <c r="B581" s="4">
        <v>4</v>
      </c>
      <c r="C581" s="4" t="s">
        <v>71</v>
      </c>
      <c r="D581" s="4" t="s">
        <v>778</v>
      </c>
      <c r="E581" s="4" t="str">
        <f t="shared" si="32"/>
        <v>4|C</v>
      </c>
      <c r="F581" s="14">
        <f>INDEX('Emission Stepwise'!$H$2:$H$289,MATCH(E581,'Emission Stepwise'!$C$2:$C$289,0))</f>
        <v>0.30392156862745096</v>
      </c>
      <c r="G581" s="14">
        <f>INDEX(Background!$C$4:$C$7,MATCH(C581,Background!$A$4:$A$7,0))</f>
        <v>0.27646770694842909</v>
      </c>
      <c r="H581" s="17">
        <f t="shared" si="33"/>
        <v>9.4675648271279042E-2</v>
      </c>
    </row>
    <row r="582" spans="1:8">
      <c r="A582" s="4" t="s">
        <v>759</v>
      </c>
      <c r="B582" s="4">
        <v>5</v>
      </c>
      <c r="C582" s="4" t="s">
        <v>70</v>
      </c>
      <c r="D582" s="4" t="s">
        <v>778</v>
      </c>
      <c r="E582" s="4" t="str">
        <f t="shared" si="32"/>
        <v>5|G</v>
      </c>
      <c r="F582" s="14">
        <f>INDEX('Emission Stepwise'!$H$2:$H$289,MATCH(E582,'Emission Stepwise'!$C$2:$C$289,0))</f>
        <v>0.34313725490196079</v>
      </c>
      <c r="G582" s="14">
        <f>INDEX(Background!$C$4:$C$7,MATCH(C582,Background!$A$4:$A$7,0))</f>
        <v>0.32488979077741237</v>
      </c>
      <c r="H582" s="17">
        <f t="shared" si="33"/>
        <v>5.4644507667015618E-2</v>
      </c>
    </row>
    <row r="583" spans="1:8">
      <c r="A583" s="4" t="s">
        <v>759</v>
      </c>
      <c r="B583" s="4">
        <v>6</v>
      </c>
      <c r="C583" s="4" t="s">
        <v>70</v>
      </c>
      <c r="D583" s="4" t="s">
        <v>778</v>
      </c>
      <c r="E583" s="4" t="str">
        <f t="shared" si="32"/>
        <v>6|G</v>
      </c>
      <c r="F583" s="14">
        <f>INDEX('Emission Stepwise'!$H$2:$H$289,MATCH(E583,'Emission Stepwise'!$C$2:$C$289,0))</f>
        <v>0.24019607843137256</v>
      </c>
      <c r="G583" s="14">
        <f>INDEX(Background!$C$4:$C$7,MATCH(C583,Background!$A$4:$A$7,0))</f>
        <v>0.32488979077741237</v>
      </c>
      <c r="H583" s="17">
        <f t="shared" si="33"/>
        <v>-0.30203043627171677</v>
      </c>
    </row>
    <row r="584" spans="1:8">
      <c r="A584" s="4" t="s">
        <v>759</v>
      </c>
      <c r="B584" s="4">
        <v>7</v>
      </c>
      <c r="C584" s="4" t="s">
        <v>73</v>
      </c>
      <c r="D584" s="4" t="s">
        <v>778</v>
      </c>
      <c r="E584" s="4" t="str">
        <f t="shared" ref="E584:E615" si="34">B584&amp;"|"&amp;C584</f>
        <v>7|A</v>
      </c>
      <c r="F584" s="14">
        <f>INDEX('Emission Stepwise'!$H$2:$H$289,MATCH(E584,'Emission Stepwise'!$C$2:$C$289,0))</f>
        <v>0.24019607843137256</v>
      </c>
      <c r="G584" s="14">
        <f>INDEX(Background!$C$4:$C$7,MATCH(C584,Background!$A$4:$A$7,0))</f>
        <v>0.18550136449513679</v>
      </c>
      <c r="H584" s="17">
        <f t="shared" ref="H584:H615" si="35">LN(F584/G584)</f>
        <v>0.25839334545917952</v>
      </c>
    </row>
    <row r="585" spans="1:8">
      <c r="A585" s="4" t="s">
        <v>759</v>
      </c>
      <c r="B585" s="4">
        <v>8</v>
      </c>
      <c r="C585" s="4" t="s">
        <v>72</v>
      </c>
      <c r="D585" s="4" t="s">
        <v>779</v>
      </c>
      <c r="E585" s="4" t="str">
        <f t="shared" si="34"/>
        <v>8|U</v>
      </c>
      <c r="F585" s="14">
        <f>INDEX('Emission Stepwise'!$H$2:$H$289,MATCH(E585,'Emission Stepwise'!$C$2:$C$289,0))</f>
        <v>0.97549019607843135</v>
      </c>
      <c r="G585" s="14">
        <f>INDEX(Background!$C$4:$C$7,MATCH(C585,Background!$A$4:$A$7,0))</f>
        <v>0.21314113777902177</v>
      </c>
      <c r="H585" s="17">
        <f t="shared" si="35"/>
        <v>1.5209855449069636</v>
      </c>
    </row>
    <row r="586" spans="1:8">
      <c r="A586" s="4" t="s">
        <v>759</v>
      </c>
      <c r="B586" s="4">
        <v>9</v>
      </c>
      <c r="C586" s="4" t="s">
        <v>73</v>
      </c>
      <c r="D586" s="4" t="s">
        <v>780</v>
      </c>
      <c r="E586" s="4" t="str">
        <f t="shared" si="34"/>
        <v>9|A</v>
      </c>
      <c r="F586" s="14">
        <f>INDEX('Emission Stepwise'!$H$2:$H$289,MATCH(E586,'Emission Stepwise'!$C$2:$C$289,0))</f>
        <v>0.65024630541871919</v>
      </c>
      <c r="G586" s="14">
        <f>INDEX(Background!$C$4:$C$7,MATCH(C586,Background!$A$4:$A$7,0))</f>
        <v>0.18550136449513679</v>
      </c>
      <c r="H586" s="17">
        <f t="shared" si="35"/>
        <v>1.2542889847373526</v>
      </c>
    </row>
    <row r="587" spans="1:8">
      <c r="A587" s="4" t="s">
        <v>759</v>
      </c>
      <c r="B587" s="4">
        <v>10</v>
      </c>
      <c r="C587" s="4" t="s">
        <v>70</v>
      </c>
      <c r="D587" s="4" t="s">
        <v>780</v>
      </c>
      <c r="E587" s="4" t="str">
        <f t="shared" si="34"/>
        <v>10|G</v>
      </c>
      <c r="F587" s="14">
        <f>INDEX('Emission Stepwise'!$H$2:$H$289,MATCH(E587,'Emission Stepwise'!$C$2:$C$289,0))</f>
        <v>0.94607843137254899</v>
      </c>
      <c r="G587" s="14">
        <f>INDEX(Background!$C$4:$C$7,MATCH(C587,Background!$A$4:$A$7,0))</f>
        <v>0.32488979077741237</v>
      </c>
      <c r="H587" s="17">
        <f t="shared" si="35"/>
        <v>1.0688394545225421</v>
      </c>
    </row>
    <row r="588" spans="1:8">
      <c r="A588" s="4" t="s">
        <v>759</v>
      </c>
      <c r="B588" s="4">
        <v>11</v>
      </c>
      <c r="C588" s="4" t="s">
        <v>71</v>
      </c>
      <c r="D588" s="4" t="s">
        <v>780</v>
      </c>
      <c r="E588" s="4" t="str">
        <f t="shared" si="34"/>
        <v>11|C</v>
      </c>
      <c r="F588" s="14">
        <f>INDEX('Emission Stepwise'!$H$2:$H$289,MATCH(E588,'Emission Stepwise'!$C$2:$C$289,0))</f>
        <v>0.72549019607843135</v>
      </c>
      <c r="G588" s="14">
        <f>INDEX(Background!$C$4:$C$7,MATCH(C588,Background!$A$4:$A$7,0))</f>
        <v>0.27646770694842909</v>
      </c>
      <c r="H588" s="17">
        <f t="shared" si="35"/>
        <v>0.96475353699030275</v>
      </c>
    </row>
    <row r="589" spans="1:8">
      <c r="A589" s="4" t="s">
        <v>759</v>
      </c>
      <c r="B589" s="4">
        <v>12</v>
      </c>
      <c r="C589" s="4" t="s">
        <v>71</v>
      </c>
      <c r="D589" s="4" t="s">
        <v>780</v>
      </c>
      <c r="E589" s="4" t="str">
        <f t="shared" si="34"/>
        <v>12|C</v>
      </c>
      <c r="F589" s="14">
        <f>INDEX('Emission Stepwise'!$H$2:$H$289,MATCH(E589,'Emission Stepwise'!$C$2:$C$289,0))</f>
        <v>0.14705882352941177</v>
      </c>
      <c r="G589" s="14">
        <f>INDEX(Background!$C$4:$C$7,MATCH(C589,Background!$A$4:$A$7,0))</f>
        <v>0.27646770694842909</v>
      </c>
      <c r="H589" s="17">
        <f t="shared" si="35"/>
        <v>-0.63126135511165704</v>
      </c>
    </row>
    <row r="590" spans="1:8">
      <c r="A590" s="4" t="s">
        <v>759</v>
      </c>
      <c r="B590" s="4">
        <v>13</v>
      </c>
      <c r="C590" s="4" t="s">
        <v>72</v>
      </c>
      <c r="D590" s="4" t="s">
        <v>780</v>
      </c>
      <c r="E590" s="4" t="str">
        <f t="shared" si="34"/>
        <v>13|U</v>
      </c>
      <c r="F590" s="14">
        <f>INDEX('Emission Stepwise'!$H$2:$H$289,MATCH(E590,'Emission Stepwise'!$C$2:$C$289,0))</f>
        <v>0.19117647058823528</v>
      </c>
      <c r="G590" s="14">
        <f>INDEX(Background!$C$4:$C$7,MATCH(C590,Background!$A$4:$A$7,0))</f>
        <v>0.21314113777902177</v>
      </c>
      <c r="H590" s="17">
        <f t="shared" si="35"/>
        <v>-0.1087576336878824</v>
      </c>
    </row>
    <row r="591" spans="1:8">
      <c r="A591" s="4" t="s">
        <v>759</v>
      </c>
      <c r="B591" s="4">
        <v>14</v>
      </c>
      <c r="C591" s="4" t="s">
        <v>73</v>
      </c>
      <c r="D591" s="4" t="s">
        <v>780</v>
      </c>
      <c r="E591" s="4" t="str">
        <f t="shared" si="34"/>
        <v>14|A</v>
      </c>
      <c r="F591" s="14">
        <f>INDEX('Emission Stepwise'!$H$2:$H$289,MATCH(E591,'Emission Stepwise'!$C$2:$C$289,0))</f>
        <v>0.97549019607843135</v>
      </c>
      <c r="G591" s="14">
        <f>INDEX(Background!$C$4:$C$7,MATCH(C591,Background!$A$4:$A$7,0))</f>
        <v>0.18550136449513679</v>
      </c>
      <c r="H591" s="17">
        <f t="shared" si="35"/>
        <v>1.6598778720730452</v>
      </c>
    </row>
    <row r="592" spans="1:8">
      <c r="A592" s="4" t="s">
        <v>759</v>
      </c>
      <c r="B592" s="4">
        <v>15</v>
      </c>
      <c r="C592" s="4" t="s">
        <v>70</v>
      </c>
      <c r="D592" s="4" t="s">
        <v>780</v>
      </c>
      <c r="E592" s="4" t="str">
        <f t="shared" si="34"/>
        <v>15|G</v>
      </c>
      <c r="F592" s="14">
        <f>INDEX('Emission Stepwise'!$H$2:$H$289,MATCH(E592,'Emission Stepwise'!$C$2:$C$289,0))</f>
        <v>0.80295566502463056</v>
      </c>
      <c r="G592" s="14">
        <f>INDEX(Background!$C$4:$C$7,MATCH(C592,Background!$A$4:$A$7,0))</f>
        <v>0.32488979077741237</v>
      </c>
      <c r="H592" s="17">
        <f t="shared" si="35"/>
        <v>0.90481348122684802</v>
      </c>
    </row>
    <row r="593" spans="1:8">
      <c r="A593" s="4" t="s">
        <v>759</v>
      </c>
      <c r="B593" s="4">
        <v>16</v>
      </c>
      <c r="C593" s="4" t="s">
        <v>73</v>
      </c>
      <c r="D593" s="4" t="s">
        <v>780</v>
      </c>
      <c r="E593" s="4" t="str">
        <f t="shared" si="34"/>
        <v>16|A</v>
      </c>
      <c r="F593" s="14">
        <f>INDEX('Emission Stepwise'!$H$2:$H$289,MATCH(E593,'Emission Stepwise'!$C$2:$C$289,0))</f>
        <v>2.9197080291970802E-2</v>
      </c>
      <c r="G593" s="14">
        <f>INDEX(Background!$C$4:$C$7,MATCH(C593,Background!$A$4:$A$7,0))</f>
        <v>0.18550136449513679</v>
      </c>
      <c r="H593" s="17">
        <f t="shared" si="35"/>
        <v>-1.8489935235154651</v>
      </c>
    </row>
    <row r="594" spans="1:8">
      <c r="A594" s="4" t="s">
        <v>759</v>
      </c>
      <c r="B594" s="4">
        <v>17</v>
      </c>
      <c r="C594" s="4" t="s">
        <v>72</v>
      </c>
      <c r="D594" s="4" t="s">
        <v>780</v>
      </c>
      <c r="E594" s="4" t="str">
        <f t="shared" si="34"/>
        <v>17|U</v>
      </c>
      <c r="F594" s="14">
        <f>INDEX('Emission Stepwise'!$H$2:$H$289,MATCH(E594,'Emission Stepwise'!$C$2:$C$289,0))</f>
        <v>0.57213930348258701</v>
      </c>
      <c r="G594" s="14">
        <f>INDEX(Background!$C$4:$C$7,MATCH(C594,Background!$A$4:$A$7,0))</f>
        <v>0.21314113777902177</v>
      </c>
      <c r="H594" s="17">
        <f t="shared" si="35"/>
        <v>0.98742793433086185</v>
      </c>
    </row>
    <row r="595" spans="1:8">
      <c r="A595" s="4" t="s">
        <v>759</v>
      </c>
      <c r="B595" s="4">
        <v>18</v>
      </c>
      <c r="C595" s="4" t="s">
        <v>70</v>
      </c>
      <c r="D595" s="4" t="s">
        <v>780</v>
      </c>
      <c r="E595" s="4" t="str">
        <f t="shared" si="34"/>
        <v>18|G</v>
      </c>
      <c r="F595" s="14">
        <f>INDEX('Emission Stepwise'!$H$2:$H$289,MATCH(E595,'Emission Stepwise'!$C$2:$C$289,0))</f>
        <v>0.98039215686274506</v>
      </c>
      <c r="G595" s="14">
        <f>INDEX(Background!$C$4:$C$7,MATCH(C595,Background!$A$4:$A$7,0))</f>
        <v>0.32488979077741237</v>
      </c>
      <c r="H595" s="17">
        <f t="shared" si="35"/>
        <v>1.1044666321656933</v>
      </c>
    </row>
    <row r="596" spans="1:8">
      <c r="A596" s="4" t="s">
        <v>759</v>
      </c>
      <c r="B596" s="4">
        <v>19</v>
      </c>
      <c r="C596" s="4" t="s">
        <v>70</v>
      </c>
      <c r="D596" s="4" t="s">
        <v>780</v>
      </c>
      <c r="E596" s="4" t="str">
        <f t="shared" si="34"/>
        <v>19|G</v>
      </c>
      <c r="F596" s="14">
        <f>INDEX('Emission Stepwise'!$H$2:$H$289,MATCH(E596,'Emission Stepwise'!$C$2:$C$289,0))</f>
        <v>0.97058823529411764</v>
      </c>
      <c r="G596" s="14">
        <f>INDEX(Background!$C$4:$C$7,MATCH(C596,Background!$A$4:$A$7,0))</f>
        <v>0.32488979077741237</v>
      </c>
      <c r="H596" s="17">
        <f t="shared" si="35"/>
        <v>1.0944162963121917</v>
      </c>
    </row>
    <row r="597" spans="1:8">
      <c r="A597" s="4" t="s">
        <v>759</v>
      </c>
      <c r="B597" s="4">
        <v>20</v>
      </c>
      <c r="C597" s="4" t="s">
        <v>72</v>
      </c>
      <c r="D597" s="4" t="s">
        <v>780</v>
      </c>
      <c r="E597" s="4" t="str">
        <f t="shared" si="34"/>
        <v>20|U</v>
      </c>
      <c r="F597" s="14">
        <f>INDEX('Emission Stepwise'!$H$2:$H$289,MATCH(E597,'Emission Stepwise'!$C$2:$C$289,0))</f>
        <v>0.59113300492610843</v>
      </c>
      <c r="G597" s="14">
        <f>INDEX(Background!$C$4:$C$7,MATCH(C597,Background!$A$4:$A$7,0))</f>
        <v>0.21314113777902177</v>
      </c>
      <c r="H597" s="17">
        <f t="shared" si="35"/>
        <v>1.0200864777669463</v>
      </c>
    </row>
    <row r="598" spans="1:8">
      <c r="A598" s="4" t="s">
        <v>759</v>
      </c>
      <c r="B598" s="4">
        <v>21</v>
      </c>
      <c r="C598" s="4" t="s">
        <v>72</v>
      </c>
      <c r="D598" s="4" t="s">
        <v>780</v>
      </c>
      <c r="E598" s="4" t="str">
        <f t="shared" si="34"/>
        <v>21|U</v>
      </c>
      <c r="F598" s="14">
        <f>INDEX('Emission Stepwise'!$H$2:$H$289,MATCH(E598,'Emission Stepwise'!$C$2:$C$289,0))</f>
        <v>5.3921568627450983E-2</v>
      </c>
      <c r="G598" s="14">
        <f>INDEX(Background!$C$4:$C$7,MATCH(C598,Background!$A$4:$A$7,0))</f>
        <v>0.21314113777902177</v>
      </c>
      <c r="H598" s="17">
        <f t="shared" si="35"/>
        <v>-1.3744240070191582</v>
      </c>
    </row>
    <row r="599" spans="1:8">
      <c r="A599" s="4" t="s">
        <v>759</v>
      </c>
      <c r="B599" s="4">
        <v>22</v>
      </c>
      <c r="C599" s="4" t="s">
        <v>70</v>
      </c>
      <c r="D599" s="4" t="s">
        <v>780</v>
      </c>
      <c r="E599" s="4" t="str">
        <f t="shared" si="34"/>
        <v>22|G</v>
      </c>
      <c r="F599" s="14">
        <f>INDEX('Emission Stepwise'!$H$2:$H$289,MATCH(E599,'Emission Stepwise'!$C$2:$C$289,0))</f>
        <v>0.71568627450980393</v>
      </c>
      <c r="G599" s="14">
        <f>INDEX(Background!$C$4:$C$7,MATCH(C599,Background!$A$4:$A$7,0))</f>
        <v>0.32488979077741237</v>
      </c>
      <c r="H599" s="17">
        <f t="shared" si="35"/>
        <v>0.789755887325993</v>
      </c>
    </row>
    <row r="600" spans="1:8">
      <c r="A600" s="4" t="s">
        <v>759</v>
      </c>
      <c r="B600" s="4">
        <v>23</v>
      </c>
      <c r="C600" s="4" t="s">
        <v>70</v>
      </c>
      <c r="D600" s="4" t="s">
        <v>780</v>
      </c>
      <c r="E600" s="4" t="str">
        <f t="shared" si="34"/>
        <v>23|G</v>
      </c>
      <c r="F600" s="14">
        <f>INDEX('Emission Stepwise'!$H$2:$H$289,MATCH(E600,'Emission Stepwise'!$C$2:$C$289,0))</f>
        <v>0.14705882352941177</v>
      </c>
      <c r="G600" s="14">
        <f>INDEX(Background!$C$4:$C$7,MATCH(C600,Background!$A$4:$A$7,0))</f>
        <v>0.32488979077741237</v>
      </c>
      <c r="H600" s="17">
        <f t="shared" si="35"/>
        <v>-0.792653352720188</v>
      </c>
    </row>
    <row r="601" spans="1:8">
      <c r="A601" s="4" t="s">
        <v>759</v>
      </c>
      <c r="B601" s="4">
        <v>24</v>
      </c>
      <c r="C601" s="4" t="s">
        <v>70</v>
      </c>
      <c r="D601" s="4" t="s">
        <v>780</v>
      </c>
      <c r="E601" s="4" t="str">
        <f t="shared" si="34"/>
        <v>24|G</v>
      </c>
      <c r="F601" s="14">
        <f>INDEX('Emission Stepwise'!$H$2:$H$289,MATCH(E601,'Emission Stepwise'!$C$2:$C$289,0))</f>
        <v>0.74019607843137258</v>
      </c>
      <c r="G601" s="14">
        <f>INDEX(Background!$C$4:$C$7,MATCH(C601,Background!$A$4:$A$7,0))</f>
        <v>0.32488979077741237</v>
      </c>
      <c r="H601" s="17">
        <f t="shared" si="35"/>
        <v>0.82342910243258094</v>
      </c>
    </row>
    <row r="602" spans="1:8">
      <c r="A602" s="4" t="s">
        <v>759</v>
      </c>
      <c r="B602" s="4">
        <v>25</v>
      </c>
      <c r="C602" s="4" t="s">
        <v>70</v>
      </c>
      <c r="D602" s="4" t="s">
        <v>780</v>
      </c>
      <c r="E602" s="4" t="str">
        <f t="shared" si="34"/>
        <v>25|G</v>
      </c>
      <c r="F602" s="14">
        <f>INDEX('Emission Stepwise'!$H$2:$H$289,MATCH(E602,'Emission Stepwise'!$C$2:$C$289,0))</f>
        <v>3.9215686274509803E-2</v>
      </c>
      <c r="G602" s="14">
        <f>INDEX(Background!$C$4:$C$7,MATCH(C602,Background!$A$4:$A$7,0))</f>
        <v>0.32488979077741237</v>
      </c>
      <c r="H602" s="17">
        <f t="shared" si="35"/>
        <v>-2.1144091927025075</v>
      </c>
    </row>
    <row r="603" spans="1:8">
      <c r="A603" s="4" t="s">
        <v>759</v>
      </c>
      <c r="B603" s="4">
        <v>26</v>
      </c>
      <c r="C603" s="4" t="s">
        <v>71</v>
      </c>
      <c r="D603" s="4" t="s">
        <v>781</v>
      </c>
      <c r="E603" s="4" t="str">
        <f t="shared" si="34"/>
        <v>26|C</v>
      </c>
      <c r="F603" s="14">
        <f>INDEX('Emission Stepwise'!$H$2:$H$289,MATCH(E603,'Emission Stepwise'!$C$2:$C$289,0))</f>
        <v>2.9411764705882353E-2</v>
      </c>
      <c r="G603" s="14">
        <f>INDEX(Background!$C$4:$C$7,MATCH(C603,Background!$A$4:$A$7,0))</f>
        <v>0.27646770694842909</v>
      </c>
      <c r="H603" s="17">
        <f t="shared" si="35"/>
        <v>-2.2406992675457573</v>
      </c>
    </row>
    <row r="604" spans="1:8">
      <c r="A604" s="4" t="s">
        <v>759</v>
      </c>
      <c r="B604" s="4">
        <v>27</v>
      </c>
      <c r="C604" s="4" t="s">
        <v>70</v>
      </c>
      <c r="D604" s="4" t="s">
        <v>781</v>
      </c>
      <c r="E604" s="4" t="str">
        <f t="shared" si="34"/>
        <v>27|G</v>
      </c>
      <c r="F604" s="14">
        <f>INDEX('Emission Stepwise'!$H$2:$H$289,MATCH(E604,'Emission Stepwise'!$C$2:$C$289,0))</f>
        <v>0.15686274509803921</v>
      </c>
      <c r="G604" s="14">
        <f>INDEX(Background!$C$4:$C$7,MATCH(C604,Background!$A$4:$A$7,0))</f>
        <v>0.32488979077741237</v>
      </c>
      <c r="H604" s="17">
        <f t="shared" si="35"/>
        <v>-0.72811483158261692</v>
      </c>
    </row>
    <row r="605" spans="1:8">
      <c r="A605" s="4" t="s">
        <v>759</v>
      </c>
      <c r="B605" s="4">
        <v>28</v>
      </c>
      <c r="C605" s="4" t="s">
        <v>71</v>
      </c>
      <c r="D605" s="4" t="s">
        <v>781</v>
      </c>
      <c r="E605" s="4" t="str">
        <f t="shared" si="34"/>
        <v>28|C</v>
      </c>
      <c r="F605" s="14">
        <f>INDEX('Emission Stepwise'!$H$2:$H$289,MATCH(E605,'Emission Stepwise'!$C$2:$C$289,0))</f>
        <v>0.50980392156862742</v>
      </c>
      <c r="G605" s="14">
        <f>INDEX(Background!$C$4:$C$7,MATCH(C605,Background!$A$4:$A$7,0))</f>
        <v>0.27646770694842909</v>
      </c>
      <c r="H605" s="17">
        <f t="shared" si="35"/>
        <v>0.61193216236756021</v>
      </c>
    </row>
    <row r="606" spans="1:8">
      <c r="A606" s="4" t="s">
        <v>759</v>
      </c>
      <c r="B606" s="4">
        <v>29</v>
      </c>
      <c r="C606" s="4" t="s">
        <v>71</v>
      </c>
      <c r="D606" s="4" t="s">
        <v>781</v>
      </c>
      <c r="E606" s="4" t="str">
        <f t="shared" si="34"/>
        <v>29|C</v>
      </c>
      <c r="F606" s="14">
        <f>INDEX('Emission Stepwise'!$H$2:$H$289,MATCH(E606,'Emission Stepwise'!$C$2:$C$289,0))</f>
        <v>0.18137254901960784</v>
      </c>
      <c r="G606" s="14">
        <f>INDEX(Background!$C$4:$C$7,MATCH(C606,Background!$A$4:$A$7,0))</f>
        <v>0.27646770694842909</v>
      </c>
      <c r="H606" s="17">
        <f t="shared" si="35"/>
        <v>-0.42154082412958793</v>
      </c>
    </row>
    <row r="607" spans="1:8">
      <c r="A607" s="4" t="s">
        <v>759</v>
      </c>
      <c r="B607" s="4">
        <v>30</v>
      </c>
      <c r="C607" s="4" t="s">
        <v>73</v>
      </c>
      <c r="D607" s="4" t="s">
        <v>781</v>
      </c>
      <c r="E607" s="4" t="str">
        <f t="shared" si="34"/>
        <v>30|A</v>
      </c>
      <c r="F607" s="14">
        <f>INDEX('Emission Stepwise'!$H$2:$H$289,MATCH(E607,'Emission Stepwise'!$C$2:$C$289,0))</f>
        <v>4.9019607843137254E-3</v>
      </c>
      <c r="G607" s="14">
        <f>INDEX(Background!$C$4:$C$7,MATCH(C607,Background!$A$4:$A$7,0))</f>
        <v>0.18550136449513679</v>
      </c>
      <c r="H607" s="17">
        <f t="shared" si="35"/>
        <v>-3.6334269526514471</v>
      </c>
    </row>
    <row r="608" spans="1:8">
      <c r="A608" s="4" t="s">
        <v>759</v>
      </c>
      <c r="B608" s="4">
        <v>31</v>
      </c>
      <c r="C608" s="4" t="s">
        <v>70</v>
      </c>
      <c r="D608" s="4" t="s">
        <v>781</v>
      </c>
      <c r="E608" s="4" t="str">
        <f t="shared" si="34"/>
        <v>31|G</v>
      </c>
      <c r="F608" s="14">
        <f>INDEX('Emission Stepwise'!$H$2:$H$289,MATCH(E608,'Emission Stepwise'!$C$2:$C$289,0))</f>
        <v>0.27450980392156865</v>
      </c>
      <c r="G608" s="14">
        <f>INDEX(Background!$C$4:$C$7,MATCH(C608,Background!$A$4:$A$7,0))</f>
        <v>0.32488979077741237</v>
      </c>
      <c r="H608" s="17">
        <f t="shared" si="35"/>
        <v>-0.16849904364719412</v>
      </c>
    </row>
    <row r="609" spans="1:8">
      <c r="A609" s="4" t="s">
        <v>759</v>
      </c>
      <c r="B609" s="4">
        <v>32</v>
      </c>
      <c r="C609" s="4" t="s">
        <v>73</v>
      </c>
      <c r="D609" s="4" t="s">
        <v>781</v>
      </c>
      <c r="E609" s="4" t="str">
        <f t="shared" si="34"/>
        <v>32|A</v>
      </c>
      <c r="F609" s="14">
        <f>INDEX('Emission Stepwise'!$H$2:$H$289,MATCH(E609,'Emission Stepwise'!$C$2:$C$289,0))</f>
        <v>3.4313725490196081E-2</v>
      </c>
      <c r="G609" s="14">
        <f>INDEX(Background!$C$4:$C$7,MATCH(C609,Background!$A$4:$A$7,0))</f>
        <v>0.18550136449513679</v>
      </c>
      <c r="H609" s="17">
        <f t="shared" si="35"/>
        <v>-1.6875168035961337</v>
      </c>
    </row>
    <row r="610" spans="1:8">
      <c r="A610" s="4" t="s">
        <v>759</v>
      </c>
      <c r="B610" s="4">
        <v>33</v>
      </c>
      <c r="C610" s="4" t="s">
        <v>71</v>
      </c>
      <c r="D610" s="4" t="s">
        <v>781</v>
      </c>
      <c r="E610" s="4" t="str">
        <f t="shared" si="34"/>
        <v>33|C</v>
      </c>
      <c r="F610" s="14">
        <f>INDEX('Emission Stepwise'!$H$2:$H$289,MATCH(E610,'Emission Stepwise'!$C$2:$C$289,0))</f>
        <v>9.8039215686274508E-3</v>
      </c>
      <c r="G610" s="14">
        <f>INDEX(Background!$C$4:$C$7,MATCH(C610,Background!$A$4:$A$7,0))</f>
        <v>0.27646770694842909</v>
      </c>
      <c r="H610" s="17">
        <f t="shared" si="35"/>
        <v>-3.3393115562138669</v>
      </c>
    </row>
    <row r="611" spans="1:8">
      <c r="A611" s="4" t="s">
        <v>759</v>
      </c>
      <c r="B611" s="4">
        <v>34</v>
      </c>
      <c r="C611" s="4" t="s">
        <v>72</v>
      </c>
      <c r="D611" s="4" t="s">
        <v>781</v>
      </c>
      <c r="E611" s="4" t="str">
        <f t="shared" si="34"/>
        <v>34|U</v>
      </c>
      <c r="F611" s="14">
        <f>INDEX('Emission Stepwise'!$H$2:$H$289,MATCH(E611,'Emission Stepwise'!$C$2:$C$289,0))</f>
        <v>0.28921568627450983</v>
      </c>
      <c r="G611" s="14">
        <f>INDEX(Background!$C$4:$C$7,MATCH(C611,Background!$A$4:$A$7,0))</f>
        <v>0.21314113777902177</v>
      </c>
      <c r="H611" s="17">
        <f t="shared" si="35"/>
        <v>0.30521816408819075</v>
      </c>
    </row>
    <row r="612" spans="1:8">
      <c r="A612" s="4" t="s">
        <v>759</v>
      </c>
      <c r="B612" s="4">
        <v>35</v>
      </c>
      <c r="C612" s="4" t="s">
        <v>71</v>
      </c>
      <c r="D612" s="4" t="s">
        <v>781</v>
      </c>
      <c r="E612" s="4" t="str">
        <f t="shared" si="34"/>
        <v>35|C</v>
      </c>
      <c r="F612" s="14">
        <f>INDEX('Emission Stepwise'!$H$2:$H$289,MATCH(E612,'Emission Stepwise'!$C$2:$C$289,0))</f>
        <v>0.23039215686274508</v>
      </c>
      <c r="G612" s="14">
        <f>INDEX(Background!$C$4:$C$7,MATCH(C612,Background!$A$4:$A$7,0))</f>
        <v>0.27646770694842909</v>
      </c>
      <c r="H612" s="17">
        <f t="shared" si="35"/>
        <v>-0.18231113506375388</v>
      </c>
    </row>
    <row r="613" spans="1:8">
      <c r="A613" s="4" t="s">
        <v>759</v>
      </c>
      <c r="B613" s="4">
        <v>36</v>
      </c>
      <c r="C613" s="4" t="s">
        <v>73</v>
      </c>
      <c r="D613" s="4" t="s">
        <v>781</v>
      </c>
      <c r="E613" s="4" t="str">
        <f t="shared" si="34"/>
        <v>36|A</v>
      </c>
      <c r="F613" s="14">
        <f>INDEX('Emission Stepwise'!$H$2:$H$289,MATCH(E613,'Emission Stepwise'!$C$2:$C$289,0))</f>
        <v>0.21568627450980393</v>
      </c>
      <c r="G613" s="14">
        <f>INDEX(Background!$C$4:$C$7,MATCH(C613,Background!$A$4:$A$7,0))</f>
        <v>0.18550136449513679</v>
      </c>
      <c r="H613" s="17">
        <f t="shared" si="35"/>
        <v>0.15076268126681408</v>
      </c>
    </row>
    <row r="614" spans="1:8">
      <c r="A614" s="4" t="s">
        <v>759</v>
      </c>
      <c r="B614" s="4">
        <v>37</v>
      </c>
      <c r="C614" s="4" t="s">
        <v>72</v>
      </c>
      <c r="D614" s="4" t="s">
        <v>781</v>
      </c>
      <c r="E614" s="4" t="str">
        <f t="shared" si="34"/>
        <v>37|U</v>
      </c>
      <c r="F614" s="14">
        <f>INDEX('Emission Stepwise'!$H$2:$H$289,MATCH(E614,'Emission Stepwise'!$C$2:$C$289,0))</f>
        <v>4.9019607843137254E-3</v>
      </c>
      <c r="G614" s="14">
        <f>INDEX(Background!$C$4:$C$7,MATCH(C614,Background!$A$4:$A$7,0))</f>
        <v>0.21314113777902177</v>
      </c>
      <c r="H614" s="17">
        <f t="shared" si="35"/>
        <v>-3.7723192798175287</v>
      </c>
    </row>
    <row r="615" spans="1:8">
      <c r="A615" s="4" t="s">
        <v>759</v>
      </c>
      <c r="B615" s="4">
        <v>38</v>
      </c>
      <c r="C615" s="4" t="s">
        <v>72</v>
      </c>
      <c r="D615" s="4" t="s">
        <v>781</v>
      </c>
      <c r="E615" s="4" t="str">
        <f t="shared" si="34"/>
        <v>38|U</v>
      </c>
      <c r="F615" s="14">
        <f>INDEX('Emission Stepwise'!$H$2:$H$289,MATCH(E615,'Emission Stepwise'!$C$2:$C$289,0))</f>
        <v>0.11764705882352941</v>
      </c>
      <c r="G615" s="14">
        <f>INDEX(Background!$C$4:$C$7,MATCH(C615,Background!$A$4:$A$7,0))</f>
        <v>0.21314113777902177</v>
      </c>
      <c r="H615" s="17">
        <f t="shared" si="35"/>
        <v>-0.59426544946958315</v>
      </c>
    </row>
    <row r="616" spans="1:8">
      <c r="A616" s="4" t="s">
        <v>759</v>
      </c>
      <c r="B616" s="4">
        <v>39</v>
      </c>
      <c r="C616" s="4" t="s">
        <v>71</v>
      </c>
      <c r="D616" s="4" t="s">
        <v>781</v>
      </c>
      <c r="E616" s="4" t="str">
        <f t="shared" ref="E616:E622" si="36">B616&amp;"|"&amp;C616</f>
        <v>39|C</v>
      </c>
      <c r="F616" s="14">
        <f>INDEX('Emission Stepwise'!$H$2:$H$289,MATCH(E616,'Emission Stepwise'!$C$2:$C$289,0))</f>
        <v>0.25490196078431371</v>
      </c>
      <c r="G616" s="14">
        <f>INDEX(Background!$C$4:$C$7,MATCH(C616,Background!$A$4:$A$7,0))</f>
        <v>0.27646770694842909</v>
      </c>
      <c r="H616" s="17">
        <f t="shared" ref="H616:H647" si="37">LN(F616/G616)</f>
        <v>-8.1215018192385094E-2</v>
      </c>
    </row>
    <row r="617" spans="1:8">
      <c r="A617" s="4" t="s">
        <v>759</v>
      </c>
      <c r="B617" s="4">
        <v>40</v>
      </c>
      <c r="C617" s="4" t="s">
        <v>72</v>
      </c>
      <c r="D617" s="4" t="s">
        <v>781</v>
      </c>
      <c r="E617" s="4" t="str">
        <f t="shared" si="36"/>
        <v>40|U</v>
      </c>
      <c r="F617" s="14">
        <f>INDEX('Emission Stepwise'!$H$2:$H$289,MATCH(E617,'Emission Stepwise'!$C$2:$C$289,0))</f>
        <v>4.4117647058823532E-2</v>
      </c>
      <c r="G617" s="14">
        <f>INDEX(Background!$C$4:$C$7,MATCH(C617,Background!$A$4:$A$7,0))</f>
        <v>0.21314113777902177</v>
      </c>
      <c r="H617" s="17">
        <f t="shared" si="37"/>
        <v>-1.5750947024813093</v>
      </c>
    </row>
    <row r="618" spans="1:8">
      <c r="A618" s="4" t="s">
        <v>759</v>
      </c>
      <c r="B618" s="4">
        <v>41</v>
      </c>
      <c r="C618" s="4" t="s">
        <v>70</v>
      </c>
      <c r="D618" s="4" t="s">
        <v>781</v>
      </c>
      <c r="E618" s="4" t="str">
        <f t="shared" si="36"/>
        <v>41|G</v>
      </c>
      <c r="F618" s="14">
        <f>INDEX('Emission Stepwise'!$H$2:$H$289,MATCH(E618,'Emission Stepwise'!$C$2:$C$289,0))</f>
        <v>0.18137254901960784</v>
      </c>
      <c r="G618" s="14">
        <f>INDEX(Background!$C$4:$C$7,MATCH(C618,Background!$A$4:$A$7,0))</f>
        <v>0.32488979077741237</v>
      </c>
      <c r="H618" s="17">
        <f t="shared" si="37"/>
        <v>-0.582932821738119</v>
      </c>
    </row>
    <row r="619" spans="1:8">
      <c r="A619" s="4" t="s">
        <v>759</v>
      </c>
      <c r="B619" s="4">
        <v>42</v>
      </c>
      <c r="C619" s="4" t="s">
        <v>70</v>
      </c>
      <c r="D619" s="4" t="s">
        <v>781</v>
      </c>
      <c r="E619" s="4" t="str">
        <f t="shared" si="36"/>
        <v>42|G</v>
      </c>
      <c r="F619" s="14">
        <f>INDEX('Emission Stepwise'!$H$2:$H$289,MATCH(E619,'Emission Stepwise'!$C$2:$C$289,0))</f>
        <v>0.51960784313725494</v>
      </c>
      <c r="G619" s="14">
        <f>INDEX(Background!$C$4:$C$7,MATCH(C619,Background!$A$4:$A$7,0))</f>
        <v>0.32488979077741237</v>
      </c>
      <c r="H619" s="17">
        <f t="shared" si="37"/>
        <v>0.46958835972972385</v>
      </c>
    </row>
    <row r="620" spans="1:8">
      <c r="A620" s="4" t="s">
        <v>759</v>
      </c>
      <c r="B620" s="4">
        <v>43</v>
      </c>
      <c r="C620" s="4" t="s">
        <v>73</v>
      </c>
      <c r="D620" s="4" t="s">
        <v>781</v>
      </c>
      <c r="E620" s="4" t="str">
        <f t="shared" si="36"/>
        <v>43|A</v>
      </c>
      <c r="F620" s="14">
        <f>INDEX('Emission Stepwise'!$H$2:$H$289,MATCH(E620,'Emission Stepwise'!$C$2:$C$289,0))</f>
        <v>0.22549019607843138</v>
      </c>
      <c r="G620" s="14">
        <f>INDEX(Background!$C$4:$C$7,MATCH(C620,Background!$A$4:$A$7,0))</f>
        <v>0.18550136449513679</v>
      </c>
      <c r="H620" s="17">
        <f t="shared" si="37"/>
        <v>0.1952144438376478</v>
      </c>
    </row>
    <row r="621" spans="1:8">
      <c r="A621" s="4" t="s">
        <v>759</v>
      </c>
      <c r="B621" s="4">
        <v>44</v>
      </c>
      <c r="C621" s="4" t="s">
        <v>70</v>
      </c>
      <c r="D621" s="4" t="s">
        <v>781</v>
      </c>
      <c r="E621" s="4" t="str">
        <f t="shared" si="36"/>
        <v>44|G</v>
      </c>
      <c r="F621" s="14">
        <f>INDEX('Emission Stepwise'!$H$2:$H$289,MATCH(E621,'Emission Stepwise'!$C$2:$C$289,0))</f>
        <v>0.23039215686274508</v>
      </c>
      <c r="G621" s="14">
        <f>INDEX(Background!$C$4:$C$7,MATCH(C621,Background!$A$4:$A$7,0))</f>
        <v>0.32488979077741237</v>
      </c>
      <c r="H621" s="17">
        <f t="shared" si="37"/>
        <v>-0.34370313267228481</v>
      </c>
    </row>
    <row r="622" spans="1:8">
      <c r="A622" s="4" t="s">
        <v>759</v>
      </c>
      <c r="B622" s="4">
        <v>45</v>
      </c>
      <c r="C622" s="4" t="s">
        <v>70</v>
      </c>
      <c r="D622" s="4" t="s">
        <v>782</v>
      </c>
      <c r="E622" s="4" t="str">
        <f t="shared" si="36"/>
        <v>45|G</v>
      </c>
      <c r="F622" s="14">
        <f>INDEX('Emission Stepwise'!$H$2:$H$289,MATCH(E622,'Emission Stepwise'!$C$2:$C$289,0))</f>
        <v>0.74752475247524752</v>
      </c>
      <c r="G622" s="14">
        <f>INDEX(Background!$C$4:$C$7,MATCH(C622,Background!$A$4:$A$7,0))</f>
        <v>0.32488979077741237</v>
      </c>
      <c r="H622" s="17">
        <f t="shared" si="37"/>
        <v>0.8332813988755926</v>
      </c>
    </row>
    <row r="623" spans="1:8">
      <c r="A623" s="4" t="s">
        <v>759</v>
      </c>
      <c r="B623" s="4">
        <v>46</v>
      </c>
      <c r="C623" s="4" t="s">
        <v>77</v>
      </c>
      <c r="D623" s="4" t="s">
        <v>782</v>
      </c>
      <c r="E623" s="4"/>
      <c r="F623" s="4"/>
      <c r="G623" s="4"/>
      <c r="H623" s="4"/>
    </row>
    <row r="624" spans="1:8">
      <c r="A624" s="4" t="s">
        <v>759</v>
      </c>
      <c r="B624" s="4">
        <v>47</v>
      </c>
      <c r="C624" s="4" t="s">
        <v>72</v>
      </c>
      <c r="D624" s="4" t="s">
        <v>782</v>
      </c>
      <c r="E624" s="4" t="str">
        <f t="shared" ref="E624:E664" si="38">B624&amp;"|"&amp;C624</f>
        <v>47|U</v>
      </c>
      <c r="F624" s="14">
        <f>INDEX('Emission Stepwise'!$H$2:$H$289,MATCH(E624,'Emission Stepwise'!$C$2:$C$289,0))</f>
        <v>0.66666666666666663</v>
      </c>
      <c r="G624" s="14">
        <f>INDEX(Background!$C$4:$C$7,MATCH(C624,Background!$A$4:$A$7,0))</f>
        <v>0.21314113777902177</v>
      </c>
      <c r="H624" s="17">
        <f t="shared" ref="H624:H664" si="39">LN(F624/G624)</f>
        <v>1.1403356059185232</v>
      </c>
    </row>
    <row r="625" spans="1:8">
      <c r="A625" s="4" t="s">
        <v>759</v>
      </c>
      <c r="B625" s="4">
        <v>48</v>
      </c>
      <c r="C625" s="4" t="s">
        <v>71</v>
      </c>
      <c r="D625" s="4" t="s">
        <v>782</v>
      </c>
      <c r="E625" s="4" t="str">
        <f t="shared" si="38"/>
        <v>48|C</v>
      </c>
      <c r="F625" s="14">
        <f>INDEX('Emission Stepwise'!$H$2:$H$289,MATCH(E625,'Emission Stepwise'!$C$2:$C$289,0))</f>
        <v>0.82843137254901966</v>
      </c>
      <c r="G625" s="14">
        <f>INDEX(Background!$C$4:$C$7,MATCH(C625,Background!$A$4:$A$7,0))</f>
        <v>0.27646770694842909</v>
      </c>
      <c r="H625" s="17">
        <f t="shared" si="39"/>
        <v>1.0974399781492612</v>
      </c>
    </row>
    <row r="626" spans="1:8">
      <c r="A626" s="4" t="s">
        <v>759</v>
      </c>
      <c r="B626" s="4">
        <v>49</v>
      </c>
      <c r="C626" s="4" t="s">
        <v>70</v>
      </c>
      <c r="D626" s="4" t="s">
        <v>783</v>
      </c>
      <c r="E626" s="4" t="str">
        <f t="shared" si="38"/>
        <v>49|G</v>
      </c>
      <c r="F626" s="14">
        <f>INDEX('Emission Stepwise'!$H$2:$H$289,MATCH(E626,'Emission Stepwise'!$C$2:$C$289,0))</f>
        <v>0.5</v>
      </c>
      <c r="G626" s="14">
        <f>INDEX(Background!$C$4:$C$7,MATCH(C626,Background!$A$4:$A$7,0))</f>
        <v>0.32488979077741237</v>
      </c>
      <c r="H626" s="17">
        <f t="shared" si="39"/>
        <v>0.43112207890192766</v>
      </c>
    </row>
    <row r="627" spans="1:8">
      <c r="A627" s="4" t="s">
        <v>759</v>
      </c>
      <c r="B627" s="4">
        <v>50</v>
      </c>
      <c r="C627" s="4" t="s">
        <v>71</v>
      </c>
      <c r="D627" s="4" t="s">
        <v>783</v>
      </c>
      <c r="E627" s="4" t="str">
        <f t="shared" si="38"/>
        <v>50|C</v>
      </c>
      <c r="F627" s="14">
        <f>INDEX('Emission Stepwise'!$H$2:$H$289,MATCH(E627,'Emission Stepwise'!$C$2:$C$289,0))</f>
        <v>0.43137254901960786</v>
      </c>
      <c r="G627" s="14">
        <f>INDEX(Background!$C$4:$C$7,MATCH(C627,Background!$A$4:$A$7,0))</f>
        <v>0.27646770694842909</v>
      </c>
      <c r="H627" s="17">
        <f t="shared" si="39"/>
        <v>0.44487807770439414</v>
      </c>
    </row>
    <row r="628" spans="1:8">
      <c r="A628" s="4" t="s">
        <v>759</v>
      </c>
      <c r="B628" s="4">
        <v>51</v>
      </c>
      <c r="C628" s="4" t="s">
        <v>70</v>
      </c>
      <c r="D628" s="4" t="s">
        <v>783</v>
      </c>
      <c r="E628" s="4" t="str">
        <f t="shared" si="38"/>
        <v>51|G</v>
      </c>
      <c r="F628" s="14">
        <f>INDEX('Emission Stepwise'!$H$2:$H$289,MATCH(E628,'Emission Stepwise'!$C$2:$C$289,0))</f>
        <v>0.49261083743842365</v>
      </c>
      <c r="G628" s="14">
        <f>INDEX(Background!$C$4:$C$7,MATCH(C628,Background!$A$4:$A$7,0))</f>
        <v>0.32488979077741237</v>
      </c>
      <c r="H628" s="17">
        <f t="shared" si="39"/>
        <v>0.41623346640817716</v>
      </c>
    </row>
    <row r="629" spans="1:8">
      <c r="A629" s="4" t="s">
        <v>759</v>
      </c>
      <c r="B629" s="4">
        <v>52</v>
      </c>
      <c r="C629" s="4" t="s">
        <v>72</v>
      </c>
      <c r="D629" s="4" t="s">
        <v>783</v>
      </c>
      <c r="E629" s="4" t="str">
        <f t="shared" si="38"/>
        <v>52|U</v>
      </c>
      <c r="F629" s="14">
        <f>INDEX('Emission Stepwise'!$H$2:$H$289,MATCH(E629,'Emission Stepwise'!$C$2:$C$289,0))</f>
        <v>2.4509803921568627E-2</v>
      </c>
      <c r="G629" s="14">
        <f>INDEX(Background!$C$4:$C$7,MATCH(C629,Background!$A$4:$A$7,0))</f>
        <v>0.21314113777902177</v>
      </c>
      <c r="H629" s="17">
        <f t="shared" si="39"/>
        <v>-2.1628813673834282</v>
      </c>
    </row>
    <row r="630" spans="1:8">
      <c r="A630" s="4" t="s">
        <v>759</v>
      </c>
      <c r="B630" s="4">
        <v>53</v>
      </c>
      <c r="C630" s="4" t="s">
        <v>70</v>
      </c>
      <c r="D630" s="4" t="s">
        <v>783</v>
      </c>
      <c r="E630" s="4" t="str">
        <f t="shared" si="38"/>
        <v>53|G</v>
      </c>
      <c r="F630" s="14">
        <f>INDEX('Emission Stepwise'!$H$2:$H$289,MATCH(E630,'Emission Stepwise'!$C$2:$C$289,0))</f>
        <v>0.96568627450980393</v>
      </c>
      <c r="G630" s="14">
        <f>INDEX(Background!$C$4:$C$7,MATCH(C630,Background!$A$4:$A$7,0))</f>
        <v>0.32488979077741237</v>
      </c>
      <c r="H630" s="17">
        <f t="shared" si="39"/>
        <v>1.089352994355645</v>
      </c>
    </row>
    <row r="631" spans="1:8">
      <c r="A631" s="4" t="s">
        <v>759</v>
      </c>
      <c r="B631" s="4">
        <v>54</v>
      </c>
      <c r="C631" s="4" t="s">
        <v>72</v>
      </c>
      <c r="D631" s="4" t="s">
        <v>783</v>
      </c>
      <c r="E631" s="4" t="str">
        <f t="shared" si="38"/>
        <v>54|U</v>
      </c>
      <c r="F631" s="14">
        <f>INDEX('Emission Stepwise'!$H$2:$H$289,MATCH(E631,'Emission Stepwise'!$C$2:$C$289,0))</f>
        <v>0.97549019607843135</v>
      </c>
      <c r="G631" s="14">
        <f>INDEX(Background!$C$4:$C$7,MATCH(C631,Background!$A$4:$A$7,0))</f>
        <v>0.21314113777902177</v>
      </c>
      <c r="H631" s="17">
        <f t="shared" si="39"/>
        <v>1.5209855449069636</v>
      </c>
    </row>
    <row r="632" spans="1:8">
      <c r="A632" s="4" t="s">
        <v>759</v>
      </c>
      <c r="B632" s="4">
        <v>55</v>
      </c>
      <c r="C632" s="4" t="s">
        <v>72</v>
      </c>
      <c r="D632" s="4" t="s">
        <v>783</v>
      </c>
      <c r="E632" s="4" t="str">
        <f t="shared" si="38"/>
        <v>55|U</v>
      </c>
      <c r="F632" s="14">
        <f>INDEX('Emission Stepwise'!$H$2:$H$289,MATCH(E632,'Emission Stepwise'!$C$2:$C$289,0))</f>
        <v>0.97058823529411764</v>
      </c>
      <c r="G632" s="14">
        <f>INDEX(Background!$C$4:$C$7,MATCH(C632,Background!$A$4:$A$7,0))</f>
        <v>0.21314113777902177</v>
      </c>
      <c r="H632" s="17">
        <f t="shared" si="39"/>
        <v>1.5159477508770065</v>
      </c>
    </row>
    <row r="633" spans="1:8">
      <c r="A633" s="4" t="s">
        <v>759</v>
      </c>
      <c r="B633" s="4">
        <v>56</v>
      </c>
      <c r="C633" s="4" t="s">
        <v>71</v>
      </c>
      <c r="D633" s="4" t="s">
        <v>783</v>
      </c>
      <c r="E633" s="4" t="str">
        <f t="shared" si="38"/>
        <v>56|C</v>
      </c>
      <c r="F633" s="14">
        <f>INDEX('Emission Stepwise'!$H$2:$H$289,MATCH(E633,'Emission Stepwise'!$C$2:$C$289,0))</f>
        <v>0.96568627450980393</v>
      </c>
      <c r="G633" s="14">
        <f>INDEX(Background!$C$4:$C$7,MATCH(C633,Background!$A$4:$A$7,0))</f>
        <v>0.27646770694842909</v>
      </c>
      <c r="H633" s="17">
        <f t="shared" si="39"/>
        <v>1.250744991964176</v>
      </c>
    </row>
    <row r="634" spans="1:8">
      <c r="A634" s="4" t="s">
        <v>759</v>
      </c>
      <c r="B634" s="4">
        <v>57</v>
      </c>
      <c r="C634" s="4" t="s">
        <v>70</v>
      </c>
      <c r="D634" s="4" t="s">
        <v>783</v>
      </c>
      <c r="E634" s="4" t="str">
        <f t="shared" si="38"/>
        <v>57|G</v>
      </c>
      <c r="F634" s="14">
        <f>INDEX('Emission Stepwise'!$H$2:$H$289,MATCH(E634,'Emission Stepwise'!$C$2:$C$289,0))</f>
        <v>0.60098522167487689</v>
      </c>
      <c r="G634" s="14">
        <f>INDEX(Background!$C$4:$C$7,MATCH(C634,Background!$A$4:$A$7,0))</f>
        <v>0.32488979077741237</v>
      </c>
      <c r="H634" s="17">
        <f t="shared" si="39"/>
        <v>0.61508432515334222</v>
      </c>
    </row>
    <row r="635" spans="1:8">
      <c r="A635" s="4" t="s">
        <v>759</v>
      </c>
      <c r="B635" s="4">
        <v>58</v>
      </c>
      <c r="C635" s="4" t="s">
        <v>73</v>
      </c>
      <c r="D635" s="4" t="s">
        <v>783</v>
      </c>
      <c r="E635" s="4" t="str">
        <f t="shared" si="38"/>
        <v>58|A</v>
      </c>
      <c r="F635" s="14">
        <f>INDEX('Emission Stepwise'!$H$2:$H$289,MATCH(E635,'Emission Stepwise'!$C$2:$C$289,0))</f>
        <v>0.97549019607843135</v>
      </c>
      <c r="G635" s="14">
        <f>INDEX(Background!$C$4:$C$7,MATCH(C635,Background!$A$4:$A$7,0))</f>
        <v>0.18550136449513679</v>
      </c>
      <c r="H635" s="17">
        <f t="shared" si="39"/>
        <v>1.6598778720730452</v>
      </c>
    </row>
    <row r="636" spans="1:8">
      <c r="A636" s="4" t="s">
        <v>759</v>
      </c>
      <c r="B636" s="4">
        <v>59</v>
      </c>
      <c r="C636" s="4" t="s">
        <v>70</v>
      </c>
      <c r="D636" s="4" t="s">
        <v>783</v>
      </c>
      <c r="E636" s="4" t="str">
        <f t="shared" si="38"/>
        <v>59|G</v>
      </c>
      <c r="F636" s="14">
        <f>INDEX('Emission Stepwise'!$H$2:$H$289,MATCH(E636,'Emission Stepwise'!$C$2:$C$289,0))</f>
        <v>0.23529411764705882</v>
      </c>
      <c r="G636" s="14">
        <f>INDEX(Background!$C$4:$C$7,MATCH(C636,Background!$A$4:$A$7,0))</f>
        <v>0.32488979077741237</v>
      </c>
      <c r="H636" s="17">
        <f t="shared" si="39"/>
        <v>-0.32264972347445248</v>
      </c>
    </row>
    <row r="637" spans="1:8">
      <c r="A637" s="4" t="s">
        <v>759</v>
      </c>
      <c r="B637" s="4">
        <v>60</v>
      </c>
      <c r="C637" s="4" t="s">
        <v>72</v>
      </c>
      <c r="D637" s="4" t="s">
        <v>783</v>
      </c>
      <c r="E637" s="4" t="str">
        <f t="shared" si="38"/>
        <v>60|U</v>
      </c>
      <c r="F637" s="14">
        <f>INDEX('Emission Stepwise'!$H$2:$H$289,MATCH(E637,'Emission Stepwise'!$C$2:$C$289,0))</f>
        <v>0.77450980392156865</v>
      </c>
      <c r="G637" s="14">
        <f>INDEX(Background!$C$4:$C$7,MATCH(C637,Background!$A$4:$A$7,0))</f>
        <v>0.21314113777902177</v>
      </c>
      <c r="H637" s="17">
        <f t="shared" si="39"/>
        <v>1.290275753209438</v>
      </c>
    </row>
    <row r="638" spans="1:8">
      <c r="A638" s="4" t="s">
        <v>759</v>
      </c>
      <c r="B638" s="4">
        <v>61</v>
      </c>
      <c r="C638" s="4" t="s">
        <v>71</v>
      </c>
      <c r="D638" s="4" t="s">
        <v>783</v>
      </c>
      <c r="E638" s="4" t="str">
        <f t="shared" si="38"/>
        <v>61|C</v>
      </c>
      <c r="F638" s="14">
        <f>INDEX('Emission Stepwise'!$H$2:$H$289,MATCH(E638,'Emission Stepwise'!$C$2:$C$289,0))</f>
        <v>0.97549019607843135</v>
      </c>
      <c r="G638" s="14">
        <f>INDEX(Background!$C$4:$C$7,MATCH(C638,Background!$A$4:$A$7,0))</f>
        <v>0.27646770694842909</v>
      </c>
      <c r="H638" s="17">
        <f t="shared" si="39"/>
        <v>1.26084608795068</v>
      </c>
    </row>
    <row r="639" spans="1:8">
      <c r="A639" s="4" t="s">
        <v>759</v>
      </c>
      <c r="B639" s="4">
        <v>62</v>
      </c>
      <c r="C639" s="4" t="s">
        <v>73</v>
      </c>
      <c r="D639" s="4" t="s">
        <v>783</v>
      </c>
      <c r="E639" s="4" t="str">
        <f t="shared" si="38"/>
        <v>62|A</v>
      </c>
      <c r="F639" s="14">
        <f>INDEX('Emission Stepwise'!$H$2:$H$289,MATCH(E639,'Emission Stepwise'!$C$2:$C$289,0))</f>
        <v>1.9607843137254902E-2</v>
      </c>
      <c r="G639" s="14">
        <f>INDEX(Background!$C$4:$C$7,MATCH(C639,Background!$A$4:$A$7,0))</f>
        <v>0.18550136449513679</v>
      </c>
      <c r="H639" s="17">
        <f t="shared" si="39"/>
        <v>-2.2471325915315568</v>
      </c>
    </row>
    <row r="640" spans="1:8">
      <c r="A640" s="4" t="s">
        <v>759</v>
      </c>
      <c r="B640" s="4">
        <v>63</v>
      </c>
      <c r="C640" s="4" t="s">
        <v>71</v>
      </c>
      <c r="D640" s="4" t="s">
        <v>783</v>
      </c>
      <c r="E640" s="4" t="str">
        <f t="shared" si="38"/>
        <v>63|C</v>
      </c>
      <c r="F640" s="14">
        <f>INDEX('Emission Stepwise'!$H$2:$H$289,MATCH(E640,'Emission Stepwise'!$C$2:$C$289,0))</f>
        <v>0.48039215686274511</v>
      </c>
      <c r="G640" s="14">
        <f>INDEX(Background!$C$4:$C$7,MATCH(C640,Background!$A$4:$A$7,0))</f>
        <v>0.27646770694842909</v>
      </c>
      <c r="H640" s="17">
        <f t="shared" si="39"/>
        <v>0.55250874189675947</v>
      </c>
    </row>
    <row r="641" spans="1:8">
      <c r="A641" s="4" t="s">
        <v>759</v>
      </c>
      <c r="B641" s="4">
        <v>64</v>
      </c>
      <c r="C641" s="4" t="s">
        <v>70</v>
      </c>
      <c r="D641" s="4" t="s">
        <v>783</v>
      </c>
      <c r="E641" s="4" t="str">
        <f t="shared" si="38"/>
        <v>64|G</v>
      </c>
      <c r="F641" s="14">
        <f>INDEX('Emission Stepwise'!$H$2:$H$289,MATCH(E641,'Emission Stepwise'!$C$2:$C$289,0))</f>
        <v>0.45588235294117646</v>
      </c>
      <c r="G641" s="14">
        <f>INDEX(Background!$C$4:$C$7,MATCH(C641,Background!$A$4:$A$7,0))</f>
        <v>0.32488979077741237</v>
      </c>
      <c r="H641" s="17">
        <f t="shared" si="39"/>
        <v>0.33874875877091259</v>
      </c>
    </row>
    <row r="642" spans="1:8">
      <c r="A642" s="4" t="s">
        <v>759</v>
      </c>
      <c r="B642" s="4">
        <v>65</v>
      </c>
      <c r="C642" s="4" t="s">
        <v>71</v>
      </c>
      <c r="D642" s="4" t="s">
        <v>783</v>
      </c>
      <c r="E642" s="4" t="str">
        <f t="shared" si="38"/>
        <v>65|C</v>
      </c>
      <c r="F642" s="14">
        <f>INDEX('Emission Stepwise'!$H$2:$H$289,MATCH(E642,'Emission Stepwise'!$C$2:$C$289,0))</f>
        <v>0.31527093596059114</v>
      </c>
      <c r="G642" s="14">
        <f>INDEX(Background!$C$4:$C$7,MATCH(C642,Background!$A$4:$A$7,0))</f>
        <v>0.27646770694842909</v>
      </c>
      <c r="H642" s="17">
        <f t="shared" si="39"/>
        <v>0.13133836138828858</v>
      </c>
    </row>
    <row r="643" spans="1:8">
      <c r="A643" s="4" t="s">
        <v>759</v>
      </c>
      <c r="B643" s="4">
        <v>66</v>
      </c>
      <c r="C643" s="4" t="s">
        <v>72</v>
      </c>
      <c r="D643" s="4" t="s">
        <v>784</v>
      </c>
      <c r="E643" s="4" t="str">
        <f t="shared" si="38"/>
        <v>66|U</v>
      </c>
      <c r="F643" s="14">
        <f>INDEX('Emission Stepwise'!$H$2:$H$289,MATCH(E643,'Emission Stepwise'!$C$2:$C$289,0))</f>
        <v>0.25</v>
      </c>
      <c r="G643" s="14">
        <f>INDEX(Background!$C$4:$C$7,MATCH(C643,Background!$A$4:$A$7,0))</f>
        <v>0.21314113777902177</v>
      </c>
      <c r="H643" s="17">
        <f t="shared" si="39"/>
        <v>0.15950635290679691</v>
      </c>
    </row>
    <row r="644" spans="1:8">
      <c r="A644" s="4" t="s">
        <v>759</v>
      </c>
      <c r="B644" s="4">
        <v>67</v>
      </c>
      <c r="C644" s="4" t="s">
        <v>71</v>
      </c>
      <c r="D644" s="4" t="s">
        <v>784</v>
      </c>
      <c r="E644" s="4" t="str">
        <f t="shared" si="38"/>
        <v>67|C</v>
      </c>
      <c r="F644" s="14">
        <f>INDEX('Emission Stepwise'!$H$2:$H$289,MATCH(E644,'Emission Stepwise'!$C$2:$C$289,0))</f>
        <v>0.22549019607843138</v>
      </c>
      <c r="G644" s="14">
        <f>INDEX(Background!$C$4:$C$7,MATCH(C644,Background!$A$4:$A$7,0))</f>
        <v>0.27646770694842909</v>
      </c>
      <c r="H644" s="17">
        <f t="shared" si="39"/>
        <v>-0.20381734028471743</v>
      </c>
    </row>
    <row r="645" spans="1:8">
      <c r="A645" s="4" t="s">
        <v>759</v>
      </c>
      <c r="B645" s="4">
        <v>68</v>
      </c>
      <c r="C645" s="4" t="s">
        <v>71</v>
      </c>
      <c r="D645" s="4" t="s">
        <v>784</v>
      </c>
      <c r="E645" s="4" t="str">
        <f t="shared" si="38"/>
        <v>68|C</v>
      </c>
      <c r="F645" s="14">
        <f>INDEX('Emission Stepwise'!$H$2:$H$289,MATCH(E645,'Emission Stepwise'!$C$2:$C$289,0))</f>
        <v>0.30882352941176472</v>
      </c>
      <c r="G645" s="14">
        <f>INDEX(Background!$C$4:$C$7,MATCH(C645,Background!$A$4:$A$7,0))</f>
        <v>0.27646770694842909</v>
      </c>
      <c r="H645" s="17">
        <f t="shared" si="39"/>
        <v>0.11067598961772034</v>
      </c>
    </row>
    <row r="646" spans="1:8">
      <c r="A646" s="4" t="s">
        <v>759</v>
      </c>
      <c r="B646" s="4">
        <v>69</v>
      </c>
      <c r="C646" s="4" t="s">
        <v>70</v>
      </c>
      <c r="D646" s="4" t="s">
        <v>784</v>
      </c>
      <c r="E646" s="4" t="str">
        <f t="shared" si="38"/>
        <v>69|G</v>
      </c>
      <c r="F646" s="14">
        <f>INDEX('Emission Stepwise'!$H$2:$H$289,MATCH(E646,'Emission Stepwise'!$C$2:$C$289,0))</f>
        <v>0.34803921568627449</v>
      </c>
      <c r="G646" s="14">
        <f>INDEX(Background!$C$4:$C$7,MATCH(C646,Background!$A$4:$A$7,0))</f>
        <v>0.32488979077741237</v>
      </c>
      <c r="H646" s="17">
        <f t="shared" si="39"/>
        <v>6.882914265897204E-2</v>
      </c>
    </row>
    <row r="647" spans="1:8">
      <c r="A647" s="4" t="s">
        <v>759</v>
      </c>
      <c r="B647" s="4">
        <v>70</v>
      </c>
      <c r="C647" s="4" t="s">
        <v>70</v>
      </c>
      <c r="D647" s="4" t="s">
        <v>784</v>
      </c>
      <c r="E647" s="4" t="str">
        <f t="shared" si="38"/>
        <v>70|G</v>
      </c>
      <c r="F647" s="14">
        <f>INDEX('Emission Stepwise'!$H$2:$H$289,MATCH(E647,'Emission Stepwise'!$C$2:$C$289,0))</f>
        <v>0.37254901960784315</v>
      </c>
      <c r="G647" s="14">
        <f>INDEX(Background!$C$4:$C$7,MATCH(C647,Background!$A$4:$A$7,0))</f>
        <v>0.32488979077741237</v>
      </c>
      <c r="H647" s="17">
        <f t="shared" si="39"/>
        <v>0.13688260590398765</v>
      </c>
    </row>
    <row r="648" spans="1:8">
      <c r="A648" s="4" t="s">
        <v>759</v>
      </c>
      <c r="B648" s="4">
        <v>71</v>
      </c>
      <c r="C648" s="4" t="s">
        <v>70</v>
      </c>
      <c r="D648" s="4" t="s">
        <v>784</v>
      </c>
      <c r="E648" s="4" t="str">
        <f t="shared" si="38"/>
        <v>71|G</v>
      </c>
      <c r="F648" s="14">
        <f>INDEX('Emission Stepwise'!$H$2:$H$289,MATCH(E648,'Emission Stepwise'!$C$2:$C$289,0))</f>
        <v>0.40686274509803921</v>
      </c>
      <c r="G648" s="14">
        <f>INDEX(Background!$C$4:$C$7,MATCH(C648,Background!$A$4:$A$7,0))</f>
        <v>0.32488979077741237</v>
      </c>
      <c r="H648" s="17">
        <f t="shared" si="39"/>
        <v>0.22498987341425464</v>
      </c>
    </row>
    <row r="649" spans="1:8">
      <c r="A649" s="4" t="s">
        <v>759</v>
      </c>
      <c r="B649" s="4">
        <v>72</v>
      </c>
      <c r="C649" s="4" t="s">
        <v>71</v>
      </c>
      <c r="D649" s="4" t="s">
        <v>784</v>
      </c>
      <c r="E649" s="4" t="str">
        <f t="shared" si="38"/>
        <v>72|C</v>
      </c>
      <c r="F649" s="14">
        <f>INDEX('Emission Stepwise'!$H$2:$H$289,MATCH(E649,'Emission Stepwise'!$C$2:$C$289,0))</f>
        <v>0.71568627450980393</v>
      </c>
      <c r="G649" s="14">
        <f>INDEX(Background!$C$4:$C$7,MATCH(C649,Background!$A$4:$A$7,0))</f>
        <v>0.27646770694842909</v>
      </c>
      <c r="H649" s="17">
        <f t="shared" si="39"/>
        <v>0.95114788493452407</v>
      </c>
    </row>
    <row r="650" spans="1:8">
      <c r="A650" s="4" t="s">
        <v>760</v>
      </c>
      <c r="B650" s="4">
        <v>1</v>
      </c>
      <c r="C650" s="4" t="s">
        <v>72</v>
      </c>
      <c r="D650" s="4" t="s">
        <v>778</v>
      </c>
      <c r="E650" s="4" t="str">
        <f t="shared" si="38"/>
        <v>1|U</v>
      </c>
      <c r="F650" s="14">
        <f>INDEX('Emission Stepwise'!$H$2:$H$289,MATCH(E650,'Emission Stepwise'!$C$2:$C$289,0))</f>
        <v>6.8627450980392163E-2</v>
      </c>
      <c r="G650" s="14">
        <f>INDEX(Background!$C$4:$C$7,MATCH(C650,Background!$A$4:$A$7,0))</f>
        <v>0.21314113777902177</v>
      </c>
      <c r="H650" s="17">
        <f t="shared" si="39"/>
        <v>-1.1332619502022701</v>
      </c>
    </row>
    <row r="651" spans="1:8">
      <c r="A651" s="4" t="s">
        <v>760</v>
      </c>
      <c r="B651" s="4">
        <v>2</v>
      </c>
      <c r="C651" s="4" t="s">
        <v>73</v>
      </c>
      <c r="D651" s="4" t="s">
        <v>778</v>
      </c>
      <c r="E651" s="4" t="str">
        <f t="shared" si="38"/>
        <v>2|A</v>
      </c>
      <c r="F651" s="14">
        <f>INDEX('Emission Stepwise'!$H$2:$H$289,MATCH(E651,'Emission Stepwise'!$C$2:$C$289,0))</f>
        <v>3.4313725490196081E-2</v>
      </c>
      <c r="G651" s="14">
        <f>INDEX(Background!$C$4:$C$7,MATCH(C651,Background!$A$4:$A$7,0))</f>
        <v>0.18550136449513679</v>
      </c>
      <c r="H651" s="17">
        <f t="shared" si="39"/>
        <v>-1.6875168035961337</v>
      </c>
    </row>
    <row r="652" spans="1:8">
      <c r="A652" s="4" t="s">
        <v>760</v>
      </c>
      <c r="B652" s="4">
        <v>3</v>
      </c>
      <c r="C652" s="4" t="s">
        <v>73</v>
      </c>
      <c r="D652" s="4" t="s">
        <v>778</v>
      </c>
      <c r="E652" s="4" t="str">
        <f t="shared" si="38"/>
        <v>3|A</v>
      </c>
      <c r="F652" s="14">
        <f>INDEX('Emission Stepwise'!$H$2:$H$289,MATCH(E652,'Emission Stepwise'!$C$2:$C$289,0))</f>
        <v>7.3529411764705885E-2</v>
      </c>
      <c r="G652" s="14">
        <f>INDEX(Background!$C$4:$C$7,MATCH(C652,Background!$A$4:$A$7,0))</f>
        <v>0.18550136449513679</v>
      </c>
      <c r="H652" s="17">
        <f t="shared" si="39"/>
        <v>-0.92537675154923693</v>
      </c>
    </row>
    <row r="653" spans="1:8">
      <c r="A653" s="4" t="s">
        <v>760</v>
      </c>
      <c r="B653" s="4">
        <v>4</v>
      </c>
      <c r="C653" s="4" t="s">
        <v>72</v>
      </c>
      <c r="D653" s="4" t="s">
        <v>778</v>
      </c>
      <c r="E653" s="4" t="str">
        <f t="shared" si="38"/>
        <v>4|U</v>
      </c>
      <c r="F653" s="14">
        <f>INDEX('Emission Stepwise'!$H$2:$H$289,MATCH(E653,'Emission Stepwise'!$C$2:$C$289,0))</f>
        <v>0.17156862745098039</v>
      </c>
      <c r="G653" s="14">
        <f>INDEX(Background!$C$4:$C$7,MATCH(C653,Background!$A$4:$A$7,0))</f>
        <v>0.21314113777902177</v>
      </c>
      <c r="H653" s="17">
        <f t="shared" si="39"/>
        <v>-0.21697121832811511</v>
      </c>
    </row>
    <row r="654" spans="1:8">
      <c r="A654" s="4" t="s">
        <v>760</v>
      </c>
      <c r="B654" s="4">
        <v>5</v>
      </c>
      <c r="C654" s="4" t="s">
        <v>73</v>
      </c>
      <c r="D654" s="4" t="s">
        <v>778</v>
      </c>
      <c r="E654" s="4" t="str">
        <f t="shared" si="38"/>
        <v>5|A</v>
      </c>
      <c r="F654" s="14">
        <f>INDEX('Emission Stepwise'!$H$2:$H$289,MATCH(E654,'Emission Stepwise'!$C$2:$C$289,0))</f>
        <v>0.15686274509803921</v>
      </c>
      <c r="G654" s="14">
        <f>INDEX(Background!$C$4:$C$7,MATCH(C654,Background!$A$4:$A$7,0))</f>
        <v>0.18550136449513679</v>
      </c>
      <c r="H654" s="17">
        <f t="shared" si="39"/>
        <v>-0.16769104985172067</v>
      </c>
    </row>
    <row r="655" spans="1:8">
      <c r="A655" s="4" t="s">
        <v>760</v>
      </c>
      <c r="B655" s="4">
        <v>6</v>
      </c>
      <c r="C655" s="4" t="s">
        <v>73</v>
      </c>
      <c r="D655" s="4" t="s">
        <v>778</v>
      </c>
      <c r="E655" s="4" t="str">
        <f t="shared" si="38"/>
        <v>6|A</v>
      </c>
      <c r="F655" s="14">
        <f>INDEX('Emission Stepwise'!$H$2:$H$289,MATCH(E655,'Emission Stepwise'!$C$2:$C$289,0))</f>
        <v>0.17156862745098039</v>
      </c>
      <c r="G655" s="14">
        <f>INDEX(Background!$C$4:$C$7,MATCH(C655,Background!$A$4:$A$7,0))</f>
        <v>0.18550136449513679</v>
      </c>
      <c r="H655" s="17">
        <f t="shared" si="39"/>
        <v>-7.8078891162033495E-2</v>
      </c>
    </row>
    <row r="656" spans="1:8">
      <c r="A656" s="4" t="s">
        <v>760</v>
      </c>
      <c r="B656" s="4">
        <v>7</v>
      </c>
      <c r="C656" s="4" t="s">
        <v>71</v>
      </c>
      <c r="D656" s="4" t="s">
        <v>778</v>
      </c>
      <c r="E656" s="4" t="str">
        <f t="shared" si="38"/>
        <v>7|C</v>
      </c>
      <c r="F656" s="14">
        <f>INDEX('Emission Stepwise'!$H$2:$H$289,MATCH(E656,'Emission Stepwise'!$C$2:$C$289,0))</f>
        <v>1.9607843137254902E-2</v>
      </c>
      <c r="G656" s="14">
        <f>INDEX(Background!$C$4:$C$7,MATCH(C656,Background!$A$4:$A$7,0))</f>
        <v>0.27646770694842909</v>
      </c>
      <c r="H656" s="17">
        <f t="shared" si="39"/>
        <v>-2.6461643756539219</v>
      </c>
    </row>
    <row r="657" spans="1:8">
      <c r="A657" s="4" t="s">
        <v>760</v>
      </c>
      <c r="B657" s="4">
        <v>8</v>
      </c>
      <c r="C657" s="4" t="s">
        <v>72</v>
      </c>
      <c r="D657" s="4" t="s">
        <v>779</v>
      </c>
      <c r="E657" s="4" t="str">
        <f t="shared" si="38"/>
        <v>8|U</v>
      </c>
      <c r="F657" s="14">
        <f>INDEX('Emission Stepwise'!$H$2:$H$289,MATCH(E657,'Emission Stepwise'!$C$2:$C$289,0))</f>
        <v>0.97549019607843135</v>
      </c>
      <c r="G657" s="14">
        <f>INDEX(Background!$C$4:$C$7,MATCH(C657,Background!$A$4:$A$7,0))</f>
        <v>0.21314113777902177</v>
      </c>
      <c r="H657" s="17">
        <f t="shared" si="39"/>
        <v>1.5209855449069636</v>
      </c>
    </row>
    <row r="658" spans="1:8">
      <c r="A658" s="4" t="s">
        <v>760</v>
      </c>
      <c r="B658" s="4">
        <v>9</v>
      </c>
      <c r="C658" s="4" t="s">
        <v>70</v>
      </c>
      <c r="D658" s="4" t="s">
        <v>780</v>
      </c>
      <c r="E658" s="4" t="str">
        <f t="shared" si="38"/>
        <v>9|G</v>
      </c>
      <c r="F658" s="14">
        <f>INDEX('Emission Stepwise'!$H$2:$H$289,MATCH(E658,'Emission Stepwise'!$C$2:$C$289,0))</f>
        <v>0.30541871921182268</v>
      </c>
      <c r="G658" s="14">
        <f>INDEX(Background!$C$4:$C$7,MATCH(C658,Background!$A$4:$A$7,0))</f>
        <v>0.32488979077741237</v>
      </c>
      <c r="H658" s="17">
        <f t="shared" si="39"/>
        <v>-6.1802334534822735E-2</v>
      </c>
    </row>
    <row r="659" spans="1:8">
      <c r="A659" s="4" t="s">
        <v>760</v>
      </c>
      <c r="B659" s="4">
        <v>10</v>
      </c>
      <c r="C659" s="4" t="s">
        <v>70</v>
      </c>
      <c r="D659" s="4" t="s">
        <v>780</v>
      </c>
      <c r="E659" s="4" t="str">
        <f t="shared" si="38"/>
        <v>10|G</v>
      </c>
      <c r="F659" s="14">
        <f>INDEX('Emission Stepwise'!$H$2:$H$289,MATCH(E659,'Emission Stepwise'!$C$2:$C$289,0))</f>
        <v>0.94607843137254899</v>
      </c>
      <c r="G659" s="14">
        <f>INDEX(Background!$C$4:$C$7,MATCH(C659,Background!$A$4:$A$7,0))</f>
        <v>0.32488979077741237</v>
      </c>
      <c r="H659" s="17">
        <f t="shared" si="39"/>
        <v>1.0688394545225421</v>
      </c>
    </row>
    <row r="660" spans="1:8">
      <c r="A660" s="4" t="s">
        <v>760</v>
      </c>
      <c r="B660" s="4">
        <v>11</v>
      </c>
      <c r="C660" s="4" t="s">
        <v>70</v>
      </c>
      <c r="D660" s="4" t="s">
        <v>780</v>
      </c>
      <c r="E660" s="4" t="str">
        <f t="shared" si="38"/>
        <v>11|G</v>
      </c>
      <c r="F660" s="14">
        <f>INDEX('Emission Stepwise'!$H$2:$H$289,MATCH(E660,'Emission Stepwise'!$C$2:$C$289,0))</f>
        <v>3.4313725490196081E-2</v>
      </c>
      <c r="G660" s="14">
        <f>INDEX(Background!$C$4:$C$7,MATCH(C660,Background!$A$4:$A$7,0))</f>
        <v>0.32488979077741237</v>
      </c>
      <c r="H660" s="17">
        <f t="shared" si="39"/>
        <v>-2.2479405853270302</v>
      </c>
    </row>
    <row r="661" spans="1:8">
      <c r="A661" s="4" t="s">
        <v>760</v>
      </c>
      <c r="B661" s="4">
        <v>12</v>
      </c>
      <c r="C661" s="4" t="s">
        <v>70</v>
      </c>
      <c r="D661" s="4" t="s">
        <v>780</v>
      </c>
      <c r="E661" s="4" t="str">
        <f t="shared" si="38"/>
        <v>12|G</v>
      </c>
      <c r="F661" s="14">
        <f>INDEX('Emission Stepwise'!$H$2:$H$289,MATCH(E661,'Emission Stepwise'!$C$2:$C$289,0))</f>
        <v>0.19117647058823528</v>
      </c>
      <c r="G661" s="14">
        <f>INDEX(Background!$C$4:$C$7,MATCH(C661,Background!$A$4:$A$7,0))</f>
        <v>0.32488979077741237</v>
      </c>
      <c r="H661" s="17">
        <f t="shared" si="39"/>
        <v>-0.53028908825269705</v>
      </c>
    </row>
    <row r="662" spans="1:8">
      <c r="A662" s="4" t="s">
        <v>760</v>
      </c>
      <c r="B662" s="4">
        <v>13</v>
      </c>
      <c r="C662" s="4" t="s">
        <v>71</v>
      </c>
      <c r="D662" s="4" t="s">
        <v>780</v>
      </c>
      <c r="E662" s="4" t="str">
        <f t="shared" si="38"/>
        <v>13|C</v>
      </c>
      <c r="F662" s="14">
        <f>INDEX('Emission Stepwise'!$H$2:$H$289,MATCH(E662,'Emission Stepwise'!$C$2:$C$289,0))</f>
        <v>0.64215686274509809</v>
      </c>
      <c r="G662" s="14">
        <f>INDEX(Background!$C$4:$C$7,MATCH(C662,Background!$A$4:$A$7,0))</f>
        <v>0.27646770694842909</v>
      </c>
      <c r="H662" s="17">
        <f t="shared" si="39"/>
        <v>0.84273858642733934</v>
      </c>
    </row>
    <row r="663" spans="1:8">
      <c r="A663" s="4" t="s">
        <v>760</v>
      </c>
      <c r="B663" s="4">
        <v>14</v>
      </c>
      <c r="C663" s="4" t="s">
        <v>70</v>
      </c>
      <c r="D663" s="4" t="s">
        <v>780</v>
      </c>
      <c r="E663" s="4" t="str">
        <f t="shared" si="38"/>
        <v>14|G</v>
      </c>
      <c r="F663" s="14">
        <f>INDEX('Emission Stepwise'!$H$2:$H$289,MATCH(E663,'Emission Stepwise'!$C$2:$C$289,0))</f>
        <v>9.8039215686274508E-3</v>
      </c>
      <c r="G663" s="14">
        <f>INDEX(Background!$C$4:$C$7,MATCH(C663,Background!$A$4:$A$7,0))</f>
        <v>0.32488979077741237</v>
      </c>
      <c r="H663" s="17">
        <f t="shared" si="39"/>
        <v>-3.5007035538223983</v>
      </c>
    </row>
    <row r="664" spans="1:8">
      <c r="A664" s="4" t="s">
        <v>760</v>
      </c>
      <c r="B664" s="4">
        <v>15</v>
      </c>
      <c r="C664" s="4" t="s">
        <v>73</v>
      </c>
      <c r="D664" s="4" t="s">
        <v>780</v>
      </c>
      <c r="E664" s="4" t="str">
        <f t="shared" si="38"/>
        <v>15|A</v>
      </c>
      <c r="F664" s="14">
        <f>INDEX('Emission Stepwise'!$H$2:$H$289,MATCH(E664,'Emission Stepwise'!$C$2:$C$289,0))</f>
        <v>0.16748768472906403</v>
      </c>
      <c r="G664" s="14">
        <f>INDEX(Background!$C$4:$C$7,MATCH(C664,Background!$A$4:$A$7,0))</f>
        <v>0.18550136449513679</v>
      </c>
      <c r="H664" s="17">
        <f t="shared" si="39"/>
        <v>-0.1021524132328567</v>
      </c>
    </row>
    <row r="665" spans="1:8">
      <c r="A665" s="4" t="s">
        <v>760</v>
      </c>
      <c r="B665" s="4">
        <v>16</v>
      </c>
      <c r="C665" s="4" t="s">
        <v>77</v>
      </c>
      <c r="D665" s="4" t="s">
        <v>780</v>
      </c>
      <c r="E665" s="4"/>
      <c r="F665" s="4"/>
      <c r="G665" s="4"/>
      <c r="H665" s="4"/>
    </row>
    <row r="666" spans="1:8">
      <c r="A666" s="4" t="s">
        <v>760</v>
      </c>
      <c r="B666" s="4">
        <v>17</v>
      </c>
      <c r="C666" s="4" t="s">
        <v>73</v>
      </c>
      <c r="D666" s="4" t="s">
        <v>780</v>
      </c>
      <c r="E666" s="4" t="str">
        <f t="shared" ref="E666:E697" si="40">B666&amp;"|"&amp;C666</f>
        <v>17|A</v>
      </c>
      <c r="F666" s="14">
        <f>INDEX('Emission Stepwise'!$H$2:$H$289,MATCH(E666,'Emission Stepwise'!$C$2:$C$289,0))</f>
        <v>6.4676616915422883E-2</v>
      </c>
      <c r="G666" s="14">
        <f>INDEX(Background!$C$4:$C$7,MATCH(C666,Background!$A$4:$A$7,0))</f>
        <v>0.18550136449513679</v>
      </c>
      <c r="H666" s="17">
        <f t="shared" ref="H666:H697" si="41">LN(F666/G666)</f>
        <v>-1.0536625094047698</v>
      </c>
    </row>
    <row r="667" spans="1:8">
      <c r="A667" s="4" t="s">
        <v>760</v>
      </c>
      <c r="B667" s="4">
        <v>18</v>
      </c>
      <c r="C667" s="4" t="s">
        <v>70</v>
      </c>
      <c r="D667" s="4" t="s">
        <v>780</v>
      </c>
      <c r="E667" s="4" t="str">
        <f t="shared" si="40"/>
        <v>18|G</v>
      </c>
      <c r="F667" s="14">
        <f>INDEX('Emission Stepwise'!$H$2:$H$289,MATCH(E667,'Emission Stepwise'!$C$2:$C$289,0))</f>
        <v>0.98039215686274506</v>
      </c>
      <c r="G667" s="14">
        <f>INDEX(Background!$C$4:$C$7,MATCH(C667,Background!$A$4:$A$7,0))</f>
        <v>0.32488979077741237</v>
      </c>
      <c r="H667" s="17">
        <f t="shared" si="41"/>
        <v>1.1044666321656933</v>
      </c>
    </row>
    <row r="668" spans="1:8">
      <c r="A668" s="4" t="s">
        <v>760</v>
      </c>
      <c r="B668" s="4">
        <v>19</v>
      </c>
      <c r="C668" s="4" t="s">
        <v>70</v>
      </c>
      <c r="D668" s="4" t="s">
        <v>780</v>
      </c>
      <c r="E668" s="4" t="str">
        <f t="shared" si="40"/>
        <v>19|G</v>
      </c>
      <c r="F668" s="14">
        <f>INDEX('Emission Stepwise'!$H$2:$H$289,MATCH(E668,'Emission Stepwise'!$C$2:$C$289,0))</f>
        <v>0.97058823529411764</v>
      </c>
      <c r="G668" s="14">
        <f>INDEX(Background!$C$4:$C$7,MATCH(C668,Background!$A$4:$A$7,0))</f>
        <v>0.32488979077741237</v>
      </c>
      <c r="H668" s="17">
        <f t="shared" si="41"/>
        <v>1.0944162963121917</v>
      </c>
    </row>
    <row r="669" spans="1:8">
      <c r="A669" s="4" t="s">
        <v>760</v>
      </c>
      <c r="B669" s="4">
        <v>20</v>
      </c>
      <c r="C669" s="4" t="s">
        <v>72</v>
      </c>
      <c r="D669" s="4" t="s">
        <v>780</v>
      </c>
      <c r="E669" s="4" t="str">
        <f t="shared" si="40"/>
        <v>20|U</v>
      </c>
      <c r="F669" s="14">
        <f>INDEX('Emission Stepwise'!$H$2:$H$289,MATCH(E669,'Emission Stepwise'!$C$2:$C$289,0))</f>
        <v>0.59113300492610843</v>
      </c>
      <c r="G669" s="14">
        <f>INDEX(Background!$C$4:$C$7,MATCH(C669,Background!$A$4:$A$7,0))</f>
        <v>0.21314113777902177</v>
      </c>
      <c r="H669" s="17">
        <f t="shared" si="41"/>
        <v>1.0200864777669463</v>
      </c>
    </row>
    <row r="670" spans="1:8">
      <c r="A670" s="4" t="s">
        <v>760</v>
      </c>
      <c r="B670" s="4">
        <v>21</v>
      </c>
      <c r="C670" s="4" t="s">
        <v>71</v>
      </c>
      <c r="D670" s="4" t="s">
        <v>780</v>
      </c>
      <c r="E670" s="4" t="str">
        <f t="shared" si="40"/>
        <v>21|C</v>
      </c>
      <c r="F670" s="14">
        <f>INDEX('Emission Stepwise'!$H$2:$H$289,MATCH(E670,'Emission Stepwise'!$C$2:$C$289,0))</f>
        <v>2.4509803921568627E-2</v>
      </c>
      <c r="G670" s="14">
        <f>INDEX(Background!$C$4:$C$7,MATCH(C670,Background!$A$4:$A$7,0))</f>
        <v>0.27646770694842909</v>
      </c>
      <c r="H670" s="17">
        <f t="shared" si="41"/>
        <v>-2.4230208243397122</v>
      </c>
    </row>
    <row r="671" spans="1:8">
      <c r="A671" s="4" t="s">
        <v>760</v>
      </c>
      <c r="B671" s="4">
        <v>22</v>
      </c>
      <c r="C671" s="4" t="s">
        <v>70</v>
      </c>
      <c r="D671" s="4" t="s">
        <v>780</v>
      </c>
      <c r="E671" s="4" t="str">
        <f t="shared" si="40"/>
        <v>22|G</v>
      </c>
      <c r="F671" s="14">
        <f>INDEX('Emission Stepwise'!$H$2:$H$289,MATCH(E671,'Emission Stepwise'!$C$2:$C$289,0))</f>
        <v>0.71568627450980393</v>
      </c>
      <c r="G671" s="14">
        <f>INDEX(Background!$C$4:$C$7,MATCH(C671,Background!$A$4:$A$7,0))</f>
        <v>0.32488979077741237</v>
      </c>
      <c r="H671" s="17">
        <f t="shared" si="41"/>
        <v>0.789755887325993</v>
      </c>
    </row>
    <row r="672" spans="1:8">
      <c r="A672" s="4" t="s">
        <v>760</v>
      </c>
      <c r="B672" s="4">
        <v>23</v>
      </c>
      <c r="C672" s="4" t="s">
        <v>71</v>
      </c>
      <c r="D672" s="4" t="s">
        <v>780</v>
      </c>
      <c r="E672" s="4" t="str">
        <f t="shared" si="40"/>
        <v>23|C</v>
      </c>
      <c r="F672" s="14">
        <f>INDEX('Emission Stepwise'!$H$2:$H$289,MATCH(E672,'Emission Stepwise'!$C$2:$C$289,0))</f>
        <v>0.19117647058823528</v>
      </c>
      <c r="G672" s="14">
        <f>INDEX(Background!$C$4:$C$7,MATCH(C672,Background!$A$4:$A$7,0))</f>
        <v>0.27646770694842909</v>
      </c>
      <c r="H672" s="17">
        <f t="shared" si="41"/>
        <v>-0.36889709064416604</v>
      </c>
    </row>
    <row r="673" spans="1:8">
      <c r="A673" s="4" t="s">
        <v>760</v>
      </c>
      <c r="B673" s="4">
        <v>24</v>
      </c>
      <c r="C673" s="4" t="s">
        <v>71</v>
      </c>
      <c r="D673" s="4" t="s">
        <v>780</v>
      </c>
      <c r="E673" s="4" t="str">
        <f t="shared" si="40"/>
        <v>24|C</v>
      </c>
      <c r="F673" s="14">
        <f>INDEX('Emission Stepwise'!$H$2:$H$289,MATCH(E673,'Emission Stepwise'!$C$2:$C$289,0))</f>
        <v>3.4313725490196081E-2</v>
      </c>
      <c r="G673" s="14">
        <f>INDEX(Background!$C$4:$C$7,MATCH(C673,Background!$A$4:$A$7,0))</f>
        <v>0.27646770694842909</v>
      </c>
      <c r="H673" s="17">
        <f t="shared" si="41"/>
        <v>-2.0865485877184988</v>
      </c>
    </row>
    <row r="674" spans="1:8">
      <c r="A674" s="4" t="s">
        <v>760</v>
      </c>
      <c r="B674" s="4">
        <v>25</v>
      </c>
      <c r="C674" s="4" t="s">
        <v>72</v>
      </c>
      <c r="D674" s="4" t="s">
        <v>780</v>
      </c>
      <c r="E674" s="4" t="str">
        <f t="shared" si="40"/>
        <v>25|U</v>
      </c>
      <c r="F674" s="14">
        <f>INDEX('Emission Stepwise'!$H$2:$H$289,MATCH(E674,'Emission Stepwise'!$C$2:$C$289,0))</f>
        <v>7.3529411764705885E-2</v>
      </c>
      <c r="G674" s="14">
        <f>INDEX(Background!$C$4:$C$7,MATCH(C674,Background!$A$4:$A$7,0))</f>
        <v>0.21314113777902177</v>
      </c>
      <c r="H674" s="17">
        <f t="shared" si="41"/>
        <v>-1.0642690787153186</v>
      </c>
    </row>
    <row r="675" spans="1:8">
      <c r="A675" s="4" t="s">
        <v>760</v>
      </c>
      <c r="B675" s="4">
        <v>26</v>
      </c>
      <c r="C675" s="4" t="s">
        <v>70</v>
      </c>
      <c r="D675" s="4" t="s">
        <v>781</v>
      </c>
      <c r="E675" s="4" t="str">
        <f t="shared" si="40"/>
        <v>26|G</v>
      </c>
      <c r="F675" s="14">
        <f>INDEX('Emission Stepwise'!$H$2:$H$289,MATCH(E675,'Emission Stepwise'!$C$2:$C$289,0))</f>
        <v>0.49509803921568629</v>
      </c>
      <c r="G675" s="14">
        <f>INDEX(Background!$C$4:$C$7,MATCH(C675,Background!$A$4:$A$7,0))</f>
        <v>0.32488979077741237</v>
      </c>
      <c r="H675" s="17">
        <f t="shared" si="41"/>
        <v>0.42126978245891616</v>
      </c>
    </row>
    <row r="676" spans="1:8">
      <c r="A676" s="4" t="s">
        <v>760</v>
      </c>
      <c r="B676" s="4">
        <v>27</v>
      </c>
      <c r="C676" s="4" t="s">
        <v>71</v>
      </c>
      <c r="D676" s="4" t="s">
        <v>781</v>
      </c>
      <c r="E676" s="4" t="str">
        <f t="shared" si="40"/>
        <v>27|C</v>
      </c>
      <c r="F676" s="14">
        <f>INDEX('Emission Stepwise'!$H$2:$H$289,MATCH(E676,'Emission Stepwise'!$C$2:$C$289,0))</f>
        <v>0.46078431372549017</v>
      </c>
      <c r="G676" s="14">
        <f>INDEX(Background!$C$4:$C$7,MATCH(C676,Background!$A$4:$A$7,0))</f>
        <v>0.27646770694842909</v>
      </c>
      <c r="H676" s="17">
        <f t="shared" si="41"/>
        <v>0.51083604549619144</v>
      </c>
    </row>
    <row r="677" spans="1:8">
      <c r="A677" s="4" t="s">
        <v>760</v>
      </c>
      <c r="B677" s="4">
        <v>28</v>
      </c>
      <c r="C677" s="4" t="s">
        <v>72</v>
      </c>
      <c r="D677" s="4" t="s">
        <v>781</v>
      </c>
      <c r="E677" s="4" t="str">
        <f t="shared" si="40"/>
        <v>28|U</v>
      </c>
      <c r="F677" s="14">
        <f>INDEX('Emission Stepwise'!$H$2:$H$289,MATCH(E677,'Emission Stepwise'!$C$2:$C$289,0))</f>
        <v>0.25490196078431371</v>
      </c>
      <c r="G677" s="14">
        <f>INDEX(Background!$C$4:$C$7,MATCH(C677,Background!$A$4:$A$7,0))</f>
        <v>0.21314113777902177</v>
      </c>
      <c r="H677" s="17">
        <f t="shared" si="41"/>
        <v>0.17892443876389855</v>
      </c>
    </row>
    <row r="678" spans="1:8">
      <c r="A678" s="4" t="s">
        <v>760</v>
      </c>
      <c r="B678" s="4">
        <v>29</v>
      </c>
      <c r="C678" s="4" t="s">
        <v>73</v>
      </c>
      <c r="D678" s="4" t="s">
        <v>781</v>
      </c>
      <c r="E678" s="4" t="str">
        <f t="shared" si="40"/>
        <v>29|A</v>
      </c>
      <c r="F678" s="14">
        <f>INDEX('Emission Stepwise'!$H$2:$H$289,MATCH(E678,'Emission Stepwise'!$C$2:$C$289,0))</f>
        <v>0.16176470588235295</v>
      </c>
      <c r="G678" s="14">
        <f>INDEX(Background!$C$4:$C$7,MATCH(C678,Background!$A$4:$A$7,0))</f>
        <v>0.18550136449513679</v>
      </c>
      <c r="H678" s="17">
        <f t="shared" si="41"/>
        <v>-0.13691939118496679</v>
      </c>
    </row>
    <row r="679" spans="1:8">
      <c r="A679" s="4" t="s">
        <v>760</v>
      </c>
      <c r="B679" s="4">
        <v>30</v>
      </c>
      <c r="C679" s="4" t="s">
        <v>70</v>
      </c>
      <c r="D679" s="4" t="s">
        <v>781</v>
      </c>
      <c r="E679" s="4" t="str">
        <f t="shared" si="40"/>
        <v>30|G</v>
      </c>
      <c r="F679" s="14">
        <f>INDEX('Emission Stepwise'!$H$2:$H$289,MATCH(E679,'Emission Stepwise'!$C$2:$C$289,0))</f>
        <v>0.74019607843137258</v>
      </c>
      <c r="G679" s="14">
        <f>INDEX(Background!$C$4:$C$7,MATCH(C679,Background!$A$4:$A$7,0))</f>
        <v>0.32488979077741237</v>
      </c>
      <c r="H679" s="17">
        <f t="shared" si="41"/>
        <v>0.82342910243258094</v>
      </c>
    </row>
    <row r="680" spans="1:8">
      <c r="A680" s="4" t="s">
        <v>760</v>
      </c>
      <c r="B680" s="4">
        <v>31</v>
      </c>
      <c r="C680" s="4" t="s">
        <v>70</v>
      </c>
      <c r="D680" s="4" t="s">
        <v>781</v>
      </c>
      <c r="E680" s="4" t="str">
        <f t="shared" si="40"/>
        <v>31|G</v>
      </c>
      <c r="F680" s="14">
        <f>INDEX('Emission Stepwise'!$H$2:$H$289,MATCH(E680,'Emission Stepwise'!$C$2:$C$289,0))</f>
        <v>0.27450980392156865</v>
      </c>
      <c r="G680" s="14">
        <f>INDEX(Background!$C$4:$C$7,MATCH(C680,Background!$A$4:$A$7,0))</f>
        <v>0.32488979077741237</v>
      </c>
      <c r="H680" s="17">
        <f t="shared" si="41"/>
        <v>-0.16849904364719412</v>
      </c>
    </row>
    <row r="681" spans="1:8">
      <c r="A681" s="4" t="s">
        <v>760</v>
      </c>
      <c r="B681" s="4">
        <v>32</v>
      </c>
      <c r="C681" s="4" t="s">
        <v>73</v>
      </c>
      <c r="D681" s="4" t="s">
        <v>781</v>
      </c>
      <c r="E681" s="4" t="str">
        <f t="shared" si="40"/>
        <v>32|A</v>
      </c>
      <c r="F681" s="14">
        <f>INDEX('Emission Stepwise'!$H$2:$H$289,MATCH(E681,'Emission Stepwise'!$C$2:$C$289,0))</f>
        <v>3.4313725490196081E-2</v>
      </c>
      <c r="G681" s="14">
        <f>INDEX(Background!$C$4:$C$7,MATCH(C681,Background!$A$4:$A$7,0))</f>
        <v>0.18550136449513679</v>
      </c>
      <c r="H681" s="17">
        <f t="shared" si="41"/>
        <v>-1.6875168035961337</v>
      </c>
    </row>
    <row r="682" spans="1:8">
      <c r="A682" s="4" t="s">
        <v>760</v>
      </c>
      <c r="B682" s="4">
        <v>33</v>
      </c>
      <c r="C682" s="4" t="s">
        <v>71</v>
      </c>
      <c r="D682" s="4" t="s">
        <v>781</v>
      </c>
      <c r="E682" s="4" t="str">
        <f t="shared" si="40"/>
        <v>33|C</v>
      </c>
      <c r="F682" s="14">
        <f>INDEX('Emission Stepwise'!$H$2:$H$289,MATCH(E682,'Emission Stepwise'!$C$2:$C$289,0))</f>
        <v>9.8039215686274508E-3</v>
      </c>
      <c r="G682" s="14">
        <f>INDEX(Background!$C$4:$C$7,MATCH(C682,Background!$A$4:$A$7,0))</f>
        <v>0.27646770694842909</v>
      </c>
      <c r="H682" s="17">
        <f t="shared" si="41"/>
        <v>-3.3393115562138669</v>
      </c>
    </row>
    <row r="683" spans="1:8">
      <c r="A683" s="4" t="s">
        <v>760</v>
      </c>
      <c r="B683" s="4">
        <v>34</v>
      </c>
      <c r="C683" s="4" t="s">
        <v>72</v>
      </c>
      <c r="D683" s="4" t="s">
        <v>781</v>
      </c>
      <c r="E683" s="4" t="str">
        <f t="shared" si="40"/>
        <v>34|U</v>
      </c>
      <c r="F683" s="14">
        <f>INDEX('Emission Stepwise'!$H$2:$H$289,MATCH(E683,'Emission Stepwise'!$C$2:$C$289,0))</f>
        <v>0.28921568627450983</v>
      </c>
      <c r="G683" s="14">
        <f>INDEX(Background!$C$4:$C$7,MATCH(C683,Background!$A$4:$A$7,0))</f>
        <v>0.21314113777902177</v>
      </c>
      <c r="H683" s="17">
        <f t="shared" si="41"/>
        <v>0.30521816408819075</v>
      </c>
    </row>
    <row r="684" spans="1:8">
      <c r="A684" s="4" t="s">
        <v>760</v>
      </c>
      <c r="B684" s="4">
        <v>35</v>
      </c>
      <c r="C684" s="4" t="s">
        <v>72</v>
      </c>
      <c r="D684" s="4" t="s">
        <v>781</v>
      </c>
      <c r="E684" s="4" t="str">
        <f t="shared" si="40"/>
        <v>35|U</v>
      </c>
      <c r="F684" s="14">
        <f>INDEX('Emission Stepwise'!$H$2:$H$289,MATCH(E684,'Emission Stepwise'!$C$2:$C$289,0))</f>
        <v>0.20588235294117646</v>
      </c>
      <c r="G684" s="14">
        <f>INDEX(Background!$C$4:$C$7,MATCH(C684,Background!$A$4:$A$7,0))</f>
        <v>0.21314113777902177</v>
      </c>
      <c r="H684" s="17">
        <f t="shared" si="41"/>
        <v>-3.4649661534160589E-2</v>
      </c>
    </row>
    <row r="685" spans="1:8">
      <c r="A685" s="4" t="s">
        <v>760</v>
      </c>
      <c r="B685" s="4">
        <v>36</v>
      </c>
      <c r="C685" s="4" t="s">
        <v>73</v>
      </c>
      <c r="D685" s="4" t="s">
        <v>781</v>
      </c>
      <c r="E685" s="4" t="str">
        <f t="shared" si="40"/>
        <v>36|A</v>
      </c>
      <c r="F685" s="14">
        <f>INDEX('Emission Stepwise'!$H$2:$H$289,MATCH(E685,'Emission Stepwise'!$C$2:$C$289,0))</f>
        <v>0.21568627450980393</v>
      </c>
      <c r="G685" s="14">
        <f>INDEX(Background!$C$4:$C$7,MATCH(C685,Background!$A$4:$A$7,0))</f>
        <v>0.18550136449513679</v>
      </c>
      <c r="H685" s="17">
        <f t="shared" si="41"/>
        <v>0.15076268126681408</v>
      </c>
    </row>
    <row r="686" spans="1:8">
      <c r="A686" s="4" t="s">
        <v>760</v>
      </c>
      <c r="B686" s="4">
        <v>37</v>
      </c>
      <c r="C686" s="4" t="s">
        <v>73</v>
      </c>
      <c r="D686" s="4" t="s">
        <v>781</v>
      </c>
      <c r="E686" s="4" t="str">
        <f t="shared" si="40"/>
        <v>37|A</v>
      </c>
      <c r="F686" s="14">
        <f>INDEX('Emission Stepwise'!$H$2:$H$289,MATCH(E686,'Emission Stepwise'!$C$2:$C$289,0))</f>
        <v>0.74509803921568629</v>
      </c>
      <c r="G686" s="14">
        <f>INDEX(Background!$C$4:$C$7,MATCH(C686,Background!$A$4:$A$7,0))</f>
        <v>0.18550136449513679</v>
      </c>
      <c r="H686" s="17">
        <f t="shared" si="41"/>
        <v>1.3904535681948293</v>
      </c>
    </row>
    <row r="687" spans="1:8">
      <c r="A687" s="4" t="s">
        <v>760</v>
      </c>
      <c r="B687" s="4">
        <v>38</v>
      </c>
      <c r="C687" s="4" t="s">
        <v>72</v>
      </c>
      <c r="D687" s="4" t="s">
        <v>781</v>
      </c>
      <c r="E687" s="4" t="str">
        <f t="shared" si="40"/>
        <v>38|U</v>
      </c>
      <c r="F687" s="14">
        <f>INDEX('Emission Stepwise'!$H$2:$H$289,MATCH(E687,'Emission Stepwise'!$C$2:$C$289,0))</f>
        <v>0.11764705882352941</v>
      </c>
      <c r="G687" s="14">
        <f>INDEX(Background!$C$4:$C$7,MATCH(C687,Background!$A$4:$A$7,0))</f>
        <v>0.21314113777902177</v>
      </c>
      <c r="H687" s="17">
        <f t="shared" si="41"/>
        <v>-0.59426544946958315</v>
      </c>
    </row>
    <row r="688" spans="1:8">
      <c r="A688" s="4" t="s">
        <v>760</v>
      </c>
      <c r="B688" s="4">
        <v>39</v>
      </c>
      <c r="C688" s="4" t="s">
        <v>72</v>
      </c>
      <c r="D688" s="4" t="s">
        <v>781</v>
      </c>
      <c r="E688" s="4" t="str">
        <f t="shared" si="40"/>
        <v>39|U</v>
      </c>
      <c r="F688" s="14">
        <f>INDEX('Emission Stepwise'!$H$2:$H$289,MATCH(E688,'Emission Stepwise'!$C$2:$C$289,0))</f>
        <v>0.29411764705882354</v>
      </c>
      <c r="G688" s="14">
        <f>INDEX(Background!$C$4:$C$7,MATCH(C688,Background!$A$4:$A$7,0))</f>
        <v>0.21314113777902177</v>
      </c>
      <c r="H688" s="17">
        <f t="shared" si="41"/>
        <v>0.32202528240457201</v>
      </c>
    </row>
    <row r="689" spans="1:8">
      <c r="A689" s="4" t="s">
        <v>760</v>
      </c>
      <c r="B689" s="4">
        <v>40</v>
      </c>
      <c r="C689" s="4" t="s">
        <v>72</v>
      </c>
      <c r="D689" s="4" t="s">
        <v>781</v>
      </c>
      <c r="E689" s="4" t="str">
        <f t="shared" si="40"/>
        <v>40|U</v>
      </c>
      <c r="F689" s="14">
        <f>INDEX('Emission Stepwise'!$H$2:$H$289,MATCH(E689,'Emission Stepwise'!$C$2:$C$289,0))</f>
        <v>4.4117647058823532E-2</v>
      </c>
      <c r="G689" s="14">
        <f>INDEX(Background!$C$4:$C$7,MATCH(C689,Background!$A$4:$A$7,0))</f>
        <v>0.21314113777902177</v>
      </c>
      <c r="H689" s="17">
        <f t="shared" si="41"/>
        <v>-1.5750947024813093</v>
      </c>
    </row>
    <row r="690" spans="1:8">
      <c r="A690" s="4" t="s">
        <v>760</v>
      </c>
      <c r="B690" s="4">
        <v>41</v>
      </c>
      <c r="C690" s="4" t="s">
        <v>72</v>
      </c>
      <c r="D690" s="4" t="s">
        <v>781</v>
      </c>
      <c r="E690" s="4" t="str">
        <f t="shared" si="40"/>
        <v>41|U</v>
      </c>
      <c r="F690" s="14">
        <f>INDEX('Emission Stepwise'!$H$2:$H$289,MATCH(E690,'Emission Stepwise'!$C$2:$C$289,0))</f>
        <v>0.16666666666666666</v>
      </c>
      <c r="G690" s="14">
        <f>INDEX(Background!$C$4:$C$7,MATCH(C690,Background!$A$4:$A$7,0))</f>
        <v>0.21314113777902177</v>
      </c>
      <c r="H690" s="17">
        <f t="shared" si="41"/>
        <v>-0.24595875520136748</v>
      </c>
    </row>
    <row r="691" spans="1:8">
      <c r="A691" s="4" t="s">
        <v>760</v>
      </c>
      <c r="B691" s="4">
        <v>42</v>
      </c>
      <c r="C691" s="4" t="s">
        <v>70</v>
      </c>
      <c r="D691" s="4" t="s">
        <v>781</v>
      </c>
      <c r="E691" s="4" t="str">
        <f t="shared" si="40"/>
        <v>42|G</v>
      </c>
      <c r="F691" s="14">
        <f>INDEX('Emission Stepwise'!$H$2:$H$289,MATCH(E691,'Emission Stepwise'!$C$2:$C$289,0))</f>
        <v>0.51960784313725494</v>
      </c>
      <c r="G691" s="14">
        <f>INDEX(Background!$C$4:$C$7,MATCH(C691,Background!$A$4:$A$7,0))</f>
        <v>0.32488979077741237</v>
      </c>
      <c r="H691" s="17">
        <f t="shared" si="41"/>
        <v>0.46958835972972385</v>
      </c>
    </row>
    <row r="692" spans="1:8">
      <c r="A692" s="4" t="s">
        <v>760</v>
      </c>
      <c r="B692" s="4">
        <v>43</v>
      </c>
      <c r="C692" s="4" t="s">
        <v>70</v>
      </c>
      <c r="D692" s="4" t="s">
        <v>781</v>
      </c>
      <c r="E692" s="4" t="str">
        <f t="shared" si="40"/>
        <v>43|G</v>
      </c>
      <c r="F692" s="14">
        <f>INDEX('Emission Stepwise'!$H$2:$H$289,MATCH(E692,'Emission Stepwise'!$C$2:$C$289,0))</f>
        <v>0.49509803921568629</v>
      </c>
      <c r="G692" s="14">
        <f>INDEX(Background!$C$4:$C$7,MATCH(C692,Background!$A$4:$A$7,0))</f>
        <v>0.32488979077741237</v>
      </c>
      <c r="H692" s="17">
        <f t="shared" si="41"/>
        <v>0.42126978245891616</v>
      </c>
    </row>
    <row r="693" spans="1:8">
      <c r="A693" s="4" t="s">
        <v>760</v>
      </c>
      <c r="B693" s="4">
        <v>44</v>
      </c>
      <c r="C693" s="4" t="s">
        <v>72</v>
      </c>
      <c r="D693" s="4" t="s">
        <v>781</v>
      </c>
      <c r="E693" s="4" t="str">
        <f t="shared" si="40"/>
        <v>44|U</v>
      </c>
      <c r="F693" s="14">
        <f>INDEX('Emission Stepwise'!$H$2:$H$289,MATCH(E693,'Emission Stepwise'!$C$2:$C$289,0))</f>
        <v>0.11764705882352941</v>
      </c>
      <c r="G693" s="14">
        <f>INDEX(Background!$C$4:$C$7,MATCH(C693,Background!$A$4:$A$7,0))</f>
        <v>0.21314113777902177</v>
      </c>
      <c r="H693" s="17">
        <f t="shared" si="41"/>
        <v>-0.59426544946958315</v>
      </c>
    </row>
    <row r="694" spans="1:8">
      <c r="A694" s="4" t="s">
        <v>760</v>
      </c>
      <c r="B694" s="4">
        <v>45</v>
      </c>
      <c r="C694" s="4" t="s">
        <v>70</v>
      </c>
      <c r="D694" s="4" t="s">
        <v>782</v>
      </c>
      <c r="E694" s="4" t="str">
        <f t="shared" si="40"/>
        <v>45|G</v>
      </c>
      <c r="F694" s="14">
        <f>INDEX('Emission Stepwise'!$H$2:$H$289,MATCH(E694,'Emission Stepwise'!$C$2:$C$289,0))</f>
        <v>0.74752475247524752</v>
      </c>
      <c r="G694" s="14">
        <f>INDEX(Background!$C$4:$C$7,MATCH(C694,Background!$A$4:$A$7,0))</f>
        <v>0.32488979077741237</v>
      </c>
      <c r="H694" s="17">
        <f t="shared" si="41"/>
        <v>0.8332813988755926</v>
      </c>
    </row>
    <row r="695" spans="1:8">
      <c r="A695" s="4" t="s">
        <v>760</v>
      </c>
      <c r="B695" s="4">
        <v>46</v>
      </c>
      <c r="C695" s="4" t="s">
        <v>71</v>
      </c>
      <c r="D695" s="4" t="s">
        <v>782</v>
      </c>
      <c r="E695" s="4" t="str">
        <f t="shared" si="40"/>
        <v>46|C</v>
      </c>
      <c r="F695" s="14">
        <f>INDEX('Emission Stepwise'!$H$2:$H$289,MATCH(E695,'Emission Stepwise'!$C$2:$C$289,0))</f>
        <v>2.8901734104046242E-2</v>
      </c>
      <c r="G695" s="14">
        <f>INDEX(Background!$C$4:$C$7,MATCH(C695,Background!$A$4:$A$7,0))</f>
        <v>0.27646770694842909</v>
      </c>
      <c r="H695" s="17">
        <f t="shared" si="41"/>
        <v>-2.2581924249932745</v>
      </c>
    </row>
    <row r="696" spans="1:8">
      <c r="A696" s="4" t="s">
        <v>760</v>
      </c>
      <c r="B696" s="4">
        <v>47</v>
      </c>
      <c r="C696" s="4" t="s">
        <v>73</v>
      </c>
      <c r="D696" s="4" t="s">
        <v>782</v>
      </c>
      <c r="E696" s="4" t="str">
        <f t="shared" si="40"/>
        <v>47|A</v>
      </c>
      <c r="F696" s="14">
        <f>INDEX('Emission Stepwise'!$H$2:$H$289,MATCH(E696,'Emission Stepwise'!$C$2:$C$289,0))</f>
        <v>0.13235294117647059</v>
      </c>
      <c r="G696" s="14">
        <f>INDEX(Background!$C$4:$C$7,MATCH(C696,Background!$A$4:$A$7,0))</f>
        <v>0.18550136449513679</v>
      </c>
      <c r="H696" s="17">
        <f t="shared" si="41"/>
        <v>-0.33759008664711798</v>
      </c>
    </row>
    <row r="697" spans="1:8">
      <c r="A697" s="4" t="s">
        <v>760</v>
      </c>
      <c r="B697" s="4">
        <v>48</v>
      </c>
      <c r="C697" s="4" t="s">
        <v>72</v>
      </c>
      <c r="D697" s="4" t="s">
        <v>782</v>
      </c>
      <c r="E697" s="4" t="str">
        <f t="shared" si="40"/>
        <v>48|U</v>
      </c>
      <c r="F697" s="14">
        <f>INDEX('Emission Stepwise'!$H$2:$H$289,MATCH(E697,'Emission Stepwise'!$C$2:$C$289,0))</f>
        <v>0.14705882352941177</v>
      </c>
      <c r="G697" s="14">
        <f>INDEX(Background!$C$4:$C$7,MATCH(C697,Background!$A$4:$A$7,0))</f>
        <v>0.21314113777902177</v>
      </c>
      <c r="H697" s="17">
        <f t="shared" si="41"/>
        <v>-0.37112189815537333</v>
      </c>
    </row>
    <row r="698" spans="1:8">
      <c r="A698" s="4" t="s">
        <v>760</v>
      </c>
      <c r="B698" s="4">
        <v>49</v>
      </c>
      <c r="C698" s="4" t="s">
        <v>70</v>
      </c>
      <c r="D698" s="4" t="s">
        <v>783</v>
      </c>
      <c r="E698" s="4" t="str">
        <f t="shared" ref="E698:E729" si="42">B698&amp;"|"&amp;C698</f>
        <v>49|G</v>
      </c>
      <c r="F698" s="14">
        <f>INDEX('Emission Stepwise'!$H$2:$H$289,MATCH(E698,'Emission Stepwise'!$C$2:$C$289,0))</f>
        <v>0.5</v>
      </c>
      <c r="G698" s="14">
        <f>INDEX(Background!$C$4:$C$7,MATCH(C698,Background!$A$4:$A$7,0))</f>
        <v>0.32488979077741237</v>
      </c>
      <c r="H698" s="17">
        <f t="shared" ref="H698:H729" si="43">LN(F698/G698)</f>
        <v>0.43112207890192766</v>
      </c>
    </row>
    <row r="699" spans="1:8">
      <c r="A699" s="4" t="s">
        <v>760</v>
      </c>
      <c r="B699" s="4">
        <v>50</v>
      </c>
      <c r="C699" s="4" t="s">
        <v>73</v>
      </c>
      <c r="D699" s="4" t="s">
        <v>783</v>
      </c>
      <c r="E699" s="4" t="str">
        <f t="shared" si="42"/>
        <v>50|A</v>
      </c>
      <c r="F699" s="14">
        <f>INDEX('Emission Stepwise'!$H$2:$H$289,MATCH(E699,'Emission Stepwise'!$C$2:$C$289,0))</f>
        <v>0.11764705882352941</v>
      </c>
      <c r="G699" s="14">
        <f>INDEX(Background!$C$4:$C$7,MATCH(C699,Background!$A$4:$A$7,0))</f>
        <v>0.18550136449513679</v>
      </c>
      <c r="H699" s="17">
        <f t="shared" si="43"/>
        <v>-0.45537312230350152</v>
      </c>
    </row>
    <row r="700" spans="1:8">
      <c r="A700" s="4" t="s">
        <v>760</v>
      </c>
      <c r="B700" s="4">
        <v>51</v>
      </c>
      <c r="C700" s="4" t="s">
        <v>71</v>
      </c>
      <c r="D700" s="4" t="s">
        <v>783</v>
      </c>
      <c r="E700" s="4" t="str">
        <f t="shared" si="42"/>
        <v>51|C</v>
      </c>
      <c r="F700" s="14">
        <f>INDEX('Emission Stepwise'!$H$2:$H$289,MATCH(E700,'Emission Stepwise'!$C$2:$C$289,0))</f>
        <v>0.20689655172413793</v>
      </c>
      <c r="G700" s="14">
        <f>INDEX(Background!$C$4:$C$7,MATCH(C700,Background!$A$4:$A$7,0))</f>
        <v>0.27646770694842909</v>
      </c>
      <c r="H700" s="17">
        <f t="shared" si="43"/>
        <v>-0.289875103688015</v>
      </c>
    </row>
    <row r="701" spans="1:8">
      <c r="A701" s="4" t="s">
        <v>760</v>
      </c>
      <c r="B701" s="4">
        <v>52</v>
      </c>
      <c r="C701" s="4" t="s">
        <v>70</v>
      </c>
      <c r="D701" s="4" t="s">
        <v>783</v>
      </c>
      <c r="E701" s="4" t="str">
        <f t="shared" si="42"/>
        <v>52|G</v>
      </c>
      <c r="F701" s="14">
        <f>INDEX('Emission Stepwise'!$H$2:$H$289,MATCH(E701,'Emission Stepwise'!$C$2:$C$289,0))</f>
        <v>0.82843137254901966</v>
      </c>
      <c r="G701" s="14">
        <f>INDEX(Background!$C$4:$C$7,MATCH(C701,Background!$A$4:$A$7,0))</f>
        <v>0.32488979077741237</v>
      </c>
      <c r="H701" s="17">
        <f t="shared" si="43"/>
        <v>0.93604798054073013</v>
      </c>
    </row>
    <row r="702" spans="1:8">
      <c r="A702" s="4" t="s">
        <v>760</v>
      </c>
      <c r="B702" s="4">
        <v>53</v>
      </c>
      <c r="C702" s="4" t="s">
        <v>70</v>
      </c>
      <c r="D702" s="4" t="s">
        <v>783</v>
      </c>
      <c r="E702" s="4" t="str">
        <f t="shared" si="42"/>
        <v>53|G</v>
      </c>
      <c r="F702" s="14">
        <f>INDEX('Emission Stepwise'!$H$2:$H$289,MATCH(E702,'Emission Stepwise'!$C$2:$C$289,0))</f>
        <v>0.96568627450980393</v>
      </c>
      <c r="G702" s="14">
        <f>INDEX(Background!$C$4:$C$7,MATCH(C702,Background!$A$4:$A$7,0))</f>
        <v>0.32488979077741237</v>
      </c>
      <c r="H702" s="17">
        <f t="shared" si="43"/>
        <v>1.089352994355645</v>
      </c>
    </row>
    <row r="703" spans="1:8">
      <c r="A703" s="4" t="s">
        <v>760</v>
      </c>
      <c r="B703" s="4">
        <v>54</v>
      </c>
      <c r="C703" s="4" t="s">
        <v>72</v>
      </c>
      <c r="D703" s="4" t="s">
        <v>783</v>
      </c>
      <c r="E703" s="4" t="str">
        <f t="shared" si="42"/>
        <v>54|U</v>
      </c>
      <c r="F703" s="14">
        <f>INDEX('Emission Stepwise'!$H$2:$H$289,MATCH(E703,'Emission Stepwise'!$C$2:$C$289,0))</f>
        <v>0.97549019607843135</v>
      </c>
      <c r="G703" s="14">
        <f>INDEX(Background!$C$4:$C$7,MATCH(C703,Background!$A$4:$A$7,0))</f>
        <v>0.21314113777902177</v>
      </c>
      <c r="H703" s="17">
        <f t="shared" si="43"/>
        <v>1.5209855449069636</v>
      </c>
    </row>
    <row r="704" spans="1:8">
      <c r="A704" s="4" t="s">
        <v>760</v>
      </c>
      <c r="B704" s="4">
        <v>55</v>
      </c>
      <c r="C704" s="4" t="s">
        <v>71</v>
      </c>
      <c r="D704" s="4" t="s">
        <v>783</v>
      </c>
      <c r="E704" s="4" t="str">
        <f t="shared" si="42"/>
        <v>55|C</v>
      </c>
      <c r="F704" s="14">
        <f>INDEX('Emission Stepwise'!$H$2:$H$289,MATCH(E704,'Emission Stepwise'!$C$2:$C$289,0))</f>
        <v>9.8039215686274508E-3</v>
      </c>
      <c r="G704" s="14">
        <f>INDEX(Background!$C$4:$C$7,MATCH(C704,Background!$A$4:$A$7,0))</f>
        <v>0.27646770694842909</v>
      </c>
      <c r="H704" s="17">
        <f t="shared" si="43"/>
        <v>-3.3393115562138669</v>
      </c>
    </row>
    <row r="705" spans="1:8">
      <c r="A705" s="4" t="s">
        <v>760</v>
      </c>
      <c r="B705" s="4">
        <v>56</v>
      </c>
      <c r="C705" s="4" t="s">
        <v>71</v>
      </c>
      <c r="D705" s="4" t="s">
        <v>783</v>
      </c>
      <c r="E705" s="4" t="str">
        <f t="shared" si="42"/>
        <v>56|C</v>
      </c>
      <c r="F705" s="14">
        <f>INDEX('Emission Stepwise'!$H$2:$H$289,MATCH(E705,'Emission Stepwise'!$C$2:$C$289,0))</f>
        <v>0.96568627450980393</v>
      </c>
      <c r="G705" s="14">
        <f>INDEX(Background!$C$4:$C$7,MATCH(C705,Background!$A$4:$A$7,0))</f>
        <v>0.27646770694842909</v>
      </c>
      <c r="H705" s="17">
        <f t="shared" si="43"/>
        <v>1.250744991964176</v>
      </c>
    </row>
    <row r="706" spans="1:8">
      <c r="A706" s="4" t="s">
        <v>760</v>
      </c>
      <c r="B706" s="4">
        <v>57</v>
      </c>
      <c r="C706" s="4" t="s">
        <v>72</v>
      </c>
      <c r="D706" s="4" t="s">
        <v>783</v>
      </c>
      <c r="E706" s="4" t="str">
        <f t="shared" si="42"/>
        <v>57|U</v>
      </c>
      <c r="F706" s="14">
        <f>INDEX('Emission Stepwise'!$H$2:$H$289,MATCH(E706,'Emission Stepwise'!$C$2:$C$289,0))</f>
        <v>9.852216748768473E-3</v>
      </c>
      <c r="G706" s="14">
        <f>INDEX(Background!$C$4:$C$7,MATCH(C706,Background!$A$4:$A$7,0))</f>
        <v>0.21314113777902177</v>
      </c>
      <c r="H706" s="17">
        <f t="shared" si="43"/>
        <v>-3.0742580844551544</v>
      </c>
    </row>
    <row r="707" spans="1:8">
      <c r="A707" s="4" t="s">
        <v>760</v>
      </c>
      <c r="B707" s="4">
        <v>58</v>
      </c>
      <c r="C707" s="4" t="s">
        <v>73</v>
      </c>
      <c r="D707" s="4" t="s">
        <v>783</v>
      </c>
      <c r="E707" s="4" t="str">
        <f t="shared" si="42"/>
        <v>58|A</v>
      </c>
      <c r="F707" s="14">
        <f>INDEX('Emission Stepwise'!$H$2:$H$289,MATCH(E707,'Emission Stepwise'!$C$2:$C$289,0))</f>
        <v>0.97549019607843135</v>
      </c>
      <c r="G707" s="14">
        <f>INDEX(Background!$C$4:$C$7,MATCH(C707,Background!$A$4:$A$7,0))</f>
        <v>0.18550136449513679</v>
      </c>
      <c r="H707" s="17">
        <f t="shared" si="43"/>
        <v>1.6598778720730452</v>
      </c>
    </row>
    <row r="708" spans="1:8">
      <c r="A708" s="4" t="s">
        <v>760</v>
      </c>
      <c r="B708" s="4">
        <v>59</v>
      </c>
      <c r="C708" s="4" t="s">
        <v>72</v>
      </c>
      <c r="D708" s="4" t="s">
        <v>783</v>
      </c>
      <c r="E708" s="4" t="str">
        <f t="shared" si="42"/>
        <v>59|U</v>
      </c>
      <c r="F708" s="14">
        <f>INDEX('Emission Stepwise'!$H$2:$H$289,MATCH(E708,'Emission Stepwise'!$C$2:$C$289,0))</f>
        <v>0.25</v>
      </c>
      <c r="G708" s="14">
        <f>INDEX(Background!$C$4:$C$7,MATCH(C708,Background!$A$4:$A$7,0))</f>
        <v>0.21314113777902177</v>
      </c>
      <c r="H708" s="17">
        <f t="shared" si="43"/>
        <v>0.15950635290679691</v>
      </c>
    </row>
    <row r="709" spans="1:8">
      <c r="A709" s="4" t="s">
        <v>760</v>
      </c>
      <c r="B709" s="4">
        <v>60</v>
      </c>
      <c r="C709" s="4" t="s">
        <v>70</v>
      </c>
      <c r="D709" s="4" t="s">
        <v>783</v>
      </c>
      <c r="E709" s="4" t="str">
        <f t="shared" si="42"/>
        <v>60|G</v>
      </c>
      <c r="F709" s="14">
        <f>INDEX('Emission Stepwise'!$H$2:$H$289,MATCH(E709,'Emission Stepwise'!$C$2:$C$289,0))</f>
        <v>1.4705882352941176E-2</v>
      </c>
      <c r="G709" s="14">
        <f>INDEX(Background!$C$4:$C$7,MATCH(C709,Background!$A$4:$A$7,0))</f>
        <v>0.32488979077741237</v>
      </c>
      <c r="H709" s="17">
        <f t="shared" si="43"/>
        <v>-3.0952384457142337</v>
      </c>
    </row>
    <row r="710" spans="1:8">
      <c r="A710" s="4" t="s">
        <v>760</v>
      </c>
      <c r="B710" s="4">
        <v>61</v>
      </c>
      <c r="C710" s="4" t="s">
        <v>71</v>
      </c>
      <c r="D710" s="4" t="s">
        <v>783</v>
      </c>
      <c r="E710" s="4" t="str">
        <f t="shared" si="42"/>
        <v>61|C</v>
      </c>
      <c r="F710" s="14">
        <f>INDEX('Emission Stepwise'!$H$2:$H$289,MATCH(E710,'Emission Stepwise'!$C$2:$C$289,0))</f>
        <v>0.97549019607843135</v>
      </c>
      <c r="G710" s="14">
        <f>INDEX(Background!$C$4:$C$7,MATCH(C710,Background!$A$4:$A$7,0))</f>
        <v>0.27646770694842909</v>
      </c>
      <c r="H710" s="17">
        <f t="shared" si="43"/>
        <v>1.26084608795068</v>
      </c>
    </row>
    <row r="711" spans="1:8">
      <c r="A711" s="4" t="s">
        <v>760</v>
      </c>
      <c r="B711" s="4">
        <v>62</v>
      </c>
      <c r="C711" s="4" t="s">
        <v>73</v>
      </c>
      <c r="D711" s="4" t="s">
        <v>783</v>
      </c>
      <c r="E711" s="4" t="str">
        <f t="shared" si="42"/>
        <v>62|A</v>
      </c>
      <c r="F711" s="14">
        <f>INDEX('Emission Stepwise'!$H$2:$H$289,MATCH(E711,'Emission Stepwise'!$C$2:$C$289,0))</f>
        <v>1.9607843137254902E-2</v>
      </c>
      <c r="G711" s="14">
        <f>INDEX(Background!$C$4:$C$7,MATCH(C711,Background!$A$4:$A$7,0))</f>
        <v>0.18550136449513679</v>
      </c>
      <c r="H711" s="17">
        <f t="shared" si="43"/>
        <v>-2.2471325915315568</v>
      </c>
    </row>
    <row r="712" spans="1:8">
      <c r="A712" s="4" t="s">
        <v>760</v>
      </c>
      <c r="B712" s="4">
        <v>63</v>
      </c>
      <c r="C712" s="4" t="s">
        <v>70</v>
      </c>
      <c r="D712" s="4" t="s">
        <v>783</v>
      </c>
      <c r="E712" s="4" t="str">
        <f t="shared" si="42"/>
        <v>63|G</v>
      </c>
      <c r="F712" s="14">
        <f>INDEX('Emission Stepwise'!$H$2:$H$289,MATCH(E712,'Emission Stepwise'!$C$2:$C$289,0))</f>
        <v>0.24019607843137256</v>
      </c>
      <c r="G712" s="14">
        <f>INDEX(Background!$C$4:$C$7,MATCH(C712,Background!$A$4:$A$7,0))</f>
        <v>0.32488979077741237</v>
      </c>
      <c r="H712" s="17">
        <f t="shared" si="43"/>
        <v>-0.30203043627171677</v>
      </c>
    </row>
    <row r="713" spans="1:8">
      <c r="A713" s="4" t="s">
        <v>760</v>
      </c>
      <c r="B713" s="4">
        <v>64</v>
      </c>
      <c r="C713" s="4" t="s">
        <v>72</v>
      </c>
      <c r="D713" s="4" t="s">
        <v>783</v>
      </c>
      <c r="E713" s="4" t="str">
        <f t="shared" si="42"/>
        <v>64|U</v>
      </c>
      <c r="F713" s="14">
        <f>INDEX('Emission Stepwise'!$H$2:$H$289,MATCH(E713,'Emission Stepwise'!$C$2:$C$289,0))</f>
        <v>0.16666666666666666</v>
      </c>
      <c r="G713" s="14">
        <f>INDEX(Background!$C$4:$C$7,MATCH(C713,Background!$A$4:$A$7,0))</f>
        <v>0.21314113777902177</v>
      </c>
      <c r="H713" s="17">
        <f t="shared" si="43"/>
        <v>-0.24595875520136748</v>
      </c>
    </row>
    <row r="714" spans="1:8">
      <c r="A714" s="4" t="s">
        <v>760</v>
      </c>
      <c r="B714" s="4">
        <v>65</v>
      </c>
      <c r="C714" s="4" t="s">
        <v>72</v>
      </c>
      <c r="D714" s="4" t="s">
        <v>783</v>
      </c>
      <c r="E714" s="4" t="str">
        <f t="shared" si="42"/>
        <v>65|U</v>
      </c>
      <c r="F714" s="14">
        <f>INDEX('Emission Stepwise'!$H$2:$H$289,MATCH(E714,'Emission Stepwise'!$C$2:$C$289,0))</f>
        <v>0.34975369458128081</v>
      </c>
      <c r="G714" s="14">
        <f>INDEX(Background!$C$4:$C$7,MATCH(C714,Background!$A$4:$A$7,0))</f>
        <v>0.21314113777902177</v>
      </c>
      <c r="H714" s="17">
        <f t="shared" si="43"/>
        <v>0.49527461202621575</v>
      </c>
    </row>
    <row r="715" spans="1:8">
      <c r="A715" s="4" t="s">
        <v>760</v>
      </c>
      <c r="B715" s="4">
        <v>66</v>
      </c>
      <c r="C715" s="4" t="s">
        <v>73</v>
      </c>
      <c r="D715" s="4" t="s">
        <v>784</v>
      </c>
      <c r="E715" s="4" t="str">
        <f t="shared" si="42"/>
        <v>66|A</v>
      </c>
      <c r="F715" s="14">
        <f>INDEX('Emission Stepwise'!$H$2:$H$289,MATCH(E715,'Emission Stepwise'!$C$2:$C$289,0))</f>
        <v>0.21568627450980393</v>
      </c>
      <c r="G715" s="14">
        <f>INDEX(Background!$C$4:$C$7,MATCH(C715,Background!$A$4:$A$7,0))</f>
        <v>0.18550136449513679</v>
      </c>
      <c r="H715" s="17">
        <f t="shared" si="43"/>
        <v>0.15076268126681408</v>
      </c>
    </row>
    <row r="716" spans="1:8">
      <c r="A716" s="4" t="s">
        <v>760</v>
      </c>
      <c r="B716" s="4">
        <v>67</v>
      </c>
      <c r="C716" s="4" t="s">
        <v>72</v>
      </c>
      <c r="D716" s="4" t="s">
        <v>784</v>
      </c>
      <c r="E716" s="4" t="str">
        <f t="shared" si="42"/>
        <v>67|U</v>
      </c>
      <c r="F716" s="14">
        <f>INDEX('Emission Stepwise'!$H$2:$H$289,MATCH(E716,'Emission Stepwise'!$C$2:$C$289,0))</f>
        <v>0.19117647058823528</v>
      </c>
      <c r="G716" s="14">
        <f>INDEX(Background!$C$4:$C$7,MATCH(C716,Background!$A$4:$A$7,0))</f>
        <v>0.21314113777902177</v>
      </c>
      <c r="H716" s="17">
        <f t="shared" si="43"/>
        <v>-0.1087576336878824</v>
      </c>
    </row>
    <row r="717" spans="1:8">
      <c r="A717" s="4" t="s">
        <v>760</v>
      </c>
      <c r="B717" s="4">
        <v>68</v>
      </c>
      <c r="C717" s="4" t="s">
        <v>72</v>
      </c>
      <c r="D717" s="4" t="s">
        <v>784</v>
      </c>
      <c r="E717" s="4" t="str">
        <f t="shared" si="42"/>
        <v>68|U</v>
      </c>
      <c r="F717" s="14">
        <f>INDEX('Emission Stepwise'!$H$2:$H$289,MATCH(E717,'Emission Stepwise'!$C$2:$C$289,0))</f>
        <v>0.18137254901960784</v>
      </c>
      <c r="G717" s="14">
        <f>INDEX(Background!$C$4:$C$7,MATCH(C717,Background!$A$4:$A$7,0))</f>
        <v>0.21314113777902177</v>
      </c>
      <c r="H717" s="17">
        <f t="shared" si="43"/>
        <v>-0.16140136717330436</v>
      </c>
    </row>
    <row r="718" spans="1:8">
      <c r="A718" s="4" t="s">
        <v>760</v>
      </c>
      <c r="B718" s="4">
        <v>69</v>
      </c>
      <c r="C718" s="4" t="s">
        <v>73</v>
      </c>
      <c r="D718" s="4" t="s">
        <v>784</v>
      </c>
      <c r="E718" s="4" t="str">
        <f t="shared" si="42"/>
        <v>69|A</v>
      </c>
      <c r="F718" s="14">
        <f>INDEX('Emission Stepwise'!$H$2:$H$289,MATCH(E718,'Emission Stepwise'!$C$2:$C$289,0))</f>
        <v>0.12745098039215685</v>
      </c>
      <c r="G718" s="14">
        <f>INDEX(Background!$C$4:$C$7,MATCH(C718,Background!$A$4:$A$7,0))</f>
        <v>0.18550136449513679</v>
      </c>
      <c r="H718" s="17">
        <f t="shared" si="43"/>
        <v>-0.37533041462996508</v>
      </c>
    </row>
    <row r="719" spans="1:8">
      <c r="A719" s="4" t="s">
        <v>760</v>
      </c>
      <c r="B719" s="4">
        <v>70</v>
      </c>
      <c r="C719" s="4" t="s">
        <v>72</v>
      </c>
      <c r="D719" s="4" t="s">
        <v>784</v>
      </c>
      <c r="E719" s="4" t="str">
        <f t="shared" si="42"/>
        <v>70|U</v>
      </c>
      <c r="F719" s="14">
        <f>INDEX('Emission Stepwise'!$H$2:$H$289,MATCH(E719,'Emission Stepwise'!$C$2:$C$289,0))</f>
        <v>0.15196078431372548</v>
      </c>
      <c r="G719" s="14">
        <f>INDEX(Background!$C$4:$C$7,MATCH(C719,Background!$A$4:$A$7,0))</f>
        <v>0.21314113777902177</v>
      </c>
      <c r="H719" s="17">
        <f t="shared" si="43"/>
        <v>-0.33833207533238269</v>
      </c>
    </row>
    <row r="720" spans="1:8">
      <c r="A720" s="4" t="s">
        <v>760</v>
      </c>
      <c r="B720" s="4">
        <v>71</v>
      </c>
      <c r="C720" s="4" t="s">
        <v>72</v>
      </c>
      <c r="D720" s="4" t="s">
        <v>784</v>
      </c>
      <c r="E720" s="4" t="str">
        <f t="shared" si="42"/>
        <v>71|U</v>
      </c>
      <c r="F720" s="14">
        <f>INDEX('Emission Stepwise'!$H$2:$H$289,MATCH(E720,'Emission Stepwise'!$C$2:$C$289,0))</f>
        <v>4.9019607843137254E-2</v>
      </c>
      <c r="G720" s="14">
        <f>INDEX(Background!$C$4:$C$7,MATCH(C720,Background!$A$4:$A$7,0))</f>
        <v>0.21314113777902177</v>
      </c>
      <c r="H720" s="17">
        <f t="shared" si="43"/>
        <v>-1.469734186823483</v>
      </c>
    </row>
    <row r="721" spans="1:8">
      <c r="A721" s="4" t="s">
        <v>760</v>
      </c>
      <c r="B721" s="4">
        <v>72</v>
      </c>
      <c r="C721" s="4" t="s">
        <v>70</v>
      </c>
      <c r="D721" s="4" t="s">
        <v>784</v>
      </c>
      <c r="E721" s="4" t="str">
        <f t="shared" si="42"/>
        <v>72|G</v>
      </c>
      <c r="F721" s="14">
        <f>INDEX('Emission Stepwise'!$H$2:$H$289,MATCH(E721,'Emission Stepwise'!$C$2:$C$289,0))</f>
        <v>9.3137254901960786E-2</v>
      </c>
      <c r="G721" s="14">
        <f>INDEX(Background!$C$4:$C$7,MATCH(C721,Background!$A$4:$A$7,0))</f>
        <v>0.32488979077741237</v>
      </c>
      <c r="H721" s="17">
        <f t="shared" si="43"/>
        <v>-1.249411755215903</v>
      </c>
    </row>
    <row r="722" spans="1:8">
      <c r="A722" s="4" t="s">
        <v>762</v>
      </c>
      <c r="B722" s="4">
        <v>1</v>
      </c>
      <c r="C722" s="4" t="s">
        <v>73</v>
      </c>
      <c r="D722" s="4" t="s">
        <v>778</v>
      </c>
      <c r="E722" s="4" t="str">
        <f t="shared" si="42"/>
        <v>1|A</v>
      </c>
      <c r="F722" s="14">
        <f>INDEX('Emission Stepwise'!$H$2:$H$289,MATCH(E722,'Emission Stepwise'!$C$2:$C$289,0))</f>
        <v>6.8627450980392163E-2</v>
      </c>
      <c r="G722" s="14">
        <f>INDEX(Background!$C$4:$C$7,MATCH(C722,Background!$A$4:$A$7,0))</f>
        <v>0.18550136449513679</v>
      </c>
      <c r="H722" s="17">
        <f t="shared" si="43"/>
        <v>-0.99436962303618837</v>
      </c>
    </row>
    <row r="723" spans="1:8">
      <c r="A723" s="4" t="s">
        <v>762</v>
      </c>
      <c r="B723" s="4">
        <v>2</v>
      </c>
      <c r="C723" s="4" t="s">
        <v>72</v>
      </c>
      <c r="D723" s="4" t="s">
        <v>778</v>
      </c>
      <c r="E723" s="4" t="str">
        <f t="shared" si="42"/>
        <v>2|U</v>
      </c>
      <c r="F723" s="14">
        <f>INDEX('Emission Stepwise'!$H$2:$H$289,MATCH(E723,'Emission Stepwise'!$C$2:$C$289,0))</f>
        <v>3.4313725490196081E-2</v>
      </c>
      <c r="G723" s="14">
        <f>INDEX(Background!$C$4:$C$7,MATCH(C723,Background!$A$4:$A$7,0))</f>
        <v>0.21314113777902177</v>
      </c>
      <c r="H723" s="17">
        <f t="shared" si="43"/>
        <v>-1.8264091307622154</v>
      </c>
    </row>
    <row r="724" spans="1:8">
      <c r="A724" s="4" t="s">
        <v>762</v>
      </c>
      <c r="B724" s="4">
        <v>3</v>
      </c>
      <c r="C724" s="4" t="s">
        <v>72</v>
      </c>
      <c r="D724" s="4" t="s">
        <v>778</v>
      </c>
      <c r="E724" s="4" t="str">
        <f t="shared" si="42"/>
        <v>3|U</v>
      </c>
      <c r="F724" s="14">
        <f>INDEX('Emission Stepwise'!$H$2:$H$289,MATCH(E724,'Emission Stepwise'!$C$2:$C$289,0))</f>
        <v>0.11764705882352941</v>
      </c>
      <c r="G724" s="14">
        <f>INDEX(Background!$C$4:$C$7,MATCH(C724,Background!$A$4:$A$7,0))</f>
        <v>0.21314113777902177</v>
      </c>
      <c r="H724" s="17">
        <f t="shared" si="43"/>
        <v>-0.59426544946958315</v>
      </c>
    </row>
    <row r="725" spans="1:8">
      <c r="A725" s="4" t="s">
        <v>762</v>
      </c>
      <c r="B725" s="4">
        <v>4</v>
      </c>
      <c r="C725" s="4" t="s">
        <v>71</v>
      </c>
      <c r="D725" s="4" t="s">
        <v>778</v>
      </c>
      <c r="E725" s="4" t="str">
        <f t="shared" si="42"/>
        <v>4|C</v>
      </c>
      <c r="F725" s="14">
        <f>INDEX('Emission Stepwise'!$H$2:$H$289,MATCH(E725,'Emission Stepwise'!$C$2:$C$289,0))</f>
        <v>0.30392156862745096</v>
      </c>
      <c r="G725" s="14">
        <f>INDEX(Background!$C$4:$C$7,MATCH(C725,Background!$A$4:$A$7,0))</f>
        <v>0.27646770694842909</v>
      </c>
      <c r="H725" s="17">
        <f t="shared" si="43"/>
        <v>9.4675648271279042E-2</v>
      </c>
    </row>
    <row r="726" spans="1:8">
      <c r="A726" s="4" t="s">
        <v>762</v>
      </c>
      <c r="B726" s="4">
        <v>5</v>
      </c>
      <c r="C726" s="4" t="s">
        <v>72</v>
      </c>
      <c r="D726" s="4" t="s">
        <v>778</v>
      </c>
      <c r="E726" s="4" t="str">
        <f t="shared" si="42"/>
        <v>5|U</v>
      </c>
      <c r="F726" s="14">
        <f>INDEX('Emission Stepwise'!$H$2:$H$289,MATCH(E726,'Emission Stepwise'!$C$2:$C$289,0))</f>
        <v>0.10784313725490197</v>
      </c>
      <c r="G726" s="14">
        <f>INDEX(Background!$C$4:$C$7,MATCH(C726,Background!$A$4:$A$7,0))</f>
        <v>0.21314113777902177</v>
      </c>
      <c r="H726" s="17">
        <f t="shared" si="43"/>
        <v>-0.68127682645921295</v>
      </c>
    </row>
    <row r="727" spans="1:8">
      <c r="A727" s="4" t="s">
        <v>762</v>
      </c>
      <c r="B727" s="4">
        <v>6</v>
      </c>
      <c r="C727" s="4" t="s">
        <v>72</v>
      </c>
      <c r="D727" s="4" t="s">
        <v>778</v>
      </c>
      <c r="E727" s="4" t="str">
        <f t="shared" si="42"/>
        <v>6|U</v>
      </c>
      <c r="F727" s="14">
        <f>INDEX('Emission Stepwise'!$H$2:$H$289,MATCH(E727,'Emission Stepwise'!$C$2:$C$289,0))</f>
        <v>0.26470588235294118</v>
      </c>
      <c r="G727" s="14">
        <f>INDEX(Background!$C$4:$C$7,MATCH(C727,Background!$A$4:$A$7,0))</f>
        <v>0.21314113777902177</v>
      </c>
      <c r="H727" s="17">
        <f t="shared" si="43"/>
        <v>0.21666476674674565</v>
      </c>
    </row>
    <row r="728" spans="1:8">
      <c r="A728" s="4" t="s">
        <v>762</v>
      </c>
      <c r="B728" s="4">
        <v>7</v>
      </c>
      <c r="C728" s="4" t="s">
        <v>73</v>
      </c>
      <c r="D728" s="4" t="s">
        <v>778</v>
      </c>
      <c r="E728" s="4" t="str">
        <f t="shared" si="42"/>
        <v>7|A</v>
      </c>
      <c r="F728" s="14">
        <f>INDEX('Emission Stepwise'!$H$2:$H$289,MATCH(E728,'Emission Stepwise'!$C$2:$C$289,0))</f>
        <v>0.24019607843137256</v>
      </c>
      <c r="G728" s="14">
        <f>INDEX(Background!$C$4:$C$7,MATCH(C728,Background!$A$4:$A$7,0))</f>
        <v>0.18550136449513679</v>
      </c>
      <c r="H728" s="17">
        <f t="shared" si="43"/>
        <v>0.25839334545917952</v>
      </c>
    </row>
    <row r="729" spans="1:8">
      <c r="A729" s="4" t="s">
        <v>762</v>
      </c>
      <c r="B729" s="4">
        <v>8</v>
      </c>
      <c r="C729" s="4" t="s">
        <v>72</v>
      </c>
      <c r="D729" s="4" t="s">
        <v>779</v>
      </c>
      <c r="E729" s="4" t="str">
        <f t="shared" si="42"/>
        <v>8|U</v>
      </c>
      <c r="F729" s="14">
        <f>INDEX('Emission Stepwise'!$H$2:$H$289,MATCH(E729,'Emission Stepwise'!$C$2:$C$289,0))</f>
        <v>0.97549019607843135</v>
      </c>
      <c r="G729" s="14">
        <f>INDEX(Background!$C$4:$C$7,MATCH(C729,Background!$A$4:$A$7,0))</f>
        <v>0.21314113777902177</v>
      </c>
      <c r="H729" s="17">
        <f t="shared" si="43"/>
        <v>1.5209855449069636</v>
      </c>
    </row>
    <row r="730" spans="1:8">
      <c r="A730" s="4" t="s">
        <v>762</v>
      </c>
      <c r="B730" s="4">
        <v>9</v>
      </c>
      <c r="C730" s="4" t="s">
        <v>73</v>
      </c>
      <c r="D730" s="4" t="s">
        <v>780</v>
      </c>
      <c r="E730" s="4" t="str">
        <f t="shared" ref="E730:E761" si="44">B730&amp;"|"&amp;C730</f>
        <v>9|A</v>
      </c>
      <c r="F730" s="14">
        <f>INDEX('Emission Stepwise'!$H$2:$H$289,MATCH(E730,'Emission Stepwise'!$C$2:$C$289,0))</f>
        <v>0.65024630541871919</v>
      </c>
      <c r="G730" s="14">
        <f>INDEX(Background!$C$4:$C$7,MATCH(C730,Background!$A$4:$A$7,0))</f>
        <v>0.18550136449513679</v>
      </c>
      <c r="H730" s="17">
        <f t="shared" ref="H730:H761" si="45">LN(F730/G730)</f>
        <v>1.2542889847373526</v>
      </c>
    </row>
    <row r="731" spans="1:8">
      <c r="A731" s="4" t="s">
        <v>762</v>
      </c>
      <c r="B731" s="4">
        <v>10</v>
      </c>
      <c r="C731" s="4" t="s">
        <v>72</v>
      </c>
      <c r="D731" s="4" t="s">
        <v>780</v>
      </c>
      <c r="E731" s="4" t="str">
        <f t="shared" si="44"/>
        <v>10|U</v>
      </c>
      <c r="F731" s="14">
        <f>INDEX('Emission Stepwise'!$H$2:$H$289,MATCH(E731,'Emission Stepwise'!$C$2:$C$289,0))</f>
        <v>4.9019607843137254E-3</v>
      </c>
      <c r="G731" s="14">
        <f>INDEX(Background!$C$4:$C$7,MATCH(C731,Background!$A$4:$A$7,0))</f>
        <v>0.21314113777902177</v>
      </c>
      <c r="H731" s="17">
        <f t="shared" si="45"/>
        <v>-3.7723192798175287</v>
      </c>
    </row>
    <row r="732" spans="1:8">
      <c r="A732" s="4" t="s">
        <v>762</v>
      </c>
      <c r="B732" s="4">
        <v>11</v>
      </c>
      <c r="C732" s="4" t="s">
        <v>73</v>
      </c>
      <c r="D732" s="4" t="s">
        <v>780</v>
      </c>
      <c r="E732" s="4" t="str">
        <f t="shared" si="44"/>
        <v>11|A</v>
      </c>
      <c r="F732" s="14">
        <f>INDEX('Emission Stepwise'!$H$2:$H$289,MATCH(E732,'Emission Stepwise'!$C$2:$C$289,0))</f>
        <v>3.9215686274509803E-2</v>
      </c>
      <c r="G732" s="14">
        <f>INDEX(Background!$C$4:$C$7,MATCH(C732,Background!$A$4:$A$7,0))</f>
        <v>0.18550136449513679</v>
      </c>
      <c r="H732" s="17">
        <f t="shared" si="45"/>
        <v>-1.5539854109716114</v>
      </c>
    </row>
    <row r="733" spans="1:8">
      <c r="A733" s="4" t="s">
        <v>762</v>
      </c>
      <c r="B733" s="4">
        <v>12</v>
      </c>
      <c r="C733" s="4" t="s">
        <v>70</v>
      </c>
      <c r="D733" s="4" t="s">
        <v>780</v>
      </c>
      <c r="E733" s="4" t="str">
        <f t="shared" si="44"/>
        <v>12|G</v>
      </c>
      <c r="F733" s="14">
        <f>INDEX('Emission Stepwise'!$H$2:$H$289,MATCH(E733,'Emission Stepwise'!$C$2:$C$289,0))</f>
        <v>0.19117647058823528</v>
      </c>
      <c r="G733" s="14">
        <f>INDEX(Background!$C$4:$C$7,MATCH(C733,Background!$A$4:$A$7,0))</f>
        <v>0.32488979077741237</v>
      </c>
      <c r="H733" s="17">
        <f t="shared" si="45"/>
        <v>-0.53028908825269705</v>
      </c>
    </row>
    <row r="734" spans="1:8">
      <c r="A734" s="4" t="s">
        <v>762</v>
      </c>
      <c r="B734" s="4">
        <v>13</v>
      </c>
      <c r="C734" s="4" t="s">
        <v>72</v>
      </c>
      <c r="D734" s="4" t="s">
        <v>780</v>
      </c>
      <c r="E734" s="4" t="str">
        <f t="shared" si="44"/>
        <v>13|U</v>
      </c>
      <c r="F734" s="14">
        <f>INDEX('Emission Stepwise'!$H$2:$H$289,MATCH(E734,'Emission Stepwise'!$C$2:$C$289,0))</f>
        <v>0.19117647058823528</v>
      </c>
      <c r="G734" s="14">
        <f>INDEX(Background!$C$4:$C$7,MATCH(C734,Background!$A$4:$A$7,0))</f>
        <v>0.21314113777902177</v>
      </c>
      <c r="H734" s="17">
        <f t="shared" si="45"/>
        <v>-0.1087576336878824</v>
      </c>
    </row>
    <row r="735" spans="1:8">
      <c r="A735" s="4" t="s">
        <v>762</v>
      </c>
      <c r="B735" s="4">
        <v>14</v>
      </c>
      <c r="C735" s="4" t="s">
        <v>72</v>
      </c>
      <c r="D735" s="4" t="s">
        <v>780</v>
      </c>
      <c r="E735" s="4" t="str">
        <f t="shared" si="44"/>
        <v>14|U</v>
      </c>
      <c r="F735" s="14">
        <f>INDEX('Emission Stepwise'!$H$2:$H$289,MATCH(E735,'Emission Stepwise'!$C$2:$C$289,0))</f>
        <v>4.9019607843137254E-3</v>
      </c>
      <c r="G735" s="14">
        <f>INDEX(Background!$C$4:$C$7,MATCH(C735,Background!$A$4:$A$7,0))</f>
        <v>0.21314113777902177</v>
      </c>
      <c r="H735" s="17">
        <f t="shared" si="45"/>
        <v>-3.7723192798175287</v>
      </c>
    </row>
    <row r="736" spans="1:8">
      <c r="A736" s="4" t="s">
        <v>762</v>
      </c>
      <c r="B736" s="4">
        <v>15</v>
      </c>
      <c r="C736" s="4" t="s">
        <v>70</v>
      </c>
      <c r="D736" s="4" t="s">
        <v>780</v>
      </c>
      <c r="E736" s="4" t="str">
        <f t="shared" si="44"/>
        <v>15|G</v>
      </c>
      <c r="F736" s="14">
        <f>INDEX('Emission Stepwise'!$H$2:$H$289,MATCH(E736,'Emission Stepwise'!$C$2:$C$289,0))</f>
        <v>0.80295566502463056</v>
      </c>
      <c r="G736" s="14">
        <f>INDEX(Background!$C$4:$C$7,MATCH(C736,Background!$A$4:$A$7,0))</f>
        <v>0.32488979077741237</v>
      </c>
      <c r="H736" s="17">
        <f t="shared" si="45"/>
        <v>0.90481348122684802</v>
      </c>
    </row>
    <row r="737" spans="1:8">
      <c r="A737" s="4" t="s">
        <v>762</v>
      </c>
      <c r="B737" s="4">
        <v>16</v>
      </c>
      <c r="C737" s="4" t="s">
        <v>72</v>
      </c>
      <c r="D737" s="4" t="s">
        <v>780</v>
      </c>
      <c r="E737" s="4" t="str">
        <f t="shared" si="44"/>
        <v>16|U</v>
      </c>
      <c r="F737" s="14">
        <f>INDEX('Emission Stepwise'!$H$2:$H$289,MATCH(E737,'Emission Stepwise'!$C$2:$C$289,0))</f>
        <v>0.58394160583941601</v>
      </c>
      <c r="G737" s="14">
        <f>INDEX(Background!$C$4:$C$7,MATCH(C737,Background!$A$4:$A$7,0))</f>
        <v>0.21314113777902177</v>
      </c>
      <c r="H737" s="17">
        <f t="shared" si="45"/>
        <v>1.0078464228724442</v>
      </c>
    </row>
    <row r="738" spans="1:8">
      <c r="A738" s="4" t="s">
        <v>762</v>
      </c>
      <c r="B738" s="4">
        <v>17</v>
      </c>
      <c r="C738" s="4" t="s">
        <v>73</v>
      </c>
      <c r="D738" s="4" t="s">
        <v>780</v>
      </c>
      <c r="E738" s="4" t="str">
        <f t="shared" si="44"/>
        <v>17|A</v>
      </c>
      <c r="F738" s="14">
        <f>INDEX('Emission Stepwise'!$H$2:$H$289,MATCH(E738,'Emission Stepwise'!$C$2:$C$289,0))</f>
        <v>6.4676616915422883E-2</v>
      </c>
      <c r="G738" s="14">
        <f>INDEX(Background!$C$4:$C$7,MATCH(C738,Background!$A$4:$A$7,0))</f>
        <v>0.18550136449513679</v>
      </c>
      <c r="H738" s="17">
        <f t="shared" si="45"/>
        <v>-1.0536625094047698</v>
      </c>
    </row>
    <row r="739" spans="1:8">
      <c r="A739" s="4" t="s">
        <v>762</v>
      </c>
      <c r="B739" s="4">
        <v>18</v>
      </c>
      <c r="C739" s="4" t="s">
        <v>70</v>
      </c>
      <c r="D739" s="4" t="s">
        <v>780</v>
      </c>
      <c r="E739" s="4" t="str">
        <f t="shared" si="44"/>
        <v>18|G</v>
      </c>
      <c r="F739" s="14">
        <f>INDEX('Emission Stepwise'!$H$2:$H$289,MATCH(E739,'Emission Stepwise'!$C$2:$C$289,0))</f>
        <v>0.98039215686274506</v>
      </c>
      <c r="G739" s="14">
        <f>INDEX(Background!$C$4:$C$7,MATCH(C739,Background!$A$4:$A$7,0))</f>
        <v>0.32488979077741237</v>
      </c>
      <c r="H739" s="17">
        <f t="shared" si="45"/>
        <v>1.1044666321656933</v>
      </c>
    </row>
    <row r="740" spans="1:8">
      <c r="A740" s="4" t="s">
        <v>762</v>
      </c>
      <c r="B740" s="4">
        <v>19</v>
      </c>
      <c r="C740" s="4" t="s">
        <v>70</v>
      </c>
      <c r="D740" s="4" t="s">
        <v>780</v>
      </c>
      <c r="E740" s="4" t="str">
        <f t="shared" si="44"/>
        <v>19|G</v>
      </c>
      <c r="F740" s="14">
        <f>INDEX('Emission Stepwise'!$H$2:$H$289,MATCH(E740,'Emission Stepwise'!$C$2:$C$289,0))</f>
        <v>0.97058823529411764</v>
      </c>
      <c r="G740" s="14">
        <f>INDEX(Background!$C$4:$C$7,MATCH(C740,Background!$A$4:$A$7,0))</f>
        <v>0.32488979077741237</v>
      </c>
      <c r="H740" s="17">
        <f t="shared" si="45"/>
        <v>1.0944162963121917</v>
      </c>
    </row>
    <row r="741" spans="1:8">
      <c r="A741" s="4" t="s">
        <v>762</v>
      </c>
      <c r="B741" s="4">
        <v>20</v>
      </c>
      <c r="C741" s="4" t="s">
        <v>72</v>
      </c>
      <c r="D741" s="4" t="s">
        <v>780</v>
      </c>
      <c r="E741" s="4" t="str">
        <f t="shared" si="44"/>
        <v>20|U</v>
      </c>
      <c r="F741" s="14">
        <f>INDEX('Emission Stepwise'!$H$2:$H$289,MATCH(E741,'Emission Stepwise'!$C$2:$C$289,0))</f>
        <v>0.59113300492610843</v>
      </c>
      <c r="G741" s="14">
        <f>INDEX(Background!$C$4:$C$7,MATCH(C741,Background!$A$4:$A$7,0))</f>
        <v>0.21314113777902177</v>
      </c>
      <c r="H741" s="17">
        <f t="shared" si="45"/>
        <v>1.0200864777669463</v>
      </c>
    </row>
    <row r="742" spans="1:8">
      <c r="A742" s="4" t="s">
        <v>762</v>
      </c>
      <c r="B742" s="4">
        <v>21</v>
      </c>
      <c r="C742" s="4" t="s">
        <v>73</v>
      </c>
      <c r="D742" s="4" t="s">
        <v>780</v>
      </c>
      <c r="E742" s="4" t="str">
        <f t="shared" si="44"/>
        <v>21|A</v>
      </c>
      <c r="F742" s="14">
        <f>INDEX('Emission Stepwise'!$H$2:$H$289,MATCH(E742,'Emission Stepwise'!$C$2:$C$289,0))</f>
        <v>0.88235294117647056</v>
      </c>
      <c r="G742" s="14">
        <f>INDEX(Background!$C$4:$C$7,MATCH(C742,Background!$A$4:$A$7,0))</f>
        <v>0.18550136449513679</v>
      </c>
      <c r="H742" s="17">
        <f t="shared" si="45"/>
        <v>1.5595298982387631</v>
      </c>
    </row>
    <row r="743" spans="1:8">
      <c r="A743" s="4" t="s">
        <v>762</v>
      </c>
      <c r="B743" s="4">
        <v>22</v>
      </c>
      <c r="C743" s="4" t="s">
        <v>73</v>
      </c>
      <c r="D743" s="4" t="s">
        <v>780</v>
      </c>
      <c r="E743" s="4" t="str">
        <f t="shared" si="44"/>
        <v>22|A</v>
      </c>
      <c r="F743" s="14">
        <f>INDEX('Emission Stepwise'!$H$2:$H$289,MATCH(E743,'Emission Stepwise'!$C$2:$C$289,0))</f>
        <v>0.20588235294117646</v>
      </c>
      <c r="G743" s="14">
        <f>INDEX(Background!$C$4:$C$7,MATCH(C743,Background!$A$4:$A$7,0))</f>
        <v>0.18550136449513679</v>
      </c>
      <c r="H743" s="17">
        <f t="shared" si="45"/>
        <v>0.10424266563192114</v>
      </c>
    </row>
    <row r="744" spans="1:8">
      <c r="A744" s="4" t="s">
        <v>762</v>
      </c>
      <c r="B744" s="4">
        <v>23</v>
      </c>
      <c r="C744" s="4" t="s">
        <v>72</v>
      </c>
      <c r="D744" s="4" t="s">
        <v>780</v>
      </c>
      <c r="E744" s="4" t="str">
        <f t="shared" si="44"/>
        <v>23|U</v>
      </c>
      <c r="F744" s="14">
        <f>INDEX('Emission Stepwise'!$H$2:$H$289,MATCH(E744,'Emission Stepwise'!$C$2:$C$289,0))</f>
        <v>6.3725490196078427E-2</v>
      </c>
      <c r="G744" s="14">
        <f>INDEX(Background!$C$4:$C$7,MATCH(C744,Background!$A$4:$A$7,0))</f>
        <v>0.21314113777902177</v>
      </c>
      <c r="H744" s="17">
        <f t="shared" si="45"/>
        <v>-1.2073699223559922</v>
      </c>
    </row>
    <row r="745" spans="1:8">
      <c r="A745" s="4" t="s">
        <v>762</v>
      </c>
      <c r="B745" s="4">
        <v>24</v>
      </c>
      <c r="C745" s="4" t="s">
        <v>72</v>
      </c>
      <c r="D745" s="4" t="s">
        <v>780</v>
      </c>
      <c r="E745" s="4" t="str">
        <f t="shared" si="44"/>
        <v>24|U</v>
      </c>
      <c r="F745" s="14">
        <f>INDEX('Emission Stepwise'!$H$2:$H$289,MATCH(E745,'Emission Stepwise'!$C$2:$C$289,0))</f>
        <v>3.9215686274509803E-2</v>
      </c>
      <c r="G745" s="14">
        <f>INDEX(Background!$C$4:$C$7,MATCH(C745,Background!$A$4:$A$7,0))</f>
        <v>0.21314113777902177</v>
      </c>
      <c r="H745" s="17">
        <f t="shared" si="45"/>
        <v>-1.6928777381376929</v>
      </c>
    </row>
    <row r="746" spans="1:8">
      <c r="A746" s="4" t="s">
        <v>762</v>
      </c>
      <c r="B746" s="4">
        <v>25</v>
      </c>
      <c r="C746" s="4" t="s">
        <v>73</v>
      </c>
      <c r="D746" s="4" t="s">
        <v>780</v>
      </c>
      <c r="E746" s="4" t="str">
        <f t="shared" si="44"/>
        <v>25|A</v>
      </c>
      <c r="F746" s="14">
        <f>INDEX('Emission Stepwise'!$H$2:$H$289,MATCH(E746,'Emission Stepwise'!$C$2:$C$289,0))</f>
        <v>9.8039215686274508E-3</v>
      </c>
      <c r="G746" s="14">
        <f>INDEX(Background!$C$4:$C$7,MATCH(C746,Background!$A$4:$A$7,0))</f>
        <v>0.18550136449513679</v>
      </c>
      <c r="H746" s="17">
        <f t="shared" si="45"/>
        <v>-2.9402797720915017</v>
      </c>
    </row>
    <row r="747" spans="1:8">
      <c r="A747" s="4" t="s">
        <v>762</v>
      </c>
      <c r="B747" s="4">
        <v>26</v>
      </c>
      <c r="C747" s="4" t="s">
        <v>72</v>
      </c>
      <c r="D747" s="4" t="s">
        <v>781</v>
      </c>
      <c r="E747" s="4" t="str">
        <f t="shared" si="44"/>
        <v>26|U</v>
      </c>
      <c r="F747" s="14">
        <f>INDEX('Emission Stepwise'!$H$2:$H$289,MATCH(E747,'Emission Stepwise'!$C$2:$C$289,0))</f>
        <v>5.8823529411764705E-2</v>
      </c>
      <c r="G747" s="14">
        <f>INDEX(Background!$C$4:$C$7,MATCH(C747,Background!$A$4:$A$7,0))</f>
        <v>0.21314113777902177</v>
      </c>
      <c r="H747" s="17">
        <f t="shared" si="45"/>
        <v>-1.2874126300295285</v>
      </c>
    </row>
    <row r="748" spans="1:8">
      <c r="A748" s="4" t="s">
        <v>762</v>
      </c>
      <c r="B748" s="4">
        <v>27</v>
      </c>
      <c r="C748" s="4" t="s">
        <v>70</v>
      </c>
      <c r="D748" s="4" t="s">
        <v>781</v>
      </c>
      <c r="E748" s="4" t="str">
        <f t="shared" si="44"/>
        <v>27|G</v>
      </c>
      <c r="F748" s="14">
        <f>INDEX('Emission Stepwise'!$H$2:$H$289,MATCH(E748,'Emission Stepwise'!$C$2:$C$289,0))</f>
        <v>0.15686274509803921</v>
      </c>
      <c r="G748" s="14">
        <f>INDEX(Background!$C$4:$C$7,MATCH(C748,Background!$A$4:$A$7,0))</f>
        <v>0.32488979077741237</v>
      </c>
      <c r="H748" s="17">
        <f t="shared" si="45"/>
        <v>-0.72811483158261692</v>
      </c>
    </row>
    <row r="749" spans="1:8">
      <c r="A749" s="4" t="s">
        <v>762</v>
      </c>
      <c r="B749" s="4">
        <v>28</v>
      </c>
      <c r="C749" s="4" t="s">
        <v>73</v>
      </c>
      <c r="D749" s="4" t="s">
        <v>781</v>
      </c>
      <c r="E749" s="4" t="str">
        <f t="shared" si="44"/>
        <v>28|A</v>
      </c>
      <c r="F749" s="14">
        <f>INDEX('Emission Stepwise'!$H$2:$H$289,MATCH(E749,'Emission Stepwise'!$C$2:$C$289,0))</f>
        <v>0.12254901960784313</v>
      </c>
      <c r="G749" s="14">
        <f>INDEX(Background!$C$4:$C$7,MATCH(C749,Background!$A$4:$A$7,0))</f>
        <v>0.18550136449513679</v>
      </c>
      <c r="H749" s="17">
        <f t="shared" si="45"/>
        <v>-0.41455112778324649</v>
      </c>
    </row>
    <row r="750" spans="1:8">
      <c r="A750" s="4" t="s">
        <v>762</v>
      </c>
      <c r="B750" s="4">
        <v>29</v>
      </c>
      <c r="C750" s="4" t="s">
        <v>72</v>
      </c>
      <c r="D750" s="4" t="s">
        <v>781</v>
      </c>
      <c r="E750" s="4" t="str">
        <f t="shared" si="44"/>
        <v>29|U</v>
      </c>
      <c r="F750" s="14">
        <f>INDEX('Emission Stepwise'!$H$2:$H$289,MATCH(E750,'Emission Stepwise'!$C$2:$C$289,0))</f>
        <v>0.27450980392156865</v>
      </c>
      <c r="G750" s="14">
        <f>INDEX(Background!$C$4:$C$7,MATCH(C750,Background!$A$4:$A$7,0))</f>
        <v>0.21314113777902177</v>
      </c>
      <c r="H750" s="17">
        <f t="shared" si="45"/>
        <v>0.25303241091762058</v>
      </c>
    </row>
    <row r="751" spans="1:8">
      <c r="A751" s="4" t="s">
        <v>762</v>
      </c>
      <c r="B751" s="4">
        <v>30</v>
      </c>
      <c r="C751" s="4" t="s">
        <v>72</v>
      </c>
      <c r="D751" s="4" t="s">
        <v>781</v>
      </c>
      <c r="E751" s="4" t="str">
        <f t="shared" si="44"/>
        <v>30|U</v>
      </c>
      <c r="F751" s="14">
        <f>INDEX('Emission Stepwise'!$H$2:$H$289,MATCH(E751,'Emission Stepwise'!$C$2:$C$289,0))</f>
        <v>3.9215686274509803E-2</v>
      </c>
      <c r="G751" s="14">
        <f>INDEX(Background!$C$4:$C$7,MATCH(C751,Background!$A$4:$A$7,0))</f>
        <v>0.21314113777902177</v>
      </c>
      <c r="H751" s="17">
        <f t="shared" si="45"/>
        <v>-1.6928777381376929</v>
      </c>
    </row>
    <row r="752" spans="1:8">
      <c r="A752" s="4" t="s">
        <v>762</v>
      </c>
      <c r="B752" s="4">
        <v>31</v>
      </c>
      <c r="C752" s="4" t="s">
        <v>72</v>
      </c>
      <c r="D752" s="4" t="s">
        <v>781</v>
      </c>
      <c r="E752" s="4" t="str">
        <f t="shared" si="44"/>
        <v>31|U</v>
      </c>
      <c r="F752" s="14">
        <f>INDEX('Emission Stepwise'!$H$2:$H$289,MATCH(E752,'Emission Stepwise'!$C$2:$C$289,0))</f>
        <v>9.8039215686274508E-2</v>
      </c>
      <c r="G752" s="14">
        <f>INDEX(Background!$C$4:$C$7,MATCH(C752,Background!$A$4:$A$7,0))</f>
        <v>0.21314113777902177</v>
      </c>
      <c r="H752" s="17">
        <f t="shared" si="45"/>
        <v>-0.77658700626353783</v>
      </c>
    </row>
    <row r="753" spans="1:8">
      <c r="A753" s="4" t="s">
        <v>762</v>
      </c>
      <c r="B753" s="4">
        <v>32</v>
      </c>
      <c r="C753" s="4" t="s">
        <v>72</v>
      </c>
      <c r="D753" s="4" t="s">
        <v>781</v>
      </c>
      <c r="E753" s="4" t="str">
        <f t="shared" si="44"/>
        <v>32|U</v>
      </c>
      <c r="F753" s="14">
        <f>INDEX('Emission Stepwise'!$H$2:$H$289,MATCH(E753,'Emission Stepwise'!$C$2:$C$289,0))</f>
        <v>0.29411764705882354</v>
      </c>
      <c r="G753" s="14">
        <f>INDEX(Background!$C$4:$C$7,MATCH(C753,Background!$A$4:$A$7,0))</f>
        <v>0.21314113777902177</v>
      </c>
      <c r="H753" s="17">
        <f t="shared" si="45"/>
        <v>0.32202528240457201</v>
      </c>
    </row>
    <row r="754" spans="1:8">
      <c r="A754" s="4" t="s">
        <v>762</v>
      </c>
      <c r="B754" s="4">
        <v>33</v>
      </c>
      <c r="C754" s="4" t="s">
        <v>72</v>
      </c>
      <c r="D754" s="4" t="s">
        <v>781</v>
      </c>
      <c r="E754" s="4" t="str">
        <f t="shared" si="44"/>
        <v>33|U</v>
      </c>
      <c r="F754" s="14">
        <f>INDEX('Emission Stepwise'!$H$2:$H$289,MATCH(E754,'Emission Stepwise'!$C$2:$C$289,0))</f>
        <v>0.97549019607843135</v>
      </c>
      <c r="G754" s="14">
        <f>INDEX(Background!$C$4:$C$7,MATCH(C754,Background!$A$4:$A$7,0))</f>
        <v>0.21314113777902177</v>
      </c>
      <c r="H754" s="17">
        <f t="shared" si="45"/>
        <v>1.5209855449069636</v>
      </c>
    </row>
    <row r="755" spans="1:8">
      <c r="A755" s="4" t="s">
        <v>762</v>
      </c>
      <c r="B755" s="4">
        <v>34</v>
      </c>
      <c r="C755" s="4" t="s">
        <v>72</v>
      </c>
      <c r="D755" s="4" t="s">
        <v>781</v>
      </c>
      <c r="E755" s="4" t="str">
        <f t="shared" si="44"/>
        <v>34|U</v>
      </c>
      <c r="F755" s="14">
        <f>INDEX('Emission Stepwise'!$H$2:$H$289,MATCH(E755,'Emission Stepwise'!$C$2:$C$289,0))</f>
        <v>0.28921568627450983</v>
      </c>
      <c r="G755" s="14">
        <f>INDEX(Background!$C$4:$C$7,MATCH(C755,Background!$A$4:$A$7,0))</f>
        <v>0.21314113777902177</v>
      </c>
      <c r="H755" s="17">
        <f t="shared" si="45"/>
        <v>0.30521816408819075</v>
      </c>
    </row>
    <row r="756" spans="1:8">
      <c r="A756" s="4" t="s">
        <v>762</v>
      </c>
      <c r="B756" s="4">
        <v>35</v>
      </c>
      <c r="C756" s="4" t="s">
        <v>72</v>
      </c>
      <c r="D756" s="4" t="s">
        <v>781</v>
      </c>
      <c r="E756" s="4" t="str">
        <f t="shared" si="44"/>
        <v>35|U</v>
      </c>
      <c r="F756" s="14">
        <f>INDEX('Emission Stepwise'!$H$2:$H$289,MATCH(E756,'Emission Stepwise'!$C$2:$C$289,0))</f>
        <v>0.20588235294117646</v>
      </c>
      <c r="G756" s="14">
        <f>INDEX(Background!$C$4:$C$7,MATCH(C756,Background!$A$4:$A$7,0))</f>
        <v>0.21314113777902177</v>
      </c>
      <c r="H756" s="17">
        <f t="shared" si="45"/>
        <v>-3.4649661534160589E-2</v>
      </c>
    </row>
    <row r="757" spans="1:8">
      <c r="A757" s="4" t="s">
        <v>762</v>
      </c>
      <c r="B757" s="4">
        <v>36</v>
      </c>
      <c r="C757" s="4" t="s">
        <v>73</v>
      </c>
      <c r="D757" s="4" t="s">
        <v>781</v>
      </c>
      <c r="E757" s="4" t="str">
        <f t="shared" si="44"/>
        <v>36|A</v>
      </c>
      <c r="F757" s="14">
        <f>INDEX('Emission Stepwise'!$H$2:$H$289,MATCH(E757,'Emission Stepwise'!$C$2:$C$289,0))</f>
        <v>0.21568627450980393</v>
      </c>
      <c r="G757" s="14">
        <f>INDEX(Background!$C$4:$C$7,MATCH(C757,Background!$A$4:$A$7,0))</f>
        <v>0.18550136449513679</v>
      </c>
      <c r="H757" s="17">
        <f t="shared" si="45"/>
        <v>0.15076268126681408</v>
      </c>
    </row>
    <row r="758" spans="1:8">
      <c r="A758" s="4" t="s">
        <v>762</v>
      </c>
      <c r="B758" s="4">
        <v>37</v>
      </c>
      <c r="C758" s="4" t="s">
        <v>71</v>
      </c>
      <c r="D758" s="4" t="s">
        <v>781</v>
      </c>
      <c r="E758" s="4" t="str">
        <f t="shared" si="44"/>
        <v>37|C</v>
      </c>
      <c r="F758" s="14">
        <f>INDEX('Emission Stepwise'!$H$2:$H$289,MATCH(E758,'Emission Stepwise'!$C$2:$C$289,0))</f>
        <v>9.8039215686274508E-3</v>
      </c>
      <c r="G758" s="14">
        <f>INDEX(Background!$C$4:$C$7,MATCH(C758,Background!$A$4:$A$7,0))</f>
        <v>0.27646770694842909</v>
      </c>
      <c r="H758" s="17">
        <f t="shared" si="45"/>
        <v>-3.3393115562138669</v>
      </c>
    </row>
    <row r="759" spans="1:8">
      <c r="A759" s="4" t="s">
        <v>762</v>
      </c>
      <c r="B759" s="4">
        <v>38</v>
      </c>
      <c r="C759" s="4" t="s">
        <v>73</v>
      </c>
      <c r="D759" s="4" t="s">
        <v>781</v>
      </c>
      <c r="E759" s="4" t="str">
        <f t="shared" si="44"/>
        <v>38|A</v>
      </c>
      <c r="F759" s="14">
        <f>INDEX('Emission Stepwise'!$H$2:$H$289,MATCH(E759,'Emission Stepwise'!$C$2:$C$289,0))</f>
        <v>0.72549019607843135</v>
      </c>
      <c r="G759" s="14">
        <f>INDEX(Background!$C$4:$C$7,MATCH(C759,Background!$A$4:$A$7,0))</f>
        <v>0.18550136449513679</v>
      </c>
      <c r="H759" s="17">
        <f t="shared" si="45"/>
        <v>1.3637853211126678</v>
      </c>
    </row>
    <row r="760" spans="1:8">
      <c r="A760" s="4" t="s">
        <v>762</v>
      </c>
      <c r="B760" s="4">
        <v>39</v>
      </c>
      <c r="C760" s="4" t="s">
        <v>73</v>
      </c>
      <c r="D760" s="4" t="s">
        <v>781</v>
      </c>
      <c r="E760" s="4" t="str">
        <f t="shared" si="44"/>
        <v>39|A</v>
      </c>
      <c r="F760" s="14">
        <f>INDEX('Emission Stepwise'!$H$2:$H$289,MATCH(E760,'Emission Stepwise'!$C$2:$C$289,0))</f>
        <v>9.3137254901960786E-2</v>
      </c>
      <c r="G760" s="14">
        <f>INDEX(Background!$C$4:$C$7,MATCH(C760,Background!$A$4:$A$7,0))</f>
        <v>0.18550136449513679</v>
      </c>
      <c r="H760" s="17">
        <f t="shared" si="45"/>
        <v>-0.68898797348500673</v>
      </c>
    </row>
    <row r="761" spans="1:8">
      <c r="A761" s="4" t="s">
        <v>762</v>
      </c>
      <c r="B761" s="4">
        <v>40</v>
      </c>
      <c r="C761" s="4" t="s">
        <v>73</v>
      </c>
      <c r="D761" s="4" t="s">
        <v>781</v>
      </c>
      <c r="E761" s="4" t="str">
        <f t="shared" si="44"/>
        <v>40|A</v>
      </c>
      <c r="F761" s="14">
        <f>INDEX('Emission Stepwise'!$H$2:$H$289,MATCH(E761,'Emission Stepwise'!$C$2:$C$289,0))</f>
        <v>9.8039215686274508E-3</v>
      </c>
      <c r="G761" s="14">
        <f>INDEX(Background!$C$4:$C$7,MATCH(C761,Background!$A$4:$A$7,0))</f>
        <v>0.18550136449513679</v>
      </c>
      <c r="H761" s="17">
        <f t="shared" si="45"/>
        <v>-2.9402797720915017</v>
      </c>
    </row>
    <row r="762" spans="1:8">
      <c r="A762" s="4" t="s">
        <v>762</v>
      </c>
      <c r="B762" s="4">
        <v>41</v>
      </c>
      <c r="C762" s="4" t="s">
        <v>71</v>
      </c>
      <c r="D762" s="4" t="s">
        <v>781</v>
      </c>
      <c r="E762" s="4" t="str">
        <f t="shared" ref="E762:E793" si="46">B762&amp;"|"&amp;C762</f>
        <v>41|C</v>
      </c>
      <c r="F762" s="14">
        <f>INDEX('Emission Stepwise'!$H$2:$H$289,MATCH(E762,'Emission Stepwise'!$C$2:$C$289,0))</f>
        <v>0.38235294117647056</v>
      </c>
      <c r="G762" s="14">
        <f>INDEX(Background!$C$4:$C$7,MATCH(C762,Background!$A$4:$A$7,0))</f>
        <v>0.27646770694842909</v>
      </c>
      <c r="H762" s="17">
        <f t="shared" ref="H762:H793" si="47">LN(F762/G762)</f>
        <v>0.32425008991577925</v>
      </c>
    </row>
    <row r="763" spans="1:8">
      <c r="A763" s="4" t="s">
        <v>762</v>
      </c>
      <c r="B763" s="4">
        <v>42</v>
      </c>
      <c r="C763" s="4" t="s">
        <v>72</v>
      </c>
      <c r="D763" s="4" t="s">
        <v>781</v>
      </c>
      <c r="E763" s="4" t="str">
        <f t="shared" si="46"/>
        <v>42|U</v>
      </c>
      <c r="F763" s="14">
        <f>INDEX('Emission Stepwise'!$H$2:$H$289,MATCH(E763,'Emission Stepwise'!$C$2:$C$289,0))</f>
        <v>0.13235294117647059</v>
      </c>
      <c r="G763" s="14">
        <f>INDEX(Background!$C$4:$C$7,MATCH(C763,Background!$A$4:$A$7,0))</f>
        <v>0.21314113777902177</v>
      </c>
      <c r="H763" s="17">
        <f t="shared" si="47"/>
        <v>-0.47648241381319967</v>
      </c>
    </row>
    <row r="764" spans="1:8">
      <c r="A764" s="4" t="s">
        <v>762</v>
      </c>
      <c r="B764" s="4">
        <v>43</v>
      </c>
      <c r="C764" s="4" t="s">
        <v>71</v>
      </c>
      <c r="D764" s="4" t="s">
        <v>781</v>
      </c>
      <c r="E764" s="4" t="str">
        <f t="shared" si="46"/>
        <v>43|C</v>
      </c>
      <c r="F764" s="14">
        <f>INDEX('Emission Stepwise'!$H$2:$H$289,MATCH(E764,'Emission Stepwise'!$C$2:$C$289,0))</f>
        <v>0.11764705882352941</v>
      </c>
      <c r="G764" s="14">
        <f>INDEX(Background!$C$4:$C$7,MATCH(C764,Background!$A$4:$A$7,0))</f>
        <v>0.27646770694842909</v>
      </c>
      <c r="H764" s="17">
        <f t="shared" si="47"/>
        <v>-0.85440490642586675</v>
      </c>
    </row>
    <row r="765" spans="1:8">
      <c r="A765" s="4" t="s">
        <v>762</v>
      </c>
      <c r="B765" s="4">
        <v>44</v>
      </c>
      <c r="C765" s="4" t="s">
        <v>73</v>
      </c>
      <c r="D765" s="4" t="s">
        <v>781</v>
      </c>
      <c r="E765" s="4" t="str">
        <f t="shared" si="46"/>
        <v>44|A</v>
      </c>
      <c r="F765" s="14">
        <f>INDEX('Emission Stepwise'!$H$2:$H$289,MATCH(E765,'Emission Stepwise'!$C$2:$C$289,0))</f>
        <v>0.49509803921568629</v>
      </c>
      <c r="G765" s="14">
        <f>INDEX(Background!$C$4:$C$7,MATCH(C765,Background!$A$4:$A$7,0))</f>
        <v>0.18550136449513679</v>
      </c>
      <c r="H765" s="17">
        <f t="shared" si="47"/>
        <v>0.98169356418981235</v>
      </c>
    </row>
    <row r="766" spans="1:8">
      <c r="A766" s="4" t="s">
        <v>762</v>
      </c>
      <c r="B766" s="4">
        <v>45</v>
      </c>
      <c r="C766" s="4" t="s">
        <v>70</v>
      </c>
      <c r="D766" s="4" t="s">
        <v>782</v>
      </c>
      <c r="E766" s="4" t="str">
        <f t="shared" si="46"/>
        <v>45|G</v>
      </c>
      <c r="F766" s="14">
        <f>INDEX('Emission Stepwise'!$H$2:$H$289,MATCH(E766,'Emission Stepwise'!$C$2:$C$289,0))</f>
        <v>0.74752475247524752</v>
      </c>
      <c r="G766" s="14">
        <f>INDEX(Background!$C$4:$C$7,MATCH(C766,Background!$A$4:$A$7,0))</f>
        <v>0.32488979077741237</v>
      </c>
      <c r="H766" s="17">
        <f t="shared" si="47"/>
        <v>0.8332813988755926</v>
      </c>
    </row>
    <row r="767" spans="1:8">
      <c r="A767" s="4" t="s">
        <v>762</v>
      </c>
      <c r="B767" s="4">
        <v>46</v>
      </c>
      <c r="C767" s="4" t="s">
        <v>70</v>
      </c>
      <c r="D767" s="4" t="s">
        <v>782</v>
      </c>
      <c r="E767" s="4" t="str">
        <f t="shared" si="46"/>
        <v>46|G</v>
      </c>
      <c r="F767" s="14">
        <f>INDEX('Emission Stepwise'!$H$2:$H$289,MATCH(E767,'Emission Stepwise'!$C$2:$C$289,0))</f>
        <v>0.79768786127167635</v>
      </c>
      <c r="G767" s="14">
        <f>INDEX(Background!$C$4:$C$7,MATCH(C767,Background!$A$4:$A$7,0))</f>
        <v>0.32488979077741237</v>
      </c>
      <c r="H767" s="17">
        <f t="shared" si="47"/>
        <v>0.89823135012129884</v>
      </c>
    </row>
    <row r="768" spans="1:8">
      <c r="A768" s="4" t="s">
        <v>762</v>
      </c>
      <c r="B768" s="4">
        <v>47</v>
      </c>
      <c r="C768" s="4" t="s">
        <v>73</v>
      </c>
      <c r="D768" s="4" t="s">
        <v>782</v>
      </c>
      <c r="E768" s="4" t="str">
        <f t="shared" si="46"/>
        <v>47|A</v>
      </c>
      <c r="F768" s="14">
        <f>INDEX('Emission Stepwise'!$H$2:$H$289,MATCH(E768,'Emission Stepwise'!$C$2:$C$289,0))</f>
        <v>0.13235294117647059</v>
      </c>
      <c r="G768" s="14">
        <f>INDEX(Background!$C$4:$C$7,MATCH(C768,Background!$A$4:$A$7,0))</f>
        <v>0.18550136449513679</v>
      </c>
      <c r="H768" s="17">
        <f t="shared" si="47"/>
        <v>-0.33759008664711798</v>
      </c>
    </row>
    <row r="769" spans="1:8">
      <c r="A769" s="4" t="s">
        <v>762</v>
      </c>
      <c r="B769" s="4">
        <v>48</v>
      </c>
      <c r="C769" s="4" t="s">
        <v>71</v>
      </c>
      <c r="D769" s="4" t="s">
        <v>782</v>
      </c>
      <c r="E769" s="4" t="str">
        <f t="shared" si="46"/>
        <v>48|C</v>
      </c>
      <c r="F769" s="14">
        <f>INDEX('Emission Stepwise'!$H$2:$H$289,MATCH(E769,'Emission Stepwise'!$C$2:$C$289,0))</f>
        <v>0.82843137254901966</v>
      </c>
      <c r="G769" s="14">
        <f>INDEX(Background!$C$4:$C$7,MATCH(C769,Background!$A$4:$A$7,0))</f>
        <v>0.27646770694842909</v>
      </c>
      <c r="H769" s="17">
        <f t="shared" si="47"/>
        <v>1.0974399781492612</v>
      </c>
    </row>
    <row r="770" spans="1:8">
      <c r="A770" s="4" t="s">
        <v>762</v>
      </c>
      <c r="B770" s="4">
        <v>49</v>
      </c>
      <c r="C770" s="4" t="s">
        <v>72</v>
      </c>
      <c r="D770" s="4" t="s">
        <v>783</v>
      </c>
      <c r="E770" s="4" t="str">
        <f t="shared" si="46"/>
        <v>49|U</v>
      </c>
      <c r="F770" s="14">
        <f>INDEX('Emission Stepwise'!$H$2:$H$289,MATCH(E770,'Emission Stepwise'!$C$2:$C$289,0))</f>
        <v>5.8823529411764705E-2</v>
      </c>
      <c r="G770" s="14">
        <f>INDEX(Background!$C$4:$C$7,MATCH(C770,Background!$A$4:$A$7,0))</f>
        <v>0.21314113777902177</v>
      </c>
      <c r="H770" s="17">
        <f t="shared" si="47"/>
        <v>-1.2874126300295285</v>
      </c>
    </row>
    <row r="771" spans="1:8">
      <c r="A771" s="4" t="s">
        <v>762</v>
      </c>
      <c r="B771" s="4">
        <v>50</v>
      </c>
      <c r="C771" s="4" t="s">
        <v>71</v>
      </c>
      <c r="D771" s="4" t="s">
        <v>783</v>
      </c>
      <c r="E771" s="4" t="str">
        <f t="shared" si="46"/>
        <v>50|C</v>
      </c>
      <c r="F771" s="14">
        <f>INDEX('Emission Stepwise'!$H$2:$H$289,MATCH(E771,'Emission Stepwise'!$C$2:$C$289,0))</f>
        <v>0.43137254901960786</v>
      </c>
      <c r="G771" s="14">
        <f>INDEX(Background!$C$4:$C$7,MATCH(C771,Background!$A$4:$A$7,0))</f>
        <v>0.27646770694842909</v>
      </c>
      <c r="H771" s="17">
        <f t="shared" si="47"/>
        <v>0.44487807770439414</v>
      </c>
    </row>
    <row r="772" spans="1:8">
      <c r="A772" s="4" t="s">
        <v>762</v>
      </c>
      <c r="B772" s="4">
        <v>51</v>
      </c>
      <c r="C772" s="4" t="s">
        <v>73</v>
      </c>
      <c r="D772" s="4" t="s">
        <v>783</v>
      </c>
      <c r="E772" s="4" t="str">
        <f t="shared" si="46"/>
        <v>51|A</v>
      </c>
      <c r="F772" s="14">
        <f>INDEX('Emission Stepwise'!$H$2:$H$289,MATCH(E772,'Emission Stepwise'!$C$2:$C$289,0))</f>
        <v>0.14285714285714285</v>
      </c>
      <c r="G772" s="14">
        <f>INDEX(Background!$C$4:$C$7,MATCH(C772,Background!$A$4:$A$7,0))</f>
        <v>0.18550136449513679</v>
      </c>
      <c r="H772" s="17">
        <f t="shared" si="47"/>
        <v>-0.26121710786254415</v>
      </c>
    </row>
    <row r="773" spans="1:8">
      <c r="A773" s="4" t="s">
        <v>762</v>
      </c>
      <c r="B773" s="4">
        <v>52</v>
      </c>
      <c r="C773" s="4" t="s">
        <v>70</v>
      </c>
      <c r="D773" s="4" t="s">
        <v>783</v>
      </c>
      <c r="E773" s="4" t="str">
        <f t="shared" si="46"/>
        <v>52|G</v>
      </c>
      <c r="F773" s="14">
        <f>INDEX('Emission Stepwise'!$H$2:$H$289,MATCH(E773,'Emission Stepwise'!$C$2:$C$289,0))</f>
        <v>0.82843137254901966</v>
      </c>
      <c r="G773" s="14">
        <f>INDEX(Background!$C$4:$C$7,MATCH(C773,Background!$A$4:$A$7,0))</f>
        <v>0.32488979077741237</v>
      </c>
      <c r="H773" s="17">
        <f t="shared" si="47"/>
        <v>0.93604798054073013</v>
      </c>
    </row>
    <row r="774" spans="1:8">
      <c r="A774" s="4" t="s">
        <v>762</v>
      </c>
      <c r="B774" s="4">
        <v>53</v>
      </c>
      <c r="C774" s="4" t="s">
        <v>70</v>
      </c>
      <c r="D774" s="4" t="s">
        <v>783</v>
      </c>
      <c r="E774" s="4" t="str">
        <f t="shared" si="46"/>
        <v>53|G</v>
      </c>
      <c r="F774" s="14">
        <f>INDEX('Emission Stepwise'!$H$2:$H$289,MATCH(E774,'Emission Stepwise'!$C$2:$C$289,0))</f>
        <v>0.96568627450980393</v>
      </c>
      <c r="G774" s="14">
        <f>INDEX(Background!$C$4:$C$7,MATCH(C774,Background!$A$4:$A$7,0))</f>
        <v>0.32488979077741237</v>
      </c>
      <c r="H774" s="17">
        <f t="shared" si="47"/>
        <v>1.089352994355645</v>
      </c>
    </row>
    <row r="775" spans="1:8">
      <c r="A775" s="4" t="s">
        <v>762</v>
      </c>
      <c r="B775" s="4">
        <v>54</v>
      </c>
      <c r="C775" s="4" t="s">
        <v>73</v>
      </c>
      <c r="D775" s="4" t="s">
        <v>783</v>
      </c>
      <c r="E775" s="4" t="str">
        <f t="shared" si="46"/>
        <v>54|A</v>
      </c>
      <c r="F775" s="14">
        <f>INDEX('Emission Stepwise'!$H$2:$H$289,MATCH(E775,'Emission Stepwise'!$C$2:$C$289,0))</f>
        <v>1.4705882352941176E-2</v>
      </c>
      <c r="G775" s="14">
        <f>INDEX(Background!$C$4:$C$7,MATCH(C775,Background!$A$4:$A$7,0))</f>
        <v>0.18550136449513679</v>
      </c>
      <c r="H775" s="17">
        <f t="shared" si="47"/>
        <v>-2.5348146639833375</v>
      </c>
    </row>
    <row r="776" spans="1:8">
      <c r="A776" s="4" t="s">
        <v>762</v>
      </c>
      <c r="B776" s="4">
        <v>55</v>
      </c>
      <c r="C776" s="4" t="s">
        <v>72</v>
      </c>
      <c r="D776" s="4" t="s">
        <v>783</v>
      </c>
      <c r="E776" s="4" t="str">
        <f t="shared" si="46"/>
        <v>55|U</v>
      </c>
      <c r="F776" s="14">
        <f>INDEX('Emission Stepwise'!$H$2:$H$289,MATCH(E776,'Emission Stepwise'!$C$2:$C$289,0))</f>
        <v>0.97058823529411764</v>
      </c>
      <c r="G776" s="14">
        <f>INDEX(Background!$C$4:$C$7,MATCH(C776,Background!$A$4:$A$7,0))</f>
        <v>0.21314113777902177</v>
      </c>
      <c r="H776" s="17">
        <f t="shared" si="47"/>
        <v>1.5159477508770065</v>
      </c>
    </row>
    <row r="777" spans="1:8">
      <c r="A777" s="4" t="s">
        <v>762</v>
      </c>
      <c r="B777" s="4">
        <v>56</v>
      </c>
      <c r="C777" s="4" t="s">
        <v>71</v>
      </c>
      <c r="D777" s="4" t="s">
        <v>783</v>
      </c>
      <c r="E777" s="4" t="str">
        <f t="shared" si="46"/>
        <v>56|C</v>
      </c>
      <c r="F777" s="14">
        <f>INDEX('Emission Stepwise'!$H$2:$H$289,MATCH(E777,'Emission Stepwise'!$C$2:$C$289,0))</f>
        <v>0.96568627450980393</v>
      </c>
      <c r="G777" s="14">
        <f>INDEX(Background!$C$4:$C$7,MATCH(C777,Background!$A$4:$A$7,0))</f>
        <v>0.27646770694842909</v>
      </c>
      <c r="H777" s="17">
        <f t="shared" si="47"/>
        <v>1.250744991964176</v>
      </c>
    </row>
    <row r="778" spans="1:8">
      <c r="A778" s="4" t="s">
        <v>762</v>
      </c>
      <c r="B778" s="4">
        <v>57</v>
      </c>
      <c r="C778" s="4" t="s">
        <v>73</v>
      </c>
      <c r="D778" s="4" t="s">
        <v>783</v>
      </c>
      <c r="E778" s="4" t="str">
        <f t="shared" si="46"/>
        <v>57|A</v>
      </c>
      <c r="F778" s="14">
        <f>INDEX('Emission Stepwise'!$H$2:$H$289,MATCH(E778,'Emission Stepwise'!$C$2:$C$289,0))</f>
        <v>0.38423645320197042</v>
      </c>
      <c r="G778" s="14">
        <f>INDEX(Background!$C$4:$C$7,MATCH(C778,Background!$A$4:$A$7,0))</f>
        <v>0.18550136449513679</v>
      </c>
      <c r="H778" s="17">
        <f t="shared" si="47"/>
        <v>0.72819588884057362</v>
      </c>
    </row>
    <row r="779" spans="1:8">
      <c r="A779" s="4" t="s">
        <v>762</v>
      </c>
      <c r="B779" s="4">
        <v>58</v>
      </c>
      <c r="C779" s="4" t="s">
        <v>72</v>
      </c>
      <c r="D779" s="4" t="s">
        <v>783</v>
      </c>
      <c r="E779" s="4" t="str">
        <f t="shared" si="46"/>
        <v>58|U</v>
      </c>
      <c r="F779" s="14">
        <f>INDEX('Emission Stepwise'!$H$2:$H$289,MATCH(E779,'Emission Stepwise'!$C$2:$C$289,0))</f>
        <v>9.8039215686274508E-3</v>
      </c>
      <c r="G779" s="14">
        <f>INDEX(Background!$C$4:$C$7,MATCH(C779,Background!$A$4:$A$7,0))</f>
        <v>0.21314113777902177</v>
      </c>
      <c r="H779" s="17">
        <f t="shared" si="47"/>
        <v>-3.0791720992575837</v>
      </c>
    </row>
    <row r="780" spans="1:8">
      <c r="A780" s="4" t="s">
        <v>762</v>
      </c>
      <c r="B780" s="4">
        <v>59</v>
      </c>
      <c r="C780" s="4" t="s">
        <v>73</v>
      </c>
      <c r="D780" s="4" t="s">
        <v>783</v>
      </c>
      <c r="E780" s="4" t="str">
        <f t="shared" si="46"/>
        <v>59|A</v>
      </c>
      <c r="F780" s="14">
        <f>INDEX('Emission Stepwise'!$H$2:$H$289,MATCH(E780,'Emission Stepwise'!$C$2:$C$289,0))</f>
        <v>0.45098039215686275</v>
      </c>
      <c r="G780" s="14">
        <f>INDEX(Background!$C$4:$C$7,MATCH(C780,Background!$A$4:$A$7,0))</f>
        <v>0.18550136449513679</v>
      </c>
      <c r="H780" s="17">
        <f t="shared" si="47"/>
        <v>0.88836162439759314</v>
      </c>
    </row>
    <row r="781" spans="1:8">
      <c r="A781" s="4" t="s">
        <v>762</v>
      </c>
      <c r="B781" s="4">
        <v>60</v>
      </c>
      <c r="C781" s="4" t="s">
        <v>72</v>
      </c>
      <c r="D781" s="4" t="s">
        <v>783</v>
      </c>
      <c r="E781" s="4" t="str">
        <f t="shared" si="46"/>
        <v>60|U</v>
      </c>
      <c r="F781" s="14">
        <f>INDEX('Emission Stepwise'!$H$2:$H$289,MATCH(E781,'Emission Stepwise'!$C$2:$C$289,0))</f>
        <v>0.77450980392156865</v>
      </c>
      <c r="G781" s="14">
        <f>INDEX(Background!$C$4:$C$7,MATCH(C781,Background!$A$4:$A$7,0))</f>
        <v>0.21314113777902177</v>
      </c>
      <c r="H781" s="17">
        <f t="shared" si="47"/>
        <v>1.290275753209438</v>
      </c>
    </row>
    <row r="782" spans="1:8">
      <c r="A782" s="4" t="s">
        <v>762</v>
      </c>
      <c r="B782" s="4">
        <v>61</v>
      </c>
      <c r="C782" s="4" t="s">
        <v>71</v>
      </c>
      <c r="D782" s="4" t="s">
        <v>783</v>
      </c>
      <c r="E782" s="4" t="str">
        <f t="shared" si="46"/>
        <v>61|C</v>
      </c>
      <c r="F782" s="14">
        <f>INDEX('Emission Stepwise'!$H$2:$H$289,MATCH(E782,'Emission Stepwise'!$C$2:$C$289,0))</f>
        <v>0.97549019607843135</v>
      </c>
      <c r="G782" s="14">
        <f>INDEX(Background!$C$4:$C$7,MATCH(C782,Background!$A$4:$A$7,0))</f>
        <v>0.27646770694842909</v>
      </c>
      <c r="H782" s="17">
        <f t="shared" si="47"/>
        <v>1.26084608795068</v>
      </c>
    </row>
    <row r="783" spans="1:8">
      <c r="A783" s="4" t="s">
        <v>762</v>
      </c>
      <c r="B783" s="4">
        <v>62</v>
      </c>
      <c r="C783" s="4" t="s">
        <v>72</v>
      </c>
      <c r="D783" s="4" t="s">
        <v>783</v>
      </c>
      <c r="E783" s="4" t="str">
        <f t="shared" si="46"/>
        <v>62|U</v>
      </c>
      <c r="F783" s="14">
        <f>INDEX('Emission Stepwise'!$H$2:$H$289,MATCH(E783,'Emission Stepwise'!$C$2:$C$289,0))</f>
        <v>0.13235294117647059</v>
      </c>
      <c r="G783" s="14">
        <f>INDEX(Background!$C$4:$C$7,MATCH(C783,Background!$A$4:$A$7,0))</f>
        <v>0.21314113777902177</v>
      </c>
      <c r="H783" s="17">
        <f t="shared" si="47"/>
        <v>-0.47648241381319967</v>
      </c>
    </row>
    <row r="784" spans="1:8">
      <c r="A784" s="4" t="s">
        <v>762</v>
      </c>
      <c r="B784" s="4">
        <v>63</v>
      </c>
      <c r="C784" s="4" t="s">
        <v>72</v>
      </c>
      <c r="D784" s="4" t="s">
        <v>783</v>
      </c>
      <c r="E784" s="4" t="str">
        <f t="shared" si="46"/>
        <v>63|U</v>
      </c>
      <c r="F784" s="14">
        <f>INDEX('Emission Stepwise'!$H$2:$H$289,MATCH(E784,'Emission Stepwise'!$C$2:$C$289,0))</f>
        <v>0.16176470588235295</v>
      </c>
      <c r="G784" s="14">
        <f>INDEX(Background!$C$4:$C$7,MATCH(C784,Background!$A$4:$A$7,0))</f>
        <v>0.21314113777902177</v>
      </c>
      <c r="H784" s="17">
        <f t="shared" si="47"/>
        <v>-0.27581171835104856</v>
      </c>
    </row>
    <row r="785" spans="1:8">
      <c r="A785" s="4" t="s">
        <v>762</v>
      </c>
      <c r="B785" s="4">
        <v>64</v>
      </c>
      <c r="C785" s="4" t="s">
        <v>70</v>
      </c>
      <c r="D785" s="4" t="s">
        <v>783</v>
      </c>
      <c r="E785" s="4" t="str">
        <f t="shared" si="46"/>
        <v>64|G</v>
      </c>
      <c r="F785" s="14">
        <f>INDEX('Emission Stepwise'!$H$2:$H$289,MATCH(E785,'Emission Stepwise'!$C$2:$C$289,0))</f>
        <v>0.45588235294117646</v>
      </c>
      <c r="G785" s="14">
        <f>INDEX(Background!$C$4:$C$7,MATCH(C785,Background!$A$4:$A$7,0))</f>
        <v>0.32488979077741237</v>
      </c>
      <c r="H785" s="17">
        <f t="shared" si="47"/>
        <v>0.33874875877091259</v>
      </c>
    </row>
    <row r="786" spans="1:8">
      <c r="A786" s="4" t="s">
        <v>762</v>
      </c>
      <c r="B786" s="4">
        <v>65</v>
      </c>
      <c r="C786" s="4" t="s">
        <v>73</v>
      </c>
      <c r="D786" s="4" t="s">
        <v>783</v>
      </c>
      <c r="E786" s="4" t="str">
        <f t="shared" si="46"/>
        <v>65|A</v>
      </c>
      <c r="F786" s="14">
        <f>INDEX('Emission Stepwise'!$H$2:$H$289,MATCH(E786,'Emission Stepwise'!$C$2:$C$289,0))</f>
        <v>4.9261083743842367E-2</v>
      </c>
      <c r="G786" s="14">
        <f>INDEX(Background!$C$4:$C$7,MATCH(C786,Background!$A$4:$A$7,0))</f>
        <v>0.18550136449513679</v>
      </c>
      <c r="H786" s="17">
        <f t="shared" si="47"/>
        <v>-1.3259278448549723</v>
      </c>
    </row>
    <row r="787" spans="1:8">
      <c r="A787" s="4" t="s">
        <v>762</v>
      </c>
      <c r="B787" s="4">
        <v>66</v>
      </c>
      <c r="C787" s="4" t="s">
        <v>72</v>
      </c>
      <c r="D787" s="4" t="s">
        <v>784</v>
      </c>
      <c r="E787" s="4" t="str">
        <f t="shared" si="46"/>
        <v>66|U</v>
      </c>
      <c r="F787" s="14">
        <f>INDEX('Emission Stepwise'!$H$2:$H$289,MATCH(E787,'Emission Stepwise'!$C$2:$C$289,0))</f>
        <v>0.25</v>
      </c>
      <c r="G787" s="14">
        <f>INDEX(Background!$C$4:$C$7,MATCH(C787,Background!$A$4:$A$7,0))</f>
        <v>0.21314113777902177</v>
      </c>
      <c r="H787" s="17">
        <f t="shared" si="47"/>
        <v>0.15950635290679691</v>
      </c>
    </row>
    <row r="788" spans="1:8">
      <c r="A788" s="4" t="s">
        <v>762</v>
      </c>
      <c r="B788" s="4">
        <v>67</v>
      </c>
      <c r="C788" s="4" t="s">
        <v>70</v>
      </c>
      <c r="D788" s="4" t="s">
        <v>784</v>
      </c>
      <c r="E788" s="4" t="str">
        <f t="shared" si="46"/>
        <v>67|G</v>
      </c>
      <c r="F788" s="14">
        <f>INDEX('Emission Stepwise'!$H$2:$H$289,MATCH(E788,'Emission Stepwise'!$C$2:$C$289,0))</f>
        <v>0.37254901960784315</v>
      </c>
      <c r="G788" s="14">
        <f>INDEX(Background!$C$4:$C$7,MATCH(C788,Background!$A$4:$A$7,0))</f>
        <v>0.32488979077741237</v>
      </c>
      <c r="H788" s="17">
        <f t="shared" si="47"/>
        <v>0.13688260590398765</v>
      </c>
    </row>
    <row r="789" spans="1:8">
      <c r="A789" s="4" t="s">
        <v>762</v>
      </c>
      <c r="B789" s="4">
        <v>68</v>
      </c>
      <c r="C789" s="4" t="s">
        <v>73</v>
      </c>
      <c r="D789" s="4" t="s">
        <v>784</v>
      </c>
      <c r="E789" s="4" t="str">
        <f t="shared" si="46"/>
        <v>68|A</v>
      </c>
      <c r="F789" s="14">
        <f>INDEX('Emission Stepwise'!$H$2:$H$289,MATCH(E789,'Emission Stepwise'!$C$2:$C$289,0))</f>
        <v>7.8431372549019607E-2</v>
      </c>
      <c r="G789" s="14">
        <f>INDEX(Background!$C$4:$C$7,MATCH(C789,Background!$A$4:$A$7,0))</f>
        <v>0.18550136449513679</v>
      </c>
      <c r="H789" s="17">
        <f t="shared" si="47"/>
        <v>-0.86083823041166596</v>
      </c>
    </row>
    <row r="790" spans="1:8">
      <c r="A790" s="4" t="s">
        <v>762</v>
      </c>
      <c r="B790" s="4">
        <v>69</v>
      </c>
      <c r="C790" s="4" t="s">
        <v>70</v>
      </c>
      <c r="D790" s="4" t="s">
        <v>784</v>
      </c>
      <c r="E790" s="4" t="str">
        <f t="shared" si="46"/>
        <v>69|G</v>
      </c>
      <c r="F790" s="14">
        <f>INDEX('Emission Stepwise'!$H$2:$H$289,MATCH(E790,'Emission Stepwise'!$C$2:$C$289,0))</f>
        <v>0.34803921568627449</v>
      </c>
      <c r="G790" s="14">
        <f>INDEX(Background!$C$4:$C$7,MATCH(C790,Background!$A$4:$A$7,0))</f>
        <v>0.32488979077741237</v>
      </c>
      <c r="H790" s="17">
        <f t="shared" si="47"/>
        <v>6.882914265897204E-2</v>
      </c>
    </row>
    <row r="791" spans="1:8">
      <c r="A791" s="4" t="s">
        <v>762</v>
      </c>
      <c r="B791" s="4">
        <v>70</v>
      </c>
      <c r="C791" s="4" t="s">
        <v>70</v>
      </c>
      <c r="D791" s="4" t="s">
        <v>784</v>
      </c>
      <c r="E791" s="4" t="str">
        <f t="shared" si="46"/>
        <v>70|G</v>
      </c>
      <c r="F791" s="14">
        <f>INDEX('Emission Stepwise'!$H$2:$H$289,MATCH(E791,'Emission Stepwise'!$C$2:$C$289,0))</f>
        <v>0.37254901960784315</v>
      </c>
      <c r="G791" s="14">
        <f>INDEX(Background!$C$4:$C$7,MATCH(C791,Background!$A$4:$A$7,0))</f>
        <v>0.32488979077741237</v>
      </c>
      <c r="H791" s="17">
        <f t="shared" si="47"/>
        <v>0.13688260590398765</v>
      </c>
    </row>
    <row r="792" spans="1:8">
      <c r="A792" s="4" t="s">
        <v>762</v>
      </c>
      <c r="B792" s="4">
        <v>71</v>
      </c>
      <c r="C792" s="4" t="s">
        <v>73</v>
      </c>
      <c r="D792" s="4" t="s">
        <v>784</v>
      </c>
      <c r="E792" s="4" t="str">
        <f t="shared" si="46"/>
        <v>71|A</v>
      </c>
      <c r="F792" s="14">
        <f>INDEX('Emission Stepwise'!$H$2:$H$289,MATCH(E792,'Emission Stepwise'!$C$2:$C$289,0))</f>
        <v>2.9411764705882353E-2</v>
      </c>
      <c r="G792" s="14">
        <f>INDEX(Background!$C$4:$C$7,MATCH(C792,Background!$A$4:$A$7,0))</f>
        <v>0.18550136449513679</v>
      </c>
      <c r="H792" s="17">
        <f t="shared" si="47"/>
        <v>-1.8416674834233921</v>
      </c>
    </row>
    <row r="793" spans="1:8">
      <c r="A793" s="4" t="s">
        <v>762</v>
      </c>
      <c r="B793" s="4">
        <v>72</v>
      </c>
      <c r="C793" s="4" t="s">
        <v>72</v>
      </c>
      <c r="D793" s="4" t="s">
        <v>784</v>
      </c>
      <c r="E793" s="4" t="str">
        <f t="shared" si="46"/>
        <v>72|U</v>
      </c>
      <c r="F793" s="14">
        <f>INDEX('Emission Stepwise'!$H$2:$H$289,MATCH(E793,'Emission Stepwise'!$C$2:$C$289,0))</f>
        <v>0.10784313725490197</v>
      </c>
      <c r="G793" s="14">
        <f>INDEX(Background!$C$4:$C$7,MATCH(C793,Background!$A$4:$A$7,0))</f>
        <v>0.21314113777902177</v>
      </c>
      <c r="H793" s="17">
        <f t="shared" si="47"/>
        <v>-0.68127682645921295</v>
      </c>
    </row>
    <row r="794" spans="1:8">
      <c r="A794" s="4" t="s">
        <v>763</v>
      </c>
      <c r="B794" s="4">
        <v>1</v>
      </c>
      <c r="C794" s="4" t="s">
        <v>70</v>
      </c>
      <c r="D794" s="4" t="s">
        <v>778</v>
      </c>
      <c r="E794" s="4" t="str">
        <f t="shared" ref="E794:E808" si="48">B794&amp;"|"&amp;C794</f>
        <v>1|G</v>
      </c>
      <c r="F794" s="14">
        <f>INDEX('Emission Stepwise'!$H$2:$H$289,MATCH(E794,'Emission Stepwise'!$C$2:$C$289,0))</f>
        <v>0.75</v>
      </c>
      <c r="G794" s="14">
        <f>INDEX(Background!$C$4:$C$7,MATCH(C794,Background!$A$4:$A$7,0))</f>
        <v>0.32488979077741237</v>
      </c>
      <c r="H794" s="17">
        <f t="shared" ref="H794:H825" si="49">LN(F794/G794)</f>
        <v>0.83658718701009205</v>
      </c>
    </row>
    <row r="795" spans="1:8">
      <c r="A795" s="4" t="s">
        <v>763</v>
      </c>
      <c r="B795" s="4">
        <v>2</v>
      </c>
      <c r="C795" s="4" t="s">
        <v>73</v>
      </c>
      <c r="D795" s="4" t="s">
        <v>778</v>
      </c>
      <c r="E795" s="4" t="str">
        <f t="shared" si="48"/>
        <v>2|A</v>
      </c>
      <c r="F795" s="14">
        <f>INDEX('Emission Stepwise'!$H$2:$H$289,MATCH(E795,'Emission Stepwise'!$C$2:$C$289,0))</f>
        <v>3.4313725490196081E-2</v>
      </c>
      <c r="G795" s="14">
        <f>INDEX(Background!$C$4:$C$7,MATCH(C795,Background!$A$4:$A$7,0))</f>
        <v>0.18550136449513679</v>
      </c>
      <c r="H795" s="17">
        <f t="shared" si="49"/>
        <v>-1.6875168035961337</v>
      </c>
    </row>
    <row r="796" spans="1:8">
      <c r="A796" s="4" t="s">
        <v>763</v>
      </c>
      <c r="B796" s="4">
        <v>3</v>
      </c>
      <c r="C796" s="4" t="s">
        <v>70</v>
      </c>
      <c r="D796" s="4" t="s">
        <v>778</v>
      </c>
      <c r="E796" s="4" t="str">
        <f t="shared" si="48"/>
        <v>3|G</v>
      </c>
      <c r="F796" s="14">
        <f>INDEX('Emission Stepwise'!$H$2:$H$289,MATCH(E796,'Emission Stepwise'!$C$2:$C$289,0))</f>
        <v>0.4264705882352941</v>
      </c>
      <c r="G796" s="14">
        <f>INDEX(Background!$C$4:$C$7,MATCH(C796,Background!$A$4:$A$7,0))</f>
        <v>0.32488979077741237</v>
      </c>
      <c r="H796" s="17">
        <f t="shared" si="49"/>
        <v>0.27205738427224041</v>
      </c>
    </row>
    <row r="797" spans="1:8">
      <c r="A797" s="4" t="s">
        <v>763</v>
      </c>
      <c r="B797" s="4">
        <v>4</v>
      </c>
      <c r="C797" s="4" t="s">
        <v>72</v>
      </c>
      <c r="D797" s="4" t="s">
        <v>778</v>
      </c>
      <c r="E797" s="4" t="str">
        <f t="shared" si="48"/>
        <v>4|U</v>
      </c>
      <c r="F797" s="14">
        <f>INDEX('Emission Stepwise'!$H$2:$H$289,MATCH(E797,'Emission Stepwise'!$C$2:$C$289,0))</f>
        <v>0.17156862745098039</v>
      </c>
      <c r="G797" s="14">
        <f>INDEX(Background!$C$4:$C$7,MATCH(C797,Background!$A$4:$A$7,0))</f>
        <v>0.21314113777902177</v>
      </c>
      <c r="H797" s="17">
        <f t="shared" si="49"/>
        <v>-0.21697121832811511</v>
      </c>
    </row>
    <row r="798" spans="1:8">
      <c r="A798" s="4" t="s">
        <v>763</v>
      </c>
      <c r="B798" s="4">
        <v>5</v>
      </c>
      <c r="C798" s="4" t="s">
        <v>72</v>
      </c>
      <c r="D798" s="4" t="s">
        <v>778</v>
      </c>
      <c r="E798" s="4" t="str">
        <f t="shared" si="48"/>
        <v>5|U</v>
      </c>
      <c r="F798" s="14">
        <f>INDEX('Emission Stepwise'!$H$2:$H$289,MATCH(E798,'Emission Stepwise'!$C$2:$C$289,0))</f>
        <v>0.10784313725490197</v>
      </c>
      <c r="G798" s="14">
        <f>INDEX(Background!$C$4:$C$7,MATCH(C798,Background!$A$4:$A$7,0))</f>
        <v>0.21314113777902177</v>
      </c>
      <c r="H798" s="17">
        <f t="shared" si="49"/>
        <v>-0.68127682645921295</v>
      </c>
    </row>
    <row r="799" spans="1:8">
      <c r="A799" s="4" t="s">
        <v>763</v>
      </c>
      <c r="B799" s="4">
        <v>6</v>
      </c>
      <c r="C799" s="4" t="s">
        <v>70</v>
      </c>
      <c r="D799" s="4" t="s">
        <v>778</v>
      </c>
      <c r="E799" s="4" t="str">
        <f t="shared" si="48"/>
        <v>6|G</v>
      </c>
      <c r="F799" s="14">
        <f>INDEX('Emission Stepwise'!$H$2:$H$289,MATCH(E799,'Emission Stepwise'!$C$2:$C$289,0))</f>
        <v>0.24019607843137256</v>
      </c>
      <c r="G799" s="14">
        <f>INDEX(Background!$C$4:$C$7,MATCH(C799,Background!$A$4:$A$7,0))</f>
        <v>0.32488979077741237</v>
      </c>
      <c r="H799" s="17">
        <f t="shared" si="49"/>
        <v>-0.30203043627171677</v>
      </c>
    </row>
    <row r="800" spans="1:8">
      <c r="A800" s="4" t="s">
        <v>763</v>
      </c>
      <c r="B800" s="4">
        <v>7</v>
      </c>
      <c r="C800" s="4" t="s">
        <v>73</v>
      </c>
      <c r="D800" s="4" t="s">
        <v>778</v>
      </c>
      <c r="E800" s="4" t="str">
        <f t="shared" si="48"/>
        <v>7|A</v>
      </c>
      <c r="F800" s="14">
        <f>INDEX('Emission Stepwise'!$H$2:$H$289,MATCH(E800,'Emission Stepwise'!$C$2:$C$289,0))</f>
        <v>0.24019607843137256</v>
      </c>
      <c r="G800" s="14">
        <f>INDEX(Background!$C$4:$C$7,MATCH(C800,Background!$A$4:$A$7,0))</f>
        <v>0.18550136449513679</v>
      </c>
      <c r="H800" s="17">
        <f t="shared" si="49"/>
        <v>0.25839334545917952</v>
      </c>
    </row>
    <row r="801" spans="1:8">
      <c r="A801" s="4" t="s">
        <v>763</v>
      </c>
      <c r="B801" s="4">
        <v>8</v>
      </c>
      <c r="C801" s="4" t="s">
        <v>72</v>
      </c>
      <c r="D801" s="4" t="s">
        <v>779</v>
      </c>
      <c r="E801" s="4" t="str">
        <f t="shared" si="48"/>
        <v>8|U</v>
      </c>
      <c r="F801" s="14">
        <f>INDEX('Emission Stepwise'!$H$2:$H$289,MATCH(E801,'Emission Stepwise'!$C$2:$C$289,0))</f>
        <v>0.97549019607843135</v>
      </c>
      <c r="G801" s="14">
        <f>INDEX(Background!$C$4:$C$7,MATCH(C801,Background!$A$4:$A$7,0))</f>
        <v>0.21314113777902177</v>
      </c>
      <c r="H801" s="17">
        <f t="shared" si="49"/>
        <v>1.5209855449069636</v>
      </c>
    </row>
    <row r="802" spans="1:8">
      <c r="A802" s="4" t="s">
        <v>763</v>
      </c>
      <c r="B802" s="4">
        <v>9</v>
      </c>
      <c r="C802" s="4" t="s">
        <v>70</v>
      </c>
      <c r="D802" s="4" t="s">
        <v>780</v>
      </c>
      <c r="E802" s="4" t="str">
        <f t="shared" si="48"/>
        <v>9|G</v>
      </c>
      <c r="F802" s="14">
        <f>INDEX('Emission Stepwise'!$H$2:$H$289,MATCH(E802,'Emission Stepwise'!$C$2:$C$289,0))</f>
        <v>0.30541871921182268</v>
      </c>
      <c r="G802" s="14">
        <f>INDEX(Background!$C$4:$C$7,MATCH(C802,Background!$A$4:$A$7,0))</f>
        <v>0.32488979077741237</v>
      </c>
      <c r="H802" s="17">
        <f t="shared" si="49"/>
        <v>-6.1802334534822735E-2</v>
      </c>
    </row>
    <row r="803" spans="1:8">
      <c r="A803" s="4" t="s">
        <v>763</v>
      </c>
      <c r="B803" s="4">
        <v>10</v>
      </c>
      <c r="C803" s="4" t="s">
        <v>72</v>
      </c>
      <c r="D803" s="4" t="s">
        <v>780</v>
      </c>
      <c r="E803" s="4" t="str">
        <f t="shared" si="48"/>
        <v>10|U</v>
      </c>
      <c r="F803" s="14">
        <f>INDEX('Emission Stepwise'!$H$2:$H$289,MATCH(E803,'Emission Stepwise'!$C$2:$C$289,0))</f>
        <v>4.9019607843137254E-3</v>
      </c>
      <c r="G803" s="14">
        <f>INDEX(Background!$C$4:$C$7,MATCH(C803,Background!$A$4:$A$7,0))</f>
        <v>0.21314113777902177</v>
      </c>
      <c r="H803" s="17">
        <f t="shared" si="49"/>
        <v>-3.7723192798175287</v>
      </c>
    </row>
    <row r="804" spans="1:8">
      <c r="A804" s="4" t="s">
        <v>763</v>
      </c>
      <c r="B804" s="4">
        <v>11</v>
      </c>
      <c r="C804" s="4" t="s">
        <v>73</v>
      </c>
      <c r="D804" s="4" t="s">
        <v>780</v>
      </c>
      <c r="E804" s="4" t="str">
        <f t="shared" si="48"/>
        <v>11|A</v>
      </c>
      <c r="F804" s="14">
        <f>INDEX('Emission Stepwise'!$H$2:$H$289,MATCH(E804,'Emission Stepwise'!$C$2:$C$289,0))</f>
        <v>3.9215686274509803E-2</v>
      </c>
      <c r="G804" s="14">
        <f>INDEX(Background!$C$4:$C$7,MATCH(C804,Background!$A$4:$A$7,0))</f>
        <v>0.18550136449513679</v>
      </c>
      <c r="H804" s="17">
        <f t="shared" si="49"/>
        <v>-1.5539854109716114</v>
      </c>
    </row>
    <row r="805" spans="1:8">
      <c r="A805" s="4" t="s">
        <v>763</v>
      </c>
      <c r="B805" s="4">
        <v>12</v>
      </c>
      <c r="C805" s="4" t="s">
        <v>72</v>
      </c>
      <c r="D805" s="4" t="s">
        <v>780</v>
      </c>
      <c r="E805" s="4" t="str">
        <f t="shared" si="48"/>
        <v>12|U</v>
      </c>
      <c r="F805" s="14">
        <f>INDEX('Emission Stepwise'!$H$2:$H$289,MATCH(E805,'Emission Stepwise'!$C$2:$C$289,0))</f>
        <v>0.59313725490196079</v>
      </c>
      <c r="G805" s="14">
        <f>INDEX(Background!$C$4:$C$7,MATCH(C805,Background!$A$4:$A$7,0))</f>
        <v>0.21314113777902177</v>
      </c>
      <c r="H805" s="17">
        <f t="shared" si="49"/>
        <v>1.0234712657792122</v>
      </c>
    </row>
    <row r="806" spans="1:8">
      <c r="A806" s="4" t="s">
        <v>763</v>
      </c>
      <c r="B806" s="4">
        <v>13</v>
      </c>
      <c r="C806" s="4" t="s">
        <v>70</v>
      </c>
      <c r="D806" s="4" t="s">
        <v>780</v>
      </c>
      <c r="E806" s="4" t="str">
        <f t="shared" si="48"/>
        <v>13|G</v>
      </c>
      <c r="F806" s="14">
        <f>INDEX('Emission Stepwise'!$H$2:$H$289,MATCH(E806,'Emission Stepwise'!$C$2:$C$289,0))</f>
        <v>9.8039215686274508E-2</v>
      </c>
      <c r="G806" s="14">
        <f>INDEX(Background!$C$4:$C$7,MATCH(C806,Background!$A$4:$A$7,0))</f>
        <v>0.32488979077741237</v>
      </c>
      <c r="H806" s="17">
        <f t="shared" si="49"/>
        <v>-1.1981184608283524</v>
      </c>
    </row>
    <row r="807" spans="1:8">
      <c r="A807" s="4" t="s">
        <v>763</v>
      </c>
      <c r="B807" s="4">
        <v>14</v>
      </c>
      <c r="C807" s="4" t="s">
        <v>73</v>
      </c>
      <c r="D807" s="4" t="s">
        <v>780</v>
      </c>
      <c r="E807" s="4" t="str">
        <f t="shared" si="48"/>
        <v>14|A</v>
      </c>
      <c r="F807" s="14">
        <f>INDEX('Emission Stepwise'!$H$2:$H$289,MATCH(E807,'Emission Stepwise'!$C$2:$C$289,0))</f>
        <v>0.97549019607843135</v>
      </c>
      <c r="G807" s="14">
        <f>INDEX(Background!$C$4:$C$7,MATCH(C807,Background!$A$4:$A$7,0))</f>
        <v>0.18550136449513679</v>
      </c>
      <c r="H807" s="17">
        <f t="shared" si="49"/>
        <v>1.6598778720730452</v>
      </c>
    </row>
    <row r="808" spans="1:8">
      <c r="A808" s="4" t="s">
        <v>763</v>
      </c>
      <c r="B808" s="4">
        <v>15</v>
      </c>
      <c r="C808" s="4" t="s">
        <v>73</v>
      </c>
      <c r="D808" s="4" t="s">
        <v>780</v>
      </c>
      <c r="E808" s="4" t="str">
        <f t="shared" si="48"/>
        <v>15|A</v>
      </c>
      <c r="F808" s="14">
        <f>INDEX('Emission Stepwise'!$H$2:$H$289,MATCH(E808,'Emission Stepwise'!$C$2:$C$289,0))</f>
        <v>0.16748768472906403</v>
      </c>
      <c r="G808" s="14">
        <f>INDEX(Background!$C$4:$C$7,MATCH(C808,Background!$A$4:$A$7,0))</f>
        <v>0.18550136449513679</v>
      </c>
      <c r="H808" s="17">
        <f t="shared" si="49"/>
        <v>-0.1021524132328567</v>
      </c>
    </row>
    <row r="809" spans="1:8">
      <c r="A809" s="4" t="s">
        <v>763</v>
      </c>
      <c r="B809" s="4">
        <v>16</v>
      </c>
      <c r="C809" s="4" t="s">
        <v>77</v>
      </c>
      <c r="D809" s="4" t="s">
        <v>780</v>
      </c>
      <c r="E809" s="4"/>
      <c r="F809" s="4"/>
      <c r="G809" s="4"/>
      <c r="H809" s="4"/>
    </row>
    <row r="810" spans="1:8">
      <c r="A810" s="4" t="s">
        <v>763</v>
      </c>
      <c r="B810" s="4">
        <v>17</v>
      </c>
      <c r="C810" s="4" t="s">
        <v>73</v>
      </c>
      <c r="D810" s="4" t="s">
        <v>780</v>
      </c>
      <c r="E810" s="4" t="str">
        <f t="shared" ref="E810:E841" si="50">B810&amp;"|"&amp;C810</f>
        <v>17|A</v>
      </c>
      <c r="F810" s="14">
        <f>INDEX('Emission Stepwise'!$H$2:$H$289,MATCH(E810,'Emission Stepwise'!$C$2:$C$289,0))</f>
        <v>6.4676616915422883E-2</v>
      </c>
      <c r="G810" s="14">
        <f>INDEX(Background!$C$4:$C$7,MATCH(C810,Background!$A$4:$A$7,0))</f>
        <v>0.18550136449513679</v>
      </c>
      <c r="H810" s="17">
        <f t="shared" ref="H810:H841" si="51">LN(F810/G810)</f>
        <v>-1.0536625094047698</v>
      </c>
    </row>
    <row r="811" spans="1:8">
      <c r="A811" s="4" t="s">
        <v>763</v>
      </c>
      <c r="B811" s="4">
        <v>18</v>
      </c>
      <c r="C811" s="4" t="s">
        <v>70</v>
      </c>
      <c r="D811" s="4" t="s">
        <v>780</v>
      </c>
      <c r="E811" s="4" t="str">
        <f t="shared" si="50"/>
        <v>18|G</v>
      </c>
      <c r="F811" s="14">
        <f>INDEX('Emission Stepwise'!$H$2:$H$289,MATCH(E811,'Emission Stepwise'!$C$2:$C$289,0))</f>
        <v>0.98039215686274506</v>
      </c>
      <c r="G811" s="14">
        <f>INDEX(Background!$C$4:$C$7,MATCH(C811,Background!$A$4:$A$7,0))</f>
        <v>0.32488979077741237</v>
      </c>
      <c r="H811" s="17">
        <f t="shared" si="51"/>
        <v>1.1044666321656933</v>
      </c>
    </row>
    <row r="812" spans="1:8">
      <c r="A812" s="4" t="s">
        <v>763</v>
      </c>
      <c r="B812" s="4">
        <v>19</v>
      </c>
      <c r="C812" s="4" t="s">
        <v>70</v>
      </c>
      <c r="D812" s="4" t="s">
        <v>780</v>
      </c>
      <c r="E812" s="4" t="str">
        <f t="shared" si="50"/>
        <v>19|G</v>
      </c>
      <c r="F812" s="14">
        <f>INDEX('Emission Stepwise'!$H$2:$H$289,MATCH(E812,'Emission Stepwise'!$C$2:$C$289,0))</f>
        <v>0.97058823529411764</v>
      </c>
      <c r="G812" s="14">
        <f>INDEX(Background!$C$4:$C$7,MATCH(C812,Background!$A$4:$A$7,0))</f>
        <v>0.32488979077741237</v>
      </c>
      <c r="H812" s="17">
        <f t="shared" si="51"/>
        <v>1.0944162963121917</v>
      </c>
    </row>
    <row r="813" spans="1:8">
      <c r="A813" s="4" t="s">
        <v>763</v>
      </c>
      <c r="B813" s="4">
        <v>20</v>
      </c>
      <c r="C813" s="4" t="s">
        <v>73</v>
      </c>
      <c r="D813" s="4" t="s">
        <v>780</v>
      </c>
      <c r="E813" s="4" t="str">
        <f t="shared" si="50"/>
        <v>20|A</v>
      </c>
      <c r="F813" s="14">
        <f>INDEX('Emission Stepwise'!$H$2:$H$289,MATCH(E813,'Emission Stepwise'!$C$2:$C$289,0))</f>
        <v>8.8669950738916259E-2</v>
      </c>
      <c r="G813" s="14">
        <f>INDEX(Background!$C$4:$C$7,MATCH(C813,Background!$A$4:$A$7,0))</f>
        <v>0.18550136449513679</v>
      </c>
      <c r="H813" s="17">
        <f t="shared" si="51"/>
        <v>-0.73814117995285333</v>
      </c>
    </row>
    <row r="814" spans="1:8">
      <c r="A814" s="4" t="s">
        <v>763</v>
      </c>
      <c r="B814" s="4">
        <v>21</v>
      </c>
      <c r="C814" s="4" t="s">
        <v>73</v>
      </c>
      <c r="D814" s="4" t="s">
        <v>780</v>
      </c>
      <c r="E814" s="4" t="str">
        <f t="shared" si="50"/>
        <v>21|A</v>
      </c>
      <c r="F814" s="14">
        <f>INDEX('Emission Stepwise'!$H$2:$H$289,MATCH(E814,'Emission Stepwise'!$C$2:$C$289,0))</f>
        <v>0.88235294117647056</v>
      </c>
      <c r="G814" s="14">
        <f>INDEX(Background!$C$4:$C$7,MATCH(C814,Background!$A$4:$A$7,0))</f>
        <v>0.18550136449513679</v>
      </c>
      <c r="H814" s="17">
        <f t="shared" si="51"/>
        <v>1.5595298982387631</v>
      </c>
    </row>
    <row r="815" spans="1:8">
      <c r="A815" s="4" t="s">
        <v>763</v>
      </c>
      <c r="B815" s="4">
        <v>22</v>
      </c>
      <c r="C815" s="4" t="s">
        <v>72</v>
      </c>
      <c r="D815" s="4" t="s">
        <v>780</v>
      </c>
      <c r="E815" s="4" t="str">
        <f t="shared" si="50"/>
        <v>22|U</v>
      </c>
      <c r="F815" s="14">
        <f>INDEX('Emission Stepwise'!$H$2:$H$289,MATCH(E815,'Emission Stepwise'!$C$2:$C$289,0))</f>
        <v>7.3529411764705885E-2</v>
      </c>
      <c r="G815" s="14">
        <f>INDEX(Background!$C$4:$C$7,MATCH(C815,Background!$A$4:$A$7,0))</f>
        <v>0.21314113777902177</v>
      </c>
      <c r="H815" s="17">
        <f t="shared" si="51"/>
        <v>-1.0642690787153186</v>
      </c>
    </row>
    <row r="816" spans="1:8">
      <c r="A816" s="4" t="s">
        <v>763</v>
      </c>
      <c r="B816" s="4">
        <v>23</v>
      </c>
      <c r="C816" s="4" t="s">
        <v>73</v>
      </c>
      <c r="D816" s="4" t="s">
        <v>780</v>
      </c>
      <c r="E816" s="4" t="str">
        <f t="shared" si="50"/>
        <v>23|A</v>
      </c>
      <c r="F816" s="14">
        <f>INDEX('Emission Stepwise'!$H$2:$H$289,MATCH(E816,'Emission Stepwise'!$C$2:$C$289,0))</f>
        <v>0.59803921568627449</v>
      </c>
      <c r="G816" s="14">
        <f>INDEX(Background!$C$4:$C$7,MATCH(C816,Background!$A$4:$A$7,0))</f>
        <v>0.18550136449513679</v>
      </c>
      <c r="H816" s="17">
        <f t="shared" si="51"/>
        <v>1.1705940920818094</v>
      </c>
    </row>
    <row r="817" spans="1:8">
      <c r="A817" s="4" t="s">
        <v>763</v>
      </c>
      <c r="B817" s="4">
        <v>24</v>
      </c>
      <c r="C817" s="4" t="s">
        <v>72</v>
      </c>
      <c r="D817" s="4" t="s">
        <v>780</v>
      </c>
      <c r="E817" s="4" t="str">
        <f t="shared" si="50"/>
        <v>24|U</v>
      </c>
      <c r="F817" s="14">
        <f>INDEX('Emission Stepwise'!$H$2:$H$289,MATCH(E817,'Emission Stepwise'!$C$2:$C$289,0))</f>
        <v>3.9215686274509803E-2</v>
      </c>
      <c r="G817" s="14">
        <f>INDEX(Background!$C$4:$C$7,MATCH(C817,Background!$A$4:$A$7,0))</f>
        <v>0.21314113777902177</v>
      </c>
      <c r="H817" s="17">
        <f t="shared" si="51"/>
        <v>-1.6928777381376929</v>
      </c>
    </row>
    <row r="818" spans="1:8">
      <c r="A818" s="4" t="s">
        <v>763</v>
      </c>
      <c r="B818" s="4">
        <v>25</v>
      </c>
      <c r="C818" s="4" t="s">
        <v>73</v>
      </c>
      <c r="D818" s="4" t="s">
        <v>780</v>
      </c>
      <c r="E818" s="4" t="str">
        <f t="shared" si="50"/>
        <v>25|A</v>
      </c>
      <c r="F818" s="14">
        <f>INDEX('Emission Stepwise'!$H$2:$H$289,MATCH(E818,'Emission Stepwise'!$C$2:$C$289,0))</f>
        <v>9.8039215686274508E-3</v>
      </c>
      <c r="G818" s="14">
        <f>INDEX(Background!$C$4:$C$7,MATCH(C818,Background!$A$4:$A$7,0))</f>
        <v>0.18550136449513679</v>
      </c>
      <c r="H818" s="17">
        <f t="shared" si="51"/>
        <v>-2.9402797720915017</v>
      </c>
    </row>
    <row r="819" spans="1:8">
      <c r="A819" s="4" t="s">
        <v>763</v>
      </c>
      <c r="B819" s="4">
        <v>26</v>
      </c>
      <c r="C819" s="4" t="s">
        <v>72</v>
      </c>
      <c r="D819" s="4" t="s">
        <v>781</v>
      </c>
      <c r="E819" s="4" t="str">
        <f t="shared" si="50"/>
        <v>26|U</v>
      </c>
      <c r="F819" s="14">
        <f>INDEX('Emission Stepwise'!$H$2:$H$289,MATCH(E819,'Emission Stepwise'!$C$2:$C$289,0))</f>
        <v>5.8823529411764705E-2</v>
      </c>
      <c r="G819" s="14">
        <f>INDEX(Background!$C$4:$C$7,MATCH(C819,Background!$A$4:$A$7,0))</f>
        <v>0.21314113777902177</v>
      </c>
      <c r="H819" s="17">
        <f t="shared" si="51"/>
        <v>-1.2874126300295285</v>
      </c>
    </row>
    <row r="820" spans="1:8">
      <c r="A820" s="4" t="s">
        <v>763</v>
      </c>
      <c r="B820" s="4">
        <v>27</v>
      </c>
      <c r="C820" s="4" t="s">
        <v>70</v>
      </c>
      <c r="D820" s="4" t="s">
        <v>781</v>
      </c>
      <c r="E820" s="4" t="str">
        <f t="shared" si="50"/>
        <v>27|G</v>
      </c>
      <c r="F820" s="14">
        <f>INDEX('Emission Stepwise'!$H$2:$H$289,MATCH(E820,'Emission Stepwise'!$C$2:$C$289,0))</f>
        <v>0.15686274509803921</v>
      </c>
      <c r="G820" s="14">
        <f>INDEX(Background!$C$4:$C$7,MATCH(C820,Background!$A$4:$A$7,0))</f>
        <v>0.32488979077741237</v>
      </c>
      <c r="H820" s="17">
        <f t="shared" si="51"/>
        <v>-0.72811483158261692</v>
      </c>
    </row>
    <row r="821" spans="1:8">
      <c r="A821" s="4" t="s">
        <v>763</v>
      </c>
      <c r="B821" s="4">
        <v>28</v>
      </c>
      <c r="C821" s="4" t="s">
        <v>72</v>
      </c>
      <c r="D821" s="4" t="s">
        <v>781</v>
      </c>
      <c r="E821" s="4" t="str">
        <f t="shared" si="50"/>
        <v>28|U</v>
      </c>
      <c r="F821" s="14">
        <f>INDEX('Emission Stepwise'!$H$2:$H$289,MATCH(E821,'Emission Stepwise'!$C$2:$C$289,0))</f>
        <v>0.25490196078431371</v>
      </c>
      <c r="G821" s="14">
        <f>INDEX(Background!$C$4:$C$7,MATCH(C821,Background!$A$4:$A$7,0))</f>
        <v>0.21314113777902177</v>
      </c>
      <c r="H821" s="17">
        <f t="shared" si="51"/>
        <v>0.17892443876389855</v>
      </c>
    </row>
    <row r="822" spans="1:8">
      <c r="A822" s="4" t="s">
        <v>763</v>
      </c>
      <c r="B822" s="4">
        <v>29</v>
      </c>
      <c r="C822" s="4" t="s">
        <v>70</v>
      </c>
      <c r="D822" s="4" t="s">
        <v>781</v>
      </c>
      <c r="E822" s="4" t="str">
        <f t="shared" si="50"/>
        <v>29|G</v>
      </c>
      <c r="F822" s="14">
        <f>INDEX('Emission Stepwise'!$H$2:$H$289,MATCH(E822,'Emission Stepwise'!$C$2:$C$289,0))</f>
        <v>0.38235294117647056</v>
      </c>
      <c r="G822" s="14">
        <f>INDEX(Background!$C$4:$C$7,MATCH(C822,Background!$A$4:$A$7,0))</f>
        <v>0.32488979077741237</v>
      </c>
      <c r="H822" s="17">
        <f t="shared" si="51"/>
        <v>0.16285809230724829</v>
      </c>
    </row>
    <row r="823" spans="1:8">
      <c r="A823" s="4" t="s">
        <v>763</v>
      </c>
      <c r="B823" s="4">
        <v>30</v>
      </c>
      <c r="C823" s="4" t="s">
        <v>70</v>
      </c>
      <c r="D823" s="4" t="s">
        <v>781</v>
      </c>
      <c r="E823" s="4" t="str">
        <f t="shared" si="50"/>
        <v>30|G</v>
      </c>
      <c r="F823" s="14">
        <f>INDEX('Emission Stepwise'!$H$2:$H$289,MATCH(E823,'Emission Stepwise'!$C$2:$C$289,0))</f>
        <v>0.74019607843137258</v>
      </c>
      <c r="G823" s="14">
        <f>INDEX(Background!$C$4:$C$7,MATCH(C823,Background!$A$4:$A$7,0))</f>
        <v>0.32488979077741237</v>
      </c>
      <c r="H823" s="17">
        <f t="shared" si="51"/>
        <v>0.82342910243258094</v>
      </c>
    </row>
    <row r="824" spans="1:8">
      <c r="A824" s="4" t="s">
        <v>763</v>
      </c>
      <c r="B824" s="4">
        <v>31</v>
      </c>
      <c r="C824" s="4" t="s">
        <v>73</v>
      </c>
      <c r="D824" s="4" t="s">
        <v>781</v>
      </c>
      <c r="E824" s="4" t="str">
        <f t="shared" si="50"/>
        <v>31|A</v>
      </c>
      <c r="F824" s="14">
        <f>INDEX('Emission Stepwise'!$H$2:$H$289,MATCH(E824,'Emission Stepwise'!$C$2:$C$289,0))</f>
        <v>0.26960784313725489</v>
      </c>
      <c r="G824" s="14">
        <f>INDEX(Background!$C$4:$C$7,MATCH(C824,Background!$A$4:$A$7,0))</f>
        <v>0.18550136449513679</v>
      </c>
      <c r="H824" s="17">
        <f t="shared" si="51"/>
        <v>0.37390623258102373</v>
      </c>
    </row>
    <row r="825" spans="1:8">
      <c r="A825" s="4" t="s">
        <v>763</v>
      </c>
      <c r="B825" s="4">
        <v>32</v>
      </c>
      <c r="C825" s="4" t="s">
        <v>71</v>
      </c>
      <c r="D825" s="4" t="s">
        <v>781</v>
      </c>
      <c r="E825" s="4" t="str">
        <f t="shared" si="50"/>
        <v>32|C</v>
      </c>
      <c r="F825" s="14">
        <f>INDEX('Emission Stepwise'!$H$2:$H$289,MATCH(E825,'Emission Stepwise'!$C$2:$C$289,0))</f>
        <v>0.66666666666666663</v>
      </c>
      <c r="G825" s="14">
        <f>INDEX(Background!$C$4:$C$7,MATCH(C825,Background!$A$4:$A$7,0))</f>
        <v>0.27646770694842909</v>
      </c>
      <c r="H825" s="17">
        <f t="shared" si="51"/>
        <v>0.88019614896223952</v>
      </c>
    </row>
    <row r="826" spans="1:8">
      <c r="A826" s="4" t="s">
        <v>763</v>
      </c>
      <c r="B826" s="4">
        <v>33</v>
      </c>
      <c r="C826" s="4" t="s">
        <v>72</v>
      </c>
      <c r="D826" s="4" t="s">
        <v>781</v>
      </c>
      <c r="E826" s="4" t="str">
        <f t="shared" si="50"/>
        <v>33|U</v>
      </c>
      <c r="F826" s="14">
        <f>INDEX('Emission Stepwise'!$H$2:$H$289,MATCH(E826,'Emission Stepwise'!$C$2:$C$289,0))</f>
        <v>0.97549019607843135</v>
      </c>
      <c r="G826" s="14">
        <f>INDEX(Background!$C$4:$C$7,MATCH(C826,Background!$A$4:$A$7,0))</f>
        <v>0.21314113777902177</v>
      </c>
      <c r="H826" s="17">
        <f t="shared" si="51"/>
        <v>1.5209855449069636</v>
      </c>
    </row>
    <row r="827" spans="1:8">
      <c r="A827" s="4" t="s">
        <v>763</v>
      </c>
      <c r="B827" s="4">
        <v>34</v>
      </c>
      <c r="C827" s="4" t="s">
        <v>72</v>
      </c>
      <c r="D827" s="4" t="s">
        <v>781</v>
      </c>
      <c r="E827" s="4" t="str">
        <f t="shared" si="50"/>
        <v>34|U</v>
      </c>
      <c r="F827" s="14">
        <f>INDEX('Emission Stepwise'!$H$2:$H$289,MATCH(E827,'Emission Stepwise'!$C$2:$C$289,0))</f>
        <v>0.28921568627450983</v>
      </c>
      <c r="G827" s="14">
        <f>INDEX(Background!$C$4:$C$7,MATCH(C827,Background!$A$4:$A$7,0))</f>
        <v>0.21314113777902177</v>
      </c>
      <c r="H827" s="17">
        <f t="shared" si="51"/>
        <v>0.30521816408819075</v>
      </c>
    </row>
    <row r="828" spans="1:8">
      <c r="A828" s="4" t="s">
        <v>763</v>
      </c>
      <c r="B828" s="4">
        <v>35</v>
      </c>
      <c r="C828" s="4" t="s">
        <v>72</v>
      </c>
      <c r="D828" s="4" t="s">
        <v>781</v>
      </c>
      <c r="E828" s="4" t="str">
        <f t="shared" si="50"/>
        <v>35|U</v>
      </c>
      <c r="F828" s="14">
        <f>INDEX('Emission Stepwise'!$H$2:$H$289,MATCH(E828,'Emission Stepwise'!$C$2:$C$289,0))</f>
        <v>0.20588235294117646</v>
      </c>
      <c r="G828" s="14">
        <f>INDEX(Background!$C$4:$C$7,MATCH(C828,Background!$A$4:$A$7,0))</f>
        <v>0.21314113777902177</v>
      </c>
      <c r="H828" s="17">
        <f t="shared" si="51"/>
        <v>-3.4649661534160589E-2</v>
      </c>
    </row>
    <row r="829" spans="1:8">
      <c r="A829" s="4" t="s">
        <v>763</v>
      </c>
      <c r="B829" s="4">
        <v>36</v>
      </c>
      <c r="C829" s="4" t="s">
        <v>73</v>
      </c>
      <c r="D829" s="4" t="s">
        <v>781</v>
      </c>
      <c r="E829" s="4" t="str">
        <f t="shared" si="50"/>
        <v>36|A</v>
      </c>
      <c r="F829" s="14">
        <f>INDEX('Emission Stepwise'!$H$2:$H$289,MATCH(E829,'Emission Stepwise'!$C$2:$C$289,0))</f>
        <v>0.21568627450980393</v>
      </c>
      <c r="G829" s="14">
        <f>INDEX(Background!$C$4:$C$7,MATCH(C829,Background!$A$4:$A$7,0))</f>
        <v>0.18550136449513679</v>
      </c>
      <c r="H829" s="17">
        <f t="shared" si="51"/>
        <v>0.15076268126681408</v>
      </c>
    </row>
    <row r="830" spans="1:8">
      <c r="A830" s="4" t="s">
        <v>763</v>
      </c>
      <c r="B830" s="4">
        <v>37</v>
      </c>
      <c r="C830" s="4" t="s">
        <v>71</v>
      </c>
      <c r="D830" s="4" t="s">
        <v>781</v>
      </c>
      <c r="E830" s="4" t="str">
        <f t="shared" si="50"/>
        <v>37|C</v>
      </c>
      <c r="F830" s="14">
        <f>INDEX('Emission Stepwise'!$H$2:$H$289,MATCH(E830,'Emission Stepwise'!$C$2:$C$289,0))</f>
        <v>9.8039215686274508E-3</v>
      </c>
      <c r="G830" s="14">
        <f>INDEX(Background!$C$4:$C$7,MATCH(C830,Background!$A$4:$A$7,0))</f>
        <v>0.27646770694842909</v>
      </c>
      <c r="H830" s="17">
        <f t="shared" si="51"/>
        <v>-3.3393115562138669</v>
      </c>
    </row>
    <row r="831" spans="1:8">
      <c r="A831" s="4" t="s">
        <v>763</v>
      </c>
      <c r="B831" s="4">
        <v>38</v>
      </c>
      <c r="C831" s="4" t="s">
        <v>70</v>
      </c>
      <c r="D831" s="4" t="s">
        <v>781</v>
      </c>
      <c r="E831" s="4" t="str">
        <f t="shared" si="50"/>
        <v>38|G</v>
      </c>
      <c r="F831" s="14">
        <f>INDEX('Emission Stepwise'!$H$2:$H$289,MATCH(E831,'Emission Stepwise'!$C$2:$C$289,0))</f>
        <v>9.8039215686274508E-3</v>
      </c>
      <c r="G831" s="14">
        <f>INDEX(Background!$C$4:$C$7,MATCH(C831,Background!$A$4:$A$7,0))</f>
        <v>0.32488979077741237</v>
      </c>
      <c r="H831" s="17">
        <f t="shared" si="51"/>
        <v>-3.5007035538223983</v>
      </c>
    </row>
    <row r="832" spans="1:8">
      <c r="A832" s="4" t="s">
        <v>763</v>
      </c>
      <c r="B832" s="4">
        <v>39</v>
      </c>
      <c r="C832" s="4" t="s">
        <v>72</v>
      </c>
      <c r="D832" s="4" t="s">
        <v>781</v>
      </c>
      <c r="E832" s="4" t="str">
        <f t="shared" si="50"/>
        <v>39|U</v>
      </c>
      <c r="F832" s="14">
        <f>INDEX('Emission Stepwise'!$H$2:$H$289,MATCH(E832,'Emission Stepwise'!$C$2:$C$289,0))</f>
        <v>0.29411764705882354</v>
      </c>
      <c r="G832" s="14">
        <f>INDEX(Background!$C$4:$C$7,MATCH(C832,Background!$A$4:$A$7,0))</f>
        <v>0.21314113777902177</v>
      </c>
      <c r="H832" s="17">
        <f t="shared" si="51"/>
        <v>0.32202528240457201</v>
      </c>
    </row>
    <row r="833" spans="1:8">
      <c r="A833" s="4" t="s">
        <v>763</v>
      </c>
      <c r="B833" s="4">
        <v>40</v>
      </c>
      <c r="C833" s="4" t="s">
        <v>72</v>
      </c>
      <c r="D833" s="4" t="s">
        <v>781</v>
      </c>
      <c r="E833" s="4" t="str">
        <f t="shared" si="50"/>
        <v>40|U</v>
      </c>
      <c r="F833" s="14">
        <f>INDEX('Emission Stepwise'!$H$2:$H$289,MATCH(E833,'Emission Stepwise'!$C$2:$C$289,0))</f>
        <v>4.4117647058823532E-2</v>
      </c>
      <c r="G833" s="14">
        <f>INDEX(Background!$C$4:$C$7,MATCH(C833,Background!$A$4:$A$7,0))</f>
        <v>0.21314113777902177</v>
      </c>
      <c r="H833" s="17">
        <f t="shared" si="51"/>
        <v>-1.5750947024813093</v>
      </c>
    </row>
    <row r="834" spans="1:8">
      <c r="A834" s="4" t="s">
        <v>763</v>
      </c>
      <c r="B834" s="4">
        <v>41</v>
      </c>
      <c r="C834" s="4" t="s">
        <v>72</v>
      </c>
      <c r="D834" s="4" t="s">
        <v>781</v>
      </c>
      <c r="E834" s="4" t="str">
        <f t="shared" si="50"/>
        <v>41|U</v>
      </c>
      <c r="F834" s="14">
        <f>INDEX('Emission Stepwise'!$H$2:$H$289,MATCH(E834,'Emission Stepwise'!$C$2:$C$289,0))</f>
        <v>0.16666666666666666</v>
      </c>
      <c r="G834" s="14">
        <f>INDEX(Background!$C$4:$C$7,MATCH(C834,Background!$A$4:$A$7,0))</f>
        <v>0.21314113777902177</v>
      </c>
      <c r="H834" s="17">
        <f t="shared" si="51"/>
        <v>-0.24595875520136748</v>
      </c>
    </row>
    <row r="835" spans="1:8">
      <c r="A835" s="4" t="s">
        <v>763</v>
      </c>
      <c r="B835" s="4">
        <v>42</v>
      </c>
      <c r="C835" s="4" t="s">
        <v>73</v>
      </c>
      <c r="D835" s="4" t="s">
        <v>781</v>
      </c>
      <c r="E835" s="4" t="str">
        <f t="shared" si="50"/>
        <v>42|A</v>
      </c>
      <c r="F835" s="14">
        <f>INDEX('Emission Stepwise'!$H$2:$H$289,MATCH(E835,'Emission Stepwise'!$C$2:$C$289,0))</f>
        <v>0.24509803921568626</v>
      </c>
      <c r="G835" s="14">
        <f>INDEX(Background!$C$4:$C$7,MATCH(C835,Background!$A$4:$A$7,0))</f>
        <v>0.18550136449513679</v>
      </c>
      <c r="H835" s="17">
        <f t="shared" si="51"/>
        <v>0.27859605277669885</v>
      </c>
    </row>
    <row r="836" spans="1:8">
      <c r="A836" s="4" t="s">
        <v>763</v>
      </c>
      <c r="B836" s="4">
        <v>43</v>
      </c>
      <c r="C836" s="4" t="s">
        <v>71</v>
      </c>
      <c r="D836" s="4" t="s">
        <v>781</v>
      </c>
      <c r="E836" s="4" t="str">
        <f t="shared" si="50"/>
        <v>43|C</v>
      </c>
      <c r="F836" s="14">
        <f>INDEX('Emission Stepwise'!$H$2:$H$289,MATCH(E836,'Emission Stepwise'!$C$2:$C$289,0))</f>
        <v>0.11764705882352941</v>
      </c>
      <c r="G836" s="14">
        <f>INDEX(Background!$C$4:$C$7,MATCH(C836,Background!$A$4:$A$7,0))</f>
        <v>0.27646770694842909</v>
      </c>
      <c r="H836" s="17">
        <f t="shared" si="51"/>
        <v>-0.85440490642586675</v>
      </c>
    </row>
    <row r="837" spans="1:8">
      <c r="A837" s="4" t="s">
        <v>763</v>
      </c>
      <c r="B837" s="4">
        <v>44</v>
      </c>
      <c r="C837" s="4" t="s">
        <v>72</v>
      </c>
      <c r="D837" s="4" t="s">
        <v>781</v>
      </c>
      <c r="E837" s="4" t="str">
        <f t="shared" si="50"/>
        <v>44|U</v>
      </c>
      <c r="F837" s="14">
        <f>INDEX('Emission Stepwise'!$H$2:$H$289,MATCH(E837,'Emission Stepwise'!$C$2:$C$289,0))</f>
        <v>0.11764705882352941</v>
      </c>
      <c r="G837" s="14">
        <f>INDEX(Background!$C$4:$C$7,MATCH(C837,Background!$A$4:$A$7,0))</f>
        <v>0.21314113777902177</v>
      </c>
      <c r="H837" s="17">
        <f t="shared" si="51"/>
        <v>-0.59426544946958315</v>
      </c>
    </row>
    <row r="838" spans="1:8">
      <c r="A838" s="4" t="s">
        <v>763</v>
      </c>
      <c r="B838" s="4">
        <v>45</v>
      </c>
      <c r="C838" s="4" t="s">
        <v>71</v>
      </c>
      <c r="D838" s="4" t="s">
        <v>782</v>
      </c>
      <c r="E838" s="4" t="str">
        <f t="shared" si="50"/>
        <v>45|C</v>
      </c>
      <c r="F838" s="14">
        <f>INDEX('Emission Stepwise'!$H$2:$H$289,MATCH(E838,'Emission Stepwise'!$C$2:$C$289,0))</f>
        <v>2.9702970297029702E-2</v>
      </c>
      <c r="G838" s="14">
        <f>INDEX(Background!$C$4:$C$7,MATCH(C838,Background!$A$4:$A$7,0))</f>
        <v>0.27646770694842909</v>
      </c>
      <c r="H838" s="17">
        <f t="shared" si="51"/>
        <v>-2.2308469711027459</v>
      </c>
    </row>
    <row r="839" spans="1:8">
      <c r="A839" s="4" t="s">
        <v>763</v>
      </c>
      <c r="B839" s="4">
        <v>46</v>
      </c>
      <c r="C839" s="4" t="s">
        <v>72</v>
      </c>
      <c r="D839" s="4" t="s">
        <v>782</v>
      </c>
      <c r="E839" s="4" t="str">
        <f t="shared" si="50"/>
        <v>46|U</v>
      </c>
      <c r="F839" s="14">
        <f>INDEX('Emission Stepwise'!$H$2:$H$289,MATCH(E839,'Emission Stepwise'!$C$2:$C$289,0))</f>
        <v>7.5144508670520235E-2</v>
      </c>
      <c r="G839" s="14">
        <f>INDEX(Background!$C$4:$C$7,MATCH(C839,Background!$A$4:$A$7,0))</f>
        <v>0.21314113777902177</v>
      </c>
      <c r="H839" s="17">
        <f t="shared" si="51"/>
        <v>-1.0425415230095545</v>
      </c>
    </row>
    <row r="840" spans="1:8">
      <c r="A840" s="4" t="s">
        <v>763</v>
      </c>
      <c r="B840" s="4">
        <v>47</v>
      </c>
      <c r="C840" s="4" t="s">
        <v>72</v>
      </c>
      <c r="D840" s="4" t="s">
        <v>782</v>
      </c>
      <c r="E840" s="4" t="str">
        <f t="shared" si="50"/>
        <v>47|U</v>
      </c>
      <c r="F840" s="14">
        <f>INDEX('Emission Stepwise'!$H$2:$H$289,MATCH(E840,'Emission Stepwise'!$C$2:$C$289,0))</f>
        <v>0.66666666666666663</v>
      </c>
      <c r="G840" s="14">
        <f>INDEX(Background!$C$4:$C$7,MATCH(C840,Background!$A$4:$A$7,0))</f>
        <v>0.21314113777902177</v>
      </c>
      <c r="H840" s="17">
        <f t="shared" si="51"/>
        <v>1.1403356059185232</v>
      </c>
    </row>
    <row r="841" spans="1:8">
      <c r="A841" s="4" t="s">
        <v>763</v>
      </c>
      <c r="B841" s="4">
        <v>48</v>
      </c>
      <c r="C841" s="4" t="s">
        <v>72</v>
      </c>
      <c r="D841" s="4" t="s">
        <v>782</v>
      </c>
      <c r="E841" s="4" t="str">
        <f t="shared" si="50"/>
        <v>48|U</v>
      </c>
      <c r="F841" s="14">
        <f>INDEX('Emission Stepwise'!$H$2:$H$289,MATCH(E841,'Emission Stepwise'!$C$2:$C$289,0))</f>
        <v>0.14705882352941177</v>
      </c>
      <c r="G841" s="14">
        <f>INDEX(Background!$C$4:$C$7,MATCH(C841,Background!$A$4:$A$7,0))</f>
        <v>0.21314113777902177</v>
      </c>
      <c r="H841" s="17">
        <f t="shared" si="51"/>
        <v>-0.37112189815537333</v>
      </c>
    </row>
    <row r="842" spans="1:8">
      <c r="A842" s="4" t="s">
        <v>763</v>
      </c>
      <c r="B842" s="4">
        <v>49</v>
      </c>
      <c r="C842" s="4" t="s">
        <v>72</v>
      </c>
      <c r="D842" s="4" t="s">
        <v>783</v>
      </c>
      <c r="E842" s="4" t="str">
        <f t="shared" ref="E842:E873" si="52">B842&amp;"|"&amp;C842</f>
        <v>49|U</v>
      </c>
      <c r="F842" s="14">
        <f>INDEX('Emission Stepwise'!$H$2:$H$289,MATCH(E842,'Emission Stepwise'!$C$2:$C$289,0))</f>
        <v>5.8823529411764705E-2</v>
      </c>
      <c r="G842" s="14">
        <f>INDEX(Background!$C$4:$C$7,MATCH(C842,Background!$A$4:$A$7,0))</f>
        <v>0.21314113777902177</v>
      </c>
      <c r="H842" s="17">
        <f t="shared" ref="H842:H873" si="53">LN(F842/G842)</f>
        <v>-1.2874126300295285</v>
      </c>
    </row>
    <row r="843" spans="1:8">
      <c r="A843" s="4" t="s">
        <v>763</v>
      </c>
      <c r="B843" s="4">
        <v>50</v>
      </c>
      <c r="C843" s="4" t="s">
        <v>72</v>
      </c>
      <c r="D843" s="4" t="s">
        <v>783</v>
      </c>
      <c r="E843" s="4" t="str">
        <f t="shared" si="52"/>
        <v>50|U</v>
      </c>
      <c r="F843" s="14">
        <f>INDEX('Emission Stepwise'!$H$2:$H$289,MATCH(E843,'Emission Stepwise'!$C$2:$C$289,0))</f>
        <v>0.18137254901960784</v>
      </c>
      <c r="G843" s="14">
        <f>INDEX(Background!$C$4:$C$7,MATCH(C843,Background!$A$4:$A$7,0))</f>
        <v>0.21314113777902177</v>
      </c>
      <c r="H843" s="17">
        <f t="shared" si="53"/>
        <v>-0.16140136717330436</v>
      </c>
    </row>
    <row r="844" spans="1:8">
      <c r="A844" s="4" t="s">
        <v>763</v>
      </c>
      <c r="B844" s="4">
        <v>51</v>
      </c>
      <c r="C844" s="4" t="s">
        <v>72</v>
      </c>
      <c r="D844" s="4" t="s">
        <v>783</v>
      </c>
      <c r="E844" s="4" t="str">
        <f t="shared" si="52"/>
        <v>51|U</v>
      </c>
      <c r="F844" s="14">
        <f>INDEX('Emission Stepwise'!$H$2:$H$289,MATCH(E844,'Emission Stepwise'!$C$2:$C$289,0))</f>
        <v>0.15763546798029557</v>
      </c>
      <c r="G844" s="14">
        <f>INDEX(Background!$C$4:$C$7,MATCH(C844,Background!$A$4:$A$7,0))</f>
        <v>0.21314113777902177</v>
      </c>
      <c r="H844" s="17">
        <f t="shared" si="53"/>
        <v>-0.30166936221537316</v>
      </c>
    </row>
    <row r="845" spans="1:8">
      <c r="A845" s="4" t="s">
        <v>763</v>
      </c>
      <c r="B845" s="4">
        <v>52</v>
      </c>
      <c r="C845" s="4" t="s">
        <v>72</v>
      </c>
      <c r="D845" s="4" t="s">
        <v>783</v>
      </c>
      <c r="E845" s="4" t="str">
        <f t="shared" si="52"/>
        <v>52|U</v>
      </c>
      <c r="F845" s="14">
        <f>INDEX('Emission Stepwise'!$H$2:$H$289,MATCH(E845,'Emission Stepwise'!$C$2:$C$289,0))</f>
        <v>2.4509803921568627E-2</v>
      </c>
      <c r="G845" s="14">
        <f>INDEX(Background!$C$4:$C$7,MATCH(C845,Background!$A$4:$A$7,0))</f>
        <v>0.21314113777902177</v>
      </c>
      <c r="H845" s="17">
        <f t="shared" si="53"/>
        <v>-2.1628813673834282</v>
      </c>
    </row>
    <row r="846" spans="1:8">
      <c r="A846" s="4" t="s">
        <v>763</v>
      </c>
      <c r="B846" s="4">
        <v>53</v>
      </c>
      <c r="C846" s="4" t="s">
        <v>70</v>
      </c>
      <c r="D846" s="4" t="s">
        <v>783</v>
      </c>
      <c r="E846" s="4" t="str">
        <f t="shared" si="52"/>
        <v>53|G</v>
      </c>
      <c r="F846" s="14">
        <f>INDEX('Emission Stepwise'!$H$2:$H$289,MATCH(E846,'Emission Stepwise'!$C$2:$C$289,0))</f>
        <v>0.96568627450980393</v>
      </c>
      <c r="G846" s="14">
        <f>INDEX(Background!$C$4:$C$7,MATCH(C846,Background!$A$4:$A$7,0))</f>
        <v>0.32488979077741237</v>
      </c>
      <c r="H846" s="17">
        <f t="shared" si="53"/>
        <v>1.089352994355645</v>
      </c>
    </row>
    <row r="847" spans="1:8">
      <c r="A847" s="4" t="s">
        <v>763</v>
      </c>
      <c r="B847" s="4">
        <v>54</v>
      </c>
      <c r="C847" s="4" t="s">
        <v>72</v>
      </c>
      <c r="D847" s="4" t="s">
        <v>783</v>
      </c>
      <c r="E847" s="4" t="str">
        <f t="shared" si="52"/>
        <v>54|U</v>
      </c>
      <c r="F847" s="14">
        <f>INDEX('Emission Stepwise'!$H$2:$H$289,MATCH(E847,'Emission Stepwise'!$C$2:$C$289,0))</f>
        <v>0.97549019607843135</v>
      </c>
      <c r="G847" s="14">
        <f>INDEX(Background!$C$4:$C$7,MATCH(C847,Background!$A$4:$A$7,0))</f>
        <v>0.21314113777902177</v>
      </c>
      <c r="H847" s="17">
        <f t="shared" si="53"/>
        <v>1.5209855449069636</v>
      </c>
    </row>
    <row r="848" spans="1:8">
      <c r="A848" s="4" t="s">
        <v>763</v>
      </c>
      <c r="B848" s="4">
        <v>55</v>
      </c>
      <c r="C848" s="4" t="s">
        <v>72</v>
      </c>
      <c r="D848" s="4" t="s">
        <v>783</v>
      </c>
      <c r="E848" s="4" t="str">
        <f t="shared" si="52"/>
        <v>55|U</v>
      </c>
      <c r="F848" s="14">
        <f>INDEX('Emission Stepwise'!$H$2:$H$289,MATCH(E848,'Emission Stepwise'!$C$2:$C$289,0))</f>
        <v>0.97058823529411764</v>
      </c>
      <c r="G848" s="14">
        <f>INDEX(Background!$C$4:$C$7,MATCH(C848,Background!$A$4:$A$7,0))</f>
        <v>0.21314113777902177</v>
      </c>
      <c r="H848" s="17">
        <f t="shared" si="53"/>
        <v>1.5159477508770065</v>
      </c>
    </row>
    <row r="849" spans="1:8">
      <c r="A849" s="4" t="s">
        <v>763</v>
      </c>
      <c r="B849" s="4">
        <v>56</v>
      </c>
      <c r="C849" s="4" t="s">
        <v>71</v>
      </c>
      <c r="D849" s="4" t="s">
        <v>783</v>
      </c>
      <c r="E849" s="4" t="str">
        <f t="shared" si="52"/>
        <v>56|C</v>
      </c>
      <c r="F849" s="14">
        <f>INDEX('Emission Stepwise'!$H$2:$H$289,MATCH(E849,'Emission Stepwise'!$C$2:$C$289,0))</f>
        <v>0.96568627450980393</v>
      </c>
      <c r="G849" s="14">
        <f>INDEX(Background!$C$4:$C$7,MATCH(C849,Background!$A$4:$A$7,0))</f>
        <v>0.27646770694842909</v>
      </c>
      <c r="H849" s="17">
        <f t="shared" si="53"/>
        <v>1.250744991964176</v>
      </c>
    </row>
    <row r="850" spans="1:8">
      <c r="A850" s="4" t="s">
        <v>763</v>
      </c>
      <c r="B850" s="4">
        <v>57</v>
      </c>
      <c r="C850" s="4" t="s">
        <v>72</v>
      </c>
      <c r="D850" s="4" t="s">
        <v>783</v>
      </c>
      <c r="E850" s="4" t="str">
        <f t="shared" si="52"/>
        <v>57|U</v>
      </c>
      <c r="F850" s="14">
        <f>INDEX('Emission Stepwise'!$H$2:$H$289,MATCH(E850,'Emission Stepwise'!$C$2:$C$289,0))</f>
        <v>9.852216748768473E-3</v>
      </c>
      <c r="G850" s="14">
        <f>INDEX(Background!$C$4:$C$7,MATCH(C850,Background!$A$4:$A$7,0))</f>
        <v>0.21314113777902177</v>
      </c>
      <c r="H850" s="17">
        <f t="shared" si="53"/>
        <v>-3.0742580844551544</v>
      </c>
    </row>
    <row r="851" spans="1:8">
      <c r="A851" s="4" t="s">
        <v>763</v>
      </c>
      <c r="B851" s="4">
        <v>58</v>
      </c>
      <c r="C851" s="4" t="s">
        <v>73</v>
      </c>
      <c r="D851" s="4" t="s">
        <v>783</v>
      </c>
      <c r="E851" s="4" t="str">
        <f t="shared" si="52"/>
        <v>58|A</v>
      </c>
      <c r="F851" s="14">
        <f>INDEX('Emission Stepwise'!$H$2:$H$289,MATCH(E851,'Emission Stepwise'!$C$2:$C$289,0))</f>
        <v>0.97549019607843135</v>
      </c>
      <c r="G851" s="14">
        <f>INDEX(Background!$C$4:$C$7,MATCH(C851,Background!$A$4:$A$7,0))</f>
        <v>0.18550136449513679</v>
      </c>
      <c r="H851" s="17">
        <f t="shared" si="53"/>
        <v>1.6598778720730452</v>
      </c>
    </row>
    <row r="852" spans="1:8">
      <c r="A852" s="4" t="s">
        <v>763</v>
      </c>
      <c r="B852" s="4">
        <v>59</v>
      </c>
      <c r="C852" s="4" t="s">
        <v>72</v>
      </c>
      <c r="D852" s="4" t="s">
        <v>783</v>
      </c>
      <c r="E852" s="4" t="str">
        <f t="shared" si="52"/>
        <v>59|U</v>
      </c>
      <c r="F852" s="14">
        <f>INDEX('Emission Stepwise'!$H$2:$H$289,MATCH(E852,'Emission Stepwise'!$C$2:$C$289,0))</f>
        <v>0.25</v>
      </c>
      <c r="G852" s="14">
        <f>INDEX(Background!$C$4:$C$7,MATCH(C852,Background!$A$4:$A$7,0))</f>
        <v>0.21314113777902177</v>
      </c>
      <c r="H852" s="17">
        <f t="shared" si="53"/>
        <v>0.15950635290679691</v>
      </c>
    </row>
    <row r="853" spans="1:8">
      <c r="A853" s="4" t="s">
        <v>763</v>
      </c>
      <c r="B853" s="4">
        <v>60</v>
      </c>
      <c r="C853" s="4" t="s">
        <v>71</v>
      </c>
      <c r="D853" s="4" t="s">
        <v>783</v>
      </c>
      <c r="E853" s="4" t="str">
        <f t="shared" si="52"/>
        <v>60|C</v>
      </c>
      <c r="F853" s="14">
        <f>INDEX('Emission Stepwise'!$H$2:$H$289,MATCH(E853,'Emission Stepwise'!$C$2:$C$289,0))</f>
        <v>0.20098039215686275</v>
      </c>
      <c r="G853" s="14">
        <f>INDEX(Background!$C$4:$C$7,MATCH(C853,Background!$A$4:$A$7,0))</f>
        <v>0.27646770694842909</v>
      </c>
      <c r="H853" s="17">
        <f t="shared" si="53"/>
        <v>-0.3188866700695045</v>
      </c>
    </row>
    <row r="854" spans="1:8">
      <c r="A854" s="4" t="s">
        <v>763</v>
      </c>
      <c r="B854" s="4">
        <v>61</v>
      </c>
      <c r="C854" s="4" t="s">
        <v>71</v>
      </c>
      <c r="D854" s="4" t="s">
        <v>783</v>
      </c>
      <c r="E854" s="4" t="str">
        <f t="shared" si="52"/>
        <v>61|C</v>
      </c>
      <c r="F854" s="14">
        <f>INDEX('Emission Stepwise'!$H$2:$H$289,MATCH(E854,'Emission Stepwise'!$C$2:$C$289,0))</f>
        <v>0.97549019607843135</v>
      </c>
      <c r="G854" s="14">
        <f>INDEX(Background!$C$4:$C$7,MATCH(C854,Background!$A$4:$A$7,0))</f>
        <v>0.27646770694842909</v>
      </c>
      <c r="H854" s="17">
        <f t="shared" si="53"/>
        <v>1.26084608795068</v>
      </c>
    </row>
    <row r="855" spans="1:8">
      <c r="A855" s="4" t="s">
        <v>763</v>
      </c>
      <c r="B855" s="4">
        <v>62</v>
      </c>
      <c r="C855" s="4" t="s">
        <v>73</v>
      </c>
      <c r="D855" s="4" t="s">
        <v>783</v>
      </c>
      <c r="E855" s="4" t="str">
        <f t="shared" si="52"/>
        <v>62|A</v>
      </c>
      <c r="F855" s="14">
        <f>INDEX('Emission Stepwise'!$H$2:$H$289,MATCH(E855,'Emission Stepwise'!$C$2:$C$289,0))</f>
        <v>1.9607843137254902E-2</v>
      </c>
      <c r="G855" s="14">
        <f>INDEX(Background!$C$4:$C$7,MATCH(C855,Background!$A$4:$A$7,0))</f>
        <v>0.18550136449513679</v>
      </c>
      <c r="H855" s="17">
        <f t="shared" si="53"/>
        <v>-2.2471325915315568</v>
      </c>
    </row>
    <row r="856" spans="1:8">
      <c r="A856" s="4" t="s">
        <v>763</v>
      </c>
      <c r="B856" s="4">
        <v>63</v>
      </c>
      <c r="C856" s="4" t="s">
        <v>70</v>
      </c>
      <c r="D856" s="4" t="s">
        <v>783</v>
      </c>
      <c r="E856" s="4" t="str">
        <f t="shared" si="52"/>
        <v>63|G</v>
      </c>
      <c r="F856" s="14">
        <f>INDEX('Emission Stepwise'!$H$2:$H$289,MATCH(E856,'Emission Stepwise'!$C$2:$C$289,0))</f>
        <v>0.24019607843137256</v>
      </c>
      <c r="G856" s="14">
        <f>INDEX(Background!$C$4:$C$7,MATCH(C856,Background!$A$4:$A$7,0))</f>
        <v>0.32488979077741237</v>
      </c>
      <c r="H856" s="17">
        <f t="shared" si="53"/>
        <v>-0.30203043627171677</v>
      </c>
    </row>
    <row r="857" spans="1:8">
      <c r="A857" s="4" t="s">
        <v>763</v>
      </c>
      <c r="B857" s="4">
        <v>64</v>
      </c>
      <c r="C857" s="4" t="s">
        <v>70</v>
      </c>
      <c r="D857" s="4" t="s">
        <v>783</v>
      </c>
      <c r="E857" s="4" t="str">
        <f t="shared" si="52"/>
        <v>64|G</v>
      </c>
      <c r="F857" s="14">
        <f>INDEX('Emission Stepwise'!$H$2:$H$289,MATCH(E857,'Emission Stepwise'!$C$2:$C$289,0))</f>
        <v>0.45588235294117646</v>
      </c>
      <c r="G857" s="14">
        <f>INDEX(Background!$C$4:$C$7,MATCH(C857,Background!$A$4:$A$7,0))</f>
        <v>0.32488979077741237</v>
      </c>
      <c r="H857" s="17">
        <f t="shared" si="53"/>
        <v>0.33874875877091259</v>
      </c>
    </row>
    <row r="858" spans="1:8">
      <c r="A858" s="4" t="s">
        <v>763</v>
      </c>
      <c r="B858" s="4">
        <v>65</v>
      </c>
      <c r="C858" s="4" t="s">
        <v>73</v>
      </c>
      <c r="D858" s="4" t="s">
        <v>783</v>
      </c>
      <c r="E858" s="4" t="str">
        <f t="shared" si="52"/>
        <v>65|A</v>
      </c>
      <c r="F858" s="14">
        <f>INDEX('Emission Stepwise'!$H$2:$H$289,MATCH(E858,'Emission Stepwise'!$C$2:$C$289,0))</f>
        <v>4.9261083743842367E-2</v>
      </c>
      <c r="G858" s="14">
        <f>INDEX(Background!$C$4:$C$7,MATCH(C858,Background!$A$4:$A$7,0))</f>
        <v>0.18550136449513679</v>
      </c>
      <c r="H858" s="17">
        <f t="shared" si="53"/>
        <v>-1.3259278448549723</v>
      </c>
    </row>
    <row r="859" spans="1:8">
      <c r="A859" s="4" t="s">
        <v>763</v>
      </c>
      <c r="B859" s="4">
        <v>66</v>
      </c>
      <c r="C859" s="4" t="s">
        <v>72</v>
      </c>
      <c r="D859" s="4" t="s">
        <v>784</v>
      </c>
      <c r="E859" s="4" t="str">
        <f t="shared" si="52"/>
        <v>66|U</v>
      </c>
      <c r="F859" s="14">
        <f>INDEX('Emission Stepwise'!$H$2:$H$289,MATCH(E859,'Emission Stepwise'!$C$2:$C$289,0))</f>
        <v>0.25</v>
      </c>
      <c r="G859" s="14">
        <f>INDEX(Background!$C$4:$C$7,MATCH(C859,Background!$A$4:$A$7,0))</f>
        <v>0.21314113777902177</v>
      </c>
      <c r="H859" s="17">
        <f t="shared" si="53"/>
        <v>0.15950635290679691</v>
      </c>
    </row>
    <row r="860" spans="1:8">
      <c r="A860" s="4" t="s">
        <v>763</v>
      </c>
      <c r="B860" s="4">
        <v>67</v>
      </c>
      <c r="C860" s="4" t="s">
        <v>71</v>
      </c>
      <c r="D860" s="4" t="s">
        <v>784</v>
      </c>
      <c r="E860" s="4" t="str">
        <f t="shared" si="52"/>
        <v>67|C</v>
      </c>
      <c r="F860" s="14">
        <f>INDEX('Emission Stepwise'!$H$2:$H$289,MATCH(E860,'Emission Stepwise'!$C$2:$C$289,0))</f>
        <v>0.22549019607843138</v>
      </c>
      <c r="G860" s="14">
        <f>INDEX(Background!$C$4:$C$7,MATCH(C860,Background!$A$4:$A$7,0))</f>
        <v>0.27646770694842909</v>
      </c>
      <c r="H860" s="17">
        <f t="shared" si="53"/>
        <v>-0.20381734028471743</v>
      </c>
    </row>
    <row r="861" spans="1:8">
      <c r="A861" s="4" t="s">
        <v>763</v>
      </c>
      <c r="B861" s="4">
        <v>68</v>
      </c>
      <c r="C861" s="4" t="s">
        <v>72</v>
      </c>
      <c r="D861" s="4" t="s">
        <v>784</v>
      </c>
      <c r="E861" s="4" t="str">
        <f t="shared" si="52"/>
        <v>68|U</v>
      </c>
      <c r="F861" s="14">
        <f>INDEX('Emission Stepwise'!$H$2:$H$289,MATCH(E861,'Emission Stepwise'!$C$2:$C$289,0))</f>
        <v>0.18137254901960784</v>
      </c>
      <c r="G861" s="14">
        <f>INDEX(Background!$C$4:$C$7,MATCH(C861,Background!$A$4:$A$7,0))</f>
        <v>0.21314113777902177</v>
      </c>
      <c r="H861" s="17">
        <f t="shared" si="53"/>
        <v>-0.16140136717330436</v>
      </c>
    </row>
    <row r="862" spans="1:8">
      <c r="A862" s="4" t="s">
        <v>763</v>
      </c>
      <c r="B862" s="4">
        <v>69</v>
      </c>
      <c r="C862" s="4" t="s">
        <v>73</v>
      </c>
      <c r="D862" s="4" t="s">
        <v>784</v>
      </c>
      <c r="E862" s="4" t="str">
        <f t="shared" si="52"/>
        <v>69|A</v>
      </c>
      <c r="F862" s="14">
        <f>INDEX('Emission Stepwise'!$H$2:$H$289,MATCH(E862,'Emission Stepwise'!$C$2:$C$289,0))</f>
        <v>0.12745098039215685</v>
      </c>
      <c r="G862" s="14">
        <f>INDEX(Background!$C$4:$C$7,MATCH(C862,Background!$A$4:$A$7,0))</f>
        <v>0.18550136449513679</v>
      </c>
      <c r="H862" s="17">
        <f t="shared" si="53"/>
        <v>-0.37533041462996508</v>
      </c>
    </row>
    <row r="863" spans="1:8">
      <c r="A863" s="4" t="s">
        <v>763</v>
      </c>
      <c r="B863" s="4">
        <v>70</v>
      </c>
      <c r="C863" s="4" t="s">
        <v>71</v>
      </c>
      <c r="D863" s="4" t="s">
        <v>784</v>
      </c>
      <c r="E863" s="4" t="str">
        <f t="shared" si="52"/>
        <v>70|C</v>
      </c>
      <c r="F863" s="14">
        <f>INDEX('Emission Stepwise'!$H$2:$H$289,MATCH(E863,'Emission Stepwise'!$C$2:$C$289,0))</f>
        <v>0.35784313725490197</v>
      </c>
      <c r="G863" s="14">
        <f>INDEX(Background!$C$4:$C$7,MATCH(C863,Background!$A$4:$A$7,0))</f>
        <v>0.27646770694842909</v>
      </c>
      <c r="H863" s="17">
        <f t="shared" si="53"/>
        <v>0.25800070437457878</v>
      </c>
    </row>
    <row r="864" spans="1:8">
      <c r="A864" s="4" t="s">
        <v>763</v>
      </c>
      <c r="B864" s="4">
        <v>71</v>
      </c>
      <c r="C864" s="4" t="s">
        <v>72</v>
      </c>
      <c r="D864" s="4" t="s">
        <v>784</v>
      </c>
      <c r="E864" s="4" t="str">
        <f t="shared" si="52"/>
        <v>71|U</v>
      </c>
      <c r="F864" s="14">
        <f>INDEX('Emission Stepwise'!$H$2:$H$289,MATCH(E864,'Emission Stepwise'!$C$2:$C$289,0))</f>
        <v>4.9019607843137254E-2</v>
      </c>
      <c r="G864" s="14">
        <f>INDEX(Background!$C$4:$C$7,MATCH(C864,Background!$A$4:$A$7,0))</f>
        <v>0.21314113777902177</v>
      </c>
      <c r="H864" s="17">
        <f t="shared" si="53"/>
        <v>-1.469734186823483</v>
      </c>
    </row>
    <row r="865" spans="1:8">
      <c r="A865" s="4" t="s">
        <v>763</v>
      </c>
      <c r="B865" s="4">
        <v>72</v>
      </c>
      <c r="C865" s="4" t="s">
        <v>72</v>
      </c>
      <c r="D865" s="4" t="s">
        <v>784</v>
      </c>
      <c r="E865" s="4" t="str">
        <f t="shared" si="52"/>
        <v>72|U</v>
      </c>
      <c r="F865" s="14">
        <f>INDEX('Emission Stepwise'!$H$2:$H$289,MATCH(E865,'Emission Stepwise'!$C$2:$C$289,0))</f>
        <v>0.10784313725490197</v>
      </c>
      <c r="G865" s="14">
        <f>INDEX(Background!$C$4:$C$7,MATCH(C865,Background!$A$4:$A$7,0))</f>
        <v>0.21314113777902177</v>
      </c>
      <c r="H865" s="17">
        <f t="shared" si="53"/>
        <v>-0.68127682645921295</v>
      </c>
    </row>
    <row r="866" spans="1:8">
      <c r="A866" s="4" t="s">
        <v>764</v>
      </c>
      <c r="B866" s="4">
        <v>1</v>
      </c>
      <c r="C866" s="4" t="s">
        <v>72</v>
      </c>
      <c r="D866" s="4" t="s">
        <v>778</v>
      </c>
      <c r="E866" s="4" t="str">
        <f t="shared" si="52"/>
        <v>1|U</v>
      </c>
      <c r="F866" s="14">
        <f>INDEX('Emission Stepwise'!$H$2:$H$289,MATCH(E866,'Emission Stepwise'!$C$2:$C$289,0))</f>
        <v>6.8627450980392163E-2</v>
      </c>
      <c r="G866" s="14">
        <f>INDEX(Background!$C$4:$C$7,MATCH(C866,Background!$A$4:$A$7,0))</f>
        <v>0.21314113777902177</v>
      </c>
      <c r="H866" s="17">
        <f t="shared" si="53"/>
        <v>-1.1332619502022701</v>
      </c>
    </row>
    <row r="867" spans="1:8">
      <c r="A867" s="4" t="s">
        <v>764</v>
      </c>
      <c r="B867" s="4">
        <v>2</v>
      </c>
      <c r="C867" s="4" t="s">
        <v>72</v>
      </c>
      <c r="D867" s="4" t="s">
        <v>778</v>
      </c>
      <c r="E867" s="4" t="str">
        <f t="shared" si="52"/>
        <v>2|U</v>
      </c>
      <c r="F867" s="14">
        <f>INDEX('Emission Stepwise'!$H$2:$H$289,MATCH(E867,'Emission Stepwise'!$C$2:$C$289,0))</f>
        <v>3.4313725490196081E-2</v>
      </c>
      <c r="G867" s="14">
        <f>INDEX(Background!$C$4:$C$7,MATCH(C867,Background!$A$4:$A$7,0))</f>
        <v>0.21314113777902177</v>
      </c>
      <c r="H867" s="17">
        <f t="shared" si="53"/>
        <v>-1.8264091307622154</v>
      </c>
    </row>
    <row r="868" spans="1:8">
      <c r="A868" s="4" t="s">
        <v>764</v>
      </c>
      <c r="B868" s="4">
        <v>3</v>
      </c>
      <c r="C868" s="4" t="s">
        <v>72</v>
      </c>
      <c r="D868" s="4" t="s">
        <v>778</v>
      </c>
      <c r="E868" s="4" t="str">
        <f t="shared" si="52"/>
        <v>3|U</v>
      </c>
      <c r="F868" s="14">
        <f>INDEX('Emission Stepwise'!$H$2:$H$289,MATCH(E868,'Emission Stepwise'!$C$2:$C$289,0))</f>
        <v>0.11764705882352941</v>
      </c>
      <c r="G868" s="14">
        <f>INDEX(Background!$C$4:$C$7,MATCH(C868,Background!$A$4:$A$7,0))</f>
        <v>0.21314113777902177</v>
      </c>
      <c r="H868" s="17">
        <f t="shared" si="53"/>
        <v>-0.59426544946958315</v>
      </c>
    </row>
    <row r="869" spans="1:8">
      <c r="A869" s="4" t="s">
        <v>764</v>
      </c>
      <c r="B869" s="4">
        <v>4</v>
      </c>
      <c r="C869" s="4" t="s">
        <v>73</v>
      </c>
      <c r="D869" s="4" t="s">
        <v>778</v>
      </c>
      <c r="E869" s="4" t="str">
        <f t="shared" si="52"/>
        <v>4|A</v>
      </c>
      <c r="F869" s="14">
        <f>INDEX('Emission Stepwise'!$H$2:$H$289,MATCH(E869,'Emission Stepwise'!$C$2:$C$289,0))</f>
        <v>8.3333333333333329E-2</v>
      </c>
      <c r="G869" s="14">
        <f>INDEX(Background!$C$4:$C$7,MATCH(C869,Background!$A$4:$A$7,0))</f>
        <v>0.18550136449513679</v>
      </c>
      <c r="H869" s="17">
        <f t="shared" si="53"/>
        <v>-0.80021360859523116</v>
      </c>
    </row>
    <row r="870" spans="1:8">
      <c r="A870" s="4" t="s">
        <v>764</v>
      </c>
      <c r="B870" s="4">
        <v>5</v>
      </c>
      <c r="C870" s="4" t="s">
        <v>70</v>
      </c>
      <c r="D870" s="4" t="s">
        <v>778</v>
      </c>
      <c r="E870" s="4" t="str">
        <f t="shared" si="52"/>
        <v>5|G</v>
      </c>
      <c r="F870" s="14">
        <f>INDEX('Emission Stepwise'!$H$2:$H$289,MATCH(E870,'Emission Stepwise'!$C$2:$C$289,0))</f>
        <v>0.34313725490196079</v>
      </c>
      <c r="G870" s="14">
        <f>INDEX(Background!$C$4:$C$7,MATCH(C870,Background!$A$4:$A$7,0))</f>
        <v>0.32488979077741237</v>
      </c>
      <c r="H870" s="17">
        <f t="shared" si="53"/>
        <v>5.4644507667015618E-2</v>
      </c>
    </row>
    <row r="871" spans="1:8">
      <c r="A871" s="4" t="s">
        <v>764</v>
      </c>
      <c r="B871" s="4">
        <v>6</v>
      </c>
      <c r="C871" s="4" t="s">
        <v>73</v>
      </c>
      <c r="D871" s="4" t="s">
        <v>778</v>
      </c>
      <c r="E871" s="4" t="str">
        <f t="shared" si="52"/>
        <v>6|A</v>
      </c>
      <c r="F871" s="14">
        <f>INDEX('Emission Stepwise'!$H$2:$H$289,MATCH(E871,'Emission Stepwise'!$C$2:$C$289,0))</f>
        <v>0.17156862745098039</v>
      </c>
      <c r="G871" s="14">
        <f>INDEX(Background!$C$4:$C$7,MATCH(C871,Background!$A$4:$A$7,0))</f>
        <v>0.18550136449513679</v>
      </c>
      <c r="H871" s="17">
        <f t="shared" si="53"/>
        <v>-7.8078891162033495E-2</v>
      </c>
    </row>
    <row r="872" spans="1:8">
      <c r="A872" s="4" t="s">
        <v>764</v>
      </c>
      <c r="B872" s="4">
        <v>7</v>
      </c>
      <c r="C872" s="4" t="s">
        <v>72</v>
      </c>
      <c r="D872" s="4" t="s">
        <v>778</v>
      </c>
      <c r="E872" s="4" t="str">
        <f t="shared" si="52"/>
        <v>7|U</v>
      </c>
      <c r="F872" s="14">
        <f>INDEX('Emission Stepwise'!$H$2:$H$289,MATCH(E872,'Emission Stepwise'!$C$2:$C$289,0))</f>
        <v>0.22058823529411764</v>
      </c>
      <c r="G872" s="14">
        <f>INDEX(Background!$C$4:$C$7,MATCH(C872,Background!$A$4:$A$7,0))</f>
        <v>0.21314113777902177</v>
      </c>
      <c r="H872" s="17">
        <f t="shared" si="53"/>
        <v>3.4343209952791019E-2</v>
      </c>
    </row>
    <row r="873" spans="1:8">
      <c r="A873" s="4" t="s">
        <v>764</v>
      </c>
      <c r="B873" s="4">
        <v>8</v>
      </c>
      <c r="C873" s="4" t="s">
        <v>72</v>
      </c>
      <c r="D873" s="4" t="s">
        <v>779</v>
      </c>
      <c r="E873" s="4" t="str">
        <f t="shared" si="52"/>
        <v>8|U</v>
      </c>
      <c r="F873" s="14">
        <f>INDEX('Emission Stepwise'!$H$2:$H$289,MATCH(E873,'Emission Stepwise'!$C$2:$C$289,0))</f>
        <v>0.97549019607843135</v>
      </c>
      <c r="G873" s="14">
        <f>INDEX(Background!$C$4:$C$7,MATCH(C873,Background!$A$4:$A$7,0))</f>
        <v>0.21314113777902177</v>
      </c>
      <c r="H873" s="17">
        <f t="shared" si="53"/>
        <v>1.5209855449069636</v>
      </c>
    </row>
    <row r="874" spans="1:8">
      <c r="A874" s="4" t="s">
        <v>764</v>
      </c>
      <c r="B874" s="4">
        <v>9</v>
      </c>
      <c r="C874" s="4" t="s">
        <v>73</v>
      </c>
      <c r="D874" s="4" t="s">
        <v>780</v>
      </c>
      <c r="E874" s="4" t="str">
        <f t="shared" ref="E874:E880" si="54">B874&amp;"|"&amp;C874</f>
        <v>9|A</v>
      </c>
      <c r="F874" s="14">
        <f>INDEX('Emission Stepwise'!$H$2:$H$289,MATCH(E874,'Emission Stepwise'!$C$2:$C$289,0))</f>
        <v>0.65024630541871919</v>
      </c>
      <c r="G874" s="14">
        <f>INDEX(Background!$C$4:$C$7,MATCH(C874,Background!$A$4:$A$7,0))</f>
        <v>0.18550136449513679</v>
      </c>
      <c r="H874" s="17">
        <f t="shared" ref="H874:H905" si="55">LN(F874/G874)</f>
        <v>1.2542889847373526</v>
      </c>
    </row>
    <row r="875" spans="1:8">
      <c r="A875" s="4" t="s">
        <v>764</v>
      </c>
      <c r="B875" s="4">
        <v>10</v>
      </c>
      <c r="C875" s="4" t="s">
        <v>72</v>
      </c>
      <c r="D875" s="4" t="s">
        <v>780</v>
      </c>
      <c r="E875" s="4" t="str">
        <f t="shared" si="54"/>
        <v>10|U</v>
      </c>
      <c r="F875" s="14">
        <f>INDEX('Emission Stepwise'!$H$2:$H$289,MATCH(E875,'Emission Stepwise'!$C$2:$C$289,0))</f>
        <v>4.9019607843137254E-3</v>
      </c>
      <c r="G875" s="14">
        <f>INDEX(Background!$C$4:$C$7,MATCH(C875,Background!$A$4:$A$7,0))</f>
        <v>0.21314113777902177</v>
      </c>
      <c r="H875" s="17">
        <f t="shared" si="55"/>
        <v>-3.7723192798175287</v>
      </c>
    </row>
    <row r="876" spans="1:8">
      <c r="A876" s="4" t="s">
        <v>764</v>
      </c>
      <c r="B876" s="4">
        <v>11</v>
      </c>
      <c r="C876" s="4" t="s">
        <v>70</v>
      </c>
      <c r="D876" s="4" t="s">
        <v>780</v>
      </c>
      <c r="E876" s="4" t="str">
        <f t="shared" si="54"/>
        <v>11|G</v>
      </c>
      <c r="F876" s="14">
        <f>INDEX('Emission Stepwise'!$H$2:$H$289,MATCH(E876,'Emission Stepwise'!$C$2:$C$289,0))</f>
        <v>3.4313725490196081E-2</v>
      </c>
      <c r="G876" s="14">
        <f>INDEX(Background!$C$4:$C$7,MATCH(C876,Background!$A$4:$A$7,0))</f>
        <v>0.32488979077741237</v>
      </c>
      <c r="H876" s="17">
        <f t="shared" si="55"/>
        <v>-2.2479405853270302</v>
      </c>
    </row>
    <row r="877" spans="1:8">
      <c r="A877" s="4" t="s">
        <v>764</v>
      </c>
      <c r="B877" s="4">
        <v>12</v>
      </c>
      <c r="C877" s="4" t="s">
        <v>72</v>
      </c>
      <c r="D877" s="4" t="s">
        <v>780</v>
      </c>
      <c r="E877" s="4" t="str">
        <f t="shared" si="54"/>
        <v>12|U</v>
      </c>
      <c r="F877" s="14">
        <f>INDEX('Emission Stepwise'!$H$2:$H$289,MATCH(E877,'Emission Stepwise'!$C$2:$C$289,0))</f>
        <v>0.59313725490196079</v>
      </c>
      <c r="G877" s="14">
        <f>INDEX(Background!$C$4:$C$7,MATCH(C877,Background!$A$4:$A$7,0))</f>
        <v>0.21314113777902177</v>
      </c>
      <c r="H877" s="17">
        <f t="shared" si="55"/>
        <v>1.0234712657792122</v>
      </c>
    </row>
    <row r="878" spans="1:8">
      <c r="A878" s="4" t="s">
        <v>764</v>
      </c>
      <c r="B878" s="4">
        <v>13</v>
      </c>
      <c r="C878" s="4" t="s">
        <v>70</v>
      </c>
      <c r="D878" s="4" t="s">
        <v>780</v>
      </c>
      <c r="E878" s="4" t="str">
        <f t="shared" si="54"/>
        <v>13|G</v>
      </c>
      <c r="F878" s="14">
        <f>INDEX('Emission Stepwise'!$H$2:$H$289,MATCH(E878,'Emission Stepwise'!$C$2:$C$289,0))</f>
        <v>9.8039215686274508E-2</v>
      </c>
      <c r="G878" s="14">
        <f>INDEX(Background!$C$4:$C$7,MATCH(C878,Background!$A$4:$A$7,0))</f>
        <v>0.32488979077741237</v>
      </c>
      <c r="H878" s="17">
        <f t="shared" si="55"/>
        <v>-1.1981184608283524</v>
      </c>
    </row>
    <row r="879" spans="1:8">
      <c r="A879" s="4" t="s">
        <v>764</v>
      </c>
      <c r="B879" s="4">
        <v>14</v>
      </c>
      <c r="C879" s="4" t="s">
        <v>70</v>
      </c>
      <c r="D879" s="4" t="s">
        <v>780</v>
      </c>
      <c r="E879" s="4" t="str">
        <f t="shared" si="54"/>
        <v>14|G</v>
      </c>
      <c r="F879" s="14">
        <f>INDEX('Emission Stepwise'!$H$2:$H$289,MATCH(E879,'Emission Stepwise'!$C$2:$C$289,0))</f>
        <v>9.8039215686274508E-3</v>
      </c>
      <c r="G879" s="14">
        <f>INDEX(Background!$C$4:$C$7,MATCH(C879,Background!$A$4:$A$7,0))</f>
        <v>0.32488979077741237</v>
      </c>
      <c r="H879" s="17">
        <f t="shared" si="55"/>
        <v>-3.5007035538223983</v>
      </c>
    </row>
    <row r="880" spans="1:8">
      <c r="A880" s="4" t="s">
        <v>764</v>
      </c>
      <c r="B880" s="4">
        <v>15</v>
      </c>
      <c r="C880" s="4" t="s">
        <v>72</v>
      </c>
      <c r="D880" s="4" t="s">
        <v>780</v>
      </c>
      <c r="E880" s="4" t="str">
        <f t="shared" si="54"/>
        <v>15|U</v>
      </c>
      <c r="F880" s="14">
        <f>INDEX('Emission Stepwise'!$H$2:$H$289,MATCH(E880,'Emission Stepwise'!$C$2:$C$289,0))</f>
        <v>1.4778325123152709E-2</v>
      </c>
      <c r="G880" s="14">
        <f>INDEX(Background!$C$4:$C$7,MATCH(C880,Background!$A$4:$A$7,0))</f>
        <v>0.21314113777902177</v>
      </c>
      <c r="H880" s="17">
        <f t="shared" si="55"/>
        <v>-2.6687929763469902</v>
      </c>
    </row>
    <row r="881" spans="1:8">
      <c r="A881" s="4" t="s">
        <v>764</v>
      </c>
      <c r="B881" s="4">
        <v>16</v>
      </c>
      <c r="C881" s="4" t="s">
        <v>77</v>
      </c>
      <c r="D881" s="4" t="s">
        <v>780</v>
      </c>
      <c r="E881" s="4"/>
      <c r="F881" s="4"/>
      <c r="G881" s="4"/>
      <c r="H881" s="4"/>
    </row>
    <row r="882" spans="1:8">
      <c r="A882" s="4" t="s">
        <v>764</v>
      </c>
      <c r="B882" s="4">
        <v>17</v>
      </c>
      <c r="C882" s="4" t="s">
        <v>73</v>
      </c>
      <c r="D882" s="4" t="s">
        <v>780</v>
      </c>
      <c r="E882" s="4" t="str">
        <f t="shared" ref="E882:E945" si="56">B882&amp;"|"&amp;C882</f>
        <v>17|A</v>
      </c>
      <c r="F882" s="14">
        <f>INDEX('Emission Stepwise'!$H$2:$H$289,MATCH(E882,'Emission Stepwise'!$C$2:$C$289,0))</f>
        <v>6.4676616915422883E-2</v>
      </c>
      <c r="G882" s="14">
        <f>INDEX(Background!$C$4:$C$7,MATCH(C882,Background!$A$4:$A$7,0))</f>
        <v>0.18550136449513679</v>
      </c>
      <c r="H882" s="17">
        <f t="shared" ref="H882:H945" si="57">LN(F882/G882)</f>
        <v>-1.0536625094047698</v>
      </c>
    </row>
    <row r="883" spans="1:8">
      <c r="A883" s="4" t="s">
        <v>764</v>
      </c>
      <c r="B883" s="4">
        <v>18</v>
      </c>
      <c r="C883" s="4" t="s">
        <v>70</v>
      </c>
      <c r="D883" s="4" t="s">
        <v>780</v>
      </c>
      <c r="E883" s="4" t="str">
        <f t="shared" si="56"/>
        <v>18|G</v>
      </c>
      <c r="F883" s="14">
        <f>INDEX('Emission Stepwise'!$H$2:$H$289,MATCH(E883,'Emission Stepwise'!$C$2:$C$289,0))</f>
        <v>0.98039215686274506</v>
      </c>
      <c r="G883" s="14">
        <f>INDEX(Background!$C$4:$C$7,MATCH(C883,Background!$A$4:$A$7,0))</f>
        <v>0.32488979077741237</v>
      </c>
      <c r="H883" s="17">
        <f t="shared" si="57"/>
        <v>1.1044666321656933</v>
      </c>
    </row>
    <row r="884" spans="1:8">
      <c r="A884" s="4" t="s">
        <v>764</v>
      </c>
      <c r="B884" s="4">
        <v>19</v>
      </c>
      <c r="C884" s="4" t="s">
        <v>70</v>
      </c>
      <c r="D884" s="4" t="s">
        <v>780</v>
      </c>
      <c r="E884" s="4" t="str">
        <f t="shared" si="56"/>
        <v>19|G</v>
      </c>
      <c r="F884" s="14">
        <f>INDEX('Emission Stepwise'!$H$2:$H$289,MATCH(E884,'Emission Stepwise'!$C$2:$C$289,0))</f>
        <v>0.97058823529411764</v>
      </c>
      <c r="G884" s="14">
        <f>INDEX(Background!$C$4:$C$7,MATCH(C884,Background!$A$4:$A$7,0))</f>
        <v>0.32488979077741237</v>
      </c>
      <c r="H884" s="17">
        <f t="shared" si="57"/>
        <v>1.0944162963121917</v>
      </c>
    </row>
    <row r="885" spans="1:8">
      <c r="A885" s="4" t="s">
        <v>764</v>
      </c>
      <c r="B885" s="4">
        <v>20</v>
      </c>
      <c r="C885" s="4" t="s">
        <v>72</v>
      </c>
      <c r="D885" s="4" t="s">
        <v>780</v>
      </c>
      <c r="E885" s="4" t="str">
        <f t="shared" si="56"/>
        <v>20|U</v>
      </c>
      <c r="F885" s="14">
        <f>INDEX('Emission Stepwise'!$H$2:$H$289,MATCH(E885,'Emission Stepwise'!$C$2:$C$289,0))</f>
        <v>0.59113300492610843</v>
      </c>
      <c r="G885" s="14">
        <f>INDEX(Background!$C$4:$C$7,MATCH(C885,Background!$A$4:$A$7,0))</f>
        <v>0.21314113777902177</v>
      </c>
      <c r="H885" s="17">
        <f t="shared" si="57"/>
        <v>1.0200864777669463</v>
      </c>
    </row>
    <row r="886" spans="1:8">
      <c r="A886" s="4" t="s">
        <v>764</v>
      </c>
      <c r="B886" s="4">
        <v>21</v>
      </c>
      <c r="C886" s="4" t="s">
        <v>72</v>
      </c>
      <c r="D886" s="4" t="s">
        <v>780</v>
      </c>
      <c r="E886" s="4" t="str">
        <f t="shared" si="56"/>
        <v>21|U</v>
      </c>
      <c r="F886" s="14">
        <f>INDEX('Emission Stepwise'!$H$2:$H$289,MATCH(E886,'Emission Stepwise'!$C$2:$C$289,0))</f>
        <v>5.3921568627450983E-2</v>
      </c>
      <c r="G886" s="14">
        <f>INDEX(Background!$C$4:$C$7,MATCH(C886,Background!$A$4:$A$7,0))</f>
        <v>0.21314113777902177</v>
      </c>
      <c r="H886" s="17">
        <f t="shared" si="57"/>
        <v>-1.3744240070191582</v>
      </c>
    </row>
    <row r="887" spans="1:8">
      <c r="A887" s="4" t="s">
        <v>764</v>
      </c>
      <c r="B887" s="4">
        <v>22</v>
      </c>
      <c r="C887" s="4" t="s">
        <v>70</v>
      </c>
      <c r="D887" s="4" t="s">
        <v>780</v>
      </c>
      <c r="E887" s="4" t="str">
        <f t="shared" si="56"/>
        <v>22|G</v>
      </c>
      <c r="F887" s="14">
        <f>INDEX('Emission Stepwise'!$H$2:$H$289,MATCH(E887,'Emission Stepwise'!$C$2:$C$289,0))</f>
        <v>0.71568627450980393</v>
      </c>
      <c r="G887" s="14">
        <f>INDEX(Background!$C$4:$C$7,MATCH(C887,Background!$A$4:$A$7,0))</f>
        <v>0.32488979077741237</v>
      </c>
      <c r="H887" s="17">
        <f t="shared" si="57"/>
        <v>0.789755887325993</v>
      </c>
    </row>
    <row r="888" spans="1:8">
      <c r="A888" s="4" t="s">
        <v>764</v>
      </c>
      <c r="B888" s="4">
        <v>23</v>
      </c>
      <c r="C888" s="4" t="s">
        <v>70</v>
      </c>
      <c r="D888" s="4" t="s">
        <v>780</v>
      </c>
      <c r="E888" s="4" t="str">
        <f t="shared" si="56"/>
        <v>23|G</v>
      </c>
      <c r="F888" s="14">
        <f>INDEX('Emission Stepwise'!$H$2:$H$289,MATCH(E888,'Emission Stepwise'!$C$2:$C$289,0))</f>
        <v>0.14705882352941177</v>
      </c>
      <c r="G888" s="14">
        <f>INDEX(Background!$C$4:$C$7,MATCH(C888,Background!$A$4:$A$7,0))</f>
        <v>0.32488979077741237</v>
      </c>
      <c r="H888" s="17">
        <f t="shared" si="57"/>
        <v>-0.792653352720188</v>
      </c>
    </row>
    <row r="889" spans="1:8">
      <c r="A889" s="4" t="s">
        <v>764</v>
      </c>
      <c r="B889" s="4">
        <v>24</v>
      </c>
      <c r="C889" s="4" t="s">
        <v>72</v>
      </c>
      <c r="D889" s="4" t="s">
        <v>780</v>
      </c>
      <c r="E889" s="4" t="str">
        <f t="shared" si="56"/>
        <v>24|U</v>
      </c>
      <c r="F889" s="14">
        <f>INDEX('Emission Stepwise'!$H$2:$H$289,MATCH(E889,'Emission Stepwise'!$C$2:$C$289,0))</f>
        <v>3.9215686274509803E-2</v>
      </c>
      <c r="G889" s="14">
        <f>INDEX(Background!$C$4:$C$7,MATCH(C889,Background!$A$4:$A$7,0))</f>
        <v>0.21314113777902177</v>
      </c>
      <c r="H889" s="17">
        <f t="shared" si="57"/>
        <v>-1.6928777381376929</v>
      </c>
    </row>
    <row r="890" spans="1:8">
      <c r="A890" s="4" t="s">
        <v>764</v>
      </c>
      <c r="B890" s="4">
        <v>25</v>
      </c>
      <c r="C890" s="4" t="s">
        <v>70</v>
      </c>
      <c r="D890" s="4" t="s">
        <v>780</v>
      </c>
      <c r="E890" s="4" t="str">
        <f t="shared" si="56"/>
        <v>25|G</v>
      </c>
      <c r="F890" s="14">
        <f>INDEX('Emission Stepwise'!$H$2:$H$289,MATCH(E890,'Emission Stepwise'!$C$2:$C$289,0))</f>
        <v>3.9215686274509803E-2</v>
      </c>
      <c r="G890" s="14">
        <f>INDEX(Background!$C$4:$C$7,MATCH(C890,Background!$A$4:$A$7,0))</f>
        <v>0.32488979077741237</v>
      </c>
      <c r="H890" s="17">
        <f t="shared" si="57"/>
        <v>-2.1144091927025075</v>
      </c>
    </row>
    <row r="891" spans="1:8">
      <c r="A891" s="4" t="s">
        <v>764</v>
      </c>
      <c r="B891" s="4">
        <v>26</v>
      </c>
      <c r="C891" s="4" t="s">
        <v>72</v>
      </c>
      <c r="D891" s="4" t="s">
        <v>781</v>
      </c>
      <c r="E891" s="4" t="str">
        <f t="shared" si="56"/>
        <v>26|U</v>
      </c>
      <c r="F891" s="14">
        <f>INDEX('Emission Stepwise'!$H$2:$H$289,MATCH(E891,'Emission Stepwise'!$C$2:$C$289,0))</f>
        <v>5.8823529411764705E-2</v>
      </c>
      <c r="G891" s="14">
        <f>INDEX(Background!$C$4:$C$7,MATCH(C891,Background!$A$4:$A$7,0))</f>
        <v>0.21314113777902177</v>
      </c>
      <c r="H891" s="17">
        <f t="shared" si="57"/>
        <v>-1.2874126300295285</v>
      </c>
    </row>
    <row r="892" spans="1:8">
      <c r="A892" s="4" t="s">
        <v>764</v>
      </c>
      <c r="B892" s="4">
        <v>27</v>
      </c>
      <c r="C892" s="4" t="s">
        <v>72</v>
      </c>
      <c r="D892" s="4" t="s">
        <v>781</v>
      </c>
      <c r="E892" s="4" t="str">
        <f t="shared" si="56"/>
        <v>27|U</v>
      </c>
      <c r="F892" s="14">
        <f>INDEX('Emission Stepwise'!$H$2:$H$289,MATCH(E892,'Emission Stepwise'!$C$2:$C$289,0))</f>
        <v>0.25980392156862747</v>
      </c>
      <c r="G892" s="14">
        <f>INDEX(Background!$C$4:$C$7,MATCH(C892,Background!$A$4:$A$7,0))</f>
        <v>0.21314113777902177</v>
      </c>
      <c r="H892" s="17">
        <f t="shared" si="57"/>
        <v>0.19797263373459306</v>
      </c>
    </row>
    <row r="893" spans="1:8">
      <c r="A893" s="4" t="s">
        <v>764</v>
      </c>
      <c r="B893" s="4">
        <v>28</v>
      </c>
      <c r="C893" s="4" t="s">
        <v>70</v>
      </c>
      <c r="D893" s="4" t="s">
        <v>781</v>
      </c>
      <c r="E893" s="4" t="str">
        <f t="shared" si="56"/>
        <v>28|G</v>
      </c>
      <c r="F893" s="14">
        <f>INDEX('Emission Stepwise'!$H$2:$H$289,MATCH(E893,'Emission Stepwise'!$C$2:$C$289,0))</f>
        <v>0.11274509803921569</v>
      </c>
      <c r="G893" s="14">
        <f>INDEX(Background!$C$4:$C$7,MATCH(C893,Background!$A$4:$A$7,0))</f>
        <v>0.32488979077741237</v>
      </c>
      <c r="H893" s="17">
        <f t="shared" si="57"/>
        <v>-1.0583565184531936</v>
      </c>
    </row>
    <row r="894" spans="1:8">
      <c r="A894" s="4" t="s">
        <v>764</v>
      </c>
      <c r="B894" s="4">
        <v>29</v>
      </c>
      <c r="C894" s="4" t="s">
        <v>72</v>
      </c>
      <c r="D894" s="4" t="s">
        <v>781</v>
      </c>
      <c r="E894" s="4" t="str">
        <f t="shared" si="56"/>
        <v>29|U</v>
      </c>
      <c r="F894" s="14">
        <f>INDEX('Emission Stepwise'!$H$2:$H$289,MATCH(E894,'Emission Stepwise'!$C$2:$C$289,0))</f>
        <v>0.27450980392156865</v>
      </c>
      <c r="G894" s="14">
        <f>INDEX(Background!$C$4:$C$7,MATCH(C894,Background!$A$4:$A$7,0))</f>
        <v>0.21314113777902177</v>
      </c>
      <c r="H894" s="17">
        <f t="shared" si="57"/>
        <v>0.25303241091762058</v>
      </c>
    </row>
    <row r="895" spans="1:8">
      <c r="A895" s="4" t="s">
        <v>764</v>
      </c>
      <c r="B895" s="4">
        <v>30</v>
      </c>
      <c r="C895" s="4" t="s">
        <v>72</v>
      </c>
      <c r="D895" s="4" t="s">
        <v>781</v>
      </c>
      <c r="E895" s="4" t="str">
        <f t="shared" si="56"/>
        <v>30|U</v>
      </c>
      <c r="F895" s="14">
        <f>INDEX('Emission Stepwise'!$H$2:$H$289,MATCH(E895,'Emission Stepwise'!$C$2:$C$289,0))</f>
        <v>3.9215686274509803E-2</v>
      </c>
      <c r="G895" s="14">
        <f>INDEX(Background!$C$4:$C$7,MATCH(C895,Background!$A$4:$A$7,0))</f>
        <v>0.21314113777902177</v>
      </c>
      <c r="H895" s="17">
        <f t="shared" si="57"/>
        <v>-1.6928777381376929</v>
      </c>
    </row>
    <row r="896" spans="1:8">
      <c r="A896" s="4" t="s">
        <v>764</v>
      </c>
      <c r="B896" s="4">
        <v>31</v>
      </c>
      <c r="C896" s="4" t="s">
        <v>72</v>
      </c>
      <c r="D896" s="4" t="s">
        <v>781</v>
      </c>
      <c r="E896" s="4" t="str">
        <f t="shared" si="56"/>
        <v>31|U</v>
      </c>
      <c r="F896" s="14">
        <f>INDEX('Emission Stepwise'!$H$2:$H$289,MATCH(E896,'Emission Stepwise'!$C$2:$C$289,0))</f>
        <v>9.8039215686274508E-2</v>
      </c>
      <c r="G896" s="14">
        <f>INDEX(Background!$C$4:$C$7,MATCH(C896,Background!$A$4:$A$7,0))</f>
        <v>0.21314113777902177</v>
      </c>
      <c r="H896" s="17">
        <f t="shared" si="57"/>
        <v>-0.77658700626353783</v>
      </c>
    </row>
    <row r="897" spans="1:8">
      <c r="A897" s="4" t="s">
        <v>764</v>
      </c>
      <c r="B897" s="4">
        <v>32</v>
      </c>
      <c r="C897" s="4" t="s">
        <v>72</v>
      </c>
      <c r="D897" s="4" t="s">
        <v>781</v>
      </c>
      <c r="E897" s="4" t="str">
        <f t="shared" si="56"/>
        <v>32|U</v>
      </c>
      <c r="F897" s="14">
        <f>INDEX('Emission Stepwise'!$H$2:$H$289,MATCH(E897,'Emission Stepwise'!$C$2:$C$289,0))</f>
        <v>0.29411764705882354</v>
      </c>
      <c r="G897" s="14">
        <f>INDEX(Background!$C$4:$C$7,MATCH(C897,Background!$A$4:$A$7,0))</f>
        <v>0.21314113777902177</v>
      </c>
      <c r="H897" s="17">
        <f t="shared" si="57"/>
        <v>0.32202528240457201</v>
      </c>
    </row>
    <row r="898" spans="1:8">
      <c r="A898" s="4" t="s">
        <v>764</v>
      </c>
      <c r="B898" s="4">
        <v>33</v>
      </c>
      <c r="C898" s="4" t="s">
        <v>72</v>
      </c>
      <c r="D898" s="4" t="s">
        <v>781</v>
      </c>
      <c r="E898" s="4" t="str">
        <f t="shared" si="56"/>
        <v>33|U</v>
      </c>
      <c r="F898" s="14">
        <f>INDEX('Emission Stepwise'!$H$2:$H$289,MATCH(E898,'Emission Stepwise'!$C$2:$C$289,0))</f>
        <v>0.97549019607843135</v>
      </c>
      <c r="G898" s="14">
        <f>INDEX(Background!$C$4:$C$7,MATCH(C898,Background!$A$4:$A$7,0))</f>
        <v>0.21314113777902177</v>
      </c>
      <c r="H898" s="17">
        <f t="shared" si="57"/>
        <v>1.5209855449069636</v>
      </c>
    </row>
    <row r="899" spans="1:8">
      <c r="A899" s="4" t="s">
        <v>764</v>
      </c>
      <c r="B899" s="4">
        <v>34</v>
      </c>
      <c r="C899" s="4" t="s">
        <v>71</v>
      </c>
      <c r="D899" s="4" t="s">
        <v>781</v>
      </c>
      <c r="E899" s="4" t="str">
        <f t="shared" si="56"/>
        <v>34|C</v>
      </c>
      <c r="F899" s="14">
        <f>INDEX('Emission Stepwise'!$H$2:$H$289,MATCH(E899,'Emission Stepwise'!$C$2:$C$289,0))</f>
        <v>0.32843137254901961</v>
      </c>
      <c r="G899" s="14">
        <f>INDEX(Background!$C$4:$C$7,MATCH(C899,Background!$A$4:$A$7,0))</f>
        <v>0.27646770694842909</v>
      </c>
      <c r="H899" s="17">
        <f t="shared" si="57"/>
        <v>0.17223388261715358</v>
      </c>
    </row>
    <row r="900" spans="1:8">
      <c r="A900" s="4" t="s">
        <v>764</v>
      </c>
      <c r="B900" s="4">
        <v>35</v>
      </c>
      <c r="C900" s="4" t="s">
        <v>72</v>
      </c>
      <c r="D900" s="4" t="s">
        <v>781</v>
      </c>
      <c r="E900" s="4" t="str">
        <f t="shared" si="56"/>
        <v>35|U</v>
      </c>
      <c r="F900" s="14">
        <f>INDEX('Emission Stepwise'!$H$2:$H$289,MATCH(E900,'Emission Stepwise'!$C$2:$C$289,0))</f>
        <v>0.20588235294117646</v>
      </c>
      <c r="G900" s="14">
        <f>INDEX(Background!$C$4:$C$7,MATCH(C900,Background!$A$4:$A$7,0))</f>
        <v>0.21314113777902177</v>
      </c>
      <c r="H900" s="17">
        <f t="shared" si="57"/>
        <v>-3.4649661534160589E-2</v>
      </c>
    </row>
    <row r="901" spans="1:8">
      <c r="A901" s="4" t="s">
        <v>764</v>
      </c>
      <c r="B901" s="4">
        <v>36</v>
      </c>
      <c r="C901" s="4" t="s">
        <v>73</v>
      </c>
      <c r="D901" s="4" t="s">
        <v>781</v>
      </c>
      <c r="E901" s="4" t="str">
        <f t="shared" si="56"/>
        <v>36|A</v>
      </c>
      <c r="F901" s="14">
        <f>INDEX('Emission Stepwise'!$H$2:$H$289,MATCH(E901,'Emission Stepwise'!$C$2:$C$289,0))</f>
        <v>0.21568627450980393</v>
      </c>
      <c r="G901" s="14">
        <f>INDEX(Background!$C$4:$C$7,MATCH(C901,Background!$A$4:$A$7,0))</f>
        <v>0.18550136449513679</v>
      </c>
      <c r="H901" s="17">
        <f t="shared" si="57"/>
        <v>0.15076268126681408</v>
      </c>
    </row>
    <row r="902" spans="1:8">
      <c r="A902" s="4" t="s">
        <v>764</v>
      </c>
      <c r="B902" s="4">
        <v>37</v>
      </c>
      <c r="C902" s="4" t="s">
        <v>73</v>
      </c>
      <c r="D902" s="4" t="s">
        <v>781</v>
      </c>
      <c r="E902" s="4" t="str">
        <f t="shared" si="56"/>
        <v>37|A</v>
      </c>
      <c r="F902" s="14">
        <f>INDEX('Emission Stepwise'!$H$2:$H$289,MATCH(E902,'Emission Stepwise'!$C$2:$C$289,0))</f>
        <v>0.74509803921568629</v>
      </c>
      <c r="G902" s="14">
        <f>INDEX(Background!$C$4:$C$7,MATCH(C902,Background!$A$4:$A$7,0))</f>
        <v>0.18550136449513679</v>
      </c>
      <c r="H902" s="17">
        <f t="shared" si="57"/>
        <v>1.3904535681948293</v>
      </c>
    </row>
    <row r="903" spans="1:8">
      <c r="A903" s="4" t="s">
        <v>764</v>
      </c>
      <c r="B903" s="4">
        <v>38</v>
      </c>
      <c r="C903" s="4" t="s">
        <v>70</v>
      </c>
      <c r="D903" s="4" t="s">
        <v>781</v>
      </c>
      <c r="E903" s="4" t="str">
        <f t="shared" si="56"/>
        <v>38|G</v>
      </c>
      <c r="F903" s="14">
        <f>INDEX('Emission Stepwise'!$H$2:$H$289,MATCH(E903,'Emission Stepwise'!$C$2:$C$289,0))</f>
        <v>9.8039215686274508E-3</v>
      </c>
      <c r="G903" s="14">
        <f>INDEX(Background!$C$4:$C$7,MATCH(C903,Background!$A$4:$A$7,0))</f>
        <v>0.32488979077741237</v>
      </c>
      <c r="H903" s="17">
        <f t="shared" si="57"/>
        <v>-3.5007035538223983</v>
      </c>
    </row>
    <row r="904" spans="1:8">
      <c r="A904" s="4" t="s">
        <v>764</v>
      </c>
      <c r="B904" s="4">
        <v>39</v>
      </c>
      <c r="C904" s="4" t="s">
        <v>70</v>
      </c>
      <c r="D904" s="4" t="s">
        <v>781</v>
      </c>
      <c r="E904" s="4" t="str">
        <f t="shared" si="56"/>
        <v>39|G</v>
      </c>
      <c r="F904" s="14">
        <f>INDEX('Emission Stepwise'!$H$2:$H$289,MATCH(E904,'Emission Stepwise'!$C$2:$C$289,0))</f>
        <v>0.35784313725490197</v>
      </c>
      <c r="G904" s="14">
        <f>INDEX(Background!$C$4:$C$7,MATCH(C904,Background!$A$4:$A$7,0))</f>
        <v>0.32488979077741237</v>
      </c>
      <c r="H904" s="17">
        <f t="shared" si="57"/>
        <v>9.6608706766047728E-2</v>
      </c>
    </row>
    <row r="905" spans="1:8">
      <c r="A905" s="4" t="s">
        <v>764</v>
      </c>
      <c r="B905" s="4">
        <v>40</v>
      </c>
      <c r="C905" s="4" t="s">
        <v>72</v>
      </c>
      <c r="D905" s="4" t="s">
        <v>781</v>
      </c>
      <c r="E905" s="4" t="str">
        <f t="shared" si="56"/>
        <v>40|U</v>
      </c>
      <c r="F905" s="14">
        <f>INDEX('Emission Stepwise'!$H$2:$H$289,MATCH(E905,'Emission Stepwise'!$C$2:$C$289,0))</f>
        <v>4.4117647058823532E-2</v>
      </c>
      <c r="G905" s="14">
        <f>INDEX(Background!$C$4:$C$7,MATCH(C905,Background!$A$4:$A$7,0))</f>
        <v>0.21314113777902177</v>
      </c>
      <c r="H905" s="17">
        <f t="shared" si="57"/>
        <v>-1.5750947024813093</v>
      </c>
    </row>
    <row r="906" spans="1:8">
      <c r="A906" s="4" t="s">
        <v>764</v>
      </c>
      <c r="B906" s="4">
        <v>41</v>
      </c>
      <c r="C906" s="4" t="s">
        <v>73</v>
      </c>
      <c r="D906" s="4" t="s">
        <v>781</v>
      </c>
      <c r="E906" s="4" t="str">
        <f t="shared" si="56"/>
        <v>41|A</v>
      </c>
      <c r="F906" s="14">
        <f>INDEX('Emission Stepwise'!$H$2:$H$289,MATCH(E906,'Emission Stepwise'!$C$2:$C$289,0))</f>
        <v>0.26960784313725489</v>
      </c>
      <c r="G906" s="14">
        <f>INDEX(Background!$C$4:$C$7,MATCH(C906,Background!$A$4:$A$7,0))</f>
        <v>0.18550136449513679</v>
      </c>
      <c r="H906" s="17">
        <f t="shared" si="57"/>
        <v>0.37390623258102373</v>
      </c>
    </row>
    <row r="907" spans="1:8">
      <c r="A907" s="4" t="s">
        <v>764</v>
      </c>
      <c r="B907" s="4">
        <v>42</v>
      </c>
      <c r="C907" s="4" t="s">
        <v>71</v>
      </c>
      <c r="D907" s="4" t="s">
        <v>781</v>
      </c>
      <c r="E907" s="4" t="str">
        <f t="shared" si="56"/>
        <v>42|C</v>
      </c>
      <c r="F907" s="14">
        <f>INDEX('Emission Stepwise'!$H$2:$H$289,MATCH(E907,'Emission Stepwise'!$C$2:$C$289,0))</f>
        <v>0.10294117647058823</v>
      </c>
      <c r="G907" s="14">
        <f>INDEX(Background!$C$4:$C$7,MATCH(C907,Background!$A$4:$A$7,0))</f>
        <v>0.27646770694842909</v>
      </c>
      <c r="H907" s="17">
        <f t="shared" si="57"/>
        <v>-0.98793629905038949</v>
      </c>
    </row>
    <row r="908" spans="1:8">
      <c r="A908" s="4" t="s">
        <v>764</v>
      </c>
      <c r="B908" s="4">
        <v>43</v>
      </c>
      <c r="C908" s="4" t="s">
        <v>73</v>
      </c>
      <c r="D908" s="4" t="s">
        <v>781</v>
      </c>
      <c r="E908" s="4" t="str">
        <f t="shared" si="56"/>
        <v>43|A</v>
      </c>
      <c r="F908" s="14">
        <f>INDEX('Emission Stepwise'!$H$2:$H$289,MATCH(E908,'Emission Stepwise'!$C$2:$C$289,0))</f>
        <v>0.22549019607843138</v>
      </c>
      <c r="G908" s="14">
        <f>INDEX(Background!$C$4:$C$7,MATCH(C908,Background!$A$4:$A$7,0))</f>
        <v>0.18550136449513679</v>
      </c>
      <c r="H908" s="17">
        <f t="shared" si="57"/>
        <v>0.1952144438376478</v>
      </c>
    </row>
    <row r="909" spans="1:8">
      <c r="A909" s="4" t="s">
        <v>764</v>
      </c>
      <c r="B909" s="4">
        <v>44</v>
      </c>
      <c r="C909" s="4" t="s">
        <v>73</v>
      </c>
      <c r="D909" s="4" t="s">
        <v>781</v>
      </c>
      <c r="E909" s="4" t="str">
        <f t="shared" si="56"/>
        <v>44|A</v>
      </c>
      <c r="F909" s="14">
        <f>INDEX('Emission Stepwise'!$H$2:$H$289,MATCH(E909,'Emission Stepwise'!$C$2:$C$289,0))</f>
        <v>0.49509803921568629</v>
      </c>
      <c r="G909" s="14">
        <f>INDEX(Background!$C$4:$C$7,MATCH(C909,Background!$A$4:$A$7,0))</f>
        <v>0.18550136449513679</v>
      </c>
      <c r="H909" s="17">
        <f t="shared" si="57"/>
        <v>0.98169356418981235</v>
      </c>
    </row>
    <row r="910" spans="1:8">
      <c r="A910" s="4" t="s">
        <v>764</v>
      </c>
      <c r="B910" s="4">
        <v>45</v>
      </c>
      <c r="C910" s="4" t="s">
        <v>71</v>
      </c>
      <c r="D910" s="4" t="s">
        <v>782</v>
      </c>
      <c r="E910" s="4" t="str">
        <f t="shared" si="56"/>
        <v>45|C</v>
      </c>
      <c r="F910" s="14">
        <f>INDEX('Emission Stepwise'!$H$2:$H$289,MATCH(E910,'Emission Stepwise'!$C$2:$C$289,0))</f>
        <v>2.9702970297029702E-2</v>
      </c>
      <c r="G910" s="14">
        <f>INDEX(Background!$C$4:$C$7,MATCH(C910,Background!$A$4:$A$7,0))</f>
        <v>0.27646770694842909</v>
      </c>
      <c r="H910" s="17">
        <f t="shared" si="57"/>
        <v>-2.2308469711027459</v>
      </c>
    </row>
    <row r="911" spans="1:8">
      <c r="A911" s="4" t="s">
        <v>764</v>
      </c>
      <c r="B911" s="4">
        <v>46</v>
      </c>
      <c r="C911" s="4" t="s">
        <v>72</v>
      </c>
      <c r="D911" s="4" t="s">
        <v>782</v>
      </c>
      <c r="E911" s="4" t="str">
        <f t="shared" si="56"/>
        <v>46|U</v>
      </c>
      <c r="F911" s="14">
        <f>INDEX('Emission Stepwise'!$H$2:$H$289,MATCH(E911,'Emission Stepwise'!$C$2:$C$289,0))</f>
        <v>7.5144508670520235E-2</v>
      </c>
      <c r="G911" s="14">
        <f>INDEX(Background!$C$4:$C$7,MATCH(C911,Background!$A$4:$A$7,0))</f>
        <v>0.21314113777902177</v>
      </c>
      <c r="H911" s="17">
        <f t="shared" si="57"/>
        <v>-1.0425415230095545</v>
      </c>
    </row>
    <row r="912" spans="1:8">
      <c r="A912" s="4" t="s">
        <v>764</v>
      </c>
      <c r="B912" s="4">
        <v>47</v>
      </c>
      <c r="C912" s="4" t="s">
        <v>73</v>
      </c>
      <c r="D912" s="4" t="s">
        <v>782</v>
      </c>
      <c r="E912" s="4" t="str">
        <f t="shared" si="56"/>
        <v>47|A</v>
      </c>
      <c r="F912" s="14">
        <f>INDEX('Emission Stepwise'!$H$2:$H$289,MATCH(E912,'Emission Stepwise'!$C$2:$C$289,0))</f>
        <v>0.13235294117647059</v>
      </c>
      <c r="G912" s="14">
        <f>INDEX(Background!$C$4:$C$7,MATCH(C912,Background!$A$4:$A$7,0))</f>
        <v>0.18550136449513679</v>
      </c>
      <c r="H912" s="17">
        <f t="shared" si="57"/>
        <v>-0.33759008664711798</v>
      </c>
    </row>
    <row r="913" spans="1:8">
      <c r="A913" s="4" t="s">
        <v>764</v>
      </c>
      <c r="B913" s="4">
        <v>48</v>
      </c>
      <c r="C913" s="4" t="s">
        <v>73</v>
      </c>
      <c r="D913" s="4" t="s">
        <v>782</v>
      </c>
      <c r="E913" s="4" t="str">
        <f t="shared" si="56"/>
        <v>48|A</v>
      </c>
      <c r="F913" s="14">
        <f>INDEX('Emission Stepwise'!$H$2:$H$289,MATCH(E913,'Emission Stepwise'!$C$2:$C$289,0))</f>
        <v>9.8039215686274508E-3</v>
      </c>
      <c r="G913" s="14">
        <f>INDEX(Background!$C$4:$C$7,MATCH(C913,Background!$A$4:$A$7,0))</f>
        <v>0.18550136449513679</v>
      </c>
      <c r="H913" s="17">
        <f t="shared" si="57"/>
        <v>-2.9402797720915017</v>
      </c>
    </row>
    <row r="914" spans="1:8">
      <c r="A914" s="4" t="s">
        <v>764</v>
      </c>
      <c r="B914" s="4">
        <v>49</v>
      </c>
      <c r="C914" s="4" t="s">
        <v>72</v>
      </c>
      <c r="D914" s="4" t="s">
        <v>783</v>
      </c>
      <c r="E914" s="4" t="str">
        <f t="shared" si="56"/>
        <v>49|U</v>
      </c>
      <c r="F914" s="14">
        <f>INDEX('Emission Stepwise'!$H$2:$H$289,MATCH(E914,'Emission Stepwise'!$C$2:$C$289,0))</f>
        <v>5.8823529411764705E-2</v>
      </c>
      <c r="G914" s="14">
        <f>INDEX(Background!$C$4:$C$7,MATCH(C914,Background!$A$4:$A$7,0))</f>
        <v>0.21314113777902177</v>
      </c>
      <c r="H914" s="17">
        <f t="shared" si="57"/>
        <v>-1.2874126300295285</v>
      </c>
    </row>
    <row r="915" spans="1:8">
      <c r="A915" s="4" t="s">
        <v>764</v>
      </c>
      <c r="B915" s="4">
        <v>50</v>
      </c>
      <c r="C915" s="4" t="s">
        <v>70</v>
      </c>
      <c r="D915" s="4" t="s">
        <v>783</v>
      </c>
      <c r="E915" s="4" t="str">
        <f t="shared" si="56"/>
        <v>50|G</v>
      </c>
      <c r="F915" s="14">
        <f>INDEX('Emission Stepwise'!$H$2:$H$289,MATCH(E915,'Emission Stepwise'!$C$2:$C$289,0))</f>
        <v>0.26960784313725489</v>
      </c>
      <c r="G915" s="14">
        <f>INDEX(Background!$C$4:$C$7,MATCH(C915,Background!$A$4:$A$7,0))</f>
        <v>0.32488979077741237</v>
      </c>
      <c r="H915" s="17">
        <f t="shared" si="57"/>
        <v>-0.18651754914987254</v>
      </c>
    </row>
    <row r="916" spans="1:8">
      <c r="A916" s="4" t="s">
        <v>764</v>
      </c>
      <c r="B916" s="4">
        <v>51</v>
      </c>
      <c r="C916" s="4" t="s">
        <v>73</v>
      </c>
      <c r="D916" s="4" t="s">
        <v>783</v>
      </c>
      <c r="E916" s="4" t="str">
        <f t="shared" si="56"/>
        <v>51|A</v>
      </c>
      <c r="F916" s="14">
        <f>INDEX('Emission Stepwise'!$H$2:$H$289,MATCH(E916,'Emission Stepwise'!$C$2:$C$289,0))</f>
        <v>0.14285714285714285</v>
      </c>
      <c r="G916" s="14">
        <f>INDEX(Background!$C$4:$C$7,MATCH(C916,Background!$A$4:$A$7,0))</f>
        <v>0.18550136449513679</v>
      </c>
      <c r="H916" s="17">
        <f t="shared" si="57"/>
        <v>-0.26121710786254415</v>
      </c>
    </row>
    <row r="917" spans="1:8">
      <c r="A917" s="4" t="s">
        <v>764</v>
      </c>
      <c r="B917" s="4">
        <v>52</v>
      </c>
      <c r="C917" s="4" t="s">
        <v>73</v>
      </c>
      <c r="D917" s="4" t="s">
        <v>783</v>
      </c>
      <c r="E917" s="4" t="str">
        <f t="shared" si="56"/>
        <v>52|A</v>
      </c>
      <c r="F917" s="14">
        <f>INDEX('Emission Stepwise'!$H$2:$H$289,MATCH(E917,'Emission Stepwise'!$C$2:$C$289,0))</f>
        <v>0.13235294117647059</v>
      </c>
      <c r="G917" s="14">
        <f>INDEX(Background!$C$4:$C$7,MATCH(C917,Background!$A$4:$A$7,0))</f>
        <v>0.18550136449513679</v>
      </c>
      <c r="H917" s="17">
        <f t="shared" si="57"/>
        <v>-0.33759008664711798</v>
      </c>
    </row>
    <row r="918" spans="1:8">
      <c r="A918" s="4" t="s">
        <v>764</v>
      </c>
      <c r="B918" s="4">
        <v>53</v>
      </c>
      <c r="C918" s="4" t="s">
        <v>70</v>
      </c>
      <c r="D918" s="4" t="s">
        <v>783</v>
      </c>
      <c r="E918" s="4" t="str">
        <f t="shared" si="56"/>
        <v>53|G</v>
      </c>
      <c r="F918" s="14">
        <f>INDEX('Emission Stepwise'!$H$2:$H$289,MATCH(E918,'Emission Stepwise'!$C$2:$C$289,0))</f>
        <v>0.96568627450980393</v>
      </c>
      <c r="G918" s="14">
        <f>INDEX(Background!$C$4:$C$7,MATCH(C918,Background!$A$4:$A$7,0))</f>
        <v>0.32488979077741237</v>
      </c>
      <c r="H918" s="17">
        <f t="shared" si="57"/>
        <v>1.089352994355645</v>
      </c>
    </row>
    <row r="919" spans="1:8">
      <c r="A919" s="4" t="s">
        <v>764</v>
      </c>
      <c r="B919" s="4">
        <v>54</v>
      </c>
      <c r="C919" s="4" t="s">
        <v>72</v>
      </c>
      <c r="D919" s="4" t="s">
        <v>783</v>
      </c>
      <c r="E919" s="4" t="str">
        <f t="shared" si="56"/>
        <v>54|U</v>
      </c>
      <c r="F919" s="14">
        <f>INDEX('Emission Stepwise'!$H$2:$H$289,MATCH(E919,'Emission Stepwise'!$C$2:$C$289,0))</f>
        <v>0.97549019607843135</v>
      </c>
      <c r="G919" s="14">
        <f>INDEX(Background!$C$4:$C$7,MATCH(C919,Background!$A$4:$A$7,0))</f>
        <v>0.21314113777902177</v>
      </c>
      <c r="H919" s="17">
        <f t="shared" si="57"/>
        <v>1.5209855449069636</v>
      </c>
    </row>
    <row r="920" spans="1:8">
      <c r="A920" s="4" t="s">
        <v>764</v>
      </c>
      <c r="B920" s="4">
        <v>55</v>
      </c>
      <c r="C920" s="4" t="s">
        <v>72</v>
      </c>
      <c r="D920" s="4" t="s">
        <v>783</v>
      </c>
      <c r="E920" s="4" t="str">
        <f t="shared" si="56"/>
        <v>55|U</v>
      </c>
      <c r="F920" s="14">
        <f>INDEX('Emission Stepwise'!$H$2:$H$289,MATCH(E920,'Emission Stepwise'!$C$2:$C$289,0))</f>
        <v>0.97058823529411764</v>
      </c>
      <c r="G920" s="14">
        <f>INDEX(Background!$C$4:$C$7,MATCH(C920,Background!$A$4:$A$7,0))</f>
        <v>0.21314113777902177</v>
      </c>
      <c r="H920" s="17">
        <f t="shared" si="57"/>
        <v>1.5159477508770065</v>
      </c>
    </row>
    <row r="921" spans="1:8">
      <c r="A921" s="4" t="s">
        <v>764</v>
      </c>
      <c r="B921" s="4">
        <v>56</v>
      </c>
      <c r="C921" s="4" t="s">
        <v>71</v>
      </c>
      <c r="D921" s="4" t="s">
        <v>783</v>
      </c>
      <c r="E921" s="4" t="str">
        <f t="shared" si="56"/>
        <v>56|C</v>
      </c>
      <c r="F921" s="14">
        <f>INDEX('Emission Stepwise'!$H$2:$H$289,MATCH(E921,'Emission Stepwise'!$C$2:$C$289,0))</f>
        <v>0.96568627450980393</v>
      </c>
      <c r="G921" s="14">
        <f>INDEX(Background!$C$4:$C$7,MATCH(C921,Background!$A$4:$A$7,0))</f>
        <v>0.27646770694842909</v>
      </c>
      <c r="H921" s="17">
        <f t="shared" si="57"/>
        <v>1.250744991964176</v>
      </c>
    </row>
    <row r="922" spans="1:8">
      <c r="A922" s="4" t="s">
        <v>764</v>
      </c>
      <c r="B922" s="4">
        <v>57</v>
      </c>
      <c r="C922" s="4" t="s">
        <v>71</v>
      </c>
      <c r="D922" s="4" t="s">
        <v>783</v>
      </c>
      <c r="E922" s="4" t="str">
        <f t="shared" si="56"/>
        <v>57|C</v>
      </c>
      <c r="F922" s="14">
        <f>INDEX('Emission Stepwise'!$H$2:$H$289,MATCH(E922,'Emission Stepwise'!$C$2:$C$289,0))</f>
        <v>4.9261083743842365E-3</v>
      </c>
      <c r="G922" s="14">
        <f>INDEX(Background!$C$4:$C$7,MATCH(C922,Background!$A$4:$A$7,0))</f>
        <v>0.27646770694842909</v>
      </c>
      <c r="H922" s="17">
        <f t="shared" si="57"/>
        <v>-4.0275447219713829</v>
      </c>
    </row>
    <row r="923" spans="1:8">
      <c r="A923" s="4" t="s">
        <v>764</v>
      </c>
      <c r="B923" s="4">
        <v>58</v>
      </c>
      <c r="C923" s="4" t="s">
        <v>71</v>
      </c>
      <c r="D923" s="4" t="s">
        <v>783</v>
      </c>
      <c r="E923" s="4" t="str">
        <f t="shared" si="56"/>
        <v>58|C</v>
      </c>
      <c r="F923" s="14">
        <f>INDEX('Emission Stepwise'!$H$2:$H$289,MATCH(E923,'Emission Stepwise'!$C$2:$C$289,0))</f>
        <v>9.8039215686274508E-3</v>
      </c>
      <c r="G923" s="14">
        <f>INDEX(Background!$C$4:$C$7,MATCH(C923,Background!$A$4:$A$7,0))</f>
        <v>0.27646770694842909</v>
      </c>
      <c r="H923" s="17">
        <f t="shared" si="57"/>
        <v>-3.3393115562138669</v>
      </c>
    </row>
    <row r="924" spans="1:8">
      <c r="A924" s="4" t="s">
        <v>764</v>
      </c>
      <c r="B924" s="4">
        <v>59</v>
      </c>
      <c r="C924" s="4" t="s">
        <v>72</v>
      </c>
      <c r="D924" s="4" t="s">
        <v>783</v>
      </c>
      <c r="E924" s="4" t="str">
        <f t="shared" si="56"/>
        <v>59|U</v>
      </c>
      <c r="F924" s="14">
        <f>INDEX('Emission Stepwise'!$H$2:$H$289,MATCH(E924,'Emission Stepwise'!$C$2:$C$289,0))</f>
        <v>0.25</v>
      </c>
      <c r="G924" s="14">
        <f>INDEX(Background!$C$4:$C$7,MATCH(C924,Background!$A$4:$A$7,0))</f>
        <v>0.21314113777902177</v>
      </c>
      <c r="H924" s="17">
        <f t="shared" si="57"/>
        <v>0.15950635290679691</v>
      </c>
    </row>
    <row r="925" spans="1:8">
      <c r="A925" s="4" t="s">
        <v>764</v>
      </c>
      <c r="B925" s="4">
        <v>60</v>
      </c>
      <c r="C925" s="4" t="s">
        <v>72</v>
      </c>
      <c r="D925" s="4" t="s">
        <v>783</v>
      </c>
      <c r="E925" s="4" t="str">
        <f t="shared" si="56"/>
        <v>60|U</v>
      </c>
      <c r="F925" s="14">
        <f>INDEX('Emission Stepwise'!$H$2:$H$289,MATCH(E925,'Emission Stepwise'!$C$2:$C$289,0))</f>
        <v>0.77450980392156865</v>
      </c>
      <c r="G925" s="14">
        <f>INDEX(Background!$C$4:$C$7,MATCH(C925,Background!$A$4:$A$7,0))</f>
        <v>0.21314113777902177</v>
      </c>
      <c r="H925" s="17">
        <f t="shared" si="57"/>
        <v>1.290275753209438</v>
      </c>
    </row>
    <row r="926" spans="1:8">
      <c r="A926" s="4" t="s">
        <v>764</v>
      </c>
      <c r="B926" s="4">
        <v>61</v>
      </c>
      <c r="C926" s="4" t="s">
        <v>71</v>
      </c>
      <c r="D926" s="4" t="s">
        <v>783</v>
      </c>
      <c r="E926" s="4" t="str">
        <f t="shared" si="56"/>
        <v>61|C</v>
      </c>
      <c r="F926" s="14">
        <f>INDEX('Emission Stepwise'!$H$2:$H$289,MATCH(E926,'Emission Stepwise'!$C$2:$C$289,0))</f>
        <v>0.97549019607843135</v>
      </c>
      <c r="G926" s="14">
        <f>INDEX(Background!$C$4:$C$7,MATCH(C926,Background!$A$4:$A$7,0))</f>
        <v>0.27646770694842909</v>
      </c>
      <c r="H926" s="17">
        <f t="shared" si="57"/>
        <v>1.26084608795068</v>
      </c>
    </row>
    <row r="927" spans="1:8">
      <c r="A927" s="4" t="s">
        <v>764</v>
      </c>
      <c r="B927" s="4">
        <v>62</v>
      </c>
      <c r="C927" s="4" t="s">
        <v>72</v>
      </c>
      <c r="D927" s="4" t="s">
        <v>783</v>
      </c>
      <c r="E927" s="4" t="str">
        <f t="shared" si="56"/>
        <v>62|U</v>
      </c>
      <c r="F927" s="14">
        <f>INDEX('Emission Stepwise'!$H$2:$H$289,MATCH(E927,'Emission Stepwise'!$C$2:$C$289,0))</f>
        <v>0.13235294117647059</v>
      </c>
      <c r="G927" s="14">
        <f>INDEX(Background!$C$4:$C$7,MATCH(C927,Background!$A$4:$A$7,0))</f>
        <v>0.21314113777902177</v>
      </c>
      <c r="H927" s="17">
        <f t="shared" si="57"/>
        <v>-0.47648241381319967</v>
      </c>
    </row>
    <row r="928" spans="1:8">
      <c r="A928" s="4" t="s">
        <v>764</v>
      </c>
      <c r="B928" s="4">
        <v>63</v>
      </c>
      <c r="C928" s="4" t="s">
        <v>72</v>
      </c>
      <c r="D928" s="4" t="s">
        <v>783</v>
      </c>
      <c r="E928" s="4" t="str">
        <f t="shared" si="56"/>
        <v>63|U</v>
      </c>
      <c r="F928" s="14">
        <f>INDEX('Emission Stepwise'!$H$2:$H$289,MATCH(E928,'Emission Stepwise'!$C$2:$C$289,0))</f>
        <v>0.16176470588235295</v>
      </c>
      <c r="G928" s="14">
        <f>INDEX(Background!$C$4:$C$7,MATCH(C928,Background!$A$4:$A$7,0))</f>
        <v>0.21314113777902177</v>
      </c>
      <c r="H928" s="17">
        <f t="shared" si="57"/>
        <v>-0.27581171835104856</v>
      </c>
    </row>
    <row r="929" spans="1:8">
      <c r="A929" s="4" t="s">
        <v>764</v>
      </c>
      <c r="B929" s="4">
        <v>64</v>
      </c>
      <c r="C929" s="4" t="s">
        <v>71</v>
      </c>
      <c r="D929" s="4" t="s">
        <v>783</v>
      </c>
      <c r="E929" s="4" t="str">
        <f t="shared" si="56"/>
        <v>64|C</v>
      </c>
      <c r="F929" s="14">
        <f>INDEX('Emission Stepwise'!$H$2:$H$289,MATCH(E929,'Emission Stepwise'!$C$2:$C$289,0))</f>
        <v>0.2107843137254902</v>
      </c>
      <c r="G929" s="14">
        <f>INDEX(Background!$C$4:$C$7,MATCH(C929,Background!$A$4:$A$7,0))</f>
        <v>0.27646770694842909</v>
      </c>
      <c r="H929" s="17">
        <f t="shared" si="57"/>
        <v>-0.27125862108025001</v>
      </c>
    </row>
    <row r="930" spans="1:8">
      <c r="A930" s="4" t="s">
        <v>764</v>
      </c>
      <c r="B930" s="4">
        <v>65</v>
      </c>
      <c r="C930" s="4" t="s">
        <v>73</v>
      </c>
      <c r="D930" s="4" t="s">
        <v>783</v>
      </c>
      <c r="E930" s="4" t="str">
        <f t="shared" si="56"/>
        <v>65|A</v>
      </c>
      <c r="F930" s="14">
        <f>INDEX('Emission Stepwise'!$H$2:$H$289,MATCH(E930,'Emission Stepwise'!$C$2:$C$289,0))</f>
        <v>4.9261083743842367E-2</v>
      </c>
      <c r="G930" s="14">
        <f>INDEX(Background!$C$4:$C$7,MATCH(C930,Background!$A$4:$A$7,0))</f>
        <v>0.18550136449513679</v>
      </c>
      <c r="H930" s="17">
        <f t="shared" si="57"/>
        <v>-1.3259278448549723</v>
      </c>
    </row>
    <row r="931" spans="1:8">
      <c r="A931" s="4" t="s">
        <v>764</v>
      </c>
      <c r="B931" s="4">
        <v>66</v>
      </c>
      <c r="C931" s="4" t="s">
        <v>73</v>
      </c>
      <c r="D931" s="4" t="s">
        <v>784</v>
      </c>
      <c r="E931" s="4" t="str">
        <f t="shared" si="56"/>
        <v>66|A</v>
      </c>
      <c r="F931" s="14">
        <f>INDEX('Emission Stepwise'!$H$2:$H$289,MATCH(E931,'Emission Stepwise'!$C$2:$C$289,0))</f>
        <v>0.21568627450980393</v>
      </c>
      <c r="G931" s="14">
        <f>INDEX(Background!$C$4:$C$7,MATCH(C931,Background!$A$4:$A$7,0))</f>
        <v>0.18550136449513679</v>
      </c>
      <c r="H931" s="17">
        <f t="shared" si="57"/>
        <v>0.15076268126681408</v>
      </c>
    </row>
    <row r="932" spans="1:8">
      <c r="A932" s="4" t="s">
        <v>764</v>
      </c>
      <c r="B932" s="4">
        <v>67</v>
      </c>
      <c r="C932" s="4" t="s">
        <v>72</v>
      </c>
      <c r="D932" s="4" t="s">
        <v>784</v>
      </c>
      <c r="E932" s="4" t="str">
        <f t="shared" si="56"/>
        <v>67|U</v>
      </c>
      <c r="F932" s="14">
        <f>INDEX('Emission Stepwise'!$H$2:$H$289,MATCH(E932,'Emission Stepwise'!$C$2:$C$289,0))</f>
        <v>0.19117647058823528</v>
      </c>
      <c r="G932" s="14">
        <f>INDEX(Background!$C$4:$C$7,MATCH(C932,Background!$A$4:$A$7,0))</f>
        <v>0.21314113777902177</v>
      </c>
      <c r="H932" s="17">
        <f t="shared" si="57"/>
        <v>-0.1087576336878824</v>
      </c>
    </row>
    <row r="933" spans="1:8">
      <c r="A933" s="4" t="s">
        <v>764</v>
      </c>
      <c r="B933" s="4">
        <v>68</v>
      </c>
      <c r="C933" s="4" t="s">
        <v>71</v>
      </c>
      <c r="D933" s="4" t="s">
        <v>784</v>
      </c>
      <c r="E933" s="4" t="str">
        <f t="shared" si="56"/>
        <v>68|C</v>
      </c>
      <c r="F933" s="14">
        <f>INDEX('Emission Stepwise'!$H$2:$H$289,MATCH(E933,'Emission Stepwise'!$C$2:$C$289,0))</f>
        <v>0.30882352941176472</v>
      </c>
      <c r="G933" s="14">
        <f>INDEX(Background!$C$4:$C$7,MATCH(C933,Background!$A$4:$A$7,0))</f>
        <v>0.27646770694842909</v>
      </c>
      <c r="H933" s="17">
        <f t="shared" si="57"/>
        <v>0.11067598961772034</v>
      </c>
    </row>
    <row r="934" spans="1:8">
      <c r="A934" s="4" t="s">
        <v>764</v>
      </c>
      <c r="B934" s="4">
        <v>69</v>
      </c>
      <c r="C934" s="4" t="s">
        <v>72</v>
      </c>
      <c r="D934" s="4" t="s">
        <v>784</v>
      </c>
      <c r="E934" s="4" t="str">
        <f t="shared" si="56"/>
        <v>69|U</v>
      </c>
      <c r="F934" s="14">
        <f>INDEX('Emission Stepwise'!$H$2:$H$289,MATCH(E934,'Emission Stepwise'!$C$2:$C$289,0))</f>
        <v>8.8235294117647065E-2</v>
      </c>
      <c r="G934" s="14">
        <f>INDEX(Background!$C$4:$C$7,MATCH(C934,Background!$A$4:$A$7,0))</f>
        <v>0.21314113777902177</v>
      </c>
      <c r="H934" s="17">
        <f t="shared" si="57"/>
        <v>-0.88194752192136405</v>
      </c>
    </row>
    <row r="935" spans="1:8">
      <c r="A935" s="4" t="s">
        <v>764</v>
      </c>
      <c r="B935" s="4">
        <v>70</v>
      </c>
      <c r="C935" s="4" t="s">
        <v>70</v>
      </c>
      <c r="D935" s="4" t="s">
        <v>784</v>
      </c>
      <c r="E935" s="4" t="str">
        <f t="shared" si="56"/>
        <v>70|G</v>
      </c>
      <c r="F935" s="14">
        <f>INDEX('Emission Stepwise'!$H$2:$H$289,MATCH(E935,'Emission Stepwise'!$C$2:$C$289,0))</f>
        <v>0.37254901960784315</v>
      </c>
      <c r="G935" s="14">
        <f>INDEX(Background!$C$4:$C$7,MATCH(C935,Background!$A$4:$A$7,0))</f>
        <v>0.32488979077741237</v>
      </c>
      <c r="H935" s="17">
        <f t="shared" si="57"/>
        <v>0.13688260590398765</v>
      </c>
    </row>
    <row r="936" spans="1:8">
      <c r="A936" s="4" t="s">
        <v>764</v>
      </c>
      <c r="B936" s="4">
        <v>71</v>
      </c>
      <c r="C936" s="4" t="s">
        <v>73</v>
      </c>
      <c r="D936" s="4" t="s">
        <v>784</v>
      </c>
      <c r="E936" s="4" t="str">
        <f t="shared" si="56"/>
        <v>71|A</v>
      </c>
      <c r="F936" s="14">
        <f>INDEX('Emission Stepwise'!$H$2:$H$289,MATCH(E936,'Emission Stepwise'!$C$2:$C$289,0))</f>
        <v>2.9411764705882353E-2</v>
      </c>
      <c r="G936" s="14">
        <f>INDEX(Background!$C$4:$C$7,MATCH(C936,Background!$A$4:$A$7,0))</f>
        <v>0.18550136449513679</v>
      </c>
      <c r="H936" s="17">
        <f t="shared" si="57"/>
        <v>-1.8416674834233921</v>
      </c>
    </row>
    <row r="937" spans="1:8">
      <c r="A937" s="4" t="s">
        <v>764</v>
      </c>
      <c r="B937" s="4">
        <v>72</v>
      </c>
      <c r="C937" s="4" t="s">
        <v>73</v>
      </c>
      <c r="D937" s="4" t="s">
        <v>784</v>
      </c>
      <c r="E937" s="4" t="str">
        <f t="shared" si="56"/>
        <v>72|A</v>
      </c>
      <c r="F937" s="14">
        <f>INDEX('Emission Stepwise'!$H$2:$H$289,MATCH(E937,'Emission Stepwise'!$C$2:$C$289,0))</f>
        <v>8.3333333333333329E-2</v>
      </c>
      <c r="G937" s="14">
        <f>INDEX(Background!$C$4:$C$7,MATCH(C937,Background!$A$4:$A$7,0))</f>
        <v>0.18550136449513679</v>
      </c>
      <c r="H937" s="17">
        <f t="shared" si="57"/>
        <v>-0.80021360859523116</v>
      </c>
    </row>
    <row r="938" spans="1:8">
      <c r="A938" s="4" t="s">
        <v>765</v>
      </c>
      <c r="B938" s="4">
        <v>1</v>
      </c>
      <c r="C938" s="4" t="s">
        <v>72</v>
      </c>
      <c r="D938" s="4" t="s">
        <v>778</v>
      </c>
      <c r="E938" s="4" t="str">
        <f t="shared" si="56"/>
        <v>1|U</v>
      </c>
      <c r="F938" s="14">
        <f>INDEX('Emission Stepwise'!$H$2:$H$289,MATCH(E938,'Emission Stepwise'!$C$2:$C$289,0))</f>
        <v>6.8627450980392163E-2</v>
      </c>
      <c r="G938" s="14">
        <f>INDEX(Background!$C$4:$C$7,MATCH(C938,Background!$A$4:$A$7,0))</f>
        <v>0.21314113777902177</v>
      </c>
      <c r="H938" s="17">
        <f t="shared" si="57"/>
        <v>-1.1332619502022701</v>
      </c>
    </row>
    <row r="939" spans="1:8">
      <c r="A939" s="4" t="s">
        <v>765</v>
      </c>
      <c r="B939" s="4">
        <v>2</v>
      </c>
      <c r="C939" s="4" t="s">
        <v>72</v>
      </c>
      <c r="D939" s="4" t="s">
        <v>778</v>
      </c>
      <c r="E939" s="4" t="str">
        <f t="shared" si="56"/>
        <v>2|U</v>
      </c>
      <c r="F939" s="14">
        <f>INDEX('Emission Stepwise'!$H$2:$H$289,MATCH(E939,'Emission Stepwise'!$C$2:$C$289,0))</f>
        <v>3.4313725490196081E-2</v>
      </c>
      <c r="G939" s="14">
        <f>INDEX(Background!$C$4:$C$7,MATCH(C939,Background!$A$4:$A$7,0))</f>
        <v>0.21314113777902177</v>
      </c>
      <c r="H939" s="17">
        <f t="shared" si="57"/>
        <v>-1.8264091307622154</v>
      </c>
    </row>
    <row r="940" spans="1:8">
      <c r="A940" s="4" t="s">
        <v>765</v>
      </c>
      <c r="B940" s="4">
        <v>3</v>
      </c>
      <c r="C940" s="4" t="s">
        <v>71</v>
      </c>
      <c r="D940" s="4" t="s">
        <v>778</v>
      </c>
      <c r="E940" s="4" t="str">
        <f t="shared" si="56"/>
        <v>3|C</v>
      </c>
      <c r="F940" s="14">
        <f>INDEX('Emission Stepwise'!$H$2:$H$289,MATCH(E940,'Emission Stepwise'!$C$2:$C$289,0))</f>
        <v>0.38235294117647056</v>
      </c>
      <c r="G940" s="14">
        <f>INDEX(Background!$C$4:$C$7,MATCH(C940,Background!$A$4:$A$7,0))</f>
        <v>0.27646770694842909</v>
      </c>
      <c r="H940" s="17">
        <f t="shared" si="57"/>
        <v>0.32425008991577925</v>
      </c>
    </row>
    <row r="941" spans="1:8">
      <c r="A941" s="4" t="s">
        <v>765</v>
      </c>
      <c r="B941" s="4">
        <v>4</v>
      </c>
      <c r="C941" s="4" t="s">
        <v>72</v>
      </c>
      <c r="D941" s="4" t="s">
        <v>778</v>
      </c>
      <c r="E941" s="4" t="str">
        <f t="shared" si="56"/>
        <v>4|U</v>
      </c>
      <c r="F941" s="14">
        <f>INDEX('Emission Stepwise'!$H$2:$H$289,MATCH(E941,'Emission Stepwise'!$C$2:$C$289,0))</f>
        <v>0.17156862745098039</v>
      </c>
      <c r="G941" s="14">
        <f>INDEX(Background!$C$4:$C$7,MATCH(C941,Background!$A$4:$A$7,0))</f>
        <v>0.21314113777902177</v>
      </c>
      <c r="H941" s="17">
        <f t="shared" si="57"/>
        <v>-0.21697121832811511</v>
      </c>
    </row>
    <row r="942" spans="1:8">
      <c r="A942" s="4" t="s">
        <v>765</v>
      </c>
      <c r="B942" s="4">
        <v>5</v>
      </c>
      <c r="C942" s="4" t="s">
        <v>72</v>
      </c>
      <c r="D942" s="4" t="s">
        <v>778</v>
      </c>
      <c r="E942" s="4" t="str">
        <f t="shared" si="56"/>
        <v>5|U</v>
      </c>
      <c r="F942" s="14">
        <f>INDEX('Emission Stepwise'!$H$2:$H$289,MATCH(E942,'Emission Stepwise'!$C$2:$C$289,0))</f>
        <v>0.10784313725490197</v>
      </c>
      <c r="G942" s="14">
        <f>INDEX(Background!$C$4:$C$7,MATCH(C942,Background!$A$4:$A$7,0))</f>
        <v>0.21314113777902177</v>
      </c>
      <c r="H942" s="17">
        <f t="shared" si="57"/>
        <v>-0.68127682645921295</v>
      </c>
    </row>
    <row r="943" spans="1:8">
      <c r="A943" s="4" t="s">
        <v>765</v>
      </c>
      <c r="B943" s="4">
        <v>6</v>
      </c>
      <c r="C943" s="4" t="s">
        <v>73</v>
      </c>
      <c r="D943" s="4" t="s">
        <v>778</v>
      </c>
      <c r="E943" s="4" t="str">
        <f t="shared" si="56"/>
        <v>6|A</v>
      </c>
      <c r="F943" s="14">
        <f>INDEX('Emission Stepwise'!$H$2:$H$289,MATCH(E943,'Emission Stepwise'!$C$2:$C$289,0))</f>
        <v>0.17156862745098039</v>
      </c>
      <c r="G943" s="14">
        <f>INDEX(Background!$C$4:$C$7,MATCH(C943,Background!$A$4:$A$7,0))</f>
        <v>0.18550136449513679</v>
      </c>
      <c r="H943" s="17">
        <f t="shared" si="57"/>
        <v>-7.8078891162033495E-2</v>
      </c>
    </row>
    <row r="944" spans="1:8">
      <c r="A944" s="4" t="s">
        <v>765</v>
      </c>
      <c r="B944" s="4">
        <v>7</v>
      </c>
      <c r="C944" s="4" t="s">
        <v>72</v>
      </c>
      <c r="D944" s="4" t="s">
        <v>778</v>
      </c>
      <c r="E944" s="4" t="str">
        <f t="shared" si="56"/>
        <v>7|U</v>
      </c>
      <c r="F944" s="14">
        <f>INDEX('Emission Stepwise'!$H$2:$H$289,MATCH(E944,'Emission Stepwise'!$C$2:$C$289,0))</f>
        <v>0.22058823529411764</v>
      </c>
      <c r="G944" s="14">
        <f>INDEX(Background!$C$4:$C$7,MATCH(C944,Background!$A$4:$A$7,0))</f>
        <v>0.21314113777902177</v>
      </c>
      <c r="H944" s="17">
        <f t="shared" si="57"/>
        <v>3.4343209952791019E-2</v>
      </c>
    </row>
    <row r="945" spans="1:8">
      <c r="A945" s="4" t="s">
        <v>765</v>
      </c>
      <c r="B945" s="4">
        <v>8</v>
      </c>
      <c r="C945" s="4" t="s">
        <v>72</v>
      </c>
      <c r="D945" s="4" t="s">
        <v>779</v>
      </c>
      <c r="E945" s="4" t="str">
        <f t="shared" si="56"/>
        <v>8|U</v>
      </c>
      <c r="F945" s="14">
        <f>INDEX('Emission Stepwise'!$H$2:$H$289,MATCH(E945,'Emission Stepwise'!$C$2:$C$289,0))</f>
        <v>0.97549019607843135</v>
      </c>
      <c r="G945" s="14">
        <f>INDEX(Background!$C$4:$C$7,MATCH(C945,Background!$A$4:$A$7,0))</f>
        <v>0.21314113777902177</v>
      </c>
      <c r="H945" s="17">
        <f t="shared" si="57"/>
        <v>1.5209855449069636</v>
      </c>
    </row>
    <row r="946" spans="1:8">
      <c r="A946" s="4" t="s">
        <v>765</v>
      </c>
      <c r="B946" s="4">
        <v>9</v>
      </c>
      <c r="C946" s="4" t="s">
        <v>71</v>
      </c>
      <c r="D946" s="4" t="s">
        <v>780</v>
      </c>
      <c r="E946" s="4" t="str">
        <f t="shared" ref="E946:E1009" si="58">B946&amp;"|"&amp;C946</f>
        <v>9|C</v>
      </c>
      <c r="F946" s="14">
        <f>INDEX('Emission Stepwise'!$H$2:$H$289,MATCH(E946,'Emission Stepwise'!$C$2:$C$289,0))</f>
        <v>3.9408866995073892E-2</v>
      </c>
      <c r="G946" s="14">
        <f>INDEX(Background!$C$4:$C$7,MATCH(C946,Background!$A$4:$A$7,0))</f>
        <v>0.27646770694842909</v>
      </c>
      <c r="H946" s="17">
        <f t="shared" ref="H946:H1009" si="59">LN(F946/G946)</f>
        <v>-1.9481031802915474</v>
      </c>
    </row>
    <row r="947" spans="1:8">
      <c r="A947" s="4" t="s">
        <v>765</v>
      </c>
      <c r="B947" s="4">
        <v>10</v>
      </c>
      <c r="C947" s="4" t="s">
        <v>72</v>
      </c>
      <c r="D947" s="4" t="s">
        <v>780</v>
      </c>
      <c r="E947" s="4" t="str">
        <f t="shared" si="58"/>
        <v>10|U</v>
      </c>
      <c r="F947" s="14">
        <f>INDEX('Emission Stepwise'!$H$2:$H$289,MATCH(E947,'Emission Stepwise'!$C$2:$C$289,0))</f>
        <v>4.9019607843137254E-3</v>
      </c>
      <c r="G947" s="14">
        <f>INDEX(Background!$C$4:$C$7,MATCH(C947,Background!$A$4:$A$7,0))</f>
        <v>0.21314113777902177</v>
      </c>
      <c r="H947" s="17">
        <f t="shared" si="59"/>
        <v>-3.7723192798175287</v>
      </c>
    </row>
    <row r="948" spans="1:8">
      <c r="A948" s="4" t="s">
        <v>765</v>
      </c>
      <c r="B948" s="4">
        <v>11</v>
      </c>
      <c r="C948" s="4" t="s">
        <v>72</v>
      </c>
      <c r="D948" s="4" t="s">
        <v>780</v>
      </c>
      <c r="E948" s="4" t="str">
        <f t="shared" si="58"/>
        <v>11|U</v>
      </c>
      <c r="F948" s="14">
        <f>INDEX('Emission Stepwise'!$H$2:$H$289,MATCH(E948,'Emission Stepwise'!$C$2:$C$289,0))</f>
        <v>0.20098039215686275</v>
      </c>
      <c r="G948" s="14">
        <f>INDEX(Background!$C$4:$C$7,MATCH(C948,Background!$A$4:$A$7,0))</f>
        <v>0.21314113777902177</v>
      </c>
      <c r="H948" s="17">
        <f t="shared" si="59"/>
        <v>-5.8747213113220911E-2</v>
      </c>
    </row>
    <row r="949" spans="1:8">
      <c r="A949" s="4" t="s">
        <v>765</v>
      </c>
      <c r="B949" s="4">
        <v>12</v>
      </c>
      <c r="C949" s="4" t="s">
        <v>70</v>
      </c>
      <c r="D949" s="4" t="s">
        <v>780</v>
      </c>
      <c r="E949" s="4" t="str">
        <f t="shared" si="58"/>
        <v>12|G</v>
      </c>
      <c r="F949" s="14">
        <f>INDEX('Emission Stepwise'!$H$2:$H$289,MATCH(E949,'Emission Stepwise'!$C$2:$C$289,0))</f>
        <v>0.19117647058823528</v>
      </c>
      <c r="G949" s="14">
        <f>INDEX(Background!$C$4:$C$7,MATCH(C949,Background!$A$4:$A$7,0))</f>
        <v>0.32488979077741237</v>
      </c>
      <c r="H949" s="17">
        <f t="shared" si="59"/>
        <v>-0.53028908825269705</v>
      </c>
    </row>
    <row r="950" spans="1:8">
      <c r="A950" s="4" t="s">
        <v>765</v>
      </c>
      <c r="B950" s="4">
        <v>13</v>
      </c>
      <c r="C950" s="4" t="s">
        <v>73</v>
      </c>
      <c r="D950" s="4" t="s">
        <v>780</v>
      </c>
      <c r="E950" s="4" t="str">
        <f t="shared" si="58"/>
        <v>13|A</v>
      </c>
      <c r="F950" s="14">
        <f>INDEX('Emission Stepwise'!$H$2:$H$289,MATCH(E950,'Emission Stepwise'!$C$2:$C$289,0))</f>
        <v>6.8627450980392163E-2</v>
      </c>
      <c r="G950" s="14">
        <f>INDEX(Background!$C$4:$C$7,MATCH(C950,Background!$A$4:$A$7,0))</f>
        <v>0.18550136449513679</v>
      </c>
      <c r="H950" s="17">
        <f t="shared" si="59"/>
        <v>-0.99436962303618837</v>
      </c>
    </row>
    <row r="951" spans="1:8">
      <c r="A951" s="4" t="s">
        <v>765</v>
      </c>
      <c r="B951" s="4">
        <v>14</v>
      </c>
      <c r="C951" s="4" t="s">
        <v>73</v>
      </c>
      <c r="D951" s="4" t="s">
        <v>780</v>
      </c>
      <c r="E951" s="4" t="str">
        <f t="shared" si="58"/>
        <v>14|A</v>
      </c>
      <c r="F951" s="14">
        <f>INDEX('Emission Stepwise'!$H$2:$H$289,MATCH(E951,'Emission Stepwise'!$C$2:$C$289,0))</f>
        <v>0.97549019607843135</v>
      </c>
      <c r="G951" s="14">
        <f>INDEX(Background!$C$4:$C$7,MATCH(C951,Background!$A$4:$A$7,0))</f>
        <v>0.18550136449513679</v>
      </c>
      <c r="H951" s="17">
        <f t="shared" si="59"/>
        <v>1.6598778720730452</v>
      </c>
    </row>
    <row r="952" spans="1:8">
      <c r="A952" s="4" t="s">
        <v>765</v>
      </c>
      <c r="B952" s="4">
        <v>15</v>
      </c>
      <c r="C952" s="4" t="s">
        <v>73</v>
      </c>
      <c r="D952" s="4" t="s">
        <v>780</v>
      </c>
      <c r="E952" s="4" t="str">
        <f t="shared" si="58"/>
        <v>15|A</v>
      </c>
      <c r="F952" s="14">
        <f>INDEX('Emission Stepwise'!$H$2:$H$289,MATCH(E952,'Emission Stepwise'!$C$2:$C$289,0))</f>
        <v>0.16748768472906403</v>
      </c>
      <c r="G952" s="14">
        <f>INDEX(Background!$C$4:$C$7,MATCH(C952,Background!$A$4:$A$7,0))</f>
        <v>0.18550136449513679</v>
      </c>
      <c r="H952" s="17">
        <f t="shared" si="59"/>
        <v>-0.1021524132328567</v>
      </c>
    </row>
    <row r="953" spans="1:8">
      <c r="A953" s="4" t="s">
        <v>765</v>
      </c>
      <c r="B953" s="4">
        <v>16</v>
      </c>
      <c r="C953" s="4" t="s">
        <v>73</v>
      </c>
      <c r="D953" s="4" t="s">
        <v>780</v>
      </c>
      <c r="E953" s="4" t="str">
        <f t="shared" si="58"/>
        <v>16|A</v>
      </c>
      <c r="F953" s="14">
        <f>INDEX('Emission Stepwise'!$H$2:$H$289,MATCH(E953,'Emission Stepwise'!$C$2:$C$289,0))</f>
        <v>2.9197080291970802E-2</v>
      </c>
      <c r="G953" s="14">
        <f>INDEX(Background!$C$4:$C$7,MATCH(C953,Background!$A$4:$A$7,0))</f>
        <v>0.18550136449513679</v>
      </c>
      <c r="H953" s="17">
        <f t="shared" si="59"/>
        <v>-1.8489935235154651</v>
      </c>
    </row>
    <row r="954" spans="1:8">
      <c r="A954" s="4" t="s">
        <v>765</v>
      </c>
      <c r="B954" s="4">
        <v>17</v>
      </c>
      <c r="C954" s="4" t="s">
        <v>73</v>
      </c>
      <c r="D954" s="4" t="s">
        <v>780</v>
      </c>
      <c r="E954" s="4" t="str">
        <f t="shared" si="58"/>
        <v>17|A</v>
      </c>
      <c r="F954" s="14">
        <f>INDEX('Emission Stepwise'!$H$2:$H$289,MATCH(E954,'Emission Stepwise'!$C$2:$C$289,0))</f>
        <v>6.4676616915422883E-2</v>
      </c>
      <c r="G954" s="14">
        <f>INDEX(Background!$C$4:$C$7,MATCH(C954,Background!$A$4:$A$7,0))</f>
        <v>0.18550136449513679</v>
      </c>
      <c r="H954" s="17">
        <f t="shared" si="59"/>
        <v>-1.0536625094047698</v>
      </c>
    </row>
    <row r="955" spans="1:8">
      <c r="A955" s="4" t="s">
        <v>765</v>
      </c>
      <c r="B955" s="4">
        <v>18</v>
      </c>
      <c r="C955" s="4" t="s">
        <v>70</v>
      </c>
      <c r="D955" s="4" t="s">
        <v>780</v>
      </c>
      <c r="E955" s="4" t="str">
        <f t="shared" si="58"/>
        <v>18|G</v>
      </c>
      <c r="F955" s="14">
        <f>INDEX('Emission Stepwise'!$H$2:$H$289,MATCH(E955,'Emission Stepwise'!$C$2:$C$289,0))</f>
        <v>0.98039215686274506</v>
      </c>
      <c r="G955" s="14">
        <f>INDEX(Background!$C$4:$C$7,MATCH(C955,Background!$A$4:$A$7,0))</f>
        <v>0.32488979077741237</v>
      </c>
      <c r="H955" s="17">
        <f t="shared" si="59"/>
        <v>1.1044666321656933</v>
      </c>
    </row>
    <row r="956" spans="1:8">
      <c r="A956" s="4" t="s">
        <v>765</v>
      </c>
      <c r="B956" s="4">
        <v>19</v>
      </c>
      <c r="C956" s="4" t="s">
        <v>70</v>
      </c>
      <c r="D956" s="4" t="s">
        <v>780</v>
      </c>
      <c r="E956" s="4" t="str">
        <f t="shared" si="58"/>
        <v>19|G</v>
      </c>
      <c r="F956" s="14">
        <f>INDEX('Emission Stepwise'!$H$2:$H$289,MATCH(E956,'Emission Stepwise'!$C$2:$C$289,0))</f>
        <v>0.97058823529411764</v>
      </c>
      <c r="G956" s="14">
        <f>INDEX(Background!$C$4:$C$7,MATCH(C956,Background!$A$4:$A$7,0))</f>
        <v>0.32488979077741237</v>
      </c>
      <c r="H956" s="17">
        <f t="shared" si="59"/>
        <v>1.0944162963121917</v>
      </c>
    </row>
    <row r="957" spans="1:8">
      <c r="A957" s="4" t="s">
        <v>765</v>
      </c>
      <c r="B957" s="4">
        <v>20</v>
      </c>
      <c r="C957" s="4" t="s">
        <v>72</v>
      </c>
      <c r="D957" s="4" t="s">
        <v>780</v>
      </c>
      <c r="E957" s="4" t="str">
        <f t="shared" si="58"/>
        <v>20|U</v>
      </c>
      <c r="F957" s="14">
        <f>INDEX('Emission Stepwise'!$H$2:$H$289,MATCH(E957,'Emission Stepwise'!$C$2:$C$289,0))</f>
        <v>0.59113300492610843</v>
      </c>
      <c r="G957" s="14">
        <f>INDEX(Background!$C$4:$C$7,MATCH(C957,Background!$A$4:$A$7,0))</f>
        <v>0.21314113777902177</v>
      </c>
      <c r="H957" s="17">
        <f t="shared" si="59"/>
        <v>1.0200864777669463</v>
      </c>
    </row>
    <row r="958" spans="1:8">
      <c r="A958" s="4" t="s">
        <v>765</v>
      </c>
      <c r="B958" s="4">
        <v>21</v>
      </c>
      <c r="C958" s="4" t="s">
        <v>70</v>
      </c>
      <c r="D958" s="4" t="s">
        <v>780</v>
      </c>
      <c r="E958" s="4" t="str">
        <f t="shared" si="58"/>
        <v>21|G</v>
      </c>
      <c r="F958" s="14">
        <f>INDEX('Emission Stepwise'!$H$2:$H$289,MATCH(E958,'Emission Stepwise'!$C$2:$C$289,0))</f>
        <v>3.9215686274509803E-2</v>
      </c>
      <c r="G958" s="14">
        <f>INDEX(Background!$C$4:$C$7,MATCH(C958,Background!$A$4:$A$7,0))</f>
        <v>0.32488979077741237</v>
      </c>
      <c r="H958" s="17">
        <f t="shared" si="59"/>
        <v>-2.1144091927025075</v>
      </c>
    </row>
    <row r="959" spans="1:8">
      <c r="A959" s="4" t="s">
        <v>765</v>
      </c>
      <c r="B959" s="4">
        <v>22</v>
      </c>
      <c r="C959" s="4" t="s">
        <v>72</v>
      </c>
      <c r="D959" s="4" t="s">
        <v>780</v>
      </c>
      <c r="E959" s="4" t="str">
        <f t="shared" si="58"/>
        <v>22|U</v>
      </c>
      <c r="F959" s="14">
        <f>INDEX('Emission Stepwise'!$H$2:$H$289,MATCH(E959,'Emission Stepwise'!$C$2:$C$289,0))</f>
        <v>7.3529411764705885E-2</v>
      </c>
      <c r="G959" s="14">
        <f>INDEX(Background!$C$4:$C$7,MATCH(C959,Background!$A$4:$A$7,0))</f>
        <v>0.21314113777902177</v>
      </c>
      <c r="H959" s="17">
        <f t="shared" si="59"/>
        <v>-1.0642690787153186</v>
      </c>
    </row>
    <row r="960" spans="1:8">
      <c r="A960" s="4" t="s">
        <v>765</v>
      </c>
      <c r="B960" s="4">
        <v>23</v>
      </c>
      <c r="C960" s="4" t="s">
        <v>71</v>
      </c>
      <c r="D960" s="4" t="s">
        <v>780</v>
      </c>
      <c r="E960" s="4" t="str">
        <f t="shared" si="58"/>
        <v>23|C</v>
      </c>
      <c r="F960" s="14">
        <f>INDEX('Emission Stepwise'!$H$2:$H$289,MATCH(E960,'Emission Stepwise'!$C$2:$C$289,0))</f>
        <v>0.19117647058823528</v>
      </c>
      <c r="G960" s="14">
        <f>INDEX(Background!$C$4:$C$7,MATCH(C960,Background!$A$4:$A$7,0))</f>
        <v>0.27646770694842909</v>
      </c>
      <c r="H960" s="17">
        <f t="shared" si="59"/>
        <v>-0.36889709064416604</v>
      </c>
    </row>
    <row r="961" spans="1:8">
      <c r="A961" s="4" t="s">
        <v>765</v>
      </c>
      <c r="B961" s="4">
        <v>24</v>
      </c>
      <c r="C961" s="4" t="s">
        <v>73</v>
      </c>
      <c r="D961" s="4" t="s">
        <v>780</v>
      </c>
      <c r="E961" s="4" t="str">
        <f t="shared" si="58"/>
        <v>24|A</v>
      </c>
      <c r="F961" s="14">
        <f>INDEX('Emission Stepwise'!$H$2:$H$289,MATCH(E961,'Emission Stepwise'!$C$2:$C$289,0))</f>
        <v>0.18627450980392157</v>
      </c>
      <c r="G961" s="14">
        <f>INDEX(Background!$C$4:$C$7,MATCH(C961,Background!$A$4:$A$7,0))</f>
        <v>0.18550136449513679</v>
      </c>
      <c r="H961" s="17">
        <f t="shared" si="59"/>
        <v>4.1592070749386289E-3</v>
      </c>
    </row>
    <row r="962" spans="1:8">
      <c r="A962" s="4" t="s">
        <v>765</v>
      </c>
      <c r="B962" s="4">
        <v>25</v>
      </c>
      <c r="C962" s="4" t="s">
        <v>70</v>
      </c>
      <c r="D962" s="4" t="s">
        <v>780</v>
      </c>
      <c r="E962" s="4" t="str">
        <f t="shared" si="58"/>
        <v>25|G</v>
      </c>
      <c r="F962" s="14">
        <f>INDEX('Emission Stepwise'!$H$2:$H$289,MATCH(E962,'Emission Stepwise'!$C$2:$C$289,0))</f>
        <v>3.9215686274509803E-2</v>
      </c>
      <c r="G962" s="14">
        <f>INDEX(Background!$C$4:$C$7,MATCH(C962,Background!$A$4:$A$7,0))</f>
        <v>0.32488979077741237</v>
      </c>
      <c r="H962" s="17">
        <f t="shared" si="59"/>
        <v>-2.1144091927025075</v>
      </c>
    </row>
    <row r="963" spans="1:8">
      <c r="A963" s="4" t="s">
        <v>765</v>
      </c>
      <c r="B963" s="4">
        <v>26</v>
      </c>
      <c r="C963" s="4" t="s">
        <v>71</v>
      </c>
      <c r="D963" s="4" t="s">
        <v>781</v>
      </c>
      <c r="E963" s="4" t="str">
        <f t="shared" si="58"/>
        <v>26|C</v>
      </c>
      <c r="F963" s="14">
        <f>INDEX('Emission Stepwise'!$H$2:$H$289,MATCH(E963,'Emission Stepwise'!$C$2:$C$289,0))</f>
        <v>2.9411764705882353E-2</v>
      </c>
      <c r="G963" s="14">
        <f>INDEX(Background!$C$4:$C$7,MATCH(C963,Background!$A$4:$A$7,0))</f>
        <v>0.27646770694842909</v>
      </c>
      <c r="H963" s="17">
        <f t="shared" si="59"/>
        <v>-2.2406992675457573</v>
      </c>
    </row>
    <row r="964" spans="1:8">
      <c r="A964" s="4" t="s">
        <v>765</v>
      </c>
      <c r="B964" s="4">
        <v>27</v>
      </c>
      <c r="C964" s="4" t="s">
        <v>73</v>
      </c>
      <c r="D964" s="4" t="s">
        <v>781</v>
      </c>
      <c r="E964" s="4" t="str">
        <f t="shared" si="58"/>
        <v>27|A</v>
      </c>
      <c r="F964" s="14">
        <f>INDEX('Emission Stepwise'!$H$2:$H$289,MATCH(E964,'Emission Stepwise'!$C$2:$C$289,0))</f>
        <v>0.12254901960784313</v>
      </c>
      <c r="G964" s="14">
        <f>INDEX(Background!$C$4:$C$7,MATCH(C964,Background!$A$4:$A$7,0))</f>
        <v>0.18550136449513679</v>
      </c>
      <c r="H964" s="17">
        <f t="shared" si="59"/>
        <v>-0.41455112778324649</v>
      </c>
    </row>
    <row r="965" spans="1:8">
      <c r="A965" s="4" t="s">
        <v>765</v>
      </c>
      <c r="B965" s="4">
        <v>28</v>
      </c>
      <c r="C965" s="4" t="s">
        <v>72</v>
      </c>
      <c r="D965" s="4" t="s">
        <v>781</v>
      </c>
      <c r="E965" s="4" t="str">
        <f t="shared" si="58"/>
        <v>28|U</v>
      </c>
      <c r="F965" s="14">
        <f>INDEX('Emission Stepwise'!$H$2:$H$289,MATCH(E965,'Emission Stepwise'!$C$2:$C$289,0))</f>
        <v>0.25490196078431371</v>
      </c>
      <c r="G965" s="14">
        <f>INDEX(Background!$C$4:$C$7,MATCH(C965,Background!$A$4:$A$7,0))</f>
        <v>0.21314113777902177</v>
      </c>
      <c r="H965" s="17">
        <f t="shared" si="59"/>
        <v>0.17892443876389855</v>
      </c>
    </row>
    <row r="966" spans="1:8">
      <c r="A966" s="4" t="s">
        <v>765</v>
      </c>
      <c r="B966" s="4">
        <v>29</v>
      </c>
      <c r="C966" s="4" t="s">
        <v>73</v>
      </c>
      <c r="D966" s="4" t="s">
        <v>781</v>
      </c>
      <c r="E966" s="4" t="str">
        <f t="shared" si="58"/>
        <v>29|A</v>
      </c>
      <c r="F966" s="14">
        <f>INDEX('Emission Stepwise'!$H$2:$H$289,MATCH(E966,'Emission Stepwise'!$C$2:$C$289,0))</f>
        <v>0.16176470588235295</v>
      </c>
      <c r="G966" s="14">
        <f>INDEX(Background!$C$4:$C$7,MATCH(C966,Background!$A$4:$A$7,0))</f>
        <v>0.18550136449513679</v>
      </c>
      <c r="H966" s="17">
        <f t="shared" si="59"/>
        <v>-0.13691939118496679</v>
      </c>
    </row>
    <row r="967" spans="1:8">
      <c r="A967" s="4" t="s">
        <v>765</v>
      </c>
      <c r="B967" s="4">
        <v>30</v>
      </c>
      <c r="C967" s="4" t="s">
        <v>72</v>
      </c>
      <c r="D967" s="4" t="s">
        <v>781</v>
      </c>
      <c r="E967" s="4" t="str">
        <f t="shared" si="58"/>
        <v>30|U</v>
      </c>
      <c r="F967" s="14">
        <f>INDEX('Emission Stepwise'!$H$2:$H$289,MATCH(E967,'Emission Stepwise'!$C$2:$C$289,0))</f>
        <v>3.9215686274509803E-2</v>
      </c>
      <c r="G967" s="14">
        <f>INDEX(Background!$C$4:$C$7,MATCH(C967,Background!$A$4:$A$7,0))</f>
        <v>0.21314113777902177</v>
      </c>
      <c r="H967" s="17">
        <f t="shared" si="59"/>
        <v>-1.6928777381376929</v>
      </c>
    </row>
    <row r="968" spans="1:8">
      <c r="A968" s="4" t="s">
        <v>765</v>
      </c>
      <c r="B968" s="4">
        <v>31</v>
      </c>
      <c r="C968" s="4" t="s">
        <v>72</v>
      </c>
      <c r="D968" s="4" t="s">
        <v>781</v>
      </c>
      <c r="E968" s="4" t="str">
        <f t="shared" si="58"/>
        <v>31|U</v>
      </c>
      <c r="F968" s="14">
        <f>INDEX('Emission Stepwise'!$H$2:$H$289,MATCH(E968,'Emission Stepwise'!$C$2:$C$289,0))</f>
        <v>9.8039215686274508E-2</v>
      </c>
      <c r="G968" s="14">
        <f>INDEX(Background!$C$4:$C$7,MATCH(C968,Background!$A$4:$A$7,0))</f>
        <v>0.21314113777902177</v>
      </c>
      <c r="H968" s="17">
        <f t="shared" si="59"/>
        <v>-0.77658700626353783</v>
      </c>
    </row>
    <row r="969" spans="1:8">
      <c r="A969" s="4" t="s">
        <v>765</v>
      </c>
      <c r="B969" s="4">
        <v>32</v>
      </c>
      <c r="C969" s="4" t="s">
        <v>70</v>
      </c>
      <c r="D969" s="4" t="s">
        <v>781</v>
      </c>
      <c r="E969" s="4" t="str">
        <f t="shared" si="58"/>
        <v>32|G</v>
      </c>
      <c r="F969" s="14">
        <f>INDEX('Emission Stepwise'!$H$2:$H$289,MATCH(E969,'Emission Stepwise'!$C$2:$C$289,0))</f>
        <v>4.9019607843137254E-3</v>
      </c>
      <c r="G969" s="14">
        <f>INDEX(Background!$C$4:$C$7,MATCH(C969,Background!$A$4:$A$7,0))</f>
        <v>0.32488979077741237</v>
      </c>
      <c r="H969" s="17">
        <f t="shared" si="59"/>
        <v>-4.1938507343823437</v>
      </c>
    </row>
    <row r="970" spans="1:8">
      <c r="A970" s="4" t="s">
        <v>765</v>
      </c>
      <c r="B970" s="4">
        <v>33</v>
      </c>
      <c r="C970" s="4" t="s">
        <v>72</v>
      </c>
      <c r="D970" s="4" t="s">
        <v>781</v>
      </c>
      <c r="E970" s="4" t="str">
        <f t="shared" si="58"/>
        <v>33|U</v>
      </c>
      <c r="F970" s="14">
        <f>INDEX('Emission Stepwise'!$H$2:$H$289,MATCH(E970,'Emission Stepwise'!$C$2:$C$289,0))</f>
        <v>0.97549019607843135</v>
      </c>
      <c r="G970" s="14">
        <f>INDEX(Background!$C$4:$C$7,MATCH(C970,Background!$A$4:$A$7,0))</f>
        <v>0.21314113777902177</v>
      </c>
      <c r="H970" s="17">
        <f t="shared" si="59"/>
        <v>1.5209855449069636</v>
      </c>
    </row>
    <row r="971" spans="1:8">
      <c r="A971" s="4" t="s">
        <v>765</v>
      </c>
      <c r="B971" s="4">
        <v>34</v>
      </c>
      <c r="C971" s="4" t="s">
        <v>72</v>
      </c>
      <c r="D971" s="4" t="s">
        <v>781</v>
      </c>
      <c r="E971" s="4" t="str">
        <f t="shared" si="58"/>
        <v>34|U</v>
      </c>
      <c r="F971" s="14">
        <f>INDEX('Emission Stepwise'!$H$2:$H$289,MATCH(E971,'Emission Stepwise'!$C$2:$C$289,0))</f>
        <v>0.28921568627450983</v>
      </c>
      <c r="G971" s="14">
        <f>INDEX(Background!$C$4:$C$7,MATCH(C971,Background!$A$4:$A$7,0))</f>
        <v>0.21314113777902177</v>
      </c>
      <c r="H971" s="17">
        <f t="shared" si="59"/>
        <v>0.30521816408819075</v>
      </c>
    </row>
    <row r="972" spans="1:8">
      <c r="A972" s="4" t="s">
        <v>765</v>
      </c>
      <c r="B972" s="4">
        <v>35</v>
      </c>
      <c r="C972" s="4" t="s">
        <v>72</v>
      </c>
      <c r="D972" s="4" t="s">
        <v>781</v>
      </c>
      <c r="E972" s="4" t="str">
        <f t="shared" si="58"/>
        <v>35|U</v>
      </c>
      <c r="F972" s="14">
        <f>INDEX('Emission Stepwise'!$H$2:$H$289,MATCH(E972,'Emission Stepwise'!$C$2:$C$289,0))</f>
        <v>0.20588235294117646</v>
      </c>
      <c r="G972" s="14">
        <f>INDEX(Background!$C$4:$C$7,MATCH(C972,Background!$A$4:$A$7,0))</f>
        <v>0.21314113777902177</v>
      </c>
      <c r="H972" s="17">
        <f t="shared" si="59"/>
        <v>-3.4649661534160589E-2</v>
      </c>
    </row>
    <row r="973" spans="1:8">
      <c r="A973" s="4" t="s">
        <v>765</v>
      </c>
      <c r="B973" s="4">
        <v>36</v>
      </c>
      <c r="C973" s="4" t="s">
        <v>73</v>
      </c>
      <c r="D973" s="4" t="s">
        <v>781</v>
      </c>
      <c r="E973" s="4" t="str">
        <f t="shared" si="58"/>
        <v>36|A</v>
      </c>
      <c r="F973" s="14">
        <f>INDEX('Emission Stepwise'!$H$2:$H$289,MATCH(E973,'Emission Stepwise'!$C$2:$C$289,0))</f>
        <v>0.21568627450980393</v>
      </c>
      <c r="G973" s="14">
        <f>INDEX(Background!$C$4:$C$7,MATCH(C973,Background!$A$4:$A$7,0))</f>
        <v>0.18550136449513679</v>
      </c>
      <c r="H973" s="17">
        <f t="shared" si="59"/>
        <v>0.15076268126681408</v>
      </c>
    </row>
    <row r="974" spans="1:8">
      <c r="A974" s="4" t="s">
        <v>765</v>
      </c>
      <c r="B974" s="4">
        <v>37</v>
      </c>
      <c r="C974" s="4" t="s">
        <v>73</v>
      </c>
      <c r="D974" s="4" t="s">
        <v>781</v>
      </c>
      <c r="E974" s="4" t="str">
        <f t="shared" si="58"/>
        <v>37|A</v>
      </c>
      <c r="F974" s="14">
        <f>INDEX('Emission Stepwise'!$H$2:$H$289,MATCH(E974,'Emission Stepwise'!$C$2:$C$289,0))</f>
        <v>0.74509803921568629</v>
      </c>
      <c r="G974" s="14">
        <f>INDEX(Background!$C$4:$C$7,MATCH(C974,Background!$A$4:$A$7,0))</f>
        <v>0.18550136449513679</v>
      </c>
      <c r="H974" s="17">
        <f t="shared" si="59"/>
        <v>1.3904535681948293</v>
      </c>
    </row>
    <row r="975" spans="1:8">
      <c r="A975" s="4" t="s">
        <v>765</v>
      </c>
      <c r="B975" s="4">
        <v>38</v>
      </c>
      <c r="C975" s="4" t="s">
        <v>71</v>
      </c>
      <c r="D975" s="4" t="s">
        <v>781</v>
      </c>
      <c r="E975" s="4" t="str">
        <f t="shared" si="58"/>
        <v>38|C</v>
      </c>
      <c r="F975" s="14">
        <f>INDEX('Emission Stepwise'!$H$2:$H$289,MATCH(E975,'Emission Stepwise'!$C$2:$C$289,0))</f>
        <v>0.14705882352941177</v>
      </c>
      <c r="G975" s="14">
        <f>INDEX(Background!$C$4:$C$7,MATCH(C975,Background!$A$4:$A$7,0))</f>
        <v>0.27646770694842909</v>
      </c>
      <c r="H975" s="17">
        <f t="shared" si="59"/>
        <v>-0.63126135511165704</v>
      </c>
    </row>
    <row r="976" spans="1:8">
      <c r="A976" s="4" t="s">
        <v>765</v>
      </c>
      <c r="B976" s="4">
        <v>39</v>
      </c>
      <c r="C976" s="4" t="s">
        <v>73</v>
      </c>
      <c r="D976" s="4" t="s">
        <v>781</v>
      </c>
      <c r="E976" s="4" t="str">
        <f t="shared" si="58"/>
        <v>39|A</v>
      </c>
      <c r="F976" s="14">
        <f>INDEX('Emission Stepwise'!$H$2:$H$289,MATCH(E976,'Emission Stepwise'!$C$2:$C$289,0))</f>
        <v>9.3137254901960786E-2</v>
      </c>
      <c r="G976" s="14">
        <f>INDEX(Background!$C$4:$C$7,MATCH(C976,Background!$A$4:$A$7,0))</f>
        <v>0.18550136449513679</v>
      </c>
      <c r="H976" s="17">
        <f t="shared" si="59"/>
        <v>-0.68898797348500673</v>
      </c>
    </row>
    <row r="977" spans="1:8">
      <c r="A977" s="4" t="s">
        <v>765</v>
      </c>
      <c r="B977" s="4">
        <v>40</v>
      </c>
      <c r="C977" s="4" t="s">
        <v>70</v>
      </c>
      <c r="D977" s="4" t="s">
        <v>781</v>
      </c>
      <c r="E977" s="4" t="str">
        <f t="shared" si="58"/>
        <v>40|G</v>
      </c>
      <c r="F977" s="14">
        <f>INDEX('Emission Stepwise'!$H$2:$H$289,MATCH(E977,'Emission Stepwise'!$C$2:$C$289,0))</f>
        <v>0.24019607843137256</v>
      </c>
      <c r="G977" s="14">
        <f>INDEX(Background!$C$4:$C$7,MATCH(C977,Background!$A$4:$A$7,0))</f>
        <v>0.32488979077741237</v>
      </c>
      <c r="H977" s="17">
        <f t="shared" si="59"/>
        <v>-0.30203043627171677</v>
      </c>
    </row>
    <row r="978" spans="1:8">
      <c r="A978" s="4" t="s">
        <v>765</v>
      </c>
      <c r="B978" s="4">
        <v>41</v>
      </c>
      <c r="C978" s="4" t="s">
        <v>72</v>
      </c>
      <c r="D978" s="4" t="s">
        <v>781</v>
      </c>
      <c r="E978" s="4" t="str">
        <f t="shared" si="58"/>
        <v>41|U</v>
      </c>
      <c r="F978" s="14">
        <f>INDEX('Emission Stepwise'!$H$2:$H$289,MATCH(E978,'Emission Stepwise'!$C$2:$C$289,0))</f>
        <v>0.16666666666666666</v>
      </c>
      <c r="G978" s="14">
        <f>INDEX(Background!$C$4:$C$7,MATCH(C978,Background!$A$4:$A$7,0))</f>
        <v>0.21314113777902177</v>
      </c>
      <c r="H978" s="17">
        <f t="shared" si="59"/>
        <v>-0.24595875520136748</v>
      </c>
    </row>
    <row r="979" spans="1:8">
      <c r="A979" s="4" t="s">
        <v>765</v>
      </c>
      <c r="B979" s="4">
        <v>42</v>
      </c>
      <c r="C979" s="4" t="s">
        <v>70</v>
      </c>
      <c r="D979" s="4" t="s">
        <v>781</v>
      </c>
      <c r="E979" s="4" t="str">
        <f t="shared" si="58"/>
        <v>42|G</v>
      </c>
      <c r="F979" s="14">
        <f>INDEX('Emission Stepwise'!$H$2:$H$289,MATCH(E979,'Emission Stepwise'!$C$2:$C$289,0))</f>
        <v>0.51960784313725494</v>
      </c>
      <c r="G979" s="14">
        <f>INDEX(Background!$C$4:$C$7,MATCH(C979,Background!$A$4:$A$7,0))</f>
        <v>0.32488979077741237</v>
      </c>
      <c r="H979" s="17">
        <f t="shared" si="59"/>
        <v>0.46958835972972385</v>
      </c>
    </row>
    <row r="980" spans="1:8">
      <c r="A980" s="4" t="s">
        <v>765</v>
      </c>
      <c r="B980" s="4">
        <v>43</v>
      </c>
      <c r="C980" s="4" t="s">
        <v>72</v>
      </c>
      <c r="D980" s="4" t="s">
        <v>781</v>
      </c>
      <c r="E980" s="4" t="str">
        <f t="shared" si="58"/>
        <v>43|U</v>
      </c>
      <c r="F980" s="14">
        <f>INDEX('Emission Stepwise'!$H$2:$H$289,MATCH(E980,'Emission Stepwise'!$C$2:$C$289,0))</f>
        <v>0.16176470588235295</v>
      </c>
      <c r="G980" s="14">
        <f>INDEX(Background!$C$4:$C$7,MATCH(C980,Background!$A$4:$A$7,0))</f>
        <v>0.21314113777902177</v>
      </c>
      <c r="H980" s="17">
        <f t="shared" si="59"/>
        <v>-0.27581171835104856</v>
      </c>
    </row>
    <row r="981" spans="1:8">
      <c r="A981" s="4" t="s">
        <v>765</v>
      </c>
      <c r="B981" s="4">
        <v>44</v>
      </c>
      <c r="C981" s="4" t="s">
        <v>73</v>
      </c>
      <c r="D981" s="4" t="s">
        <v>781</v>
      </c>
      <c r="E981" s="4" t="str">
        <f t="shared" si="58"/>
        <v>44|A</v>
      </c>
      <c r="F981" s="14">
        <f>INDEX('Emission Stepwise'!$H$2:$H$289,MATCH(E981,'Emission Stepwise'!$C$2:$C$289,0))</f>
        <v>0.49509803921568629</v>
      </c>
      <c r="G981" s="14">
        <f>INDEX(Background!$C$4:$C$7,MATCH(C981,Background!$A$4:$A$7,0))</f>
        <v>0.18550136449513679</v>
      </c>
      <c r="H981" s="17">
        <f t="shared" si="59"/>
        <v>0.98169356418981235</v>
      </c>
    </row>
    <row r="982" spans="1:8">
      <c r="A982" s="4" t="s">
        <v>765</v>
      </c>
      <c r="B982" s="4">
        <v>45</v>
      </c>
      <c r="C982" s="4" t="s">
        <v>70</v>
      </c>
      <c r="D982" s="4" t="s">
        <v>782</v>
      </c>
      <c r="E982" s="4" t="str">
        <f t="shared" si="58"/>
        <v>45|G</v>
      </c>
      <c r="F982" s="14">
        <f>INDEX('Emission Stepwise'!$H$2:$H$289,MATCH(E982,'Emission Stepwise'!$C$2:$C$289,0))</f>
        <v>0.74752475247524752</v>
      </c>
      <c r="G982" s="14">
        <f>INDEX(Background!$C$4:$C$7,MATCH(C982,Background!$A$4:$A$7,0))</f>
        <v>0.32488979077741237</v>
      </c>
      <c r="H982" s="17">
        <f t="shared" si="59"/>
        <v>0.8332813988755926</v>
      </c>
    </row>
    <row r="983" spans="1:8">
      <c r="A983" s="4" t="s">
        <v>765</v>
      </c>
      <c r="B983" s="4">
        <v>46</v>
      </c>
      <c r="C983" s="4" t="s">
        <v>73</v>
      </c>
      <c r="D983" s="4" t="s">
        <v>782</v>
      </c>
      <c r="E983" s="4" t="str">
        <f t="shared" si="58"/>
        <v>46|A</v>
      </c>
      <c r="F983" s="14">
        <f>INDEX('Emission Stepwise'!$H$2:$H$289,MATCH(E983,'Emission Stepwise'!$C$2:$C$289,0))</f>
        <v>9.8265895953757232E-2</v>
      </c>
      <c r="G983" s="14">
        <f>INDEX(Background!$C$4:$C$7,MATCH(C983,Background!$A$4:$A$7,0))</f>
        <v>0.18550136449513679</v>
      </c>
      <c r="H983" s="17">
        <f t="shared" si="59"/>
        <v>-0.6353852092487936</v>
      </c>
    </row>
    <row r="984" spans="1:8">
      <c r="A984" s="4" t="s">
        <v>765</v>
      </c>
      <c r="B984" s="4">
        <v>47</v>
      </c>
      <c r="C984" s="4" t="s">
        <v>73</v>
      </c>
      <c r="D984" s="4" t="s">
        <v>782</v>
      </c>
      <c r="E984" s="4" t="str">
        <f t="shared" si="58"/>
        <v>47|A</v>
      </c>
      <c r="F984" s="14">
        <f>INDEX('Emission Stepwise'!$H$2:$H$289,MATCH(E984,'Emission Stepwise'!$C$2:$C$289,0))</f>
        <v>0.13235294117647059</v>
      </c>
      <c r="G984" s="14">
        <f>INDEX(Background!$C$4:$C$7,MATCH(C984,Background!$A$4:$A$7,0))</f>
        <v>0.18550136449513679</v>
      </c>
      <c r="H984" s="17">
        <f t="shared" si="59"/>
        <v>-0.33759008664711798</v>
      </c>
    </row>
    <row r="985" spans="1:8">
      <c r="A985" s="4" t="s">
        <v>765</v>
      </c>
      <c r="B985" s="4">
        <v>48</v>
      </c>
      <c r="C985" s="4" t="s">
        <v>72</v>
      </c>
      <c r="D985" s="4" t="s">
        <v>782</v>
      </c>
      <c r="E985" s="4" t="str">
        <f t="shared" si="58"/>
        <v>48|U</v>
      </c>
      <c r="F985" s="14">
        <f>INDEX('Emission Stepwise'!$H$2:$H$289,MATCH(E985,'Emission Stepwise'!$C$2:$C$289,0))</f>
        <v>0.14705882352941177</v>
      </c>
      <c r="G985" s="14">
        <f>INDEX(Background!$C$4:$C$7,MATCH(C985,Background!$A$4:$A$7,0))</f>
        <v>0.21314113777902177</v>
      </c>
      <c r="H985" s="17">
        <f t="shared" si="59"/>
        <v>-0.37112189815537333</v>
      </c>
    </row>
    <row r="986" spans="1:8">
      <c r="A986" s="4" t="s">
        <v>765</v>
      </c>
      <c r="B986" s="4">
        <v>49</v>
      </c>
      <c r="C986" s="4" t="s">
        <v>73</v>
      </c>
      <c r="D986" s="4" t="s">
        <v>783</v>
      </c>
      <c r="E986" s="4" t="str">
        <f t="shared" si="58"/>
        <v>49|A</v>
      </c>
      <c r="F986" s="14">
        <f>INDEX('Emission Stepwise'!$H$2:$H$289,MATCH(E986,'Emission Stepwise'!$C$2:$C$289,0))</f>
        <v>0.15686274509803921</v>
      </c>
      <c r="G986" s="14">
        <f>INDEX(Background!$C$4:$C$7,MATCH(C986,Background!$A$4:$A$7,0))</f>
        <v>0.18550136449513679</v>
      </c>
      <c r="H986" s="17">
        <f t="shared" si="59"/>
        <v>-0.16769104985172067</v>
      </c>
    </row>
    <row r="987" spans="1:8">
      <c r="A987" s="4" t="s">
        <v>765</v>
      </c>
      <c r="B987" s="4">
        <v>50</v>
      </c>
      <c r="C987" s="4" t="s">
        <v>73</v>
      </c>
      <c r="D987" s="4" t="s">
        <v>783</v>
      </c>
      <c r="E987" s="4" t="str">
        <f t="shared" si="58"/>
        <v>50|A</v>
      </c>
      <c r="F987" s="14">
        <f>INDEX('Emission Stepwise'!$H$2:$H$289,MATCH(E987,'Emission Stepwise'!$C$2:$C$289,0))</f>
        <v>0.11764705882352941</v>
      </c>
      <c r="G987" s="14">
        <f>INDEX(Background!$C$4:$C$7,MATCH(C987,Background!$A$4:$A$7,0))</f>
        <v>0.18550136449513679</v>
      </c>
      <c r="H987" s="17">
        <f t="shared" si="59"/>
        <v>-0.45537312230350152</v>
      </c>
    </row>
    <row r="988" spans="1:8">
      <c r="A988" s="4" t="s">
        <v>765</v>
      </c>
      <c r="B988" s="4">
        <v>51</v>
      </c>
      <c r="C988" s="4" t="s">
        <v>72</v>
      </c>
      <c r="D988" s="4" t="s">
        <v>783</v>
      </c>
      <c r="E988" s="4" t="str">
        <f t="shared" si="58"/>
        <v>51|U</v>
      </c>
      <c r="F988" s="14">
        <f>INDEX('Emission Stepwise'!$H$2:$H$289,MATCH(E988,'Emission Stepwise'!$C$2:$C$289,0))</f>
        <v>0.15763546798029557</v>
      </c>
      <c r="G988" s="14">
        <f>INDEX(Background!$C$4:$C$7,MATCH(C988,Background!$A$4:$A$7,0))</f>
        <v>0.21314113777902177</v>
      </c>
      <c r="H988" s="17">
        <f t="shared" si="59"/>
        <v>-0.30166936221537316</v>
      </c>
    </row>
    <row r="989" spans="1:8">
      <c r="A989" s="4" t="s">
        <v>765</v>
      </c>
      <c r="B989" s="4">
        <v>52</v>
      </c>
      <c r="C989" s="4" t="s">
        <v>72</v>
      </c>
      <c r="D989" s="4" t="s">
        <v>783</v>
      </c>
      <c r="E989" s="4" t="str">
        <f t="shared" si="58"/>
        <v>52|U</v>
      </c>
      <c r="F989" s="14">
        <f>INDEX('Emission Stepwise'!$H$2:$H$289,MATCH(E989,'Emission Stepwise'!$C$2:$C$289,0))</f>
        <v>2.4509803921568627E-2</v>
      </c>
      <c r="G989" s="14">
        <f>INDEX(Background!$C$4:$C$7,MATCH(C989,Background!$A$4:$A$7,0))</f>
        <v>0.21314113777902177</v>
      </c>
      <c r="H989" s="17">
        <f t="shared" si="59"/>
        <v>-2.1628813673834282</v>
      </c>
    </row>
    <row r="990" spans="1:8">
      <c r="A990" s="4" t="s">
        <v>765</v>
      </c>
      <c r="B990" s="4">
        <v>53</v>
      </c>
      <c r="C990" s="4" t="s">
        <v>70</v>
      </c>
      <c r="D990" s="4" t="s">
        <v>783</v>
      </c>
      <c r="E990" s="4" t="str">
        <f t="shared" si="58"/>
        <v>53|G</v>
      </c>
      <c r="F990" s="14">
        <f>INDEX('Emission Stepwise'!$H$2:$H$289,MATCH(E990,'Emission Stepwise'!$C$2:$C$289,0))</f>
        <v>0.96568627450980393</v>
      </c>
      <c r="G990" s="14">
        <f>INDEX(Background!$C$4:$C$7,MATCH(C990,Background!$A$4:$A$7,0))</f>
        <v>0.32488979077741237</v>
      </c>
      <c r="H990" s="17">
        <f t="shared" si="59"/>
        <v>1.089352994355645</v>
      </c>
    </row>
    <row r="991" spans="1:8">
      <c r="A991" s="4" t="s">
        <v>765</v>
      </c>
      <c r="B991" s="4">
        <v>54</v>
      </c>
      <c r="C991" s="4" t="s">
        <v>72</v>
      </c>
      <c r="D991" s="4" t="s">
        <v>783</v>
      </c>
      <c r="E991" s="4" t="str">
        <f t="shared" si="58"/>
        <v>54|U</v>
      </c>
      <c r="F991" s="14">
        <f>INDEX('Emission Stepwise'!$H$2:$H$289,MATCH(E991,'Emission Stepwise'!$C$2:$C$289,0))</f>
        <v>0.97549019607843135</v>
      </c>
      <c r="G991" s="14">
        <f>INDEX(Background!$C$4:$C$7,MATCH(C991,Background!$A$4:$A$7,0))</f>
        <v>0.21314113777902177</v>
      </c>
      <c r="H991" s="17">
        <f t="shared" si="59"/>
        <v>1.5209855449069636</v>
      </c>
    </row>
    <row r="992" spans="1:8">
      <c r="A992" s="4" t="s">
        <v>765</v>
      </c>
      <c r="B992" s="4">
        <v>55</v>
      </c>
      <c r="C992" s="4" t="s">
        <v>72</v>
      </c>
      <c r="D992" s="4" t="s">
        <v>783</v>
      </c>
      <c r="E992" s="4" t="str">
        <f t="shared" si="58"/>
        <v>55|U</v>
      </c>
      <c r="F992" s="14">
        <f>INDEX('Emission Stepwise'!$H$2:$H$289,MATCH(E992,'Emission Stepwise'!$C$2:$C$289,0))</f>
        <v>0.97058823529411764</v>
      </c>
      <c r="G992" s="14">
        <f>INDEX(Background!$C$4:$C$7,MATCH(C992,Background!$A$4:$A$7,0))</f>
        <v>0.21314113777902177</v>
      </c>
      <c r="H992" s="17">
        <f t="shared" si="59"/>
        <v>1.5159477508770065</v>
      </c>
    </row>
    <row r="993" spans="1:8">
      <c r="A993" s="4" t="s">
        <v>765</v>
      </c>
      <c r="B993" s="4">
        <v>56</v>
      </c>
      <c r="C993" s="4" t="s">
        <v>71</v>
      </c>
      <c r="D993" s="4" t="s">
        <v>783</v>
      </c>
      <c r="E993" s="4" t="str">
        <f t="shared" si="58"/>
        <v>56|C</v>
      </c>
      <c r="F993" s="14">
        <f>INDEX('Emission Stepwise'!$H$2:$H$289,MATCH(E993,'Emission Stepwise'!$C$2:$C$289,0))</f>
        <v>0.96568627450980393</v>
      </c>
      <c r="G993" s="14">
        <f>INDEX(Background!$C$4:$C$7,MATCH(C993,Background!$A$4:$A$7,0))</f>
        <v>0.27646770694842909</v>
      </c>
      <c r="H993" s="17">
        <f t="shared" si="59"/>
        <v>1.250744991964176</v>
      </c>
    </row>
    <row r="994" spans="1:8">
      <c r="A994" s="4" t="s">
        <v>765</v>
      </c>
      <c r="B994" s="4">
        <v>57</v>
      </c>
      <c r="C994" s="4" t="s">
        <v>70</v>
      </c>
      <c r="D994" s="4" t="s">
        <v>783</v>
      </c>
      <c r="E994" s="4" t="str">
        <f t="shared" si="58"/>
        <v>57|G</v>
      </c>
      <c r="F994" s="14">
        <f>INDEX('Emission Stepwise'!$H$2:$H$289,MATCH(E994,'Emission Stepwise'!$C$2:$C$289,0))</f>
        <v>0.60098522167487689</v>
      </c>
      <c r="G994" s="14">
        <f>INDEX(Background!$C$4:$C$7,MATCH(C994,Background!$A$4:$A$7,0))</f>
        <v>0.32488979077741237</v>
      </c>
      <c r="H994" s="17">
        <f t="shared" si="59"/>
        <v>0.61508432515334222</v>
      </c>
    </row>
    <row r="995" spans="1:8">
      <c r="A995" s="4" t="s">
        <v>765</v>
      </c>
      <c r="B995" s="4">
        <v>58</v>
      </c>
      <c r="C995" s="4" t="s">
        <v>70</v>
      </c>
      <c r="D995" s="4" t="s">
        <v>783</v>
      </c>
      <c r="E995" s="4" t="str">
        <f t="shared" si="58"/>
        <v>58|G</v>
      </c>
      <c r="F995" s="14">
        <f>INDEX('Emission Stepwise'!$H$2:$H$289,MATCH(E995,'Emission Stepwise'!$C$2:$C$289,0))</f>
        <v>4.9019607843137254E-3</v>
      </c>
      <c r="G995" s="14">
        <f>INDEX(Background!$C$4:$C$7,MATCH(C995,Background!$A$4:$A$7,0))</f>
        <v>0.32488979077741237</v>
      </c>
      <c r="H995" s="17">
        <f t="shared" si="59"/>
        <v>-4.1938507343823437</v>
      </c>
    </row>
    <row r="996" spans="1:8">
      <c r="A996" s="4" t="s">
        <v>765</v>
      </c>
      <c r="B996" s="4">
        <v>59</v>
      </c>
      <c r="C996" s="4" t="s">
        <v>73</v>
      </c>
      <c r="D996" s="4" t="s">
        <v>783</v>
      </c>
      <c r="E996" s="4" t="str">
        <f t="shared" si="58"/>
        <v>59|A</v>
      </c>
      <c r="F996" s="14">
        <f>INDEX('Emission Stepwise'!$H$2:$H$289,MATCH(E996,'Emission Stepwise'!$C$2:$C$289,0))</f>
        <v>0.45098039215686275</v>
      </c>
      <c r="G996" s="14">
        <f>INDEX(Background!$C$4:$C$7,MATCH(C996,Background!$A$4:$A$7,0))</f>
        <v>0.18550136449513679</v>
      </c>
      <c r="H996" s="17">
        <f t="shared" si="59"/>
        <v>0.88836162439759314</v>
      </c>
    </row>
    <row r="997" spans="1:8">
      <c r="A997" s="4" t="s">
        <v>765</v>
      </c>
      <c r="B997" s="4">
        <v>60</v>
      </c>
      <c r="C997" s="4" t="s">
        <v>73</v>
      </c>
      <c r="D997" s="4" t="s">
        <v>783</v>
      </c>
      <c r="E997" s="4" t="str">
        <f t="shared" si="58"/>
        <v>60|A</v>
      </c>
      <c r="F997" s="14">
        <f>INDEX('Emission Stepwise'!$H$2:$H$289,MATCH(E997,'Emission Stepwise'!$C$2:$C$289,0))</f>
        <v>9.8039215686274508E-3</v>
      </c>
      <c r="G997" s="14">
        <f>INDEX(Background!$C$4:$C$7,MATCH(C997,Background!$A$4:$A$7,0))</f>
        <v>0.18550136449513679</v>
      </c>
      <c r="H997" s="17">
        <f t="shared" si="59"/>
        <v>-2.9402797720915017</v>
      </c>
    </row>
    <row r="998" spans="1:8">
      <c r="A998" s="4" t="s">
        <v>765</v>
      </c>
      <c r="B998" s="4">
        <v>61</v>
      </c>
      <c r="C998" s="4" t="s">
        <v>71</v>
      </c>
      <c r="D998" s="4" t="s">
        <v>783</v>
      </c>
      <c r="E998" s="4" t="str">
        <f t="shared" si="58"/>
        <v>61|C</v>
      </c>
      <c r="F998" s="14">
        <f>INDEX('Emission Stepwise'!$H$2:$H$289,MATCH(E998,'Emission Stepwise'!$C$2:$C$289,0))</f>
        <v>0.97549019607843135</v>
      </c>
      <c r="G998" s="14">
        <f>INDEX(Background!$C$4:$C$7,MATCH(C998,Background!$A$4:$A$7,0))</f>
        <v>0.27646770694842909</v>
      </c>
      <c r="H998" s="17">
        <f t="shared" si="59"/>
        <v>1.26084608795068</v>
      </c>
    </row>
    <row r="999" spans="1:8">
      <c r="A999" s="4" t="s">
        <v>765</v>
      </c>
      <c r="B999" s="4">
        <v>62</v>
      </c>
      <c r="C999" s="4" t="s">
        <v>73</v>
      </c>
      <c r="D999" s="4" t="s">
        <v>783</v>
      </c>
      <c r="E999" s="4" t="str">
        <f t="shared" si="58"/>
        <v>62|A</v>
      </c>
      <c r="F999" s="14">
        <f>INDEX('Emission Stepwise'!$H$2:$H$289,MATCH(E999,'Emission Stepwise'!$C$2:$C$289,0))</f>
        <v>1.9607843137254902E-2</v>
      </c>
      <c r="G999" s="14">
        <f>INDEX(Background!$C$4:$C$7,MATCH(C999,Background!$A$4:$A$7,0))</f>
        <v>0.18550136449513679</v>
      </c>
      <c r="H999" s="17">
        <f t="shared" si="59"/>
        <v>-2.2471325915315568</v>
      </c>
    </row>
    <row r="1000" spans="1:8">
      <c r="A1000" s="4" t="s">
        <v>765</v>
      </c>
      <c r="B1000" s="4">
        <v>63</v>
      </c>
      <c r="C1000" s="4" t="s">
        <v>70</v>
      </c>
      <c r="D1000" s="4" t="s">
        <v>783</v>
      </c>
      <c r="E1000" s="4" t="str">
        <f t="shared" si="58"/>
        <v>63|G</v>
      </c>
      <c r="F1000" s="14">
        <f>INDEX('Emission Stepwise'!$H$2:$H$289,MATCH(E1000,'Emission Stepwise'!$C$2:$C$289,0))</f>
        <v>0.24019607843137256</v>
      </c>
      <c r="G1000" s="14">
        <f>INDEX(Background!$C$4:$C$7,MATCH(C1000,Background!$A$4:$A$7,0))</f>
        <v>0.32488979077741237</v>
      </c>
      <c r="H1000" s="17">
        <f t="shared" si="59"/>
        <v>-0.30203043627171677</v>
      </c>
    </row>
    <row r="1001" spans="1:8">
      <c r="A1001" s="4" t="s">
        <v>765</v>
      </c>
      <c r="B1001" s="4">
        <v>64</v>
      </c>
      <c r="C1001" s="4" t="s">
        <v>72</v>
      </c>
      <c r="D1001" s="4" t="s">
        <v>783</v>
      </c>
      <c r="E1001" s="4" t="str">
        <f t="shared" si="58"/>
        <v>64|U</v>
      </c>
      <c r="F1001" s="14">
        <f>INDEX('Emission Stepwise'!$H$2:$H$289,MATCH(E1001,'Emission Stepwise'!$C$2:$C$289,0))</f>
        <v>0.16666666666666666</v>
      </c>
      <c r="G1001" s="14">
        <f>INDEX(Background!$C$4:$C$7,MATCH(C1001,Background!$A$4:$A$7,0))</f>
        <v>0.21314113777902177</v>
      </c>
      <c r="H1001" s="17">
        <f t="shared" si="59"/>
        <v>-0.24595875520136748</v>
      </c>
    </row>
    <row r="1002" spans="1:8">
      <c r="A1002" s="4" t="s">
        <v>765</v>
      </c>
      <c r="B1002" s="4">
        <v>65</v>
      </c>
      <c r="C1002" s="4" t="s">
        <v>72</v>
      </c>
      <c r="D1002" s="4" t="s">
        <v>783</v>
      </c>
      <c r="E1002" s="4" t="str">
        <f t="shared" si="58"/>
        <v>65|U</v>
      </c>
      <c r="F1002" s="14">
        <f>INDEX('Emission Stepwise'!$H$2:$H$289,MATCH(E1002,'Emission Stepwise'!$C$2:$C$289,0))</f>
        <v>0.34975369458128081</v>
      </c>
      <c r="G1002" s="14">
        <f>INDEX(Background!$C$4:$C$7,MATCH(C1002,Background!$A$4:$A$7,0))</f>
        <v>0.21314113777902177</v>
      </c>
      <c r="H1002" s="17">
        <f t="shared" si="59"/>
        <v>0.49527461202621575</v>
      </c>
    </row>
    <row r="1003" spans="1:8">
      <c r="A1003" s="4" t="s">
        <v>765</v>
      </c>
      <c r="B1003" s="4">
        <v>66</v>
      </c>
      <c r="C1003" s="4" t="s">
        <v>73</v>
      </c>
      <c r="D1003" s="4" t="s">
        <v>784</v>
      </c>
      <c r="E1003" s="4" t="str">
        <f t="shared" si="58"/>
        <v>66|A</v>
      </c>
      <c r="F1003" s="14">
        <f>INDEX('Emission Stepwise'!$H$2:$H$289,MATCH(E1003,'Emission Stepwise'!$C$2:$C$289,0))</f>
        <v>0.21568627450980393</v>
      </c>
      <c r="G1003" s="14">
        <f>INDEX(Background!$C$4:$C$7,MATCH(C1003,Background!$A$4:$A$7,0))</f>
        <v>0.18550136449513679</v>
      </c>
      <c r="H1003" s="17">
        <f t="shared" si="59"/>
        <v>0.15076268126681408</v>
      </c>
    </row>
    <row r="1004" spans="1:8">
      <c r="A1004" s="4" t="s">
        <v>765</v>
      </c>
      <c r="B1004" s="4">
        <v>67</v>
      </c>
      <c r="C1004" s="4" t="s">
        <v>72</v>
      </c>
      <c r="D1004" s="4" t="s">
        <v>784</v>
      </c>
      <c r="E1004" s="4" t="str">
        <f t="shared" si="58"/>
        <v>67|U</v>
      </c>
      <c r="F1004" s="14">
        <f>INDEX('Emission Stepwise'!$H$2:$H$289,MATCH(E1004,'Emission Stepwise'!$C$2:$C$289,0))</f>
        <v>0.19117647058823528</v>
      </c>
      <c r="G1004" s="14">
        <f>INDEX(Background!$C$4:$C$7,MATCH(C1004,Background!$A$4:$A$7,0))</f>
        <v>0.21314113777902177</v>
      </c>
      <c r="H1004" s="17">
        <f t="shared" si="59"/>
        <v>-0.1087576336878824</v>
      </c>
    </row>
    <row r="1005" spans="1:8">
      <c r="A1005" s="4" t="s">
        <v>765</v>
      </c>
      <c r="B1005" s="4">
        <v>68</v>
      </c>
      <c r="C1005" s="4" t="s">
        <v>70</v>
      </c>
      <c r="D1005" s="4" t="s">
        <v>784</v>
      </c>
      <c r="E1005" s="4" t="str">
        <f t="shared" si="58"/>
        <v>68|G</v>
      </c>
      <c r="F1005" s="14">
        <f>INDEX('Emission Stepwise'!$H$2:$H$289,MATCH(E1005,'Emission Stepwise'!$C$2:$C$289,0))</f>
        <v>0.43137254901960786</v>
      </c>
      <c r="G1005" s="14">
        <f>INDEX(Background!$C$4:$C$7,MATCH(C1005,Background!$A$4:$A$7,0))</f>
        <v>0.32488979077741237</v>
      </c>
      <c r="H1005" s="17">
        <f t="shared" si="59"/>
        <v>0.28348608009586312</v>
      </c>
    </row>
    <row r="1006" spans="1:8">
      <c r="A1006" s="4" t="s">
        <v>765</v>
      </c>
      <c r="B1006" s="4">
        <v>69</v>
      </c>
      <c r="C1006" s="4" t="s">
        <v>73</v>
      </c>
      <c r="D1006" s="4" t="s">
        <v>784</v>
      </c>
      <c r="E1006" s="4" t="str">
        <f t="shared" si="58"/>
        <v>69|A</v>
      </c>
      <c r="F1006" s="14">
        <f>INDEX('Emission Stepwise'!$H$2:$H$289,MATCH(E1006,'Emission Stepwise'!$C$2:$C$289,0))</f>
        <v>0.12745098039215685</v>
      </c>
      <c r="G1006" s="14">
        <f>INDEX(Background!$C$4:$C$7,MATCH(C1006,Background!$A$4:$A$7,0))</f>
        <v>0.18550136449513679</v>
      </c>
      <c r="H1006" s="17">
        <f t="shared" si="59"/>
        <v>-0.37533041462996508</v>
      </c>
    </row>
    <row r="1007" spans="1:8">
      <c r="A1007" s="4" t="s">
        <v>765</v>
      </c>
      <c r="B1007" s="4">
        <v>70</v>
      </c>
      <c r="C1007" s="4" t="s">
        <v>70</v>
      </c>
      <c r="D1007" s="4" t="s">
        <v>784</v>
      </c>
      <c r="E1007" s="4" t="str">
        <f t="shared" si="58"/>
        <v>70|G</v>
      </c>
      <c r="F1007" s="14">
        <f>INDEX('Emission Stepwise'!$H$2:$H$289,MATCH(E1007,'Emission Stepwise'!$C$2:$C$289,0))</f>
        <v>0.37254901960784315</v>
      </c>
      <c r="G1007" s="14">
        <f>INDEX(Background!$C$4:$C$7,MATCH(C1007,Background!$A$4:$A$7,0))</f>
        <v>0.32488979077741237</v>
      </c>
      <c r="H1007" s="17">
        <f t="shared" si="59"/>
        <v>0.13688260590398765</v>
      </c>
    </row>
    <row r="1008" spans="1:8">
      <c r="A1008" s="4" t="s">
        <v>765</v>
      </c>
      <c r="B1008" s="4">
        <v>71</v>
      </c>
      <c r="C1008" s="4" t="s">
        <v>72</v>
      </c>
      <c r="D1008" s="4" t="s">
        <v>784</v>
      </c>
      <c r="E1008" s="4" t="str">
        <f t="shared" si="58"/>
        <v>71|U</v>
      </c>
      <c r="F1008" s="14">
        <f>INDEX('Emission Stepwise'!$H$2:$H$289,MATCH(E1008,'Emission Stepwise'!$C$2:$C$289,0))</f>
        <v>4.9019607843137254E-2</v>
      </c>
      <c r="G1008" s="14">
        <f>INDEX(Background!$C$4:$C$7,MATCH(C1008,Background!$A$4:$A$7,0))</f>
        <v>0.21314113777902177</v>
      </c>
      <c r="H1008" s="17">
        <f t="shared" si="59"/>
        <v>-1.469734186823483</v>
      </c>
    </row>
    <row r="1009" spans="1:8">
      <c r="A1009" s="4" t="s">
        <v>765</v>
      </c>
      <c r="B1009" s="4">
        <v>72</v>
      </c>
      <c r="C1009" s="4" t="s">
        <v>73</v>
      </c>
      <c r="D1009" s="4" t="s">
        <v>784</v>
      </c>
      <c r="E1009" s="4" t="str">
        <f t="shared" si="58"/>
        <v>72|A</v>
      </c>
      <c r="F1009" s="14">
        <f>INDEX('Emission Stepwise'!$H$2:$H$289,MATCH(E1009,'Emission Stepwise'!$C$2:$C$289,0))</f>
        <v>8.3333333333333329E-2</v>
      </c>
      <c r="G1009" s="14">
        <f>INDEX(Background!$C$4:$C$7,MATCH(C1009,Background!$A$4:$A$7,0))</f>
        <v>0.18550136449513679</v>
      </c>
      <c r="H1009" s="17">
        <f t="shared" si="59"/>
        <v>-0.80021360859523116</v>
      </c>
    </row>
    <row r="1010" spans="1:8">
      <c r="A1010" s="4" t="s">
        <v>766</v>
      </c>
      <c r="B1010" s="4">
        <v>1</v>
      </c>
      <c r="C1010" s="4" t="s">
        <v>71</v>
      </c>
      <c r="D1010" s="4" t="s">
        <v>778</v>
      </c>
      <c r="E1010" s="4" t="str">
        <f t="shared" ref="E1010:E1073" si="60">B1010&amp;"|"&amp;C1010</f>
        <v>1|C</v>
      </c>
      <c r="F1010" s="14">
        <f>INDEX('Emission Stepwise'!$H$2:$H$289,MATCH(E1010,'Emission Stepwise'!$C$2:$C$289,0))</f>
        <v>0.11274509803921569</v>
      </c>
      <c r="G1010" s="14">
        <f>INDEX(Background!$C$4:$C$7,MATCH(C1010,Background!$A$4:$A$7,0))</f>
        <v>0.27646770694842909</v>
      </c>
      <c r="H1010" s="17">
        <f t="shared" ref="H1010:H1073" si="61">LN(F1010/G1010)</f>
        <v>-0.89696452084466272</v>
      </c>
    </row>
    <row r="1011" spans="1:8">
      <c r="A1011" s="4" t="s">
        <v>766</v>
      </c>
      <c r="B1011" s="4">
        <v>2</v>
      </c>
      <c r="C1011" s="4" t="s">
        <v>72</v>
      </c>
      <c r="D1011" s="4" t="s">
        <v>778</v>
      </c>
      <c r="E1011" s="4" t="str">
        <f t="shared" si="60"/>
        <v>2|U</v>
      </c>
      <c r="F1011" s="14">
        <f>INDEX('Emission Stepwise'!$H$2:$H$289,MATCH(E1011,'Emission Stepwise'!$C$2:$C$289,0))</f>
        <v>3.4313725490196081E-2</v>
      </c>
      <c r="G1011" s="14">
        <f>INDEX(Background!$C$4:$C$7,MATCH(C1011,Background!$A$4:$A$7,0))</f>
        <v>0.21314113777902177</v>
      </c>
      <c r="H1011" s="17">
        <f t="shared" si="61"/>
        <v>-1.8264091307622154</v>
      </c>
    </row>
    <row r="1012" spans="1:8">
      <c r="A1012" s="4" t="s">
        <v>766</v>
      </c>
      <c r="B1012" s="4">
        <v>3</v>
      </c>
      <c r="C1012" s="4" t="s">
        <v>73</v>
      </c>
      <c r="D1012" s="4" t="s">
        <v>778</v>
      </c>
      <c r="E1012" s="4" t="str">
        <f t="shared" si="60"/>
        <v>3|A</v>
      </c>
      <c r="F1012" s="14">
        <f>INDEX('Emission Stepwise'!$H$2:$H$289,MATCH(E1012,'Emission Stepwise'!$C$2:$C$289,0))</f>
        <v>7.3529411764705885E-2</v>
      </c>
      <c r="G1012" s="14">
        <f>INDEX(Background!$C$4:$C$7,MATCH(C1012,Background!$A$4:$A$7,0))</f>
        <v>0.18550136449513679</v>
      </c>
      <c r="H1012" s="17">
        <f t="shared" si="61"/>
        <v>-0.92537675154923693</v>
      </c>
    </row>
    <row r="1013" spans="1:8">
      <c r="A1013" s="4" t="s">
        <v>766</v>
      </c>
      <c r="B1013" s="4">
        <v>4</v>
      </c>
      <c r="C1013" s="4" t="s">
        <v>70</v>
      </c>
      <c r="D1013" s="4" t="s">
        <v>778</v>
      </c>
      <c r="E1013" s="4" t="str">
        <f t="shared" si="60"/>
        <v>4|G</v>
      </c>
      <c r="F1013" s="14">
        <f>INDEX('Emission Stepwise'!$H$2:$H$289,MATCH(E1013,'Emission Stepwise'!$C$2:$C$289,0))</f>
        <v>0.44117647058823528</v>
      </c>
      <c r="G1013" s="14">
        <f>INDEX(Background!$C$4:$C$7,MATCH(C1013,Background!$A$4:$A$7,0))</f>
        <v>0.32488979077741237</v>
      </c>
      <c r="H1013" s="17">
        <f t="shared" si="61"/>
        <v>0.30595893594792173</v>
      </c>
    </row>
    <row r="1014" spans="1:8">
      <c r="A1014" s="4" t="s">
        <v>766</v>
      </c>
      <c r="B1014" s="4">
        <v>5</v>
      </c>
      <c r="C1014" s="4" t="s">
        <v>72</v>
      </c>
      <c r="D1014" s="4" t="s">
        <v>778</v>
      </c>
      <c r="E1014" s="4" t="str">
        <f t="shared" si="60"/>
        <v>5|U</v>
      </c>
      <c r="F1014" s="14">
        <f>INDEX('Emission Stepwise'!$H$2:$H$289,MATCH(E1014,'Emission Stepwise'!$C$2:$C$289,0))</f>
        <v>0.10784313725490197</v>
      </c>
      <c r="G1014" s="14">
        <f>INDEX(Background!$C$4:$C$7,MATCH(C1014,Background!$A$4:$A$7,0))</f>
        <v>0.21314113777902177</v>
      </c>
      <c r="H1014" s="17">
        <f t="shared" si="61"/>
        <v>-0.68127682645921295</v>
      </c>
    </row>
    <row r="1015" spans="1:8">
      <c r="A1015" s="4" t="s">
        <v>766</v>
      </c>
      <c r="B1015" s="4">
        <v>6</v>
      </c>
      <c r="C1015" s="4" t="s">
        <v>71</v>
      </c>
      <c r="D1015" s="4" t="s">
        <v>778</v>
      </c>
      <c r="E1015" s="4" t="str">
        <f t="shared" si="60"/>
        <v>6|C</v>
      </c>
      <c r="F1015" s="14">
        <f>INDEX('Emission Stepwise'!$H$2:$H$289,MATCH(E1015,'Emission Stepwise'!$C$2:$C$289,0))</f>
        <v>0.3235294117647059</v>
      </c>
      <c r="G1015" s="14">
        <f>INDEX(Background!$C$4:$C$7,MATCH(C1015,Background!$A$4:$A$7,0))</f>
        <v>0.27646770694842909</v>
      </c>
      <c r="H1015" s="17">
        <f t="shared" si="61"/>
        <v>0.15719600525261329</v>
      </c>
    </row>
    <row r="1016" spans="1:8">
      <c r="A1016" s="4" t="s">
        <v>766</v>
      </c>
      <c r="B1016" s="4">
        <v>7</v>
      </c>
      <c r="C1016" s="4" t="s">
        <v>73</v>
      </c>
      <c r="D1016" s="4" t="s">
        <v>778</v>
      </c>
      <c r="E1016" s="4" t="str">
        <f t="shared" si="60"/>
        <v>7|A</v>
      </c>
      <c r="F1016" s="14">
        <f>INDEX('Emission Stepwise'!$H$2:$H$289,MATCH(E1016,'Emission Stepwise'!$C$2:$C$289,0))</f>
        <v>0.24019607843137256</v>
      </c>
      <c r="G1016" s="14">
        <f>INDEX(Background!$C$4:$C$7,MATCH(C1016,Background!$A$4:$A$7,0))</f>
        <v>0.18550136449513679</v>
      </c>
      <c r="H1016" s="17">
        <f t="shared" si="61"/>
        <v>0.25839334545917952</v>
      </c>
    </row>
    <row r="1017" spans="1:8">
      <c r="A1017" s="4" t="s">
        <v>766</v>
      </c>
      <c r="B1017" s="4">
        <v>8</v>
      </c>
      <c r="C1017" s="4" t="s">
        <v>72</v>
      </c>
      <c r="D1017" s="4" t="s">
        <v>779</v>
      </c>
      <c r="E1017" s="4" t="str">
        <f t="shared" si="60"/>
        <v>8|U</v>
      </c>
      <c r="F1017" s="14">
        <f>INDEX('Emission Stepwise'!$H$2:$H$289,MATCH(E1017,'Emission Stepwise'!$C$2:$C$289,0))</f>
        <v>0.97549019607843135</v>
      </c>
      <c r="G1017" s="14">
        <f>INDEX(Background!$C$4:$C$7,MATCH(C1017,Background!$A$4:$A$7,0))</f>
        <v>0.21314113777902177</v>
      </c>
      <c r="H1017" s="17">
        <f t="shared" si="61"/>
        <v>1.5209855449069636</v>
      </c>
    </row>
    <row r="1018" spans="1:8">
      <c r="A1018" s="4" t="s">
        <v>766</v>
      </c>
      <c r="B1018" s="4">
        <v>9</v>
      </c>
      <c r="C1018" s="4" t="s">
        <v>70</v>
      </c>
      <c r="D1018" s="4" t="s">
        <v>780</v>
      </c>
      <c r="E1018" s="4" t="str">
        <f t="shared" si="60"/>
        <v>9|G</v>
      </c>
      <c r="F1018" s="14">
        <f>INDEX('Emission Stepwise'!$H$2:$H$289,MATCH(E1018,'Emission Stepwise'!$C$2:$C$289,0))</f>
        <v>0.30541871921182268</v>
      </c>
      <c r="G1018" s="14">
        <f>INDEX(Background!$C$4:$C$7,MATCH(C1018,Background!$A$4:$A$7,0))</f>
        <v>0.32488979077741237</v>
      </c>
      <c r="H1018" s="17">
        <f t="shared" si="61"/>
        <v>-6.1802334534822735E-2</v>
      </c>
    </row>
    <row r="1019" spans="1:8">
      <c r="A1019" s="4" t="s">
        <v>766</v>
      </c>
      <c r="B1019" s="4">
        <v>10</v>
      </c>
      <c r="C1019" s="4" t="s">
        <v>73</v>
      </c>
      <c r="D1019" s="4" t="s">
        <v>780</v>
      </c>
      <c r="E1019" s="4" t="str">
        <f t="shared" si="60"/>
        <v>10|A</v>
      </c>
      <c r="F1019" s="14">
        <f>INDEX('Emission Stepwise'!$H$2:$H$289,MATCH(E1019,'Emission Stepwise'!$C$2:$C$289,0))</f>
        <v>4.9019607843137254E-3</v>
      </c>
      <c r="G1019" s="14">
        <f>INDEX(Background!$C$4:$C$7,MATCH(C1019,Background!$A$4:$A$7,0))</f>
        <v>0.18550136449513679</v>
      </c>
      <c r="H1019" s="17">
        <f t="shared" si="61"/>
        <v>-3.6334269526514471</v>
      </c>
    </row>
    <row r="1020" spans="1:8">
      <c r="A1020" s="4" t="s">
        <v>766</v>
      </c>
      <c r="B1020" s="4">
        <v>11</v>
      </c>
      <c r="C1020" s="4" t="s">
        <v>72</v>
      </c>
      <c r="D1020" s="4" t="s">
        <v>780</v>
      </c>
      <c r="E1020" s="4" t="str">
        <f t="shared" si="60"/>
        <v>11|U</v>
      </c>
      <c r="F1020" s="14">
        <f>INDEX('Emission Stepwise'!$H$2:$H$289,MATCH(E1020,'Emission Stepwise'!$C$2:$C$289,0))</f>
        <v>0.20098039215686275</v>
      </c>
      <c r="G1020" s="14">
        <f>INDEX(Background!$C$4:$C$7,MATCH(C1020,Background!$A$4:$A$7,0))</f>
        <v>0.21314113777902177</v>
      </c>
      <c r="H1020" s="17">
        <f t="shared" si="61"/>
        <v>-5.8747213113220911E-2</v>
      </c>
    </row>
    <row r="1021" spans="1:8">
      <c r="A1021" s="4" t="s">
        <v>766</v>
      </c>
      <c r="B1021" s="4">
        <v>12</v>
      </c>
      <c r="C1021" s="4" t="s">
        <v>71</v>
      </c>
      <c r="D1021" s="4" t="s">
        <v>780</v>
      </c>
      <c r="E1021" s="4" t="str">
        <f t="shared" si="60"/>
        <v>12|C</v>
      </c>
      <c r="F1021" s="14">
        <f>INDEX('Emission Stepwise'!$H$2:$H$289,MATCH(E1021,'Emission Stepwise'!$C$2:$C$289,0))</f>
        <v>0.14705882352941177</v>
      </c>
      <c r="G1021" s="14">
        <f>INDEX(Background!$C$4:$C$7,MATCH(C1021,Background!$A$4:$A$7,0))</f>
        <v>0.27646770694842909</v>
      </c>
      <c r="H1021" s="17">
        <f t="shared" si="61"/>
        <v>-0.63126135511165704</v>
      </c>
    </row>
    <row r="1022" spans="1:8">
      <c r="A1022" s="4" t="s">
        <v>766</v>
      </c>
      <c r="B1022" s="4">
        <v>13</v>
      </c>
      <c r="C1022" s="4" t="s">
        <v>72</v>
      </c>
      <c r="D1022" s="4" t="s">
        <v>780</v>
      </c>
      <c r="E1022" s="4" t="str">
        <f t="shared" si="60"/>
        <v>13|U</v>
      </c>
      <c r="F1022" s="14">
        <f>INDEX('Emission Stepwise'!$H$2:$H$289,MATCH(E1022,'Emission Stepwise'!$C$2:$C$289,0))</f>
        <v>0.19117647058823528</v>
      </c>
      <c r="G1022" s="14">
        <f>INDEX(Background!$C$4:$C$7,MATCH(C1022,Background!$A$4:$A$7,0))</f>
        <v>0.21314113777902177</v>
      </c>
      <c r="H1022" s="17">
        <f t="shared" si="61"/>
        <v>-0.1087576336878824</v>
      </c>
    </row>
    <row r="1023" spans="1:8">
      <c r="A1023" s="4" t="s">
        <v>766</v>
      </c>
      <c r="B1023" s="4">
        <v>14</v>
      </c>
      <c r="C1023" s="4" t="s">
        <v>70</v>
      </c>
      <c r="D1023" s="4" t="s">
        <v>780</v>
      </c>
      <c r="E1023" s="4" t="str">
        <f t="shared" si="60"/>
        <v>14|G</v>
      </c>
      <c r="F1023" s="14">
        <f>INDEX('Emission Stepwise'!$H$2:$H$289,MATCH(E1023,'Emission Stepwise'!$C$2:$C$289,0))</f>
        <v>9.8039215686274508E-3</v>
      </c>
      <c r="G1023" s="14">
        <f>INDEX(Background!$C$4:$C$7,MATCH(C1023,Background!$A$4:$A$7,0))</f>
        <v>0.32488979077741237</v>
      </c>
      <c r="H1023" s="17">
        <f t="shared" si="61"/>
        <v>-3.5007035538223983</v>
      </c>
    </row>
    <row r="1024" spans="1:8">
      <c r="A1024" s="4" t="s">
        <v>766</v>
      </c>
      <c r="B1024" s="4">
        <v>15</v>
      </c>
      <c r="C1024" s="4" t="s">
        <v>72</v>
      </c>
      <c r="D1024" s="4" t="s">
        <v>780</v>
      </c>
      <c r="E1024" s="4" t="str">
        <f t="shared" si="60"/>
        <v>15|U</v>
      </c>
      <c r="F1024" s="14">
        <f>INDEX('Emission Stepwise'!$H$2:$H$289,MATCH(E1024,'Emission Stepwise'!$C$2:$C$289,0))</f>
        <v>1.4778325123152709E-2</v>
      </c>
      <c r="G1024" s="14">
        <f>INDEX(Background!$C$4:$C$7,MATCH(C1024,Background!$A$4:$A$7,0))</f>
        <v>0.21314113777902177</v>
      </c>
      <c r="H1024" s="17">
        <f t="shared" si="61"/>
        <v>-2.6687929763469902</v>
      </c>
    </row>
    <row r="1025" spans="1:8">
      <c r="A1025" s="4" t="s">
        <v>766</v>
      </c>
      <c r="B1025" s="4">
        <v>16</v>
      </c>
      <c r="C1025" s="4" t="s">
        <v>73</v>
      </c>
      <c r="D1025" s="4" t="s">
        <v>780</v>
      </c>
      <c r="E1025" s="4" t="str">
        <f t="shared" si="60"/>
        <v>16|A</v>
      </c>
      <c r="F1025" s="14">
        <f>INDEX('Emission Stepwise'!$H$2:$H$289,MATCH(E1025,'Emission Stepwise'!$C$2:$C$289,0))</f>
        <v>2.9197080291970802E-2</v>
      </c>
      <c r="G1025" s="14">
        <f>INDEX(Background!$C$4:$C$7,MATCH(C1025,Background!$A$4:$A$7,0))</f>
        <v>0.18550136449513679</v>
      </c>
      <c r="H1025" s="17">
        <f t="shared" si="61"/>
        <v>-1.8489935235154651</v>
      </c>
    </row>
    <row r="1026" spans="1:8">
      <c r="A1026" s="4" t="s">
        <v>766</v>
      </c>
      <c r="B1026" s="4">
        <v>17</v>
      </c>
      <c r="C1026" s="4" t="s">
        <v>73</v>
      </c>
      <c r="D1026" s="4" t="s">
        <v>780</v>
      </c>
      <c r="E1026" s="4" t="str">
        <f t="shared" si="60"/>
        <v>17|A</v>
      </c>
      <c r="F1026" s="14">
        <f>INDEX('Emission Stepwise'!$H$2:$H$289,MATCH(E1026,'Emission Stepwise'!$C$2:$C$289,0))</f>
        <v>6.4676616915422883E-2</v>
      </c>
      <c r="G1026" s="14">
        <f>INDEX(Background!$C$4:$C$7,MATCH(C1026,Background!$A$4:$A$7,0))</f>
        <v>0.18550136449513679</v>
      </c>
      <c r="H1026" s="17">
        <f t="shared" si="61"/>
        <v>-1.0536625094047698</v>
      </c>
    </row>
    <row r="1027" spans="1:8">
      <c r="A1027" s="4" t="s">
        <v>766</v>
      </c>
      <c r="B1027" s="4">
        <v>18</v>
      </c>
      <c r="C1027" s="4" t="s">
        <v>70</v>
      </c>
      <c r="D1027" s="4" t="s">
        <v>780</v>
      </c>
      <c r="E1027" s="4" t="str">
        <f t="shared" si="60"/>
        <v>18|G</v>
      </c>
      <c r="F1027" s="14">
        <f>INDEX('Emission Stepwise'!$H$2:$H$289,MATCH(E1027,'Emission Stepwise'!$C$2:$C$289,0))</f>
        <v>0.98039215686274506</v>
      </c>
      <c r="G1027" s="14">
        <f>INDEX(Background!$C$4:$C$7,MATCH(C1027,Background!$A$4:$A$7,0))</f>
        <v>0.32488979077741237</v>
      </c>
      <c r="H1027" s="17">
        <f t="shared" si="61"/>
        <v>1.1044666321656933</v>
      </c>
    </row>
    <row r="1028" spans="1:8">
      <c r="A1028" s="4" t="s">
        <v>766</v>
      </c>
      <c r="B1028" s="4">
        <v>19</v>
      </c>
      <c r="C1028" s="4" t="s">
        <v>70</v>
      </c>
      <c r="D1028" s="4" t="s">
        <v>780</v>
      </c>
      <c r="E1028" s="4" t="str">
        <f t="shared" si="60"/>
        <v>19|G</v>
      </c>
      <c r="F1028" s="14">
        <f>INDEX('Emission Stepwise'!$H$2:$H$289,MATCH(E1028,'Emission Stepwise'!$C$2:$C$289,0))</f>
        <v>0.97058823529411764</v>
      </c>
      <c r="G1028" s="14">
        <f>INDEX(Background!$C$4:$C$7,MATCH(C1028,Background!$A$4:$A$7,0))</f>
        <v>0.32488979077741237</v>
      </c>
      <c r="H1028" s="17">
        <f t="shared" si="61"/>
        <v>1.0944162963121917</v>
      </c>
    </row>
    <row r="1029" spans="1:8">
      <c r="A1029" s="4" t="s">
        <v>766</v>
      </c>
      <c r="B1029" s="4">
        <v>20</v>
      </c>
      <c r="C1029" s="4" t="s">
        <v>71</v>
      </c>
      <c r="D1029" s="4" t="s">
        <v>780</v>
      </c>
      <c r="E1029" s="4" t="str">
        <f t="shared" si="60"/>
        <v>20|C</v>
      </c>
      <c r="F1029" s="14">
        <f>INDEX('Emission Stepwise'!$H$2:$H$289,MATCH(E1029,'Emission Stepwise'!$C$2:$C$289,0))</f>
        <v>0.22660098522167488</v>
      </c>
      <c r="G1029" s="14">
        <f>INDEX(Background!$C$4:$C$7,MATCH(C1029,Background!$A$4:$A$7,0))</f>
        <v>0.27646770694842909</v>
      </c>
      <c r="H1029" s="17">
        <f t="shared" si="61"/>
        <v>-0.19890332548228834</v>
      </c>
    </row>
    <row r="1030" spans="1:8">
      <c r="A1030" s="4" t="s">
        <v>766</v>
      </c>
      <c r="B1030" s="4">
        <v>21</v>
      </c>
      <c r="C1030" s="4" t="s">
        <v>73</v>
      </c>
      <c r="D1030" s="4" t="s">
        <v>780</v>
      </c>
      <c r="E1030" s="4" t="str">
        <f t="shared" si="60"/>
        <v>21|A</v>
      </c>
      <c r="F1030" s="14">
        <f>INDEX('Emission Stepwise'!$H$2:$H$289,MATCH(E1030,'Emission Stepwise'!$C$2:$C$289,0))</f>
        <v>0.88235294117647056</v>
      </c>
      <c r="G1030" s="14">
        <f>INDEX(Background!$C$4:$C$7,MATCH(C1030,Background!$A$4:$A$7,0))</f>
        <v>0.18550136449513679</v>
      </c>
      <c r="H1030" s="17">
        <f t="shared" si="61"/>
        <v>1.5595298982387631</v>
      </c>
    </row>
    <row r="1031" spans="1:8">
      <c r="A1031" s="4" t="s">
        <v>766</v>
      </c>
      <c r="B1031" s="4">
        <v>22</v>
      </c>
      <c r="C1031" s="4" t="s">
        <v>73</v>
      </c>
      <c r="D1031" s="4" t="s">
        <v>780</v>
      </c>
      <c r="E1031" s="4" t="str">
        <f t="shared" si="60"/>
        <v>22|A</v>
      </c>
      <c r="F1031" s="14">
        <f>INDEX('Emission Stepwise'!$H$2:$H$289,MATCH(E1031,'Emission Stepwise'!$C$2:$C$289,0))</f>
        <v>0.20588235294117646</v>
      </c>
      <c r="G1031" s="14">
        <f>INDEX(Background!$C$4:$C$7,MATCH(C1031,Background!$A$4:$A$7,0))</f>
        <v>0.18550136449513679</v>
      </c>
      <c r="H1031" s="17">
        <f t="shared" si="61"/>
        <v>0.10424266563192114</v>
      </c>
    </row>
    <row r="1032" spans="1:8">
      <c r="A1032" s="4" t="s">
        <v>766</v>
      </c>
      <c r="B1032" s="4">
        <v>23</v>
      </c>
      <c r="C1032" s="4" t="s">
        <v>70</v>
      </c>
      <c r="D1032" s="4" t="s">
        <v>780</v>
      </c>
      <c r="E1032" s="4" t="str">
        <f t="shared" si="60"/>
        <v>23|G</v>
      </c>
      <c r="F1032" s="14">
        <f>INDEX('Emission Stepwise'!$H$2:$H$289,MATCH(E1032,'Emission Stepwise'!$C$2:$C$289,0))</f>
        <v>0.14705882352941177</v>
      </c>
      <c r="G1032" s="14">
        <f>INDEX(Background!$C$4:$C$7,MATCH(C1032,Background!$A$4:$A$7,0))</f>
        <v>0.32488979077741237</v>
      </c>
      <c r="H1032" s="17">
        <f t="shared" si="61"/>
        <v>-0.792653352720188</v>
      </c>
    </row>
    <row r="1033" spans="1:8">
      <c r="A1033" s="4" t="s">
        <v>766</v>
      </c>
      <c r="B1033" s="4">
        <v>24</v>
      </c>
      <c r="C1033" s="4" t="s">
        <v>73</v>
      </c>
      <c r="D1033" s="4" t="s">
        <v>780</v>
      </c>
      <c r="E1033" s="4" t="str">
        <f t="shared" si="60"/>
        <v>24|A</v>
      </c>
      <c r="F1033" s="14">
        <f>INDEX('Emission Stepwise'!$H$2:$H$289,MATCH(E1033,'Emission Stepwise'!$C$2:$C$289,0))</f>
        <v>0.18627450980392157</v>
      </c>
      <c r="G1033" s="14">
        <f>INDEX(Background!$C$4:$C$7,MATCH(C1033,Background!$A$4:$A$7,0))</f>
        <v>0.18550136449513679</v>
      </c>
      <c r="H1033" s="17">
        <f t="shared" si="61"/>
        <v>4.1592070749386289E-3</v>
      </c>
    </row>
    <row r="1034" spans="1:8">
      <c r="A1034" s="4" t="s">
        <v>766</v>
      </c>
      <c r="B1034" s="4">
        <v>25</v>
      </c>
      <c r="C1034" s="4" t="s">
        <v>72</v>
      </c>
      <c r="D1034" s="4" t="s">
        <v>780</v>
      </c>
      <c r="E1034" s="4" t="str">
        <f t="shared" si="60"/>
        <v>25|U</v>
      </c>
      <c r="F1034" s="14">
        <f>INDEX('Emission Stepwise'!$H$2:$H$289,MATCH(E1034,'Emission Stepwise'!$C$2:$C$289,0))</f>
        <v>7.3529411764705885E-2</v>
      </c>
      <c r="G1034" s="14">
        <f>INDEX(Background!$C$4:$C$7,MATCH(C1034,Background!$A$4:$A$7,0))</f>
        <v>0.21314113777902177</v>
      </c>
      <c r="H1034" s="17">
        <f t="shared" si="61"/>
        <v>-1.0642690787153186</v>
      </c>
    </row>
    <row r="1035" spans="1:8">
      <c r="A1035" s="4" t="s">
        <v>766</v>
      </c>
      <c r="B1035" s="4">
        <v>26</v>
      </c>
      <c r="C1035" s="4" t="s">
        <v>73</v>
      </c>
      <c r="D1035" s="4" t="s">
        <v>781</v>
      </c>
      <c r="E1035" s="4" t="str">
        <f t="shared" si="60"/>
        <v>26|A</v>
      </c>
      <c r="F1035" s="14">
        <f>INDEX('Emission Stepwise'!$H$2:$H$289,MATCH(E1035,'Emission Stepwise'!$C$2:$C$289,0))</f>
        <v>0.41666666666666669</v>
      </c>
      <c r="G1035" s="14">
        <f>INDEX(Background!$C$4:$C$7,MATCH(C1035,Background!$A$4:$A$7,0))</f>
        <v>0.18550136449513679</v>
      </c>
      <c r="H1035" s="17">
        <f t="shared" si="61"/>
        <v>0.80922430383886945</v>
      </c>
    </row>
    <row r="1036" spans="1:8">
      <c r="A1036" s="4" t="s">
        <v>766</v>
      </c>
      <c r="B1036" s="4">
        <v>27</v>
      </c>
      <c r="C1036" s="4" t="s">
        <v>72</v>
      </c>
      <c r="D1036" s="4" t="s">
        <v>781</v>
      </c>
      <c r="E1036" s="4" t="str">
        <f t="shared" si="60"/>
        <v>27|U</v>
      </c>
      <c r="F1036" s="14">
        <f>INDEX('Emission Stepwise'!$H$2:$H$289,MATCH(E1036,'Emission Stepwise'!$C$2:$C$289,0))</f>
        <v>0.25980392156862747</v>
      </c>
      <c r="G1036" s="14">
        <f>INDEX(Background!$C$4:$C$7,MATCH(C1036,Background!$A$4:$A$7,0))</f>
        <v>0.21314113777902177</v>
      </c>
      <c r="H1036" s="17">
        <f t="shared" si="61"/>
        <v>0.19797263373459306</v>
      </c>
    </row>
    <row r="1037" spans="1:8">
      <c r="A1037" s="4" t="s">
        <v>766</v>
      </c>
      <c r="B1037" s="4">
        <v>28</v>
      </c>
      <c r="C1037" s="4" t="s">
        <v>72</v>
      </c>
      <c r="D1037" s="4" t="s">
        <v>781</v>
      </c>
      <c r="E1037" s="4" t="str">
        <f t="shared" si="60"/>
        <v>28|U</v>
      </c>
      <c r="F1037" s="14">
        <f>INDEX('Emission Stepwise'!$H$2:$H$289,MATCH(E1037,'Emission Stepwise'!$C$2:$C$289,0))</f>
        <v>0.25490196078431371</v>
      </c>
      <c r="G1037" s="14">
        <f>INDEX(Background!$C$4:$C$7,MATCH(C1037,Background!$A$4:$A$7,0))</f>
        <v>0.21314113777902177</v>
      </c>
      <c r="H1037" s="17">
        <f t="shared" si="61"/>
        <v>0.17892443876389855</v>
      </c>
    </row>
    <row r="1038" spans="1:8">
      <c r="A1038" s="4" t="s">
        <v>766</v>
      </c>
      <c r="B1038" s="4">
        <v>29</v>
      </c>
      <c r="C1038" s="4" t="s">
        <v>72</v>
      </c>
      <c r="D1038" s="4" t="s">
        <v>781</v>
      </c>
      <c r="E1038" s="4" t="str">
        <f t="shared" si="60"/>
        <v>29|U</v>
      </c>
      <c r="F1038" s="14">
        <f>INDEX('Emission Stepwise'!$H$2:$H$289,MATCH(E1038,'Emission Stepwise'!$C$2:$C$289,0))</f>
        <v>0.27450980392156865</v>
      </c>
      <c r="G1038" s="14">
        <f>INDEX(Background!$C$4:$C$7,MATCH(C1038,Background!$A$4:$A$7,0))</f>
        <v>0.21314113777902177</v>
      </c>
      <c r="H1038" s="17">
        <f t="shared" si="61"/>
        <v>0.25303241091762058</v>
      </c>
    </row>
    <row r="1039" spans="1:8">
      <c r="A1039" s="4" t="s">
        <v>766</v>
      </c>
      <c r="B1039" s="4">
        <v>30</v>
      </c>
      <c r="C1039" s="4" t="s">
        <v>73</v>
      </c>
      <c r="D1039" s="4" t="s">
        <v>781</v>
      </c>
      <c r="E1039" s="4" t="str">
        <f t="shared" si="60"/>
        <v>30|A</v>
      </c>
      <c r="F1039" s="14">
        <f>INDEX('Emission Stepwise'!$H$2:$H$289,MATCH(E1039,'Emission Stepwise'!$C$2:$C$289,0))</f>
        <v>4.9019607843137254E-3</v>
      </c>
      <c r="G1039" s="14">
        <f>INDEX(Background!$C$4:$C$7,MATCH(C1039,Background!$A$4:$A$7,0))</f>
        <v>0.18550136449513679</v>
      </c>
      <c r="H1039" s="17">
        <f t="shared" si="61"/>
        <v>-3.6334269526514471</v>
      </c>
    </row>
    <row r="1040" spans="1:8">
      <c r="A1040" s="4" t="s">
        <v>766</v>
      </c>
      <c r="B1040" s="4">
        <v>31</v>
      </c>
      <c r="C1040" s="4" t="s">
        <v>72</v>
      </c>
      <c r="D1040" s="4" t="s">
        <v>781</v>
      </c>
      <c r="E1040" s="4" t="str">
        <f t="shared" si="60"/>
        <v>31|U</v>
      </c>
      <c r="F1040" s="14">
        <f>INDEX('Emission Stepwise'!$H$2:$H$289,MATCH(E1040,'Emission Stepwise'!$C$2:$C$289,0))</f>
        <v>9.8039215686274508E-2</v>
      </c>
      <c r="G1040" s="14">
        <f>INDEX(Background!$C$4:$C$7,MATCH(C1040,Background!$A$4:$A$7,0))</f>
        <v>0.21314113777902177</v>
      </c>
      <c r="H1040" s="17">
        <f t="shared" si="61"/>
        <v>-0.77658700626353783</v>
      </c>
    </row>
    <row r="1041" spans="1:8">
      <c r="A1041" s="4" t="s">
        <v>766</v>
      </c>
      <c r="B1041" s="4">
        <v>32</v>
      </c>
      <c r="C1041" s="4" t="s">
        <v>73</v>
      </c>
      <c r="D1041" s="4" t="s">
        <v>781</v>
      </c>
      <c r="E1041" s="4" t="str">
        <f t="shared" si="60"/>
        <v>32|A</v>
      </c>
      <c r="F1041" s="14">
        <f>INDEX('Emission Stepwise'!$H$2:$H$289,MATCH(E1041,'Emission Stepwise'!$C$2:$C$289,0))</f>
        <v>3.4313725490196081E-2</v>
      </c>
      <c r="G1041" s="14">
        <f>INDEX(Background!$C$4:$C$7,MATCH(C1041,Background!$A$4:$A$7,0))</f>
        <v>0.18550136449513679</v>
      </c>
      <c r="H1041" s="17">
        <f t="shared" si="61"/>
        <v>-1.6875168035961337</v>
      </c>
    </row>
    <row r="1042" spans="1:8">
      <c r="A1042" s="4" t="s">
        <v>766</v>
      </c>
      <c r="B1042" s="4">
        <v>33</v>
      </c>
      <c r="C1042" s="4" t="s">
        <v>71</v>
      </c>
      <c r="D1042" s="4" t="s">
        <v>781</v>
      </c>
      <c r="E1042" s="4" t="str">
        <f t="shared" si="60"/>
        <v>33|C</v>
      </c>
      <c r="F1042" s="14">
        <f>INDEX('Emission Stepwise'!$H$2:$H$289,MATCH(E1042,'Emission Stepwise'!$C$2:$C$289,0))</f>
        <v>9.8039215686274508E-3</v>
      </c>
      <c r="G1042" s="14">
        <f>INDEX(Background!$C$4:$C$7,MATCH(C1042,Background!$A$4:$A$7,0))</f>
        <v>0.27646770694842909</v>
      </c>
      <c r="H1042" s="17">
        <f t="shared" si="61"/>
        <v>-3.3393115562138669</v>
      </c>
    </row>
    <row r="1043" spans="1:8">
      <c r="A1043" s="4" t="s">
        <v>766</v>
      </c>
      <c r="B1043" s="4">
        <v>34</v>
      </c>
      <c r="C1043" s="4" t="s">
        <v>71</v>
      </c>
      <c r="D1043" s="4" t="s">
        <v>781</v>
      </c>
      <c r="E1043" s="4" t="str">
        <f t="shared" si="60"/>
        <v>34|C</v>
      </c>
      <c r="F1043" s="14">
        <f>INDEX('Emission Stepwise'!$H$2:$H$289,MATCH(E1043,'Emission Stepwise'!$C$2:$C$289,0))</f>
        <v>0.32843137254901961</v>
      </c>
      <c r="G1043" s="14">
        <f>INDEX(Background!$C$4:$C$7,MATCH(C1043,Background!$A$4:$A$7,0))</f>
        <v>0.27646770694842909</v>
      </c>
      <c r="H1043" s="17">
        <f t="shared" si="61"/>
        <v>0.17223388261715358</v>
      </c>
    </row>
    <row r="1044" spans="1:8">
      <c r="A1044" s="4" t="s">
        <v>766</v>
      </c>
      <c r="B1044" s="4">
        <v>35</v>
      </c>
      <c r="C1044" s="4" t="s">
        <v>72</v>
      </c>
      <c r="D1044" s="4" t="s">
        <v>781</v>
      </c>
      <c r="E1044" s="4" t="str">
        <f t="shared" si="60"/>
        <v>35|U</v>
      </c>
      <c r="F1044" s="14">
        <f>INDEX('Emission Stepwise'!$H$2:$H$289,MATCH(E1044,'Emission Stepwise'!$C$2:$C$289,0))</f>
        <v>0.20588235294117646</v>
      </c>
      <c r="G1044" s="14">
        <f>INDEX(Background!$C$4:$C$7,MATCH(C1044,Background!$A$4:$A$7,0))</f>
        <v>0.21314113777902177</v>
      </c>
      <c r="H1044" s="17">
        <f t="shared" si="61"/>
        <v>-3.4649661534160589E-2</v>
      </c>
    </row>
    <row r="1045" spans="1:8">
      <c r="A1045" s="4" t="s">
        <v>766</v>
      </c>
      <c r="B1045" s="4">
        <v>36</v>
      </c>
      <c r="C1045" s="4" t="s">
        <v>73</v>
      </c>
      <c r="D1045" s="4" t="s">
        <v>781</v>
      </c>
      <c r="E1045" s="4" t="str">
        <f t="shared" si="60"/>
        <v>36|A</v>
      </c>
      <c r="F1045" s="14">
        <f>INDEX('Emission Stepwise'!$H$2:$H$289,MATCH(E1045,'Emission Stepwise'!$C$2:$C$289,0))</f>
        <v>0.21568627450980393</v>
      </c>
      <c r="G1045" s="14">
        <f>INDEX(Background!$C$4:$C$7,MATCH(C1045,Background!$A$4:$A$7,0))</f>
        <v>0.18550136449513679</v>
      </c>
      <c r="H1045" s="17">
        <f t="shared" si="61"/>
        <v>0.15076268126681408</v>
      </c>
    </row>
    <row r="1046" spans="1:8">
      <c r="A1046" s="4" t="s">
        <v>766</v>
      </c>
      <c r="B1046" s="4">
        <v>37</v>
      </c>
      <c r="C1046" s="4" t="s">
        <v>70</v>
      </c>
      <c r="D1046" s="4" t="s">
        <v>781</v>
      </c>
      <c r="E1046" s="4" t="str">
        <f t="shared" si="60"/>
        <v>37|G</v>
      </c>
      <c r="F1046" s="14">
        <f>INDEX('Emission Stepwise'!$H$2:$H$289,MATCH(E1046,'Emission Stepwise'!$C$2:$C$289,0))</f>
        <v>0.24019607843137256</v>
      </c>
      <c r="G1046" s="14">
        <f>INDEX(Background!$C$4:$C$7,MATCH(C1046,Background!$A$4:$A$7,0))</f>
        <v>0.32488979077741237</v>
      </c>
      <c r="H1046" s="17">
        <f t="shared" si="61"/>
        <v>-0.30203043627171677</v>
      </c>
    </row>
    <row r="1047" spans="1:8">
      <c r="A1047" s="4" t="s">
        <v>766</v>
      </c>
      <c r="B1047" s="4">
        <v>38</v>
      </c>
      <c r="C1047" s="4" t="s">
        <v>72</v>
      </c>
      <c r="D1047" s="4" t="s">
        <v>781</v>
      </c>
      <c r="E1047" s="4" t="str">
        <f t="shared" si="60"/>
        <v>38|U</v>
      </c>
      <c r="F1047" s="14">
        <f>INDEX('Emission Stepwise'!$H$2:$H$289,MATCH(E1047,'Emission Stepwise'!$C$2:$C$289,0))</f>
        <v>0.11764705882352941</v>
      </c>
      <c r="G1047" s="14">
        <f>INDEX(Background!$C$4:$C$7,MATCH(C1047,Background!$A$4:$A$7,0))</f>
        <v>0.21314113777902177</v>
      </c>
      <c r="H1047" s="17">
        <f t="shared" si="61"/>
        <v>-0.59426544946958315</v>
      </c>
    </row>
    <row r="1048" spans="1:8">
      <c r="A1048" s="4" t="s">
        <v>766</v>
      </c>
      <c r="B1048" s="4">
        <v>39</v>
      </c>
      <c r="C1048" s="4" t="s">
        <v>70</v>
      </c>
      <c r="D1048" s="4" t="s">
        <v>781</v>
      </c>
      <c r="E1048" s="4" t="str">
        <f t="shared" si="60"/>
        <v>39|G</v>
      </c>
      <c r="F1048" s="14">
        <f>INDEX('Emission Stepwise'!$H$2:$H$289,MATCH(E1048,'Emission Stepwise'!$C$2:$C$289,0))</f>
        <v>0.35784313725490197</v>
      </c>
      <c r="G1048" s="14">
        <f>INDEX(Background!$C$4:$C$7,MATCH(C1048,Background!$A$4:$A$7,0))</f>
        <v>0.32488979077741237</v>
      </c>
      <c r="H1048" s="17">
        <f t="shared" si="61"/>
        <v>9.6608706766047728E-2</v>
      </c>
    </row>
    <row r="1049" spans="1:8">
      <c r="A1049" s="4" t="s">
        <v>766</v>
      </c>
      <c r="B1049" s="4">
        <v>40</v>
      </c>
      <c r="C1049" s="4" t="s">
        <v>72</v>
      </c>
      <c r="D1049" s="4" t="s">
        <v>781</v>
      </c>
      <c r="E1049" s="4" t="str">
        <f t="shared" si="60"/>
        <v>40|U</v>
      </c>
      <c r="F1049" s="14">
        <f>INDEX('Emission Stepwise'!$H$2:$H$289,MATCH(E1049,'Emission Stepwise'!$C$2:$C$289,0))</f>
        <v>4.4117647058823532E-2</v>
      </c>
      <c r="G1049" s="14">
        <f>INDEX(Background!$C$4:$C$7,MATCH(C1049,Background!$A$4:$A$7,0))</f>
        <v>0.21314113777902177</v>
      </c>
      <c r="H1049" s="17">
        <f t="shared" si="61"/>
        <v>-1.5750947024813093</v>
      </c>
    </row>
    <row r="1050" spans="1:8">
      <c r="A1050" s="4" t="s">
        <v>766</v>
      </c>
      <c r="B1050" s="4">
        <v>41</v>
      </c>
      <c r="C1050" s="4" t="s">
        <v>73</v>
      </c>
      <c r="D1050" s="4" t="s">
        <v>781</v>
      </c>
      <c r="E1050" s="4" t="str">
        <f t="shared" si="60"/>
        <v>41|A</v>
      </c>
      <c r="F1050" s="14">
        <f>INDEX('Emission Stepwise'!$H$2:$H$289,MATCH(E1050,'Emission Stepwise'!$C$2:$C$289,0))</f>
        <v>0.26960784313725489</v>
      </c>
      <c r="G1050" s="14">
        <f>INDEX(Background!$C$4:$C$7,MATCH(C1050,Background!$A$4:$A$7,0))</f>
        <v>0.18550136449513679</v>
      </c>
      <c r="H1050" s="17">
        <f t="shared" si="61"/>
        <v>0.37390623258102373</v>
      </c>
    </row>
    <row r="1051" spans="1:8">
      <c r="A1051" s="4" t="s">
        <v>766</v>
      </c>
      <c r="B1051" s="4">
        <v>42</v>
      </c>
      <c r="C1051" s="4" t="s">
        <v>72</v>
      </c>
      <c r="D1051" s="4" t="s">
        <v>781</v>
      </c>
      <c r="E1051" s="4" t="str">
        <f t="shared" si="60"/>
        <v>42|U</v>
      </c>
      <c r="F1051" s="14">
        <f>INDEX('Emission Stepwise'!$H$2:$H$289,MATCH(E1051,'Emission Stepwise'!$C$2:$C$289,0))</f>
        <v>0.13235294117647059</v>
      </c>
      <c r="G1051" s="14">
        <f>INDEX(Background!$C$4:$C$7,MATCH(C1051,Background!$A$4:$A$7,0))</f>
        <v>0.21314113777902177</v>
      </c>
      <c r="H1051" s="17">
        <f t="shared" si="61"/>
        <v>-0.47648241381319967</v>
      </c>
    </row>
    <row r="1052" spans="1:8">
      <c r="A1052" s="4" t="s">
        <v>766</v>
      </c>
      <c r="B1052" s="4">
        <v>43</v>
      </c>
      <c r="C1052" s="4" t="s">
        <v>73</v>
      </c>
      <c r="D1052" s="4" t="s">
        <v>781</v>
      </c>
      <c r="E1052" s="4" t="str">
        <f t="shared" si="60"/>
        <v>43|A</v>
      </c>
      <c r="F1052" s="14">
        <f>INDEX('Emission Stepwise'!$H$2:$H$289,MATCH(E1052,'Emission Stepwise'!$C$2:$C$289,0))</f>
        <v>0.22549019607843138</v>
      </c>
      <c r="G1052" s="14">
        <f>INDEX(Background!$C$4:$C$7,MATCH(C1052,Background!$A$4:$A$7,0))</f>
        <v>0.18550136449513679</v>
      </c>
      <c r="H1052" s="17">
        <f t="shared" si="61"/>
        <v>0.1952144438376478</v>
      </c>
    </row>
    <row r="1053" spans="1:8">
      <c r="A1053" s="4" t="s">
        <v>766</v>
      </c>
      <c r="B1053" s="4">
        <v>44</v>
      </c>
      <c r="C1053" s="4" t="s">
        <v>70</v>
      </c>
      <c r="D1053" s="4" t="s">
        <v>781</v>
      </c>
      <c r="E1053" s="4" t="str">
        <f t="shared" si="60"/>
        <v>44|G</v>
      </c>
      <c r="F1053" s="14">
        <f>INDEX('Emission Stepwise'!$H$2:$H$289,MATCH(E1053,'Emission Stepwise'!$C$2:$C$289,0))</f>
        <v>0.23039215686274508</v>
      </c>
      <c r="G1053" s="14">
        <f>INDEX(Background!$C$4:$C$7,MATCH(C1053,Background!$A$4:$A$7,0))</f>
        <v>0.32488979077741237</v>
      </c>
      <c r="H1053" s="17">
        <f t="shared" si="61"/>
        <v>-0.34370313267228481</v>
      </c>
    </row>
    <row r="1054" spans="1:8">
      <c r="A1054" s="4" t="s">
        <v>766</v>
      </c>
      <c r="B1054" s="4">
        <v>45</v>
      </c>
      <c r="C1054" s="4" t="s">
        <v>73</v>
      </c>
      <c r="D1054" s="4" t="s">
        <v>782</v>
      </c>
      <c r="E1054" s="4" t="str">
        <f t="shared" si="60"/>
        <v>45|A</v>
      </c>
      <c r="F1054" s="14">
        <f>INDEX('Emission Stepwise'!$H$2:$H$289,MATCH(E1054,'Emission Stepwise'!$C$2:$C$289,0))</f>
        <v>7.9207920792079209E-2</v>
      </c>
      <c r="G1054" s="14">
        <f>INDEX(Background!$C$4:$C$7,MATCH(C1054,Background!$A$4:$A$7,0))</f>
        <v>0.18550136449513679</v>
      </c>
      <c r="H1054" s="17">
        <f t="shared" si="61"/>
        <v>-0.8509859339686543</v>
      </c>
    </row>
    <row r="1055" spans="1:8">
      <c r="A1055" s="4" t="s">
        <v>766</v>
      </c>
      <c r="B1055" s="4">
        <v>46</v>
      </c>
      <c r="C1055" s="4" t="s">
        <v>73</v>
      </c>
      <c r="D1055" s="4" t="s">
        <v>782</v>
      </c>
      <c r="E1055" s="4" t="str">
        <f t="shared" si="60"/>
        <v>46|A</v>
      </c>
      <c r="F1055" s="14">
        <f>INDEX('Emission Stepwise'!$H$2:$H$289,MATCH(E1055,'Emission Stepwise'!$C$2:$C$289,0))</f>
        <v>9.8265895953757232E-2</v>
      </c>
      <c r="G1055" s="14">
        <f>INDEX(Background!$C$4:$C$7,MATCH(C1055,Background!$A$4:$A$7,0))</f>
        <v>0.18550136449513679</v>
      </c>
      <c r="H1055" s="17">
        <f t="shared" si="61"/>
        <v>-0.6353852092487936</v>
      </c>
    </row>
    <row r="1056" spans="1:8">
      <c r="A1056" s="4" t="s">
        <v>766</v>
      </c>
      <c r="B1056" s="4">
        <v>47</v>
      </c>
      <c r="C1056" s="4" t="s">
        <v>70</v>
      </c>
      <c r="D1056" s="4" t="s">
        <v>782</v>
      </c>
      <c r="E1056" s="4" t="str">
        <f t="shared" si="60"/>
        <v>47|G</v>
      </c>
      <c r="F1056" s="14">
        <f>INDEX('Emission Stepwise'!$H$2:$H$289,MATCH(E1056,'Emission Stepwise'!$C$2:$C$289,0))</f>
        <v>8.3333333333333329E-2</v>
      </c>
      <c r="G1056" s="14">
        <f>INDEX(Background!$C$4:$C$7,MATCH(C1056,Background!$A$4:$A$7,0))</f>
        <v>0.32488979077741237</v>
      </c>
      <c r="H1056" s="17">
        <f t="shared" si="61"/>
        <v>-1.3606373903261273</v>
      </c>
    </row>
    <row r="1057" spans="1:8">
      <c r="A1057" s="4" t="s">
        <v>766</v>
      </c>
      <c r="B1057" s="4">
        <v>48</v>
      </c>
      <c r="C1057" s="4" t="s">
        <v>73</v>
      </c>
      <c r="D1057" s="4" t="s">
        <v>782</v>
      </c>
      <c r="E1057" s="4" t="str">
        <f t="shared" si="60"/>
        <v>48|A</v>
      </c>
      <c r="F1057" s="14">
        <f>INDEX('Emission Stepwise'!$H$2:$H$289,MATCH(E1057,'Emission Stepwise'!$C$2:$C$289,0))</f>
        <v>9.8039215686274508E-3</v>
      </c>
      <c r="G1057" s="14">
        <f>INDEX(Background!$C$4:$C$7,MATCH(C1057,Background!$A$4:$A$7,0))</f>
        <v>0.18550136449513679</v>
      </c>
      <c r="H1057" s="17">
        <f t="shared" si="61"/>
        <v>-2.9402797720915017</v>
      </c>
    </row>
    <row r="1058" spans="1:8">
      <c r="A1058" s="4" t="s">
        <v>766</v>
      </c>
      <c r="B1058" s="4">
        <v>49</v>
      </c>
      <c r="C1058" s="4" t="s">
        <v>73</v>
      </c>
      <c r="D1058" s="4" t="s">
        <v>783</v>
      </c>
      <c r="E1058" s="4" t="str">
        <f t="shared" si="60"/>
        <v>49|A</v>
      </c>
      <c r="F1058" s="14">
        <f>INDEX('Emission Stepwise'!$H$2:$H$289,MATCH(E1058,'Emission Stepwise'!$C$2:$C$289,0))</f>
        <v>0.15686274509803921</v>
      </c>
      <c r="G1058" s="14">
        <f>INDEX(Background!$C$4:$C$7,MATCH(C1058,Background!$A$4:$A$7,0))</f>
        <v>0.18550136449513679</v>
      </c>
      <c r="H1058" s="17">
        <f t="shared" si="61"/>
        <v>-0.16769104985172067</v>
      </c>
    </row>
    <row r="1059" spans="1:8">
      <c r="A1059" s="4" t="s">
        <v>766</v>
      </c>
      <c r="B1059" s="4">
        <v>50</v>
      </c>
      <c r="C1059" s="4" t="s">
        <v>70</v>
      </c>
      <c r="D1059" s="4" t="s">
        <v>783</v>
      </c>
      <c r="E1059" s="4" t="str">
        <f t="shared" si="60"/>
        <v>50|G</v>
      </c>
      <c r="F1059" s="14">
        <f>INDEX('Emission Stepwise'!$H$2:$H$289,MATCH(E1059,'Emission Stepwise'!$C$2:$C$289,0))</f>
        <v>0.26960784313725489</v>
      </c>
      <c r="G1059" s="14">
        <f>INDEX(Background!$C$4:$C$7,MATCH(C1059,Background!$A$4:$A$7,0))</f>
        <v>0.32488979077741237</v>
      </c>
      <c r="H1059" s="17">
        <f t="shared" si="61"/>
        <v>-0.18651754914987254</v>
      </c>
    </row>
    <row r="1060" spans="1:8">
      <c r="A1060" s="4" t="s">
        <v>766</v>
      </c>
      <c r="B1060" s="4">
        <v>51</v>
      </c>
      <c r="C1060" s="4" t="s">
        <v>73</v>
      </c>
      <c r="D1060" s="4" t="s">
        <v>783</v>
      </c>
      <c r="E1060" s="4" t="str">
        <f t="shared" si="60"/>
        <v>51|A</v>
      </c>
      <c r="F1060" s="14">
        <f>INDEX('Emission Stepwise'!$H$2:$H$289,MATCH(E1060,'Emission Stepwise'!$C$2:$C$289,0))</f>
        <v>0.14285714285714285</v>
      </c>
      <c r="G1060" s="14">
        <f>INDEX(Background!$C$4:$C$7,MATCH(C1060,Background!$A$4:$A$7,0))</f>
        <v>0.18550136449513679</v>
      </c>
      <c r="H1060" s="17">
        <f t="shared" si="61"/>
        <v>-0.26121710786254415</v>
      </c>
    </row>
    <row r="1061" spans="1:8">
      <c r="A1061" s="4" t="s">
        <v>766</v>
      </c>
      <c r="B1061" s="4">
        <v>52</v>
      </c>
      <c r="C1061" s="4" t="s">
        <v>73</v>
      </c>
      <c r="D1061" s="4" t="s">
        <v>783</v>
      </c>
      <c r="E1061" s="4" t="str">
        <f t="shared" si="60"/>
        <v>52|A</v>
      </c>
      <c r="F1061" s="14">
        <f>INDEX('Emission Stepwise'!$H$2:$H$289,MATCH(E1061,'Emission Stepwise'!$C$2:$C$289,0))</f>
        <v>0.13235294117647059</v>
      </c>
      <c r="G1061" s="14">
        <f>INDEX(Background!$C$4:$C$7,MATCH(C1061,Background!$A$4:$A$7,0))</f>
        <v>0.18550136449513679</v>
      </c>
      <c r="H1061" s="17">
        <f t="shared" si="61"/>
        <v>-0.33759008664711798</v>
      </c>
    </row>
    <row r="1062" spans="1:8">
      <c r="A1062" s="4" t="s">
        <v>766</v>
      </c>
      <c r="B1062" s="4">
        <v>53</v>
      </c>
      <c r="C1062" s="4" t="s">
        <v>70</v>
      </c>
      <c r="D1062" s="4" t="s">
        <v>783</v>
      </c>
      <c r="E1062" s="4" t="str">
        <f t="shared" si="60"/>
        <v>53|G</v>
      </c>
      <c r="F1062" s="14">
        <f>INDEX('Emission Stepwise'!$H$2:$H$289,MATCH(E1062,'Emission Stepwise'!$C$2:$C$289,0))</f>
        <v>0.96568627450980393</v>
      </c>
      <c r="G1062" s="14">
        <f>INDEX(Background!$C$4:$C$7,MATCH(C1062,Background!$A$4:$A$7,0))</f>
        <v>0.32488979077741237</v>
      </c>
      <c r="H1062" s="17">
        <f t="shared" si="61"/>
        <v>1.089352994355645</v>
      </c>
    </row>
    <row r="1063" spans="1:8">
      <c r="A1063" s="4" t="s">
        <v>766</v>
      </c>
      <c r="B1063" s="4">
        <v>54</v>
      </c>
      <c r="C1063" s="4" t="s">
        <v>72</v>
      </c>
      <c r="D1063" s="4" t="s">
        <v>783</v>
      </c>
      <c r="E1063" s="4" t="str">
        <f t="shared" si="60"/>
        <v>54|U</v>
      </c>
      <c r="F1063" s="14">
        <f>INDEX('Emission Stepwise'!$H$2:$H$289,MATCH(E1063,'Emission Stepwise'!$C$2:$C$289,0))</f>
        <v>0.97549019607843135</v>
      </c>
      <c r="G1063" s="14">
        <f>INDEX(Background!$C$4:$C$7,MATCH(C1063,Background!$A$4:$A$7,0))</f>
        <v>0.21314113777902177</v>
      </c>
      <c r="H1063" s="17">
        <f t="shared" si="61"/>
        <v>1.5209855449069636</v>
      </c>
    </row>
    <row r="1064" spans="1:8">
      <c r="A1064" s="4" t="s">
        <v>766</v>
      </c>
      <c r="B1064" s="4">
        <v>55</v>
      </c>
      <c r="C1064" s="4" t="s">
        <v>71</v>
      </c>
      <c r="D1064" s="4" t="s">
        <v>783</v>
      </c>
      <c r="E1064" s="4" t="str">
        <f t="shared" si="60"/>
        <v>55|C</v>
      </c>
      <c r="F1064" s="14">
        <f>INDEX('Emission Stepwise'!$H$2:$H$289,MATCH(E1064,'Emission Stepwise'!$C$2:$C$289,0))</f>
        <v>9.8039215686274508E-3</v>
      </c>
      <c r="G1064" s="14">
        <f>INDEX(Background!$C$4:$C$7,MATCH(C1064,Background!$A$4:$A$7,0))</f>
        <v>0.27646770694842909</v>
      </c>
      <c r="H1064" s="17">
        <f t="shared" si="61"/>
        <v>-3.3393115562138669</v>
      </c>
    </row>
    <row r="1065" spans="1:8">
      <c r="A1065" s="4" t="s">
        <v>766</v>
      </c>
      <c r="B1065" s="4">
        <v>56</v>
      </c>
      <c r="C1065" s="4" t="s">
        <v>71</v>
      </c>
      <c r="D1065" s="4" t="s">
        <v>783</v>
      </c>
      <c r="E1065" s="4" t="str">
        <f t="shared" si="60"/>
        <v>56|C</v>
      </c>
      <c r="F1065" s="14">
        <f>INDEX('Emission Stepwise'!$H$2:$H$289,MATCH(E1065,'Emission Stepwise'!$C$2:$C$289,0))</f>
        <v>0.96568627450980393</v>
      </c>
      <c r="G1065" s="14">
        <f>INDEX(Background!$C$4:$C$7,MATCH(C1065,Background!$A$4:$A$7,0))</f>
        <v>0.27646770694842909</v>
      </c>
      <c r="H1065" s="17">
        <f t="shared" si="61"/>
        <v>1.250744991964176</v>
      </c>
    </row>
    <row r="1066" spans="1:8">
      <c r="A1066" s="4" t="s">
        <v>766</v>
      </c>
      <c r="B1066" s="4">
        <v>57</v>
      </c>
      <c r="C1066" s="4" t="s">
        <v>72</v>
      </c>
      <c r="D1066" s="4" t="s">
        <v>783</v>
      </c>
      <c r="E1066" s="4" t="str">
        <f t="shared" si="60"/>
        <v>57|U</v>
      </c>
      <c r="F1066" s="14">
        <f>INDEX('Emission Stepwise'!$H$2:$H$289,MATCH(E1066,'Emission Stepwise'!$C$2:$C$289,0))</f>
        <v>9.852216748768473E-3</v>
      </c>
      <c r="G1066" s="14">
        <f>INDEX(Background!$C$4:$C$7,MATCH(C1066,Background!$A$4:$A$7,0))</f>
        <v>0.21314113777902177</v>
      </c>
      <c r="H1066" s="17">
        <f t="shared" si="61"/>
        <v>-3.0742580844551544</v>
      </c>
    </row>
    <row r="1067" spans="1:8">
      <c r="A1067" s="4" t="s">
        <v>766</v>
      </c>
      <c r="B1067" s="4">
        <v>58</v>
      </c>
      <c r="C1067" s="4" t="s">
        <v>73</v>
      </c>
      <c r="D1067" s="4" t="s">
        <v>783</v>
      </c>
      <c r="E1067" s="4" t="str">
        <f t="shared" si="60"/>
        <v>58|A</v>
      </c>
      <c r="F1067" s="14">
        <f>INDEX('Emission Stepwise'!$H$2:$H$289,MATCH(E1067,'Emission Stepwise'!$C$2:$C$289,0))</f>
        <v>0.97549019607843135</v>
      </c>
      <c r="G1067" s="14">
        <f>INDEX(Background!$C$4:$C$7,MATCH(C1067,Background!$A$4:$A$7,0))</f>
        <v>0.18550136449513679</v>
      </c>
      <c r="H1067" s="17">
        <f t="shared" si="61"/>
        <v>1.6598778720730452</v>
      </c>
    </row>
    <row r="1068" spans="1:8">
      <c r="A1068" s="4" t="s">
        <v>766</v>
      </c>
      <c r="B1068" s="4">
        <v>59</v>
      </c>
      <c r="C1068" s="4" t="s">
        <v>70</v>
      </c>
      <c r="D1068" s="4" t="s">
        <v>783</v>
      </c>
      <c r="E1068" s="4" t="str">
        <f t="shared" si="60"/>
        <v>59|G</v>
      </c>
      <c r="F1068" s="14">
        <f>INDEX('Emission Stepwise'!$H$2:$H$289,MATCH(E1068,'Emission Stepwise'!$C$2:$C$289,0))</f>
        <v>0.23529411764705882</v>
      </c>
      <c r="G1068" s="14">
        <f>INDEX(Background!$C$4:$C$7,MATCH(C1068,Background!$A$4:$A$7,0))</f>
        <v>0.32488979077741237</v>
      </c>
      <c r="H1068" s="17">
        <f t="shared" si="61"/>
        <v>-0.32264972347445248</v>
      </c>
    </row>
    <row r="1069" spans="1:8">
      <c r="A1069" s="4" t="s">
        <v>766</v>
      </c>
      <c r="B1069" s="4">
        <v>60</v>
      </c>
      <c r="C1069" s="4" t="s">
        <v>72</v>
      </c>
      <c r="D1069" s="4" t="s">
        <v>783</v>
      </c>
      <c r="E1069" s="4" t="str">
        <f t="shared" si="60"/>
        <v>60|U</v>
      </c>
      <c r="F1069" s="14">
        <f>INDEX('Emission Stepwise'!$H$2:$H$289,MATCH(E1069,'Emission Stepwise'!$C$2:$C$289,0))</f>
        <v>0.77450980392156865</v>
      </c>
      <c r="G1069" s="14">
        <f>INDEX(Background!$C$4:$C$7,MATCH(C1069,Background!$A$4:$A$7,0))</f>
        <v>0.21314113777902177</v>
      </c>
      <c r="H1069" s="17">
        <f t="shared" si="61"/>
        <v>1.290275753209438</v>
      </c>
    </row>
    <row r="1070" spans="1:8">
      <c r="A1070" s="4" t="s">
        <v>766</v>
      </c>
      <c r="B1070" s="4">
        <v>61</v>
      </c>
      <c r="C1070" s="4" t="s">
        <v>71</v>
      </c>
      <c r="D1070" s="4" t="s">
        <v>783</v>
      </c>
      <c r="E1070" s="4" t="str">
        <f t="shared" si="60"/>
        <v>61|C</v>
      </c>
      <c r="F1070" s="14">
        <f>INDEX('Emission Stepwise'!$H$2:$H$289,MATCH(E1070,'Emission Stepwise'!$C$2:$C$289,0))</f>
        <v>0.97549019607843135</v>
      </c>
      <c r="G1070" s="14">
        <f>INDEX(Background!$C$4:$C$7,MATCH(C1070,Background!$A$4:$A$7,0))</f>
        <v>0.27646770694842909</v>
      </c>
      <c r="H1070" s="17">
        <f t="shared" si="61"/>
        <v>1.26084608795068</v>
      </c>
    </row>
    <row r="1071" spans="1:8">
      <c r="A1071" s="4" t="s">
        <v>766</v>
      </c>
      <c r="B1071" s="4">
        <v>62</v>
      </c>
      <c r="C1071" s="4" t="s">
        <v>72</v>
      </c>
      <c r="D1071" s="4" t="s">
        <v>783</v>
      </c>
      <c r="E1071" s="4" t="str">
        <f t="shared" si="60"/>
        <v>62|U</v>
      </c>
      <c r="F1071" s="14">
        <f>INDEX('Emission Stepwise'!$H$2:$H$289,MATCH(E1071,'Emission Stepwise'!$C$2:$C$289,0))</f>
        <v>0.13235294117647059</v>
      </c>
      <c r="G1071" s="14">
        <f>INDEX(Background!$C$4:$C$7,MATCH(C1071,Background!$A$4:$A$7,0))</f>
        <v>0.21314113777902177</v>
      </c>
      <c r="H1071" s="17">
        <f t="shared" si="61"/>
        <v>-0.47648241381319967</v>
      </c>
    </row>
    <row r="1072" spans="1:8">
      <c r="A1072" s="4" t="s">
        <v>766</v>
      </c>
      <c r="B1072" s="4">
        <v>63</v>
      </c>
      <c r="C1072" s="4" t="s">
        <v>72</v>
      </c>
      <c r="D1072" s="4" t="s">
        <v>783</v>
      </c>
      <c r="E1072" s="4" t="str">
        <f t="shared" si="60"/>
        <v>63|U</v>
      </c>
      <c r="F1072" s="14">
        <f>INDEX('Emission Stepwise'!$H$2:$H$289,MATCH(E1072,'Emission Stepwise'!$C$2:$C$289,0))</f>
        <v>0.16176470588235295</v>
      </c>
      <c r="G1072" s="14">
        <f>INDEX(Background!$C$4:$C$7,MATCH(C1072,Background!$A$4:$A$7,0))</f>
        <v>0.21314113777902177</v>
      </c>
      <c r="H1072" s="17">
        <f t="shared" si="61"/>
        <v>-0.27581171835104856</v>
      </c>
    </row>
    <row r="1073" spans="1:8">
      <c r="A1073" s="4" t="s">
        <v>766</v>
      </c>
      <c r="B1073" s="4">
        <v>64</v>
      </c>
      <c r="C1073" s="4" t="s">
        <v>72</v>
      </c>
      <c r="D1073" s="4" t="s">
        <v>783</v>
      </c>
      <c r="E1073" s="4" t="str">
        <f t="shared" si="60"/>
        <v>64|U</v>
      </c>
      <c r="F1073" s="14">
        <f>INDEX('Emission Stepwise'!$H$2:$H$289,MATCH(E1073,'Emission Stepwise'!$C$2:$C$289,0))</f>
        <v>0.16666666666666666</v>
      </c>
      <c r="G1073" s="14">
        <f>INDEX(Background!$C$4:$C$7,MATCH(C1073,Background!$A$4:$A$7,0))</f>
        <v>0.21314113777902177</v>
      </c>
      <c r="H1073" s="17">
        <f t="shared" si="61"/>
        <v>-0.24595875520136748</v>
      </c>
    </row>
    <row r="1074" spans="1:8">
      <c r="A1074" s="4" t="s">
        <v>766</v>
      </c>
      <c r="B1074" s="4">
        <v>65</v>
      </c>
      <c r="C1074" s="4" t="s">
        <v>72</v>
      </c>
      <c r="D1074" s="4" t="s">
        <v>783</v>
      </c>
      <c r="E1074" s="4" t="str">
        <f t="shared" ref="E1074:E1137" si="62">B1074&amp;"|"&amp;C1074</f>
        <v>65|U</v>
      </c>
      <c r="F1074" s="14">
        <f>INDEX('Emission Stepwise'!$H$2:$H$289,MATCH(E1074,'Emission Stepwise'!$C$2:$C$289,0))</f>
        <v>0.34975369458128081</v>
      </c>
      <c r="G1074" s="14">
        <f>INDEX(Background!$C$4:$C$7,MATCH(C1074,Background!$A$4:$A$7,0))</f>
        <v>0.21314113777902177</v>
      </c>
      <c r="H1074" s="17">
        <f t="shared" ref="H1074:H1137" si="63">LN(F1074/G1074)</f>
        <v>0.49527461202621575</v>
      </c>
    </row>
    <row r="1075" spans="1:8">
      <c r="A1075" s="4" t="s">
        <v>766</v>
      </c>
      <c r="B1075" s="4">
        <v>66</v>
      </c>
      <c r="C1075" s="4" t="s">
        <v>72</v>
      </c>
      <c r="D1075" s="4" t="s">
        <v>784</v>
      </c>
      <c r="E1075" s="4" t="str">
        <f t="shared" si="62"/>
        <v>66|U</v>
      </c>
      <c r="F1075" s="14">
        <f>INDEX('Emission Stepwise'!$H$2:$H$289,MATCH(E1075,'Emission Stepwise'!$C$2:$C$289,0))</f>
        <v>0.25</v>
      </c>
      <c r="G1075" s="14">
        <f>INDEX(Background!$C$4:$C$7,MATCH(C1075,Background!$A$4:$A$7,0))</f>
        <v>0.21314113777902177</v>
      </c>
      <c r="H1075" s="17">
        <f t="shared" si="63"/>
        <v>0.15950635290679691</v>
      </c>
    </row>
    <row r="1076" spans="1:8">
      <c r="A1076" s="4" t="s">
        <v>766</v>
      </c>
      <c r="B1076" s="4">
        <v>67</v>
      </c>
      <c r="C1076" s="4" t="s">
        <v>71</v>
      </c>
      <c r="D1076" s="4" t="s">
        <v>784</v>
      </c>
      <c r="E1076" s="4" t="str">
        <f t="shared" si="62"/>
        <v>67|C</v>
      </c>
      <c r="F1076" s="14">
        <f>INDEX('Emission Stepwise'!$H$2:$H$289,MATCH(E1076,'Emission Stepwise'!$C$2:$C$289,0))</f>
        <v>0.22549019607843138</v>
      </c>
      <c r="G1076" s="14">
        <f>INDEX(Background!$C$4:$C$7,MATCH(C1076,Background!$A$4:$A$7,0))</f>
        <v>0.27646770694842909</v>
      </c>
      <c r="H1076" s="17">
        <f t="shared" si="63"/>
        <v>-0.20381734028471743</v>
      </c>
    </row>
    <row r="1077" spans="1:8">
      <c r="A1077" s="4" t="s">
        <v>766</v>
      </c>
      <c r="B1077" s="4">
        <v>68</v>
      </c>
      <c r="C1077" s="4" t="s">
        <v>73</v>
      </c>
      <c r="D1077" s="4" t="s">
        <v>784</v>
      </c>
      <c r="E1077" s="4" t="str">
        <f t="shared" si="62"/>
        <v>68|A</v>
      </c>
      <c r="F1077" s="14">
        <f>INDEX('Emission Stepwise'!$H$2:$H$289,MATCH(E1077,'Emission Stepwise'!$C$2:$C$289,0))</f>
        <v>7.8431372549019607E-2</v>
      </c>
      <c r="G1077" s="14">
        <f>INDEX(Background!$C$4:$C$7,MATCH(C1077,Background!$A$4:$A$7,0))</f>
        <v>0.18550136449513679</v>
      </c>
      <c r="H1077" s="17">
        <f t="shared" si="63"/>
        <v>-0.86083823041166596</v>
      </c>
    </row>
    <row r="1078" spans="1:8">
      <c r="A1078" s="4" t="s">
        <v>766</v>
      </c>
      <c r="B1078" s="4">
        <v>69</v>
      </c>
      <c r="C1078" s="4" t="s">
        <v>72</v>
      </c>
      <c r="D1078" s="4" t="s">
        <v>784</v>
      </c>
      <c r="E1078" s="4" t="str">
        <f t="shared" si="62"/>
        <v>69|U</v>
      </c>
      <c r="F1078" s="14">
        <f>INDEX('Emission Stepwise'!$H$2:$H$289,MATCH(E1078,'Emission Stepwise'!$C$2:$C$289,0))</f>
        <v>8.8235294117647065E-2</v>
      </c>
      <c r="G1078" s="14">
        <f>INDEX(Background!$C$4:$C$7,MATCH(C1078,Background!$A$4:$A$7,0))</f>
        <v>0.21314113777902177</v>
      </c>
      <c r="H1078" s="17">
        <f t="shared" si="63"/>
        <v>-0.88194752192136405</v>
      </c>
    </row>
    <row r="1079" spans="1:8">
      <c r="A1079" s="4" t="s">
        <v>766</v>
      </c>
      <c r="B1079" s="4">
        <v>70</v>
      </c>
      <c r="C1079" s="4" t="s">
        <v>72</v>
      </c>
      <c r="D1079" s="4" t="s">
        <v>784</v>
      </c>
      <c r="E1079" s="4" t="str">
        <f t="shared" si="62"/>
        <v>70|U</v>
      </c>
      <c r="F1079" s="14">
        <f>INDEX('Emission Stepwise'!$H$2:$H$289,MATCH(E1079,'Emission Stepwise'!$C$2:$C$289,0))</f>
        <v>0.15196078431372548</v>
      </c>
      <c r="G1079" s="14">
        <f>INDEX(Background!$C$4:$C$7,MATCH(C1079,Background!$A$4:$A$7,0))</f>
        <v>0.21314113777902177</v>
      </c>
      <c r="H1079" s="17">
        <f t="shared" si="63"/>
        <v>-0.33833207533238269</v>
      </c>
    </row>
    <row r="1080" spans="1:8">
      <c r="A1080" s="4" t="s">
        <v>766</v>
      </c>
      <c r="B1080" s="4">
        <v>71</v>
      </c>
      <c r="C1080" s="4" t="s">
        <v>73</v>
      </c>
      <c r="D1080" s="4" t="s">
        <v>784</v>
      </c>
      <c r="E1080" s="4" t="str">
        <f t="shared" si="62"/>
        <v>71|A</v>
      </c>
      <c r="F1080" s="14">
        <f>INDEX('Emission Stepwise'!$H$2:$H$289,MATCH(E1080,'Emission Stepwise'!$C$2:$C$289,0))</f>
        <v>2.9411764705882353E-2</v>
      </c>
      <c r="G1080" s="14">
        <f>INDEX(Background!$C$4:$C$7,MATCH(C1080,Background!$A$4:$A$7,0))</f>
        <v>0.18550136449513679</v>
      </c>
      <c r="H1080" s="17">
        <f t="shared" si="63"/>
        <v>-1.8416674834233921</v>
      </c>
    </row>
    <row r="1081" spans="1:8">
      <c r="A1081" s="4" t="s">
        <v>766</v>
      </c>
      <c r="B1081" s="4">
        <v>72</v>
      </c>
      <c r="C1081" s="4" t="s">
        <v>70</v>
      </c>
      <c r="D1081" s="4" t="s">
        <v>784</v>
      </c>
      <c r="E1081" s="4" t="str">
        <f t="shared" si="62"/>
        <v>72|G</v>
      </c>
      <c r="F1081" s="14">
        <f>INDEX('Emission Stepwise'!$H$2:$H$289,MATCH(E1081,'Emission Stepwise'!$C$2:$C$289,0))</f>
        <v>9.3137254901960786E-2</v>
      </c>
      <c r="G1081" s="14">
        <f>INDEX(Background!$C$4:$C$7,MATCH(C1081,Background!$A$4:$A$7,0))</f>
        <v>0.32488979077741237</v>
      </c>
      <c r="H1081" s="17">
        <f t="shared" si="63"/>
        <v>-1.249411755215903</v>
      </c>
    </row>
    <row r="1082" spans="1:8">
      <c r="A1082" s="4" t="s">
        <v>767</v>
      </c>
      <c r="B1082" s="4">
        <v>1</v>
      </c>
      <c r="C1082" s="4" t="s">
        <v>72</v>
      </c>
      <c r="D1082" s="4" t="s">
        <v>778</v>
      </c>
      <c r="E1082" s="4" t="str">
        <f t="shared" si="62"/>
        <v>1|U</v>
      </c>
      <c r="F1082" s="14">
        <f>INDEX('Emission Stepwise'!$H$2:$H$289,MATCH(E1082,'Emission Stepwise'!$C$2:$C$289,0))</f>
        <v>6.8627450980392163E-2</v>
      </c>
      <c r="G1082" s="14">
        <f>INDEX(Background!$C$4:$C$7,MATCH(C1082,Background!$A$4:$A$7,0))</f>
        <v>0.21314113777902177</v>
      </c>
      <c r="H1082" s="17">
        <f t="shared" si="63"/>
        <v>-1.1332619502022701</v>
      </c>
    </row>
    <row r="1083" spans="1:8">
      <c r="A1083" s="4" t="s">
        <v>767</v>
      </c>
      <c r="B1083" s="4">
        <v>2</v>
      </c>
      <c r="C1083" s="4" t="s">
        <v>72</v>
      </c>
      <c r="D1083" s="4" t="s">
        <v>778</v>
      </c>
      <c r="E1083" s="4" t="str">
        <f t="shared" si="62"/>
        <v>2|U</v>
      </c>
      <c r="F1083" s="14">
        <f>INDEX('Emission Stepwise'!$H$2:$H$289,MATCH(E1083,'Emission Stepwise'!$C$2:$C$289,0))</f>
        <v>3.4313725490196081E-2</v>
      </c>
      <c r="G1083" s="14">
        <f>INDEX(Background!$C$4:$C$7,MATCH(C1083,Background!$A$4:$A$7,0))</f>
        <v>0.21314113777902177</v>
      </c>
      <c r="H1083" s="17">
        <f t="shared" si="63"/>
        <v>-1.8264091307622154</v>
      </c>
    </row>
    <row r="1084" spans="1:8">
      <c r="A1084" s="4" t="s">
        <v>767</v>
      </c>
      <c r="B1084" s="4">
        <v>3</v>
      </c>
      <c r="C1084" s="4" t="s">
        <v>72</v>
      </c>
      <c r="D1084" s="4" t="s">
        <v>778</v>
      </c>
      <c r="E1084" s="4" t="str">
        <f t="shared" si="62"/>
        <v>3|U</v>
      </c>
      <c r="F1084" s="14">
        <f>INDEX('Emission Stepwise'!$H$2:$H$289,MATCH(E1084,'Emission Stepwise'!$C$2:$C$289,0))</f>
        <v>0.11764705882352941</v>
      </c>
      <c r="G1084" s="14">
        <f>INDEX(Background!$C$4:$C$7,MATCH(C1084,Background!$A$4:$A$7,0))</f>
        <v>0.21314113777902177</v>
      </c>
      <c r="H1084" s="17">
        <f t="shared" si="63"/>
        <v>-0.59426544946958315</v>
      </c>
    </row>
    <row r="1085" spans="1:8">
      <c r="A1085" s="4" t="s">
        <v>767</v>
      </c>
      <c r="B1085" s="4">
        <v>4</v>
      </c>
      <c r="C1085" s="4" t="s">
        <v>73</v>
      </c>
      <c r="D1085" s="4" t="s">
        <v>778</v>
      </c>
      <c r="E1085" s="4" t="str">
        <f t="shared" si="62"/>
        <v>4|A</v>
      </c>
      <c r="F1085" s="14">
        <f>INDEX('Emission Stepwise'!$H$2:$H$289,MATCH(E1085,'Emission Stepwise'!$C$2:$C$289,0))</f>
        <v>8.3333333333333329E-2</v>
      </c>
      <c r="G1085" s="14">
        <f>INDEX(Background!$C$4:$C$7,MATCH(C1085,Background!$A$4:$A$7,0))</f>
        <v>0.18550136449513679</v>
      </c>
      <c r="H1085" s="17">
        <f t="shared" si="63"/>
        <v>-0.80021360859523116</v>
      </c>
    </row>
    <row r="1086" spans="1:8">
      <c r="A1086" s="4" t="s">
        <v>767</v>
      </c>
      <c r="B1086" s="4">
        <v>5</v>
      </c>
      <c r="C1086" s="4" t="s">
        <v>73</v>
      </c>
      <c r="D1086" s="4" t="s">
        <v>778</v>
      </c>
      <c r="E1086" s="4" t="str">
        <f t="shared" si="62"/>
        <v>5|A</v>
      </c>
      <c r="F1086" s="14">
        <f>INDEX('Emission Stepwise'!$H$2:$H$289,MATCH(E1086,'Emission Stepwise'!$C$2:$C$289,0))</f>
        <v>0.15686274509803921</v>
      </c>
      <c r="G1086" s="14">
        <f>INDEX(Background!$C$4:$C$7,MATCH(C1086,Background!$A$4:$A$7,0))</f>
        <v>0.18550136449513679</v>
      </c>
      <c r="H1086" s="17">
        <f t="shared" si="63"/>
        <v>-0.16769104985172067</v>
      </c>
    </row>
    <row r="1087" spans="1:8">
      <c r="A1087" s="4" t="s">
        <v>767</v>
      </c>
      <c r="B1087" s="4">
        <v>6</v>
      </c>
      <c r="C1087" s="4" t="s">
        <v>72</v>
      </c>
      <c r="D1087" s="4" t="s">
        <v>778</v>
      </c>
      <c r="E1087" s="4" t="str">
        <f t="shared" si="62"/>
        <v>6|U</v>
      </c>
      <c r="F1087" s="14">
        <f>INDEX('Emission Stepwise'!$H$2:$H$289,MATCH(E1087,'Emission Stepwise'!$C$2:$C$289,0))</f>
        <v>0.26470588235294118</v>
      </c>
      <c r="G1087" s="14">
        <f>INDEX(Background!$C$4:$C$7,MATCH(C1087,Background!$A$4:$A$7,0))</f>
        <v>0.21314113777902177</v>
      </c>
      <c r="H1087" s="17">
        <f t="shared" si="63"/>
        <v>0.21666476674674565</v>
      </c>
    </row>
    <row r="1088" spans="1:8">
      <c r="A1088" s="4" t="s">
        <v>767</v>
      </c>
      <c r="B1088" s="4">
        <v>7</v>
      </c>
      <c r="C1088" s="4" t="s">
        <v>70</v>
      </c>
      <c r="D1088" s="4" t="s">
        <v>778</v>
      </c>
      <c r="E1088" s="4" t="str">
        <f t="shared" si="62"/>
        <v>7|G</v>
      </c>
      <c r="F1088" s="14">
        <f>INDEX('Emission Stepwise'!$H$2:$H$289,MATCH(E1088,'Emission Stepwise'!$C$2:$C$289,0))</f>
        <v>0.51960784313725494</v>
      </c>
      <c r="G1088" s="14">
        <f>INDEX(Background!$C$4:$C$7,MATCH(C1088,Background!$A$4:$A$7,0))</f>
        <v>0.32488979077741237</v>
      </c>
      <c r="H1088" s="17">
        <f t="shared" si="63"/>
        <v>0.46958835972972385</v>
      </c>
    </row>
    <row r="1089" spans="1:8">
      <c r="A1089" s="4" t="s">
        <v>767</v>
      </c>
      <c r="B1089" s="4">
        <v>8</v>
      </c>
      <c r="C1089" s="4" t="s">
        <v>72</v>
      </c>
      <c r="D1089" s="4" t="s">
        <v>779</v>
      </c>
      <c r="E1089" s="4" t="str">
        <f t="shared" si="62"/>
        <v>8|U</v>
      </c>
      <c r="F1089" s="14">
        <f>INDEX('Emission Stepwise'!$H$2:$H$289,MATCH(E1089,'Emission Stepwise'!$C$2:$C$289,0))</f>
        <v>0.97549019607843135</v>
      </c>
      <c r="G1089" s="14">
        <f>INDEX(Background!$C$4:$C$7,MATCH(C1089,Background!$A$4:$A$7,0))</f>
        <v>0.21314113777902177</v>
      </c>
      <c r="H1089" s="17">
        <f t="shared" si="63"/>
        <v>1.5209855449069636</v>
      </c>
    </row>
    <row r="1090" spans="1:8">
      <c r="A1090" s="4" t="s">
        <v>767</v>
      </c>
      <c r="B1090" s="4">
        <v>9</v>
      </c>
      <c r="C1090" s="4" t="s">
        <v>73</v>
      </c>
      <c r="D1090" s="4" t="s">
        <v>780</v>
      </c>
      <c r="E1090" s="4" t="str">
        <f t="shared" si="62"/>
        <v>9|A</v>
      </c>
      <c r="F1090" s="14">
        <f>INDEX('Emission Stepwise'!$H$2:$H$289,MATCH(E1090,'Emission Stepwise'!$C$2:$C$289,0))</f>
        <v>0.65024630541871919</v>
      </c>
      <c r="G1090" s="14">
        <f>INDEX(Background!$C$4:$C$7,MATCH(C1090,Background!$A$4:$A$7,0))</f>
        <v>0.18550136449513679</v>
      </c>
      <c r="H1090" s="17">
        <f t="shared" si="63"/>
        <v>1.2542889847373526</v>
      </c>
    </row>
    <row r="1091" spans="1:8">
      <c r="A1091" s="4" t="s">
        <v>767</v>
      </c>
      <c r="B1091" s="4">
        <v>10</v>
      </c>
      <c r="C1091" s="4" t="s">
        <v>70</v>
      </c>
      <c r="D1091" s="4" t="s">
        <v>780</v>
      </c>
      <c r="E1091" s="4" t="str">
        <f t="shared" si="62"/>
        <v>10|G</v>
      </c>
      <c r="F1091" s="14">
        <f>INDEX('Emission Stepwise'!$H$2:$H$289,MATCH(E1091,'Emission Stepwise'!$C$2:$C$289,0))</f>
        <v>0.94607843137254899</v>
      </c>
      <c r="G1091" s="14">
        <f>INDEX(Background!$C$4:$C$7,MATCH(C1091,Background!$A$4:$A$7,0))</f>
        <v>0.32488979077741237</v>
      </c>
      <c r="H1091" s="17">
        <f t="shared" si="63"/>
        <v>1.0688394545225421</v>
      </c>
    </row>
    <row r="1092" spans="1:8">
      <c r="A1092" s="4" t="s">
        <v>767</v>
      </c>
      <c r="B1092" s="4">
        <v>11</v>
      </c>
      <c r="C1092" s="4" t="s">
        <v>72</v>
      </c>
      <c r="D1092" s="4" t="s">
        <v>780</v>
      </c>
      <c r="E1092" s="4" t="str">
        <f t="shared" si="62"/>
        <v>11|U</v>
      </c>
      <c r="F1092" s="14">
        <f>INDEX('Emission Stepwise'!$H$2:$H$289,MATCH(E1092,'Emission Stepwise'!$C$2:$C$289,0))</f>
        <v>0.20098039215686275</v>
      </c>
      <c r="G1092" s="14">
        <f>INDEX(Background!$C$4:$C$7,MATCH(C1092,Background!$A$4:$A$7,0))</f>
        <v>0.21314113777902177</v>
      </c>
      <c r="H1092" s="17">
        <f t="shared" si="63"/>
        <v>-5.8747213113220911E-2</v>
      </c>
    </row>
    <row r="1093" spans="1:8">
      <c r="A1093" s="4" t="s">
        <v>767</v>
      </c>
      <c r="B1093" s="4">
        <v>12</v>
      </c>
      <c r="C1093" s="4" t="s">
        <v>72</v>
      </c>
      <c r="D1093" s="4" t="s">
        <v>780</v>
      </c>
      <c r="E1093" s="4" t="str">
        <f t="shared" si="62"/>
        <v>12|U</v>
      </c>
      <c r="F1093" s="14">
        <f>INDEX('Emission Stepwise'!$H$2:$H$289,MATCH(E1093,'Emission Stepwise'!$C$2:$C$289,0))</f>
        <v>0.59313725490196079</v>
      </c>
      <c r="G1093" s="14">
        <f>INDEX(Background!$C$4:$C$7,MATCH(C1093,Background!$A$4:$A$7,0))</f>
        <v>0.21314113777902177</v>
      </c>
      <c r="H1093" s="17">
        <f t="shared" si="63"/>
        <v>1.0234712657792122</v>
      </c>
    </row>
    <row r="1094" spans="1:8">
      <c r="A1094" s="4" t="s">
        <v>767</v>
      </c>
      <c r="B1094" s="4">
        <v>13</v>
      </c>
      <c r="C1094" s="4" t="s">
        <v>72</v>
      </c>
      <c r="D1094" s="4" t="s">
        <v>780</v>
      </c>
      <c r="E1094" s="4" t="str">
        <f t="shared" si="62"/>
        <v>13|U</v>
      </c>
      <c r="F1094" s="14">
        <f>INDEX('Emission Stepwise'!$H$2:$H$289,MATCH(E1094,'Emission Stepwise'!$C$2:$C$289,0))</f>
        <v>0.19117647058823528</v>
      </c>
      <c r="G1094" s="14">
        <f>INDEX(Background!$C$4:$C$7,MATCH(C1094,Background!$A$4:$A$7,0))</f>
        <v>0.21314113777902177</v>
      </c>
      <c r="H1094" s="17">
        <f t="shared" si="63"/>
        <v>-0.1087576336878824</v>
      </c>
    </row>
    <row r="1095" spans="1:8">
      <c r="A1095" s="4" t="s">
        <v>767</v>
      </c>
      <c r="B1095" s="4">
        <v>14</v>
      </c>
      <c r="C1095" s="4" t="s">
        <v>73</v>
      </c>
      <c r="D1095" s="4" t="s">
        <v>780</v>
      </c>
      <c r="E1095" s="4" t="str">
        <f t="shared" si="62"/>
        <v>14|A</v>
      </c>
      <c r="F1095" s="14">
        <f>INDEX('Emission Stepwise'!$H$2:$H$289,MATCH(E1095,'Emission Stepwise'!$C$2:$C$289,0))</f>
        <v>0.97549019607843135</v>
      </c>
      <c r="G1095" s="14">
        <f>INDEX(Background!$C$4:$C$7,MATCH(C1095,Background!$A$4:$A$7,0))</f>
        <v>0.18550136449513679</v>
      </c>
      <c r="H1095" s="17">
        <f t="shared" si="63"/>
        <v>1.6598778720730452</v>
      </c>
    </row>
    <row r="1096" spans="1:8">
      <c r="A1096" s="4" t="s">
        <v>767</v>
      </c>
      <c r="B1096" s="4">
        <v>15</v>
      </c>
      <c r="C1096" s="4" t="s">
        <v>72</v>
      </c>
      <c r="D1096" s="4" t="s">
        <v>780</v>
      </c>
      <c r="E1096" s="4" t="str">
        <f t="shared" si="62"/>
        <v>15|U</v>
      </c>
      <c r="F1096" s="14">
        <f>INDEX('Emission Stepwise'!$H$2:$H$289,MATCH(E1096,'Emission Stepwise'!$C$2:$C$289,0))</f>
        <v>1.4778325123152709E-2</v>
      </c>
      <c r="G1096" s="14">
        <f>INDEX(Background!$C$4:$C$7,MATCH(C1096,Background!$A$4:$A$7,0))</f>
        <v>0.21314113777902177</v>
      </c>
      <c r="H1096" s="17">
        <f t="shared" si="63"/>
        <v>-2.6687929763469902</v>
      </c>
    </row>
    <row r="1097" spans="1:8">
      <c r="A1097" s="4" t="s">
        <v>767</v>
      </c>
      <c r="B1097" s="4">
        <v>16</v>
      </c>
      <c r="C1097" s="4" t="s">
        <v>73</v>
      </c>
      <c r="D1097" s="4" t="s">
        <v>780</v>
      </c>
      <c r="E1097" s="4" t="str">
        <f t="shared" si="62"/>
        <v>16|A</v>
      </c>
      <c r="F1097" s="14">
        <f>INDEX('Emission Stepwise'!$H$2:$H$289,MATCH(E1097,'Emission Stepwise'!$C$2:$C$289,0))</f>
        <v>2.9197080291970802E-2</v>
      </c>
      <c r="G1097" s="14">
        <f>INDEX(Background!$C$4:$C$7,MATCH(C1097,Background!$A$4:$A$7,0))</f>
        <v>0.18550136449513679</v>
      </c>
      <c r="H1097" s="17">
        <f t="shared" si="63"/>
        <v>-1.8489935235154651</v>
      </c>
    </row>
    <row r="1098" spans="1:8">
      <c r="A1098" s="4" t="s">
        <v>767</v>
      </c>
      <c r="B1098" s="4">
        <v>17</v>
      </c>
      <c r="C1098" s="4" t="s">
        <v>73</v>
      </c>
      <c r="D1098" s="4" t="s">
        <v>780</v>
      </c>
      <c r="E1098" s="4" t="str">
        <f t="shared" si="62"/>
        <v>17|A</v>
      </c>
      <c r="F1098" s="14">
        <f>INDEX('Emission Stepwise'!$H$2:$H$289,MATCH(E1098,'Emission Stepwise'!$C$2:$C$289,0))</f>
        <v>6.4676616915422883E-2</v>
      </c>
      <c r="G1098" s="14">
        <f>INDEX(Background!$C$4:$C$7,MATCH(C1098,Background!$A$4:$A$7,0))</f>
        <v>0.18550136449513679</v>
      </c>
      <c r="H1098" s="17">
        <f t="shared" si="63"/>
        <v>-1.0536625094047698</v>
      </c>
    </row>
    <row r="1099" spans="1:8">
      <c r="A1099" s="4" t="s">
        <v>767</v>
      </c>
      <c r="B1099" s="4">
        <v>18</v>
      </c>
      <c r="C1099" s="4" t="s">
        <v>70</v>
      </c>
      <c r="D1099" s="4" t="s">
        <v>780</v>
      </c>
      <c r="E1099" s="4" t="str">
        <f t="shared" si="62"/>
        <v>18|G</v>
      </c>
      <c r="F1099" s="14">
        <f>INDEX('Emission Stepwise'!$H$2:$H$289,MATCH(E1099,'Emission Stepwise'!$C$2:$C$289,0))</f>
        <v>0.98039215686274506</v>
      </c>
      <c r="G1099" s="14">
        <f>INDEX(Background!$C$4:$C$7,MATCH(C1099,Background!$A$4:$A$7,0))</f>
        <v>0.32488979077741237</v>
      </c>
      <c r="H1099" s="17">
        <f t="shared" si="63"/>
        <v>1.1044666321656933</v>
      </c>
    </row>
    <row r="1100" spans="1:8">
      <c r="A1100" s="4" t="s">
        <v>767</v>
      </c>
      <c r="B1100" s="4">
        <v>19</v>
      </c>
      <c r="C1100" s="4" t="s">
        <v>70</v>
      </c>
      <c r="D1100" s="4" t="s">
        <v>780</v>
      </c>
      <c r="E1100" s="4" t="str">
        <f t="shared" si="62"/>
        <v>19|G</v>
      </c>
      <c r="F1100" s="14">
        <f>INDEX('Emission Stepwise'!$H$2:$H$289,MATCH(E1100,'Emission Stepwise'!$C$2:$C$289,0))</f>
        <v>0.97058823529411764</v>
      </c>
      <c r="G1100" s="14">
        <f>INDEX(Background!$C$4:$C$7,MATCH(C1100,Background!$A$4:$A$7,0))</f>
        <v>0.32488979077741237</v>
      </c>
      <c r="H1100" s="17">
        <f t="shared" si="63"/>
        <v>1.0944162963121917</v>
      </c>
    </row>
    <row r="1101" spans="1:8">
      <c r="A1101" s="4" t="s">
        <v>767</v>
      </c>
      <c r="B1101" s="4">
        <v>20</v>
      </c>
      <c r="C1101" s="4" t="s">
        <v>70</v>
      </c>
      <c r="D1101" s="4" t="s">
        <v>780</v>
      </c>
      <c r="E1101" s="4" t="str">
        <f t="shared" si="62"/>
        <v>20|G</v>
      </c>
      <c r="F1101" s="14">
        <f>INDEX('Emission Stepwise'!$H$2:$H$289,MATCH(E1101,'Emission Stepwise'!$C$2:$C$289,0))</f>
        <v>9.3596059113300489E-2</v>
      </c>
      <c r="G1101" s="14">
        <f>INDEX(Background!$C$4:$C$7,MATCH(C1101,Background!$A$4:$A$7,0))</f>
        <v>0.32488979077741237</v>
      </c>
      <c r="H1101" s="17">
        <f t="shared" si="63"/>
        <v>-1.2444977404134738</v>
      </c>
    </row>
    <row r="1102" spans="1:8">
      <c r="A1102" s="4" t="s">
        <v>767</v>
      </c>
      <c r="B1102" s="4">
        <v>21</v>
      </c>
      <c r="C1102" s="4" t="s">
        <v>72</v>
      </c>
      <c r="D1102" s="4" t="s">
        <v>780</v>
      </c>
      <c r="E1102" s="4" t="str">
        <f t="shared" si="62"/>
        <v>21|U</v>
      </c>
      <c r="F1102" s="14">
        <f>INDEX('Emission Stepwise'!$H$2:$H$289,MATCH(E1102,'Emission Stepwise'!$C$2:$C$289,0))</f>
        <v>5.3921568627450983E-2</v>
      </c>
      <c r="G1102" s="14">
        <f>INDEX(Background!$C$4:$C$7,MATCH(C1102,Background!$A$4:$A$7,0))</f>
        <v>0.21314113777902177</v>
      </c>
      <c r="H1102" s="17">
        <f t="shared" si="63"/>
        <v>-1.3744240070191582</v>
      </c>
    </row>
    <row r="1103" spans="1:8">
      <c r="A1103" s="4" t="s">
        <v>767</v>
      </c>
      <c r="B1103" s="4">
        <v>22</v>
      </c>
      <c r="C1103" s="4" t="s">
        <v>70</v>
      </c>
      <c r="D1103" s="4" t="s">
        <v>780</v>
      </c>
      <c r="E1103" s="4" t="str">
        <f t="shared" si="62"/>
        <v>22|G</v>
      </c>
      <c r="F1103" s="14">
        <f>INDEX('Emission Stepwise'!$H$2:$H$289,MATCH(E1103,'Emission Stepwise'!$C$2:$C$289,0))</f>
        <v>0.71568627450980393</v>
      </c>
      <c r="G1103" s="14">
        <f>INDEX(Background!$C$4:$C$7,MATCH(C1103,Background!$A$4:$A$7,0))</f>
        <v>0.32488979077741237</v>
      </c>
      <c r="H1103" s="17">
        <f t="shared" si="63"/>
        <v>0.789755887325993</v>
      </c>
    </row>
    <row r="1104" spans="1:8">
      <c r="A1104" s="4" t="s">
        <v>767</v>
      </c>
      <c r="B1104" s="4">
        <v>23</v>
      </c>
      <c r="C1104" s="4" t="s">
        <v>73</v>
      </c>
      <c r="D1104" s="4" t="s">
        <v>780</v>
      </c>
      <c r="E1104" s="4" t="str">
        <f t="shared" si="62"/>
        <v>23|A</v>
      </c>
      <c r="F1104" s="14">
        <f>INDEX('Emission Stepwise'!$H$2:$H$289,MATCH(E1104,'Emission Stepwise'!$C$2:$C$289,0))</f>
        <v>0.59803921568627449</v>
      </c>
      <c r="G1104" s="14">
        <f>INDEX(Background!$C$4:$C$7,MATCH(C1104,Background!$A$4:$A$7,0))</f>
        <v>0.18550136449513679</v>
      </c>
      <c r="H1104" s="17">
        <f t="shared" si="63"/>
        <v>1.1705940920818094</v>
      </c>
    </row>
    <row r="1105" spans="1:8">
      <c r="A1105" s="4" t="s">
        <v>767</v>
      </c>
      <c r="B1105" s="4">
        <v>24</v>
      </c>
      <c r="C1105" s="4" t="s">
        <v>73</v>
      </c>
      <c r="D1105" s="4" t="s">
        <v>780</v>
      </c>
      <c r="E1105" s="4" t="str">
        <f t="shared" si="62"/>
        <v>24|A</v>
      </c>
      <c r="F1105" s="14">
        <f>INDEX('Emission Stepwise'!$H$2:$H$289,MATCH(E1105,'Emission Stepwise'!$C$2:$C$289,0))</f>
        <v>0.18627450980392157</v>
      </c>
      <c r="G1105" s="14">
        <f>INDEX(Background!$C$4:$C$7,MATCH(C1105,Background!$A$4:$A$7,0))</f>
        <v>0.18550136449513679</v>
      </c>
      <c r="H1105" s="17">
        <f t="shared" si="63"/>
        <v>4.1592070749386289E-3</v>
      </c>
    </row>
    <row r="1106" spans="1:8">
      <c r="A1106" s="4" t="s">
        <v>767</v>
      </c>
      <c r="B1106" s="4">
        <v>25</v>
      </c>
      <c r="C1106" s="4" t="s">
        <v>72</v>
      </c>
      <c r="D1106" s="4" t="s">
        <v>780</v>
      </c>
      <c r="E1106" s="4" t="str">
        <f t="shared" si="62"/>
        <v>25|U</v>
      </c>
      <c r="F1106" s="14">
        <f>INDEX('Emission Stepwise'!$H$2:$H$289,MATCH(E1106,'Emission Stepwise'!$C$2:$C$289,0))</f>
        <v>7.3529411764705885E-2</v>
      </c>
      <c r="G1106" s="14">
        <f>INDEX(Background!$C$4:$C$7,MATCH(C1106,Background!$A$4:$A$7,0))</f>
        <v>0.21314113777902177</v>
      </c>
      <c r="H1106" s="17">
        <f t="shared" si="63"/>
        <v>-1.0642690787153186</v>
      </c>
    </row>
    <row r="1107" spans="1:8">
      <c r="A1107" s="4" t="s">
        <v>767</v>
      </c>
      <c r="B1107" s="4">
        <v>26</v>
      </c>
      <c r="C1107" s="4" t="s">
        <v>70</v>
      </c>
      <c r="D1107" s="4" t="s">
        <v>781</v>
      </c>
      <c r="E1107" s="4" t="str">
        <f t="shared" si="62"/>
        <v>26|G</v>
      </c>
      <c r="F1107" s="14">
        <f>INDEX('Emission Stepwise'!$H$2:$H$289,MATCH(E1107,'Emission Stepwise'!$C$2:$C$289,0))</f>
        <v>0.49509803921568629</v>
      </c>
      <c r="G1107" s="14">
        <f>INDEX(Background!$C$4:$C$7,MATCH(C1107,Background!$A$4:$A$7,0))</f>
        <v>0.32488979077741237</v>
      </c>
      <c r="H1107" s="17">
        <f t="shared" si="63"/>
        <v>0.42126978245891616</v>
      </c>
    </row>
    <row r="1108" spans="1:8">
      <c r="A1108" s="4" t="s">
        <v>767</v>
      </c>
      <c r="B1108" s="4">
        <v>27</v>
      </c>
      <c r="C1108" s="4" t="s">
        <v>72</v>
      </c>
      <c r="D1108" s="4" t="s">
        <v>781</v>
      </c>
      <c r="E1108" s="4" t="str">
        <f t="shared" si="62"/>
        <v>27|U</v>
      </c>
      <c r="F1108" s="14">
        <f>INDEX('Emission Stepwise'!$H$2:$H$289,MATCH(E1108,'Emission Stepwise'!$C$2:$C$289,0))</f>
        <v>0.25980392156862747</v>
      </c>
      <c r="G1108" s="14">
        <f>INDEX(Background!$C$4:$C$7,MATCH(C1108,Background!$A$4:$A$7,0))</f>
        <v>0.21314113777902177</v>
      </c>
      <c r="H1108" s="17">
        <f t="shared" si="63"/>
        <v>0.19797263373459306</v>
      </c>
    </row>
    <row r="1109" spans="1:8">
      <c r="A1109" s="4" t="s">
        <v>767</v>
      </c>
      <c r="B1109" s="4">
        <v>28</v>
      </c>
      <c r="C1109" s="4" t="s">
        <v>72</v>
      </c>
      <c r="D1109" s="4" t="s">
        <v>781</v>
      </c>
      <c r="E1109" s="4" t="str">
        <f t="shared" si="62"/>
        <v>28|U</v>
      </c>
      <c r="F1109" s="14">
        <f>INDEX('Emission Stepwise'!$H$2:$H$289,MATCH(E1109,'Emission Stepwise'!$C$2:$C$289,0))</f>
        <v>0.25490196078431371</v>
      </c>
      <c r="G1109" s="14">
        <f>INDEX(Background!$C$4:$C$7,MATCH(C1109,Background!$A$4:$A$7,0))</f>
        <v>0.21314113777902177</v>
      </c>
      <c r="H1109" s="17">
        <f t="shared" si="63"/>
        <v>0.17892443876389855</v>
      </c>
    </row>
    <row r="1110" spans="1:8">
      <c r="A1110" s="4" t="s">
        <v>767</v>
      </c>
      <c r="B1110" s="4">
        <v>29</v>
      </c>
      <c r="C1110" s="4" t="s">
        <v>72</v>
      </c>
      <c r="D1110" s="4" t="s">
        <v>781</v>
      </c>
      <c r="E1110" s="4" t="str">
        <f t="shared" si="62"/>
        <v>29|U</v>
      </c>
      <c r="F1110" s="14">
        <f>INDEX('Emission Stepwise'!$H$2:$H$289,MATCH(E1110,'Emission Stepwise'!$C$2:$C$289,0))</f>
        <v>0.27450980392156865</v>
      </c>
      <c r="G1110" s="14">
        <f>INDEX(Background!$C$4:$C$7,MATCH(C1110,Background!$A$4:$A$7,0))</f>
        <v>0.21314113777902177</v>
      </c>
      <c r="H1110" s="17">
        <f t="shared" si="63"/>
        <v>0.25303241091762058</v>
      </c>
    </row>
    <row r="1111" spans="1:8">
      <c r="A1111" s="4" t="s">
        <v>767</v>
      </c>
      <c r="B1111" s="4">
        <v>30</v>
      </c>
      <c r="C1111" s="4" t="s">
        <v>72</v>
      </c>
      <c r="D1111" s="4" t="s">
        <v>781</v>
      </c>
      <c r="E1111" s="4" t="str">
        <f t="shared" si="62"/>
        <v>30|U</v>
      </c>
      <c r="F1111" s="14">
        <f>INDEX('Emission Stepwise'!$H$2:$H$289,MATCH(E1111,'Emission Stepwise'!$C$2:$C$289,0))</f>
        <v>3.9215686274509803E-2</v>
      </c>
      <c r="G1111" s="14">
        <f>INDEX(Background!$C$4:$C$7,MATCH(C1111,Background!$A$4:$A$7,0))</f>
        <v>0.21314113777902177</v>
      </c>
      <c r="H1111" s="17">
        <f t="shared" si="63"/>
        <v>-1.6928777381376929</v>
      </c>
    </row>
    <row r="1112" spans="1:8">
      <c r="A1112" s="4" t="s">
        <v>767</v>
      </c>
      <c r="B1112" s="4">
        <v>31</v>
      </c>
      <c r="C1112" s="4" t="s">
        <v>73</v>
      </c>
      <c r="D1112" s="4" t="s">
        <v>781</v>
      </c>
      <c r="E1112" s="4" t="str">
        <f t="shared" si="62"/>
        <v>31|A</v>
      </c>
      <c r="F1112" s="14">
        <f>INDEX('Emission Stepwise'!$H$2:$H$289,MATCH(E1112,'Emission Stepwise'!$C$2:$C$289,0))</f>
        <v>0.26960784313725489</v>
      </c>
      <c r="G1112" s="14">
        <f>INDEX(Background!$C$4:$C$7,MATCH(C1112,Background!$A$4:$A$7,0))</f>
        <v>0.18550136449513679</v>
      </c>
      <c r="H1112" s="17">
        <f t="shared" si="63"/>
        <v>0.37390623258102373</v>
      </c>
    </row>
    <row r="1113" spans="1:8">
      <c r="A1113" s="4" t="s">
        <v>767</v>
      </c>
      <c r="B1113" s="4">
        <v>32</v>
      </c>
      <c r="C1113" s="4" t="s">
        <v>72</v>
      </c>
      <c r="D1113" s="4" t="s">
        <v>781</v>
      </c>
      <c r="E1113" s="4" t="str">
        <f t="shared" si="62"/>
        <v>32|U</v>
      </c>
      <c r="F1113" s="14">
        <f>INDEX('Emission Stepwise'!$H$2:$H$289,MATCH(E1113,'Emission Stepwise'!$C$2:$C$289,0))</f>
        <v>0.29411764705882354</v>
      </c>
      <c r="G1113" s="14">
        <f>INDEX(Background!$C$4:$C$7,MATCH(C1113,Background!$A$4:$A$7,0))</f>
        <v>0.21314113777902177</v>
      </c>
      <c r="H1113" s="17">
        <f t="shared" si="63"/>
        <v>0.32202528240457201</v>
      </c>
    </row>
    <row r="1114" spans="1:8">
      <c r="A1114" s="4" t="s">
        <v>767</v>
      </c>
      <c r="B1114" s="4">
        <v>33</v>
      </c>
      <c r="C1114" s="4" t="s">
        <v>72</v>
      </c>
      <c r="D1114" s="4" t="s">
        <v>781</v>
      </c>
      <c r="E1114" s="4" t="str">
        <f t="shared" si="62"/>
        <v>33|U</v>
      </c>
      <c r="F1114" s="14">
        <f>INDEX('Emission Stepwise'!$H$2:$H$289,MATCH(E1114,'Emission Stepwise'!$C$2:$C$289,0))</f>
        <v>0.97549019607843135</v>
      </c>
      <c r="G1114" s="14">
        <f>INDEX(Background!$C$4:$C$7,MATCH(C1114,Background!$A$4:$A$7,0))</f>
        <v>0.21314113777902177</v>
      </c>
      <c r="H1114" s="17">
        <f t="shared" si="63"/>
        <v>1.5209855449069636</v>
      </c>
    </row>
    <row r="1115" spans="1:8">
      <c r="A1115" s="4" t="s">
        <v>767</v>
      </c>
      <c r="B1115" s="4">
        <v>34</v>
      </c>
      <c r="C1115" s="4" t="s">
        <v>72</v>
      </c>
      <c r="D1115" s="4" t="s">
        <v>781</v>
      </c>
      <c r="E1115" s="4" t="str">
        <f t="shared" si="62"/>
        <v>34|U</v>
      </c>
      <c r="F1115" s="14">
        <f>INDEX('Emission Stepwise'!$H$2:$H$289,MATCH(E1115,'Emission Stepwise'!$C$2:$C$289,0))</f>
        <v>0.28921568627450983</v>
      </c>
      <c r="G1115" s="14">
        <f>INDEX(Background!$C$4:$C$7,MATCH(C1115,Background!$A$4:$A$7,0))</f>
        <v>0.21314113777902177</v>
      </c>
      <c r="H1115" s="17">
        <f t="shared" si="63"/>
        <v>0.30521816408819075</v>
      </c>
    </row>
    <row r="1116" spans="1:8">
      <c r="A1116" s="4" t="s">
        <v>767</v>
      </c>
      <c r="B1116" s="4">
        <v>35</v>
      </c>
      <c r="C1116" s="4" t="s">
        <v>72</v>
      </c>
      <c r="D1116" s="4" t="s">
        <v>781</v>
      </c>
      <c r="E1116" s="4" t="str">
        <f t="shared" si="62"/>
        <v>35|U</v>
      </c>
      <c r="F1116" s="14">
        <f>INDEX('Emission Stepwise'!$H$2:$H$289,MATCH(E1116,'Emission Stepwise'!$C$2:$C$289,0))</f>
        <v>0.20588235294117646</v>
      </c>
      <c r="G1116" s="14">
        <f>INDEX(Background!$C$4:$C$7,MATCH(C1116,Background!$A$4:$A$7,0))</f>
        <v>0.21314113777902177</v>
      </c>
      <c r="H1116" s="17">
        <f t="shared" si="63"/>
        <v>-3.4649661534160589E-2</v>
      </c>
    </row>
    <row r="1117" spans="1:8">
      <c r="A1117" s="4" t="s">
        <v>767</v>
      </c>
      <c r="B1117" s="4">
        <v>36</v>
      </c>
      <c r="C1117" s="4" t="s">
        <v>73</v>
      </c>
      <c r="D1117" s="4" t="s">
        <v>781</v>
      </c>
      <c r="E1117" s="4" t="str">
        <f t="shared" si="62"/>
        <v>36|A</v>
      </c>
      <c r="F1117" s="14">
        <f>INDEX('Emission Stepwise'!$H$2:$H$289,MATCH(E1117,'Emission Stepwise'!$C$2:$C$289,0))</f>
        <v>0.21568627450980393</v>
      </c>
      <c r="G1117" s="14">
        <f>INDEX(Background!$C$4:$C$7,MATCH(C1117,Background!$A$4:$A$7,0))</f>
        <v>0.18550136449513679</v>
      </c>
      <c r="H1117" s="17">
        <f t="shared" si="63"/>
        <v>0.15076268126681408</v>
      </c>
    </row>
    <row r="1118" spans="1:8">
      <c r="A1118" s="4" t="s">
        <v>767</v>
      </c>
      <c r="B1118" s="4">
        <v>37</v>
      </c>
      <c r="C1118" s="4" t="s">
        <v>70</v>
      </c>
      <c r="D1118" s="4" t="s">
        <v>781</v>
      </c>
      <c r="E1118" s="4" t="str">
        <f t="shared" si="62"/>
        <v>37|G</v>
      </c>
      <c r="F1118" s="14">
        <f>INDEX('Emission Stepwise'!$H$2:$H$289,MATCH(E1118,'Emission Stepwise'!$C$2:$C$289,0))</f>
        <v>0.24019607843137256</v>
      </c>
      <c r="G1118" s="14">
        <f>INDEX(Background!$C$4:$C$7,MATCH(C1118,Background!$A$4:$A$7,0))</f>
        <v>0.32488979077741237</v>
      </c>
      <c r="H1118" s="17">
        <f t="shared" si="63"/>
        <v>-0.30203043627171677</v>
      </c>
    </row>
    <row r="1119" spans="1:8">
      <c r="A1119" s="4" t="s">
        <v>767</v>
      </c>
      <c r="B1119" s="4">
        <v>38</v>
      </c>
      <c r="C1119" s="4" t="s">
        <v>73</v>
      </c>
      <c r="D1119" s="4" t="s">
        <v>781</v>
      </c>
      <c r="E1119" s="4" t="str">
        <f t="shared" si="62"/>
        <v>38|A</v>
      </c>
      <c r="F1119" s="14">
        <f>INDEX('Emission Stepwise'!$H$2:$H$289,MATCH(E1119,'Emission Stepwise'!$C$2:$C$289,0))</f>
        <v>0.72549019607843135</v>
      </c>
      <c r="G1119" s="14">
        <f>INDEX(Background!$C$4:$C$7,MATCH(C1119,Background!$A$4:$A$7,0))</f>
        <v>0.18550136449513679</v>
      </c>
      <c r="H1119" s="17">
        <f t="shared" si="63"/>
        <v>1.3637853211126678</v>
      </c>
    </row>
    <row r="1120" spans="1:8">
      <c r="A1120" s="4" t="s">
        <v>767</v>
      </c>
      <c r="B1120" s="4">
        <v>39</v>
      </c>
      <c r="C1120" s="4" t="s">
        <v>72</v>
      </c>
      <c r="D1120" s="4" t="s">
        <v>781</v>
      </c>
      <c r="E1120" s="4" t="str">
        <f t="shared" si="62"/>
        <v>39|U</v>
      </c>
      <c r="F1120" s="14">
        <f>INDEX('Emission Stepwise'!$H$2:$H$289,MATCH(E1120,'Emission Stepwise'!$C$2:$C$289,0))</f>
        <v>0.29411764705882354</v>
      </c>
      <c r="G1120" s="14">
        <f>INDEX(Background!$C$4:$C$7,MATCH(C1120,Background!$A$4:$A$7,0))</f>
        <v>0.21314113777902177</v>
      </c>
      <c r="H1120" s="17">
        <f t="shared" si="63"/>
        <v>0.32202528240457201</v>
      </c>
    </row>
    <row r="1121" spans="1:8">
      <c r="A1121" s="4" t="s">
        <v>767</v>
      </c>
      <c r="B1121" s="4">
        <v>40</v>
      </c>
      <c r="C1121" s="4" t="s">
        <v>73</v>
      </c>
      <c r="D1121" s="4" t="s">
        <v>781</v>
      </c>
      <c r="E1121" s="4" t="str">
        <f t="shared" si="62"/>
        <v>40|A</v>
      </c>
      <c r="F1121" s="14">
        <f>INDEX('Emission Stepwise'!$H$2:$H$289,MATCH(E1121,'Emission Stepwise'!$C$2:$C$289,0))</f>
        <v>9.8039215686274508E-3</v>
      </c>
      <c r="G1121" s="14">
        <f>INDEX(Background!$C$4:$C$7,MATCH(C1121,Background!$A$4:$A$7,0))</f>
        <v>0.18550136449513679</v>
      </c>
      <c r="H1121" s="17">
        <f t="shared" si="63"/>
        <v>-2.9402797720915017</v>
      </c>
    </row>
    <row r="1122" spans="1:8">
      <c r="A1122" s="4" t="s">
        <v>767</v>
      </c>
      <c r="B1122" s="4">
        <v>41</v>
      </c>
      <c r="C1122" s="4" t="s">
        <v>73</v>
      </c>
      <c r="D1122" s="4" t="s">
        <v>781</v>
      </c>
      <c r="E1122" s="4" t="str">
        <f t="shared" si="62"/>
        <v>41|A</v>
      </c>
      <c r="F1122" s="14">
        <f>INDEX('Emission Stepwise'!$H$2:$H$289,MATCH(E1122,'Emission Stepwise'!$C$2:$C$289,0))</f>
        <v>0.26960784313725489</v>
      </c>
      <c r="G1122" s="14">
        <f>INDEX(Background!$C$4:$C$7,MATCH(C1122,Background!$A$4:$A$7,0))</f>
        <v>0.18550136449513679</v>
      </c>
      <c r="H1122" s="17">
        <f t="shared" si="63"/>
        <v>0.37390623258102373</v>
      </c>
    </row>
    <row r="1123" spans="1:8">
      <c r="A1123" s="4" t="s">
        <v>767</v>
      </c>
      <c r="B1123" s="4">
        <v>42</v>
      </c>
      <c r="C1123" s="4" t="s">
        <v>73</v>
      </c>
      <c r="D1123" s="4" t="s">
        <v>781</v>
      </c>
      <c r="E1123" s="4" t="str">
        <f t="shared" si="62"/>
        <v>42|A</v>
      </c>
      <c r="F1123" s="14">
        <f>INDEX('Emission Stepwise'!$H$2:$H$289,MATCH(E1123,'Emission Stepwise'!$C$2:$C$289,0))</f>
        <v>0.24509803921568626</v>
      </c>
      <c r="G1123" s="14">
        <f>INDEX(Background!$C$4:$C$7,MATCH(C1123,Background!$A$4:$A$7,0))</f>
        <v>0.18550136449513679</v>
      </c>
      <c r="H1123" s="17">
        <f t="shared" si="63"/>
        <v>0.27859605277669885</v>
      </c>
    </row>
    <row r="1124" spans="1:8">
      <c r="A1124" s="4" t="s">
        <v>767</v>
      </c>
      <c r="B1124" s="4">
        <v>43</v>
      </c>
      <c r="C1124" s="4" t="s">
        <v>71</v>
      </c>
      <c r="D1124" s="4" t="s">
        <v>781</v>
      </c>
      <c r="E1124" s="4" t="str">
        <f t="shared" si="62"/>
        <v>43|C</v>
      </c>
      <c r="F1124" s="14">
        <f>INDEX('Emission Stepwise'!$H$2:$H$289,MATCH(E1124,'Emission Stepwise'!$C$2:$C$289,0))</f>
        <v>0.11764705882352941</v>
      </c>
      <c r="G1124" s="14">
        <f>INDEX(Background!$C$4:$C$7,MATCH(C1124,Background!$A$4:$A$7,0))</f>
        <v>0.27646770694842909</v>
      </c>
      <c r="H1124" s="17">
        <f t="shared" si="63"/>
        <v>-0.85440490642586675</v>
      </c>
    </row>
    <row r="1125" spans="1:8">
      <c r="A1125" s="4" t="s">
        <v>767</v>
      </c>
      <c r="B1125" s="4">
        <v>44</v>
      </c>
      <c r="C1125" s="4" t="s">
        <v>72</v>
      </c>
      <c r="D1125" s="4" t="s">
        <v>781</v>
      </c>
      <c r="E1125" s="4" t="str">
        <f t="shared" si="62"/>
        <v>44|U</v>
      </c>
      <c r="F1125" s="14">
        <f>INDEX('Emission Stepwise'!$H$2:$H$289,MATCH(E1125,'Emission Stepwise'!$C$2:$C$289,0))</f>
        <v>0.11764705882352941</v>
      </c>
      <c r="G1125" s="14">
        <f>INDEX(Background!$C$4:$C$7,MATCH(C1125,Background!$A$4:$A$7,0))</f>
        <v>0.21314113777902177</v>
      </c>
      <c r="H1125" s="17">
        <f t="shared" si="63"/>
        <v>-0.59426544946958315</v>
      </c>
    </row>
    <row r="1126" spans="1:8">
      <c r="A1126" s="4" t="s">
        <v>767</v>
      </c>
      <c r="B1126" s="4">
        <v>45</v>
      </c>
      <c r="C1126" s="4" t="s">
        <v>71</v>
      </c>
      <c r="D1126" s="4" t="s">
        <v>782</v>
      </c>
      <c r="E1126" s="4" t="str">
        <f t="shared" si="62"/>
        <v>45|C</v>
      </c>
      <c r="F1126" s="14">
        <f>INDEX('Emission Stepwise'!$H$2:$H$289,MATCH(E1126,'Emission Stepwise'!$C$2:$C$289,0))</f>
        <v>2.9702970297029702E-2</v>
      </c>
      <c r="G1126" s="14">
        <f>INDEX(Background!$C$4:$C$7,MATCH(C1126,Background!$A$4:$A$7,0))</f>
        <v>0.27646770694842909</v>
      </c>
      <c r="H1126" s="17">
        <f t="shared" si="63"/>
        <v>-2.2308469711027459</v>
      </c>
    </row>
    <row r="1127" spans="1:8">
      <c r="A1127" s="4" t="s">
        <v>767</v>
      </c>
      <c r="B1127" s="4">
        <v>46</v>
      </c>
      <c r="C1127" s="4" t="s">
        <v>73</v>
      </c>
      <c r="D1127" s="4" t="s">
        <v>782</v>
      </c>
      <c r="E1127" s="4" t="str">
        <f t="shared" si="62"/>
        <v>46|A</v>
      </c>
      <c r="F1127" s="14">
        <f>INDEX('Emission Stepwise'!$H$2:$H$289,MATCH(E1127,'Emission Stepwise'!$C$2:$C$289,0))</f>
        <v>9.8265895953757232E-2</v>
      </c>
      <c r="G1127" s="14">
        <f>INDEX(Background!$C$4:$C$7,MATCH(C1127,Background!$A$4:$A$7,0))</f>
        <v>0.18550136449513679</v>
      </c>
      <c r="H1127" s="17">
        <f t="shared" si="63"/>
        <v>-0.6353852092487936</v>
      </c>
    </row>
    <row r="1128" spans="1:8">
      <c r="A1128" s="4" t="s">
        <v>767</v>
      </c>
      <c r="B1128" s="4">
        <v>47</v>
      </c>
      <c r="C1128" s="4" t="s">
        <v>71</v>
      </c>
      <c r="D1128" s="4" t="s">
        <v>782</v>
      </c>
      <c r="E1128" s="4" t="str">
        <f t="shared" si="62"/>
        <v>47|C</v>
      </c>
      <c r="F1128" s="14">
        <f>INDEX('Emission Stepwise'!$H$2:$H$289,MATCH(E1128,'Emission Stepwise'!$C$2:$C$289,0))</f>
        <v>0.11764705882352941</v>
      </c>
      <c r="G1128" s="14">
        <f>INDEX(Background!$C$4:$C$7,MATCH(C1128,Background!$A$4:$A$7,0))</f>
        <v>0.27646770694842909</v>
      </c>
      <c r="H1128" s="17">
        <f t="shared" si="63"/>
        <v>-0.85440490642586675</v>
      </c>
    </row>
    <row r="1129" spans="1:8">
      <c r="A1129" s="4" t="s">
        <v>767</v>
      </c>
      <c r="B1129" s="4">
        <v>48</v>
      </c>
      <c r="C1129" s="4" t="s">
        <v>70</v>
      </c>
      <c r="D1129" s="4" t="s">
        <v>782</v>
      </c>
      <c r="E1129" s="4" t="str">
        <f t="shared" si="62"/>
        <v>48|G</v>
      </c>
      <c r="F1129" s="14">
        <f>INDEX('Emission Stepwise'!$H$2:$H$289,MATCH(E1129,'Emission Stepwise'!$C$2:$C$289,0))</f>
        <v>1.4705882352941176E-2</v>
      </c>
      <c r="G1129" s="14">
        <f>INDEX(Background!$C$4:$C$7,MATCH(C1129,Background!$A$4:$A$7,0))</f>
        <v>0.32488979077741237</v>
      </c>
      <c r="H1129" s="17">
        <f t="shared" si="63"/>
        <v>-3.0952384457142337</v>
      </c>
    </row>
    <row r="1130" spans="1:8">
      <c r="A1130" s="4" t="s">
        <v>767</v>
      </c>
      <c r="B1130" s="4">
        <v>49</v>
      </c>
      <c r="C1130" s="4" t="s">
        <v>71</v>
      </c>
      <c r="D1130" s="4" t="s">
        <v>783</v>
      </c>
      <c r="E1130" s="4" t="str">
        <f t="shared" si="62"/>
        <v>49|C</v>
      </c>
      <c r="F1130" s="14">
        <f>INDEX('Emission Stepwise'!$H$2:$H$289,MATCH(E1130,'Emission Stepwise'!$C$2:$C$289,0))</f>
        <v>0.28431372549019607</v>
      </c>
      <c r="G1130" s="14">
        <f>INDEX(Background!$C$4:$C$7,MATCH(C1130,Background!$A$4:$A$7,0))</f>
        <v>0.27646770694842909</v>
      </c>
      <c r="H1130" s="17">
        <f t="shared" si="63"/>
        <v>2.7984273772606979E-2</v>
      </c>
    </row>
    <row r="1131" spans="1:8">
      <c r="A1131" s="4" t="s">
        <v>767</v>
      </c>
      <c r="B1131" s="4">
        <v>50</v>
      </c>
      <c r="C1131" s="4" t="s">
        <v>73</v>
      </c>
      <c r="D1131" s="4" t="s">
        <v>783</v>
      </c>
      <c r="E1131" s="4" t="str">
        <f t="shared" si="62"/>
        <v>50|A</v>
      </c>
      <c r="F1131" s="14">
        <f>INDEX('Emission Stepwise'!$H$2:$H$289,MATCH(E1131,'Emission Stepwise'!$C$2:$C$289,0))</f>
        <v>0.11764705882352941</v>
      </c>
      <c r="G1131" s="14">
        <f>INDEX(Background!$C$4:$C$7,MATCH(C1131,Background!$A$4:$A$7,0))</f>
        <v>0.18550136449513679</v>
      </c>
      <c r="H1131" s="17">
        <f t="shared" si="63"/>
        <v>-0.45537312230350152</v>
      </c>
    </row>
    <row r="1132" spans="1:8">
      <c r="A1132" s="4" t="s">
        <v>767</v>
      </c>
      <c r="B1132" s="4">
        <v>51</v>
      </c>
      <c r="C1132" s="4" t="s">
        <v>72</v>
      </c>
      <c r="D1132" s="4" t="s">
        <v>783</v>
      </c>
      <c r="E1132" s="4" t="str">
        <f t="shared" si="62"/>
        <v>51|U</v>
      </c>
      <c r="F1132" s="14">
        <f>INDEX('Emission Stepwise'!$H$2:$H$289,MATCH(E1132,'Emission Stepwise'!$C$2:$C$289,0))</f>
        <v>0.15763546798029557</v>
      </c>
      <c r="G1132" s="14">
        <f>INDEX(Background!$C$4:$C$7,MATCH(C1132,Background!$A$4:$A$7,0))</f>
        <v>0.21314113777902177</v>
      </c>
      <c r="H1132" s="17">
        <f t="shared" si="63"/>
        <v>-0.30166936221537316</v>
      </c>
    </row>
    <row r="1133" spans="1:8">
      <c r="A1133" s="4" t="s">
        <v>767</v>
      </c>
      <c r="B1133" s="4">
        <v>52</v>
      </c>
      <c r="C1133" s="4" t="s">
        <v>72</v>
      </c>
      <c r="D1133" s="4" t="s">
        <v>783</v>
      </c>
      <c r="E1133" s="4" t="str">
        <f t="shared" si="62"/>
        <v>52|U</v>
      </c>
      <c r="F1133" s="14">
        <f>INDEX('Emission Stepwise'!$H$2:$H$289,MATCH(E1133,'Emission Stepwise'!$C$2:$C$289,0))</f>
        <v>2.4509803921568627E-2</v>
      </c>
      <c r="G1133" s="14">
        <f>INDEX(Background!$C$4:$C$7,MATCH(C1133,Background!$A$4:$A$7,0))</f>
        <v>0.21314113777902177</v>
      </c>
      <c r="H1133" s="17">
        <f t="shared" si="63"/>
        <v>-2.1628813673834282</v>
      </c>
    </row>
    <row r="1134" spans="1:8">
      <c r="A1134" s="4" t="s">
        <v>767</v>
      </c>
      <c r="B1134" s="4">
        <v>53</v>
      </c>
      <c r="C1134" s="4" t="s">
        <v>70</v>
      </c>
      <c r="D1134" s="4" t="s">
        <v>783</v>
      </c>
      <c r="E1134" s="4" t="str">
        <f t="shared" si="62"/>
        <v>53|G</v>
      </c>
      <c r="F1134" s="14">
        <f>INDEX('Emission Stepwise'!$H$2:$H$289,MATCH(E1134,'Emission Stepwise'!$C$2:$C$289,0))</f>
        <v>0.96568627450980393</v>
      </c>
      <c r="G1134" s="14">
        <f>INDEX(Background!$C$4:$C$7,MATCH(C1134,Background!$A$4:$A$7,0))</f>
        <v>0.32488979077741237</v>
      </c>
      <c r="H1134" s="17">
        <f t="shared" si="63"/>
        <v>1.089352994355645</v>
      </c>
    </row>
    <row r="1135" spans="1:8">
      <c r="A1135" s="4" t="s">
        <v>767</v>
      </c>
      <c r="B1135" s="4">
        <v>54</v>
      </c>
      <c r="C1135" s="4" t="s">
        <v>72</v>
      </c>
      <c r="D1135" s="4" t="s">
        <v>783</v>
      </c>
      <c r="E1135" s="4" t="str">
        <f t="shared" si="62"/>
        <v>54|U</v>
      </c>
      <c r="F1135" s="14">
        <f>INDEX('Emission Stepwise'!$H$2:$H$289,MATCH(E1135,'Emission Stepwise'!$C$2:$C$289,0))</f>
        <v>0.97549019607843135</v>
      </c>
      <c r="G1135" s="14">
        <f>INDEX(Background!$C$4:$C$7,MATCH(C1135,Background!$A$4:$A$7,0))</f>
        <v>0.21314113777902177</v>
      </c>
      <c r="H1135" s="17">
        <f t="shared" si="63"/>
        <v>1.5209855449069636</v>
      </c>
    </row>
    <row r="1136" spans="1:8">
      <c r="A1136" s="4" t="s">
        <v>767</v>
      </c>
      <c r="B1136" s="4">
        <v>55</v>
      </c>
      <c r="C1136" s="4" t="s">
        <v>72</v>
      </c>
      <c r="D1136" s="4" t="s">
        <v>783</v>
      </c>
      <c r="E1136" s="4" t="str">
        <f t="shared" si="62"/>
        <v>55|U</v>
      </c>
      <c r="F1136" s="14">
        <f>INDEX('Emission Stepwise'!$H$2:$H$289,MATCH(E1136,'Emission Stepwise'!$C$2:$C$289,0))</f>
        <v>0.97058823529411764</v>
      </c>
      <c r="G1136" s="14">
        <f>INDEX(Background!$C$4:$C$7,MATCH(C1136,Background!$A$4:$A$7,0))</f>
        <v>0.21314113777902177</v>
      </c>
      <c r="H1136" s="17">
        <f t="shared" si="63"/>
        <v>1.5159477508770065</v>
      </c>
    </row>
    <row r="1137" spans="1:8">
      <c r="A1137" s="4" t="s">
        <v>767</v>
      </c>
      <c r="B1137" s="4">
        <v>56</v>
      </c>
      <c r="C1137" s="4" t="s">
        <v>71</v>
      </c>
      <c r="D1137" s="4" t="s">
        <v>783</v>
      </c>
      <c r="E1137" s="4" t="str">
        <f t="shared" si="62"/>
        <v>56|C</v>
      </c>
      <c r="F1137" s="14">
        <f>INDEX('Emission Stepwise'!$H$2:$H$289,MATCH(E1137,'Emission Stepwise'!$C$2:$C$289,0))</f>
        <v>0.96568627450980393</v>
      </c>
      <c r="G1137" s="14">
        <f>INDEX(Background!$C$4:$C$7,MATCH(C1137,Background!$A$4:$A$7,0))</f>
        <v>0.27646770694842909</v>
      </c>
      <c r="H1137" s="17">
        <f t="shared" si="63"/>
        <v>1.250744991964176</v>
      </c>
    </row>
    <row r="1138" spans="1:8">
      <c r="A1138" s="4" t="s">
        <v>767</v>
      </c>
      <c r="B1138" s="4">
        <v>57</v>
      </c>
      <c r="C1138" s="4" t="s">
        <v>72</v>
      </c>
      <c r="D1138" s="4" t="s">
        <v>783</v>
      </c>
      <c r="E1138" s="4" t="str">
        <f t="shared" ref="E1138:E1198" si="64">B1138&amp;"|"&amp;C1138</f>
        <v>57|U</v>
      </c>
      <c r="F1138" s="14">
        <f>INDEX('Emission Stepwise'!$H$2:$H$289,MATCH(E1138,'Emission Stepwise'!$C$2:$C$289,0))</f>
        <v>9.852216748768473E-3</v>
      </c>
      <c r="G1138" s="14">
        <f>INDEX(Background!$C$4:$C$7,MATCH(C1138,Background!$A$4:$A$7,0))</f>
        <v>0.21314113777902177</v>
      </c>
      <c r="H1138" s="17">
        <f t="shared" ref="H1138:H1201" si="65">LN(F1138/G1138)</f>
        <v>-3.0742580844551544</v>
      </c>
    </row>
    <row r="1139" spans="1:8">
      <c r="A1139" s="4" t="s">
        <v>767</v>
      </c>
      <c r="B1139" s="4">
        <v>58</v>
      </c>
      <c r="C1139" s="4" t="s">
        <v>73</v>
      </c>
      <c r="D1139" s="4" t="s">
        <v>783</v>
      </c>
      <c r="E1139" s="4" t="str">
        <f t="shared" si="64"/>
        <v>58|A</v>
      </c>
      <c r="F1139" s="14">
        <f>INDEX('Emission Stepwise'!$H$2:$H$289,MATCH(E1139,'Emission Stepwise'!$C$2:$C$289,0))</f>
        <v>0.97549019607843135</v>
      </c>
      <c r="G1139" s="14">
        <f>INDEX(Background!$C$4:$C$7,MATCH(C1139,Background!$A$4:$A$7,0))</f>
        <v>0.18550136449513679</v>
      </c>
      <c r="H1139" s="17">
        <f t="shared" si="65"/>
        <v>1.6598778720730452</v>
      </c>
    </row>
    <row r="1140" spans="1:8">
      <c r="A1140" s="4" t="s">
        <v>767</v>
      </c>
      <c r="B1140" s="4">
        <v>59</v>
      </c>
      <c r="C1140" s="4" t="s">
        <v>73</v>
      </c>
      <c r="D1140" s="4" t="s">
        <v>783</v>
      </c>
      <c r="E1140" s="4" t="str">
        <f t="shared" si="64"/>
        <v>59|A</v>
      </c>
      <c r="F1140" s="14">
        <f>INDEX('Emission Stepwise'!$H$2:$H$289,MATCH(E1140,'Emission Stepwise'!$C$2:$C$289,0))</f>
        <v>0.45098039215686275</v>
      </c>
      <c r="G1140" s="14">
        <f>INDEX(Background!$C$4:$C$7,MATCH(C1140,Background!$A$4:$A$7,0))</f>
        <v>0.18550136449513679</v>
      </c>
      <c r="H1140" s="17">
        <f t="shared" si="65"/>
        <v>0.88836162439759314</v>
      </c>
    </row>
    <row r="1141" spans="1:8">
      <c r="A1141" s="4" t="s">
        <v>767</v>
      </c>
      <c r="B1141" s="4">
        <v>60</v>
      </c>
      <c r="C1141" s="4" t="s">
        <v>70</v>
      </c>
      <c r="D1141" s="4" t="s">
        <v>783</v>
      </c>
      <c r="E1141" s="4" t="str">
        <f t="shared" si="64"/>
        <v>60|G</v>
      </c>
      <c r="F1141" s="14">
        <f>INDEX('Emission Stepwise'!$H$2:$H$289,MATCH(E1141,'Emission Stepwise'!$C$2:$C$289,0))</f>
        <v>1.4705882352941176E-2</v>
      </c>
      <c r="G1141" s="14">
        <f>INDEX(Background!$C$4:$C$7,MATCH(C1141,Background!$A$4:$A$7,0))</f>
        <v>0.32488979077741237</v>
      </c>
      <c r="H1141" s="17">
        <f t="shared" si="65"/>
        <v>-3.0952384457142337</v>
      </c>
    </row>
    <row r="1142" spans="1:8">
      <c r="A1142" s="4" t="s">
        <v>767</v>
      </c>
      <c r="B1142" s="4">
        <v>61</v>
      </c>
      <c r="C1142" s="4" t="s">
        <v>71</v>
      </c>
      <c r="D1142" s="4" t="s">
        <v>783</v>
      </c>
      <c r="E1142" s="4" t="str">
        <f t="shared" si="64"/>
        <v>61|C</v>
      </c>
      <c r="F1142" s="14">
        <f>INDEX('Emission Stepwise'!$H$2:$H$289,MATCH(E1142,'Emission Stepwise'!$C$2:$C$289,0))</f>
        <v>0.97549019607843135</v>
      </c>
      <c r="G1142" s="14">
        <f>INDEX(Background!$C$4:$C$7,MATCH(C1142,Background!$A$4:$A$7,0))</f>
        <v>0.27646770694842909</v>
      </c>
      <c r="H1142" s="17">
        <f t="shared" si="65"/>
        <v>1.26084608795068</v>
      </c>
    </row>
    <row r="1143" spans="1:8">
      <c r="A1143" s="4" t="s">
        <v>767</v>
      </c>
      <c r="B1143" s="4">
        <v>62</v>
      </c>
      <c r="C1143" s="4" t="s">
        <v>70</v>
      </c>
      <c r="D1143" s="4" t="s">
        <v>783</v>
      </c>
      <c r="E1143" s="4" t="str">
        <f t="shared" si="64"/>
        <v>62|G</v>
      </c>
      <c r="F1143" s="14">
        <f>INDEX('Emission Stepwise'!$H$2:$H$289,MATCH(E1143,'Emission Stepwise'!$C$2:$C$289,0))</f>
        <v>1.4705882352941176E-2</v>
      </c>
      <c r="G1143" s="14">
        <f>INDEX(Background!$C$4:$C$7,MATCH(C1143,Background!$A$4:$A$7,0))</f>
        <v>0.32488979077741237</v>
      </c>
      <c r="H1143" s="17">
        <f t="shared" si="65"/>
        <v>-3.0952384457142337</v>
      </c>
    </row>
    <row r="1144" spans="1:8">
      <c r="A1144" s="4" t="s">
        <v>767</v>
      </c>
      <c r="B1144" s="4">
        <v>63</v>
      </c>
      <c r="C1144" s="4" t="s">
        <v>73</v>
      </c>
      <c r="D1144" s="4" t="s">
        <v>783</v>
      </c>
      <c r="E1144" s="4" t="str">
        <f t="shared" si="64"/>
        <v>63|A</v>
      </c>
      <c r="F1144" s="14">
        <f>INDEX('Emission Stepwise'!$H$2:$H$289,MATCH(E1144,'Emission Stepwise'!$C$2:$C$289,0))</f>
        <v>0.11764705882352941</v>
      </c>
      <c r="G1144" s="14">
        <f>INDEX(Background!$C$4:$C$7,MATCH(C1144,Background!$A$4:$A$7,0))</f>
        <v>0.18550136449513679</v>
      </c>
      <c r="H1144" s="17">
        <f t="shared" si="65"/>
        <v>-0.45537312230350152</v>
      </c>
    </row>
    <row r="1145" spans="1:8">
      <c r="A1145" s="4" t="s">
        <v>767</v>
      </c>
      <c r="B1145" s="4">
        <v>64</v>
      </c>
      <c r="C1145" s="4" t="s">
        <v>71</v>
      </c>
      <c r="D1145" s="4" t="s">
        <v>783</v>
      </c>
      <c r="E1145" s="4" t="str">
        <f t="shared" si="64"/>
        <v>64|C</v>
      </c>
      <c r="F1145" s="14">
        <f>INDEX('Emission Stepwise'!$H$2:$H$289,MATCH(E1145,'Emission Stepwise'!$C$2:$C$289,0))</f>
        <v>0.2107843137254902</v>
      </c>
      <c r="G1145" s="14">
        <f>INDEX(Background!$C$4:$C$7,MATCH(C1145,Background!$A$4:$A$7,0))</f>
        <v>0.27646770694842909</v>
      </c>
      <c r="H1145" s="17">
        <f t="shared" si="65"/>
        <v>-0.27125862108025001</v>
      </c>
    </row>
    <row r="1146" spans="1:8">
      <c r="A1146" s="4" t="s">
        <v>767</v>
      </c>
      <c r="B1146" s="4">
        <v>65</v>
      </c>
      <c r="C1146" s="4" t="s">
        <v>70</v>
      </c>
      <c r="D1146" s="4" t="s">
        <v>783</v>
      </c>
      <c r="E1146" s="4" t="str">
        <f t="shared" si="64"/>
        <v>65|G</v>
      </c>
      <c r="F1146" s="14">
        <f>INDEX('Emission Stepwise'!$H$2:$H$289,MATCH(E1146,'Emission Stepwise'!$C$2:$C$289,0))</f>
        <v>0.2857142857142857</v>
      </c>
      <c r="G1146" s="14">
        <f>INDEX(Background!$C$4:$C$7,MATCH(C1146,Background!$A$4:$A$7,0))</f>
        <v>0.32488979077741237</v>
      </c>
      <c r="H1146" s="17">
        <f t="shared" si="65"/>
        <v>-0.12849370903349497</v>
      </c>
    </row>
    <row r="1147" spans="1:8">
      <c r="A1147" s="4" t="s">
        <v>767</v>
      </c>
      <c r="B1147" s="4">
        <v>66</v>
      </c>
      <c r="C1147" s="4" t="s">
        <v>71</v>
      </c>
      <c r="D1147" s="4" t="s">
        <v>784</v>
      </c>
      <c r="E1147" s="4" t="str">
        <f t="shared" si="64"/>
        <v>66|C</v>
      </c>
      <c r="F1147" s="14">
        <f>INDEX('Emission Stepwise'!$H$2:$H$289,MATCH(E1147,'Emission Stepwise'!$C$2:$C$289,0))</f>
        <v>0.51960784313725494</v>
      </c>
      <c r="G1147" s="14">
        <f>INDEX(Background!$C$4:$C$7,MATCH(C1147,Background!$A$4:$A$7,0))</f>
        <v>0.27646770694842909</v>
      </c>
      <c r="H1147" s="17">
        <f t="shared" si="65"/>
        <v>0.63098035733825475</v>
      </c>
    </row>
    <row r="1148" spans="1:8">
      <c r="A1148" s="4" t="s">
        <v>767</v>
      </c>
      <c r="B1148" s="4">
        <v>67</v>
      </c>
      <c r="C1148" s="4" t="s">
        <v>73</v>
      </c>
      <c r="D1148" s="4" t="s">
        <v>784</v>
      </c>
      <c r="E1148" s="4" t="str">
        <f t="shared" si="64"/>
        <v>67|A</v>
      </c>
      <c r="F1148" s="14">
        <f>INDEX('Emission Stepwise'!$H$2:$H$289,MATCH(E1148,'Emission Stepwise'!$C$2:$C$289,0))</f>
        <v>0.2107843137254902</v>
      </c>
      <c r="G1148" s="14">
        <f>INDEX(Background!$C$4:$C$7,MATCH(C1148,Background!$A$4:$A$7,0))</f>
        <v>0.18550136449513679</v>
      </c>
      <c r="H1148" s="17">
        <f t="shared" si="65"/>
        <v>0.12777316304211531</v>
      </c>
    </row>
    <row r="1149" spans="1:8">
      <c r="A1149" s="4" t="s">
        <v>767</v>
      </c>
      <c r="B1149" s="4">
        <v>68</v>
      </c>
      <c r="C1149" s="4" t="s">
        <v>72</v>
      </c>
      <c r="D1149" s="4" t="s">
        <v>784</v>
      </c>
      <c r="E1149" s="4" t="str">
        <f t="shared" si="64"/>
        <v>68|U</v>
      </c>
      <c r="F1149" s="14">
        <f>INDEX('Emission Stepwise'!$H$2:$H$289,MATCH(E1149,'Emission Stepwise'!$C$2:$C$289,0))</f>
        <v>0.18137254901960784</v>
      </c>
      <c r="G1149" s="14">
        <f>INDEX(Background!$C$4:$C$7,MATCH(C1149,Background!$A$4:$A$7,0))</f>
        <v>0.21314113777902177</v>
      </c>
      <c r="H1149" s="17">
        <f t="shared" si="65"/>
        <v>-0.16140136717330436</v>
      </c>
    </row>
    <row r="1150" spans="1:8">
      <c r="A1150" s="4" t="s">
        <v>767</v>
      </c>
      <c r="B1150" s="4">
        <v>69</v>
      </c>
      <c r="C1150" s="4" t="s">
        <v>72</v>
      </c>
      <c r="D1150" s="4" t="s">
        <v>784</v>
      </c>
      <c r="E1150" s="4" t="str">
        <f t="shared" si="64"/>
        <v>69|U</v>
      </c>
      <c r="F1150" s="14">
        <f>INDEX('Emission Stepwise'!$H$2:$H$289,MATCH(E1150,'Emission Stepwise'!$C$2:$C$289,0))</f>
        <v>8.8235294117647065E-2</v>
      </c>
      <c r="G1150" s="14">
        <f>INDEX(Background!$C$4:$C$7,MATCH(C1150,Background!$A$4:$A$7,0))</f>
        <v>0.21314113777902177</v>
      </c>
      <c r="H1150" s="17">
        <f t="shared" si="65"/>
        <v>-0.88194752192136405</v>
      </c>
    </row>
    <row r="1151" spans="1:8">
      <c r="A1151" s="4" t="s">
        <v>767</v>
      </c>
      <c r="B1151" s="4">
        <v>70</v>
      </c>
      <c r="C1151" s="4" t="s">
        <v>73</v>
      </c>
      <c r="D1151" s="4" t="s">
        <v>784</v>
      </c>
      <c r="E1151" s="4" t="str">
        <f t="shared" si="64"/>
        <v>70|A</v>
      </c>
      <c r="F1151" s="14">
        <f>INDEX('Emission Stepwise'!$H$2:$H$289,MATCH(E1151,'Emission Stepwise'!$C$2:$C$289,0))</f>
        <v>0.11764705882352941</v>
      </c>
      <c r="G1151" s="14">
        <f>INDEX(Background!$C$4:$C$7,MATCH(C1151,Background!$A$4:$A$7,0))</f>
        <v>0.18550136449513679</v>
      </c>
      <c r="H1151" s="17">
        <f t="shared" si="65"/>
        <v>-0.45537312230350152</v>
      </c>
    </row>
    <row r="1152" spans="1:8">
      <c r="A1152" s="4" t="s">
        <v>767</v>
      </c>
      <c r="B1152" s="4">
        <v>71</v>
      </c>
      <c r="C1152" s="4" t="s">
        <v>70</v>
      </c>
      <c r="D1152" s="4" t="s">
        <v>784</v>
      </c>
      <c r="E1152" s="4" t="str">
        <f t="shared" si="64"/>
        <v>71|G</v>
      </c>
      <c r="F1152" s="14">
        <f>INDEX('Emission Stepwise'!$H$2:$H$289,MATCH(E1152,'Emission Stepwise'!$C$2:$C$289,0))</f>
        <v>0.40686274509803921</v>
      </c>
      <c r="G1152" s="14">
        <f>INDEX(Background!$C$4:$C$7,MATCH(C1152,Background!$A$4:$A$7,0))</f>
        <v>0.32488979077741237</v>
      </c>
      <c r="H1152" s="17">
        <f t="shared" si="65"/>
        <v>0.22498987341425464</v>
      </c>
    </row>
    <row r="1153" spans="1:8">
      <c r="A1153" s="4" t="s">
        <v>767</v>
      </c>
      <c r="B1153" s="4">
        <v>72</v>
      </c>
      <c r="C1153" s="4" t="s">
        <v>73</v>
      </c>
      <c r="D1153" s="4" t="s">
        <v>784</v>
      </c>
      <c r="E1153" s="4" t="str">
        <f t="shared" si="64"/>
        <v>72|A</v>
      </c>
      <c r="F1153" s="14">
        <f>INDEX('Emission Stepwise'!$H$2:$H$289,MATCH(E1153,'Emission Stepwise'!$C$2:$C$289,0))</f>
        <v>8.3333333333333329E-2</v>
      </c>
      <c r="G1153" s="14">
        <f>INDEX(Background!$C$4:$C$7,MATCH(C1153,Background!$A$4:$A$7,0))</f>
        <v>0.18550136449513679</v>
      </c>
      <c r="H1153" s="17">
        <f t="shared" si="65"/>
        <v>-0.80021360859523116</v>
      </c>
    </row>
    <row r="1154" spans="1:8">
      <c r="A1154" s="4" t="s">
        <v>768</v>
      </c>
      <c r="B1154" s="4">
        <v>1</v>
      </c>
      <c r="C1154" s="4" t="s">
        <v>73</v>
      </c>
      <c r="D1154" s="4" t="s">
        <v>778</v>
      </c>
      <c r="E1154" s="4" t="str">
        <f t="shared" si="64"/>
        <v>1|A</v>
      </c>
      <c r="F1154" s="14">
        <f>INDEX('Emission Stepwise'!$H$2:$H$289,MATCH(E1154,'Emission Stepwise'!$C$2:$C$289,0))</f>
        <v>6.8627450980392163E-2</v>
      </c>
      <c r="G1154" s="14">
        <f>INDEX(Background!$C$4:$C$7,MATCH(C1154,Background!$A$4:$A$7,0))</f>
        <v>0.18550136449513679</v>
      </c>
      <c r="H1154" s="17">
        <f t="shared" si="65"/>
        <v>-0.99436962303618837</v>
      </c>
    </row>
    <row r="1155" spans="1:8">
      <c r="A1155" s="4" t="s">
        <v>768</v>
      </c>
      <c r="B1155" s="4">
        <v>2</v>
      </c>
      <c r="C1155" s="4" t="s">
        <v>72</v>
      </c>
      <c r="D1155" s="4" t="s">
        <v>778</v>
      </c>
      <c r="E1155" s="4" t="str">
        <f t="shared" si="64"/>
        <v>2|U</v>
      </c>
      <c r="F1155" s="14">
        <f>INDEX('Emission Stepwise'!$H$2:$H$289,MATCH(E1155,'Emission Stepwise'!$C$2:$C$289,0))</f>
        <v>3.4313725490196081E-2</v>
      </c>
      <c r="G1155" s="14">
        <f>INDEX(Background!$C$4:$C$7,MATCH(C1155,Background!$A$4:$A$7,0))</f>
        <v>0.21314113777902177</v>
      </c>
      <c r="H1155" s="17">
        <f t="shared" si="65"/>
        <v>-1.8264091307622154</v>
      </c>
    </row>
    <row r="1156" spans="1:8">
      <c r="A1156" s="4" t="s">
        <v>768</v>
      </c>
      <c r="B1156" s="4">
        <v>3</v>
      </c>
      <c r="C1156" s="4" t="s">
        <v>73</v>
      </c>
      <c r="D1156" s="4" t="s">
        <v>778</v>
      </c>
      <c r="E1156" s="4" t="str">
        <f t="shared" si="64"/>
        <v>3|A</v>
      </c>
      <c r="F1156" s="14">
        <f>INDEX('Emission Stepwise'!$H$2:$H$289,MATCH(E1156,'Emission Stepwise'!$C$2:$C$289,0))</f>
        <v>7.3529411764705885E-2</v>
      </c>
      <c r="G1156" s="14">
        <f>INDEX(Background!$C$4:$C$7,MATCH(C1156,Background!$A$4:$A$7,0))</f>
        <v>0.18550136449513679</v>
      </c>
      <c r="H1156" s="17">
        <f t="shared" si="65"/>
        <v>-0.92537675154923693</v>
      </c>
    </row>
    <row r="1157" spans="1:8">
      <c r="A1157" s="4" t="s">
        <v>768</v>
      </c>
      <c r="B1157" s="4">
        <v>4</v>
      </c>
      <c r="C1157" s="4" t="s">
        <v>72</v>
      </c>
      <c r="D1157" s="4" t="s">
        <v>778</v>
      </c>
      <c r="E1157" s="4" t="str">
        <f t="shared" si="64"/>
        <v>4|U</v>
      </c>
      <c r="F1157" s="14">
        <f>INDEX('Emission Stepwise'!$H$2:$H$289,MATCH(E1157,'Emission Stepwise'!$C$2:$C$289,0))</f>
        <v>0.17156862745098039</v>
      </c>
      <c r="G1157" s="14">
        <f>INDEX(Background!$C$4:$C$7,MATCH(C1157,Background!$A$4:$A$7,0))</f>
        <v>0.21314113777902177</v>
      </c>
      <c r="H1157" s="17">
        <f t="shared" si="65"/>
        <v>-0.21697121832811511</v>
      </c>
    </row>
    <row r="1158" spans="1:8">
      <c r="A1158" s="4" t="s">
        <v>768</v>
      </c>
      <c r="B1158" s="4">
        <v>5</v>
      </c>
      <c r="C1158" s="4" t="s">
        <v>73</v>
      </c>
      <c r="D1158" s="4" t="s">
        <v>778</v>
      </c>
      <c r="E1158" s="4" t="str">
        <f t="shared" si="64"/>
        <v>5|A</v>
      </c>
      <c r="F1158" s="14">
        <f>INDEX('Emission Stepwise'!$H$2:$H$289,MATCH(E1158,'Emission Stepwise'!$C$2:$C$289,0))</f>
        <v>0.15686274509803921</v>
      </c>
      <c r="G1158" s="14">
        <f>INDEX(Background!$C$4:$C$7,MATCH(C1158,Background!$A$4:$A$7,0))</f>
        <v>0.18550136449513679</v>
      </c>
      <c r="H1158" s="17">
        <f t="shared" si="65"/>
        <v>-0.16769104985172067</v>
      </c>
    </row>
    <row r="1159" spans="1:8">
      <c r="A1159" s="4" t="s">
        <v>768</v>
      </c>
      <c r="B1159" s="4">
        <v>6</v>
      </c>
      <c r="C1159" s="4" t="s">
        <v>73</v>
      </c>
      <c r="D1159" s="4" t="s">
        <v>778</v>
      </c>
      <c r="E1159" s="4" t="str">
        <f t="shared" si="64"/>
        <v>6|A</v>
      </c>
      <c r="F1159" s="14">
        <f>INDEX('Emission Stepwise'!$H$2:$H$289,MATCH(E1159,'Emission Stepwise'!$C$2:$C$289,0))</f>
        <v>0.17156862745098039</v>
      </c>
      <c r="G1159" s="14">
        <f>INDEX(Background!$C$4:$C$7,MATCH(C1159,Background!$A$4:$A$7,0))</f>
        <v>0.18550136449513679</v>
      </c>
      <c r="H1159" s="17">
        <f t="shared" si="65"/>
        <v>-7.8078891162033495E-2</v>
      </c>
    </row>
    <row r="1160" spans="1:8">
      <c r="A1160" s="4" t="s">
        <v>768</v>
      </c>
      <c r="B1160" s="4">
        <v>7</v>
      </c>
      <c r="C1160" s="4" t="s">
        <v>73</v>
      </c>
      <c r="D1160" s="4" t="s">
        <v>778</v>
      </c>
      <c r="E1160" s="4" t="str">
        <f t="shared" si="64"/>
        <v>7|A</v>
      </c>
      <c r="F1160" s="14">
        <f>INDEX('Emission Stepwise'!$H$2:$H$289,MATCH(E1160,'Emission Stepwise'!$C$2:$C$289,0))</f>
        <v>0.24019607843137256</v>
      </c>
      <c r="G1160" s="14">
        <f>INDEX(Background!$C$4:$C$7,MATCH(C1160,Background!$A$4:$A$7,0))</f>
        <v>0.18550136449513679</v>
      </c>
      <c r="H1160" s="17">
        <f t="shared" si="65"/>
        <v>0.25839334545917952</v>
      </c>
    </row>
    <row r="1161" spans="1:8">
      <c r="A1161" s="4" t="s">
        <v>768</v>
      </c>
      <c r="B1161" s="4">
        <v>8</v>
      </c>
      <c r="C1161" s="4" t="s">
        <v>72</v>
      </c>
      <c r="D1161" s="4" t="s">
        <v>779</v>
      </c>
      <c r="E1161" s="4" t="str">
        <f t="shared" si="64"/>
        <v>8|U</v>
      </c>
      <c r="F1161" s="14">
        <f>INDEX('Emission Stepwise'!$H$2:$H$289,MATCH(E1161,'Emission Stepwise'!$C$2:$C$289,0))</f>
        <v>0.97549019607843135</v>
      </c>
      <c r="G1161" s="14">
        <f>INDEX(Background!$C$4:$C$7,MATCH(C1161,Background!$A$4:$A$7,0))</f>
        <v>0.21314113777902177</v>
      </c>
      <c r="H1161" s="17">
        <f t="shared" si="65"/>
        <v>1.5209855449069636</v>
      </c>
    </row>
    <row r="1162" spans="1:8">
      <c r="A1162" s="4" t="s">
        <v>768</v>
      </c>
      <c r="B1162" s="4">
        <v>9</v>
      </c>
      <c r="C1162" s="4" t="s">
        <v>73</v>
      </c>
      <c r="D1162" s="4" t="s">
        <v>780</v>
      </c>
      <c r="E1162" s="4" t="str">
        <f t="shared" si="64"/>
        <v>9|A</v>
      </c>
      <c r="F1162" s="14">
        <f>INDEX('Emission Stepwise'!$H$2:$H$289,MATCH(E1162,'Emission Stepwise'!$C$2:$C$289,0))</f>
        <v>0.65024630541871919</v>
      </c>
      <c r="G1162" s="14">
        <f>INDEX(Background!$C$4:$C$7,MATCH(C1162,Background!$A$4:$A$7,0))</f>
        <v>0.18550136449513679</v>
      </c>
      <c r="H1162" s="17">
        <f t="shared" si="65"/>
        <v>1.2542889847373526</v>
      </c>
    </row>
    <row r="1163" spans="1:8">
      <c r="A1163" s="4" t="s">
        <v>768</v>
      </c>
      <c r="B1163" s="4">
        <v>10</v>
      </c>
      <c r="C1163" s="4" t="s">
        <v>73</v>
      </c>
      <c r="D1163" s="4" t="s">
        <v>780</v>
      </c>
      <c r="E1163" s="4" t="str">
        <f t="shared" si="64"/>
        <v>10|A</v>
      </c>
      <c r="F1163" s="14">
        <f>INDEX('Emission Stepwise'!$H$2:$H$289,MATCH(E1163,'Emission Stepwise'!$C$2:$C$289,0))</f>
        <v>4.9019607843137254E-3</v>
      </c>
      <c r="G1163" s="14">
        <f>INDEX(Background!$C$4:$C$7,MATCH(C1163,Background!$A$4:$A$7,0))</f>
        <v>0.18550136449513679</v>
      </c>
      <c r="H1163" s="17">
        <f t="shared" si="65"/>
        <v>-3.6334269526514471</v>
      </c>
    </row>
    <row r="1164" spans="1:8">
      <c r="A1164" s="4" t="s">
        <v>768</v>
      </c>
      <c r="B1164" s="4">
        <v>11</v>
      </c>
      <c r="C1164" s="4" t="s">
        <v>73</v>
      </c>
      <c r="D1164" s="4" t="s">
        <v>780</v>
      </c>
      <c r="E1164" s="4" t="str">
        <f t="shared" si="64"/>
        <v>11|A</v>
      </c>
      <c r="F1164" s="14">
        <f>INDEX('Emission Stepwise'!$H$2:$H$289,MATCH(E1164,'Emission Stepwise'!$C$2:$C$289,0))</f>
        <v>3.9215686274509803E-2</v>
      </c>
      <c r="G1164" s="14">
        <f>INDEX(Background!$C$4:$C$7,MATCH(C1164,Background!$A$4:$A$7,0))</f>
        <v>0.18550136449513679</v>
      </c>
      <c r="H1164" s="17">
        <f t="shared" si="65"/>
        <v>-1.5539854109716114</v>
      </c>
    </row>
    <row r="1165" spans="1:8">
      <c r="A1165" s="4" t="s">
        <v>768</v>
      </c>
      <c r="B1165" s="4">
        <v>12</v>
      </c>
      <c r="C1165" s="4" t="s">
        <v>72</v>
      </c>
      <c r="D1165" s="4" t="s">
        <v>780</v>
      </c>
      <c r="E1165" s="4" t="str">
        <f t="shared" si="64"/>
        <v>12|U</v>
      </c>
      <c r="F1165" s="14">
        <f>INDEX('Emission Stepwise'!$H$2:$H$289,MATCH(E1165,'Emission Stepwise'!$C$2:$C$289,0))</f>
        <v>0.59313725490196079</v>
      </c>
      <c r="G1165" s="14">
        <f>INDEX(Background!$C$4:$C$7,MATCH(C1165,Background!$A$4:$A$7,0))</f>
        <v>0.21314113777902177</v>
      </c>
      <c r="H1165" s="17">
        <f t="shared" si="65"/>
        <v>1.0234712657792122</v>
      </c>
    </row>
    <row r="1166" spans="1:8">
      <c r="A1166" s="4" t="s">
        <v>768</v>
      </c>
      <c r="B1166" s="4">
        <v>13</v>
      </c>
      <c r="C1166" s="4" t="s">
        <v>72</v>
      </c>
      <c r="D1166" s="4" t="s">
        <v>780</v>
      </c>
      <c r="E1166" s="4" t="str">
        <f t="shared" si="64"/>
        <v>13|U</v>
      </c>
      <c r="F1166" s="14">
        <f>INDEX('Emission Stepwise'!$H$2:$H$289,MATCH(E1166,'Emission Stepwise'!$C$2:$C$289,0))</f>
        <v>0.19117647058823528</v>
      </c>
      <c r="G1166" s="14">
        <f>INDEX(Background!$C$4:$C$7,MATCH(C1166,Background!$A$4:$A$7,0))</f>
        <v>0.21314113777902177</v>
      </c>
      <c r="H1166" s="17">
        <f t="shared" si="65"/>
        <v>-0.1087576336878824</v>
      </c>
    </row>
    <row r="1167" spans="1:8">
      <c r="A1167" s="4" t="s">
        <v>768</v>
      </c>
      <c r="B1167" s="4">
        <v>14</v>
      </c>
      <c r="C1167" s="4" t="s">
        <v>73</v>
      </c>
      <c r="D1167" s="4" t="s">
        <v>780</v>
      </c>
      <c r="E1167" s="4" t="str">
        <f t="shared" si="64"/>
        <v>14|A</v>
      </c>
      <c r="F1167" s="14">
        <f>INDEX('Emission Stepwise'!$H$2:$H$289,MATCH(E1167,'Emission Stepwise'!$C$2:$C$289,0))</f>
        <v>0.97549019607843135</v>
      </c>
      <c r="G1167" s="14">
        <f>INDEX(Background!$C$4:$C$7,MATCH(C1167,Background!$A$4:$A$7,0))</f>
        <v>0.18550136449513679</v>
      </c>
      <c r="H1167" s="17">
        <f t="shared" si="65"/>
        <v>1.6598778720730452</v>
      </c>
    </row>
    <row r="1168" spans="1:8">
      <c r="A1168" s="4" t="s">
        <v>768</v>
      </c>
      <c r="B1168" s="4">
        <v>15</v>
      </c>
      <c r="C1168" s="4" t="s">
        <v>71</v>
      </c>
      <c r="D1168" s="4" t="s">
        <v>780</v>
      </c>
      <c r="E1168" s="4" t="str">
        <f t="shared" si="64"/>
        <v>15|C</v>
      </c>
      <c r="F1168" s="14">
        <f>INDEX('Emission Stepwise'!$H$2:$H$289,MATCH(E1168,'Emission Stepwise'!$C$2:$C$289,0))</f>
        <v>1.4778325123152709E-2</v>
      </c>
      <c r="G1168" s="14">
        <f>INDEX(Background!$C$4:$C$7,MATCH(C1168,Background!$A$4:$A$7,0))</f>
        <v>0.27646770694842909</v>
      </c>
      <c r="H1168" s="17">
        <f t="shared" si="65"/>
        <v>-2.9289324333032738</v>
      </c>
    </row>
    <row r="1169" spans="1:8">
      <c r="A1169" s="4" t="s">
        <v>768</v>
      </c>
      <c r="B1169" s="4">
        <v>16</v>
      </c>
      <c r="C1169" s="4" t="s">
        <v>72</v>
      </c>
      <c r="D1169" s="4" t="s">
        <v>780</v>
      </c>
      <c r="E1169" s="4" t="str">
        <f t="shared" si="64"/>
        <v>16|U</v>
      </c>
      <c r="F1169" s="14">
        <f>INDEX('Emission Stepwise'!$H$2:$H$289,MATCH(E1169,'Emission Stepwise'!$C$2:$C$289,0))</f>
        <v>0.58394160583941601</v>
      </c>
      <c r="G1169" s="14">
        <f>INDEX(Background!$C$4:$C$7,MATCH(C1169,Background!$A$4:$A$7,0))</f>
        <v>0.21314113777902177</v>
      </c>
      <c r="H1169" s="17">
        <f t="shared" si="65"/>
        <v>1.0078464228724442</v>
      </c>
    </row>
    <row r="1170" spans="1:8">
      <c r="A1170" s="4" t="s">
        <v>768</v>
      </c>
      <c r="B1170" s="4">
        <v>17</v>
      </c>
      <c r="C1170" s="4" t="s">
        <v>71</v>
      </c>
      <c r="D1170" s="4" t="s">
        <v>780</v>
      </c>
      <c r="E1170" s="4" t="str">
        <f t="shared" si="64"/>
        <v>17|C</v>
      </c>
      <c r="F1170" s="14">
        <f>INDEX('Emission Stepwise'!$H$2:$H$289,MATCH(E1170,'Emission Stepwise'!$C$2:$C$289,0))</f>
        <v>0.31840796019900497</v>
      </c>
      <c r="G1170" s="14">
        <f>INDEX(Background!$C$4:$C$7,MATCH(C1170,Background!$A$4:$A$7,0))</f>
        <v>0.27646770694842909</v>
      </c>
      <c r="H1170" s="17">
        <f t="shared" si="65"/>
        <v>0.14123943237100009</v>
      </c>
    </row>
    <row r="1171" spans="1:8">
      <c r="A1171" s="4" t="s">
        <v>768</v>
      </c>
      <c r="B1171" s="4">
        <v>18</v>
      </c>
      <c r="C1171" s="4" t="s">
        <v>70</v>
      </c>
      <c r="D1171" s="4" t="s">
        <v>780</v>
      </c>
      <c r="E1171" s="4" t="str">
        <f t="shared" si="64"/>
        <v>18|G</v>
      </c>
      <c r="F1171" s="14">
        <f>INDEX('Emission Stepwise'!$H$2:$H$289,MATCH(E1171,'Emission Stepwise'!$C$2:$C$289,0))</f>
        <v>0.98039215686274506</v>
      </c>
      <c r="G1171" s="14">
        <f>INDEX(Background!$C$4:$C$7,MATCH(C1171,Background!$A$4:$A$7,0))</f>
        <v>0.32488979077741237</v>
      </c>
      <c r="H1171" s="17">
        <f t="shared" si="65"/>
        <v>1.1044666321656933</v>
      </c>
    </row>
    <row r="1172" spans="1:8">
      <c r="A1172" s="4" t="s">
        <v>768</v>
      </c>
      <c r="B1172" s="4">
        <v>19</v>
      </c>
      <c r="C1172" s="4" t="s">
        <v>70</v>
      </c>
      <c r="D1172" s="4" t="s">
        <v>780</v>
      </c>
      <c r="E1172" s="4" t="str">
        <f t="shared" si="64"/>
        <v>19|G</v>
      </c>
      <c r="F1172" s="14">
        <f>INDEX('Emission Stepwise'!$H$2:$H$289,MATCH(E1172,'Emission Stepwise'!$C$2:$C$289,0))</f>
        <v>0.97058823529411764</v>
      </c>
      <c r="G1172" s="14">
        <f>INDEX(Background!$C$4:$C$7,MATCH(C1172,Background!$A$4:$A$7,0))</f>
        <v>0.32488979077741237</v>
      </c>
      <c r="H1172" s="17">
        <f t="shared" si="65"/>
        <v>1.0944162963121917</v>
      </c>
    </row>
    <row r="1173" spans="1:8">
      <c r="A1173" s="4" t="s">
        <v>768</v>
      </c>
      <c r="B1173" s="4">
        <v>20</v>
      </c>
      <c r="C1173" s="4" t="s">
        <v>73</v>
      </c>
      <c r="D1173" s="4" t="s">
        <v>780</v>
      </c>
      <c r="E1173" s="4" t="str">
        <f t="shared" si="64"/>
        <v>20|A</v>
      </c>
      <c r="F1173" s="14">
        <f>INDEX('Emission Stepwise'!$H$2:$H$289,MATCH(E1173,'Emission Stepwise'!$C$2:$C$289,0))</f>
        <v>8.8669950738916259E-2</v>
      </c>
      <c r="G1173" s="14">
        <f>INDEX(Background!$C$4:$C$7,MATCH(C1173,Background!$A$4:$A$7,0))</f>
        <v>0.18550136449513679</v>
      </c>
      <c r="H1173" s="17">
        <f t="shared" si="65"/>
        <v>-0.73814117995285333</v>
      </c>
    </row>
    <row r="1174" spans="1:8">
      <c r="A1174" s="4" t="s">
        <v>768</v>
      </c>
      <c r="B1174" s="4">
        <v>21</v>
      </c>
      <c r="C1174" s="4" t="s">
        <v>73</v>
      </c>
      <c r="D1174" s="4" t="s">
        <v>780</v>
      </c>
      <c r="E1174" s="4" t="str">
        <f t="shared" si="64"/>
        <v>21|A</v>
      </c>
      <c r="F1174" s="14">
        <f>INDEX('Emission Stepwise'!$H$2:$H$289,MATCH(E1174,'Emission Stepwise'!$C$2:$C$289,0))</f>
        <v>0.88235294117647056</v>
      </c>
      <c r="G1174" s="14">
        <f>INDEX(Background!$C$4:$C$7,MATCH(C1174,Background!$A$4:$A$7,0))</f>
        <v>0.18550136449513679</v>
      </c>
      <c r="H1174" s="17">
        <f t="shared" si="65"/>
        <v>1.5595298982387631</v>
      </c>
    </row>
    <row r="1175" spans="1:8">
      <c r="A1175" s="4" t="s">
        <v>768</v>
      </c>
      <c r="B1175" s="4">
        <v>22</v>
      </c>
      <c r="C1175" s="4" t="s">
        <v>70</v>
      </c>
      <c r="D1175" s="4" t="s">
        <v>780</v>
      </c>
      <c r="E1175" s="4" t="str">
        <f t="shared" si="64"/>
        <v>22|G</v>
      </c>
      <c r="F1175" s="14">
        <f>INDEX('Emission Stepwise'!$H$2:$H$289,MATCH(E1175,'Emission Stepwise'!$C$2:$C$289,0))</f>
        <v>0.71568627450980393</v>
      </c>
      <c r="G1175" s="14">
        <f>INDEX(Background!$C$4:$C$7,MATCH(C1175,Background!$A$4:$A$7,0))</f>
        <v>0.32488979077741237</v>
      </c>
      <c r="H1175" s="17">
        <f t="shared" si="65"/>
        <v>0.789755887325993</v>
      </c>
    </row>
    <row r="1176" spans="1:8">
      <c r="A1176" s="4" t="s">
        <v>768</v>
      </c>
      <c r="B1176" s="4">
        <v>23</v>
      </c>
      <c r="C1176" s="4" t="s">
        <v>70</v>
      </c>
      <c r="D1176" s="4" t="s">
        <v>780</v>
      </c>
      <c r="E1176" s="4" t="str">
        <f t="shared" si="64"/>
        <v>23|G</v>
      </c>
      <c r="F1176" s="14">
        <f>INDEX('Emission Stepwise'!$H$2:$H$289,MATCH(E1176,'Emission Stepwise'!$C$2:$C$289,0))</f>
        <v>0.14705882352941177</v>
      </c>
      <c r="G1176" s="14">
        <f>INDEX(Background!$C$4:$C$7,MATCH(C1176,Background!$A$4:$A$7,0))</f>
        <v>0.32488979077741237</v>
      </c>
      <c r="H1176" s="17">
        <f t="shared" si="65"/>
        <v>-0.792653352720188</v>
      </c>
    </row>
    <row r="1177" spans="1:8">
      <c r="A1177" s="4" t="s">
        <v>768</v>
      </c>
      <c r="B1177" s="4">
        <v>24</v>
      </c>
      <c r="C1177" s="4" t="s">
        <v>70</v>
      </c>
      <c r="D1177" s="4" t="s">
        <v>780</v>
      </c>
      <c r="E1177" s="4" t="str">
        <f t="shared" si="64"/>
        <v>24|G</v>
      </c>
      <c r="F1177" s="14">
        <f>INDEX('Emission Stepwise'!$H$2:$H$289,MATCH(E1177,'Emission Stepwise'!$C$2:$C$289,0))</f>
        <v>0.74019607843137258</v>
      </c>
      <c r="G1177" s="14">
        <f>INDEX(Background!$C$4:$C$7,MATCH(C1177,Background!$A$4:$A$7,0))</f>
        <v>0.32488979077741237</v>
      </c>
      <c r="H1177" s="17">
        <f t="shared" si="65"/>
        <v>0.82342910243258094</v>
      </c>
    </row>
    <row r="1178" spans="1:8">
      <c r="A1178" s="4" t="s">
        <v>768</v>
      </c>
      <c r="B1178" s="4">
        <v>25</v>
      </c>
      <c r="C1178" s="4" t="s">
        <v>72</v>
      </c>
      <c r="D1178" s="4" t="s">
        <v>780</v>
      </c>
      <c r="E1178" s="4" t="str">
        <f t="shared" si="64"/>
        <v>25|U</v>
      </c>
      <c r="F1178" s="14">
        <f>INDEX('Emission Stepwise'!$H$2:$H$289,MATCH(E1178,'Emission Stepwise'!$C$2:$C$289,0))</f>
        <v>7.3529411764705885E-2</v>
      </c>
      <c r="G1178" s="14">
        <f>INDEX(Background!$C$4:$C$7,MATCH(C1178,Background!$A$4:$A$7,0))</f>
        <v>0.21314113777902177</v>
      </c>
      <c r="H1178" s="17">
        <f t="shared" si="65"/>
        <v>-1.0642690787153186</v>
      </c>
    </row>
    <row r="1179" spans="1:8">
      <c r="A1179" s="4" t="s">
        <v>768</v>
      </c>
      <c r="B1179" s="4">
        <v>26</v>
      </c>
      <c r="C1179" s="4" t="s">
        <v>72</v>
      </c>
      <c r="D1179" s="4" t="s">
        <v>781</v>
      </c>
      <c r="E1179" s="4" t="str">
        <f t="shared" si="64"/>
        <v>26|U</v>
      </c>
      <c r="F1179" s="14">
        <f>INDEX('Emission Stepwise'!$H$2:$H$289,MATCH(E1179,'Emission Stepwise'!$C$2:$C$289,0))</f>
        <v>5.8823529411764705E-2</v>
      </c>
      <c r="G1179" s="14">
        <f>INDEX(Background!$C$4:$C$7,MATCH(C1179,Background!$A$4:$A$7,0))</f>
        <v>0.21314113777902177</v>
      </c>
      <c r="H1179" s="17">
        <f t="shared" si="65"/>
        <v>-1.2874126300295285</v>
      </c>
    </row>
    <row r="1180" spans="1:8">
      <c r="A1180" s="4" t="s">
        <v>768</v>
      </c>
      <c r="B1180" s="4">
        <v>27</v>
      </c>
      <c r="C1180" s="4" t="s">
        <v>73</v>
      </c>
      <c r="D1180" s="4" t="s">
        <v>781</v>
      </c>
      <c r="E1180" s="4" t="str">
        <f t="shared" si="64"/>
        <v>27|A</v>
      </c>
      <c r="F1180" s="14">
        <f>INDEX('Emission Stepwise'!$H$2:$H$289,MATCH(E1180,'Emission Stepwise'!$C$2:$C$289,0))</f>
        <v>0.12254901960784313</v>
      </c>
      <c r="G1180" s="14">
        <f>INDEX(Background!$C$4:$C$7,MATCH(C1180,Background!$A$4:$A$7,0))</f>
        <v>0.18550136449513679</v>
      </c>
      <c r="H1180" s="17">
        <f t="shared" si="65"/>
        <v>-0.41455112778324649</v>
      </c>
    </row>
    <row r="1181" spans="1:8">
      <c r="A1181" s="4" t="s">
        <v>768</v>
      </c>
      <c r="B1181" s="4">
        <v>28</v>
      </c>
      <c r="C1181" s="4" t="s">
        <v>72</v>
      </c>
      <c r="D1181" s="4" t="s">
        <v>781</v>
      </c>
      <c r="E1181" s="4" t="str">
        <f t="shared" si="64"/>
        <v>28|U</v>
      </c>
      <c r="F1181" s="14">
        <f>INDEX('Emission Stepwise'!$H$2:$H$289,MATCH(E1181,'Emission Stepwise'!$C$2:$C$289,0))</f>
        <v>0.25490196078431371</v>
      </c>
      <c r="G1181" s="14">
        <f>INDEX(Background!$C$4:$C$7,MATCH(C1181,Background!$A$4:$A$7,0))</f>
        <v>0.21314113777902177</v>
      </c>
      <c r="H1181" s="17">
        <f t="shared" si="65"/>
        <v>0.17892443876389855</v>
      </c>
    </row>
    <row r="1182" spans="1:8">
      <c r="A1182" s="4" t="s">
        <v>768</v>
      </c>
      <c r="B1182" s="4">
        <v>29</v>
      </c>
      <c r="C1182" s="4" t="s">
        <v>73</v>
      </c>
      <c r="D1182" s="4" t="s">
        <v>781</v>
      </c>
      <c r="E1182" s="4" t="str">
        <f t="shared" si="64"/>
        <v>29|A</v>
      </c>
      <c r="F1182" s="14">
        <f>INDEX('Emission Stepwise'!$H$2:$H$289,MATCH(E1182,'Emission Stepwise'!$C$2:$C$289,0))</f>
        <v>0.16176470588235295</v>
      </c>
      <c r="G1182" s="14">
        <f>INDEX(Background!$C$4:$C$7,MATCH(C1182,Background!$A$4:$A$7,0))</f>
        <v>0.18550136449513679</v>
      </c>
      <c r="H1182" s="17">
        <f t="shared" si="65"/>
        <v>-0.13691939118496679</v>
      </c>
    </row>
    <row r="1183" spans="1:8">
      <c r="A1183" s="4" t="s">
        <v>768</v>
      </c>
      <c r="B1183" s="4">
        <v>30</v>
      </c>
      <c r="C1183" s="4" t="s">
        <v>72</v>
      </c>
      <c r="D1183" s="4" t="s">
        <v>781</v>
      </c>
      <c r="E1183" s="4" t="str">
        <f t="shared" si="64"/>
        <v>30|U</v>
      </c>
      <c r="F1183" s="14">
        <f>INDEX('Emission Stepwise'!$H$2:$H$289,MATCH(E1183,'Emission Stepwise'!$C$2:$C$289,0))</f>
        <v>3.9215686274509803E-2</v>
      </c>
      <c r="G1183" s="14">
        <f>INDEX(Background!$C$4:$C$7,MATCH(C1183,Background!$A$4:$A$7,0))</f>
        <v>0.21314113777902177</v>
      </c>
      <c r="H1183" s="17">
        <f t="shared" si="65"/>
        <v>-1.6928777381376929</v>
      </c>
    </row>
    <row r="1184" spans="1:8">
      <c r="A1184" s="4" t="s">
        <v>768</v>
      </c>
      <c r="B1184" s="4">
        <v>31</v>
      </c>
      <c r="C1184" s="4" t="s">
        <v>72</v>
      </c>
      <c r="D1184" s="4" t="s">
        <v>781</v>
      </c>
      <c r="E1184" s="4" t="str">
        <f t="shared" si="64"/>
        <v>31|U</v>
      </c>
      <c r="F1184" s="14">
        <f>INDEX('Emission Stepwise'!$H$2:$H$289,MATCH(E1184,'Emission Stepwise'!$C$2:$C$289,0))</f>
        <v>9.8039215686274508E-2</v>
      </c>
      <c r="G1184" s="14">
        <f>INDEX(Background!$C$4:$C$7,MATCH(C1184,Background!$A$4:$A$7,0))</f>
        <v>0.21314113777902177</v>
      </c>
      <c r="H1184" s="17">
        <f t="shared" si="65"/>
        <v>-0.77658700626353783</v>
      </c>
    </row>
    <row r="1185" spans="1:8">
      <c r="A1185" s="4" t="s">
        <v>768</v>
      </c>
      <c r="B1185" s="4">
        <v>32</v>
      </c>
      <c r="C1185" s="4" t="s">
        <v>73</v>
      </c>
      <c r="D1185" s="4" t="s">
        <v>781</v>
      </c>
      <c r="E1185" s="4" t="str">
        <f t="shared" si="64"/>
        <v>32|A</v>
      </c>
      <c r="F1185" s="14">
        <f>INDEX('Emission Stepwise'!$H$2:$H$289,MATCH(E1185,'Emission Stepwise'!$C$2:$C$289,0))</f>
        <v>3.4313725490196081E-2</v>
      </c>
      <c r="G1185" s="14">
        <f>INDEX(Background!$C$4:$C$7,MATCH(C1185,Background!$A$4:$A$7,0))</f>
        <v>0.18550136449513679</v>
      </c>
      <c r="H1185" s="17">
        <f t="shared" si="65"/>
        <v>-1.6875168035961337</v>
      </c>
    </row>
    <row r="1186" spans="1:8">
      <c r="A1186" s="4" t="s">
        <v>768</v>
      </c>
      <c r="B1186" s="4">
        <v>33</v>
      </c>
      <c r="C1186" s="4" t="s">
        <v>72</v>
      </c>
      <c r="D1186" s="4" t="s">
        <v>781</v>
      </c>
      <c r="E1186" s="4" t="str">
        <f t="shared" si="64"/>
        <v>33|U</v>
      </c>
      <c r="F1186" s="14">
        <f>INDEX('Emission Stepwise'!$H$2:$H$289,MATCH(E1186,'Emission Stepwise'!$C$2:$C$289,0))</f>
        <v>0.97549019607843135</v>
      </c>
      <c r="G1186" s="14">
        <f>INDEX(Background!$C$4:$C$7,MATCH(C1186,Background!$A$4:$A$7,0))</f>
        <v>0.21314113777902177</v>
      </c>
      <c r="H1186" s="17">
        <f t="shared" si="65"/>
        <v>1.5209855449069636</v>
      </c>
    </row>
    <row r="1187" spans="1:8">
      <c r="A1187" s="4" t="s">
        <v>768</v>
      </c>
      <c r="B1187" s="4">
        <v>34</v>
      </c>
      <c r="C1187" s="4" t="s">
        <v>72</v>
      </c>
      <c r="D1187" s="4" t="s">
        <v>781</v>
      </c>
      <c r="E1187" s="4" t="str">
        <f t="shared" si="64"/>
        <v>34|U</v>
      </c>
      <c r="F1187" s="14">
        <f>INDEX('Emission Stepwise'!$H$2:$H$289,MATCH(E1187,'Emission Stepwise'!$C$2:$C$289,0))</f>
        <v>0.28921568627450983</v>
      </c>
      <c r="G1187" s="14">
        <f>INDEX(Background!$C$4:$C$7,MATCH(C1187,Background!$A$4:$A$7,0))</f>
        <v>0.21314113777902177</v>
      </c>
      <c r="H1187" s="17">
        <f t="shared" si="65"/>
        <v>0.30521816408819075</v>
      </c>
    </row>
    <row r="1188" spans="1:8">
      <c r="A1188" s="4" t="s">
        <v>768</v>
      </c>
      <c r="B1188" s="4">
        <v>35</v>
      </c>
      <c r="C1188" s="4" t="s">
        <v>72</v>
      </c>
      <c r="D1188" s="4" t="s">
        <v>781</v>
      </c>
      <c r="E1188" s="4" t="str">
        <f t="shared" si="64"/>
        <v>35|U</v>
      </c>
      <c r="F1188" s="14">
        <f>INDEX('Emission Stepwise'!$H$2:$H$289,MATCH(E1188,'Emission Stepwise'!$C$2:$C$289,0))</f>
        <v>0.20588235294117646</v>
      </c>
      <c r="G1188" s="14">
        <f>INDEX(Background!$C$4:$C$7,MATCH(C1188,Background!$A$4:$A$7,0))</f>
        <v>0.21314113777902177</v>
      </c>
      <c r="H1188" s="17">
        <f t="shared" si="65"/>
        <v>-3.4649661534160589E-2</v>
      </c>
    </row>
    <row r="1189" spans="1:8">
      <c r="A1189" s="4" t="s">
        <v>768</v>
      </c>
      <c r="B1189" s="4">
        <v>36</v>
      </c>
      <c r="C1189" s="4" t="s">
        <v>73</v>
      </c>
      <c r="D1189" s="4" t="s">
        <v>781</v>
      </c>
      <c r="E1189" s="4" t="str">
        <f t="shared" si="64"/>
        <v>36|A</v>
      </c>
      <c r="F1189" s="14">
        <f>INDEX('Emission Stepwise'!$H$2:$H$289,MATCH(E1189,'Emission Stepwise'!$C$2:$C$289,0))</f>
        <v>0.21568627450980393</v>
      </c>
      <c r="G1189" s="14">
        <f>INDEX(Background!$C$4:$C$7,MATCH(C1189,Background!$A$4:$A$7,0))</f>
        <v>0.18550136449513679</v>
      </c>
      <c r="H1189" s="17">
        <f t="shared" si="65"/>
        <v>0.15076268126681408</v>
      </c>
    </row>
    <row r="1190" spans="1:8">
      <c r="A1190" s="4" t="s">
        <v>768</v>
      </c>
      <c r="B1190" s="4">
        <v>37</v>
      </c>
      <c r="C1190" s="4" t="s">
        <v>73</v>
      </c>
      <c r="D1190" s="4" t="s">
        <v>781</v>
      </c>
      <c r="E1190" s="4" t="str">
        <f t="shared" si="64"/>
        <v>37|A</v>
      </c>
      <c r="F1190" s="14">
        <f>INDEX('Emission Stepwise'!$H$2:$H$289,MATCH(E1190,'Emission Stepwise'!$C$2:$C$289,0))</f>
        <v>0.74509803921568629</v>
      </c>
      <c r="G1190" s="14">
        <f>INDEX(Background!$C$4:$C$7,MATCH(C1190,Background!$A$4:$A$7,0))</f>
        <v>0.18550136449513679</v>
      </c>
      <c r="H1190" s="17">
        <f t="shared" si="65"/>
        <v>1.3904535681948293</v>
      </c>
    </row>
    <row r="1191" spans="1:8">
      <c r="A1191" s="4" t="s">
        <v>768</v>
      </c>
      <c r="B1191" s="4">
        <v>38</v>
      </c>
      <c r="C1191" s="4" t="s">
        <v>72</v>
      </c>
      <c r="D1191" s="4" t="s">
        <v>781</v>
      </c>
      <c r="E1191" s="4" t="str">
        <f t="shared" si="64"/>
        <v>38|U</v>
      </c>
      <c r="F1191" s="14">
        <f>INDEX('Emission Stepwise'!$H$2:$H$289,MATCH(E1191,'Emission Stepwise'!$C$2:$C$289,0))</f>
        <v>0.11764705882352941</v>
      </c>
      <c r="G1191" s="14">
        <f>INDEX(Background!$C$4:$C$7,MATCH(C1191,Background!$A$4:$A$7,0))</f>
        <v>0.21314113777902177</v>
      </c>
      <c r="H1191" s="17">
        <f t="shared" si="65"/>
        <v>-0.59426544946958315</v>
      </c>
    </row>
    <row r="1192" spans="1:8">
      <c r="A1192" s="4" t="s">
        <v>768</v>
      </c>
      <c r="B1192" s="4">
        <v>39</v>
      </c>
      <c r="C1192" s="4" t="s">
        <v>73</v>
      </c>
      <c r="D1192" s="4" t="s">
        <v>781</v>
      </c>
      <c r="E1192" s="4" t="str">
        <f t="shared" si="64"/>
        <v>39|A</v>
      </c>
      <c r="F1192" s="14">
        <f>INDEX('Emission Stepwise'!$H$2:$H$289,MATCH(E1192,'Emission Stepwise'!$C$2:$C$289,0))</f>
        <v>9.3137254901960786E-2</v>
      </c>
      <c r="G1192" s="14">
        <f>INDEX(Background!$C$4:$C$7,MATCH(C1192,Background!$A$4:$A$7,0))</f>
        <v>0.18550136449513679</v>
      </c>
      <c r="H1192" s="17">
        <f t="shared" si="65"/>
        <v>-0.68898797348500673</v>
      </c>
    </row>
    <row r="1193" spans="1:8">
      <c r="A1193" s="4" t="s">
        <v>768</v>
      </c>
      <c r="B1193" s="4">
        <v>40</v>
      </c>
      <c r="C1193" s="4" t="s">
        <v>73</v>
      </c>
      <c r="D1193" s="4" t="s">
        <v>781</v>
      </c>
      <c r="E1193" s="4" t="str">
        <f t="shared" si="64"/>
        <v>40|A</v>
      </c>
      <c r="F1193" s="14">
        <f>INDEX('Emission Stepwise'!$H$2:$H$289,MATCH(E1193,'Emission Stepwise'!$C$2:$C$289,0))</f>
        <v>9.8039215686274508E-3</v>
      </c>
      <c r="G1193" s="14">
        <f>INDEX(Background!$C$4:$C$7,MATCH(C1193,Background!$A$4:$A$7,0))</f>
        <v>0.18550136449513679</v>
      </c>
      <c r="H1193" s="17">
        <f t="shared" si="65"/>
        <v>-2.9402797720915017</v>
      </c>
    </row>
    <row r="1194" spans="1:8">
      <c r="A1194" s="4" t="s">
        <v>768</v>
      </c>
      <c r="B1194" s="4">
        <v>41</v>
      </c>
      <c r="C1194" s="4" t="s">
        <v>72</v>
      </c>
      <c r="D1194" s="4" t="s">
        <v>781</v>
      </c>
      <c r="E1194" s="4" t="str">
        <f t="shared" si="64"/>
        <v>41|U</v>
      </c>
      <c r="F1194" s="14">
        <f>INDEX('Emission Stepwise'!$H$2:$H$289,MATCH(E1194,'Emission Stepwise'!$C$2:$C$289,0))</f>
        <v>0.16666666666666666</v>
      </c>
      <c r="G1194" s="14">
        <f>INDEX(Background!$C$4:$C$7,MATCH(C1194,Background!$A$4:$A$7,0))</f>
        <v>0.21314113777902177</v>
      </c>
      <c r="H1194" s="17">
        <f t="shared" si="65"/>
        <v>-0.24595875520136748</v>
      </c>
    </row>
    <row r="1195" spans="1:8">
      <c r="A1195" s="4" t="s">
        <v>768</v>
      </c>
      <c r="B1195" s="4">
        <v>42</v>
      </c>
      <c r="C1195" s="4" t="s">
        <v>70</v>
      </c>
      <c r="D1195" s="4" t="s">
        <v>781</v>
      </c>
      <c r="E1195" s="4" t="str">
        <f t="shared" si="64"/>
        <v>42|G</v>
      </c>
      <c r="F1195" s="14">
        <f>INDEX('Emission Stepwise'!$H$2:$H$289,MATCH(E1195,'Emission Stepwise'!$C$2:$C$289,0))</f>
        <v>0.51960784313725494</v>
      </c>
      <c r="G1195" s="14">
        <f>INDEX(Background!$C$4:$C$7,MATCH(C1195,Background!$A$4:$A$7,0))</f>
        <v>0.32488979077741237</v>
      </c>
      <c r="H1195" s="17">
        <f t="shared" si="65"/>
        <v>0.46958835972972385</v>
      </c>
    </row>
    <row r="1196" spans="1:8">
      <c r="A1196" s="4" t="s">
        <v>768</v>
      </c>
      <c r="B1196" s="4">
        <v>43</v>
      </c>
      <c r="C1196" s="4" t="s">
        <v>72</v>
      </c>
      <c r="D1196" s="4" t="s">
        <v>781</v>
      </c>
      <c r="E1196" s="4" t="str">
        <f t="shared" si="64"/>
        <v>43|U</v>
      </c>
      <c r="F1196" s="14">
        <f>INDEX('Emission Stepwise'!$H$2:$H$289,MATCH(E1196,'Emission Stepwise'!$C$2:$C$289,0))</f>
        <v>0.16176470588235295</v>
      </c>
      <c r="G1196" s="14">
        <f>INDEX(Background!$C$4:$C$7,MATCH(C1196,Background!$A$4:$A$7,0))</f>
        <v>0.21314113777902177</v>
      </c>
      <c r="H1196" s="17">
        <f t="shared" si="65"/>
        <v>-0.27581171835104856</v>
      </c>
    </row>
    <row r="1197" spans="1:8">
      <c r="A1197" s="4" t="s">
        <v>768</v>
      </c>
      <c r="B1197" s="4">
        <v>44</v>
      </c>
      <c r="C1197" s="4" t="s">
        <v>73</v>
      </c>
      <c r="D1197" s="4" t="s">
        <v>781</v>
      </c>
      <c r="E1197" s="4" t="str">
        <f t="shared" si="64"/>
        <v>44|A</v>
      </c>
      <c r="F1197" s="14">
        <f>INDEX('Emission Stepwise'!$H$2:$H$289,MATCH(E1197,'Emission Stepwise'!$C$2:$C$289,0))</f>
        <v>0.49509803921568629</v>
      </c>
      <c r="G1197" s="14">
        <f>INDEX(Background!$C$4:$C$7,MATCH(C1197,Background!$A$4:$A$7,0))</f>
        <v>0.18550136449513679</v>
      </c>
      <c r="H1197" s="17">
        <f t="shared" si="65"/>
        <v>0.98169356418981235</v>
      </c>
    </row>
    <row r="1198" spans="1:8">
      <c r="A1198" s="4" t="s">
        <v>768</v>
      </c>
      <c r="B1198" s="4">
        <v>45</v>
      </c>
      <c r="C1198" s="4" t="s">
        <v>72</v>
      </c>
      <c r="D1198" s="4" t="s">
        <v>782</v>
      </c>
      <c r="E1198" s="4" t="str">
        <f t="shared" si="64"/>
        <v>45|U</v>
      </c>
      <c r="F1198" s="14">
        <f>INDEX('Emission Stepwise'!$H$2:$H$289,MATCH(E1198,'Emission Stepwise'!$C$2:$C$289,0))</f>
        <v>0.14356435643564355</v>
      </c>
      <c r="G1198" s="14">
        <f>INDEX(Background!$C$4:$C$7,MATCH(C1198,Background!$A$4:$A$7,0))</f>
        <v>0.21314113777902177</v>
      </c>
      <c r="H1198" s="17">
        <f t="shared" si="65"/>
        <v>-0.39517115338804326</v>
      </c>
    </row>
    <row r="1199" spans="1:8">
      <c r="A1199" s="4" t="s">
        <v>768</v>
      </c>
      <c r="B1199" s="4">
        <v>46</v>
      </c>
      <c r="C1199" s="4" t="s">
        <v>77</v>
      </c>
      <c r="D1199" s="4" t="s">
        <v>782</v>
      </c>
      <c r="E1199" s="4"/>
      <c r="F1199" s="4"/>
      <c r="G1199" s="4"/>
      <c r="H1199" s="4"/>
    </row>
    <row r="1200" spans="1:8">
      <c r="A1200" s="4" t="s">
        <v>768</v>
      </c>
      <c r="B1200" s="4">
        <v>47</v>
      </c>
      <c r="C1200" s="4" t="s">
        <v>70</v>
      </c>
      <c r="D1200" s="4" t="s">
        <v>782</v>
      </c>
      <c r="E1200" s="4" t="str">
        <f t="shared" ref="E1200:E1231" si="66">B1200&amp;"|"&amp;C1200</f>
        <v>47|G</v>
      </c>
      <c r="F1200" s="14">
        <f>INDEX('Emission Stepwise'!$H$2:$H$289,MATCH(E1200,'Emission Stepwise'!$C$2:$C$289,0))</f>
        <v>8.3333333333333329E-2</v>
      </c>
      <c r="G1200" s="14">
        <f>INDEX(Background!$C$4:$C$7,MATCH(C1200,Background!$A$4:$A$7,0))</f>
        <v>0.32488979077741237</v>
      </c>
      <c r="H1200" s="17">
        <f t="shared" ref="H1200:H1231" si="67">LN(F1200/G1200)</f>
        <v>-1.3606373903261273</v>
      </c>
    </row>
    <row r="1201" spans="1:8">
      <c r="A1201" s="4" t="s">
        <v>768</v>
      </c>
      <c r="B1201" s="4">
        <v>48</v>
      </c>
      <c r="C1201" s="4" t="s">
        <v>70</v>
      </c>
      <c r="D1201" s="4" t="s">
        <v>782</v>
      </c>
      <c r="E1201" s="4" t="str">
        <f t="shared" si="66"/>
        <v>48|G</v>
      </c>
      <c r="F1201" s="14">
        <f>INDEX('Emission Stepwise'!$H$2:$H$289,MATCH(E1201,'Emission Stepwise'!$C$2:$C$289,0))</f>
        <v>1.4705882352941176E-2</v>
      </c>
      <c r="G1201" s="14">
        <f>INDEX(Background!$C$4:$C$7,MATCH(C1201,Background!$A$4:$A$7,0))</f>
        <v>0.32488979077741237</v>
      </c>
      <c r="H1201" s="17">
        <f t="shared" si="67"/>
        <v>-3.0952384457142337</v>
      </c>
    </row>
    <row r="1202" spans="1:8">
      <c r="A1202" s="4" t="s">
        <v>768</v>
      </c>
      <c r="B1202" s="4">
        <v>49</v>
      </c>
      <c r="C1202" s="4" t="s">
        <v>73</v>
      </c>
      <c r="D1202" s="4" t="s">
        <v>783</v>
      </c>
      <c r="E1202" s="4" t="str">
        <f t="shared" si="66"/>
        <v>49|A</v>
      </c>
      <c r="F1202" s="14">
        <f>INDEX('Emission Stepwise'!$H$2:$H$289,MATCH(E1202,'Emission Stepwise'!$C$2:$C$289,0))</f>
        <v>0.15686274509803921</v>
      </c>
      <c r="G1202" s="14">
        <f>INDEX(Background!$C$4:$C$7,MATCH(C1202,Background!$A$4:$A$7,0))</f>
        <v>0.18550136449513679</v>
      </c>
      <c r="H1202" s="17">
        <f t="shared" si="67"/>
        <v>-0.16769104985172067</v>
      </c>
    </row>
    <row r="1203" spans="1:8">
      <c r="A1203" s="4" t="s">
        <v>768</v>
      </c>
      <c r="B1203" s="4">
        <v>50</v>
      </c>
      <c r="C1203" s="4" t="s">
        <v>73</v>
      </c>
      <c r="D1203" s="4" t="s">
        <v>783</v>
      </c>
      <c r="E1203" s="4" t="str">
        <f t="shared" si="66"/>
        <v>50|A</v>
      </c>
      <c r="F1203" s="14">
        <f>INDEX('Emission Stepwise'!$H$2:$H$289,MATCH(E1203,'Emission Stepwise'!$C$2:$C$289,0))</f>
        <v>0.11764705882352941</v>
      </c>
      <c r="G1203" s="14">
        <f>INDEX(Background!$C$4:$C$7,MATCH(C1203,Background!$A$4:$A$7,0))</f>
        <v>0.18550136449513679</v>
      </c>
      <c r="H1203" s="17">
        <f t="shared" si="67"/>
        <v>-0.45537312230350152</v>
      </c>
    </row>
    <row r="1204" spans="1:8">
      <c r="A1204" s="4" t="s">
        <v>768</v>
      </c>
      <c r="B1204" s="4">
        <v>51</v>
      </c>
      <c r="C1204" s="4" t="s">
        <v>73</v>
      </c>
      <c r="D1204" s="4" t="s">
        <v>783</v>
      </c>
      <c r="E1204" s="4" t="str">
        <f t="shared" si="66"/>
        <v>51|A</v>
      </c>
      <c r="F1204" s="14">
        <f>INDEX('Emission Stepwise'!$H$2:$H$289,MATCH(E1204,'Emission Stepwise'!$C$2:$C$289,0))</f>
        <v>0.14285714285714285</v>
      </c>
      <c r="G1204" s="14">
        <f>INDEX(Background!$C$4:$C$7,MATCH(C1204,Background!$A$4:$A$7,0))</f>
        <v>0.18550136449513679</v>
      </c>
      <c r="H1204" s="17">
        <f t="shared" si="67"/>
        <v>-0.26121710786254415</v>
      </c>
    </row>
    <row r="1205" spans="1:8">
      <c r="A1205" s="4" t="s">
        <v>768</v>
      </c>
      <c r="B1205" s="4">
        <v>52</v>
      </c>
      <c r="C1205" s="4" t="s">
        <v>70</v>
      </c>
      <c r="D1205" s="4" t="s">
        <v>783</v>
      </c>
      <c r="E1205" s="4" t="str">
        <f t="shared" si="66"/>
        <v>52|G</v>
      </c>
      <c r="F1205" s="14">
        <f>INDEX('Emission Stepwise'!$H$2:$H$289,MATCH(E1205,'Emission Stepwise'!$C$2:$C$289,0))</f>
        <v>0.82843137254901966</v>
      </c>
      <c r="G1205" s="14">
        <f>INDEX(Background!$C$4:$C$7,MATCH(C1205,Background!$A$4:$A$7,0))</f>
        <v>0.32488979077741237</v>
      </c>
      <c r="H1205" s="17">
        <f t="shared" si="67"/>
        <v>0.93604798054073013</v>
      </c>
    </row>
    <row r="1206" spans="1:8">
      <c r="A1206" s="4" t="s">
        <v>768</v>
      </c>
      <c r="B1206" s="4">
        <v>53</v>
      </c>
      <c r="C1206" s="4" t="s">
        <v>70</v>
      </c>
      <c r="D1206" s="4" t="s">
        <v>783</v>
      </c>
      <c r="E1206" s="4" t="str">
        <f t="shared" si="66"/>
        <v>53|G</v>
      </c>
      <c r="F1206" s="14">
        <f>INDEX('Emission Stepwise'!$H$2:$H$289,MATCH(E1206,'Emission Stepwise'!$C$2:$C$289,0))</f>
        <v>0.96568627450980393</v>
      </c>
      <c r="G1206" s="14">
        <f>INDEX(Background!$C$4:$C$7,MATCH(C1206,Background!$A$4:$A$7,0))</f>
        <v>0.32488979077741237</v>
      </c>
      <c r="H1206" s="17">
        <f t="shared" si="67"/>
        <v>1.089352994355645</v>
      </c>
    </row>
    <row r="1207" spans="1:8">
      <c r="A1207" s="4" t="s">
        <v>768</v>
      </c>
      <c r="B1207" s="4">
        <v>54</v>
      </c>
      <c r="C1207" s="4" t="s">
        <v>73</v>
      </c>
      <c r="D1207" s="4" t="s">
        <v>783</v>
      </c>
      <c r="E1207" s="4" t="str">
        <f t="shared" si="66"/>
        <v>54|A</v>
      </c>
      <c r="F1207" s="14">
        <f>INDEX('Emission Stepwise'!$H$2:$H$289,MATCH(E1207,'Emission Stepwise'!$C$2:$C$289,0))</f>
        <v>1.4705882352941176E-2</v>
      </c>
      <c r="G1207" s="14">
        <f>INDEX(Background!$C$4:$C$7,MATCH(C1207,Background!$A$4:$A$7,0))</f>
        <v>0.18550136449513679</v>
      </c>
      <c r="H1207" s="17">
        <f t="shared" si="67"/>
        <v>-2.5348146639833375</v>
      </c>
    </row>
    <row r="1208" spans="1:8">
      <c r="A1208" s="4" t="s">
        <v>768</v>
      </c>
      <c r="B1208" s="4">
        <v>55</v>
      </c>
      <c r="C1208" s="4" t="s">
        <v>72</v>
      </c>
      <c r="D1208" s="4" t="s">
        <v>783</v>
      </c>
      <c r="E1208" s="4" t="str">
        <f t="shared" si="66"/>
        <v>55|U</v>
      </c>
      <c r="F1208" s="14">
        <f>INDEX('Emission Stepwise'!$H$2:$H$289,MATCH(E1208,'Emission Stepwise'!$C$2:$C$289,0))</f>
        <v>0.97058823529411764</v>
      </c>
      <c r="G1208" s="14">
        <f>INDEX(Background!$C$4:$C$7,MATCH(C1208,Background!$A$4:$A$7,0))</f>
        <v>0.21314113777902177</v>
      </c>
      <c r="H1208" s="17">
        <f t="shared" si="67"/>
        <v>1.5159477508770065</v>
      </c>
    </row>
    <row r="1209" spans="1:8">
      <c r="A1209" s="4" t="s">
        <v>768</v>
      </c>
      <c r="B1209" s="4">
        <v>56</v>
      </c>
      <c r="C1209" s="4" t="s">
        <v>71</v>
      </c>
      <c r="D1209" s="4" t="s">
        <v>783</v>
      </c>
      <c r="E1209" s="4" t="str">
        <f t="shared" si="66"/>
        <v>56|C</v>
      </c>
      <c r="F1209" s="14">
        <f>INDEX('Emission Stepwise'!$H$2:$H$289,MATCH(E1209,'Emission Stepwise'!$C$2:$C$289,0))</f>
        <v>0.96568627450980393</v>
      </c>
      <c r="G1209" s="14">
        <f>INDEX(Background!$C$4:$C$7,MATCH(C1209,Background!$A$4:$A$7,0))</f>
        <v>0.27646770694842909</v>
      </c>
      <c r="H1209" s="17">
        <f t="shared" si="67"/>
        <v>1.250744991964176</v>
      </c>
    </row>
    <row r="1210" spans="1:8">
      <c r="A1210" s="4" t="s">
        <v>768</v>
      </c>
      <c r="B1210" s="4">
        <v>57</v>
      </c>
      <c r="C1210" s="4" t="s">
        <v>70</v>
      </c>
      <c r="D1210" s="4" t="s">
        <v>783</v>
      </c>
      <c r="E1210" s="4" t="str">
        <f t="shared" si="66"/>
        <v>57|G</v>
      </c>
      <c r="F1210" s="14">
        <f>INDEX('Emission Stepwise'!$H$2:$H$289,MATCH(E1210,'Emission Stepwise'!$C$2:$C$289,0))</f>
        <v>0.60098522167487689</v>
      </c>
      <c r="G1210" s="14">
        <f>INDEX(Background!$C$4:$C$7,MATCH(C1210,Background!$A$4:$A$7,0))</f>
        <v>0.32488979077741237</v>
      </c>
      <c r="H1210" s="17">
        <f t="shared" si="67"/>
        <v>0.61508432515334222</v>
      </c>
    </row>
    <row r="1211" spans="1:8">
      <c r="A1211" s="4" t="s">
        <v>768</v>
      </c>
      <c r="B1211" s="4">
        <v>58</v>
      </c>
      <c r="C1211" s="4" t="s">
        <v>72</v>
      </c>
      <c r="D1211" s="4" t="s">
        <v>783</v>
      </c>
      <c r="E1211" s="4" t="str">
        <f t="shared" si="66"/>
        <v>58|U</v>
      </c>
      <c r="F1211" s="14">
        <f>INDEX('Emission Stepwise'!$H$2:$H$289,MATCH(E1211,'Emission Stepwise'!$C$2:$C$289,0))</f>
        <v>9.8039215686274508E-3</v>
      </c>
      <c r="G1211" s="14">
        <f>INDEX(Background!$C$4:$C$7,MATCH(C1211,Background!$A$4:$A$7,0))</f>
        <v>0.21314113777902177</v>
      </c>
      <c r="H1211" s="17">
        <f t="shared" si="67"/>
        <v>-3.0791720992575837</v>
      </c>
    </row>
    <row r="1212" spans="1:8">
      <c r="A1212" s="4" t="s">
        <v>768</v>
      </c>
      <c r="B1212" s="4">
        <v>59</v>
      </c>
      <c r="C1212" s="4" t="s">
        <v>71</v>
      </c>
      <c r="D1212" s="4" t="s">
        <v>783</v>
      </c>
      <c r="E1212" s="4" t="str">
        <f t="shared" si="66"/>
        <v>59|C</v>
      </c>
      <c r="F1212" s="14">
        <f>INDEX('Emission Stepwise'!$H$2:$H$289,MATCH(E1212,'Emission Stepwise'!$C$2:$C$289,0))</f>
        <v>6.3725490196078427E-2</v>
      </c>
      <c r="G1212" s="14">
        <f>INDEX(Background!$C$4:$C$7,MATCH(C1212,Background!$A$4:$A$7,0))</f>
        <v>0.27646770694842909</v>
      </c>
      <c r="H1212" s="17">
        <f t="shared" si="67"/>
        <v>-1.4675093793122758</v>
      </c>
    </row>
    <row r="1213" spans="1:8">
      <c r="A1213" s="4" t="s">
        <v>768</v>
      </c>
      <c r="B1213" s="4">
        <v>60</v>
      </c>
      <c r="C1213" s="4" t="s">
        <v>72</v>
      </c>
      <c r="D1213" s="4" t="s">
        <v>783</v>
      </c>
      <c r="E1213" s="4" t="str">
        <f t="shared" si="66"/>
        <v>60|U</v>
      </c>
      <c r="F1213" s="14">
        <f>INDEX('Emission Stepwise'!$H$2:$H$289,MATCH(E1213,'Emission Stepwise'!$C$2:$C$289,0))</f>
        <v>0.77450980392156865</v>
      </c>
      <c r="G1213" s="14">
        <f>INDEX(Background!$C$4:$C$7,MATCH(C1213,Background!$A$4:$A$7,0))</f>
        <v>0.21314113777902177</v>
      </c>
      <c r="H1213" s="17">
        <f t="shared" si="67"/>
        <v>1.290275753209438</v>
      </c>
    </row>
    <row r="1214" spans="1:8">
      <c r="A1214" s="4" t="s">
        <v>768</v>
      </c>
      <c r="B1214" s="4">
        <v>61</v>
      </c>
      <c r="C1214" s="4" t="s">
        <v>71</v>
      </c>
      <c r="D1214" s="4" t="s">
        <v>783</v>
      </c>
      <c r="E1214" s="4" t="str">
        <f t="shared" si="66"/>
        <v>61|C</v>
      </c>
      <c r="F1214" s="14">
        <f>INDEX('Emission Stepwise'!$H$2:$H$289,MATCH(E1214,'Emission Stepwise'!$C$2:$C$289,0))</f>
        <v>0.97549019607843135</v>
      </c>
      <c r="G1214" s="14">
        <f>INDEX(Background!$C$4:$C$7,MATCH(C1214,Background!$A$4:$A$7,0))</f>
        <v>0.27646770694842909</v>
      </c>
      <c r="H1214" s="17">
        <f t="shared" si="67"/>
        <v>1.26084608795068</v>
      </c>
    </row>
    <row r="1215" spans="1:8">
      <c r="A1215" s="4" t="s">
        <v>768</v>
      </c>
      <c r="B1215" s="4">
        <v>62</v>
      </c>
      <c r="C1215" s="4" t="s">
        <v>72</v>
      </c>
      <c r="D1215" s="4" t="s">
        <v>783</v>
      </c>
      <c r="E1215" s="4" t="str">
        <f t="shared" si="66"/>
        <v>62|U</v>
      </c>
      <c r="F1215" s="14">
        <f>INDEX('Emission Stepwise'!$H$2:$H$289,MATCH(E1215,'Emission Stepwise'!$C$2:$C$289,0))</f>
        <v>0.13235294117647059</v>
      </c>
      <c r="G1215" s="14">
        <f>INDEX(Background!$C$4:$C$7,MATCH(C1215,Background!$A$4:$A$7,0))</f>
        <v>0.21314113777902177</v>
      </c>
      <c r="H1215" s="17">
        <f t="shared" si="67"/>
        <v>-0.47648241381319967</v>
      </c>
    </row>
    <row r="1216" spans="1:8">
      <c r="A1216" s="4" t="s">
        <v>768</v>
      </c>
      <c r="B1216" s="4">
        <v>63</v>
      </c>
      <c r="C1216" s="4" t="s">
        <v>72</v>
      </c>
      <c r="D1216" s="4" t="s">
        <v>783</v>
      </c>
      <c r="E1216" s="4" t="str">
        <f t="shared" si="66"/>
        <v>63|U</v>
      </c>
      <c r="F1216" s="14">
        <f>INDEX('Emission Stepwise'!$H$2:$H$289,MATCH(E1216,'Emission Stepwise'!$C$2:$C$289,0))</f>
        <v>0.16176470588235295</v>
      </c>
      <c r="G1216" s="14">
        <f>INDEX(Background!$C$4:$C$7,MATCH(C1216,Background!$A$4:$A$7,0))</f>
        <v>0.21314113777902177</v>
      </c>
      <c r="H1216" s="17">
        <f t="shared" si="67"/>
        <v>-0.27581171835104856</v>
      </c>
    </row>
    <row r="1217" spans="1:8">
      <c r="A1217" s="4" t="s">
        <v>768</v>
      </c>
      <c r="B1217" s="4">
        <v>64</v>
      </c>
      <c r="C1217" s="4" t="s">
        <v>72</v>
      </c>
      <c r="D1217" s="4" t="s">
        <v>783</v>
      </c>
      <c r="E1217" s="4" t="str">
        <f t="shared" si="66"/>
        <v>64|U</v>
      </c>
      <c r="F1217" s="14">
        <f>INDEX('Emission Stepwise'!$H$2:$H$289,MATCH(E1217,'Emission Stepwise'!$C$2:$C$289,0))</f>
        <v>0.16666666666666666</v>
      </c>
      <c r="G1217" s="14">
        <f>INDEX(Background!$C$4:$C$7,MATCH(C1217,Background!$A$4:$A$7,0))</f>
        <v>0.21314113777902177</v>
      </c>
      <c r="H1217" s="17">
        <f t="shared" si="67"/>
        <v>-0.24595875520136748</v>
      </c>
    </row>
    <row r="1218" spans="1:8">
      <c r="A1218" s="4" t="s">
        <v>768</v>
      </c>
      <c r="B1218" s="4">
        <v>65</v>
      </c>
      <c r="C1218" s="4" t="s">
        <v>72</v>
      </c>
      <c r="D1218" s="4" t="s">
        <v>783</v>
      </c>
      <c r="E1218" s="4" t="str">
        <f t="shared" si="66"/>
        <v>65|U</v>
      </c>
      <c r="F1218" s="14">
        <f>INDEX('Emission Stepwise'!$H$2:$H$289,MATCH(E1218,'Emission Stepwise'!$C$2:$C$289,0))</f>
        <v>0.34975369458128081</v>
      </c>
      <c r="G1218" s="14">
        <f>INDEX(Background!$C$4:$C$7,MATCH(C1218,Background!$A$4:$A$7,0))</f>
        <v>0.21314113777902177</v>
      </c>
      <c r="H1218" s="17">
        <f t="shared" si="67"/>
        <v>0.49527461202621575</v>
      </c>
    </row>
    <row r="1219" spans="1:8">
      <c r="A1219" s="4" t="s">
        <v>768</v>
      </c>
      <c r="B1219" s="4">
        <v>66</v>
      </c>
      <c r="C1219" s="4" t="s">
        <v>72</v>
      </c>
      <c r="D1219" s="4" t="s">
        <v>784</v>
      </c>
      <c r="E1219" s="4" t="str">
        <f t="shared" si="66"/>
        <v>66|U</v>
      </c>
      <c r="F1219" s="14">
        <f>INDEX('Emission Stepwise'!$H$2:$H$289,MATCH(E1219,'Emission Stepwise'!$C$2:$C$289,0))</f>
        <v>0.25</v>
      </c>
      <c r="G1219" s="14">
        <f>INDEX(Background!$C$4:$C$7,MATCH(C1219,Background!$A$4:$A$7,0))</f>
        <v>0.21314113777902177</v>
      </c>
      <c r="H1219" s="17">
        <f t="shared" si="67"/>
        <v>0.15950635290679691</v>
      </c>
    </row>
    <row r="1220" spans="1:8">
      <c r="A1220" s="4" t="s">
        <v>768</v>
      </c>
      <c r="B1220" s="4">
        <v>67</v>
      </c>
      <c r="C1220" s="4" t="s">
        <v>72</v>
      </c>
      <c r="D1220" s="4" t="s">
        <v>784</v>
      </c>
      <c r="E1220" s="4" t="str">
        <f t="shared" si="66"/>
        <v>67|U</v>
      </c>
      <c r="F1220" s="14">
        <f>INDEX('Emission Stepwise'!$H$2:$H$289,MATCH(E1220,'Emission Stepwise'!$C$2:$C$289,0))</f>
        <v>0.19117647058823528</v>
      </c>
      <c r="G1220" s="14">
        <f>INDEX(Background!$C$4:$C$7,MATCH(C1220,Background!$A$4:$A$7,0))</f>
        <v>0.21314113777902177</v>
      </c>
      <c r="H1220" s="17">
        <f t="shared" si="67"/>
        <v>-0.1087576336878824</v>
      </c>
    </row>
    <row r="1221" spans="1:8">
      <c r="A1221" s="4" t="s">
        <v>768</v>
      </c>
      <c r="B1221" s="4">
        <v>68</v>
      </c>
      <c r="C1221" s="4" t="s">
        <v>73</v>
      </c>
      <c r="D1221" s="4" t="s">
        <v>784</v>
      </c>
      <c r="E1221" s="4" t="str">
        <f t="shared" si="66"/>
        <v>68|A</v>
      </c>
      <c r="F1221" s="14">
        <f>INDEX('Emission Stepwise'!$H$2:$H$289,MATCH(E1221,'Emission Stepwise'!$C$2:$C$289,0))</f>
        <v>7.8431372549019607E-2</v>
      </c>
      <c r="G1221" s="14">
        <f>INDEX(Background!$C$4:$C$7,MATCH(C1221,Background!$A$4:$A$7,0))</f>
        <v>0.18550136449513679</v>
      </c>
      <c r="H1221" s="17">
        <f t="shared" si="67"/>
        <v>-0.86083823041166596</v>
      </c>
    </row>
    <row r="1222" spans="1:8">
      <c r="A1222" s="4" t="s">
        <v>768</v>
      </c>
      <c r="B1222" s="4">
        <v>69</v>
      </c>
      <c r="C1222" s="4" t="s">
        <v>73</v>
      </c>
      <c r="D1222" s="4" t="s">
        <v>784</v>
      </c>
      <c r="E1222" s="4" t="str">
        <f t="shared" si="66"/>
        <v>69|A</v>
      </c>
      <c r="F1222" s="14">
        <f>INDEX('Emission Stepwise'!$H$2:$H$289,MATCH(E1222,'Emission Stepwise'!$C$2:$C$289,0))</f>
        <v>0.12745098039215685</v>
      </c>
      <c r="G1222" s="14">
        <f>INDEX(Background!$C$4:$C$7,MATCH(C1222,Background!$A$4:$A$7,0))</f>
        <v>0.18550136449513679</v>
      </c>
      <c r="H1222" s="17">
        <f t="shared" si="67"/>
        <v>-0.37533041462996508</v>
      </c>
    </row>
    <row r="1223" spans="1:8">
      <c r="A1223" s="4" t="s">
        <v>768</v>
      </c>
      <c r="B1223" s="4">
        <v>70</v>
      </c>
      <c r="C1223" s="4" t="s">
        <v>72</v>
      </c>
      <c r="D1223" s="4" t="s">
        <v>784</v>
      </c>
      <c r="E1223" s="4" t="str">
        <f t="shared" si="66"/>
        <v>70|U</v>
      </c>
      <c r="F1223" s="14">
        <f>INDEX('Emission Stepwise'!$H$2:$H$289,MATCH(E1223,'Emission Stepwise'!$C$2:$C$289,0))</f>
        <v>0.15196078431372548</v>
      </c>
      <c r="G1223" s="14">
        <f>INDEX(Background!$C$4:$C$7,MATCH(C1223,Background!$A$4:$A$7,0))</f>
        <v>0.21314113777902177</v>
      </c>
      <c r="H1223" s="17">
        <f t="shared" si="67"/>
        <v>-0.33833207533238269</v>
      </c>
    </row>
    <row r="1224" spans="1:8">
      <c r="A1224" s="4" t="s">
        <v>768</v>
      </c>
      <c r="B1224" s="4">
        <v>71</v>
      </c>
      <c r="C1224" s="4" t="s">
        <v>73</v>
      </c>
      <c r="D1224" s="4" t="s">
        <v>784</v>
      </c>
      <c r="E1224" s="4" t="str">
        <f t="shared" si="66"/>
        <v>71|A</v>
      </c>
      <c r="F1224" s="14">
        <f>INDEX('Emission Stepwise'!$H$2:$H$289,MATCH(E1224,'Emission Stepwise'!$C$2:$C$289,0))</f>
        <v>2.9411764705882353E-2</v>
      </c>
      <c r="G1224" s="14">
        <f>INDEX(Background!$C$4:$C$7,MATCH(C1224,Background!$A$4:$A$7,0))</f>
        <v>0.18550136449513679</v>
      </c>
      <c r="H1224" s="17">
        <f t="shared" si="67"/>
        <v>-1.8416674834233921</v>
      </c>
    </row>
    <row r="1225" spans="1:8">
      <c r="A1225" s="4" t="s">
        <v>768</v>
      </c>
      <c r="B1225" s="4">
        <v>72</v>
      </c>
      <c r="C1225" s="4" t="s">
        <v>72</v>
      </c>
      <c r="D1225" s="4" t="s">
        <v>784</v>
      </c>
      <c r="E1225" s="4" t="str">
        <f t="shared" si="66"/>
        <v>72|U</v>
      </c>
      <c r="F1225" s="14">
        <f>INDEX('Emission Stepwise'!$H$2:$H$289,MATCH(E1225,'Emission Stepwise'!$C$2:$C$289,0))</f>
        <v>0.10784313725490197</v>
      </c>
      <c r="G1225" s="14">
        <f>INDEX(Background!$C$4:$C$7,MATCH(C1225,Background!$A$4:$A$7,0))</f>
        <v>0.21314113777902177</v>
      </c>
      <c r="H1225" s="17">
        <f t="shared" si="67"/>
        <v>-0.68127682645921295</v>
      </c>
    </row>
    <row r="1226" spans="1:8">
      <c r="A1226" s="4" t="s">
        <v>769</v>
      </c>
      <c r="B1226" s="4">
        <v>1</v>
      </c>
      <c r="C1226" s="4" t="s">
        <v>71</v>
      </c>
      <c r="D1226" s="4" t="s">
        <v>778</v>
      </c>
      <c r="E1226" s="4" t="str">
        <f t="shared" si="66"/>
        <v>1|C</v>
      </c>
      <c r="F1226" s="14">
        <f>INDEX('Emission Stepwise'!$H$2:$H$289,MATCH(E1226,'Emission Stepwise'!$C$2:$C$289,0))</f>
        <v>0.11274509803921569</v>
      </c>
      <c r="G1226" s="14">
        <f>INDEX(Background!$C$4:$C$7,MATCH(C1226,Background!$A$4:$A$7,0))</f>
        <v>0.27646770694842909</v>
      </c>
      <c r="H1226" s="17">
        <f t="shared" si="67"/>
        <v>-0.89696452084466272</v>
      </c>
    </row>
    <row r="1227" spans="1:8">
      <c r="A1227" s="4" t="s">
        <v>769</v>
      </c>
      <c r="B1227" s="4">
        <v>2</v>
      </c>
      <c r="C1227" s="4" t="s">
        <v>71</v>
      </c>
      <c r="D1227" s="4" t="s">
        <v>778</v>
      </c>
      <c r="E1227" s="4" t="str">
        <f t="shared" si="66"/>
        <v>2|C</v>
      </c>
      <c r="F1227" s="14">
        <f>INDEX('Emission Stepwise'!$H$2:$H$289,MATCH(E1227,'Emission Stepwise'!$C$2:$C$289,0))</f>
        <v>0.40686274509803921</v>
      </c>
      <c r="G1227" s="14">
        <f>INDEX(Background!$C$4:$C$7,MATCH(C1227,Background!$A$4:$A$7,0))</f>
        <v>0.27646770694842909</v>
      </c>
      <c r="H1227" s="17">
        <f t="shared" si="67"/>
        <v>0.38638187102278543</v>
      </c>
    </row>
    <row r="1228" spans="1:8">
      <c r="A1228" s="4" t="s">
        <v>769</v>
      </c>
      <c r="B1228" s="4">
        <v>3</v>
      </c>
      <c r="C1228" s="4" t="s">
        <v>72</v>
      </c>
      <c r="D1228" s="4" t="s">
        <v>778</v>
      </c>
      <c r="E1228" s="4" t="str">
        <f t="shared" si="66"/>
        <v>3|U</v>
      </c>
      <c r="F1228" s="14">
        <f>INDEX('Emission Stepwise'!$H$2:$H$289,MATCH(E1228,'Emission Stepwise'!$C$2:$C$289,0))</f>
        <v>0.11764705882352941</v>
      </c>
      <c r="G1228" s="14">
        <f>INDEX(Background!$C$4:$C$7,MATCH(C1228,Background!$A$4:$A$7,0))</f>
        <v>0.21314113777902177</v>
      </c>
      <c r="H1228" s="17">
        <f t="shared" si="67"/>
        <v>-0.59426544946958315</v>
      </c>
    </row>
    <row r="1229" spans="1:8">
      <c r="A1229" s="4" t="s">
        <v>769</v>
      </c>
      <c r="B1229" s="4">
        <v>4</v>
      </c>
      <c r="C1229" s="4" t="s">
        <v>72</v>
      </c>
      <c r="D1229" s="4" t="s">
        <v>778</v>
      </c>
      <c r="E1229" s="4" t="str">
        <f t="shared" si="66"/>
        <v>4|U</v>
      </c>
      <c r="F1229" s="14">
        <f>INDEX('Emission Stepwise'!$H$2:$H$289,MATCH(E1229,'Emission Stepwise'!$C$2:$C$289,0))</f>
        <v>0.17156862745098039</v>
      </c>
      <c r="G1229" s="14">
        <f>INDEX(Background!$C$4:$C$7,MATCH(C1229,Background!$A$4:$A$7,0))</f>
        <v>0.21314113777902177</v>
      </c>
      <c r="H1229" s="17">
        <f t="shared" si="67"/>
        <v>-0.21697121832811511</v>
      </c>
    </row>
    <row r="1230" spans="1:8">
      <c r="A1230" s="4" t="s">
        <v>769</v>
      </c>
      <c r="B1230" s="4">
        <v>5</v>
      </c>
      <c r="C1230" s="4" t="s">
        <v>72</v>
      </c>
      <c r="D1230" s="4" t="s">
        <v>778</v>
      </c>
      <c r="E1230" s="4" t="str">
        <f t="shared" si="66"/>
        <v>5|U</v>
      </c>
      <c r="F1230" s="14">
        <f>INDEX('Emission Stepwise'!$H$2:$H$289,MATCH(E1230,'Emission Stepwise'!$C$2:$C$289,0))</f>
        <v>0.10784313725490197</v>
      </c>
      <c r="G1230" s="14">
        <f>INDEX(Background!$C$4:$C$7,MATCH(C1230,Background!$A$4:$A$7,0))</f>
        <v>0.21314113777902177</v>
      </c>
      <c r="H1230" s="17">
        <f t="shared" si="67"/>
        <v>-0.68127682645921295</v>
      </c>
    </row>
    <row r="1231" spans="1:8">
      <c r="A1231" s="4" t="s">
        <v>769</v>
      </c>
      <c r="B1231" s="4">
        <v>6</v>
      </c>
      <c r="C1231" s="4" t="s">
        <v>73</v>
      </c>
      <c r="D1231" s="4" t="s">
        <v>778</v>
      </c>
      <c r="E1231" s="4" t="str">
        <f t="shared" si="66"/>
        <v>6|A</v>
      </c>
      <c r="F1231" s="14">
        <f>INDEX('Emission Stepwise'!$H$2:$H$289,MATCH(E1231,'Emission Stepwise'!$C$2:$C$289,0))</f>
        <v>0.17156862745098039</v>
      </c>
      <c r="G1231" s="14">
        <f>INDEX(Background!$C$4:$C$7,MATCH(C1231,Background!$A$4:$A$7,0))</f>
        <v>0.18550136449513679</v>
      </c>
      <c r="H1231" s="17">
        <f t="shared" si="67"/>
        <v>-7.8078891162033495E-2</v>
      </c>
    </row>
    <row r="1232" spans="1:8">
      <c r="A1232" s="4" t="s">
        <v>769</v>
      </c>
      <c r="B1232" s="4">
        <v>7</v>
      </c>
      <c r="C1232" s="4" t="s">
        <v>72</v>
      </c>
      <c r="D1232" s="4" t="s">
        <v>778</v>
      </c>
      <c r="E1232" s="4" t="str">
        <f t="shared" ref="E1232:E1263" si="68">B1232&amp;"|"&amp;C1232</f>
        <v>7|U</v>
      </c>
      <c r="F1232" s="14">
        <f>INDEX('Emission Stepwise'!$H$2:$H$289,MATCH(E1232,'Emission Stepwise'!$C$2:$C$289,0))</f>
        <v>0.22058823529411764</v>
      </c>
      <c r="G1232" s="14">
        <f>INDEX(Background!$C$4:$C$7,MATCH(C1232,Background!$A$4:$A$7,0))</f>
        <v>0.21314113777902177</v>
      </c>
      <c r="H1232" s="17">
        <f t="shared" ref="H1232:H1263" si="69">LN(F1232/G1232)</f>
        <v>3.4343209952791019E-2</v>
      </c>
    </row>
    <row r="1233" spans="1:8">
      <c r="A1233" s="4" t="s">
        <v>769</v>
      </c>
      <c r="B1233" s="4">
        <v>8</v>
      </c>
      <c r="C1233" s="4" t="s">
        <v>72</v>
      </c>
      <c r="D1233" s="4" t="s">
        <v>779</v>
      </c>
      <c r="E1233" s="4" t="str">
        <f t="shared" si="68"/>
        <v>8|U</v>
      </c>
      <c r="F1233" s="14">
        <f>INDEX('Emission Stepwise'!$H$2:$H$289,MATCH(E1233,'Emission Stepwise'!$C$2:$C$289,0))</f>
        <v>0.97549019607843135</v>
      </c>
      <c r="G1233" s="14">
        <f>INDEX(Background!$C$4:$C$7,MATCH(C1233,Background!$A$4:$A$7,0))</f>
        <v>0.21314113777902177</v>
      </c>
      <c r="H1233" s="17">
        <f t="shared" si="69"/>
        <v>1.5209855449069636</v>
      </c>
    </row>
    <row r="1234" spans="1:8">
      <c r="A1234" s="4" t="s">
        <v>769</v>
      </c>
      <c r="B1234" s="4">
        <v>9</v>
      </c>
      <c r="C1234" s="4" t="s">
        <v>73</v>
      </c>
      <c r="D1234" s="4" t="s">
        <v>780</v>
      </c>
      <c r="E1234" s="4" t="str">
        <f t="shared" si="68"/>
        <v>9|A</v>
      </c>
      <c r="F1234" s="14">
        <f>INDEX('Emission Stepwise'!$H$2:$H$289,MATCH(E1234,'Emission Stepwise'!$C$2:$C$289,0))</f>
        <v>0.65024630541871919</v>
      </c>
      <c r="G1234" s="14">
        <f>INDEX(Background!$C$4:$C$7,MATCH(C1234,Background!$A$4:$A$7,0))</f>
        <v>0.18550136449513679</v>
      </c>
      <c r="H1234" s="17">
        <f t="shared" si="69"/>
        <v>1.2542889847373526</v>
      </c>
    </row>
    <row r="1235" spans="1:8">
      <c r="A1235" s="4" t="s">
        <v>769</v>
      </c>
      <c r="B1235" s="4">
        <v>10</v>
      </c>
      <c r="C1235" s="4" t="s">
        <v>73</v>
      </c>
      <c r="D1235" s="4" t="s">
        <v>780</v>
      </c>
      <c r="E1235" s="4" t="str">
        <f t="shared" si="68"/>
        <v>10|A</v>
      </c>
      <c r="F1235" s="14">
        <f>INDEX('Emission Stepwise'!$H$2:$H$289,MATCH(E1235,'Emission Stepwise'!$C$2:$C$289,0))</f>
        <v>4.9019607843137254E-3</v>
      </c>
      <c r="G1235" s="14">
        <f>INDEX(Background!$C$4:$C$7,MATCH(C1235,Background!$A$4:$A$7,0))</f>
        <v>0.18550136449513679</v>
      </c>
      <c r="H1235" s="17">
        <f t="shared" si="69"/>
        <v>-3.6334269526514471</v>
      </c>
    </row>
    <row r="1236" spans="1:8">
      <c r="A1236" s="4" t="s">
        <v>769</v>
      </c>
      <c r="B1236" s="4">
        <v>11</v>
      </c>
      <c r="C1236" s="4" t="s">
        <v>73</v>
      </c>
      <c r="D1236" s="4" t="s">
        <v>780</v>
      </c>
      <c r="E1236" s="4" t="str">
        <f t="shared" si="68"/>
        <v>11|A</v>
      </c>
      <c r="F1236" s="14">
        <f>INDEX('Emission Stepwise'!$H$2:$H$289,MATCH(E1236,'Emission Stepwise'!$C$2:$C$289,0))</f>
        <v>3.9215686274509803E-2</v>
      </c>
      <c r="G1236" s="14">
        <f>INDEX(Background!$C$4:$C$7,MATCH(C1236,Background!$A$4:$A$7,0))</f>
        <v>0.18550136449513679</v>
      </c>
      <c r="H1236" s="17">
        <f t="shared" si="69"/>
        <v>-1.5539854109716114</v>
      </c>
    </row>
    <row r="1237" spans="1:8">
      <c r="A1237" s="4" t="s">
        <v>769</v>
      </c>
      <c r="B1237" s="4">
        <v>12</v>
      </c>
      <c r="C1237" s="4" t="s">
        <v>70</v>
      </c>
      <c r="D1237" s="4" t="s">
        <v>780</v>
      </c>
      <c r="E1237" s="4" t="str">
        <f t="shared" si="68"/>
        <v>12|G</v>
      </c>
      <c r="F1237" s="14">
        <f>INDEX('Emission Stepwise'!$H$2:$H$289,MATCH(E1237,'Emission Stepwise'!$C$2:$C$289,0))</f>
        <v>0.19117647058823528</v>
      </c>
      <c r="G1237" s="14">
        <f>INDEX(Background!$C$4:$C$7,MATCH(C1237,Background!$A$4:$A$7,0))</f>
        <v>0.32488979077741237</v>
      </c>
      <c r="H1237" s="17">
        <f t="shared" si="69"/>
        <v>-0.53028908825269705</v>
      </c>
    </row>
    <row r="1238" spans="1:8">
      <c r="A1238" s="4" t="s">
        <v>769</v>
      </c>
      <c r="B1238" s="4">
        <v>13</v>
      </c>
      <c r="C1238" s="4" t="s">
        <v>70</v>
      </c>
      <c r="D1238" s="4" t="s">
        <v>780</v>
      </c>
      <c r="E1238" s="4" t="str">
        <f t="shared" si="68"/>
        <v>13|G</v>
      </c>
      <c r="F1238" s="14">
        <f>INDEX('Emission Stepwise'!$H$2:$H$289,MATCH(E1238,'Emission Stepwise'!$C$2:$C$289,0))</f>
        <v>9.8039215686274508E-2</v>
      </c>
      <c r="G1238" s="14">
        <f>INDEX(Background!$C$4:$C$7,MATCH(C1238,Background!$A$4:$A$7,0))</f>
        <v>0.32488979077741237</v>
      </c>
      <c r="H1238" s="17">
        <f t="shared" si="69"/>
        <v>-1.1981184608283524</v>
      </c>
    </row>
    <row r="1239" spans="1:8">
      <c r="A1239" s="4" t="s">
        <v>769</v>
      </c>
      <c r="B1239" s="4">
        <v>14</v>
      </c>
      <c r="C1239" s="4" t="s">
        <v>72</v>
      </c>
      <c r="D1239" s="4" t="s">
        <v>780</v>
      </c>
      <c r="E1239" s="4" t="str">
        <f t="shared" si="68"/>
        <v>14|U</v>
      </c>
      <c r="F1239" s="14">
        <f>INDEX('Emission Stepwise'!$H$2:$H$289,MATCH(E1239,'Emission Stepwise'!$C$2:$C$289,0))</f>
        <v>4.9019607843137254E-3</v>
      </c>
      <c r="G1239" s="14">
        <f>INDEX(Background!$C$4:$C$7,MATCH(C1239,Background!$A$4:$A$7,0))</f>
        <v>0.21314113777902177</v>
      </c>
      <c r="H1239" s="17">
        <f t="shared" si="69"/>
        <v>-3.7723192798175287</v>
      </c>
    </row>
    <row r="1240" spans="1:8">
      <c r="A1240" s="4" t="s">
        <v>769</v>
      </c>
      <c r="B1240" s="4">
        <v>15</v>
      </c>
      <c r="C1240" s="4" t="s">
        <v>72</v>
      </c>
      <c r="D1240" s="4" t="s">
        <v>780</v>
      </c>
      <c r="E1240" s="4" t="str">
        <f t="shared" si="68"/>
        <v>15|U</v>
      </c>
      <c r="F1240" s="14">
        <f>INDEX('Emission Stepwise'!$H$2:$H$289,MATCH(E1240,'Emission Stepwise'!$C$2:$C$289,0))</f>
        <v>1.4778325123152709E-2</v>
      </c>
      <c r="G1240" s="14">
        <f>INDEX(Background!$C$4:$C$7,MATCH(C1240,Background!$A$4:$A$7,0))</f>
        <v>0.21314113777902177</v>
      </c>
      <c r="H1240" s="17">
        <f t="shared" si="69"/>
        <v>-2.6687929763469902</v>
      </c>
    </row>
    <row r="1241" spans="1:8">
      <c r="A1241" s="4" t="s">
        <v>769</v>
      </c>
      <c r="B1241" s="4">
        <v>16</v>
      </c>
      <c r="C1241" s="4" t="s">
        <v>72</v>
      </c>
      <c r="D1241" s="4" t="s">
        <v>780</v>
      </c>
      <c r="E1241" s="4" t="str">
        <f t="shared" si="68"/>
        <v>16|U</v>
      </c>
      <c r="F1241" s="14">
        <f>INDEX('Emission Stepwise'!$H$2:$H$289,MATCH(E1241,'Emission Stepwise'!$C$2:$C$289,0))</f>
        <v>0.58394160583941601</v>
      </c>
      <c r="G1241" s="14">
        <f>INDEX(Background!$C$4:$C$7,MATCH(C1241,Background!$A$4:$A$7,0))</f>
        <v>0.21314113777902177</v>
      </c>
      <c r="H1241" s="17">
        <f t="shared" si="69"/>
        <v>1.0078464228724442</v>
      </c>
    </row>
    <row r="1242" spans="1:8">
      <c r="A1242" s="4" t="s">
        <v>769</v>
      </c>
      <c r="B1242" s="4">
        <v>17</v>
      </c>
      <c r="C1242" s="4" t="s">
        <v>71</v>
      </c>
      <c r="D1242" s="4" t="s">
        <v>780</v>
      </c>
      <c r="E1242" s="4" t="str">
        <f t="shared" si="68"/>
        <v>17|C</v>
      </c>
      <c r="F1242" s="14">
        <f>INDEX('Emission Stepwise'!$H$2:$H$289,MATCH(E1242,'Emission Stepwise'!$C$2:$C$289,0))</f>
        <v>0.31840796019900497</v>
      </c>
      <c r="G1242" s="14">
        <f>INDEX(Background!$C$4:$C$7,MATCH(C1242,Background!$A$4:$A$7,0))</f>
        <v>0.27646770694842909</v>
      </c>
      <c r="H1242" s="17">
        <f t="shared" si="69"/>
        <v>0.14123943237100009</v>
      </c>
    </row>
    <row r="1243" spans="1:8">
      <c r="A1243" s="4" t="s">
        <v>769</v>
      </c>
      <c r="B1243" s="4">
        <v>18</v>
      </c>
      <c r="C1243" s="4" t="s">
        <v>70</v>
      </c>
      <c r="D1243" s="4" t="s">
        <v>780</v>
      </c>
      <c r="E1243" s="4" t="str">
        <f t="shared" si="68"/>
        <v>18|G</v>
      </c>
      <c r="F1243" s="14">
        <f>INDEX('Emission Stepwise'!$H$2:$H$289,MATCH(E1243,'Emission Stepwise'!$C$2:$C$289,0))</f>
        <v>0.98039215686274506</v>
      </c>
      <c r="G1243" s="14">
        <f>INDEX(Background!$C$4:$C$7,MATCH(C1243,Background!$A$4:$A$7,0))</f>
        <v>0.32488979077741237</v>
      </c>
      <c r="H1243" s="17">
        <f t="shared" si="69"/>
        <v>1.1044666321656933</v>
      </c>
    </row>
    <row r="1244" spans="1:8">
      <c r="A1244" s="4" t="s">
        <v>769</v>
      </c>
      <c r="B1244" s="4">
        <v>19</v>
      </c>
      <c r="C1244" s="4" t="s">
        <v>70</v>
      </c>
      <c r="D1244" s="4" t="s">
        <v>780</v>
      </c>
      <c r="E1244" s="4" t="str">
        <f t="shared" si="68"/>
        <v>19|G</v>
      </c>
      <c r="F1244" s="14">
        <f>INDEX('Emission Stepwise'!$H$2:$H$289,MATCH(E1244,'Emission Stepwise'!$C$2:$C$289,0))</f>
        <v>0.97058823529411764</v>
      </c>
      <c r="G1244" s="14">
        <f>INDEX(Background!$C$4:$C$7,MATCH(C1244,Background!$A$4:$A$7,0))</f>
        <v>0.32488979077741237</v>
      </c>
      <c r="H1244" s="17">
        <f t="shared" si="69"/>
        <v>1.0944162963121917</v>
      </c>
    </row>
    <row r="1245" spans="1:8">
      <c r="A1245" s="4" t="s">
        <v>769</v>
      </c>
      <c r="B1245" s="4">
        <v>20</v>
      </c>
      <c r="C1245" s="4" t="s">
        <v>73</v>
      </c>
      <c r="D1245" s="4" t="s">
        <v>780</v>
      </c>
      <c r="E1245" s="4" t="str">
        <f t="shared" si="68"/>
        <v>20|A</v>
      </c>
      <c r="F1245" s="14">
        <f>INDEX('Emission Stepwise'!$H$2:$H$289,MATCH(E1245,'Emission Stepwise'!$C$2:$C$289,0))</f>
        <v>8.8669950738916259E-2</v>
      </c>
      <c r="G1245" s="14">
        <f>INDEX(Background!$C$4:$C$7,MATCH(C1245,Background!$A$4:$A$7,0))</f>
        <v>0.18550136449513679</v>
      </c>
      <c r="H1245" s="17">
        <f t="shared" si="69"/>
        <v>-0.73814117995285333</v>
      </c>
    </row>
    <row r="1246" spans="1:8">
      <c r="A1246" s="4" t="s">
        <v>769</v>
      </c>
      <c r="B1246" s="4">
        <v>21</v>
      </c>
      <c r="C1246" s="4" t="s">
        <v>73</v>
      </c>
      <c r="D1246" s="4" t="s">
        <v>780</v>
      </c>
      <c r="E1246" s="4" t="str">
        <f t="shared" si="68"/>
        <v>21|A</v>
      </c>
      <c r="F1246" s="14">
        <f>INDEX('Emission Stepwise'!$H$2:$H$289,MATCH(E1246,'Emission Stepwise'!$C$2:$C$289,0))</f>
        <v>0.88235294117647056</v>
      </c>
      <c r="G1246" s="14">
        <f>INDEX(Background!$C$4:$C$7,MATCH(C1246,Background!$A$4:$A$7,0))</f>
        <v>0.18550136449513679</v>
      </c>
      <c r="H1246" s="17">
        <f t="shared" si="69"/>
        <v>1.5595298982387631</v>
      </c>
    </row>
    <row r="1247" spans="1:8">
      <c r="A1247" s="4" t="s">
        <v>769</v>
      </c>
      <c r="B1247" s="4">
        <v>22</v>
      </c>
      <c r="C1247" s="4" t="s">
        <v>72</v>
      </c>
      <c r="D1247" s="4" t="s">
        <v>780</v>
      </c>
      <c r="E1247" s="4" t="str">
        <f t="shared" si="68"/>
        <v>22|U</v>
      </c>
      <c r="F1247" s="14">
        <f>INDEX('Emission Stepwise'!$H$2:$H$289,MATCH(E1247,'Emission Stepwise'!$C$2:$C$289,0))</f>
        <v>7.3529411764705885E-2</v>
      </c>
      <c r="G1247" s="14">
        <f>INDEX(Background!$C$4:$C$7,MATCH(C1247,Background!$A$4:$A$7,0))</f>
        <v>0.21314113777902177</v>
      </c>
      <c r="H1247" s="17">
        <f t="shared" si="69"/>
        <v>-1.0642690787153186</v>
      </c>
    </row>
    <row r="1248" spans="1:8">
      <c r="A1248" s="4" t="s">
        <v>769</v>
      </c>
      <c r="B1248" s="4">
        <v>23</v>
      </c>
      <c r="C1248" s="4" t="s">
        <v>72</v>
      </c>
      <c r="D1248" s="4" t="s">
        <v>780</v>
      </c>
      <c r="E1248" s="4" t="str">
        <f t="shared" si="68"/>
        <v>23|U</v>
      </c>
      <c r="F1248" s="14">
        <f>INDEX('Emission Stepwise'!$H$2:$H$289,MATCH(E1248,'Emission Stepwise'!$C$2:$C$289,0))</f>
        <v>6.3725490196078427E-2</v>
      </c>
      <c r="G1248" s="14">
        <f>INDEX(Background!$C$4:$C$7,MATCH(C1248,Background!$A$4:$A$7,0))</f>
        <v>0.21314113777902177</v>
      </c>
      <c r="H1248" s="17">
        <f t="shared" si="69"/>
        <v>-1.2073699223559922</v>
      </c>
    </row>
    <row r="1249" spans="1:8">
      <c r="A1249" s="4" t="s">
        <v>769</v>
      </c>
      <c r="B1249" s="4">
        <v>24</v>
      </c>
      <c r="C1249" s="4" t="s">
        <v>72</v>
      </c>
      <c r="D1249" s="4" t="s">
        <v>780</v>
      </c>
      <c r="E1249" s="4" t="str">
        <f t="shared" si="68"/>
        <v>24|U</v>
      </c>
      <c r="F1249" s="14">
        <f>INDEX('Emission Stepwise'!$H$2:$H$289,MATCH(E1249,'Emission Stepwise'!$C$2:$C$289,0))</f>
        <v>3.9215686274509803E-2</v>
      </c>
      <c r="G1249" s="14">
        <f>INDEX(Background!$C$4:$C$7,MATCH(C1249,Background!$A$4:$A$7,0))</f>
        <v>0.21314113777902177</v>
      </c>
      <c r="H1249" s="17">
        <f t="shared" si="69"/>
        <v>-1.6928777381376929</v>
      </c>
    </row>
    <row r="1250" spans="1:8">
      <c r="A1250" s="4" t="s">
        <v>769</v>
      </c>
      <c r="B1250" s="4">
        <v>25</v>
      </c>
      <c r="C1250" s="4" t="s">
        <v>71</v>
      </c>
      <c r="D1250" s="4" t="s">
        <v>780</v>
      </c>
      <c r="E1250" s="4" t="str">
        <f t="shared" si="68"/>
        <v>25|C</v>
      </c>
      <c r="F1250" s="14">
        <f>INDEX('Emission Stepwise'!$H$2:$H$289,MATCH(E1250,'Emission Stepwise'!$C$2:$C$289,0))</f>
        <v>0.87745098039215685</v>
      </c>
      <c r="G1250" s="14">
        <f>INDEX(Background!$C$4:$C$7,MATCH(C1250,Background!$A$4:$A$7,0))</f>
        <v>0.27646770694842909</v>
      </c>
      <c r="H1250" s="17">
        <f t="shared" si="69"/>
        <v>1.1549270690669426</v>
      </c>
    </row>
    <row r="1251" spans="1:8">
      <c r="A1251" s="4" t="s">
        <v>769</v>
      </c>
      <c r="B1251" s="4">
        <v>26</v>
      </c>
      <c r="C1251" s="4" t="s">
        <v>72</v>
      </c>
      <c r="D1251" s="4" t="s">
        <v>781</v>
      </c>
      <c r="E1251" s="4" t="str">
        <f t="shared" si="68"/>
        <v>26|U</v>
      </c>
      <c r="F1251" s="14">
        <f>INDEX('Emission Stepwise'!$H$2:$H$289,MATCH(E1251,'Emission Stepwise'!$C$2:$C$289,0))</f>
        <v>5.8823529411764705E-2</v>
      </c>
      <c r="G1251" s="14">
        <f>INDEX(Background!$C$4:$C$7,MATCH(C1251,Background!$A$4:$A$7,0))</f>
        <v>0.21314113777902177</v>
      </c>
      <c r="H1251" s="17">
        <f t="shared" si="69"/>
        <v>-1.2874126300295285</v>
      </c>
    </row>
    <row r="1252" spans="1:8">
      <c r="A1252" s="4" t="s">
        <v>769</v>
      </c>
      <c r="B1252" s="4">
        <v>27</v>
      </c>
      <c r="C1252" s="4" t="s">
        <v>72</v>
      </c>
      <c r="D1252" s="4" t="s">
        <v>781</v>
      </c>
      <c r="E1252" s="4" t="str">
        <f t="shared" si="68"/>
        <v>27|U</v>
      </c>
      <c r="F1252" s="14">
        <f>INDEX('Emission Stepwise'!$H$2:$H$289,MATCH(E1252,'Emission Stepwise'!$C$2:$C$289,0))</f>
        <v>0.25980392156862747</v>
      </c>
      <c r="G1252" s="14">
        <f>INDEX(Background!$C$4:$C$7,MATCH(C1252,Background!$A$4:$A$7,0))</f>
        <v>0.21314113777902177</v>
      </c>
      <c r="H1252" s="17">
        <f t="shared" si="69"/>
        <v>0.19797263373459306</v>
      </c>
    </row>
    <row r="1253" spans="1:8">
      <c r="A1253" s="4" t="s">
        <v>769</v>
      </c>
      <c r="B1253" s="4">
        <v>28</v>
      </c>
      <c r="C1253" s="4" t="s">
        <v>73</v>
      </c>
      <c r="D1253" s="4" t="s">
        <v>781</v>
      </c>
      <c r="E1253" s="4" t="str">
        <f t="shared" si="68"/>
        <v>28|A</v>
      </c>
      <c r="F1253" s="14">
        <f>INDEX('Emission Stepwise'!$H$2:$H$289,MATCH(E1253,'Emission Stepwise'!$C$2:$C$289,0))</f>
        <v>0.12254901960784313</v>
      </c>
      <c r="G1253" s="14">
        <f>INDEX(Background!$C$4:$C$7,MATCH(C1253,Background!$A$4:$A$7,0))</f>
        <v>0.18550136449513679</v>
      </c>
      <c r="H1253" s="17">
        <f t="shared" si="69"/>
        <v>-0.41455112778324649</v>
      </c>
    </row>
    <row r="1254" spans="1:8">
      <c r="A1254" s="4" t="s">
        <v>769</v>
      </c>
      <c r="B1254" s="4">
        <v>29</v>
      </c>
      <c r="C1254" s="4" t="s">
        <v>73</v>
      </c>
      <c r="D1254" s="4" t="s">
        <v>781</v>
      </c>
      <c r="E1254" s="4" t="str">
        <f t="shared" si="68"/>
        <v>29|A</v>
      </c>
      <c r="F1254" s="14">
        <f>INDEX('Emission Stepwise'!$H$2:$H$289,MATCH(E1254,'Emission Stepwise'!$C$2:$C$289,0))</f>
        <v>0.16176470588235295</v>
      </c>
      <c r="G1254" s="14">
        <f>INDEX(Background!$C$4:$C$7,MATCH(C1254,Background!$A$4:$A$7,0))</f>
        <v>0.18550136449513679</v>
      </c>
      <c r="H1254" s="17">
        <f t="shared" si="69"/>
        <v>-0.13691939118496679</v>
      </c>
    </row>
    <row r="1255" spans="1:8">
      <c r="A1255" s="4" t="s">
        <v>769</v>
      </c>
      <c r="B1255" s="4">
        <v>30</v>
      </c>
      <c r="C1255" s="4" t="s">
        <v>72</v>
      </c>
      <c r="D1255" s="4" t="s">
        <v>781</v>
      </c>
      <c r="E1255" s="4" t="str">
        <f t="shared" si="68"/>
        <v>30|U</v>
      </c>
      <c r="F1255" s="14">
        <f>INDEX('Emission Stepwise'!$H$2:$H$289,MATCH(E1255,'Emission Stepwise'!$C$2:$C$289,0))</f>
        <v>3.9215686274509803E-2</v>
      </c>
      <c r="G1255" s="14">
        <f>INDEX(Background!$C$4:$C$7,MATCH(C1255,Background!$A$4:$A$7,0))</f>
        <v>0.21314113777902177</v>
      </c>
      <c r="H1255" s="17">
        <f t="shared" si="69"/>
        <v>-1.6928777381376929</v>
      </c>
    </row>
    <row r="1256" spans="1:8">
      <c r="A1256" s="4" t="s">
        <v>769</v>
      </c>
      <c r="B1256" s="4">
        <v>31</v>
      </c>
      <c r="C1256" s="4" t="s">
        <v>73</v>
      </c>
      <c r="D1256" s="4" t="s">
        <v>781</v>
      </c>
      <c r="E1256" s="4" t="str">
        <f t="shared" si="68"/>
        <v>31|A</v>
      </c>
      <c r="F1256" s="14">
        <f>INDEX('Emission Stepwise'!$H$2:$H$289,MATCH(E1256,'Emission Stepwise'!$C$2:$C$289,0))</f>
        <v>0.26960784313725489</v>
      </c>
      <c r="G1256" s="14">
        <f>INDEX(Background!$C$4:$C$7,MATCH(C1256,Background!$A$4:$A$7,0))</f>
        <v>0.18550136449513679</v>
      </c>
      <c r="H1256" s="17">
        <f t="shared" si="69"/>
        <v>0.37390623258102373</v>
      </c>
    </row>
    <row r="1257" spans="1:8">
      <c r="A1257" s="4" t="s">
        <v>769</v>
      </c>
      <c r="B1257" s="4">
        <v>32</v>
      </c>
      <c r="C1257" s="4" t="s">
        <v>72</v>
      </c>
      <c r="D1257" s="4" t="s">
        <v>781</v>
      </c>
      <c r="E1257" s="4" t="str">
        <f t="shared" si="68"/>
        <v>32|U</v>
      </c>
      <c r="F1257" s="14">
        <f>INDEX('Emission Stepwise'!$H$2:$H$289,MATCH(E1257,'Emission Stepwise'!$C$2:$C$289,0))</f>
        <v>0.29411764705882354</v>
      </c>
      <c r="G1257" s="14">
        <f>INDEX(Background!$C$4:$C$7,MATCH(C1257,Background!$A$4:$A$7,0))</f>
        <v>0.21314113777902177</v>
      </c>
      <c r="H1257" s="17">
        <f t="shared" si="69"/>
        <v>0.32202528240457201</v>
      </c>
    </row>
    <row r="1258" spans="1:8">
      <c r="A1258" s="4" t="s">
        <v>769</v>
      </c>
      <c r="B1258" s="4">
        <v>33</v>
      </c>
      <c r="C1258" s="4" t="s">
        <v>72</v>
      </c>
      <c r="D1258" s="4" t="s">
        <v>781</v>
      </c>
      <c r="E1258" s="4" t="str">
        <f t="shared" si="68"/>
        <v>33|U</v>
      </c>
      <c r="F1258" s="14">
        <f>INDEX('Emission Stepwise'!$H$2:$H$289,MATCH(E1258,'Emission Stepwise'!$C$2:$C$289,0))</f>
        <v>0.97549019607843135</v>
      </c>
      <c r="G1258" s="14">
        <f>INDEX(Background!$C$4:$C$7,MATCH(C1258,Background!$A$4:$A$7,0))</f>
        <v>0.21314113777902177</v>
      </c>
      <c r="H1258" s="17">
        <f t="shared" si="69"/>
        <v>1.5209855449069636</v>
      </c>
    </row>
    <row r="1259" spans="1:8">
      <c r="A1259" s="4" t="s">
        <v>769</v>
      </c>
      <c r="B1259" s="4">
        <v>34</v>
      </c>
      <c r="C1259" s="4" t="s">
        <v>71</v>
      </c>
      <c r="D1259" s="4" t="s">
        <v>781</v>
      </c>
      <c r="E1259" s="4" t="str">
        <f t="shared" si="68"/>
        <v>34|C</v>
      </c>
      <c r="F1259" s="14">
        <f>INDEX('Emission Stepwise'!$H$2:$H$289,MATCH(E1259,'Emission Stepwise'!$C$2:$C$289,0))</f>
        <v>0.32843137254901961</v>
      </c>
      <c r="G1259" s="14">
        <f>INDEX(Background!$C$4:$C$7,MATCH(C1259,Background!$A$4:$A$7,0))</f>
        <v>0.27646770694842909</v>
      </c>
      <c r="H1259" s="17">
        <f t="shared" si="69"/>
        <v>0.17223388261715358</v>
      </c>
    </row>
    <row r="1260" spans="1:8">
      <c r="A1260" s="4" t="s">
        <v>769</v>
      </c>
      <c r="B1260" s="4">
        <v>35</v>
      </c>
      <c r="C1260" s="4" t="s">
        <v>72</v>
      </c>
      <c r="D1260" s="4" t="s">
        <v>781</v>
      </c>
      <c r="E1260" s="4" t="str">
        <f t="shared" si="68"/>
        <v>35|U</v>
      </c>
      <c r="F1260" s="14">
        <f>INDEX('Emission Stepwise'!$H$2:$H$289,MATCH(E1260,'Emission Stepwise'!$C$2:$C$289,0))</f>
        <v>0.20588235294117646</v>
      </c>
      <c r="G1260" s="14">
        <f>INDEX(Background!$C$4:$C$7,MATCH(C1260,Background!$A$4:$A$7,0))</f>
        <v>0.21314113777902177</v>
      </c>
      <c r="H1260" s="17">
        <f t="shared" si="69"/>
        <v>-3.4649661534160589E-2</v>
      </c>
    </row>
    <row r="1261" spans="1:8">
      <c r="A1261" s="4" t="s">
        <v>769</v>
      </c>
      <c r="B1261" s="4">
        <v>36</v>
      </c>
      <c r="C1261" s="4" t="s">
        <v>73</v>
      </c>
      <c r="D1261" s="4" t="s">
        <v>781</v>
      </c>
      <c r="E1261" s="4" t="str">
        <f t="shared" si="68"/>
        <v>36|A</v>
      </c>
      <c r="F1261" s="14">
        <f>INDEX('Emission Stepwise'!$H$2:$H$289,MATCH(E1261,'Emission Stepwise'!$C$2:$C$289,0))</f>
        <v>0.21568627450980393</v>
      </c>
      <c r="G1261" s="14">
        <f>INDEX(Background!$C$4:$C$7,MATCH(C1261,Background!$A$4:$A$7,0))</f>
        <v>0.18550136449513679</v>
      </c>
      <c r="H1261" s="17">
        <f t="shared" si="69"/>
        <v>0.15076268126681408</v>
      </c>
    </row>
    <row r="1262" spans="1:8">
      <c r="A1262" s="4" t="s">
        <v>769</v>
      </c>
      <c r="B1262" s="4">
        <v>37</v>
      </c>
      <c r="C1262" s="4" t="s">
        <v>73</v>
      </c>
      <c r="D1262" s="4" t="s">
        <v>781</v>
      </c>
      <c r="E1262" s="4" t="str">
        <f t="shared" si="68"/>
        <v>37|A</v>
      </c>
      <c r="F1262" s="14">
        <f>INDEX('Emission Stepwise'!$H$2:$H$289,MATCH(E1262,'Emission Stepwise'!$C$2:$C$289,0))</f>
        <v>0.74509803921568629</v>
      </c>
      <c r="G1262" s="14">
        <f>INDEX(Background!$C$4:$C$7,MATCH(C1262,Background!$A$4:$A$7,0))</f>
        <v>0.18550136449513679</v>
      </c>
      <c r="H1262" s="17">
        <f t="shared" si="69"/>
        <v>1.3904535681948293</v>
      </c>
    </row>
    <row r="1263" spans="1:8">
      <c r="A1263" s="4" t="s">
        <v>769</v>
      </c>
      <c r="B1263" s="4">
        <v>38</v>
      </c>
      <c r="C1263" s="4" t="s">
        <v>73</v>
      </c>
      <c r="D1263" s="4" t="s">
        <v>781</v>
      </c>
      <c r="E1263" s="4" t="str">
        <f t="shared" si="68"/>
        <v>38|A</v>
      </c>
      <c r="F1263" s="14">
        <f>INDEX('Emission Stepwise'!$H$2:$H$289,MATCH(E1263,'Emission Stepwise'!$C$2:$C$289,0))</f>
        <v>0.72549019607843135</v>
      </c>
      <c r="G1263" s="14">
        <f>INDEX(Background!$C$4:$C$7,MATCH(C1263,Background!$A$4:$A$7,0))</f>
        <v>0.18550136449513679</v>
      </c>
      <c r="H1263" s="17">
        <f t="shared" si="69"/>
        <v>1.3637853211126678</v>
      </c>
    </row>
    <row r="1264" spans="1:8">
      <c r="A1264" s="4" t="s">
        <v>769</v>
      </c>
      <c r="B1264" s="4">
        <v>39</v>
      </c>
      <c r="C1264" s="4" t="s">
        <v>73</v>
      </c>
      <c r="D1264" s="4" t="s">
        <v>781</v>
      </c>
      <c r="E1264" s="4" t="str">
        <f t="shared" ref="E1264:E1295" si="70">B1264&amp;"|"&amp;C1264</f>
        <v>39|A</v>
      </c>
      <c r="F1264" s="14">
        <f>INDEX('Emission Stepwise'!$H$2:$H$289,MATCH(E1264,'Emission Stepwise'!$C$2:$C$289,0))</f>
        <v>9.3137254901960786E-2</v>
      </c>
      <c r="G1264" s="14">
        <f>INDEX(Background!$C$4:$C$7,MATCH(C1264,Background!$A$4:$A$7,0))</f>
        <v>0.18550136449513679</v>
      </c>
      <c r="H1264" s="17">
        <f t="shared" ref="H1264:H1295" si="71">LN(F1264/G1264)</f>
        <v>-0.68898797348500673</v>
      </c>
    </row>
    <row r="1265" spans="1:8">
      <c r="A1265" s="4" t="s">
        <v>769</v>
      </c>
      <c r="B1265" s="4">
        <v>40</v>
      </c>
      <c r="C1265" s="4" t="s">
        <v>73</v>
      </c>
      <c r="D1265" s="4" t="s">
        <v>781</v>
      </c>
      <c r="E1265" s="4" t="str">
        <f t="shared" si="70"/>
        <v>40|A</v>
      </c>
      <c r="F1265" s="14">
        <f>INDEX('Emission Stepwise'!$H$2:$H$289,MATCH(E1265,'Emission Stepwise'!$C$2:$C$289,0))</f>
        <v>9.8039215686274508E-3</v>
      </c>
      <c r="G1265" s="14">
        <f>INDEX(Background!$C$4:$C$7,MATCH(C1265,Background!$A$4:$A$7,0))</f>
        <v>0.18550136449513679</v>
      </c>
      <c r="H1265" s="17">
        <f t="shared" si="71"/>
        <v>-2.9402797720915017</v>
      </c>
    </row>
    <row r="1266" spans="1:8">
      <c r="A1266" s="4" t="s">
        <v>769</v>
      </c>
      <c r="B1266" s="4">
        <v>41</v>
      </c>
      <c r="C1266" s="4" t="s">
        <v>72</v>
      </c>
      <c r="D1266" s="4" t="s">
        <v>781</v>
      </c>
      <c r="E1266" s="4" t="str">
        <f t="shared" si="70"/>
        <v>41|U</v>
      </c>
      <c r="F1266" s="14">
        <f>INDEX('Emission Stepwise'!$H$2:$H$289,MATCH(E1266,'Emission Stepwise'!$C$2:$C$289,0))</f>
        <v>0.16666666666666666</v>
      </c>
      <c r="G1266" s="14">
        <f>INDEX(Background!$C$4:$C$7,MATCH(C1266,Background!$A$4:$A$7,0))</f>
        <v>0.21314113777902177</v>
      </c>
      <c r="H1266" s="17">
        <f t="shared" si="71"/>
        <v>-0.24595875520136748</v>
      </c>
    </row>
    <row r="1267" spans="1:8">
      <c r="A1267" s="4" t="s">
        <v>769</v>
      </c>
      <c r="B1267" s="4">
        <v>42</v>
      </c>
      <c r="C1267" s="4" t="s">
        <v>72</v>
      </c>
      <c r="D1267" s="4" t="s">
        <v>781</v>
      </c>
      <c r="E1267" s="4" t="str">
        <f t="shared" si="70"/>
        <v>42|U</v>
      </c>
      <c r="F1267" s="14">
        <f>INDEX('Emission Stepwise'!$H$2:$H$289,MATCH(E1267,'Emission Stepwise'!$C$2:$C$289,0))</f>
        <v>0.13235294117647059</v>
      </c>
      <c r="G1267" s="14">
        <f>INDEX(Background!$C$4:$C$7,MATCH(C1267,Background!$A$4:$A$7,0))</f>
        <v>0.21314113777902177</v>
      </c>
      <c r="H1267" s="17">
        <f t="shared" si="71"/>
        <v>-0.47648241381319967</v>
      </c>
    </row>
    <row r="1268" spans="1:8">
      <c r="A1268" s="4" t="s">
        <v>769</v>
      </c>
      <c r="B1268" s="4">
        <v>43</v>
      </c>
      <c r="C1268" s="4" t="s">
        <v>73</v>
      </c>
      <c r="D1268" s="4" t="s">
        <v>781</v>
      </c>
      <c r="E1268" s="4" t="str">
        <f t="shared" si="70"/>
        <v>43|A</v>
      </c>
      <c r="F1268" s="14">
        <f>INDEX('Emission Stepwise'!$H$2:$H$289,MATCH(E1268,'Emission Stepwise'!$C$2:$C$289,0))</f>
        <v>0.22549019607843138</v>
      </c>
      <c r="G1268" s="14">
        <f>INDEX(Background!$C$4:$C$7,MATCH(C1268,Background!$A$4:$A$7,0))</f>
        <v>0.18550136449513679</v>
      </c>
      <c r="H1268" s="17">
        <f t="shared" si="71"/>
        <v>0.1952144438376478</v>
      </c>
    </row>
    <row r="1269" spans="1:8">
      <c r="A1269" s="4" t="s">
        <v>769</v>
      </c>
      <c r="B1269" s="4">
        <v>44</v>
      </c>
      <c r="C1269" s="4" t="s">
        <v>73</v>
      </c>
      <c r="D1269" s="4" t="s">
        <v>781</v>
      </c>
      <c r="E1269" s="4" t="str">
        <f t="shared" si="70"/>
        <v>44|A</v>
      </c>
      <c r="F1269" s="14">
        <f>INDEX('Emission Stepwise'!$H$2:$H$289,MATCH(E1269,'Emission Stepwise'!$C$2:$C$289,0))</f>
        <v>0.49509803921568629</v>
      </c>
      <c r="G1269" s="14">
        <f>INDEX(Background!$C$4:$C$7,MATCH(C1269,Background!$A$4:$A$7,0))</f>
        <v>0.18550136449513679</v>
      </c>
      <c r="H1269" s="17">
        <f t="shared" si="71"/>
        <v>0.98169356418981235</v>
      </c>
    </row>
    <row r="1270" spans="1:8">
      <c r="A1270" s="4" t="s">
        <v>769</v>
      </c>
      <c r="B1270" s="4">
        <v>45</v>
      </c>
      <c r="C1270" s="4" t="s">
        <v>70</v>
      </c>
      <c r="D1270" s="4" t="s">
        <v>782</v>
      </c>
      <c r="E1270" s="4" t="str">
        <f t="shared" si="70"/>
        <v>45|G</v>
      </c>
      <c r="F1270" s="14">
        <f>INDEX('Emission Stepwise'!$H$2:$H$289,MATCH(E1270,'Emission Stepwise'!$C$2:$C$289,0))</f>
        <v>0.74752475247524752</v>
      </c>
      <c r="G1270" s="14">
        <f>INDEX(Background!$C$4:$C$7,MATCH(C1270,Background!$A$4:$A$7,0))</f>
        <v>0.32488979077741237</v>
      </c>
      <c r="H1270" s="17">
        <f t="shared" si="71"/>
        <v>0.8332813988755926</v>
      </c>
    </row>
    <row r="1271" spans="1:8">
      <c r="A1271" s="4" t="s">
        <v>769</v>
      </c>
      <c r="B1271" s="4">
        <v>46</v>
      </c>
      <c r="C1271" s="4" t="s">
        <v>72</v>
      </c>
      <c r="D1271" s="4" t="s">
        <v>782</v>
      </c>
      <c r="E1271" s="4" t="str">
        <f t="shared" si="70"/>
        <v>46|U</v>
      </c>
      <c r="F1271" s="14">
        <f>INDEX('Emission Stepwise'!$H$2:$H$289,MATCH(E1271,'Emission Stepwise'!$C$2:$C$289,0))</f>
        <v>7.5144508670520235E-2</v>
      </c>
      <c r="G1271" s="14">
        <f>INDEX(Background!$C$4:$C$7,MATCH(C1271,Background!$A$4:$A$7,0))</f>
        <v>0.21314113777902177</v>
      </c>
      <c r="H1271" s="17">
        <f t="shared" si="71"/>
        <v>-1.0425415230095545</v>
      </c>
    </row>
    <row r="1272" spans="1:8">
      <c r="A1272" s="4" t="s">
        <v>769</v>
      </c>
      <c r="B1272" s="4">
        <v>47</v>
      </c>
      <c r="C1272" s="4" t="s">
        <v>72</v>
      </c>
      <c r="D1272" s="4" t="s">
        <v>782</v>
      </c>
      <c r="E1272" s="4" t="str">
        <f t="shared" si="70"/>
        <v>47|U</v>
      </c>
      <c r="F1272" s="14">
        <f>INDEX('Emission Stepwise'!$H$2:$H$289,MATCH(E1272,'Emission Stepwise'!$C$2:$C$289,0))</f>
        <v>0.66666666666666663</v>
      </c>
      <c r="G1272" s="14">
        <f>INDEX(Background!$C$4:$C$7,MATCH(C1272,Background!$A$4:$A$7,0))</f>
        <v>0.21314113777902177</v>
      </c>
      <c r="H1272" s="17">
        <f t="shared" si="71"/>
        <v>1.1403356059185232</v>
      </c>
    </row>
    <row r="1273" spans="1:8">
      <c r="A1273" s="4" t="s">
        <v>769</v>
      </c>
      <c r="B1273" s="4">
        <v>48</v>
      </c>
      <c r="C1273" s="4" t="s">
        <v>70</v>
      </c>
      <c r="D1273" s="4" t="s">
        <v>782</v>
      </c>
      <c r="E1273" s="4" t="str">
        <f t="shared" si="70"/>
        <v>48|G</v>
      </c>
      <c r="F1273" s="14">
        <f>INDEX('Emission Stepwise'!$H$2:$H$289,MATCH(E1273,'Emission Stepwise'!$C$2:$C$289,0))</f>
        <v>1.4705882352941176E-2</v>
      </c>
      <c r="G1273" s="14">
        <f>INDEX(Background!$C$4:$C$7,MATCH(C1273,Background!$A$4:$A$7,0))</f>
        <v>0.32488979077741237</v>
      </c>
      <c r="H1273" s="17">
        <f t="shared" si="71"/>
        <v>-3.0952384457142337</v>
      </c>
    </row>
    <row r="1274" spans="1:8">
      <c r="A1274" s="4" t="s">
        <v>769</v>
      </c>
      <c r="B1274" s="4">
        <v>49</v>
      </c>
      <c r="C1274" s="4" t="s">
        <v>72</v>
      </c>
      <c r="D1274" s="4" t="s">
        <v>783</v>
      </c>
      <c r="E1274" s="4" t="str">
        <f t="shared" si="70"/>
        <v>49|U</v>
      </c>
      <c r="F1274" s="14">
        <f>INDEX('Emission Stepwise'!$H$2:$H$289,MATCH(E1274,'Emission Stepwise'!$C$2:$C$289,0))</f>
        <v>5.8823529411764705E-2</v>
      </c>
      <c r="G1274" s="14">
        <f>INDEX(Background!$C$4:$C$7,MATCH(C1274,Background!$A$4:$A$7,0))</f>
        <v>0.21314113777902177</v>
      </c>
      <c r="H1274" s="17">
        <f t="shared" si="71"/>
        <v>-1.2874126300295285</v>
      </c>
    </row>
    <row r="1275" spans="1:8">
      <c r="A1275" s="4" t="s">
        <v>769</v>
      </c>
      <c r="B1275" s="4">
        <v>50</v>
      </c>
      <c r="C1275" s="4" t="s">
        <v>72</v>
      </c>
      <c r="D1275" s="4" t="s">
        <v>783</v>
      </c>
      <c r="E1275" s="4" t="str">
        <f t="shared" si="70"/>
        <v>50|U</v>
      </c>
      <c r="F1275" s="14">
        <f>INDEX('Emission Stepwise'!$H$2:$H$289,MATCH(E1275,'Emission Stepwise'!$C$2:$C$289,0))</f>
        <v>0.18137254901960784</v>
      </c>
      <c r="G1275" s="14">
        <f>INDEX(Background!$C$4:$C$7,MATCH(C1275,Background!$A$4:$A$7,0))</f>
        <v>0.21314113777902177</v>
      </c>
      <c r="H1275" s="17">
        <f t="shared" si="71"/>
        <v>-0.16140136717330436</v>
      </c>
    </row>
    <row r="1276" spans="1:8">
      <c r="A1276" s="4" t="s">
        <v>769</v>
      </c>
      <c r="B1276" s="4">
        <v>51</v>
      </c>
      <c r="C1276" s="4" t="s">
        <v>72</v>
      </c>
      <c r="D1276" s="4" t="s">
        <v>783</v>
      </c>
      <c r="E1276" s="4" t="str">
        <f t="shared" si="70"/>
        <v>51|U</v>
      </c>
      <c r="F1276" s="14">
        <f>INDEX('Emission Stepwise'!$H$2:$H$289,MATCH(E1276,'Emission Stepwise'!$C$2:$C$289,0))</f>
        <v>0.15763546798029557</v>
      </c>
      <c r="G1276" s="14">
        <f>INDEX(Background!$C$4:$C$7,MATCH(C1276,Background!$A$4:$A$7,0))</f>
        <v>0.21314113777902177</v>
      </c>
      <c r="H1276" s="17">
        <f t="shared" si="71"/>
        <v>-0.30166936221537316</v>
      </c>
    </row>
    <row r="1277" spans="1:8">
      <c r="A1277" s="4" t="s">
        <v>769</v>
      </c>
      <c r="B1277" s="4">
        <v>52</v>
      </c>
      <c r="C1277" s="4" t="s">
        <v>71</v>
      </c>
      <c r="D1277" s="4" t="s">
        <v>783</v>
      </c>
      <c r="E1277" s="4" t="str">
        <f t="shared" si="70"/>
        <v>52|C</v>
      </c>
      <c r="F1277" s="14">
        <f>INDEX('Emission Stepwise'!$H$2:$H$289,MATCH(E1277,'Emission Stepwise'!$C$2:$C$289,0))</f>
        <v>1.4705882352941176E-2</v>
      </c>
      <c r="G1277" s="14">
        <f>INDEX(Background!$C$4:$C$7,MATCH(C1277,Background!$A$4:$A$7,0))</f>
        <v>0.27646770694842909</v>
      </c>
      <c r="H1277" s="17">
        <f t="shared" si="71"/>
        <v>-2.9338464481057027</v>
      </c>
    </row>
    <row r="1278" spans="1:8">
      <c r="A1278" s="4" t="s">
        <v>769</v>
      </c>
      <c r="B1278" s="4">
        <v>53</v>
      </c>
      <c r="C1278" s="4" t="s">
        <v>70</v>
      </c>
      <c r="D1278" s="4" t="s">
        <v>783</v>
      </c>
      <c r="E1278" s="4" t="str">
        <f t="shared" si="70"/>
        <v>53|G</v>
      </c>
      <c r="F1278" s="14">
        <f>INDEX('Emission Stepwise'!$H$2:$H$289,MATCH(E1278,'Emission Stepwise'!$C$2:$C$289,0))</f>
        <v>0.96568627450980393</v>
      </c>
      <c r="G1278" s="14">
        <f>INDEX(Background!$C$4:$C$7,MATCH(C1278,Background!$A$4:$A$7,0))</f>
        <v>0.32488979077741237</v>
      </c>
      <c r="H1278" s="17">
        <f t="shared" si="71"/>
        <v>1.089352994355645</v>
      </c>
    </row>
    <row r="1279" spans="1:8">
      <c r="A1279" s="4" t="s">
        <v>769</v>
      </c>
      <c r="B1279" s="4">
        <v>54</v>
      </c>
      <c r="C1279" s="4" t="s">
        <v>73</v>
      </c>
      <c r="D1279" s="4" t="s">
        <v>783</v>
      </c>
      <c r="E1279" s="4" t="str">
        <f t="shared" si="70"/>
        <v>54|A</v>
      </c>
      <c r="F1279" s="14">
        <f>INDEX('Emission Stepwise'!$H$2:$H$289,MATCH(E1279,'Emission Stepwise'!$C$2:$C$289,0))</f>
        <v>1.4705882352941176E-2</v>
      </c>
      <c r="G1279" s="14">
        <f>INDEX(Background!$C$4:$C$7,MATCH(C1279,Background!$A$4:$A$7,0))</f>
        <v>0.18550136449513679</v>
      </c>
      <c r="H1279" s="17">
        <f t="shared" si="71"/>
        <v>-2.5348146639833375</v>
      </c>
    </row>
    <row r="1280" spans="1:8">
      <c r="A1280" s="4" t="s">
        <v>769</v>
      </c>
      <c r="B1280" s="4">
        <v>55</v>
      </c>
      <c r="C1280" s="4" t="s">
        <v>72</v>
      </c>
      <c r="D1280" s="4" t="s">
        <v>783</v>
      </c>
      <c r="E1280" s="4" t="str">
        <f t="shared" si="70"/>
        <v>55|U</v>
      </c>
      <c r="F1280" s="14">
        <f>INDEX('Emission Stepwise'!$H$2:$H$289,MATCH(E1280,'Emission Stepwise'!$C$2:$C$289,0))</f>
        <v>0.97058823529411764</v>
      </c>
      <c r="G1280" s="14">
        <f>INDEX(Background!$C$4:$C$7,MATCH(C1280,Background!$A$4:$A$7,0))</f>
        <v>0.21314113777902177</v>
      </c>
      <c r="H1280" s="17">
        <f t="shared" si="71"/>
        <v>1.5159477508770065</v>
      </c>
    </row>
    <row r="1281" spans="1:8">
      <c r="A1281" s="4" t="s">
        <v>769</v>
      </c>
      <c r="B1281" s="4">
        <v>56</v>
      </c>
      <c r="C1281" s="4" t="s">
        <v>71</v>
      </c>
      <c r="D1281" s="4" t="s">
        <v>783</v>
      </c>
      <c r="E1281" s="4" t="str">
        <f t="shared" si="70"/>
        <v>56|C</v>
      </c>
      <c r="F1281" s="14">
        <f>INDEX('Emission Stepwise'!$H$2:$H$289,MATCH(E1281,'Emission Stepwise'!$C$2:$C$289,0))</f>
        <v>0.96568627450980393</v>
      </c>
      <c r="G1281" s="14">
        <f>INDEX(Background!$C$4:$C$7,MATCH(C1281,Background!$A$4:$A$7,0))</f>
        <v>0.27646770694842909</v>
      </c>
      <c r="H1281" s="17">
        <f t="shared" si="71"/>
        <v>1.250744991964176</v>
      </c>
    </row>
    <row r="1282" spans="1:8">
      <c r="A1282" s="4" t="s">
        <v>769</v>
      </c>
      <c r="B1282" s="4">
        <v>57</v>
      </c>
      <c r="C1282" s="4" t="s">
        <v>70</v>
      </c>
      <c r="D1282" s="4" t="s">
        <v>783</v>
      </c>
      <c r="E1282" s="4" t="str">
        <f t="shared" si="70"/>
        <v>57|G</v>
      </c>
      <c r="F1282" s="14">
        <f>INDEX('Emission Stepwise'!$H$2:$H$289,MATCH(E1282,'Emission Stepwise'!$C$2:$C$289,0))</f>
        <v>0.60098522167487689</v>
      </c>
      <c r="G1282" s="14">
        <f>INDEX(Background!$C$4:$C$7,MATCH(C1282,Background!$A$4:$A$7,0))</f>
        <v>0.32488979077741237</v>
      </c>
      <c r="H1282" s="17">
        <f t="shared" si="71"/>
        <v>0.61508432515334222</v>
      </c>
    </row>
    <row r="1283" spans="1:8">
      <c r="A1283" s="4" t="s">
        <v>769</v>
      </c>
      <c r="B1283" s="4">
        <v>58</v>
      </c>
      <c r="C1283" s="4" t="s">
        <v>72</v>
      </c>
      <c r="D1283" s="4" t="s">
        <v>783</v>
      </c>
      <c r="E1283" s="4" t="str">
        <f t="shared" si="70"/>
        <v>58|U</v>
      </c>
      <c r="F1283" s="14">
        <f>INDEX('Emission Stepwise'!$H$2:$H$289,MATCH(E1283,'Emission Stepwise'!$C$2:$C$289,0))</f>
        <v>9.8039215686274508E-3</v>
      </c>
      <c r="G1283" s="14">
        <f>INDEX(Background!$C$4:$C$7,MATCH(C1283,Background!$A$4:$A$7,0))</f>
        <v>0.21314113777902177</v>
      </c>
      <c r="H1283" s="17">
        <f t="shared" si="71"/>
        <v>-3.0791720992575837</v>
      </c>
    </row>
    <row r="1284" spans="1:8">
      <c r="A1284" s="4" t="s">
        <v>769</v>
      </c>
      <c r="B1284" s="4">
        <v>59</v>
      </c>
      <c r="C1284" s="4" t="s">
        <v>72</v>
      </c>
      <c r="D1284" s="4" t="s">
        <v>783</v>
      </c>
      <c r="E1284" s="4" t="str">
        <f t="shared" si="70"/>
        <v>59|U</v>
      </c>
      <c r="F1284" s="14">
        <f>INDEX('Emission Stepwise'!$H$2:$H$289,MATCH(E1284,'Emission Stepwise'!$C$2:$C$289,0))</f>
        <v>0.25</v>
      </c>
      <c r="G1284" s="14">
        <f>INDEX(Background!$C$4:$C$7,MATCH(C1284,Background!$A$4:$A$7,0))</f>
        <v>0.21314113777902177</v>
      </c>
      <c r="H1284" s="17">
        <f t="shared" si="71"/>
        <v>0.15950635290679691</v>
      </c>
    </row>
    <row r="1285" spans="1:8">
      <c r="A1285" s="4" t="s">
        <v>769</v>
      </c>
      <c r="B1285" s="4">
        <v>60</v>
      </c>
      <c r="C1285" s="4" t="s">
        <v>72</v>
      </c>
      <c r="D1285" s="4" t="s">
        <v>783</v>
      </c>
      <c r="E1285" s="4" t="str">
        <f t="shared" si="70"/>
        <v>60|U</v>
      </c>
      <c r="F1285" s="14">
        <f>INDEX('Emission Stepwise'!$H$2:$H$289,MATCH(E1285,'Emission Stepwise'!$C$2:$C$289,0))</f>
        <v>0.77450980392156865</v>
      </c>
      <c r="G1285" s="14">
        <f>INDEX(Background!$C$4:$C$7,MATCH(C1285,Background!$A$4:$A$7,0))</f>
        <v>0.21314113777902177</v>
      </c>
      <c r="H1285" s="17">
        <f t="shared" si="71"/>
        <v>1.290275753209438</v>
      </c>
    </row>
    <row r="1286" spans="1:8">
      <c r="A1286" s="4" t="s">
        <v>769</v>
      </c>
      <c r="B1286" s="4">
        <v>61</v>
      </c>
      <c r="C1286" s="4" t="s">
        <v>71</v>
      </c>
      <c r="D1286" s="4" t="s">
        <v>783</v>
      </c>
      <c r="E1286" s="4" t="str">
        <f t="shared" si="70"/>
        <v>61|C</v>
      </c>
      <c r="F1286" s="14">
        <f>INDEX('Emission Stepwise'!$H$2:$H$289,MATCH(E1286,'Emission Stepwise'!$C$2:$C$289,0))</f>
        <v>0.97549019607843135</v>
      </c>
      <c r="G1286" s="14">
        <f>INDEX(Background!$C$4:$C$7,MATCH(C1286,Background!$A$4:$A$7,0))</f>
        <v>0.27646770694842909</v>
      </c>
      <c r="H1286" s="17">
        <f t="shared" si="71"/>
        <v>1.26084608795068</v>
      </c>
    </row>
    <row r="1287" spans="1:8">
      <c r="A1287" s="4" t="s">
        <v>769</v>
      </c>
      <c r="B1287" s="4">
        <v>62</v>
      </c>
      <c r="C1287" s="4" t="s">
        <v>70</v>
      </c>
      <c r="D1287" s="4" t="s">
        <v>783</v>
      </c>
      <c r="E1287" s="4" t="str">
        <f t="shared" si="70"/>
        <v>62|G</v>
      </c>
      <c r="F1287" s="14">
        <f>INDEX('Emission Stepwise'!$H$2:$H$289,MATCH(E1287,'Emission Stepwise'!$C$2:$C$289,0))</f>
        <v>1.4705882352941176E-2</v>
      </c>
      <c r="G1287" s="14">
        <f>INDEX(Background!$C$4:$C$7,MATCH(C1287,Background!$A$4:$A$7,0))</f>
        <v>0.32488979077741237</v>
      </c>
      <c r="H1287" s="17">
        <f t="shared" si="71"/>
        <v>-3.0952384457142337</v>
      </c>
    </row>
    <row r="1288" spans="1:8">
      <c r="A1288" s="4" t="s">
        <v>769</v>
      </c>
      <c r="B1288" s="4">
        <v>63</v>
      </c>
      <c r="C1288" s="4" t="s">
        <v>73</v>
      </c>
      <c r="D1288" s="4" t="s">
        <v>783</v>
      </c>
      <c r="E1288" s="4" t="str">
        <f t="shared" si="70"/>
        <v>63|A</v>
      </c>
      <c r="F1288" s="14">
        <f>INDEX('Emission Stepwise'!$H$2:$H$289,MATCH(E1288,'Emission Stepwise'!$C$2:$C$289,0))</f>
        <v>0.11764705882352941</v>
      </c>
      <c r="G1288" s="14">
        <f>INDEX(Background!$C$4:$C$7,MATCH(C1288,Background!$A$4:$A$7,0))</f>
        <v>0.18550136449513679</v>
      </c>
      <c r="H1288" s="17">
        <f t="shared" si="71"/>
        <v>-0.45537312230350152</v>
      </c>
    </row>
    <row r="1289" spans="1:8">
      <c r="A1289" s="4" t="s">
        <v>769</v>
      </c>
      <c r="B1289" s="4">
        <v>64</v>
      </c>
      <c r="C1289" s="4" t="s">
        <v>73</v>
      </c>
      <c r="D1289" s="4" t="s">
        <v>783</v>
      </c>
      <c r="E1289" s="4" t="str">
        <f t="shared" si="70"/>
        <v>64|A</v>
      </c>
      <c r="F1289" s="14">
        <f>INDEX('Emission Stepwise'!$H$2:$H$289,MATCH(E1289,'Emission Stepwise'!$C$2:$C$289,0))</f>
        <v>0.16666666666666666</v>
      </c>
      <c r="G1289" s="14">
        <f>INDEX(Background!$C$4:$C$7,MATCH(C1289,Background!$A$4:$A$7,0))</f>
        <v>0.18550136449513679</v>
      </c>
      <c r="H1289" s="17">
        <f t="shared" si="71"/>
        <v>-0.10706642803528583</v>
      </c>
    </row>
    <row r="1290" spans="1:8">
      <c r="A1290" s="4" t="s">
        <v>769</v>
      </c>
      <c r="B1290" s="4">
        <v>65</v>
      </c>
      <c r="C1290" s="4" t="s">
        <v>73</v>
      </c>
      <c r="D1290" s="4" t="s">
        <v>783</v>
      </c>
      <c r="E1290" s="4" t="str">
        <f t="shared" si="70"/>
        <v>65|A</v>
      </c>
      <c r="F1290" s="14">
        <f>INDEX('Emission Stepwise'!$H$2:$H$289,MATCH(E1290,'Emission Stepwise'!$C$2:$C$289,0))</f>
        <v>4.9261083743842367E-2</v>
      </c>
      <c r="G1290" s="14">
        <f>INDEX(Background!$C$4:$C$7,MATCH(C1290,Background!$A$4:$A$7,0))</f>
        <v>0.18550136449513679</v>
      </c>
      <c r="H1290" s="17">
        <f t="shared" si="71"/>
        <v>-1.3259278448549723</v>
      </c>
    </row>
    <row r="1291" spans="1:8">
      <c r="A1291" s="4" t="s">
        <v>769</v>
      </c>
      <c r="B1291" s="4">
        <v>66</v>
      </c>
      <c r="C1291" s="4" t="s">
        <v>73</v>
      </c>
      <c r="D1291" s="4" t="s">
        <v>784</v>
      </c>
      <c r="E1291" s="4" t="str">
        <f t="shared" si="70"/>
        <v>66|A</v>
      </c>
      <c r="F1291" s="14">
        <f>INDEX('Emission Stepwise'!$H$2:$H$289,MATCH(E1291,'Emission Stepwise'!$C$2:$C$289,0))</f>
        <v>0.21568627450980393</v>
      </c>
      <c r="G1291" s="14">
        <f>INDEX(Background!$C$4:$C$7,MATCH(C1291,Background!$A$4:$A$7,0))</f>
        <v>0.18550136449513679</v>
      </c>
      <c r="H1291" s="17">
        <f t="shared" si="71"/>
        <v>0.15076268126681408</v>
      </c>
    </row>
    <row r="1292" spans="1:8">
      <c r="A1292" s="4" t="s">
        <v>769</v>
      </c>
      <c r="B1292" s="4">
        <v>67</v>
      </c>
      <c r="C1292" s="4" t="s">
        <v>72</v>
      </c>
      <c r="D1292" s="4" t="s">
        <v>784</v>
      </c>
      <c r="E1292" s="4" t="str">
        <f t="shared" si="70"/>
        <v>67|U</v>
      </c>
      <c r="F1292" s="14">
        <f>INDEX('Emission Stepwise'!$H$2:$H$289,MATCH(E1292,'Emission Stepwise'!$C$2:$C$289,0))</f>
        <v>0.19117647058823528</v>
      </c>
      <c r="G1292" s="14">
        <f>INDEX(Background!$C$4:$C$7,MATCH(C1292,Background!$A$4:$A$7,0))</f>
        <v>0.21314113777902177</v>
      </c>
      <c r="H1292" s="17">
        <f t="shared" si="71"/>
        <v>-0.1087576336878824</v>
      </c>
    </row>
    <row r="1293" spans="1:8">
      <c r="A1293" s="4" t="s">
        <v>769</v>
      </c>
      <c r="B1293" s="4">
        <v>68</v>
      </c>
      <c r="C1293" s="4" t="s">
        <v>70</v>
      </c>
      <c r="D1293" s="4" t="s">
        <v>784</v>
      </c>
      <c r="E1293" s="4" t="str">
        <f t="shared" si="70"/>
        <v>68|G</v>
      </c>
      <c r="F1293" s="14">
        <f>INDEX('Emission Stepwise'!$H$2:$H$289,MATCH(E1293,'Emission Stepwise'!$C$2:$C$289,0))</f>
        <v>0.43137254901960786</v>
      </c>
      <c r="G1293" s="14">
        <f>INDEX(Background!$C$4:$C$7,MATCH(C1293,Background!$A$4:$A$7,0))</f>
        <v>0.32488979077741237</v>
      </c>
      <c r="H1293" s="17">
        <f t="shared" si="71"/>
        <v>0.28348608009586312</v>
      </c>
    </row>
    <row r="1294" spans="1:8">
      <c r="A1294" s="4" t="s">
        <v>769</v>
      </c>
      <c r="B1294" s="4">
        <v>69</v>
      </c>
      <c r="C1294" s="4" t="s">
        <v>73</v>
      </c>
      <c r="D1294" s="4" t="s">
        <v>784</v>
      </c>
      <c r="E1294" s="4" t="str">
        <f t="shared" si="70"/>
        <v>69|A</v>
      </c>
      <c r="F1294" s="14">
        <f>INDEX('Emission Stepwise'!$H$2:$H$289,MATCH(E1294,'Emission Stepwise'!$C$2:$C$289,0))</f>
        <v>0.12745098039215685</v>
      </c>
      <c r="G1294" s="14">
        <f>INDEX(Background!$C$4:$C$7,MATCH(C1294,Background!$A$4:$A$7,0))</f>
        <v>0.18550136449513679</v>
      </c>
      <c r="H1294" s="17">
        <f t="shared" si="71"/>
        <v>-0.37533041462996508</v>
      </c>
    </row>
    <row r="1295" spans="1:8">
      <c r="A1295" s="4" t="s">
        <v>769</v>
      </c>
      <c r="B1295" s="4">
        <v>70</v>
      </c>
      <c r="C1295" s="4" t="s">
        <v>73</v>
      </c>
      <c r="D1295" s="4" t="s">
        <v>784</v>
      </c>
      <c r="E1295" s="4" t="str">
        <f t="shared" si="70"/>
        <v>70|A</v>
      </c>
      <c r="F1295" s="14">
        <f>INDEX('Emission Stepwise'!$H$2:$H$289,MATCH(E1295,'Emission Stepwise'!$C$2:$C$289,0))</f>
        <v>0.11764705882352941</v>
      </c>
      <c r="G1295" s="14">
        <f>INDEX(Background!$C$4:$C$7,MATCH(C1295,Background!$A$4:$A$7,0))</f>
        <v>0.18550136449513679</v>
      </c>
      <c r="H1295" s="17">
        <f t="shared" si="71"/>
        <v>-0.45537312230350152</v>
      </c>
    </row>
    <row r="1296" spans="1:8">
      <c r="A1296" s="4" t="s">
        <v>769</v>
      </c>
      <c r="B1296" s="4">
        <v>71</v>
      </c>
      <c r="C1296" s="4" t="s">
        <v>70</v>
      </c>
      <c r="D1296" s="4" t="s">
        <v>784</v>
      </c>
      <c r="E1296" s="4" t="str">
        <f t="shared" ref="E1296:E1327" si="72">B1296&amp;"|"&amp;C1296</f>
        <v>71|G</v>
      </c>
      <c r="F1296" s="14">
        <f>INDEX('Emission Stepwise'!$H$2:$H$289,MATCH(E1296,'Emission Stepwise'!$C$2:$C$289,0))</f>
        <v>0.40686274509803921</v>
      </c>
      <c r="G1296" s="14">
        <f>INDEX(Background!$C$4:$C$7,MATCH(C1296,Background!$A$4:$A$7,0))</f>
        <v>0.32488979077741237</v>
      </c>
      <c r="H1296" s="17">
        <f t="shared" ref="H1296:H1327" si="73">LN(F1296/G1296)</f>
        <v>0.22498987341425464</v>
      </c>
    </row>
    <row r="1297" spans="1:8">
      <c r="A1297" s="4" t="s">
        <v>769</v>
      </c>
      <c r="B1297" s="4">
        <v>72</v>
      </c>
      <c r="C1297" s="4" t="s">
        <v>70</v>
      </c>
      <c r="D1297" s="4" t="s">
        <v>784</v>
      </c>
      <c r="E1297" s="4" t="str">
        <f t="shared" si="72"/>
        <v>72|G</v>
      </c>
      <c r="F1297" s="14">
        <f>INDEX('Emission Stepwise'!$H$2:$H$289,MATCH(E1297,'Emission Stepwise'!$C$2:$C$289,0))</f>
        <v>9.3137254901960786E-2</v>
      </c>
      <c r="G1297" s="14">
        <f>INDEX(Background!$C$4:$C$7,MATCH(C1297,Background!$A$4:$A$7,0))</f>
        <v>0.32488979077741237</v>
      </c>
      <c r="H1297" s="17">
        <f t="shared" si="73"/>
        <v>-1.249411755215903</v>
      </c>
    </row>
    <row r="1298" spans="1:8">
      <c r="A1298" s="4" t="s">
        <v>770</v>
      </c>
      <c r="B1298" s="4">
        <v>1</v>
      </c>
      <c r="C1298" s="4" t="s">
        <v>70</v>
      </c>
      <c r="D1298" s="4" t="s">
        <v>778</v>
      </c>
      <c r="E1298" s="4" t="str">
        <f t="shared" si="72"/>
        <v>1|G</v>
      </c>
      <c r="F1298" s="14">
        <f>INDEX('Emission Stepwise'!$H$2:$H$289,MATCH(E1298,'Emission Stepwise'!$C$2:$C$289,0))</f>
        <v>0.75</v>
      </c>
      <c r="G1298" s="14">
        <f>INDEX(Background!$C$4:$C$7,MATCH(C1298,Background!$A$4:$A$7,0))</f>
        <v>0.32488979077741237</v>
      </c>
      <c r="H1298" s="17">
        <f t="shared" si="73"/>
        <v>0.83658718701009205</v>
      </c>
    </row>
    <row r="1299" spans="1:8">
      <c r="A1299" s="4" t="s">
        <v>770</v>
      </c>
      <c r="B1299" s="4">
        <v>2</v>
      </c>
      <c r="C1299" s="4" t="s">
        <v>73</v>
      </c>
      <c r="D1299" s="4" t="s">
        <v>778</v>
      </c>
      <c r="E1299" s="4" t="str">
        <f t="shared" si="72"/>
        <v>2|A</v>
      </c>
      <c r="F1299" s="14">
        <f>INDEX('Emission Stepwise'!$H$2:$H$289,MATCH(E1299,'Emission Stepwise'!$C$2:$C$289,0))</f>
        <v>3.4313725490196081E-2</v>
      </c>
      <c r="G1299" s="14">
        <f>INDEX(Background!$C$4:$C$7,MATCH(C1299,Background!$A$4:$A$7,0))</f>
        <v>0.18550136449513679</v>
      </c>
      <c r="H1299" s="17">
        <f t="shared" si="73"/>
        <v>-1.6875168035961337</v>
      </c>
    </row>
    <row r="1300" spans="1:8">
      <c r="A1300" s="4" t="s">
        <v>770</v>
      </c>
      <c r="B1300" s="4">
        <v>3</v>
      </c>
      <c r="C1300" s="4" t="s">
        <v>73</v>
      </c>
      <c r="D1300" s="4" t="s">
        <v>778</v>
      </c>
      <c r="E1300" s="4" t="str">
        <f t="shared" si="72"/>
        <v>3|A</v>
      </c>
      <c r="F1300" s="14">
        <f>INDEX('Emission Stepwise'!$H$2:$H$289,MATCH(E1300,'Emission Stepwise'!$C$2:$C$289,0))</f>
        <v>7.3529411764705885E-2</v>
      </c>
      <c r="G1300" s="14">
        <f>INDEX(Background!$C$4:$C$7,MATCH(C1300,Background!$A$4:$A$7,0))</f>
        <v>0.18550136449513679</v>
      </c>
      <c r="H1300" s="17">
        <f t="shared" si="73"/>
        <v>-0.92537675154923693</v>
      </c>
    </row>
    <row r="1301" spans="1:8">
      <c r="A1301" s="4" t="s">
        <v>770</v>
      </c>
      <c r="B1301" s="4">
        <v>4</v>
      </c>
      <c r="C1301" s="4" t="s">
        <v>73</v>
      </c>
      <c r="D1301" s="4" t="s">
        <v>778</v>
      </c>
      <c r="E1301" s="4" t="str">
        <f t="shared" si="72"/>
        <v>4|A</v>
      </c>
      <c r="F1301" s="14">
        <f>INDEX('Emission Stepwise'!$H$2:$H$289,MATCH(E1301,'Emission Stepwise'!$C$2:$C$289,0))</f>
        <v>8.3333333333333329E-2</v>
      </c>
      <c r="G1301" s="14">
        <f>INDEX(Background!$C$4:$C$7,MATCH(C1301,Background!$A$4:$A$7,0))</f>
        <v>0.18550136449513679</v>
      </c>
      <c r="H1301" s="17">
        <f t="shared" si="73"/>
        <v>-0.80021360859523116</v>
      </c>
    </row>
    <row r="1302" spans="1:8">
      <c r="A1302" s="4" t="s">
        <v>770</v>
      </c>
      <c r="B1302" s="4">
        <v>5</v>
      </c>
      <c r="C1302" s="4" t="s">
        <v>72</v>
      </c>
      <c r="D1302" s="4" t="s">
        <v>778</v>
      </c>
      <c r="E1302" s="4" t="str">
        <f t="shared" si="72"/>
        <v>5|U</v>
      </c>
      <c r="F1302" s="14">
        <f>INDEX('Emission Stepwise'!$H$2:$H$289,MATCH(E1302,'Emission Stepwise'!$C$2:$C$289,0))</f>
        <v>0.10784313725490197</v>
      </c>
      <c r="G1302" s="14">
        <f>INDEX(Background!$C$4:$C$7,MATCH(C1302,Background!$A$4:$A$7,0))</f>
        <v>0.21314113777902177</v>
      </c>
      <c r="H1302" s="17">
        <f t="shared" si="73"/>
        <v>-0.68127682645921295</v>
      </c>
    </row>
    <row r="1303" spans="1:8">
      <c r="A1303" s="4" t="s">
        <v>770</v>
      </c>
      <c r="B1303" s="4">
        <v>6</v>
      </c>
      <c r="C1303" s="4" t="s">
        <v>72</v>
      </c>
      <c r="D1303" s="4" t="s">
        <v>778</v>
      </c>
      <c r="E1303" s="4" t="str">
        <f t="shared" si="72"/>
        <v>6|U</v>
      </c>
      <c r="F1303" s="14">
        <f>INDEX('Emission Stepwise'!$H$2:$H$289,MATCH(E1303,'Emission Stepwise'!$C$2:$C$289,0))</f>
        <v>0.26470588235294118</v>
      </c>
      <c r="G1303" s="14">
        <f>INDEX(Background!$C$4:$C$7,MATCH(C1303,Background!$A$4:$A$7,0))</f>
        <v>0.21314113777902177</v>
      </c>
      <c r="H1303" s="17">
        <f t="shared" si="73"/>
        <v>0.21666476674674565</v>
      </c>
    </row>
    <row r="1304" spans="1:8">
      <c r="A1304" s="4" t="s">
        <v>770</v>
      </c>
      <c r="B1304" s="4">
        <v>7</v>
      </c>
      <c r="C1304" s="4" t="s">
        <v>72</v>
      </c>
      <c r="D1304" s="4" t="s">
        <v>778</v>
      </c>
      <c r="E1304" s="4" t="str">
        <f t="shared" si="72"/>
        <v>7|U</v>
      </c>
      <c r="F1304" s="14">
        <f>INDEX('Emission Stepwise'!$H$2:$H$289,MATCH(E1304,'Emission Stepwise'!$C$2:$C$289,0))</f>
        <v>0.22058823529411764</v>
      </c>
      <c r="G1304" s="14">
        <f>INDEX(Background!$C$4:$C$7,MATCH(C1304,Background!$A$4:$A$7,0))</f>
        <v>0.21314113777902177</v>
      </c>
      <c r="H1304" s="17">
        <f t="shared" si="73"/>
        <v>3.4343209952791019E-2</v>
      </c>
    </row>
    <row r="1305" spans="1:8">
      <c r="A1305" s="4" t="s">
        <v>770</v>
      </c>
      <c r="B1305" s="4">
        <v>8</v>
      </c>
      <c r="C1305" s="4" t="s">
        <v>72</v>
      </c>
      <c r="D1305" s="4" t="s">
        <v>779</v>
      </c>
      <c r="E1305" s="4" t="str">
        <f t="shared" si="72"/>
        <v>8|U</v>
      </c>
      <c r="F1305" s="14">
        <f>INDEX('Emission Stepwise'!$H$2:$H$289,MATCH(E1305,'Emission Stepwise'!$C$2:$C$289,0))</f>
        <v>0.97549019607843135</v>
      </c>
      <c r="G1305" s="14">
        <f>INDEX(Background!$C$4:$C$7,MATCH(C1305,Background!$A$4:$A$7,0))</f>
        <v>0.21314113777902177</v>
      </c>
      <c r="H1305" s="17">
        <f t="shared" si="73"/>
        <v>1.5209855449069636</v>
      </c>
    </row>
    <row r="1306" spans="1:8">
      <c r="A1306" s="4" t="s">
        <v>770</v>
      </c>
      <c r="B1306" s="4">
        <v>9</v>
      </c>
      <c r="C1306" s="4" t="s">
        <v>72</v>
      </c>
      <c r="D1306" s="4" t="s">
        <v>780</v>
      </c>
      <c r="E1306" s="4" t="str">
        <f t="shared" si="72"/>
        <v>9|U</v>
      </c>
      <c r="F1306" s="14">
        <f>INDEX('Emission Stepwise'!$H$2:$H$289,MATCH(E1306,'Emission Stepwise'!$C$2:$C$289,0))</f>
        <v>4.9261083743842365E-3</v>
      </c>
      <c r="G1306" s="14">
        <f>INDEX(Background!$C$4:$C$7,MATCH(C1306,Background!$A$4:$A$7,0))</f>
        <v>0.21314113777902177</v>
      </c>
      <c r="H1306" s="17">
        <f t="shared" si="73"/>
        <v>-3.7674052650150998</v>
      </c>
    </row>
    <row r="1307" spans="1:8">
      <c r="A1307" s="4" t="s">
        <v>770</v>
      </c>
      <c r="B1307" s="4">
        <v>10</v>
      </c>
      <c r="C1307" s="4" t="s">
        <v>73</v>
      </c>
      <c r="D1307" s="4" t="s">
        <v>780</v>
      </c>
      <c r="E1307" s="4" t="str">
        <f t="shared" si="72"/>
        <v>10|A</v>
      </c>
      <c r="F1307" s="14">
        <f>INDEX('Emission Stepwise'!$H$2:$H$289,MATCH(E1307,'Emission Stepwise'!$C$2:$C$289,0))</f>
        <v>4.9019607843137254E-3</v>
      </c>
      <c r="G1307" s="14">
        <f>INDEX(Background!$C$4:$C$7,MATCH(C1307,Background!$A$4:$A$7,0))</f>
        <v>0.18550136449513679</v>
      </c>
      <c r="H1307" s="17">
        <f t="shared" si="73"/>
        <v>-3.6334269526514471</v>
      </c>
    </row>
    <row r="1308" spans="1:8">
      <c r="A1308" s="4" t="s">
        <v>770</v>
      </c>
      <c r="B1308" s="4">
        <v>11</v>
      </c>
      <c r="C1308" s="4" t="s">
        <v>72</v>
      </c>
      <c r="D1308" s="4" t="s">
        <v>780</v>
      </c>
      <c r="E1308" s="4" t="str">
        <f t="shared" si="72"/>
        <v>11|U</v>
      </c>
      <c r="F1308" s="14">
        <f>INDEX('Emission Stepwise'!$H$2:$H$289,MATCH(E1308,'Emission Stepwise'!$C$2:$C$289,0))</f>
        <v>0.20098039215686275</v>
      </c>
      <c r="G1308" s="14">
        <f>INDEX(Background!$C$4:$C$7,MATCH(C1308,Background!$A$4:$A$7,0))</f>
        <v>0.21314113777902177</v>
      </c>
      <c r="H1308" s="17">
        <f t="shared" si="73"/>
        <v>-5.8747213113220911E-2</v>
      </c>
    </row>
    <row r="1309" spans="1:8">
      <c r="A1309" s="4" t="s">
        <v>770</v>
      </c>
      <c r="B1309" s="4">
        <v>12</v>
      </c>
      <c r="C1309" s="4" t="s">
        <v>72</v>
      </c>
      <c r="D1309" s="4" t="s">
        <v>780</v>
      </c>
      <c r="E1309" s="4" t="str">
        <f t="shared" si="72"/>
        <v>12|U</v>
      </c>
      <c r="F1309" s="14">
        <f>INDEX('Emission Stepwise'!$H$2:$H$289,MATCH(E1309,'Emission Stepwise'!$C$2:$C$289,0))</f>
        <v>0.59313725490196079</v>
      </c>
      <c r="G1309" s="14">
        <f>INDEX(Background!$C$4:$C$7,MATCH(C1309,Background!$A$4:$A$7,0))</f>
        <v>0.21314113777902177</v>
      </c>
      <c r="H1309" s="17">
        <f t="shared" si="73"/>
        <v>1.0234712657792122</v>
      </c>
    </row>
    <row r="1310" spans="1:8">
      <c r="A1310" s="4" t="s">
        <v>770</v>
      </c>
      <c r="B1310" s="4">
        <v>13</v>
      </c>
      <c r="C1310" s="4" t="s">
        <v>72</v>
      </c>
      <c r="D1310" s="4" t="s">
        <v>780</v>
      </c>
      <c r="E1310" s="4" t="str">
        <f t="shared" si="72"/>
        <v>13|U</v>
      </c>
      <c r="F1310" s="14">
        <f>INDEX('Emission Stepwise'!$H$2:$H$289,MATCH(E1310,'Emission Stepwise'!$C$2:$C$289,0))</f>
        <v>0.19117647058823528</v>
      </c>
      <c r="G1310" s="14">
        <f>INDEX(Background!$C$4:$C$7,MATCH(C1310,Background!$A$4:$A$7,0))</f>
        <v>0.21314113777902177</v>
      </c>
      <c r="H1310" s="17">
        <f t="shared" si="73"/>
        <v>-0.1087576336878824</v>
      </c>
    </row>
    <row r="1311" spans="1:8">
      <c r="A1311" s="4" t="s">
        <v>770</v>
      </c>
      <c r="B1311" s="4">
        <v>14</v>
      </c>
      <c r="C1311" s="4" t="s">
        <v>73</v>
      </c>
      <c r="D1311" s="4" t="s">
        <v>780</v>
      </c>
      <c r="E1311" s="4" t="str">
        <f t="shared" si="72"/>
        <v>14|A</v>
      </c>
      <c r="F1311" s="14">
        <f>INDEX('Emission Stepwise'!$H$2:$H$289,MATCH(E1311,'Emission Stepwise'!$C$2:$C$289,0))</f>
        <v>0.97549019607843135</v>
      </c>
      <c r="G1311" s="14">
        <f>INDEX(Background!$C$4:$C$7,MATCH(C1311,Background!$A$4:$A$7,0))</f>
        <v>0.18550136449513679</v>
      </c>
      <c r="H1311" s="17">
        <f t="shared" si="73"/>
        <v>1.6598778720730452</v>
      </c>
    </row>
    <row r="1312" spans="1:8">
      <c r="A1312" s="4" t="s">
        <v>770</v>
      </c>
      <c r="B1312" s="4">
        <v>15</v>
      </c>
      <c r="C1312" s="4" t="s">
        <v>72</v>
      </c>
      <c r="D1312" s="4" t="s">
        <v>780</v>
      </c>
      <c r="E1312" s="4" t="str">
        <f t="shared" si="72"/>
        <v>15|U</v>
      </c>
      <c r="F1312" s="14">
        <f>INDEX('Emission Stepwise'!$H$2:$H$289,MATCH(E1312,'Emission Stepwise'!$C$2:$C$289,0))</f>
        <v>1.4778325123152709E-2</v>
      </c>
      <c r="G1312" s="14">
        <f>INDEX(Background!$C$4:$C$7,MATCH(C1312,Background!$A$4:$A$7,0))</f>
        <v>0.21314113777902177</v>
      </c>
      <c r="H1312" s="17">
        <f t="shared" si="73"/>
        <v>-2.6687929763469902</v>
      </c>
    </row>
    <row r="1313" spans="1:8">
      <c r="A1313" s="4" t="s">
        <v>770</v>
      </c>
      <c r="B1313" s="4">
        <v>16</v>
      </c>
      <c r="C1313" s="4" t="s">
        <v>72</v>
      </c>
      <c r="D1313" s="4" t="s">
        <v>780</v>
      </c>
      <c r="E1313" s="4" t="str">
        <f t="shared" si="72"/>
        <v>16|U</v>
      </c>
      <c r="F1313" s="14">
        <f>INDEX('Emission Stepwise'!$H$2:$H$289,MATCH(E1313,'Emission Stepwise'!$C$2:$C$289,0))</f>
        <v>0.58394160583941601</v>
      </c>
      <c r="G1313" s="14">
        <f>INDEX(Background!$C$4:$C$7,MATCH(C1313,Background!$A$4:$A$7,0))</f>
        <v>0.21314113777902177</v>
      </c>
      <c r="H1313" s="17">
        <f t="shared" si="73"/>
        <v>1.0078464228724442</v>
      </c>
    </row>
    <row r="1314" spans="1:8">
      <c r="A1314" s="4" t="s">
        <v>770</v>
      </c>
      <c r="B1314" s="4">
        <v>17</v>
      </c>
      <c r="C1314" s="4" t="s">
        <v>70</v>
      </c>
      <c r="D1314" s="4" t="s">
        <v>780</v>
      </c>
      <c r="E1314" s="4" t="str">
        <f t="shared" si="72"/>
        <v>17|G</v>
      </c>
      <c r="F1314" s="14">
        <f>INDEX('Emission Stepwise'!$H$2:$H$289,MATCH(E1314,'Emission Stepwise'!$C$2:$C$289,0))</f>
        <v>4.4776119402985072E-2</v>
      </c>
      <c r="G1314" s="14">
        <f>INDEX(Background!$C$4:$C$7,MATCH(C1314,Background!$A$4:$A$7,0))</f>
        <v>0.32488979077741237</v>
      </c>
      <c r="H1314" s="17">
        <f t="shared" si="73"/>
        <v>-1.9818110712609835</v>
      </c>
    </row>
    <row r="1315" spans="1:8">
      <c r="A1315" s="4" t="s">
        <v>770</v>
      </c>
      <c r="B1315" s="4">
        <v>18</v>
      </c>
      <c r="C1315" s="4" t="s">
        <v>70</v>
      </c>
      <c r="D1315" s="4" t="s">
        <v>780</v>
      </c>
      <c r="E1315" s="4" t="str">
        <f t="shared" si="72"/>
        <v>18|G</v>
      </c>
      <c r="F1315" s="14">
        <f>INDEX('Emission Stepwise'!$H$2:$H$289,MATCH(E1315,'Emission Stepwise'!$C$2:$C$289,0))</f>
        <v>0.98039215686274506</v>
      </c>
      <c r="G1315" s="14">
        <f>INDEX(Background!$C$4:$C$7,MATCH(C1315,Background!$A$4:$A$7,0))</f>
        <v>0.32488979077741237</v>
      </c>
      <c r="H1315" s="17">
        <f t="shared" si="73"/>
        <v>1.1044666321656933</v>
      </c>
    </row>
    <row r="1316" spans="1:8">
      <c r="A1316" s="4" t="s">
        <v>770</v>
      </c>
      <c r="B1316" s="4">
        <v>19</v>
      </c>
      <c r="C1316" s="4" t="s">
        <v>70</v>
      </c>
      <c r="D1316" s="4" t="s">
        <v>780</v>
      </c>
      <c r="E1316" s="4" t="str">
        <f t="shared" si="72"/>
        <v>19|G</v>
      </c>
      <c r="F1316" s="14">
        <f>INDEX('Emission Stepwise'!$H$2:$H$289,MATCH(E1316,'Emission Stepwise'!$C$2:$C$289,0))</f>
        <v>0.97058823529411764</v>
      </c>
      <c r="G1316" s="14">
        <f>INDEX(Background!$C$4:$C$7,MATCH(C1316,Background!$A$4:$A$7,0))</f>
        <v>0.32488979077741237</v>
      </c>
      <c r="H1316" s="17">
        <f t="shared" si="73"/>
        <v>1.0944162963121917</v>
      </c>
    </row>
    <row r="1317" spans="1:8">
      <c r="A1317" s="4" t="s">
        <v>770</v>
      </c>
      <c r="B1317" s="4">
        <v>20</v>
      </c>
      <c r="C1317" s="4" t="s">
        <v>73</v>
      </c>
      <c r="D1317" s="4" t="s">
        <v>780</v>
      </c>
      <c r="E1317" s="4" t="str">
        <f t="shared" si="72"/>
        <v>20|A</v>
      </c>
      <c r="F1317" s="14">
        <f>INDEX('Emission Stepwise'!$H$2:$H$289,MATCH(E1317,'Emission Stepwise'!$C$2:$C$289,0))</f>
        <v>8.8669950738916259E-2</v>
      </c>
      <c r="G1317" s="14">
        <f>INDEX(Background!$C$4:$C$7,MATCH(C1317,Background!$A$4:$A$7,0))</f>
        <v>0.18550136449513679</v>
      </c>
      <c r="H1317" s="17">
        <f t="shared" si="73"/>
        <v>-0.73814117995285333</v>
      </c>
    </row>
    <row r="1318" spans="1:8">
      <c r="A1318" s="4" t="s">
        <v>770</v>
      </c>
      <c r="B1318" s="4">
        <v>21</v>
      </c>
      <c r="C1318" s="4" t="s">
        <v>71</v>
      </c>
      <c r="D1318" s="4" t="s">
        <v>780</v>
      </c>
      <c r="E1318" s="4" t="str">
        <f t="shared" si="72"/>
        <v>21|C</v>
      </c>
      <c r="F1318" s="14">
        <f>INDEX('Emission Stepwise'!$H$2:$H$289,MATCH(E1318,'Emission Stepwise'!$C$2:$C$289,0))</f>
        <v>2.4509803921568627E-2</v>
      </c>
      <c r="G1318" s="14">
        <f>INDEX(Background!$C$4:$C$7,MATCH(C1318,Background!$A$4:$A$7,0))</f>
        <v>0.27646770694842909</v>
      </c>
      <c r="H1318" s="17">
        <f t="shared" si="73"/>
        <v>-2.4230208243397122</v>
      </c>
    </row>
    <row r="1319" spans="1:8">
      <c r="A1319" s="4" t="s">
        <v>770</v>
      </c>
      <c r="B1319" s="4">
        <v>22</v>
      </c>
      <c r="C1319" s="4" t="s">
        <v>73</v>
      </c>
      <c r="D1319" s="4" t="s">
        <v>780</v>
      </c>
      <c r="E1319" s="4" t="str">
        <f t="shared" si="72"/>
        <v>22|A</v>
      </c>
      <c r="F1319" s="14">
        <f>INDEX('Emission Stepwise'!$H$2:$H$289,MATCH(E1319,'Emission Stepwise'!$C$2:$C$289,0))</f>
        <v>0.20588235294117646</v>
      </c>
      <c r="G1319" s="14">
        <f>INDEX(Background!$C$4:$C$7,MATCH(C1319,Background!$A$4:$A$7,0))</f>
        <v>0.18550136449513679</v>
      </c>
      <c r="H1319" s="17">
        <f t="shared" si="73"/>
        <v>0.10424266563192114</v>
      </c>
    </row>
    <row r="1320" spans="1:8">
      <c r="A1320" s="4" t="s">
        <v>770</v>
      </c>
      <c r="B1320" s="4">
        <v>23</v>
      </c>
      <c r="C1320" s="4" t="s">
        <v>73</v>
      </c>
      <c r="D1320" s="4" t="s">
        <v>780</v>
      </c>
      <c r="E1320" s="4" t="str">
        <f t="shared" si="72"/>
        <v>23|A</v>
      </c>
      <c r="F1320" s="14">
        <f>INDEX('Emission Stepwise'!$H$2:$H$289,MATCH(E1320,'Emission Stepwise'!$C$2:$C$289,0))</f>
        <v>0.59803921568627449</v>
      </c>
      <c r="G1320" s="14">
        <f>INDEX(Background!$C$4:$C$7,MATCH(C1320,Background!$A$4:$A$7,0))</f>
        <v>0.18550136449513679</v>
      </c>
      <c r="H1320" s="17">
        <f t="shared" si="73"/>
        <v>1.1705940920818094</v>
      </c>
    </row>
    <row r="1321" spans="1:8">
      <c r="A1321" s="4" t="s">
        <v>770</v>
      </c>
      <c r="B1321" s="4">
        <v>24</v>
      </c>
      <c r="C1321" s="4" t="s">
        <v>73</v>
      </c>
      <c r="D1321" s="4" t="s">
        <v>780</v>
      </c>
      <c r="E1321" s="4" t="str">
        <f t="shared" si="72"/>
        <v>24|A</v>
      </c>
      <c r="F1321" s="14">
        <f>INDEX('Emission Stepwise'!$H$2:$H$289,MATCH(E1321,'Emission Stepwise'!$C$2:$C$289,0))</f>
        <v>0.18627450980392157</v>
      </c>
      <c r="G1321" s="14">
        <f>INDEX(Background!$C$4:$C$7,MATCH(C1321,Background!$A$4:$A$7,0))</f>
        <v>0.18550136449513679</v>
      </c>
      <c r="H1321" s="17">
        <f t="shared" si="73"/>
        <v>4.1592070749386289E-3</v>
      </c>
    </row>
    <row r="1322" spans="1:8">
      <c r="A1322" s="4" t="s">
        <v>770</v>
      </c>
      <c r="B1322" s="4">
        <v>25</v>
      </c>
      <c r="C1322" s="4" t="s">
        <v>72</v>
      </c>
      <c r="D1322" s="4" t="s">
        <v>780</v>
      </c>
      <c r="E1322" s="4" t="str">
        <f t="shared" si="72"/>
        <v>25|U</v>
      </c>
      <c r="F1322" s="14">
        <f>INDEX('Emission Stepwise'!$H$2:$H$289,MATCH(E1322,'Emission Stepwise'!$C$2:$C$289,0))</f>
        <v>7.3529411764705885E-2</v>
      </c>
      <c r="G1322" s="14">
        <f>INDEX(Background!$C$4:$C$7,MATCH(C1322,Background!$A$4:$A$7,0))</f>
        <v>0.21314113777902177</v>
      </c>
      <c r="H1322" s="17">
        <f t="shared" si="73"/>
        <v>-1.0642690787153186</v>
      </c>
    </row>
    <row r="1323" spans="1:8">
      <c r="A1323" s="4" t="s">
        <v>770</v>
      </c>
      <c r="B1323" s="4">
        <v>26</v>
      </c>
      <c r="C1323" s="4" t="s">
        <v>72</v>
      </c>
      <c r="D1323" s="4" t="s">
        <v>781</v>
      </c>
      <c r="E1323" s="4" t="str">
        <f t="shared" si="72"/>
        <v>26|U</v>
      </c>
      <c r="F1323" s="14">
        <f>INDEX('Emission Stepwise'!$H$2:$H$289,MATCH(E1323,'Emission Stepwise'!$C$2:$C$289,0))</f>
        <v>5.8823529411764705E-2</v>
      </c>
      <c r="G1323" s="14">
        <f>INDEX(Background!$C$4:$C$7,MATCH(C1323,Background!$A$4:$A$7,0))</f>
        <v>0.21314113777902177</v>
      </c>
      <c r="H1323" s="17">
        <f t="shared" si="73"/>
        <v>-1.2874126300295285</v>
      </c>
    </row>
    <row r="1324" spans="1:8">
      <c r="A1324" s="4" t="s">
        <v>770</v>
      </c>
      <c r="B1324" s="4">
        <v>27</v>
      </c>
      <c r="C1324" s="4" t="s">
        <v>72</v>
      </c>
      <c r="D1324" s="4" t="s">
        <v>781</v>
      </c>
      <c r="E1324" s="4" t="str">
        <f t="shared" si="72"/>
        <v>27|U</v>
      </c>
      <c r="F1324" s="14">
        <f>INDEX('Emission Stepwise'!$H$2:$H$289,MATCH(E1324,'Emission Stepwise'!$C$2:$C$289,0))</f>
        <v>0.25980392156862747</v>
      </c>
      <c r="G1324" s="14">
        <f>INDEX(Background!$C$4:$C$7,MATCH(C1324,Background!$A$4:$A$7,0))</f>
        <v>0.21314113777902177</v>
      </c>
      <c r="H1324" s="17">
        <f t="shared" si="73"/>
        <v>0.19797263373459306</v>
      </c>
    </row>
    <row r="1325" spans="1:8">
      <c r="A1325" s="4" t="s">
        <v>770</v>
      </c>
      <c r="B1325" s="4">
        <v>28</v>
      </c>
      <c r="C1325" s="4" t="s">
        <v>72</v>
      </c>
      <c r="D1325" s="4" t="s">
        <v>781</v>
      </c>
      <c r="E1325" s="4" t="str">
        <f t="shared" si="72"/>
        <v>28|U</v>
      </c>
      <c r="F1325" s="14">
        <f>INDEX('Emission Stepwise'!$H$2:$H$289,MATCH(E1325,'Emission Stepwise'!$C$2:$C$289,0))</f>
        <v>0.25490196078431371</v>
      </c>
      <c r="G1325" s="14">
        <f>INDEX(Background!$C$4:$C$7,MATCH(C1325,Background!$A$4:$A$7,0))</f>
        <v>0.21314113777902177</v>
      </c>
      <c r="H1325" s="17">
        <f t="shared" si="73"/>
        <v>0.17892443876389855</v>
      </c>
    </row>
    <row r="1326" spans="1:8">
      <c r="A1326" s="4" t="s">
        <v>770</v>
      </c>
      <c r="B1326" s="4">
        <v>29</v>
      </c>
      <c r="C1326" s="4" t="s">
        <v>70</v>
      </c>
      <c r="D1326" s="4" t="s">
        <v>781</v>
      </c>
      <c r="E1326" s="4" t="str">
        <f t="shared" si="72"/>
        <v>29|G</v>
      </c>
      <c r="F1326" s="14">
        <f>INDEX('Emission Stepwise'!$H$2:$H$289,MATCH(E1326,'Emission Stepwise'!$C$2:$C$289,0))</f>
        <v>0.38235294117647056</v>
      </c>
      <c r="G1326" s="14">
        <f>INDEX(Background!$C$4:$C$7,MATCH(C1326,Background!$A$4:$A$7,0))</f>
        <v>0.32488979077741237</v>
      </c>
      <c r="H1326" s="17">
        <f t="shared" si="73"/>
        <v>0.16285809230724829</v>
      </c>
    </row>
    <row r="1327" spans="1:8">
      <c r="A1327" s="4" t="s">
        <v>770</v>
      </c>
      <c r="B1327" s="4">
        <v>30</v>
      </c>
      <c r="C1327" s="4" t="s">
        <v>73</v>
      </c>
      <c r="D1327" s="4" t="s">
        <v>781</v>
      </c>
      <c r="E1327" s="4" t="str">
        <f t="shared" si="72"/>
        <v>30|A</v>
      </c>
      <c r="F1327" s="14">
        <f>INDEX('Emission Stepwise'!$H$2:$H$289,MATCH(E1327,'Emission Stepwise'!$C$2:$C$289,0))</f>
        <v>4.9019607843137254E-3</v>
      </c>
      <c r="G1327" s="14">
        <f>INDEX(Background!$C$4:$C$7,MATCH(C1327,Background!$A$4:$A$7,0))</f>
        <v>0.18550136449513679</v>
      </c>
      <c r="H1327" s="17">
        <f t="shared" si="73"/>
        <v>-3.6334269526514471</v>
      </c>
    </row>
    <row r="1328" spans="1:8">
      <c r="A1328" s="4" t="s">
        <v>770</v>
      </c>
      <c r="B1328" s="4">
        <v>31</v>
      </c>
      <c r="C1328" s="4" t="s">
        <v>73</v>
      </c>
      <c r="D1328" s="4" t="s">
        <v>781</v>
      </c>
      <c r="E1328" s="4" t="str">
        <f t="shared" ref="E1328:E1342" si="74">B1328&amp;"|"&amp;C1328</f>
        <v>31|A</v>
      </c>
      <c r="F1328" s="14">
        <f>INDEX('Emission Stepwise'!$H$2:$H$289,MATCH(E1328,'Emission Stepwise'!$C$2:$C$289,0))</f>
        <v>0.26960784313725489</v>
      </c>
      <c r="G1328" s="14">
        <f>INDEX(Background!$C$4:$C$7,MATCH(C1328,Background!$A$4:$A$7,0))</f>
        <v>0.18550136449513679</v>
      </c>
      <c r="H1328" s="17">
        <f t="shared" ref="H1328:H1359" si="75">LN(F1328/G1328)</f>
        <v>0.37390623258102373</v>
      </c>
    </row>
    <row r="1329" spans="1:8">
      <c r="A1329" s="4" t="s">
        <v>770</v>
      </c>
      <c r="B1329" s="4">
        <v>32</v>
      </c>
      <c r="C1329" s="4" t="s">
        <v>70</v>
      </c>
      <c r="D1329" s="4" t="s">
        <v>781</v>
      </c>
      <c r="E1329" s="4" t="str">
        <f t="shared" si="74"/>
        <v>32|G</v>
      </c>
      <c r="F1329" s="14">
        <f>INDEX('Emission Stepwise'!$H$2:$H$289,MATCH(E1329,'Emission Stepwise'!$C$2:$C$289,0))</f>
        <v>4.9019607843137254E-3</v>
      </c>
      <c r="G1329" s="14">
        <f>INDEX(Background!$C$4:$C$7,MATCH(C1329,Background!$A$4:$A$7,0))</f>
        <v>0.32488979077741237</v>
      </c>
      <c r="H1329" s="17">
        <f t="shared" si="75"/>
        <v>-4.1938507343823437</v>
      </c>
    </row>
    <row r="1330" spans="1:8">
      <c r="A1330" s="4" t="s">
        <v>770</v>
      </c>
      <c r="B1330" s="4">
        <v>33</v>
      </c>
      <c r="C1330" s="4" t="s">
        <v>72</v>
      </c>
      <c r="D1330" s="4" t="s">
        <v>781</v>
      </c>
      <c r="E1330" s="4" t="str">
        <f t="shared" si="74"/>
        <v>33|U</v>
      </c>
      <c r="F1330" s="14">
        <f>INDEX('Emission Stepwise'!$H$2:$H$289,MATCH(E1330,'Emission Stepwise'!$C$2:$C$289,0))</f>
        <v>0.97549019607843135</v>
      </c>
      <c r="G1330" s="14">
        <f>INDEX(Background!$C$4:$C$7,MATCH(C1330,Background!$A$4:$A$7,0))</f>
        <v>0.21314113777902177</v>
      </c>
      <c r="H1330" s="17">
        <f t="shared" si="75"/>
        <v>1.5209855449069636</v>
      </c>
    </row>
    <row r="1331" spans="1:8">
      <c r="A1331" s="4" t="s">
        <v>770</v>
      </c>
      <c r="B1331" s="4">
        <v>34</v>
      </c>
      <c r="C1331" s="4" t="s">
        <v>72</v>
      </c>
      <c r="D1331" s="4" t="s">
        <v>781</v>
      </c>
      <c r="E1331" s="4" t="str">
        <f t="shared" si="74"/>
        <v>34|U</v>
      </c>
      <c r="F1331" s="14">
        <f>INDEX('Emission Stepwise'!$H$2:$H$289,MATCH(E1331,'Emission Stepwise'!$C$2:$C$289,0))</f>
        <v>0.28921568627450983</v>
      </c>
      <c r="G1331" s="14">
        <f>INDEX(Background!$C$4:$C$7,MATCH(C1331,Background!$A$4:$A$7,0))</f>
        <v>0.21314113777902177</v>
      </c>
      <c r="H1331" s="17">
        <f t="shared" si="75"/>
        <v>0.30521816408819075</v>
      </c>
    </row>
    <row r="1332" spans="1:8">
      <c r="A1332" s="4" t="s">
        <v>770</v>
      </c>
      <c r="B1332" s="4">
        <v>35</v>
      </c>
      <c r="C1332" s="4" t="s">
        <v>72</v>
      </c>
      <c r="D1332" s="4" t="s">
        <v>781</v>
      </c>
      <c r="E1332" s="4" t="str">
        <f t="shared" si="74"/>
        <v>35|U</v>
      </c>
      <c r="F1332" s="14">
        <f>INDEX('Emission Stepwise'!$H$2:$H$289,MATCH(E1332,'Emission Stepwise'!$C$2:$C$289,0))</f>
        <v>0.20588235294117646</v>
      </c>
      <c r="G1332" s="14">
        <f>INDEX(Background!$C$4:$C$7,MATCH(C1332,Background!$A$4:$A$7,0))</f>
        <v>0.21314113777902177</v>
      </c>
      <c r="H1332" s="17">
        <f t="shared" si="75"/>
        <v>-3.4649661534160589E-2</v>
      </c>
    </row>
    <row r="1333" spans="1:8">
      <c r="A1333" s="4" t="s">
        <v>770</v>
      </c>
      <c r="B1333" s="4">
        <v>36</v>
      </c>
      <c r="C1333" s="4" t="s">
        <v>73</v>
      </c>
      <c r="D1333" s="4" t="s">
        <v>781</v>
      </c>
      <c r="E1333" s="4" t="str">
        <f t="shared" si="74"/>
        <v>36|A</v>
      </c>
      <c r="F1333" s="14">
        <f>INDEX('Emission Stepwise'!$H$2:$H$289,MATCH(E1333,'Emission Stepwise'!$C$2:$C$289,0))</f>
        <v>0.21568627450980393</v>
      </c>
      <c r="G1333" s="14">
        <f>INDEX(Background!$C$4:$C$7,MATCH(C1333,Background!$A$4:$A$7,0))</f>
        <v>0.18550136449513679</v>
      </c>
      <c r="H1333" s="17">
        <f t="shared" si="75"/>
        <v>0.15076268126681408</v>
      </c>
    </row>
    <row r="1334" spans="1:8">
      <c r="A1334" s="4" t="s">
        <v>770</v>
      </c>
      <c r="B1334" s="4">
        <v>37</v>
      </c>
      <c r="C1334" s="4" t="s">
        <v>73</v>
      </c>
      <c r="D1334" s="4" t="s">
        <v>781</v>
      </c>
      <c r="E1334" s="4" t="str">
        <f t="shared" si="74"/>
        <v>37|A</v>
      </c>
      <c r="F1334" s="14">
        <f>INDEX('Emission Stepwise'!$H$2:$H$289,MATCH(E1334,'Emission Stepwise'!$C$2:$C$289,0))</f>
        <v>0.74509803921568629</v>
      </c>
      <c r="G1334" s="14">
        <f>INDEX(Background!$C$4:$C$7,MATCH(C1334,Background!$A$4:$A$7,0))</f>
        <v>0.18550136449513679</v>
      </c>
      <c r="H1334" s="17">
        <f t="shared" si="75"/>
        <v>1.3904535681948293</v>
      </c>
    </row>
    <row r="1335" spans="1:8">
      <c r="A1335" s="4" t="s">
        <v>770</v>
      </c>
      <c r="B1335" s="4">
        <v>38</v>
      </c>
      <c r="C1335" s="4" t="s">
        <v>71</v>
      </c>
      <c r="D1335" s="4" t="s">
        <v>781</v>
      </c>
      <c r="E1335" s="4" t="str">
        <f t="shared" si="74"/>
        <v>38|C</v>
      </c>
      <c r="F1335" s="14">
        <f>INDEX('Emission Stepwise'!$H$2:$H$289,MATCH(E1335,'Emission Stepwise'!$C$2:$C$289,0))</f>
        <v>0.14705882352941177</v>
      </c>
      <c r="G1335" s="14">
        <f>INDEX(Background!$C$4:$C$7,MATCH(C1335,Background!$A$4:$A$7,0))</f>
        <v>0.27646770694842909</v>
      </c>
      <c r="H1335" s="17">
        <f t="shared" si="75"/>
        <v>-0.63126135511165704</v>
      </c>
    </row>
    <row r="1336" spans="1:8">
      <c r="A1336" s="4" t="s">
        <v>770</v>
      </c>
      <c r="B1336" s="4">
        <v>39</v>
      </c>
      <c r="C1336" s="4" t="s">
        <v>71</v>
      </c>
      <c r="D1336" s="4" t="s">
        <v>781</v>
      </c>
      <c r="E1336" s="4" t="str">
        <f t="shared" si="74"/>
        <v>39|C</v>
      </c>
      <c r="F1336" s="14">
        <f>INDEX('Emission Stepwise'!$H$2:$H$289,MATCH(E1336,'Emission Stepwise'!$C$2:$C$289,0))</f>
        <v>0.25490196078431371</v>
      </c>
      <c r="G1336" s="14">
        <f>INDEX(Background!$C$4:$C$7,MATCH(C1336,Background!$A$4:$A$7,0))</f>
        <v>0.27646770694842909</v>
      </c>
      <c r="H1336" s="17">
        <f t="shared" si="75"/>
        <v>-8.1215018192385094E-2</v>
      </c>
    </row>
    <row r="1337" spans="1:8">
      <c r="A1337" s="4" t="s">
        <v>770</v>
      </c>
      <c r="B1337" s="4">
        <v>40</v>
      </c>
      <c r="C1337" s="4" t="s">
        <v>72</v>
      </c>
      <c r="D1337" s="4" t="s">
        <v>781</v>
      </c>
      <c r="E1337" s="4" t="str">
        <f t="shared" si="74"/>
        <v>40|U</v>
      </c>
      <c r="F1337" s="14">
        <f>INDEX('Emission Stepwise'!$H$2:$H$289,MATCH(E1337,'Emission Stepwise'!$C$2:$C$289,0))</f>
        <v>4.4117647058823532E-2</v>
      </c>
      <c r="G1337" s="14">
        <f>INDEX(Background!$C$4:$C$7,MATCH(C1337,Background!$A$4:$A$7,0))</f>
        <v>0.21314113777902177</v>
      </c>
      <c r="H1337" s="17">
        <f t="shared" si="75"/>
        <v>-1.5750947024813093</v>
      </c>
    </row>
    <row r="1338" spans="1:8">
      <c r="A1338" s="4" t="s">
        <v>770</v>
      </c>
      <c r="B1338" s="4">
        <v>41</v>
      </c>
      <c r="C1338" s="4" t="s">
        <v>72</v>
      </c>
      <c r="D1338" s="4" t="s">
        <v>781</v>
      </c>
      <c r="E1338" s="4" t="str">
        <f t="shared" si="74"/>
        <v>41|U</v>
      </c>
      <c r="F1338" s="14">
        <f>INDEX('Emission Stepwise'!$H$2:$H$289,MATCH(E1338,'Emission Stepwise'!$C$2:$C$289,0))</f>
        <v>0.16666666666666666</v>
      </c>
      <c r="G1338" s="14">
        <f>INDEX(Background!$C$4:$C$7,MATCH(C1338,Background!$A$4:$A$7,0))</f>
        <v>0.21314113777902177</v>
      </c>
      <c r="H1338" s="17">
        <f t="shared" si="75"/>
        <v>-0.24595875520136748</v>
      </c>
    </row>
    <row r="1339" spans="1:8">
      <c r="A1339" s="4" t="s">
        <v>770</v>
      </c>
      <c r="B1339" s="4">
        <v>42</v>
      </c>
      <c r="C1339" s="4" t="s">
        <v>73</v>
      </c>
      <c r="D1339" s="4" t="s">
        <v>781</v>
      </c>
      <c r="E1339" s="4" t="str">
        <f t="shared" si="74"/>
        <v>42|A</v>
      </c>
      <c r="F1339" s="14">
        <f>INDEX('Emission Stepwise'!$H$2:$H$289,MATCH(E1339,'Emission Stepwise'!$C$2:$C$289,0))</f>
        <v>0.24509803921568626</v>
      </c>
      <c r="G1339" s="14">
        <f>INDEX(Background!$C$4:$C$7,MATCH(C1339,Background!$A$4:$A$7,0))</f>
        <v>0.18550136449513679</v>
      </c>
      <c r="H1339" s="17">
        <f t="shared" si="75"/>
        <v>0.27859605277669885</v>
      </c>
    </row>
    <row r="1340" spans="1:8">
      <c r="A1340" s="4" t="s">
        <v>770</v>
      </c>
      <c r="B1340" s="4">
        <v>43</v>
      </c>
      <c r="C1340" s="4" t="s">
        <v>73</v>
      </c>
      <c r="D1340" s="4" t="s">
        <v>781</v>
      </c>
      <c r="E1340" s="4" t="str">
        <f t="shared" si="74"/>
        <v>43|A</v>
      </c>
      <c r="F1340" s="14">
        <f>INDEX('Emission Stepwise'!$H$2:$H$289,MATCH(E1340,'Emission Stepwise'!$C$2:$C$289,0))</f>
        <v>0.22549019607843138</v>
      </c>
      <c r="G1340" s="14">
        <f>INDEX(Background!$C$4:$C$7,MATCH(C1340,Background!$A$4:$A$7,0))</f>
        <v>0.18550136449513679</v>
      </c>
      <c r="H1340" s="17">
        <f t="shared" si="75"/>
        <v>0.1952144438376478</v>
      </c>
    </row>
    <row r="1341" spans="1:8">
      <c r="A1341" s="4" t="s">
        <v>770</v>
      </c>
      <c r="B1341" s="4">
        <v>44</v>
      </c>
      <c r="C1341" s="4" t="s">
        <v>73</v>
      </c>
      <c r="D1341" s="4" t="s">
        <v>781</v>
      </c>
      <c r="E1341" s="4" t="str">
        <f t="shared" si="74"/>
        <v>44|A</v>
      </c>
      <c r="F1341" s="14">
        <f>INDEX('Emission Stepwise'!$H$2:$H$289,MATCH(E1341,'Emission Stepwise'!$C$2:$C$289,0))</f>
        <v>0.49509803921568629</v>
      </c>
      <c r="G1341" s="14">
        <f>INDEX(Background!$C$4:$C$7,MATCH(C1341,Background!$A$4:$A$7,0))</f>
        <v>0.18550136449513679</v>
      </c>
      <c r="H1341" s="17">
        <f t="shared" si="75"/>
        <v>0.98169356418981235</v>
      </c>
    </row>
    <row r="1342" spans="1:8">
      <c r="A1342" s="4" t="s">
        <v>770</v>
      </c>
      <c r="B1342" s="4">
        <v>45</v>
      </c>
      <c r="C1342" s="4" t="s">
        <v>73</v>
      </c>
      <c r="D1342" s="4" t="s">
        <v>782</v>
      </c>
      <c r="E1342" s="4" t="str">
        <f t="shared" si="74"/>
        <v>45|A</v>
      </c>
      <c r="F1342" s="14">
        <f>INDEX('Emission Stepwise'!$H$2:$H$289,MATCH(E1342,'Emission Stepwise'!$C$2:$C$289,0))</f>
        <v>7.9207920792079209E-2</v>
      </c>
      <c r="G1342" s="14">
        <f>INDEX(Background!$C$4:$C$7,MATCH(C1342,Background!$A$4:$A$7,0))</f>
        <v>0.18550136449513679</v>
      </c>
      <c r="H1342" s="17">
        <f t="shared" si="75"/>
        <v>-0.8509859339686543</v>
      </c>
    </row>
    <row r="1343" spans="1:8">
      <c r="A1343" s="4" t="s">
        <v>770</v>
      </c>
      <c r="B1343" s="4">
        <v>46</v>
      </c>
      <c r="C1343" s="4" t="s">
        <v>77</v>
      </c>
      <c r="D1343" s="4" t="s">
        <v>782</v>
      </c>
      <c r="E1343" s="4"/>
      <c r="F1343" s="4"/>
      <c r="G1343" s="4"/>
      <c r="H1343" s="4"/>
    </row>
    <row r="1344" spans="1:8">
      <c r="A1344" s="4" t="s">
        <v>770</v>
      </c>
      <c r="B1344" s="4">
        <v>47</v>
      </c>
      <c r="C1344" s="4" t="s">
        <v>72</v>
      </c>
      <c r="D1344" s="4" t="s">
        <v>782</v>
      </c>
      <c r="E1344" s="4" t="str">
        <f t="shared" ref="E1344:E1407" si="76">B1344&amp;"|"&amp;C1344</f>
        <v>47|U</v>
      </c>
      <c r="F1344" s="14">
        <f>INDEX('Emission Stepwise'!$H$2:$H$289,MATCH(E1344,'Emission Stepwise'!$C$2:$C$289,0))</f>
        <v>0.66666666666666663</v>
      </c>
      <c r="G1344" s="14">
        <f>INDEX(Background!$C$4:$C$7,MATCH(C1344,Background!$A$4:$A$7,0))</f>
        <v>0.21314113777902177</v>
      </c>
      <c r="H1344" s="17">
        <f t="shared" ref="H1344:H1407" si="77">LN(F1344/G1344)</f>
        <v>1.1403356059185232</v>
      </c>
    </row>
    <row r="1345" spans="1:8">
      <c r="A1345" s="4" t="s">
        <v>770</v>
      </c>
      <c r="B1345" s="4">
        <v>48</v>
      </c>
      <c r="C1345" s="4" t="s">
        <v>73</v>
      </c>
      <c r="D1345" s="4" t="s">
        <v>782</v>
      </c>
      <c r="E1345" s="4" t="str">
        <f t="shared" si="76"/>
        <v>48|A</v>
      </c>
      <c r="F1345" s="14">
        <f>INDEX('Emission Stepwise'!$H$2:$H$289,MATCH(E1345,'Emission Stepwise'!$C$2:$C$289,0))</f>
        <v>9.8039215686274508E-3</v>
      </c>
      <c r="G1345" s="14">
        <f>INDEX(Background!$C$4:$C$7,MATCH(C1345,Background!$A$4:$A$7,0))</f>
        <v>0.18550136449513679</v>
      </c>
      <c r="H1345" s="17">
        <f t="shared" si="77"/>
        <v>-2.9402797720915017</v>
      </c>
    </row>
    <row r="1346" spans="1:8">
      <c r="A1346" s="4" t="s">
        <v>770</v>
      </c>
      <c r="B1346" s="4">
        <v>49</v>
      </c>
      <c r="C1346" s="4" t="s">
        <v>72</v>
      </c>
      <c r="D1346" s="4" t="s">
        <v>783</v>
      </c>
      <c r="E1346" s="4" t="str">
        <f t="shared" si="76"/>
        <v>49|U</v>
      </c>
      <c r="F1346" s="14">
        <f>INDEX('Emission Stepwise'!$H$2:$H$289,MATCH(E1346,'Emission Stepwise'!$C$2:$C$289,0))</f>
        <v>5.8823529411764705E-2</v>
      </c>
      <c r="G1346" s="14">
        <f>INDEX(Background!$C$4:$C$7,MATCH(C1346,Background!$A$4:$A$7,0))</f>
        <v>0.21314113777902177</v>
      </c>
      <c r="H1346" s="17">
        <f t="shared" si="77"/>
        <v>-1.2874126300295285</v>
      </c>
    </row>
    <row r="1347" spans="1:8">
      <c r="A1347" s="4" t="s">
        <v>770</v>
      </c>
      <c r="B1347" s="4">
        <v>50</v>
      </c>
      <c r="C1347" s="4" t="s">
        <v>72</v>
      </c>
      <c r="D1347" s="4" t="s">
        <v>783</v>
      </c>
      <c r="E1347" s="4" t="str">
        <f t="shared" si="76"/>
        <v>50|U</v>
      </c>
      <c r="F1347" s="14">
        <f>INDEX('Emission Stepwise'!$H$2:$H$289,MATCH(E1347,'Emission Stepwise'!$C$2:$C$289,0))</f>
        <v>0.18137254901960784</v>
      </c>
      <c r="G1347" s="14">
        <f>INDEX(Background!$C$4:$C$7,MATCH(C1347,Background!$A$4:$A$7,0))</f>
        <v>0.21314113777902177</v>
      </c>
      <c r="H1347" s="17">
        <f t="shared" si="77"/>
        <v>-0.16140136717330436</v>
      </c>
    </row>
    <row r="1348" spans="1:8">
      <c r="A1348" s="4" t="s">
        <v>770</v>
      </c>
      <c r="B1348" s="4">
        <v>51</v>
      </c>
      <c r="C1348" s="4" t="s">
        <v>73</v>
      </c>
      <c r="D1348" s="4" t="s">
        <v>783</v>
      </c>
      <c r="E1348" s="4" t="str">
        <f t="shared" si="76"/>
        <v>51|A</v>
      </c>
      <c r="F1348" s="14">
        <f>INDEX('Emission Stepwise'!$H$2:$H$289,MATCH(E1348,'Emission Stepwise'!$C$2:$C$289,0))</f>
        <v>0.14285714285714285</v>
      </c>
      <c r="G1348" s="14">
        <f>INDEX(Background!$C$4:$C$7,MATCH(C1348,Background!$A$4:$A$7,0))</f>
        <v>0.18550136449513679</v>
      </c>
      <c r="H1348" s="17">
        <f t="shared" si="77"/>
        <v>-0.26121710786254415</v>
      </c>
    </row>
    <row r="1349" spans="1:8">
      <c r="A1349" s="4" t="s">
        <v>770</v>
      </c>
      <c r="B1349" s="4">
        <v>52</v>
      </c>
      <c r="C1349" s="4" t="s">
        <v>73</v>
      </c>
      <c r="D1349" s="4" t="s">
        <v>783</v>
      </c>
      <c r="E1349" s="4" t="str">
        <f t="shared" si="76"/>
        <v>52|A</v>
      </c>
      <c r="F1349" s="14">
        <f>INDEX('Emission Stepwise'!$H$2:$H$289,MATCH(E1349,'Emission Stepwise'!$C$2:$C$289,0))</f>
        <v>0.13235294117647059</v>
      </c>
      <c r="G1349" s="14">
        <f>INDEX(Background!$C$4:$C$7,MATCH(C1349,Background!$A$4:$A$7,0))</f>
        <v>0.18550136449513679</v>
      </c>
      <c r="H1349" s="17">
        <f t="shared" si="77"/>
        <v>-0.33759008664711798</v>
      </c>
    </row>
    <row r="1350" spans="1:8">
      <c r="A1350" s="4" t="s">
        <v>770</v>
      </c>
      <c r="B1350" s="4">
        <v>53</v>
      </c>
      <c r="C1350" s="4" t="s">
        <v>70</v>
      </c>
      <c r="D1350" s="4" t="s">
        <v>783</v>
      </c>
      <c r="E1350" s="4" t="str">
        <f t="shared" si="76"/>
        <v>53|G</v>
      </c>
      <c r="F1350" s="14">
        <f>INDEX('Emission Stepwise'!$H$2:$H$289,MATCH(E1350,'Emission Stepwise'!$C$2:$C$289,0))</f>
        <v>0.96568627450980393</v>
      </c>
      <c r="G1350" s="14">
        <f>INDEX(Background!$C$4:$C$7,MATCH(C1350,Background!$A$4:$A$7,0))</f>
        <v>0.32488979077741237</v>
      </c>
      <c r="H1350" s="17">
        <f t="shared" si="77"/>
        <v>1.089352994355645</v>
      </c>
    </row>
    <row r="1351" spans="1:8">
      <c r="A1351" s="4" t="s">
        <v>770</v>
      </c>
      <c r="B1351" s="4">
        <v>54</v>
      </c>
      <c r="C1351" s="4" t="s">
        <v>73</v>
      </c>
      <c r="D1351" s="4" t="s">
        <v>783</v>
      </c>
      <c r="E1351" s="4" t="str">
        <f t="shared" si="76"/>
        <v>54|A</v>
      </c>
      <c r="F1351" s="14">
        <f>INDEX('Emission Stepwise'!$H$2:$H$289,MATCH(E1351,'Emission Stepwise'!$C$2:$C$289,0))</f>
        <v>1.4705882352941176E-2</v>
      </c>
      <c r="G1351" s="14">
        <f>INDEX(Background!$C$4:$C$7,MATCH(C1351,Background!$A$4:$A$7,0))</f>
        <v>0.18550136449513679</v>
      </c>
      <c r="H1351" s="17">
        <f t="shared" si="77"/>
        <v>-2.5348146639833375</v>
      </c>
    </row>
    <row r="1352" spans="1:8">
      <c r="A1352" s="4" t="s">
        <v>770</v>
      </c>
      <c r="B1352" s="4">
        <v>55</v>
      </c>
      <c r="C1352" s="4" t="s">
        <v>72</v>
      </c>
      <c r="D1352" s="4" t="s">
        <v>783</v>
      </c>
      <c r="E1352" s="4" t="str">
        <f t="shared" si="76"/>
        <v>55|U</v>
      </c>
      <c r="F1352" s="14">
        <f>INDEX('Emission Stepwise'!$H$2:$H$289,MATCH(E1352,'Emission Stepwise'!$C$2:$C$289,0))</f>
        <v>0.97058823529411764</v>
      </c>
      <c r="G1352" s="14">
        <f>INDEX(Background!$C$4:$C$7,MATCH(C1352,Background!$A$4:$A$7,0))</f>
        <v>0.21314113777902177</v>
      </c>
      <c r="H1352" s="17">
        <f t="shared" si="77"/>
        <v>1.5159477508770065</v>
      </c>
    </row>
    <row r="1353" spans="1:8">
      <c r="A1353" s="4" t="s">
        <v>770</v>
      </c>
      <c r="B1353" s="4">
        <v>56</v>
      </c>
      <c r="C1353" s="4" t="s">
        <v>71</v>
      </c>
      <c r="D1353" s="4" t="s">
        <v>783</v>
      </c>
      <c r="E1353" s="4" t="str">
        <f t="shared" si="76"/>
        <v>56|C</v>
      </c>
      <c r="F1353" s="14">
        <f>INDEX('Emission Stepwise'!$H$2:$H$289,MATCH(E1353,'Emission Stepwise'!$C$2:$C$289,0))</f>
        <v>0.96568627450980393</v>
      </c>
      <c r="G1353" s="14">
        <f>INDEX(Background!$C$4:$C$7,MATCH(C1353,Background!$A$4:$A$7,0))</f>
        <v>0.27646770694842909</v>
      </c>
      <c r="H1353" s="17">
        <f t="shared" si="77"/>
        <v>1.250744991964176</v>
      </c>
    </row>
    <row r="1354" spans="1:8">
      <c r="A1354" s="4" t="s">
        <v>770</v>
      </c>
      <c r="B1354" s="4">
        <v>57</v>
      </c>
      <c r="C1354" s="4" t="s">
        <v>73</v>
      </c>
      <c r="D1354" s="4" t="s">
        <v>783</v>
      </c>
      <c r="E1354" s="4" t="str">
        <f t="shared" si="76"/>
        <v>57|A</v>
      </c>
      <c r="F1354" s="14">
        <f>INDEX('Emission Stepwise'!$H$2:$H$289,MATCH(E1354,'Emission Stepwise'!$C$2:$C$289,0))</f>
        <v>0.38423645320197042</v>
      </c>
      <c r="G1354" s="14">
        <f>INDEX(Background!$C$4:$C$7,MATCH(C1354,Background!$A$4:$A$7,0))</f>
        <v>0.18550136449513679</v>
      </c>
      <c r="H1354" s="17">
        <f t="shared" si="77"/>
        <v>0.72819588884057362</v>
      </c>
    </row>
    <row r="1355" spans="1:8">
      <c r="A1355" s="4" t="s">
        <v>770</v>
      </c>
      <c r="B1355" s="4">
        <v>58</v>
      </c>
      <c r="C1355" s="4" t="s">
        <v>72</v>
      </c>
      <c r="D1355" s="4" t="s">
        <v>783</v>
      </c>
      <c r="E1355" s="4" t="str">
        <f t="shared" si="76"/>
        <v>58|U</v>
      </c>
      <c r="F1355" s="14">
        <f>INDEX('Emission Stepwise'!$H$2:$H$289,MATCH(E1355,'Emission Stepwise'!$C$2:$C$289,0))</f>
        <v>9.8039215686274508E-3</v>
      </c>
      <c r="G1355" s="14">
        <f>INDEX(Background!$C$4:$C$7,MATCH(C1355,Background!$A$4:$A$7,0))</f>
        <v>0.21314113777902177</v>
      </c>
      <c r="H1355" s="17">
        <f t="shared" si="77"/>
        <v>-3.0791720992575837</v>
      </c>
    </row>
    <row r="1356" spans="1:8">
      <c r="A1356" s="4" t="s">
        <v>770</v>
      </c>
      <c r="B1356" s="4">
        <v>59</v>
      </c>
      <c r="C1356" s="4" t="s">
        <v>73</v>
      </c>
      <c r="D1356" s="4" t="s">
        <v>783</v>
      </c>
      <c r="E1356" s="4" t="str">
        <f t="shared" si="76"/>
        <v>59|A</v>
      </c>
      <c r="F1356" s="14">
        <f>INDEX('Emission Stepwise'!$H$2:$H$289,MATCH(E1356,'Emission Stepwise'!$C$2:$C$289,0))</f>
        <v>0.45098039215686275</v>
      </c>
      <c r="G1356" s="14">
        <f>INDEX(Background!$C$4:$C$7,MATCH(C1356,Background!$A$4:$A$7,0))</f>
        <v>0.18550136449513679</v>
      </c>
      <c r="H1356" s="17">
        <f t="shared" si="77"/>
        <v>0.88836162439759314</v>
      </c>
    </row>
    <row r="1357" spans="1:8">
      <c r="A1357" s="4" t="s">
        <v>770</v>
      </c>
      <c r="B1357" s="4">
        <v>60</v>
      </c>
      <c r="C1357" s="4" t="s">
        <v>72</v>
      </c>
      <c r="D1357" s="4" t="s">
        <v>783</v>
      </c>
      <c r="E1357" s="4" t="str">
        <f t="shared" si="76"/>
        <v>60|U</v>
      </c>
      <c r="F1357" s="14">
        <f>INDEX('Emission Stepwise'!$H$2:$H$289,MATCH(E1357,'Emission Stepwise'!$C$2:$C$289,0))</f>
        <v>0.77450980392156865</v>
      </c>
      <c r="G1357" s="14">
        <f>INDEX(Background!$C$4:$C$7,MATCH(C1357,Background!$A$4:$A$7,0))</f>
        <v>0.21314113777902177</v>
      </c>
      <c r="H1357" s="17">
        <f t="shared" si="77"/>
        <v>1.290275753209438</v>
      </c>
    </row>
    <row r="1358" spans="1:8">
      <c r="A1358" s="4" t="s">
        <v>770</v>
      </c>
      <c r="B1358" s="4">
        <v>61</v>
      </c>
      <c r="C1358" s="4" t="s">
        <v>71</v>
      </c>
      <c r="D1358" s="4" t="s">
        <v>783</v>
      </c>
      <c r="E1358" s="4" t="str">
        <f t="shared" si="76"/>
        <v>61|C</v>
      </c>
      <c r="F1358" s="14">
        <f>INDEX('Emission Stepwise'!$H$2:$H$289,MATCH(E1358,'Emission Stepwise'!$C$2:$C$289,0))</f>
        <v>0.97549019607843135</v>
      </c>
      <c r="G1358" s="14">
        <f>INDEX(Background!$C$4:$C$7,MATCH(C1358,Background!$A$4:$A$7,0))</f>
        <v>0.27646770694842909</v>
      </c>
      <c r="H1358" s="17">
        <f t="shared" si="77"/>
        <v>1.26084608795068</v>
      </c>
    </row>
    <row r="1359" spans="1:8">
      <c r="A1359" s="4" t="s">
        <v>770</v>
      </c>
      <c r="B1359" s="4">
        <v>62</v>
      </c>
      <c r="C1359" s="4" t="s">
        <v>72</v>
      </c>
      <c r="D1359" s="4" t="s">
        <v>783</v>
      </c>
      <c r="E1359" s="4" t="str">
        <f t="shared" si="76"/>
        <v>62|U</v>
      </c>
      <c r="F1359" s="14">
        <f>INDEX('Emission Stepwise'!$H$2:$H$289,MATCH(E1359,'Emission Stepwise'!$C$2:$C$289,0))</f>
        <v>0.13235294117647059</v>
      </c>
      <c r="G1359" s="14">
        <f>INDEX(Background!$C$4:$C$7,MATCH(C1359,Background!$A$4:$A$7,0))</f>
        <v>0.21314113777902177</v>
      </c>
      <c r="H1359" s="17">
        <f t="shared" si="77"/>
        <v>-0.47648241381319967</v>
      </c>
    </row>
    <row r="1360" spans="1:8">
      <c r="A1360" s="4" t="s">
        <v>770</v>
      </c>
      <c r="B1360" s="4">
        <v>63</v>
      </c>
      <c r="C1360" s="4" t="s">
        <v>72</v>
      </c>
      <c r="D1360" s="4" t="s">
        <v>783</v>
      </c>
      <c r="E1360" s="4" t="str">
        <f t="shared" si="76"/>
        <v>63|U</v>
      </c>
      <c r="F1360" s="14">
        <f>INDEX('Emission Stepwise'!$H$2:$H$289,MATCH(E1360,'Emission Stepwise'!$C$2:$C$289,0))</f>
        <v>0.16176470588235295</v>
      </c>
      <c r="G1360" s="14">
        <f>INDEX(Background!$C$4:$C$7,MATCH(C1360,Background!$A$4:$A$7,0))</f>
        <v>0.21314113777902177</v>
      </c>
      <c r="H1360" s="17">
        <f t="shared" si="77"/>
        <v>-0.27581171835104856</v>
      </c>
    </row>
    <row r="1361" spans="1:8">
      <c r="A1361" s="4" t="s">
        <v>770</v>
      </c>
      <c r="B1361" s="4">
        <v>64</v>
      </c>
      <c r="C1361" s="4" t="s">
        <v>70</v>
      </c>
      <c r="D1361" s="4" t="s">
        <v>783</v>
      </c>
      <c r="E1361" s="4" t="str">
        <f t="shared" si="76"/>
        <v>64|G</v>
      </c>
      <c r="F1361" s="14">
        <f>INDEX('Emission Stepwise'!$H$2:$H$289,MATCH(E1361,'Emission Stepwise'!$C$2:$C$289,0))</f>
        <v>0.45588235294117646</v>
      </c>
      <c r="G1361" s="14">
        <f>INDEX(Background!$C$4:$C$7,MATCH(C1361,Background!$A$4:$A$7,0))</f>
        <v>0.32488979077741237</v>
      </c>
      <c r="H1361" s="17">
        <f t="shared" si="77"/>
        <v>0.33874875877091259</v>
      </c>
    </row>
    <row r="1362" spans="1:8">
      <c r="A1362" s="4" t="s">
        <v>770</v>
      </c>
      <c r="B1362" s="4">
        <v>65</v>
      </c>
      <c r="C1362" s="4" t="s">
        <v>73</v>
      </c>
      <c r="D1362" s="4" t="s">
        <v>783</v>
      </c>
      <c r="E1362" s="4" t="str">
        <f t="shared" si="76"/>
        <v>65|A</v>
      </c>
      <c r="F1362" s="14">
        <f>INDEX('Emission Stepwise'!$H$2:$H$289,MATCH(E1362,'Emission Stepwise'!$C$2:$C$289,0))</f>
        <v>4.9261083743842367E-2</v>
      </c>
      <c r="G1362" s="14">
        <f>INDEX(Background!$C$4:$C$7,MATCH(C1362,Background!$A$4:$A$7,0))</f>
        <v>0.18550136449513679</v>
      </c>
      <c r="H1362" s="17">
        <f t="shared" si="77"/>
        <v>-1.3259278448549723</v>
      </c>
    </row>
    <row r="1363" spans="1:8">
      <c r="A1363" s="4" t="s">
        <v>770</v>
      </c>
      <c r="B1363" s="4">
        <v>66</v>
      </c>
      <c r="C1363" s="4" t="s">
        <v>70</v>
      </c>
      <c r="D1363" s="4" t="s">
        <v>784</v>
      </c>
      <c r="E1363" s="4" t="str">
        <f t="shared" si="76"/>
        <v>66|G</v>
      </c>
      <c r="F1363" s="14">
        <f>INDEX('Emission Stepwise'!$H$2:$H$289,MATCH(E1363,'Emission Stepwise'!$C$2:$C$289,0))</f>
        <v>1.4705882352941176E-2</v>
      </c>
      <c r="G1363" s="14">
        <f>INDEX(Background!$C$4:$C$7,MATCH(C1363,Background!$A$4:$A$7,0))</f>
        <v>0.32488979077741237</v>
      </c>
      <c r="H1363" s="17">
        <f t="shared" si="77"/>
        <v>-3.0952384457142337</v>
      </c>
    </row>
    <row r="1364" spans="1:8">
      <c r="A1364" s="4" t="s">
        <v>770</v>
      </c>
      <c r="B1364" s="4">
        <v>67</v>
      </c>
      <c r="C1364" s="4" t="s">
        <v>73</v>
      </c>
      <c r="D1364" s="4" t="s">
        <v>784</v>
      </c>
      <c r="E1364" s="4" t="str">
        <f t="shared" si="76"/>
        <v>67|A</v>
      </c>
      <c r="F1364" s="14">
        <f>INDEX('Emission Stepwise'!$H$2:$H$289,MATCH(E1364,'Emission Stepwise'!$C$2:$C$289,0))</f>
        <v>0.2107843137254902</v>
      </c>
      <c r="G1364" s="14">
        <f>INDEX(Background!$C$4:$C$7,MATCH(C1364,Background!$A$4:$A$7,0))</f>
        <v>0.18550136449513679</v>
      </c>
      <c r="H1364" s="17">
        <f t="shared" si="77"/>
        <v>0.12777316304211531</v>
      </c>
    </row>
    <row r="1365" spans="1:8">
      <c r="A1365" s="4" t="s">
        <v>770</v>
      </c>
      <c r="B1365" s="4">
        <v>68</v>
      </c>
      <c r="C1365" s="4" t="s">
        <v>73</v>
      </c>
      <c r="D1365" s="4" t="s">
        <v>784</v>
      </c>
      <c r="E1365" s="4" t="str">
        <f t="shared" si="76"/>
        <v>68|A</v>
      </c>
      <c r="F1365" s="14">
        <f>INDEX('Emission Stepwise'!$H$2:$H$289,MATCH(E1365,'Emission Stepwise'!$C$2:$C$289,0))</f>
        <v>7.8431372549019607E-2</v>
      </c>
      <c r="G1365" s="14">
        <f>INDEX(Background!$C$4:$C$7,MATCH(C1365,Background!$A$4:$A$7,0))</f>
        <v>0.18550136449513679</v>
      </c>
      <c r="H1365" s="17">
        <f t="shared" si="77"/>
        <v>-0.86083823041166596</v>
      </c>
    </row>
    <row r="1366" spans="1:8">
      <c r="A1366" s="4" t="s">
        <v>770</v>
      </c>
      <c r="B1366" s="4">
        <v>69</v>
      </c>
      <c r="C1366" s="4" t="s">
        <v>72</v>
      </c>
      <c r="D1366" s="4" t="s">
        <v>784</v>
      </c>
      <c r="E1366" s="4" t="str">
        <f t="shared" si="76"/>
        <v>69|U</v>
      </c>
      <c r="F1366" s="14">
        <f>INDEX('Emission Stepwise'!$H$2:$H$289,MATCH(E1366,'Emission Stepwise'!$C$2:$C$289,0))</f>
        <v>8.8235294117647065E-2</v>
      </c>
      <c r="G1366" s="14">
        <f>INDEX(Background!$C$4:$C$7,MATCH(C1366,Background!$A$4:$A$7,0))</f>
        <v>0.21314113777902177</v>
      </c>
      <c r="H1366" s="17">
        <f t="shared" si="77"/>
        <v>-0.88194752192136405</v>
      </c>
    </row>
    <row r="1367" spans="1:8">
      <c r="A1367" s="4" t="s">
        <v>770</v>
      </c>
      <c r="B1367" s="4">
        <v>70</v>
      </c>
      <c r="C1367" s="4" t="s">
        <v>72</v>
      </c>
      <c r="D1367" s="4" t="s">
        <v>784</v>
      </c>
      <c r="E1367" s="4" t="str">
        <f t="shared" si="76"/>
        <v>70|U</v>
      </c>
      <c r="F1367" s="14">
        <f>INDEX('Emission Stepwise'!$H$2:$H$289,MATCH(E1367,'Emission Stepwise'!$C$2:$C$289,0))</f>
        <v>0.15196078431372548</v>
      </c>
      <c r="G1367" s="14">
        <f>INDEX(Background!$C$4:$C$7,MATCH(C1367,Background!$A$4:$A$7,0))</f>
        <v>0.21314113777902177</v>
      </c>
      <c r="H1367" s="17">
        <f t="shared" si="77"/>
        <v>-0.33833207533238269</v>
      </c>
    </row>
    <row r="1368" spans="1:8">
      <c r="A1368" s="4" t="s">
        <v>770</v>
      </c>
      <c r="B1368" s="4">
        <v>71</v>
      </c>
      <c r="C1368" s="4" t="s">
        <v>72</v>
      </c>
      <c r="D1368" s="4" t="s">
        <v>784</v>
      </c>
      <c r="E1368" s="4" t="str">
        <f t="shared" si="76"/>
        <v>71|U</v>
      </c>
      <c r="F1368" s="14">
        <f>INDEX('Emission Stepwise'!$H$2:$H$289,MATCH(E1368,'Emission Stepwise'!$C$2:$C$289,0))</f>
        <v>4.9019607843137254E-2</v>
      </c>
      <c r="G1368" s="14">
        <f>INDEX(Background!$C$4:$C$7,MATCH(C1368,Background!$A$4:$A$7,0))</f>
        <v>0.21314113777902177</v>
      </c>
      <c r="H1368" s="17">
        <f t="shared" si="77"/>
        <v>-1.469734186823483</v>
      </c>
    </row>
    <row r="1369" spans="1:8">
      <c r="A1369" s="4" t="s">
        <v>770</v>
      </c>
      <c r="B1369" s="4">
        <v>72</v>
      </c>
      <c r="C1369" s="4" t="s">
        <v>70</v>
      </c>
      <c r="D1369" s="4" t="s">
        <v>784</v>
      </c>
      <c r="E1369" s="4" t="str">
        <f t="shared" si="76"/>
        <v>72|G</v>
      </c>
      <c r="F1369" s="14">
        <f>INDEX('Emission Stepwise'!$H$2:$H$289,MATCH(E1369,'Emission Stepwise'!$C$2:$C$289,0))</f>
        <v>9.3137254901960786E-2</v>
      </c>
      <c r="G1369" s="14">
        <f>INDEX(Background!$C$4:$C$7,MATCH(C1369,Background!$A$4:$A$7,0))</f>
        <v>0.32488979077741237</v>
      </c>
      <c r="H1369" s="17">
        <f t="shared" si="77"/>
        <v>-1.249411755215903</v>
      </c>
    </row>
    <row r="1370" spans="1:8">
      <c r="A1370" s="4" t="s">
        <v>771</v>
      </c>
      <c r="B1370" s="4">
        <v>1</v>
      </c>
      <c r="C1370" s="4" t="s">
        <v>71</v>
      </c>
      <c r="D1370" s="4" t="s">
        <v>778</v>
      </c>
      <c r="E1370" s="4" t="str">
        <f t="shared" si="76"/>
        <v>1|C</v>
      </c>
      <c r="F1370" s="14">
        <f>INDEX('Emission Stepwise'!$H$2:$H$289,MATCH(E1370,'Emission Stepwise'!$C$2:$C$289,0))</f>
        <v>0.11274509803921569</v>
      </c>
      <c r="G1370" s="14">
        <f>INDEX(Background!$C$4:$C$7,MATCH(C1370,Background!$A$4:$A$7,0))</f>
        <v>0.27646770694842909</v>
      </c>
      <c r="H1370" s="17">
        <f t="shared" si="77"/>
        <v>-0.89696452084466272</v>
      </c>
    </row>
    <row r="1371" spans="1:8">
      <c r="A1371" s="4" t="s">
        <v>771</v>
      </c>
      <c r="B1371" s="4">
        <v>2</v>
      </c>
      <c r="C1371" s="4" t="s">
        <v>71</v>
      </c>
      <c r="D1371" s="4" t="s">
        <v>778</v>
      </c>
      <c r="E1371" s="4" t="str">
        <f t="shared" si="76"/>
        <v>2|C</v>
      </c>
      <c r="F1371" s="14">
        <f>INDEX('Emission Stepwise'!$H$2:$H$289,MATCH(E1371,'Emission Stepwise'!$C$2:$C$289,0))</f>
        <v>0.40686274509803921</v>
      </c>
      <c r="G1371" s="14">
        <f>INDEX(Background!$C$4:$C$7,MATCH(C1371,Background!$A$4:$A$7,0))</f>
        <v>0.27646770694842909</v>
      </c>
      <c r="H1371" s="17">
        <f t="shared" si="77"/>
        <v>0.38638187102278543</v>
      </c>
    </row>
    <row r="1372" spans="1:8">
      <c r="A1372" s="4" t="s">
        <v>771</v>
      </c>
      <c r="B1372" s="4">
        <v>3</v>
      </c>
      <c r="C1372" s="4" t="s">
        <v>73</v>
      </c>
      <c r="D1372" s="4" t="s">
        <v>778</v>
      </c>
      <c r="E1372" s="4" t="str">
        <f t="shared" si="76"/>
        <v>3|A</v>
      </c>
      <c r="F1372" s="14">
        <f>INDEX('Emission Stepwise'!$H$2:$H$289,MATCH(E1372,'Emission Stepwise'!$C$2:$C$289,0))</f>
        <v>7.3529411764705885E-2</v>
      </c>
      <c r="G1372" s="14">
        <f>INDEX(Background!$C$4:$C$7,MATCH(C1372,Background!$A$4:$A$7,0))</f>
        <v>0.18550136449513679</v>
      </c>
      <c r="H1372" s="17">
        <f t="shared" si="77"/>
        <v>-0.92537675154923693</v>
      </c>
    </row>
    <row r="1373" spans="1:8">
      <c r="A1373" s="4" t="s">
        <v>771</v>
      </c>
      <c r="B1373" s="4">
        <v>4</v>
      </c>
      <c r="C1373" s="4" t="s">
        <v>71</v>
      </c>
      <c r="D1373" s="4" t="s">
        <v>778</v>
      </c>
      <c r="E1373" s="4" t="str">
        <f t="shared" si="76"/>
        <v>4|C</v>
      </c>
      <c r="F1373" s="14">
        <f>INDEX('Emission Stepwise'!$H$2:$H$289,MATCH(E1373,'Emission Stepwise'!$C$2:$C$289,0))</f>
        <v>0.30392156862745096</v>
      </c>
      <c r="G1373" s="14">
        <f>INDEX(Background!$C$4:$C$7,MATCH(C1373,Background!$A$4:$A$7,0))</f>
        <v>0.27646770694842909</v>
      </c>
      <c r="H1373" s="17">
        <f t="shared" si="77"/>
        <v>9.4675648271279042E-2</v>
      </c>
    </row>
    <row r="1374" spans="1:8">
      <c r="A1374" s="4" t="s">
        <v>771</v>
      </c>
      <c r="B1374" s="4">
        <v>5</v>
      </c>
      <c r="C1374" s="4" t="s">
        <v>72</v>
      </c>
      <c r="D1374" s="4" t="s">
        <v>778</v>
      </c>
      <c r="E1374" s="4" t="str">
        <f t="shared" si="76"/>
        <v>5|U</v>
      </c>
      <c r="F1374" s="14">
        <f>INDEX('Emission Stepwise'!$H$2:$H$289,MATCH(E1374,'Emission Stepwise'!$C$2:$C$289,0))</f>
        <v>0.10784313725490197</v>
      </c>
      <c r="G1374" s="14">
        <f>INDEX(Background!$C$4:$C$7,MATCH(C1374,Background!$A$4:$A$7,0))</f>
        <v>0.21314113777902177</v>
      </c>
      <c r="H1374" s="17">
        <f t="shared" si="77"/>
        <v>-0.68127682645921295</v>
      </c>
    </row>
    <row r="1375" spans="1:8">
      <c r="A1375" s="4" t="s">
        <v>771</v>
      </c>
      <c r="B1375" s="4">
        <v>6</v>
      </c>
      <c r="C1375" s="4" t="s">
        <v>73</v>
      </c>
      <c r="D1375" s="4" t="s">
        <v>778</v>
      </c>
      <c r="E1375" s="4" t="str">
        <f t="shared" si="76"/>
        <v>6|A</v>
      </c>
      <c r="F1375" s="14">
        <f>INDEX('Emission Stepwise'!$H$2:$H$289,MATCH(E1375,'Emission Stepwise'!$C$2:$C$289,0))</f>
        <v>0.17156862745098039</v>
      </c>
      <c r="G1375" s="14">
        <f>INDEX(Background!$C$4:$C$7,MATCH(C1375,Background!$A$4:$A$7,0))</f>
        <v>0.18550136449513679</v>
      </c>
      <c r="H1375" s="17">
        <f t="shared" si="77"/>
        <v>-7.8078891162033495E-2</v>
      </c>
    </row>
    <row r="1376" spans="1:8">
      <c r="A1376" s="4" t="s">
        <v>771</v>
      </c>
      <c r="B1376" s="4">
        <v>7</v>
      </c>
      <c r="C1376" s="4" t="s">
        <v>71</v>
      </c>
      <c r="D1376" s="4" t="s">
        <v>778</v>
      </c>
      <c r="E1376" s="4" t="str">
        <f t="shared" si="76"/>
        <v>7|C</v>
      </c>
      <c r="F1376" s="14">
        <f>INDEX('Emission Stepwise'!$H$2:$H$289,MATCH(E1376,'Emission Stepwise'!$C$2:$C$289,0))</f>
        <v>1.9607843137254902E-2</v>
      </c>
      <c r="G1376" s="14">
        <f>INDEX(Background!$C$4:$C$7,MATCH(C1376,Background!$A$4:$A$7,0))</f>
        <v>0.27646770694842909</v>
      </c>
      <c r="H1376" s="17">
        <f t="shared" si="77"/>
        <v>-2.6461643756539219</v>
      </c>
    </row>
    <row r="1377" spans="1:8">
      <c r="A1377" s="4" t="s">
        <v>771</v>
      </c>
      <c r="B1377" s="4">
        <v>8</v>
      </c>
      <c r="C1377" s="4" t="s">
        <v>72</v>
      </c>
      <c r="D1377" s="4" t="s">
        <v>779</v>
      </c>
      <c r="E1377" s="4" t="str">
        <f t="shared" si="76"/>
        <v>8|U</v>
      </c>
      <c r="F1377" s="14">
        <f>INDEX('Emission Stepwise'!$H$2:$H$289,MATCH(E1377,'Emission Stepwise'!$C$2:$C$289,0))</f>
        <v>0.97549019607843135</v>
      </c>
      <c r="G1377" s="14">
        <f>INDEX(Background!$C$4:$C$7,MATCH(C1377,Background!$A$4:$A$7,0))</f>
        <v>0.21314113777902177</v>
      </c>
      <c r="H1377" s="17">
        <f t="shared" si="77"/>
        <v>1.5209855449069636</v>
      </c>
    </row>
    <row r="1378" spans="1:8">
      <c r="A1378" s="4" t="s">
        <v>771</v>
      </c>
      <c r="B1378" s="4">
        <v>9</v>
      </c>
      <c r="C1378" s="4" t="s">
        <v>72</v>
      </c>
      <c r="D1378" s="4" t="s">
        <v>780</v>
      </c>
      <c r="E1378" s="4" t="str">
        <f t="shared" si="76"/>
        <v>9|U</v>
      </c>
      <c r="F1378" s="14">
        <f>INDEX('Emission Stepwise'!$H$2:$H$289,MATCH(E1378,'Emission Stepwise'!$C$2:$C$289,0))</f>
        <v>4.9261083743842365E-3</v>
      </c>
      <c r="G1378" s="14">
        <f>INDEX(Background!$C$4:$C$7,MATCH(C1378,Background!$A$4:$A$7,0))</f>
        <v>0.21314113777902177</v>
      </c>
      <c r="H1378" s="17">
        <f t="shared" si="77"/>
        <v>-3.7674052650150998</v>
      </c>
    </row>
    <row r="1379" spans="1:8">
      <c r="A1379" s="4" t="s">
        <v>771</v>
      </c>
      <c r="B1379" s="4">
        <v>10</v>
      </c>
      <c r="C1379" s="4" t="s">
        <v>73</v>
      </c>
      <c r="D1379" s="4" t="s">
        <v>780</v>
      </c>
      <c r="E1379" s="4" t="str">
        <f t="shared" si="76"/>
        <v>10|A</v>
      </c>
      <c r="F1379" s="14">
        <f>INDEX('Emission Stepwise'!$H$2:$H$289,MATCH(E1379,'Emission Stepwise'!$C$2:$C$289,0))</f>
        <v>4.9019607843137254E-3</v>
      </c>
      <c r="G1379" s="14">
        <f>INDEX(Background!$C$4:$C$7,MATCH(C1379,Background!$A$4:$A$7,0))</f>
        <v>0.18550136449513679</v>
      </c>
      <c r="H1379" s="17">
        <f t="shared" si="77"/>
        <v>-3.6334269526514471</v>
      </c>
    </row>
    <row r="1380" spans="1:8">
      <c r="A1380" s="4" t="s">
        <v>771</v>
      </c>
      <c r="B1380" s="4">
        <v>11</v>
      </c>
      <c r="C1380" s="4" t="s">
        <v>72</v>
      </c>
      <c r="D1380" s="4" t="s">
        <v>780</v>
      </c>
      <c r="E1380" s="4" t="str">
        <f t="shared" si="76"/>
        <v>11|U</v>
      </c>
      <c r="F1380" s="14">
        <f>INDEX('Emission Stepwise'!$H$2:$H$289,MATCH(E1380,'Emission Stepwise'!$C$2:$C$289,0))</f>
        <v>0.20098039215686275</v>
      </c>
      <c r="G1380" s="14">
        <f>INDEX(Background!$C$4:$C$7,MATCH(C1380,Background!$A$4:$A$7,0))</f>
        <v>0.21314113777902177</v>
      </c>
      <c r="H1380" s="17">
        <f t="shared" si="77"/>
        <v>-5.8747213113220911E-2</v>
      </c>
    </row>
    <row r="1381" spans="1:8">
      <c r="A1381" s="4" t="s">
        <v>771</v>
      </c>
      <c r="B1381" s="4">
        <v>12</v>
      </c>
      <c r="C1381" s="4" t="s">
        <v>70</v>
      </c>
      <c r="D1381" s="4" t="s">
        <v>780</v>
      </c>
      <c r="E1381" s="4" t="str">
        <f t="shared" si="76"/>
        <v>12|G</v>
      </c>
      <c r="F1381" s="14">
        <f>INDEX('Emission Stepwise'!$H$2:$H$289,MATCH(E1381,'Emission Stepwise'!$C$2:$C$289,0))</f>
        <v>0.19117647058823528</v>
      </c>
      <c r="G1381" s="14">
        <f>INDEX(Background!$C$4:$C$7,MATCH(C1381,Background!$A$4:$A$7,0))</f>
        <v>0.32488979077741237</v>
      </c>
      <c r="H1381" s="17">
        <f t="shared" si="77"/>
        <v>-0.53028908825269705</v>
      </c>
    </row>
    <row r="1382" spans="1:8">
      <c r="A1382" s="4" t="s">
        <v>771</v>
      </c>
      <c r="B1382" s="4">
        <v>13</v>
      </c>
      <c r="C1382" s="4" t="s">
        <v>73</v>
      </c>
      <c r="D1382" s="4" t="s">
        <v>780</v>
      </c>
      <c r="E1382" s="4" t="str">
        <f t="shared" si="76"/>
        <v>13|A</v>
      </c>
      <c r="F1382" s="14">
        <f>INDEX('Emission Stepwise'!$H$2:$H$289,MATCH(E1382,'Emission Stepwise'!$C$2:$C$289,0))</f>
        <v>6.8627450980392163E-2</v>
      </c>
      <c r="G1382" s="14">
        <f>INDEX(Background!$C$4:$C$7,MATCH(C1382,Background!$A$4:$A$7,0))</f>
        <v>0.18550136449513679</v>
      </c>
      <c r="H1382" s="17">
        <f t="shared" si="77"/>
        <v>-0.99436962303618837</v>
      </c>
    </row>
    <row r="1383" spans="1:8">
      <c r="A1383" s="4" t="s">
        <v>771</v>
      </c>
      <c r="B1383" s="4">
        <v>14</v>
      </c>
      <c r="C1383" s="4" t="s">
        <v>73</v>
      </c>
      <c r="D1383" s="4" t="s">
        <v>780</v>
      </c>
      <c r="E1383" s="4" t="str">
        <f t="shared" si="76"/>
        <v>14|A</v>
      </c>
      <c r="F1383" s="14">
        <f>INDEX('Emission Stepwise'!$H$2:$H$289,MATCH(E1383,'Emission Stepwise'!$C$2:$C$289,0))</f>
        <v>0.97549019607843135</v>
      </c>
      <c r="G1383" s="14">
        <f>INDEX(Background!$C$4:$C$7,MATCH(C1383,Background!$A$4:$A$7,0))</f>
        <v>0.18550136449513679</v>
      </c>
      <c r="H1383" s="17">
        <f t="shared" si="77"/>
        <v>1.6598778720730452</v>
      </c>
    </row>
    <row r="1384" spans="1:8">
      <c r="A1384" s="4" t="s">
        <v>771</v>
      </c>
      <c r="B1384" s="4">
        <v>15</v>
      </c>
      <c r="C1384" s="4" t="s">
        <v>72</v>
      </c>
      <c r="D1384" s="4" t="s">
        <v>780</v>
      </c>
      <c r="E1384" s="4" t="str">
        <f t="shared" si="76"/>
        <v>15|U</v>
      </c>
      <c r="F1384" s="14">
        <f>INDEX('Emission Stepwise'!$H$2:$H$289,MATCH(E1384,'Emission Stepwise'!$C$2:$C$289,0))</f>
        <v>1.4778325123152709E-2</v>
      </c>
      <c r="G1384" s="14">
        <f>INDEX(Background!$C$4:$C$7,MATCH(C1384,Background!$A$4:$A$7,0))</f>
        <v>0.21314113777902177</v>
      </c>
      <c r="H1384" s="17">
        <f t="shared" si="77"/>
        <v>-2.6687929763469902</v>
      </c>
    </row>
    <row r="1385" spans="1:8">
      <c r="A1385" s="4" t="s">
        <v>771</v>
      </c>
      <c r="B1385" s="4">
        <v>16</v>
      </c>
      <c r="C1385" s="4" t="s">
        <v>71</v>
      </c>
      <c r="D1385" s="4" t="s">
        <v>780</v>
      </c>
      <c r="E1385" s="4" t="str">
        <f t="shared" si="76"/>
        <v>16|C</v>
      </c>
      <c r="F1385" s="14">
        <f>INDEX('Emission Stepwise'!$H$2:$H$289,MATCH(E1385,'Emission Stepwise'!$C$2:$C$289,0))</f>
        <v>0.35766423357664234</v>
      </c>
      <c r="G1385" s="14">
        <f>INDEX(Background!$C$4:$C$7,MATCH(C1385,Background!$A$4:$A$7,0))</f>
        <v>0.27646770694842909</v>
      </c>
      <c r="H1385" s="17">
        <f t="shared" si="77"/>
        <v>0.25750062935290569</v>
      </c>
    </row>
    <row r="1386" spans="1:8">
      <c r="A1386" s="4" t="s">
        <v>771</v>
      </c>
      <c r="B1386" s="4">
        <v>17</v>
      </c>
      <c r="C1386" s="4" t="s">
        <v>71</v>
      </c>
      <c r="D1386" s="4" t="s">
        <v>780</v>
      </c>
      <c r="E1386" s="4" t="str">
        <f t="shared" si="76"/>
        <v>17|C</v>
      </c>
      <c r="F1386" s="14">
        <f>INDEX('Emission Stepwise'!$H$2:$H$289,MATCH(E1386,'Emission Stepwise'!$C$2:$C$289,0))</f>
        <v>0.31840796019900497</v>
      </c>
      <c r="G1386" s="14">
        <f>INDEX(Background!$C$4:$C$7,MATCH(C1386,Background!$A$4:$A$7,0))</f>
        <v>0.27646770694842909</v>
      </c>
      <c r="H1386" s="17">
        <f t="shared" si="77"/>
        <v>0.14123943237100009</v>
      </c>
    </row>
    <row r="1387" spans="1:8">
      <c r="A1387" s="4" t="s">
        <v>771</v>
      </c>
      <c r="B1387" s="4">
        <v>18</v>
      </c>
      <c r="C1387" s="4" t="s">
        <v>70</v>
      </c>
      <c r="D1387" s="4" t="s">
        <v>780</v>
      </c>
      <c r="E1387" s="4" t="str">
        <f t="shared" si="76"/>
        <v>18|G</v>
      </c>
      <c r="F1387" s="14">
        <f>INDEX('Emission Stepwise'!$H$2:$H$289,MATCH(E1387,'Emission Stepwise'!$C$2:$C$289,0))</f>
        <v>0.98039215686274506</v>
      </c>
      <c r="G1387" s="14">
        <f>INDEX(Background!$C$4:$C$7,MATCH(C1387,Background!$A$4:$A$7,0))</f>
        <v>0.32488979077741237</v>
      </c>
      <c r="H1387" s="17">
        <f t="shared" si="77"/>
        <v>1.1044666321656933</v>
      </c>
    </row>
    <row r="1388" spans="1:8">
      <c r="A1388" s="4" t="s">
        <v>771</v>
      </c>
      <c r="B1388" s="4">
        <v>19</v>
      </c>
      <c r="C1388" s="4" t="s">
        <v>70</v>
      </c>
      <c r="D1388" s="4" t="s">
        <v>780</v>
      </c>
      <c r="E1388" s="4" t="str">
        <f t="shared" si="76"/>
        <v>19|G</v>
      </c>
      <c r="F1388" s="14">
        <f>INDEX('Emission Stepwise'!$H$2:$H$289,MATCH(E1388,'Emission Stepwise'!$C$2:$C$289,0))</f>
        <v>0.97058823529411764</v>
      </c>
      <c r="G1388" s="14">
        <f>INDEX(Background!$C$4:$C$7,MATCH(C1388,Background!$A$4:$A$7,0))</f>
        <v>0.32488979077741237</v>
      </c>
      <c r="H1388" s="17">
        <f t="shared" si="77"/>
        <v>1.0944162963121917</v>
      </c>
    </row>
    <row r="1389" spans="1:8">
      <c r="A1389" s="4" t="s">
        <v>771</v>
      </c>
      <c r="B1389" s="4">
        <v>20</v>
      </c>
      <c r="C1389" s="4" t="s">
        <v>71</v>
      </c>
      <c r="D1389" s="4" t="s">
        <v>780</v>
      </c>
      <c r="E1389" s="4" t="str">
        <f t="shared" si="76"/>
        <v>20|C</v>
      </c>
      <c r="F1389" s="14">
        <f>INDEX('Emission Stepwise'!$H$2:$H$289,MATCH(E1389,'Emission Stepwise'!$C$2:$C$289,0))</f>
        <v>0.22660098522167488</v>
      </c>
      <c r="G1389" s="14">
        <f>INDEX(Background!$C$4:$C$7,MATCH(C1389,Background!$A$4:$A$7,0))</f>
        <v>0.27646770694842909</v>
      </c>
      <c r="H1389" s="17">
        <f t="shared" si="77"/>
        <v>-0.19890332548228834</v>
      </c>
    </row>
    <row r="1390" spans="1:8">
      <c r="A1390" s="4" t="s">
        <v>771</v>
      </c>
      <c r="B1390" s="4">
        <v>21</v>
      </c>
      <c r="C1390" s="4" t="s">
        <v>71</v>
      </c>
      <c r="D1390" s="4" t="s">
        <v>780</v>
      </c>
      <c r="E1390" s="4" t="str">
        <f t="shared" si="76"/>
        <v>21|C</v>
      </c>
      <c r="F1390" s="14">
        <f>INDEX('Emission Stepwise'!$H$2:$H$289,MATCH(E1390,'Emission Stepwise'!$C$2:$C$289,0))</f>
        <v>2.4509803921568627E-2</v>
      </c>
      <c r="G1390" s="14">
        <f>INDEX(Background!$C$4:$C$7,MATCH(C1390,Background!$A$4:$A$7,0))</f>
        <v>0.27646770694842909</v>
      </c>
      <c r="H1390" s="17">
        <f t="shared" si="77"/>
        <v>-2.4230208243397122</v>
      </c>
    </row>
    <row r="1391" spans="1:8">
      <c r="A1391" s="4" t="s">
        <v>771</v>
      </c>
      <c r="B1391" s="4">
        <v>22</v>
      </c>
      <c r="C1391" s="4" t="s">
        <v>72</v>
      </c>
      <c r="D1391" s="4" t="s">
        <v>780</v>
      </c>
      <c r="E1391" s="4" t="str">
        <f t="shared" si="76"/>
        <v>22|U</v>
      </c>
      <c r="F1391" s="14">
        <f>INDEX('Emission Stepwise'!$H$2:$H$289,MATCH(E1391,'Emission Stepwise'!$C$2:$C$289,0))</f>
        <v>7.3529411764705885E-2</v>
      </c>
      <c r="G1391" s="14">
        <f>INDEX(Background!$C$4:$C$7,MATCH(C1391,Background!$A$4:$A$7,0))</f>
        <v>0.21314113777902177</v>
      </c>
      <c r="H1391" s="17">
        <f t="shared" si="77"/>
        <v>-1.0642690787153186</v>
      </c>
    </row>
    <row r="1392" spans="1:8">
      <c r="A1392" s="4" t="s">
        <v>771</v>
      </c>
      <c r="B1392" s="4">
        <v>23</v>
      </c>
      <c r="C1392" s="4" t="s">
        <v>72</v>
      </c>
      <c r="D1392" s="4" t="s">
        <v>780</v>
      </c>
      <c r="E1392" s="4" t="str">
        <f t="shared" si="76"/>
        <v>23|U</v>
      </c>
      <c r="F1392" s="14">
        <f>INDEX('Emission Stepwise'!$H$2:$H$289,MATCH(E1392,'Emission Stepwise'!$C$2:$C$289,0))</f>
        <v>6.3725490196078427E-2</v>
      </c>
      <c r="G1392" s="14">
        <f>INDEX(Background!$C$4:$C$7,MATCH(C1392,Background!$A$4:$A$7,0))</f>
        <v>0.21314113777902177</v>
      </c>
      <c r="H1392" s="17">
        <f t="shared" si="77"/>
        <v>-1.2073699223559922</v>
      </c>
    </row>
    <row r="1393" spans="1:8">
      <c r="A1393" s="4" t="s">
        <v>771</v>
      </c>
      <c r="B1393" s="4">
        <v>24</v>
      </c>
      <c r="C1393" s="4" t="s">
        <v>73</v>
      </c>
      <c r="D1393" s="4" t="s">
        <v>780</v>
      </c>
      <c r="E1393" s="4" t="str">
        <f t="shared" si="76"/>
        <v>24|A</v>
      </c>
      <c r="F1393" s="14">
        <f>INDEX('Emission Stepwise'!$H$2:$H$289,MATCH(E1393,'Emission Stepwise'!$C$2:$C$289,0))</f>
        <v>0.18627450980392157</v>
      </c>
      <c r="G1393" s="14">
        <f>INDEX(Background!$C$4:$C$7,MATCH(C1393,Background!$A$4:$A$7,0))</f>
        <v>0.18550136449513679</v>
      </c>
      <c r="H1393" s="17">
        <f t="shared" si="77"/>
        <v>4.1592070749386289E-3</v>
      </c>
    </row>
    <row r="1394" spans="1:8">
      <c r="A1394" s="4" t="s">
        <v>771</v>
      </c>
      <c r="B1394" s="4">
        <v>25</v>
      </c>
      <c r="C1394" s="4" t="s">
        <v>72</v>
      </c>
      <c r="D1394" s="4" t="s">
        <v>780</v>
      </c>
      <c r="E1394" s="4" t="str">
        <f t="shared" si="76"/>
        <v>25|U</v>
      </c>
      <c r="F1394" s="14">
        <f>INDEX('Emission Stepwise'!$H$2:$H$289,MATCH(E1394,'Emission Stepwise'!$C$2:$C$289,0))</f>
        <v>7.3529411764705885E-2</v>
      </c>
      <c r="G1394" s="14">
        <f>INDEX(Background!$C$4:$C$7,MATCH(C1394,Background!$A$4:$A$7,0))</f>
        <v>0.21314113777902177</v>
      </c>
      <c r="H1394" s="17">
        <f t="shared" si="77"/>
        <v>-1.0642690787153186</v>
      </c>
    </row>
    <row r="1395" spans="1:8">
      <c r="A1395" s="4" t="s">
        <v>771</v>
      </c>
      <c r="B1395" s="4">
        <v>26</v>
      </c>
      <c r="C1395" s="4" t="s">
        <v>72</v>
      </c>
      <c r="D1395" s="4" t="s">
        <v>781</v>
      </c>
      <c r="E1395" s="4" t="str">
        <f t="shared" si="76"/>
        <v>26|U</v>
      </c>
      <c r="F1395" s="14">
        <f>INDEX('Emission Stepwise'!$H$2:$H$289,MATCH(E1395,'Emission Stepwise'!$C$2:$C$289,0))</f>
        <v>5.8823529411764705E-2</v>
      </c>
      <c r="G1395" s="14">
        <f>INDEX(Background!$C$4:$C$7,MATCH(C1395,Background!$A$4:$A$7,0))</f>
        <v>0.21314113777902177</v>
      </c>
      <c r="H1395" s="17">
        <f t="shared" si="77"/>
        <v>-1.2874126300295285</v>
      </c>
    </row>
    <row r="1396" spans="1:8">
      <c r="A1396" s="4" t="s">
        <v>771</v>
      </c>
      <c r="B1396" s="4">
        <v>27</v>
      </c>
      <c r="C1396" s="4" t="s">
        <v>70</v>
      </c>
      <c r="D1396" s="4" t="s">
        <v>781</v>
      </c>
      <c r="E1396" s="4" t="str">
        <f t="shared" si="76"/>
        <v>27|G</v>
      </c>
      <c r="F1396" s="14">
        <f>INDEX('Emission Stepwise'!$H$2:$H$289,MATCH(E1396,'Emission Stepwise'!$C$2:$C$289,0))</f>
        <v>0.15686274509803921</v>
      </c>
      <c r="G1396" s="14">
        <f>INDEX(Background!$C$4:$C$7,MATCH(C1396,Background!$A$4:$A$7,0))</f>
        <v>0.32488979077741237</v>
      </c>
      <c r="H1396" s="17">
        <f t="shared" si="77"/>
        <v>-0.72811483158261692</v>
      </c>
    </row>
    <row r="1397" spans="1:8">
      <c r="A1397" s="4" t="s">
        <v>771</v>
      </c>
      <c r="B1397" s="4">
        <v>28</v>
      </c>
      <c r="C1397" s="4" t="s">
        <v>73</v>
      </c>
      <c r="D1397" s="4" t="s">
        <v>781</v>
      </c>
      <c r="E1397" s="4" t="str">
        <f t="shared" si="76"/>
        <v>28|A</v>
      </c>
      <c r="F1397" s="14">
        <f>INDEX('Emission Stepwise'!$H$2:$H$289,MATCH(E1397,'Emission Stepwise'!$C$2:$C$289,0))</f>
        <v>0.12254901960784313</v>
      </c>
      <c r="G1397" s="14">
        <f>INDEX(Background!$C$4:$C$7,MATCH(C1397,Background!$A$4:$A$7,0))</f>
        <v>0.18550136449513679</v>
      </c>
      <c r="H1397" s="17">
        <f t="shared" si="77"/>
        <v>-0.41455112778324649</v>
      </c>
    </row>
    <row r="1398" spans="1:8">
      <c r="A1398" s="4" t="s">
        <v>771</v>
      </c>
      <c r="B1398" s="4">
        <v>29</v>
      </c>
      <c r="C1398" s="4" t="s">
        <v>72</v>
      </c>
      <c r="D1398" s="4" t="s">
        <v>781</v>
      </c>
      <c r="E1398" s="4" t="str">
        <f t="shared" si="76"/>
        <v>29|U</v>
      </c>
      <c r="F1398" s="14">
        <f>INDEX('Emission Stepwise'!$H$2:$H$289,MATCH(E1398,'Emission Stepwise'!$C$2:$C$289,0))</f>
        <v>0.27450980392156865</v>
      </c>
      <c r="G1398" s="14">
        <f>INDEX(Background!$C$4:$C$7,MATCH(C1398,Background!$A$4:$A$7,0))</f>
        <v>0.21314113777902177</v>
      </c>
      <c r="H1398" s="17">
        <f t="shared" si="77"/>
        <v>0.25303241091762058</v>
      </c>
    </row>
    <row r="1399" spans="1:8">
      <c r="A1399" s="4" t="s">
        <v>771</v>
      </c>
      <c r="B1399" s="4">
        <v>30</v>
      </c>
      <c r="C1399" s="4" t="s">
        <v>72</v>
      </c>
      <c r="D1399" s="4" t="s">
        <v>781</v>
      </c>
      <c r="E1399" s="4" t="str">
        <f t="shared" si="76"/>
        <v>30|U</v>
      </c>
      <c r="F1399" s="14">
        <f>INDEX('Emission Stepwise'!$H$2:$H$289,MATCH(E1399,'Emission Stepwise'!$C$2:$C$289,0))</f>
        <v>3.9215686274509803E-2</v>
      </c>
      <c r="G1399" s="14">
        <f>INDEX(Background!$C$4:$C$7,MATCH(C1399,Background!$A$4:$A$7,0))</f>
        <v>0.21314113777902177</v>
      </c>
      <c r="H1399" s="17">
        <f t="shared" si="77"/>
        <v>-1.6928777381376929</v>
      </c>
    </row>
    <row r="1400" spans="1:8">
      <c r="A1400" s="4" t="s">
        <v>771</v>
      </c>
      <c r="B1400" s="4">
        <v>31</v>
      </c>
      <c r="C1400" s="4" t="s">
        <v>73</v>
      </c>
      <c r="D1400" s="4" t="s">
        <v>781</v>
      </c>
      <c r="E1400" s="4" t="str">
        <f t="shared" si="76"/>
        <v>31|A</v>
      </c>
      <c r="F1400" s="14">
        <f>INDEX('Emission Stepwise'!$H$2:$H$289,MATCH(E1400,'Emission Stepwise'!$C$2:$C$289,0))</f>
        <v>0.26960784313725489</v>
      </c>
      <c r="G1400" s="14">
        <f>INDEX(Background!$C$4:$C$7,MATCH(C1400,Background!$A$4:$A$7,0))</f>
        <v>0.18550136449513679</v>
      </c>
      <c r="H1400" s="17">
        <f t="shared" si="77"/>
        <v>0.37390623258102373</v>
      </c>
    </row>
    <row r="1401" spans="1:8">
      <c r="A1401" s="4" t="s">
        <v>771</v>
      </c>
      <c r="B1401" s="4">
        <v>32</v>
      </c>
      <c r="C1401" s="4" t="s">
        <v>70</v>
      </c>
      <c r="D1401" s="4" t="s">
        <v>781</v>
      </c>
      <c r="E1401" s="4" t="str">
        <f t="shared" si="76"/>
        <v>32|G</v>
      </c>
      <c r="F1401" s="14">
        <f>INDEX('Emission Stepwise'!$H$2:$H$289,MATCH(E1401,'Emission Stepwise'!$C$2:$C$289,0))</f>
        <v>4.9019607843137254E-3</v>
      </c>
      <c r="G1401" s="14">
        <f>INDEX(Background!$C$4:$C$7,MATCH(C1401,Background!$A$4:$A$7,0))</f>
        <v>0.32488979077741237</v>
      </c>
      <c r="H1401" s="17">
        <f t="shared" si="77"/>
        <v>-4.1938507343823437</v>
      </c>
    </row>
    <row r="1402" spans="1:8">
      <c r="A1402" s="4" t="s">
        <v>771</v>
      </c>
      <c r="B1402" s="4">
        <v>33</v>
      </c>
      <c r="C1402" s="4" t="s">
        <v>72</v>
      </c>
      <c r="D1402" s="4" t="s">
        <v>781</v>
      </c>
      <c r="E1402" s="4" t="str">
        <f t="shared" si="76"/>
        <v>33|U</v>
      </c>
      <c r="F1402" s="14">
        <f>INDEX('Emission Stepwise'!$H$2:$H$289,MATCH(E1402,'Emission Stepwise'!$C$2:$C$289,0))</f>
        <v>0.97549019607843135</v>
      </c>
      <c r="G1402" s="14">
        <f>INDEX(Background!$C$4:$C$7,MATCH(C1402,Background!$A$4:$A$7,0))</f>
        <v>0.21314113777902177</v>
      </c>
      <c r="H1402" s="17">
        <f t="shared" si="77"/>
        <v>1.5209855449069636</v>
      </c>
    </row>
    <row r="1403" spans="1:8">
      <c r="A1403" s="4" t="s">
        <v>771</v>
      </c>
      <c r="B1403" s="4">
        <v>34</v>
      </c>
      <c r="C1403" s="4" t="s">
        <v>72</v>
      </c>
      <c r="D1403" s="4" t="s">
        <v>781</v>
      </c>
      <c r="E1403" s="4" t="str">
        <f t="shared" si="76"/>
        <v>34|U</v>
      </c>
      <c r="F1403" s="14">
        <f>INDEX('Emission Stepwise'!$H$2:$H$289,MATCH(E1403,'Emission Stepwise'!$C$2:$C$289,0))</f>
        <v>0.28921568627450983</v>
      </c>
      <c r="G1403" s="14">
        <f>INDEX(Background!$C$4:$C$7,MATCH(C1403,Background!$A$4:$A$7,0))</f>
        <v>0.21314113777902177</v>
      </c>
      <c r="H1403" s="17">
        <f t="shared" si="77"/>
        <v>0.30521816408819075</v>
      </c>
    </row>
    <row r="1404" spans="1:8">
      <c r="A1404" s="4" t="s">
        <v>771</v>
      </c>
      <c r="B1404" s="4">
        <v>35</v>
      </c>
      <c r="C1404" s="4" t="s">
        <v>72</v>
      </c>
      <c r="D1404" s="4" t="s">
        <v>781</v>
      </c>
      <c r="E1404" s="4" t="str">
        <f t="shared" si="76"/>
        <v>35|U</v>
      </c>
      <c r="F1404" s="14">
        <f>INDEX('Emission Stepwise'!$H$2:$H$289,MATCH(E1404,'Emission Stepwise'!$C$2:$C$289,0))</f>
        <v>0.20588235294117646</v>
      </c>
      <c r="G1404" s="14">
        <f>INDEX(Background!$C$4:$C$7,MATCH(C1404,Background!$A$4:$A$7,0))</f>
        <v>0.21314113777902177</v>
      </c>
      <c r="H1404" s="17">
        <f t="shared" si="77"/>
        <v>-3.4649661534160589E-2</v>
      </c>
    </row>
    <row r="1405" spans="1:8">
      <c r="A1405" s="4" t="s">
        <v>771</v>
      </c>
      <c r="B1405" s="4">
        <v>36</v>
      </c>
      <c r="C1405" s="4" t="s">
        <v>73</v>
      </c>
      <c r="D1405" s="4" t="s">
        <v>781</v>
      </c>
      <c r="E1405" s="4" t="str">
        <f t="shared" si="76"/>
        <v>36|A</v>
      </c>
      <c r="F1405" s="14">
        <f>INDEX('Emission Stepwise'!$H$2:$H$289,MATCH(E1405,'Emission Stepwise'!$C$2:$C$289,0))</f>
        <v>0.21568627450980393</v>
      </c>
      <c r="G1405" s="14">
        <f>INDEX(Background!$C$4:$C$7,MATCH(C1405,Background!$A$4:$A$7,0))</f>
        <v>0.18550136449513679</v>
      </c>
      <c r="H1405" s="17">
        <f t="shared" si="77"/>
        <v>0.15076268126681408</v>
      </c>
    </row>
    <row r="1406" spans="1:8">
      <c r="A1406" s="4" t="s">
        <v>771</v>
      </c>
      <c r="B1406" s="4">
        <v>37</v>
      </c>
      <c r="C1406" s="4" t="s">
        <v>72</v>
      </c>
      <c r="D1406" s="4" t="s">
        <v>781</v>
      </c>
      <c r="E1406" s="4" t="str">
        <f t="shared" si="76"/>
        <v>37|U</v>
      </c>
      <c r="F1406" s="14">
        <f>INDEX('Emission Stepwise'!$H$2:$H$289,MATCH(E1406,'Emission Stepwise'!$C$2:$C$289,0))</f>
        <v>4.9019607843137254E-3</v>
      </c>
      <c r="G1406" s="14">
        <f>INDEX(Background!$C$4:$C$7,MATCH(C1406,Background!$A$4:$A$7,0))</f>
        <v>0.21314113777902177</v>
      </c>
      <c r="H1406" s="17">
        <f t="shared" si="77"/>
        <v>-3.7723192798175287</v>
      </c>
    </row>
    <row r="1407" spans="1:8">
      <c r="A1407" s="4" t="s">
        <v>771</v>
      </c>
      <c r="B1407" s="4">
        <v>38</v>
      </c>
      <c r="C1407" s="4" t="s">
        <v>72</v>
      </c>
      <c r="D1407" s="4" t="s">
        <v>781</v>
      </c>
      <c r="E1407" s="4" t="str">
        <f t="shared" si="76"/>
        <v>38|U</v>
      </c>
      <c r="F1407" s="14">
        <f>INDEX('Emission Stepwise'!$H$2:$H$289,MATCH(E1407,'Emission Stepwise'!$C$2:$C$289,0))</f>
        <v>0.11764705882352941</v>
      </c>
      <c r="G1407" s="14">
        <f>INDEX(Background!$C$4:$C$7,MATCH(C1407,Background!$A$4:$A$7,0))</f>
        <v>0.21314113777902177</v>
      </c>
      <c r="H1407" s="17">
        <f t="shared" si="77"/>
        <v>-0.59426544946958315</v>
      </c>
    </row>
    <row r="1408" spans="1:8">
      <c r="A1408" s="4" t="s">
        <v>771</v>
      </c>
      <c r="B1408" s="4">
        <v>39</v>
      </c>
      <c r="C1408" s="4" t="s">
        <v>72</v>
      </c>
      <c r="D1408" s="4" t="s">
        <v>781</v>
      </c>
      <c r="E1408" s="4" t="str">
        <f t="shared" ref="E1408:E1471" si="78">B1408&amp;"|"&amp;C1408</f>
        <v>39|U</v>
      </c>
      <c r="F1408" s="14">
        <f>INDEX('Emission Stepwise'!$H$2:$H$289,MATCH(E1408,'Emission Stepwise'!$C$2:$C$289,0))</f>
        <v>0.29411764705882354</v>
      </c>
      <c r="G1408" s="14">
        <f>INDEX(Background!$C$4:$C$7,MATCH(C1408,Background!$A$4:$A$7,0))</f>
        <v>0.21314113777902177</v>
      </c>
      <c r="H1408" s="17">
        <f t="shared" ref="H1408:H1471" si="79">LN(F1408/G1408)</f>
        <v>0.32202528240457201</v>
      </c>
    </row>
    <row r="1409" spans="1:8">
      <c r="A1409" s="4" t="s">
        <v>771</v>
      </c>
      <c r="B1409" s="4">
        <v>40</v>
      </c>
      <c r="C1409" s="4" t="s">
        <v>73</v>
      </c>
      <c r="D1409" s="4" t="s">
        <v>781</v>
      </c>
      <c r="E1409" s="4" t="str">
        <f t="shared" si="78"/>
        <v>40|A</v>
      </c>
      <c r="F1409" s="14">
        <f>INDEX('Emission Stepwise'!$H$2:$H$289,MATCH(E1409,'Emission Stepwise'!$C$2:$C$289,0))</f>
        <v>9.8039215686274508E-3</v>
      </c>
      <c r="G1409" s="14">
        <f>INDEX(Background!$C$4:$C$7,MATCH(C1409,Background!$A$4:$A$7,0))</f>
        <v>0.18550136449513679</v>
      </c>
      <c r="H1409" s="17">
        <f t="shared" si="79"/>
        <v>-2.9402797720915017</v>
      </c>
    </row>
    <row r="1410" spans="1:8">
      <c r="A1410" s="4" t="s">
        <v>771</v>
      </c>
      <c r="B1410" s="4">
        <v>41</v>
      </c>
      <c r="C1410" s="4" t="s">
        <v>73</v>
      </c>
      <c r="D1410" s="4" t="s">
        <v>781</v>
      </c>
      <c r="E1410" s="4" t="str">
        <f t="shared" si="78"/>
        <v>41|A</v>
      </c>
      <c r="F1410" s="14">
        <f>INDEX('Emission Stepwise'!$H$2:$H$289,MATCH(E1410,'Emission Stepwise'!$C$2:$C$289,0))</f>
        <v>0.26960784313725489</v>
      </c>
      <c r="G1410" s="14">
        <f>INDEX(Background!$C$4:$C$7,MATCH(C1410,Background!$A$4:$A$7,0))</f>
        <v>0.18550136449513679</v>
      </c>
      <c r="H1410" s="17">
        <f t="shared" si="79"/>
        <v>0.37390623258102373</v>
      </c>
    </row>
    <row r="1411" spans="1:8">
      <c r="A1411" s="4" t="s">
        <v>771</v>
      </c>
      <c r="B1411" s="4">
        <v>42</v>
      </c>
      <c r="C1411" s="4" t="s">
        <v>72</v>
      </c>
      <c r="D1411" s="4" t="s">
        <v>781</v>
      </c>
      <c r="E1411" s="4" t="str">
        <f t="shared" si="78"/>
        <v>42|U</v>
      </c>
      <c r="F1411" s="14">
        <f>INDEX('Emission Stepwise'!$H$2:$H$289,MATCH(E1411,'Emission Stepwise'!$C$2:$C$289,0))</f>
        <v>0.13235294117647059</v>
      </c>
      <c r="G1411" s="14">
        <f>INDEX(Background!$C$4:$C$7,MATCH(C1411,Background!$A$4:$A$7,0))</f>
        <v>0.21314113777902177</v>
      </c>
      <c r="H1411" s="17">
        <f t="shared" si="79"/>
        <v>-0.47648241381319967</v>
      </c>
    </row>
    <row r="1412" spans="1:8">
      <c r="A1412" s="4" t="s">
        <v>771</v>
      </c>
      <c r="B1412" s="4">
        <v>43</v>
      </c>
      <c r="C1412" s="4" t="s">
        <v>72</v>
      </c>
      <c r="D1412" s="4" t="s">
        <v>781</v>
      </c>
      <c r="E1412" s="4" t="str">
        <f t="shared" si="78"/>
        <v>43|U</v>
      </c>
      <c r="F1412" s="14">
        <f>INDEX('Emission Stepwise'!$H$2:$H$289,MATCH(E1412,'Emission Stepwise'!$C$2:$C$289,0))</f>
        <v>0.16176470588235295</v>
      </c>
      <c r="G1412" s="14">
        <f>INDEX(Background!$C$4:$C$7,MATCH(C1412,Background!$A$4:$A$7,0))</f>
        <v>0.21314113777902177</v>
      </c>
      <c r="H1412" s="17">
        <f t="shared" si="79"/>
        <v>-0.27581171835104856</v>
      </c>
    </row>
    <row r="1413" spans="1:8">
      <c r="A1413" s="4" t="s">
        <v>771</v>
      </c>
      <c r="B1413" s="4">
        <v>44</v>
      </c>
      <c r="C1413" s="4" t="s">
        <v>73</v>
      </c>
      <c r="D1413" s="4" t="s">
        <v>781</v>
      </c>
      <c r="E1413" s="4" t="str">
        <f t="shared" si="78"/>
        <v>44|A</v>
      </c>
      <c r="F1413" s="14">
        <f>INDEX('Emission Stepwise'!$H$2:$H$289,MATCH(E1413,'Emission Stepwise'!$C$2:$C$289,0))</f>
        <v>0.49509803921568629</v>
      </c>
      <c r="G1413" s="14">
        <f>INDEX(Background!$C$4:$C$7,MATCH(C1413,Background!$A$4:$A$7,0))</f>
        <v>0.18550136449513679</v>
      </c>
      <c r="H1413" s="17">
        <f t="shared" si="79"/>
        <v>0.98169356418981235</v>
      </c>
    </row>
    <row r="1414" spans="1:8">
      <c r="A1414" s="4" t="s">
        <v>771</v>
      </c>
      <c r="B1414" s="4">
        <v>45</v>
      </c>
      <c r="C1414" s="4" t="s">
        <v>72</v>
      </c>
      <c r="D1414" s="4" t="s">
        <v>782</v>
      </c>
      <c r="E1414" s="4" t="str">
        <f t="shared" si="78"/>
        <v>45|U</v>
      </c>
      <c r="F1414" s="14">
        <f>INDEX('Emission Stepwise'!$H$2:$H$289,MATCH(E1414,'Emission Stepwise'!$C$2:$C$289,0))</f>
        <v>0.14356435643564355</v>
      </c>
      <c r="G1414" s="14">
        <f>INDEX(Background!$C$4:$C$7,MATCH(C1414,Background!$A$4:$A$7,0))</f>
        <v>0.21314113777902177</v>
      </c>
      <c r="H1414" s="17">
        <f t="shared" si="79"/>
        <v>-0.39517115338804326</v>
      </c>
    </row>
    <row r="1415" spans="1:8">
      <c r="A1415" s="4" t="s">
        <v>771</v>
      </c>
      <c r="B1415" s="4">
        <v>46</v>
      </c>
      <c r="C1415" s="4" t="s">
        <v>72</v>
      </c>
      <c r="D1415" s="4" t="s">
        <v>782</v>
      </c>
      <c r="E1415" s="4" t="str">
        <f t="shared" si="78"/>
        <v>46|U</v>
      </c>
      <c r="F1415" s="14">
        <f>INDEX('Emission Stepwise'!$H$2:$H$289,MATCH(E1415,'Emission Stepwise'!$C$2:$C$289,0))</f>
        <v>7.5144508670520235E-2</v>
      </c>
      <c r="G1415" s="14">
        <f>INDEX(Background!$C$4:$C$7,MATCH(C1415,Background!$A$4:$A$7,0))</f>
        <v>0.21314113777902177</v>
      </c>
      <c r="H1415" s="17">
        <f t="shared" si="79"/>
        <v>-1.0425415230095545</v>
      </c>
    </row>
    <row r="1416" spans="1:8">
      <c r="A1416" s="4" t="s">
        <v>771</v>
      </c>
      <c r="B1416" s="4">
        <v>47</v>
      </c>
      <c r="C1416" s="4" t="s">
        <v>73</v>
      </c>
      <c r="D1416" s="4" t="s">
        <v>782</v>
      </c>
      <c r="E1416" s="4" t="str">
        <f t="shared" si="78"/>
        <v>47|A</v>
      </c>
      <c r="F1416" s="14">
        <f>INDEX('Emission Stepwise'!$H$2:$H$289,MATCH(E1416,'Emission Stepwise'!$C$2:$C$289,0))</f>
        <v>0.13235294117647059</v>
      </c>
      <c r="G1416" s="14">
        <f>INDEX(Background!$C$4:$C$7,MATCH(C1416,Background!$A$4:$A$7,0))</f>
        <v>0.18550136449513679</v>
      </c>
      <c r="H1416" s="17">
        <f t="shared" si="79"/>
        <v>-0.33759008664711798</v>
      </c>
    </row>
    <row r="1417" spans="1:8">
      <c r="A1417" s="4" t="s">
        <v>771</v>
      </c>
      <c r="B1417" s="4">
        <v>48</v>
      </c>
      <c r="C1417" s="4" t="s">
        <v>70</v>
      </c>
      <c r="D1417" s="4" t="s">
        <v>782</v>
      </c>
      <c r="E1417" s="4" t="str">
        <f t="shared" si="78"/>
        <v>48|G</v>
      </c>
      <c r="F1417" s="14">
        <f>INDEX('Emission Stepwise'!$H$2:$H$289,MATCH(E1417,'Emission Stepwise'!$C$2:$C$289,0))</f>
        <v>1.4705882352941176E-2</v>
      </c>
      <c r="G1417" s="14">
        <f>INDEX(Background!$C$4:$C$7,MATCH(C1417,Background!$A$4:$A$7,0))</f>
        <v>0.32488979077741237</v>
      </c>
      <c r="H1417" s="17">
        <f t="shared" si="79"/>
        <v>-3.0952384457142337</v>
      </c>
    </row>
    <row r="1418" spans="1:8">
      <c r="A1418" s="4" t="s">
        <v>771</v>
      </c>
      <c r="B1418" s="4">
        <v>49</v>
      </c>
      <c r="C1418" s="4" t="s">
        <v>73</v>
      </c>
      <c r="D1418" s="4" t="s">
        <v>783</v>
      </c>
      <c r="E1418" s="4" t="str">
        <f t="shared" si="78"/>
        <v>49|A</v>
      </c>
      <c r="F1418" s="14">
        <f>INDEX('Emission Stepwise'!$H$2:$H$289,MATCH(E1418,'Emission Stepwise'!$C$2:$C$289,0))</f>
        <v>0.15686274509803921</v>
      </c>
      <c r="G1418" s="14">
        <f>INDEX(Background!$C$4:$C$7,MATCH(C1418,Background!$A$4:$A$7,0))</f>
        <v>0.18550136449513679</v>
      </c>
      <c r="H1418" s="17">
        <f t="shared" si="79"/>
        <v>-0.16769104985172067</v>
      </c>
    </row>
    <row r="1419" spans="1:8">
      <c r="A1419" s="4" t="s">
        <v>771</v>
      </c>
      <c r="B1419" s="4">
        <v>50</v>
      </c>
      <c r="C1419" s="4" t="s">
        <v>72</v>
      </c>
      <c r="D1419" s="4" t="s">
        <v>783</v>
      </c>
      <c r="E1419" s="4" t="str">
        <f t="shared" si="78"/>
        <v>50|U</v>
      </c>
      <c r="F1419" s="14">
        <f>INDEX('Emission Stepwise'!$H$2:$H$289,MATCH(E1419,'Emission Stepwise'!$C$2:$C$289,0))</f>
        <v>0.18137254901960784</v>
      </c>
      <c r="G1419" s="14">
        <f>INDEX(Background!$C$4:$C$7,MATCH(C1419,Background!$A$4:$A$7,0))</f>
        <v>0.21314113777902177</v>
      </c>
      <c r="H1419" s="17">
        <f t="shared" si="79"/>
        <v>-0.16140136717330436</v>
      </c>
    </row>
    <row r="1420" spans="1:8">
      <c r="A1420" s="4" t="s">
        <v>771</v>
      </c>
      <c r="B1420" s="4">
        <v>51</v>
      </c>
      <c r="C1420" s="4" t="s">
        <v>72</v>
      </c>
      <c r="D1420" s="4" t="s">
        <v>783</v>
      </c>
      <c r="E1420" s="4" t="str">
        <f t="shared" si="78"/>
        <v>51|U</v>
      </c>
      <c r="F1420" s="14">
        <f>INDEX('Emission Stepwise'!$H$2:$H$289,MATCH(E1420,'Emission Stepwise'!$C$2:$C$289,0))</f>
        <v>0.15763546798029557</v>
      </c>
      <c r="G1420" s="14">
        <f>INDEX(Background!$C$4:$C$7,MATCH(C1420,Background!$A$4:$A$7,0))</f>
        <v>0.21314113777902177</v>
      </c>
      <c r="H1420" s="17">
        <f t="shared" si="79"/>
        <v>-0.30166936221537316</v>
      </c>
    </row>
    <row r="1421" spans="1:8">
      <c r="A1421" s="4" t="s">
        <v>771</v>
      </c>
      <c r="B1421" s="4">
        <v>52</v>
      </c>
      <c r="C1421" s="4" t="s">
        <v>71</v>
      </c>
      <c r="D1421" s="4" t="s">
        <v>783</v>
      </c>
      <c r="E1421" s="4" t="str">
        <f t="shared" si="78"/>
        <v>52|C</v>
      </c>
      <c r="F1421" s="14">
        <f>INDEX('Emission Stepwise'!$H$2:$H$289,MATCH(E1421,'Emission Stepwise'!$C$2:$C$289,0))</f>
        <v>1.4705882352941176E-2</v>
      </c>
      <c r="G1421" s="14">
        <f>INDEX(Background!$C$4:$C$7,MATCH(C1421,Background!$A$4:$A$7,0))</f>
        <v>0.27646770694842909</v>
      </c>
      <c r="H1421" s="17">
        <f t="shared" si="79"/>
        <v>-2.9338464481057027</v>
      </c>
    </row>
    <row r="1422" spans="1:8">
      <c r="A1422" s="4" t="s">
        <v>771</v>
      </c>
      <c r="B1422" s="4">
        <v>53</v>
      </c>
      <c r="C1422" s="4" t="s">
        <v>70</v>
      </c>
      <c r="D1422" s="4" t="s">
        <v>783</v>
      </c>
      <c r="E1422" s="4" t="str">
        <f t="shared" si="78"/>
        <v>53|G</v>
      </c>
      <c r="F1422" s="14">
        <f>INDEX('Emission Stepwise'!$H$2:$H$289,MATCH(E1422,'Emission Stepwise'!$C$2:$C$289,0))</f>
        <v>0.96568627450980393</v>
      </c>
      <c r="G1422" s="14">
        <f>INDEX(Background!$C$4:$C$7,MATCH(C1422,Background!$A$4:$A$7,0))</f>
        <v>0.32488979077741237</v>
      </c>
      <c r="H1422" s="17">
        <f t="shared" si="79"/>
        <v>1.089352994355645</v>
      </c>
    </row>
    <row r="1423" spans="1:8">
      <c r="A1423" s="4" t="s">
        <v>771</v>
      </c>
      <c r="B1423" s="4">
        <v>54</v>
      </c>
      <c r="C1423" s="4" t="s">
        <v>72</v>
      </c>
      <c r="D1423" s="4" t="s">
        <v>783</v>
      </c>
      <c r="E1423" s="4" t="str">
        <f t="shared" si="78"/>
        <v>54|U</v>
      </c>
      <c r="F1423" s="14">
        <f>INDEX('Emission Stepwise'!$H$2:$H$289,MATCH(E1423,'Emission Stepwise'!$C$2:$C$289,0))</f>
        <v>0.97549019607843135</v>
      </c>
      <c r="G1423" s="14">
        <f>INDEX(Background!$C$4:$C$7,MATCH(C1423,Background!$A$4:$A$7,0))</f>
        <v>0.21314113777902177</v>
      </c>
      <c r="H1423" s="17">
        <f t="shared" si="79"/>
        <v>1.5209855449069636</v>
      </c>
    </row>
    <row r="1424" spans="1:8">
      <c r="A1424" s="4" t="s">
        <v>771</v>
      </c>
      <c r="B1424" s="4">
        <v>55</v>
      </c>
      <c r="C1424" s="4" t="s">
        <v>72</v>
      </c>
      <c r="D1424" s="4" t="s">
        <v>783</v>
      </c>
      <c r="E1424" s="4" t="str">
        <f t="shared" si="78"/>
        <v>55|U</v>
      </c>
      <c r="F1424" s="14">
        <f>INDEX('Emission Stepwise'!$H$2:$H$289,MATCH(E1424,'Emission Stepwise'!$C$2:$C$289,0))</f>
        <v>0.97058823529411764</v>
      </c>
      <c r="G1424" s="14">
        <f>INDEX(Background!$C$4:$C$7,MATCH(C1424,Background!$A$4:$A$7,0))</f>
        <v>0.21314113777902177</v>
      </c>
      <c r="H1424" s="17">
        <f t="shared" si="79"/>
        <v>1.5159477508770065</v>
      </c>
    </row>
    <row r="1425" spans="1:8">
      <c r="A1425" s="4" t="s">
        <v>771</v>
      </c>
      <c r="B1425" s="4">
        <v>56</v>
      </c>
      <c r="C1425" s="4" t="s">
        <v>71</v>
      </c>
      <c r="D1425" s="4" t="s">
        <v>783</v>
      </c>
      <c r="E1425" s="4" t="str">
        <f t="shared" si="78"/>
        <v>56|C</v>
      </c>
      <c r="F1425" s="14">
        <f>INDEX('Emission Stepwise'!$H$2:$H$289,MATCH(E1425,'Emission Stepwise'!$C$2:$C$289,0))</f>
        <v>0.96568627450980393</v>
      </c>
      <c r="G1425" s="14">
        <f>INDEX(Background!$C$4:$C$7,MATCH(C1425,Background!$A$4:$A$7,0))</f>
        <v>0.27646770694842909</v>
      </c>
      <c r="H1425" s="17">
        <f t="shared" si="79"/>
        <v>1.250744991964176</v>
      </c>
    </row>
    <row r="1426" spans="1:8">
      <c r="A1426" s="4" t="s">
        <v>771</v>
      </c>
      <c r="B1426" s="4">
        <v>57</v>
      </c>
      <c r="C1426" s="4" t="s">
        <v>72</v>
      </c>
      <c r="D1426" s="4" t="s">
        <v>783</v>
      </c>
      <c r="E1426" s="4" t="str">
        <f t="shared" si="78"/>
        <v>57|U</v>
      </c>
      <c r="F1426" s="14">
        <f>INDEX('Emission Stepwise'!$H$2:$H$289,MATCH(E1426,'Emission Stepwise'!$C$2:$C$289,0))</f>
        <v>9.852216748768473E-3</v>
      </c>
      <c r="G1426" s="14">
        <f>INDEX(Background!$C$4:$C$7,MATCH(C1426,Background!$A$4:$A$7,0))</f>
        <v>0.21314113777902177</v>
      </c>
      <c r="H1426" s="17">
        <f t="shared" si="79"/>
        <v>-3.0742580844551544</v>
      </c>
    </row>
    <row r="1427" spans="1:8">
      <c r="A1427" s="4" t="s">
        <v>771</v>
      </c>
      <c r="B1427" s="4">
        <v>58</v>
      </c>
      <c r="C1427" s="4" t="s">
        <v>73</v>
      </c>
      <c r="D1427" s="4" t="s">
        <v>783</v>
      </c>
      <c r="E1427" s="4" t="str">
        <f t="shared" si="78"/>
        <v>58|A</v>
      </c>
      <c r="F1427" s="14">
        <f>INDEX('Emission Stepwise'!$H$2:$H$289,MATCH(E1427,'Emission Stepwise'!$C$2:$C$289,0))</f>
        <v>0.97549019607843135</v>
      </c>
      <c r="G1427" s="14">
        <f>INDEX(Background!$C$4:$C$7,MATCH(C1427,Background!$A$4:$A$7,0))</f>
        <v>0.18550136449513679</v>
      </c>
      <c r="H1427" s="17">
        <f t="shared" si="79"/>
        <v>1.6598778720730452</v>
      </c>
    </row>
    <row r="1428" spans="1:8">
      <c r="A1428" s="4" t="s">
        <v>771</v>
      </c>
      <c r="B1428" s="4">
        <v>59</v>
      </c>
      <c r="C1428" s="4" t="s">
        <v>72</v>
      </c>
      <c r="D1428" s="4" t="s">
        <v>783</v>
      </c>
      <c r="E1428" s="4" t="str">
        <f t="shared" si="78"/>
        <v>59|U</v>
      </c>
      <c r="F1428" s="14">
        <f>INDEX('Emission Stepwise'!$H$2:$H$289,MATCH(E1428,'Emission Stepwise'!$C$2:$C$289,0))</f>
        <v>0.25</v>
      </c>
      <c r="G1428" s="14">
        <f>INDEX(Background!$C$4:$C$7,MATCH(C1428,Background!$A$4:$A$7,0))</f>
        <v>0.21314113777902177</v>
      </c>
      <c r="H1428" s="17">
        <f t="shared" si="79"/>
        <v>0.15950635290679691</v>
      </c>
    </row>
    <row r="1429" spans="1:8">
      <c r="A1429" s="4" t="s">
        <v>771</v>
      </c>
      <c r="B1429" s="4">
        <v>60</v>
      </c>
      <c r="C1429" s="4" t="s">
        <v>73</v>
      </c>
      <c r="D1429" s="4" t="s">
        <v>783</v>
      </c>
      <c r="E1429" s="4" t="str">
        <f t="shared" si="78"/>
        <v>60|A</v>
      </c>
      <c r="F1429" s="14">
        <f>INDEX('Emission Stepwise'!$H$2:$H$289,MATCH(E1429,'Emission Stepwise'!$C$2:$C$289,0))</f>
        <v>9.8039215686274508E-3</v>
      </c>
      <c r="G1429" s="14">
        <f>INDEX(Background!$C$4:$C$7,MATCH(C1429,Background!$A$4:$A$7,0))</f>
        <v>0.18550136449513679</v>
      </c>
      <c r="H1429" s="17">
        <f t="shared" si="79"/>
        <v>-2.9402797720915017</v>
      </c>
    </row>
    <row r="1430" spans="1:8">
      <c r="A1430" s="4" t="s">
        <v>771</v>
      </c>
      <c r="B1430" s="4">
        <v>61</v>
      </c>
      <c r="C1430" s="4" t="s">
        <v>71</v>
      </c>
      <c r="D1430" s="4" t="s">
        <v>783</v>
      </c>
      <c r="E1430" s="4" t="str">
        <f t="shared" si="78"/>
        <v>61|C</v>
      </c>
      <c r="F1430" s="14">
        <f>INDEX('Emission Stepwise'!$H$2:$H$289,MATCH(E1430,'Emission Stepwise'!$C$2:$C$289,0))</f>
        <v>0.97549019607843135</v>
      </c>
      <c r="G1430" s="14">
        <f>INDEX(Background!$C$4:$C$7,MATCH(C1430,Background!$A$4:$A$7,0))</f>
        <v>0.27646770694842909</v>
      </c>
      <c r="H1430" s="17">
        <f t="shared" si="79"/>
        <v>1.26084608795068</v>
      </c>
    </row>
    <row r="1431" spans="1:8">
      <c r="A1431" s="4" t="s">
        <v>771</v>
      </c>
      <c r="B1431" s="4">
        <v>62</v>
      </c>
      <c r="C1431" s="4" t="s">
        <v>72</v>
      </c>
      <c r="D1431" s="4" t="s">
        <v>783</v>
      </c>
      <c r="E1431" s="4" t="str">
        <f t="shared" si="78"/>
        <v>62|U</v>
      </c>
      <c r="F1431" s="14">
        <f>INDEX('Emission Stepwise'!$H$2:$H$289,MATCH(E1431,'Emission Stepwise'!$C$2:$C$289,0))</f>
        <v>0.13235294117647059</v>
      </c>
      <c r="G1431" s="14">
        <f>INDEX(Background!$C$4:$C$7,MATCH(C1431,Background!$A$4:$A$7,0))</f>
        <v>0.21314113777902177</v>
      </c>
      <c r="H1431" s="17">
        <f t="shared" si="79"/>
        <v>-0.47648241381319967</v>
      </c>
    </row>
    <row r="1432" spans="1:8">
      <c r="A1432" s="4" t="s">
        <v>771</v>
      </c>
      <c r="B1432" s="4">
        <v>63</v>
      </c>
      <c r="C1432" s="4" t="s">
        <v>73</v>
      </c>
      <c r="D1432" s="4" t="s">
        <v>783</v>
      </c>
      <c r="E1432" s="4" t="str">
        <f t="shared" si="78"/>
        <v>63|A</v>
      </c>
      <c r="F1432" s="14">
        <f>INDEX('Emission Stepwise'!$H$2:$H$289,MATCH(E1432,'Emission Stepwise'!$C$2:$C$289,0))</f>
        <v>0.11764705882352941</v>
      </c>
      <c r="G1432" s="14">
        <f>INDEX(Background!$C$4:$C$7,MATCH(C1432,Background!$A$4:$A$7,0))</f>
        <v>0.18550136449513679</v>
      </c>
      <c r="H1432" s="17">
        <f t="shared" si="79"/>
        <v>-0.45537312230350152</v>
      </c>
    </row>
    <row r="1433" spans="1:8">
      <c r="A1433" s="4" t="s">
        <v>771</v>
      </c>
      <c r="B1433" s="4">
        <v>64</v>
      </c>
      <c r="C1433" s="4" t="s">
        <v>70</v>
      </c>
      <c r="D1433" s="4" t="s">
        <v>783</v>
      </c>
      <c r="E1433" s="4" t="str">
        <f t="shared" si="78"/>
        <v>64|G</v>
      </c>
      <c r="F1433" s="14">
        <f>INDEX('Emission Stepwise'!$H$2:$H$289,MATCH(E1433,'Emission Stepwise'!$C$2:$C$289,0))</f>
        <v>0.45588235294117646</v>
      </c>
      <c r="G1433" s="14">
        <f>INDEX(Background!$C$4:$C$7,MATCH(C1433,Background!$A$4:$A$7,0))</f>
        <v>0.32488979077741237</v>
      </c>
      <c r="H1433" s="17">
        <f t="shared" si="79"/>
        <v>0.33874875877091259</v>
      </c>
    </row>
    <row r="1434" spans="1:8">
      <c r="A1434" s="4" t="s">
        <v>771</v>
      </c>
      <c r="B1434" s="4">
        <v>65</v>
      </c>
      <c r="C1434" s="4" t="s">
        <v>72</v>
      </c>
      <c r="D1434" s="4" t="s">
        <v>783</v>
      </c>
      <c r="E1434" s="4" t="str">
        <f t="shared" si="78"/>
        <v>65|U</v>
      </c>
      <c r="F1434" s="14">
        <f>INDEX('Emission Stepwise'!$H$2:$H$289,MATCH(E1434,'Emission Stepwise'!$C$2:$C$289,0))</f>
        <v>0.34975369458128081</v>
      </c>
      <c r="G1434" s="14">
        <f>INDEX(Background!$C$4:$C$7,MATCH(C1434,Background!$A$4:$A$7,0))</f>
        <v>0.21314113777902177</v>
      </c>
      <c r="H1434" s="17">
        <f t="shared" si="79"/>
        <v>0.49527461202621575</v>
      </c>
    </row>
    <row r="1435" spans="1:8">
      <c r="A1435" s="4" t="s">
        <v>771</v>
      </c>
      <c r="B1435" s="4">
        <v>66</v>
      </c>
      <c r="C1435" s="4" t="s">
        <v>70</v>
      </c>
      <c r="D1435" s="4" t="s">
        <v>784</v>
      </c>
      <c r="E1435" s="4" t="str">
        <f t="shared" si="78"/>
        <v>66|G</v>
      </c>
      <c r="F1435" s="14">
        <f>INDEX('Emission Stepwise'!$H$2:$H$289,MATCH(E1435,'Emission Stepwise'!$C$2:$C$289,0))</f>
        <v>1.4705882352941176E-2</v>
      </c>
      <c r="G1435" s="14">
        <f>INDEX(Background!$C$4:$C$7,MATCH(C1435,Background!$A$4:$A$7,0))</f>
        <v>0.32488979077741237</v>
      </c>
      <c r="H1435" s="17">
        <f t="shared" si="79"/>
        <v>-3.0952384457142337</v>
      </c>
    </row>
    <row r="1436" spans="1:8">
      <c r="A1436" s="4" t="s">
        <v>771</v>
      </c>
      <c r="B1436" s="4">
        <v>67</v>
      </c>
      <c r="C1436" s="4" t="s">
        <v>72</v>
      </c>
      <c r="D1436" s="4" t="s">
        <v>784</v>
      </c>
      <c r="E1436" s="4" t="str">
        <f t="shared" si="78"/>
        <v>67|U</v>
      </c>
      <c r="F1436" s="14">
        <f>INDEX('Emission Stepwise'!$H$2:$H$289,MATCH(E1436,'Emission Stepwise'!$C$2:$C$289,0))</f>
        <v>0.19117647058823528</v>
      </c>
      <c r="G1436" s="14">
        <f>INDEX(Background!$C$4:$C$7,MATCH(C1436,Background!$A$4:$A$7,0))</f>
        <v>0.21314113777902177</v>
      </c>
      <c r="H1436" s="17">
        <f t="shared" si="79"/>
        <v>-0.1087576336878824</v>
      </c>
    </row>
    <row r="1437" spans="1:8">
      <c r="A1437" s="4" t="s">
        <v>771</v>
      </c>
      <c r="B1437" s="4">
        <v>68</v>
      </c>
      <c r="C1437" s="4" t="s">
        <v>73</v>
      </c>
      <c r="D1437" s="4" t="s">
        <v>784</v>
      </c>
      <c r="E1437" s="4" t="str">
        <f t="shared" si="78"/>
        <v>68|A</v>
      </c>
      <c r="F1437" s="14">
        <f>INDEX('Emission Stepwise'!$H$2:$H$289,MATCH(E1437,'Emission Stepwise'!$C$2:$C$289,0))</f>
        <v>7.8431372549019607E-2</v>
      </c>
      <c r="G1437" s="14">
        <f>INDEX(Background!$C$4:$C$7,MATCH(C1437,Background!$A$4:$A$7,0))</f>
        <v>0.18550136449513679</v>
      </c>
      <c r="H1437" s="17">
        <f t="shared" si="79"/>
        <v>-0.86083823041166596</v>
      </c>
    </row>
    <row r="1438" spans="1:8">
      <c r="A1438" s="4" t="s">
        <v>771</v>
      </c>
      <c r="B1438" s="4">
        <v>69</v>
      </c>
      <c r="C1438" s="4" t="s">
        <v>70</v>
      </c>
      <c r="D1438" s="4" t="s">
        <v>784</v>
      </c>
      <c r="E1438" s="4" t="str">
        <f t="shared" si="78"/>
        <v>69|G</v>
      </c>
      <c r="F1438" s="14">
        <f>INDEX('Emission Stepwise'!$H$2:$H$289,MATCH(E1438,'Emission Stepwise'!$C$2:$C$289,0))</f>
        <v>0.34803921568627449</v>
      </c>
      <c r="G1438" s="14">
        <f>INDEX(Background!$C$4:$C$7,MATCH(C1438,Background!$A$4:$A$7,0))</f>
        <v>0.32488979077741237</v>
      </c>
      <c r="H1438" s="17">
        <f t="shared" si="79"/>
        <v>6.882914265897204E-2</v>
      </c>
    </row>
    <row r="1439" spans="1:8">
      <c r="A1439" s="4" t="s">
        <v>771</v>
      </c>
      <c r="B1439" s="4">
        <v>70</v>
      </c>
      <c r="C1439" s="4" t="s">
        <v>72</v>
      </c>
      <c r="D1439" s="4" t="s">
        <v>784</v>
      </c>
      <c r="E1439" s="4" t="str">
        <f t="shared" si="78"/>
        <v>70|U</v>
      </c>
      <c r="F1439" s="14">
        <f>INDEX('Emission Stepwise'!$H$2:$H$289,MATCH(E1439,'Emission Stepwise'!$C$2:$C$289,0))</f>
        <v>0.15196078431372548</v>
      </c>
      <c r="G1439" s="14">
        <f>INDEX(Background!$C$4:$C$7,MATCH(C1439,Background!$A$4:$A$7,0))</f>
        <v>0.21314113777902177</v>
      </c>
      <c r="H1439" s="17">
        <f t="shared" si="79"/>
        <v>-0.33833207533238269</v>
      </c>
    </row>
    <row r="1440" spans="1:8">
      <c r="A1440" s="4" t="s">
        <v>771</v>
      </c>
      <c r="B1440" s="4">
        <v>71</v>
      </c>
      <c r="C1440" s="4" t="s">
        <v>70</v>
      </c>
      <c r="D1440" s="4" t="s">
        <v>784</v>
      </c>
      <c r="E1440" s="4" t="str">
        <f t="shared" si="78"/>
        <v>71|G</v>
      </c>
      <c r="F1440" s="14">
        <f>INDEX('Emission Stepwise'!$H$2:$H$289,MATCH(E1440,'Emission Stepwise'!$C$2:$C$289,0))</f>
        <v>0.40686274509803921</v>
      </c>
      <c r="G1440" s="14">
        <f>INDEX(Background!$C$4:$C$7,MATCH(C1440,Background!$A$4:$A$7,0))</f>
        <v>0.32488979077741237</v>
      </c>
      <c r="H1440" s="17">
        <f t="shared" si="79"/>
        <v>0.22498987341425464</v>
      </c>
    </row>
    <row r="1441" spans="1:8">
      <c r="A1441" s="4" t="s">
        <v>771</v>
      </c>
      <c r="B1441" s="4">
        <v>72</v>
      </c>
      <c r="C1441" s="4" t="s">
        <v>73</v>
      </c>
      <c r="D1441" s="4" t="s">
        <v>784</v>
      </c>
      <c r="E1441" s="4" t="str">
        <f t="shared" si="78"/>
        <v>72|A</v>
      </c>
      <c r="F1441" s="14">
        <f>INDEX('Emission Stepwise'!$H$2:$H$289,MATCH(E1441,'Emission Stepwise'!$C$2:$C$289,0))</f>
        <v>8.3333333333333329E-2</v>
      </c>
      <c r="G1441" s="14">
        <f>INDEX(Background!$C$4:$C$7,MATCH(C1441,Background!$A$4:$A$7,0))</f>
        <v>0.18550136449513679</v>
      </c>
      <c r="H1441" s="17">
        <f t="shared" si="79"/>
        <v>-0.80021360859523116</v>
      </c>
    </row>
    <row r="1442" spans="1:8">
      <c r="A1442" s="4" t="s">
        <v>772</v>
      </c>
      <c r="B1442" s="4">
        <v>1</v>
      </c>
      <c r="C1442" s="4" t="s">
        <v>73</v>
      </c>
      <c r="D1442" s="4" t="s">
        <v>778</v>
      </c>
      <c r="E1442" s="4" t="str">
        <f t="shared" si="78"/>
        <v>1|A</v>
      </c>
      <c r="F1442" s="14">
        <f>INDEX('Emission Stepwise'!$H$2:$H$289,MATCH(E1442,'Emission Stepwise'!$C$2:$C$289,0))</f>
        <v>6.8627450980392163E-2</v>
      </c>
      <c r="G1442" s="14">
        <f>INDEX(Background!$C$4:$C$7,MATCH(C1442,Background!$A$4:$A$7,0))</f>
        <v>0.18550136449513679</v>
      </c>
      <c r="H1442" s="17">
        <f t="shared" si="79"/>
        <v>-0.99436962303618837</v>
      </c>
    </row>
    <row r="1443" spans="1:8">
      <c r="A1443" s="4" t="s">
        <v>772</v>
      </c>
      <c r="B1443" s="4">
        <v>2</v>
      </c>
      <c r="C1443" s="4" t="s">
        <v>70</v>
      </c>
      <c r="D1443" s="4" t="s">
        <v>778</v>
      </c>
      <c r="E1443" s="4" t="str">
        <f t="shared" si="78"/>
        <v>2|G</v>
      </c>
      <c r="F1443" s="14">
        <f>INDEX('Emission Stepwise'!$H$2:$H$289,MATCH(E1443,'Emission Stepwise'!$C$2:$C$289,0))</f>
        <v>0.52450980392156865</v>
      </c>
      <c r="G1443" s="14">
        <f>INDEX(Background!$C$4:$C$7,MATCH(C1443,Background!$A$4:$A$7,0))</f>
        <v>0.32488979077741237</v>
      </c>
      <c r="H1443" s="17">
        <f t="shared" si="79"/>
        <v>0.47897810007956287</v>
      </c>
    </row>
    <row r="1444" spans="1:8">
      <c r="A1444" s="4" t="s">
        <v>772</v>
      </c>
      <c r="B1444" s="4">
        <v>3</v>
      </c>
      <c r="C1444" s="4" t="s">
        <v>71</v>
      </c>
      <c r="D1444" s="4" t="s">
        <v>778</v>
      </c>
      <c r="E1444" s="4" t="str">
        <f t="shared" si="78"/>
        <v>3|C</v>
      </c>
      <c r="F1444" s="14">
        <f>INDEX('Emission Stepwise'!$H$2:$H$289,MATCH(E1444,'Emission Stepwise'!$C$2:$C$289,0))</f>
        <v>0.38235294117647056</v>
      </c>
      <c r="G1444" s="14">
        <f>INDEX(Background!$C$4:$C$7,MATCH(C1444,Background!$A$4:$A$7,0))</f>
        <v>0.27646770694842909</v>
      </c>
      <c r="H1444" s="17">
        <f t="shared" si="79"/>
        <v>0.32425008991577925</v>
      </c>
    </row>
    <row r="1445" spans="1:8">
      <c r="A1445" s="4" t="s">
        <v>772</v>
      </c>
      <c r="B1445" s="4">
        <v>4</v>
      </c>
      <c r="C1445" s="4" t="s">
        <v>73</v>
      </c>
      <c r="D1445" s="4" t="s">
        <v>778</v>
      </c>
      <c r="E1445" s="4" t="str">
        <f t="shared" si="78"/>
        <v>4|A</v>
      </c>
      <c r="F1445" s="14">
        <f>INDEX('Emission Stepwise'!$H$2:$H$289,MATCH(E1445,'Emission Stepwise'!$C$2:$C$289,0))</f>
        <v>8.3333333333333329E-2</v>
      </c>
      <c r="G1445" s="14">
        <f>INDEX(Background!$C$4:$C$7,MATCH(C1445,Background!$A$4:$A$7,0))</f>
        <v>0.18550136449513679</v>
      </c>
      <c r="H1445" s="17">
        <f t="shared" si="79"/>
        <v>-0.80021360859523116</v>
      </c>
    </row>
    <row r="1446" spans="1:8">
      <c r="A1446" s="4" t="s">
        <v>772</v>
      </c>
      <c r="B1446" s="4">
        <v>5</v>
      </c>
      <c r="C1446" s="4" t="s">
        <v>70</v>
      </c>
      <c r="D1446" s="4" t="s">
        <v>778</v>
      </c>
      <c r="E1446" s="4" t="str">
        <f t="shared" si="78"/>
        <v>5|G</v>
      </c>
      <c r="F1446" s="14">
        <f>INDEX('Emission Stepwise'!$H$2:$H$289,MATCH(E1446,'Emission Stepwise'!$C$2:$C$289,0))</f>
        <v>0.34313725490196079</v>
      </c>
      <c r="G1446" s="14">
        <f>INDEX(Background!$C$4:$C$7,MATCH(C1446,Background!$A$4:$A$7,0))</f>
        <v>0.32488979077741237</v>
      </c>
      <c r="H1446" s="17">
        <f t="shared" si="79"/>
        <v>5.4644507667015618E-2</v>
      </c>
    </row>
    <row r="1447" spans="1:8">
      <c r="A1447" s="4" t="s">
        <v>772</v>
      </c>
      <c r="B1447" s="4">
        <v>6</v>
      </c>
      <c r="C1447" s="4" t="s">
        <v>70</v>
      </c>
      <c r="D1447" s="4" t="s">
        <v>778</v>
      </c>
      <c r="E1447" s="4" t="str">
        <f t="shared" si="78"/>
        <v>6|G</v>
      </c>
      <c r="F1447" s="14">
        <f>INDEX('Emission Stepwise'!$H$2:$H$289,MATCH(E1447,'Emission Stepwise'!$C$2:$C$289,0))</f>
        <v>0.24019607843137256</v>
      </c>
      <c r="G1447" s="14">
        <f>INDEX(Background!$C$4:$C$7,MATCH(C1447,Background!$A$4:$A$7,0))</f>
        <v>0.32488979077741237</v>
      </c>
      <c r="H1447" s="17">
        <f t="shared" si="79"/>
        <v>-0.30203043627171677</v>
      </c>
    </row>
    <row r="1448" spans="1:8">
      <c r="A1448" s="4" t="s">
        <v>772</v>
      </c>
      <c r="B1448" s="4">
        <v>7</v>
      </c>
      <c r="C1448" s="4" t="s">
        <v>72</v>
      </c>
      <c r="D1448" s="4" t="s">
        <v>778</v>
      </c>
      <c r="E1448" s="4" t="str">
        <f t="shared" si="78"/>
        <v>7|U</v>
      </c>
      <c r="F1448" s="14">
        <f>INDEX('Emission Stepwise'!$H$2:$H$289,MATCH(E1448,'Emission Stepwise'!$C$2:$C$289,0))</f>
        <v>0.22058823529411764</v>
      </c>
      <c r="G1448" s="14">
        <f>INDEX(Background!$C$4:$C$7,MATCH(C1448,Background!$A$4:$A$7,0))</f>
        <v>0.21314113777902177</v>
      </c>
      <c r="H1448" s="17">
        <f t="shared" si="79"/>
        <v>3.4343209952791019E-2</v>
      </c>
    </row>
    <row r="1449" spans="1:8">
      <c r="A1449" s="4" t="s">
        <v>772</v>
      </c>
      <c r="B1449" s="4">
        <v>8</v>
      </c>
      <c r="C1449" s="4" t="s">
        <v>72</v>
      </c>
      <c r="D1449" s="4" t="s">
        <v>779</v>
      </c>
      <c r="E1449" s="4" t="str">
        <f t="shared" si="78"/>
        <v>8|U</v>
      </c>
      <c r="F1449" s="14">
        <f>INDEX('Emission Stepwise'!$H$2:$H$289,MATCH(E1449,'Emission Stepwise'!$C$2:$C$289,0))</f>
        <v>0.97549019607843135</v>
      </c>
      <c r="G1449" s="14">
        <f>INDEX(Background!$C$4:$C$7,MATCH(C1449,Background!$A$4:$A$7,0))</f>
        <v>0.21314113777902177</v>
      </c>
      <c r="H1449" s="17">
        <f t="shared" si="79"/>
        <v>1.5209855449069636</v>
      </c>
    </row>
    <row r="1450" spans="1:8">
      <c r="A1450" s="4" t="s">
        <v>772</v>
      </c>
      <c r="B1450" s="4">
        <v>9</v>
      </c>
      <c r="C1450" s="4" t="s">
        <v>73</v>
      </c>
      <c r="D1450" s="4" t="s">
        <v>780</v>
      </c>
      <c r="E1450" s="4" t="str">
        <f t="shared" si="78"/>
        <v>9|A</v>
      </c>
      <c r="F1450" s="14">
        <f>INDEX('Emission Stepwise'!$H$2:$H$289,MATCH(E1450,'Emission Stepwise'!$C$2:$C$289,0))</f>
        <v>0.65024630541871919</v>
      </c>
      <c r="G1450" s="14">
        <f>INDEX(Background!$C$4:$C$7,MATCH(C1450,Background!$A$4:$A$7,0))</f>
        <v>0.18550136449513679</v>
      </c>
      <c r="H1450" s="17">
        <f t="shared" si="79"/>
        <v>1.2542889847373526</v>
      </c>
    </row>
    <row r="1451" spans="1:8">
      <c r="A1451" s="4" t="s">
        <v>772</v>
      </c>
      <c r="B1451" s="4">
        <v>10</v>
      </c>
      <c r="C1451" s="4" t="s">
        <v>70</v>
      </c>
      <c r="D1451" s="4" t="s">
        <v>780</v>
      </c>
      <c r="E1451" s="4" t="str">
        <f t="shared" si="78"/>
        <v>10|G</v>
      </c>
      <c r="F1451" s="14">
        <f>INDEX('Emission Stepwise'!$H$2:$H$289,MATCH(E1451,'Emission Stepwise'!$C$2:$C$289,0))</f>
        <v>0.94607843137254899</v>
      </c>
      <c r="G1451" s="14">
        <f>INDEX(Background!$C$4:$C$7,MATCH(C1451,Background!$A$4:$A$7,0))</f>
        <v>0.32488979077741237</v>
      </c>
      <c r="H1451" s="17">
        <f t="shared" si="79"/>
        <v>1.0688394545225421</v>
      </c>
    </row>
    <row r="1452" spans="1:8">
      <c r="A1452" s="4" t="s">
        <v>772</v>
      </c>
      <c r="B1452" s="4">
        <v>11</v>
      </c>
      <c r="C1452" s="4" t="s">
        <v>70</v>
      </c>
      <c r="D1452" s="4" t="s">
        <v>780</v>
      </c>
      <c r="E1452" s="4" t="str">
        <f t="shared" si="78"/>
        <v>11|G</v>
      </c>
      <c r="F1452" s="14">
        <f>INDEX('Emission Stepwise'!$H$2:$H$289,MATCH(E1452,'Emission Stepwise'!$C$2:$C$289,0))</f>
        <v>3.4313725490196081E-2</v>
      </c>
      <c r="G1452" s="14">
        <f>INDEX(Background!$C$4:$C$7,MATCH(C1452,Background!$A$4:$A$7,0))</f>
        <v>0.32488979077741237</v>
      </c>
      <c r="H1452" s="17">
        <f t="shared" si="79"/>
        <v>-2.2479405853270302</v>
      </c>
    </row>
    <row r="1453" spans="1:8">
      <c r="A1453" s="4" t="s">
        <v>772</v>
      </c>
      <c r="B1453" s="4">
        <v>12</v>
      </c>
      <c r="C1453" s="4" t="s">
        <v>72</v>
      </c>
      <c r="D1453" s="4" t="s">
        <v>780</v>
      </c>
      <c r="E1453" s="4" t="str">
        <f t="shared" si="78"/>
        <v>12|U</v>
      </c>
      <c r="F1453" s="14">
        <f>INDEX('Emission Stepwise'!$H$2:$H$289,MATCH(E1453,'Emission Stepwise'!$C$2:$C$289,0))</f>
        <v>0.59313725490196079</v>
      </c>
      <c r="G1453" s="14">
        <f>INDEX(Background!$C$4:$C$7,MATCH(C1453,Background!$A$4:$A$7,0))</f>
        <v>0.21314113777902177</v>
      </c>
      <c r="H1453" s="17">
        <f t="shared" si="79"/>
        <v>1.0234712657792122</v>
      </c>
    </row>
    <row r="1454" spans="1:8">
      <c r="A1454" s="4" t="s">
        <v>772</v>
      </c>
      <c r="B1454" s="4">
        <v>13</v>
      </c>
      <c r="C1454" s="4" t="s">
        <v>72</v>
      </c>
      <c r="D1454" s="4" t="s">
        <v>780</v>
      </c>
      <c r="E1454" s="4" t="str">
        <f t="shared" si="78"/>
        <v>13|U</v>
      </c>
      <c r="F1454" s="14">
        <f>INDEX('Emission Stepwise'!$H$2:$H$289,MATCH(E1454,'Emission Stepwise'!$C$2:$C$289,0))</f>
        <v>0.19117647058823528</v>
      </c>
      <c r="G1454" s="14">
        <f>INDEX(Background!$C$4:$C$7,MATCH(C1454,Background!$A$4:$A$7,0))</f>
        <v>0.21314113777902177</v>
      </c>
      <c r="H1454" s="17">
        <f t="shared" si="79"/>
        <v>-0.1087576336878824</v>
      </c>
    </row>
    <row r="1455" spans="1:8">
      <c r="A1455" s="4" t="s">
        <v>772</v>
      </c>
      <c r="B1455" s="4">
        <v>14</v>
      </c>
      <c r="C1455" s="4" t="s">
        <v>70</v>
      </c>
      <c r="D1455" s="4" t="s">
        <v>780</v>
      </c>
      <c r="E1455" s="4" t="str">
        <f t="shared" si="78"/>
        <v>14|G</v>
      </c>
      <c r="F1455" s="14">
        <f>INDEX('Emission Stepwise'!$H$2:$H$289,MATCH(E1455,'Emission Stepwise'!$C$2:$C$289,0))</f>
        <v>9.8039215686274508E-3</v>
      </c>
      <c r="G1455" s="14">
        <f>INDEX(Background!$C$4:$C$7,MATCH(C1455,Background!$A$4:$A$7,0))</f>
        <v>0.32488979077741237</v>
      </c>
      <c r="H1455" s="17">
        <f t="shared" si="79"/>
        <v>-3.5007035538223983</v>
      </c>
    </row>
    <row r="1456" spans="1:8">
      <c r="A1456" s="4" t="s">
        <v>772</v>
      </c>
      <c r="B1456" s="4">
        <v>15</v>
      </c>
      <c r="C1456" s="4" t="s">
        <v>71</v>
      </c>
      <c r="D1456" s="4" t="s">
        <v>780</v>
      </c>
      <c r="E1456" s="4" t="str">
        <f t="shared" si="78"/>
        <v>15|C</v>
      </c>
      <c r="F1456" s="14">
        <f>INDEX('Emission Stepwise'!$H$2:$H$289,MATCH(E1456,'Emission Stepwise'!$C$2:$C$289,0))</f>
        <v>1.4778325123152709E-2</v>
      </c>
      <c r="G1456" s="14">
        <f>INDEX(Background!$C$4:$C$7,MATCH(C1456,Background!$A$4:$A$7,0))</f>
        <v>0.27646770694842909</v>
      </c>
      <c r="H1456" s="17">
        <f t="shared" si="79"/>
        <v>-2.9289324333032738</v>
      </c>
    </row>
    <row r="1457" spans="1:8">
      <c r="A1457" s="4" t="s">
        <v>772</v>
      </c>
      <c r="B1457" s="4">
        <v>16</v>
      </c>
      <c r="C1457" s="4" t="s">
        <v>72</v>
      </c>
      <c r="D1457" s="4" t="s">
        <v>780</v>
      </c>
      <c r="E1457" s="4" t="str">
        <f t="shared" si="78"/>
        <v>16|U</v>
      </c>
      <c r="F1457" s="14">
        <f>INDEX('Emission Stepwise'!$H$2:$H$289,MATCH(E1457,'Emission Stepwise'!$C$2:$C$289,0))</f>
        <v>0.58394160583941601</v>
      </c>
      <c r="G1457" s="14">
        <f>INDEX(Background!$C$4:$C$7,MATCH(C1457,Background!$A$4:$A$7,0))</f>
        <v>0.21314113777902177</v>
      </c>
      <c r="H1457" s="17">
        <f t="shared" si="79"/>
        <v>1.0078464228724442</v>
      </c>
    </row>
    <row r="1458" spans="1:8">
      <c r="A1458" s="4" t="s">
        <v>772</v>
      </c>
      <c r="B1458" s="4">
        <v>17</v>
      </c>
      <c r="C1458" s="4" t="s">
        <v>73</v>
      </c>
      <c r="D1458" s="4" t="s">
        <v>780</v>
      </c>
      <c r="E1458" s="4" t="str">
        <f t="shared" si="78"/>
        <v>17|A</v>
      </c>
      <c r="F1458" s="14">
        <f>INDEX('Emission Stepwise'!$H$2:$H$289,MATCH(E1458,'Emission Stepwise'!$C$2:$C$289,0))</f>
        <v>6.4676616915422883E-2</v>
      </c>
      <c r="G1458" s="14">
        <f>INDEX(Background!$C$4:$C$7,MATCH(C1458,Background!$A$4:$A$7,0))</f>
        <v>0.18550136449513679</v>
      </c>
      <c r="H1458" s="17">
        <f t="shared" si="79"/>
        <v>-1.0536625094047698</v>
      </c>
    </row>
    <row r="1459" spans="1:8">
      <c r="A1459" s="4" t="s">
        <v>772</v>
      </c>
      <c r="B1459" s="4">
        <v>18</v>
      </c>
      <c r="C1459" s="4" t="s">
        <v>70</v>
      </c>
      <c r="D1459" s="4" t="s">
        <v>780</v>
      </c>
      <c r="E1459" s="4" t="str">
        <f t="shared" si="78"/>
        <v>18|G</v>
      </c>
      <c r="F1459" s="14">
        <f>INDEX('Emission Stepwise'!$H$2:$H$289,MATCH(E1459,'Emission Stepwise'!$C$2:$C$289,0))</f>
        <v>0.98039215686274506</v>
      </c>
      <c r="G1459" s="14">
        <f>INDEX(Background!$C$4:$C$7,MATCH(C1459,Background!$A$4:$A$7,0))</f>
        <v>0.32488979077741237</v>
      </c>
      <c r="H1459" s="17">
        <f t="shared" si="79"/>
        <v>1.1044666321656933</v>
      </c>
    </row>
    <row r="1460" spans="1:8">
      <c r="A1460" s="4" t="s">
        <v>772</v>
      </c>
      <c r="B1460" s="4">
        <v>19</v>
      </c>
      <c r="C1460" s="4" t="s">
        <v>70</v>
      </c>
      <c r="D1460" s="4" t="s">
        <v>780</v>
      </c>
      <c r="E1460" s="4" t="str">
        <f t="shared" si="78"/>
        <v>19|G</v>
      </c>
      <c r="F1460" s="14">
        <f>INDEX('Emission Stepwise'!$H$2:$H$289,MATCH(E1460,'Emission Stepwise'!$C$2:$C$289,0))</f>
        <v>0.97058823529411764</v>
      </c>
      <c r="G1460" s="14">
        <f>INDEX(Background!$C$4:$C$7,MATCH(C1460,Background!$A$4:$A$7,0))</f>
        <v>0.32488979077741237</v>
      </c>
      <c r="H1460" s="17">
        <f t="shared" si="79"/>
        <v>1.0944162963121917</v>
      </c>
    </row>
    <row r="1461" spans="1:8">
      <c r="A1461" s="4" t="s">
        <v>772</v>
      </c>
      <c r="B1461" s="4">
        <v>20</v>
      </c>
      <c r="C1461" s="4" t="s">
        <v>73</v>
      </c>
      <c r="D1461" s="4" t="s">
        <v>780</v>
      </c>
      <c r="E1461" s="4" t="str">
        <f t="shared" si="78"/>
        <v>20|A</v>
      </c>
      <c r="F1461" s="14">
        <f>INDEX('Emission Stepwise'!$H$2:$H$289,MATCH(E1461,'Emission Stepwise'!$C$2:$C$289,0))</f>
        <v>8.8669950738916259E-2</v>
      </c>
      <c r="G1461" s="14">
        <f>INDEX(Background!$C$4:$C$7,MATCH(C1461,Background!$A$4:$A$7,0))</f>
        <v>0.18550136449513679</v>
      </c>
      <c r="H1461" s="17">
        <f t="shared" si="79"/>
        <v>-0.73814117995285333</v>
      </c>
    </row>
    <row r="1462" spans="1:8">
      <c r="A1462" s="4" t="s">
        <v>772</v>
      </c>
      <c r="B1462" s="4">
        <v>21</v>
      </c>
      <c r="C1462" s="4" t="s">
        <v>73</v>
      </c>
      <c r="D1462" s="4" t="s">
        <v>780</v>
      </c>
      <c r="E1462" s="4" t="str">
        <f t="shared" si="78"/>
        <v>21|A</v>
      </c>
      <c r="F1462" s="14">
        <f>INDEX('Emission Stepwise'!$H$2:$H$289,MATCH(E1462,'Emission Stepwise'!$C$2:$C$289,0))</f>
        <v>0.88235294117647056</v>
      </c>
      <c r="G1462" s="14">
        <f>INDEX(Background!$C$4:$C$7,MATCH(C1462,Background!$A$4:$A$7,0))</f>
        <v>0.18550136449513679</v>
      </c>
      <c r="H1462" s="17">
        <f t="shared" si="79"/>
        <v>1.5595298982387631</v>
      </c>
    </row>
    <row r="1463" spans="1:8">
      <c r="A1463" s="4" t="s">
        <v>772</v>
      </c>
      <c r="B1463" s="4">
        <v>22</v>
      </c>
      <c r="C1463" s="4" t="s">
        <v>73</v>
      </c>
      <c r="D1463" s="4" t="s">
        <v>780</v>
      </c>
      <c r="E1463" s="4" t="str">
        <f t="shared" si="78"/>
        <v>22|A</v>
      </c>
      <c r="F1463" s="14">
        <f>INDEX('Emission Stepwise'!$H$2:$H$289,MATCH(E1463,'Emission Stepwise'!$C$2:$C$289,0))</f>
        <v>0.20588235294117646</v>
      </c>
      <c r="G1463" s="14">
        <f>INDEX(Background!$C$4:$C$7,MATCH(C1463,Background!$A$4:$A$7,0))</f>
        <v>0.18550136449513679</v>
      </c>
      <c r="H1463" s="17">
        <f t="shared" si="79"/>
        <v>0.10424266563192114</v>
      </c>
    </row>
    <row r="1464" spans="1:8">
      <c r="A1464" s="4" t="s">
        <v>772</v>
      </c>
      <c r="B1464" s="4">
        <v>23</v>
      </c>
      <c r="C1464" s="4" t="s">
        <v>73</v>
      </c>
      <c r="D1464" s="4" t="s">
        <v>780</v>
      </c>
      <c r="E1464" s="4" t="str">
        <f t="shared" si="78"/>
        <v>23|A</v>
      </c>
      <c r="F1464" s="14">
        <f>INDEX('Emission Stepwise'!$H$2:$H$289,MATCH(E1464,'Emission Stepwise'!$C$2:$C$289,0))</f>
        <v>0.59803921568627449</v>
      </c>
      <c r="G1464" s="14">
        <f>INDEX(Background!$C$4:$C$7,MATCH(C1464,Background!$A$4:$A$7,0))</f>
        <v>0.18550136449513679</v>
      </c>
      <c r="H1464" s="17">
        <f t="shared" si="79"/>
        <v>1.1705940920818094</v>
      </c>
    </row>
    <row r="1465" spans="1:8">
      <c r="A1465" s="4" t="s">
        <v>772</v>
      </c>
      <c r="B1465" s="4">
        <v>24</v>
      </c>
      <c r="C1465" s="4" t="s">
        <v>72</v>
      </c>
      <c r="D1465" s="4" t="s">
        <v>780</v>
      </c>
      <c r="E1465" s="4" t="str">
        <f t="shared" si="78"/>
        <v>24|U</v>
      </c>
      <c r="F1465" s="14">
        <f>INDEX('Emission Stepwise'!$H$2:$H$289,MATCH(E1465,'Emission Stepwise'!$C$2:$C$289,0))</f>
        <v>3.9215686274509803E-2</v>
      </c>
      <c r="G1465" s="14">
        <f>INDEX(Background!$C$4:$C$7,MATCH(C1465,Background!$A$4:$A$7,0))</f>
        <v>0.21314113777902177</v>
      </c>
      <c r="H1465" s="17">
        <f t="shared" si="79"/>
        <v>-1.6928777381376929</v>
      </c>
    </row>
    <row r="1466" spans="1:8">
      <c r="A1466" s="4" t="s">
        <v>772</v>
      </c>
      <c r="B1466" s="4">
        <v>25</v>
      </c>
      <c r="C1466" s="4" t="s">
        <v>72</v>
      </c>
      <c r="D1466" s="4" t="s">
        <v>780</v>
      </c>
      <c r="E1466" s="4" t="str">
        <f t="shared" si="78"/>
        <v>25|U</v>
      </c>
      <c r="F1466" s="14">
        <f>INDEX('Emission Stepwise'!$H$2:$H$289,MATCH(E1466,'Emission Stepwise'!$C$2:$C$289,0))</f>
        <v>7.3529411764705885E-2</v>
      </c>
      <c r="G1466" s="14">
        <f>INDEX(Background!$C$4:$C$7,MATCH(C1466,Background!$A$4:$A$7,0))</f>
        <v>0.21314113777902177</v>
      </c>
      <c r="H1466" s="17">
        <f t="shared" si="79"/>
        <v>-1.0642690787153186</v>
      </c>
    </row>
    <row r="1467" spans="1:8">
      <c r="A1467" s="4" t="s">
        <v>772</v>
      </c>
      <c r="B1467" s="4">
        <v>26</v>
      </c>
      <c r="C1467" s="4" t="s">
        <v>72</v>
      </c>
      <c r="D1467" s="4" t="s">
        <v>781</v>
      </c>
      <c r="E1467" s="4" t="str">
        <f t="shared" si="78"/>
        <v>26|U</v>
      </c>
      <c r="F1467" s="14">
        <f>INDEX('Emission Stepwise'!$H$2:$H$289,MATCH(E1467,'Emission Stepwise'!$C$2:$C$289,0))</f>
        <v>5.8823529411764705E-2</v>
      </c>
      <c r="G1467" s="14">
        <f>INDEX(Background!$C$4:$C$7,MATCH(C1467,Background!$A$4:$A$7,0))</f>
        <v>0.21314113777902177</v>
      </c>
      <c r="H1467" s="17">
        <f t="shared" si="79"/>
        <v>-1.2874126300295285</v>
      </c>
    </row>
    <row r="1468" spans="1:8">
      <c r="A1468" s="4" t="s">
        <v>772</v>
      </c>
      <c r="B1468" s="4">
        <v>27</v>
      </c>
      <c r="C1468" s="4" t="s">
        <v>72</v>
      </c>
      <c r="D1468" s="4" t="s">
        <v>781</v>
      </c>
      <c r="E1468" s="4" t="str">
        <f t="shared" si="78"/>
        <v>27|U</v>
      </c>
      <c r="F1468" s="14">
        <f>INDEX('Emission Stepwise'!$H$2:$H$289,MATCH(E1468,'Emission Stepwise'!$C$2:$C$289,0))</f>
        <v>0.25980392156862747</v>
      </c>
      <c r="G1468" s="14">
        <f>INDEX(Background!$C$4:$C$7,MATCH(C1468,Background!$A$4:$A$7,0))</f>
        <v>0.21314113777902177</v>
      </c>
      <c r="H1468" s="17">
        <f t="shared" si="79"/>
        <v>0.19797263373459306</v>
      </c>
    </row>
    <row r="1469" spans="1:8">
      <c r="A1469" s="4" t="s">
        <v>772</v>
      </c>
      <c r="B1469" s="4">
        <v>28</v>
      </c>
      <c r="C1469" s="4" t="s">
        <v>73</v>
      </c>
      <c r="D1469" s="4" t="s">
        <v>781</v>
      </c>
      <c r="E1469" s="4" t="str">
        <f t="shared" si="78"/>
        <v>28|A</v>
      </c>
      <c r="F1469" s="14">
        <f>INDEX('Emission Stepwise'!$H$2:$H$289,MATCH(E1469,'Emission Stepwise'!$C$2:$C$289,0))</f>
        <v>0.12254901960784313</v>
      </c>
      <c r="G1469" s="14">
        <f>INDEX(Background!$C$4:$C$7,MATCH(C1469,Background!$A$4:$A$7,0))</f>
        <v>0.18550136449513679</v>
      </c>
      <c r="H1469" s="17">
        <f t="shared" si="79"/>
        <v>-0.41455112778324649</v>
      </c>
    </row>
    <row r="1470" spans="1:8">
      <c r="A1470" s="4" t="s">
        <v>772</v>
      </c>
      <c r="B1470" s="4">
        <v>29</v>
      </c>
      <c r="C1470" s="4" t="s">
        <v>73</v>
      </c>
      <c r="D1470" s="4" t="s">
        <v>781</v>
      </c>
      <c r="E1470" s="4" t="str">
        <f t="shared" si="78"/>
        <v>29|A</v>
      </c>
      <c r="F1470" s="14">
        <f>INDEX('Emission Stepwise'!$H$2:$H$289,MATCH(E1470,'Emission Stepwise'!$C$2:$C$289,0))</f>
        <v>0.16176470588235295</v>
      </c>
      <c r="G1470" s="14">
        <f>INDEX(Background!$C$4:$C$7,MATCH(C1470,Background!$A$4:$A$7,0))</f>
        <v>0.18550136449513679</v>
      </c>
      <c r="H1470" s="17">
        <f t="shared" si="79"/>
        <v>-0.13691939118496679</v>
      </c>
    </row>
    <row r="1471" spans="1:8">
      <c r="A1471" s="4" t="s">
        <v>772</v>
      </c>
      <c r="B1471" s="4">
        <v>30</v>
      </c>
      <c r="C1471" s="4" t="s">
        <v>72</v>
      </c>
      <c r="D1471" s="4" t="s">
        <v>781</v>
      </c>
      <c r="E1471" s="4" t="str">
        <f t="shared" si="78"/>
        <v>30|U</v>
      </c>
      <c r="F1471" s="14">
        <f>INDEX('Emission Stepwise'!$H$2:$H$289,MATCH(E1471,'Emission Stepwise'!$C$2:$C$289,0))</f>
        <v>3.9215686274509803E-2</v>
      </c>
      <c r="G1471" s="14">
        <f>INDEX(Background!$C$4:$C$7,MATCH(C1471,Background!$A$4:$A$7,0))</f>
        <v>0.21314113777902177</v>
      </c>
      <c r="H1471" s="17">
        <f t="shared" si="79"/>
        <v>-1.6928777381376929</v>
      </c>
    </row>
    <row r="1472" spans="1:8">
      <c r="A1472" s="4" t="s">
        <v>772</v>
      </c>
      <c r="B1472" s="4">
        <v>31</v>
      </c>
      <c r="C1472" s="4" t="s">
        <v>71</v>
      </c>
      <c r="D1472" s="4" t="s">
        <v>781</v>
      </c>
      <c r="E1472" s="4" t="str">
        <f t="shared" ref="E1472:E1535" si="80">B1472&amp;"|"&amp;C1472</f>
        <v>31|C</v>
      </c>
      <c r="F1472" s="14">
        <f>INDEX('Emission Stepwise'!$H$2:$H$289,MATCH(E1472,'Emission Stepwise'!$C$2:$C$289,0))</f>
        <v>0.35784313725490197</v>
      </c>
      <c r="G1472" s="14">
        <f>INDEX(Background!$C$4:$C$7,MATCH(C1472,Background!$A$4:$A$7,0))</f>
        <v>0.27646770694842909</v>
      </c>
      <c r="H1472" s="17">
        <f t="shared" ref="H1472:H1535" si="81">LN(F1472/G1472)</f>
        <v>0.25800070437457878</v>
      </c>
    </row>
    <row r="1473" spans="1:8">
      <c r="A1473" s="4" t="s">
        <v>772</v>
      </c>
      <c r="B1473" s="4">
        <v>32</v>
      </c>
      <c r="C1473" s="4" t="s">
        <v>72</v>
      </c>
      <c r="D1473" s="4" t="s">
        <v>781</v>
      </c>
      <c r="E1473" s="4" t="str">
        <f t="shared" si="80"/>
        <v>32|U</v>
      </c>
      <c r="F1473" s="14">
        <f>INDEX('Emission Stepwise'!$H$2:$H$289,MATCH(E1473,'Emission Stepwise'!$C$2:$C$289,0))</f>
        <v>0.29411764705882354</v>
      </c>
      <c r="G1473" s="14">
        <f>INDEX(Background!$C$4:$C$7,MATCH(C1473,Background!$A$4:$A$7,0))</f>
        <v>0.21314113777902177</v>
      </c>
      <c r="H1473" s="17">
        <f t="shared" si="81"/>
        <v>0.32202528240457201</v>
      </c>
    </row>
    <row r="1474" spans="1:8">
      <c r="A1474" s="4" t="s">
        <v>772</v>
      </c>
      <c r="B1474" s="4">
        <v>33</v>
      </c>
      <c r="C1474" s="4" t="s">
        <v>71</v>
      </c>
      <c r="D1474" s="4" t="s">
        <v>781</v>
      </c>
      <c r="E1474" s="4" t="str">
        <f t="shared" si="80"/>
        <v>33|C</v>
      </c>
      <c r="F1474" s="14">
        <f>INDEX('Emission Stepwise'!$H$2:$H$289,MATCH(E1474,'Emission Stepwise'!$C$2:$C$289,0))</f>
        <v>9.8039215686274508E-3</v>
      </c>
      <c r="G1474" s="14">
        <f>INDEX(Background!$C$4:$C$7,MATCH(C1474,Background!$A$4:$A$7,0))</f>
        <v>0.27646770694842909</v>
      </c>
      <c r="H1474" s="17">
        <f t="shared" si="81"/>
        <v>-3.3393115562138669</v>
      </c>
    </row>
    <row r="1475" spans="1:8">
      <c r="A1475" s="4" t="s">
        <v>772</v>
      </c>
      <c r="B1475" s="4">
        <v>34</v>
      </c>
      <c r="C1475" s="4" t="s">
        <v>71</v>
      </c>
      <c r="D1475" s="4" t="s">
        <v>781</v>
      </c>
      <c r="E1475" s="4" t="str">
        <f t="shared" si="80"/>
        <v>34|C</v>
      </c>
      <c r="F1475" s="14">
        <f>INDEX('Emission Stepwise'!$H$2:$H$289,MATCH(E1475,'Emission Stepwise'!$C$2:$C$289,0))</f>
        <v>0.32843137254901961</v>
      </c>
      <c r="G1475" s="14">
        <f>INDEX(Background!$C$4:$C$7,MATCH(C1475,Background!$A$4:$A$7,0))</f>
        <v>0.27646770694842909</v>
      </c>
      <c r="H1475" s="17">
        <f t="shared" si="81"/>
        <v>0.17223388261715358</v>
      </c>
    </row>
    <row r="1476" spans="1:8">
      <c r="A1476" s="4" t="s">
        <v>772</v>
      </c>
      <c r="B1476" s="4">
        <v>35</v>
      </c>
      <c r="C1476" s="4" t="s">
        <v>72</v>
      </c>
      <c r="D1476" s="4" t="s">
        <v>781</v>
      </c>
      <c r="E1476" s="4" t="str">
        <f t="shared" si="80"/>
        <v>35|U</v>
      </c>
      <c r="F1476" s="14">
        <f>INDEX('Emission Stepwise'!$H$2:$H$289,MATCH(E1476,'Emission Stepwise'!$C$2:$C$289,0))</f>
        <v>0.20588235294117646</v>
      </c>
      <c r="G1476" s="14">
        <f>INDEX(Background!$C$4:$C$7,MATCH(C1476,Background!$A$4:$A$7,0))</f>
        <v>0.21314113777902177</v>
      </c>
      <c r="H1476" s="17">
        <f t="shared" si="81"/>
        <v>-3.4649661534160589E-2</v>
      </c>
    </row>
    <row r="1477" spans="1:8">
      <c r="A1477" s="4" t="s">
        <v>772</v>
      </c>
      <c r="B1477" s="4">
        <v>36</v>
      </c>
      <c r="C1477" s="4" t="s">
        <v>73</v>
      </c>
      <c r="D1477" s="4" t="s">
        <v>781</v>
      </c>
      <c r="E1477" s="4" t="str">
        <f t="shared" si="80"/>
        <v>36|A</v>
      </c>
      <c r="F1477" s="14">
        <f>INDEX('Emission Stepwise'!$H$2:$H$289,MATCH(E1477,'Emission Stepwise'!$C$2:$C$289,0))</f>
        <v>0.21568627450980393</v>
      </c>
      <c r="G1477" s="14">
        <f>INDEX(Background!$C$4:$C$7,MATCH(C1477,Background!$A$4:$A$7,0))</f>
        <v>0.18550136449513679</v>
      </c>
      <c r="H1477" s="17">
        <f t="shared" si="81"/>
        <v>0.15076268126681408</v>
      </c>
    </row>
    <row r="1478" spans="1:8">
      <c r="A1478" s="4" t="s">
        <v>772</v>
      </c>
      <c r="B1478" s="4">
        <v>37</v>
      </c>
      <c r="C1478" s="4" t="s">
        <v>73</v>
      </c>
      <c r="D1478" s="4" t="s">
        <v>781</v>
      </c>
      <c r="E1478" s="4" t="str">
        <f t="shared" si="80"/>
        <v>37|A</v>
      </c>
      <c r="F1478" s="14">
        <f>INDEX('Emission Stepwise'!$H$2:$H$289,MATCH(E1478,'Emission Stepwise'!$C$2:$C$289,0))</f>
        <v>0.74509803921568629</v>
      </c>
      <c r="G1478" s="14">
        <f>INDEX(Background!$C$4:$C$7,MATCH(C1478,Background!$A$4:$A$7,0))</f>
        <v>0.18550136449513679</v>
      </c>
      <c r="H1478" s="17">
        <f t="shared" si="81"/>
        <v>1.3904535681948293</v>
      </c>
    </row>
    <row r="1479" spans="1:8">
      <c r="A1479" s="4" t="s">
        <v>772</v>
      </c>
      <c r="B1479" s="4">
        <v>38</v>
      </c>
      <c r="C1479" s="4" t="s">
        <v>70</v>
      </c>
      <c r="D1479" s="4" t="s">
        <v>781</v>
      </c>
      <c r="E1479" s="4" t="str">
        <f t="shared" si="80"/>
        <v>38|G</v>
      </c>
      <c r="F1479" s="14">
        <f>INDEX('Emission Stepwise'!$H$2:$H$289,MATCH(E1479,'Emission Stepwise'!$C$2:$C$289,0))</f>
        <v>9.8039215686274508E-3</v>
      </c>
      <c r="G1479" s="14">
        <f>INDEX(Background!$C$4:$C$7,MATCH(C1479,Background!$A$4:$A$7,0))</f>
        <v>0.32488979077741237</v>
      </c>
      <c r="H1479" s="17">
        <f t="shared" si="81"/>
        <v>-3.5007035538223983</v>
      </c>
    </row>
    <row r="1480" spans="1:8">
      <c r="A1480" s="4" t="s">
        <v>772</v>
      </c>
      <c r="B1480" s="4">
        <v>39</v>
      </c>
      <c r="C1480" s="4" t="s">
        <v>70</v>
      </c>
      <c r="D1480" s="4" t="s">
        <v>781</v>
      </c>
      <c r="E1480" s="4" t="str">
        <f t="shared" si="80"/>
        <v>39|G</v>
      </c>
      <c r="F1480" s="14">
        <f>INDEX('Emission Stepwise'!$H$2:$H$289,MATCH(E1480,'Emission Stepwise'!$C$2:$C$289,0))</f>
        <v>0.35784313725490197</v>
      </c>
      <c r="G1480" s="14">
        <f>INDEX(Background!$C$4:$C$7,MATCH(C1480,Background!$A$4:$A$7,0))</f>
        <v>0.32488979077741237</v>
      </c>
      <c r="H1480" s="17">
        <f t="shared" si="81"/>
        <v>9.6608706766047728E-2</v>
      </c>
    </row>
    <row r="1481" spans="1:8">
      <c r="A1481" s="4" t="s">
        <v>772</v>
      </c>
      <c r="B1481" s="4">
        <v>40</v>
      </c>
      <c r="C1481" s="4" t="s">
        <v>70</v>
      </c>
      <c r="D1481" s="4" t="s">
        <v>781</v>
      </c>
      <c r="E1481" s="4" t="str">
        <f t="shared" si="80"/>
        <v>40|G</v>
      </c>
      <c r="F1481" s="14">
        <f>INDEX('Emission Stepwise'!$H$2:$H$289,MATCH(E1481,'Emission Stepwise'!$C$2:$C$289,0))</f>
        <v>0.24019607843137256</v>
      </c>
      <c r="G1481" s="14">
        <f>INDEX(Background!$C$4:$C$7,MATCH(C1481,Background!$A$4:$A$7,0))</f>
        <v>0.32488979077741237</v>
      </c>
      <c r="H1481" s="17">
        <f t="shared" si="81"/>
        <v>-0.30203043627171677</v>
      </c>
    </row>
    <row r="1482" spans="1:8">
      <c r="A1482" s="4" t="s">
        <v>772</v>
      </c>
      <c r="B1482" s="4">
        <v>41</v>
      </c>
      <c r="C1482" s="4" t="s">
        <v>72</v>
      </c>
      <c r="D1482" s="4" t="s">
        <v>781</v>
      </c>
      <c r="E1482" s="4" t="str">
        <f t="shared" si="80"/>
        <v>41|U</v>
      </c>
      <c r="F1482" s="14">
        <f>INDEX('Emission Stepwise'!$H$2:$H$289,MATCH(E1482,'Emission Stepwise'!$C$2:$C$289,0))</f>
        <v>0.16666666666666666</v>
      </c>
      <c r="G1482" s="14">
        <f>INDEX(Background!$C$4:$C$7,MATCH(C1482,Background!$A$4:$A$7,0))</f>
        <v>0.21314113777902177</v>
      </c>
      <c r="H1482" s="17">
        <f t="shared" si="81"/>
        <v>-0.24595875520136748</v>
      </c>
    </row>
    <row r="1483" spans="1:8">
      <c r="A1483" s="4" t="s">
        <v>772</v>
      </c>
      <c r="B1483" s="4">
        <v>42</v>
      </c>
      <c r="C1483" s="4" t="s">
        <v>72</v>
      </c>
      <c r="D1483" s="4" t="s">
        <v>781</v>
      </c>
      <c r="E1483" s="4" t="str">
        <f t="shared" si="80"/>
        <v>42|U</v>
      </c>
      <c r="F1483" s="14">
        <f>INDEX('Emission Stepwise'!$H$2:$H$289,MATCH(E1483,'Emission Stepwise'!$C$2:$C$289,0))</f>
        <v>0.13235294117647059</v>
      </c>
      <c r="G1483" s="14">
        <f>INDEX(Background!$C$4:$C$7,MATCH(C1483,Background!$A$4:$A$7,0))</f>
        <v>0.21314113777902177</v>
      </c>
      <c r="H1483" s="17">
        <f t="shared" si="81"/>
        <v>-0.47648241381319967</v>
      </c>
    </row>
    <row r="1484" spans="1:8">
      <c r="A1484" s="4" t="s">
        <v>772</v>
      </c>
      <c r="B1484" s="4">
        <v>43</v>
      </c>
      <c r="C1484" s="4" t="s">
        <v>73</v>
      </c>
      <c r="D1484" s="4" t="s">
        <v>781</v>
      </c>
      <c r="E1484" s="4" t="str">
        <f t="shared" si="80"/>
        <v>43|A</v>
      </c>
      <c r="F1484" s="14">
        <f>INDEX('Emission Stepwise'!$H$2:$H$289,MATCH(E1484,'Emission Stepwise'!$C$2:$C$289,0))</f>
        <v>0.22549019607843138</v>
      </c>
      <c r="G1484" s="14">
        <f>INDEX(Background!$C$4:$C$7,MATCH(C1484,Background!$A$4:$A$7,0))</f>
        <v>0.18550136449513679</v>
      </c>
      <c r="H1484" s="17">
        <f t="shared" si="81"/>
        <v>0.1952144438376478</v>
      </c>
    </row>
    <row r="1485" spans="1:8">
      <c r="A1485" s="4" t="s">
        <v>772</v>
      </c>
      <c r="B1485" s="4">
        <v>44</v>
      </c>
      <c r="C1485" s="4" t="s">
        <v>73</v>
      </c>
      <c r="D1485" s="4" t="s">
        <v>781</v>
      </c>
      <c r="E1485" s="4" t="str">
        <f t="shared" si="80"/>
        <v>44|A</v>
      </c>
      <c r="F1485" s="14">
        <f>INDEX('Emission Stepwise'!$H$2:$H$289,MATCH(E1485,'Emission Stepwise'!$C$2:$C$289,0))</f>
        <v>0.49509803921568629</v>
      </c>
      <c r="G1485" s="14">
        <f>INDEX(Background!$C$4:$C$7,MATCH(C1485,Background!$A$4:$A$7,0))</f>
        <v>0.18550136449513679</v>
      </c>
      <c r="H1485" s="17">
        <f t="shared" si="81"/>
        <v>0.98169356418981235</v>
      </c>
    </row>
    <row r="1486" spans="1:8">
      <c r="A1486" s="4" t="s">
        <v>772</v>
      </c>
      <c r="B1486" s="4">
        <v>45</v>
      </c>
      <c r="C1486" s="4" t="s">
        <v>70</v>
      </c>
      <c r="D1486" s="4" t="s">
        <v>782</v>
      </c>
      <c r="E1486" s="4" t="str">
        <f t="shared" si="80"/>
        <v>45|G</v>
      </c>
      <c r="F1486" s="14">
        <f>INDEX('Emission Stepwise'!$H$2:$H$289,MATCH(E1486,'Emission Stepwise'!$C$2:$C$289,0))</f>
        <v>0.74752475247524752</v>
      </c>
      <c r="G1486" s="14">
        <f>INDEX(Background!$C$4:$C$7,MATCH(C1486,Background!$A$4:$A$7,0))</f>
        <v>0.32488979077741237</v>
      </c>
      <c r="H1486" s="17">
        <f t="shared" si="81"/>
        <v>0.8332813988755926</v>
      </c>
    </row>
    <row r="1487" spans="1:8">
      <c r="A1487" s="4" t="s">
        <v>772</v>
      </c>
      <c r="B1487" s="4">
        <v>46</v>
      </c>
      <c r="C1487" s="4" t="s">
        <v>71</v>
      </c>
      <c r="D1487" s="4" t="s">
        <v>782</v>
      </c>
      <c r="E1487" s="4" t="str">
        <f t="shared" si="80"/>
        <v>46|C</v>
      </c>
      <c r="F1487" s="14">
        <f>INDEX('Emission Stepwise'!$H$2:$H$289,MATCH(E1487,'Emission Stepwise'!$C$2:$C$289,0))</f>
        <v>2.8901734104046242E-2</v>
      </c>
      <c r="G1487" s="14">
        <f>INDEX(Background!$C$4:$C$7,MATCH(C1487,Background!$A$4:$A$7,0))</f>
        <v>0.27646770694842909</v>
      </c>
      <c r="H1487" s="17">
        <f t="shared" si="81"/>
        <v>-2.2581924249932745</v>
      </c>
    </row>
    <row r="1488" spans="1:8">
      <c r="A1488" s="4" t="s">
        <v>772</v>
      </c>
      <c r="B1488" s="4">
        <v>47</v>
      </c>
      <c r="C1488" s="4" t="s">
        <v>73</v>
      </c>
      <c r="D1488" s="4" t="s">
        <v>782</v>
      </c>
      <c r="E1488" s="4" t="str">
        <f t="shared" si="80"/>
        <v>47|A</v>
      </c>
      <c r="F1488" s="14">
        <f>INDEX('Emission Stepwise'!$H$2:$H$289,MATCH(E1488,'Emission Stepwise'!$C$2:$C$289,0))</f>
        <v>0.13235294117647059</v>
      </c>
      <c r="G1488" s="14">
        <f>INDEX(Background!$C$4:$C$7,MATCH(C1488,Background!$A$4:$A$7,0))</f>
        <v>0.18550136449513679</v>
      </c>
      <c r="H1488" s="17">
        <f t="shared" si="81"/>
        <v>-0.33759008664711798</v>
      </c>
    </row>
    <row r="1489" spans="1:8">
      <c r="A1489" s="4" t="s">
        <v>772</v>
      </c>
      <c r="B1489" s="4">
        <v>48</v>
      </c>
      <c r="C1489" s="4" t="s">
        <v>72</v>
      </c>
      <c r="D1489" s="4" t="s">
        <v>782</v>
      </c>
      <c r="E1489" s="4" t="str">
        <f t="shared" si="80"/>
        <v>48|U</v>
      </c>
      <c r="F1489" s="14">
        <f>INDEX('Emission Stepwise'!$H$2:$H$289,MATCH(E1489,'Emission Stepwise'!$C$2:$C$289,0))</f>
        <v>0.14705882352941177</v>
      </c>
      <c r="G1489" s="14">
        <f>INDEX(Background!$C$4:$C$7,MATCH(C1489,Background!$A$4:$A$7,0))</f>
        <v>0.21314113777902177</v>
      </c>
      <c r="H1489" s="17">
        <f t="shared" si="81"/>
        <v>-0.37112189815537333</v>
      </c>
    </row>
    <row r="1490" spans="1:8">
      <c r="A1490" s="4" t="s">
        <v>772</v>
      </c>
      <c r="B1490" s="4">
        <v>49</v>
      </c>
      <c r="C1490" s="4" t="s">
        <v>71</v>
      </c>
      <c r="D1490" s="4" t="s">
        <v>783</v>
      </c>
      <c r="E1490" s="4" t="str">
        <f t="shared" si="80"/>
        <v>49|C</v>
      </c>
      <c r="F1490" s="14">
        <f>INDEX('Emission Stepwise'!$H$2:$H$289,MATCH(E1490,'Emission Stepwise'!$C$2:$C$289,0))</f>
        <v>0.28431372549019607</v>
      </c>
      <c r="G1490" s="14">
        <f>INDEX(Background!$C$4:$C$7,MATCH(C1490,Background!$A$4:$A$7,0))</f>
        <v>0.27646770694842909</v>
      </c>
      <c r="H1490" s="17">
        <f t="shared" si="81"/>
        <v>2.7984273772606979E-2</v>
      </c>
    </row>
    <row r="1491" spans="1:8">
      <c r="A1491" s="4" t="s">
        <v>772</v>
      </c>
      <c r="B1491" s="4">
        <v>50</v>
      </c>
      <c r="C1491" s="4" t="s">
        <v>72</v>
      </c>
      <c r="D1491" s="4" t="s">
        <v>783</v>
      </c>
      <c r="E1491" s="4" t="str">
        <f t="shared" si="80"/>
        <v>50|U</v>
      </c>
      <c r="F1491" s="14">
        <f>INDEX('Emission Stepwise'!$H$2:$H$289,MATCH(E1491,'Emission Stepwise'!$C$2:$C$289,0))</f>
        <v>0.18137254901960784</v>
      </c>
      <c r="G1491" s="14">
        <f>INDEX(Background!$C$4:$C$7,MATCH(C1491,Background!$A$4:$A$7,0))</f>
        <v>0.21314113777902177</v>
      </c>
      <c r="H1491" s="17">
        <f t="shared" si="81"/>
        <v>-0.16140136717330436</v>
      </c>
    </row>
    <row r="1492" spans="1:8">
      <c r="A1492" s="4" t="s">
        <v>772</v>
      </c>
      <c r="B1492" s="4">
        <v>51</v>
      </c>
      <c r="C1492" s="4" t="s">
        <v>72</v>
      </c>
      <c r="D1492" s="4" t="s">
        <v>783</v>
      </c>
      <c r="E1492" s="4" t="str">
        <f t="shared" si="80"/>
        <v>51|U</v>
      </c>
      <c r="F1492" s="14">
        <f>INDEX('Emission Stepwise'!$H$2:$H$289,MATCH(E1492,'Emission Stepwise'!$C$2:$C$289,0))</f>
        <v>0.15763546798029557</v>
      </c>
      <c r="G1492" s="14">
        <f>INDEX(Background!$C$4:$C$7,MATCH(C1492,Background!$A$4:$A$7,0))</f>
        <v>0.21314113777902177</v>
      </c>
      <c r="H1492" s="17">
        <f t="shared" si="81"/>
        <v>-0.30166936221537316</v>
      </c>
    </row>
    <row r="1493" spans="1:8">
      <c r="A1493" s="4" t="s">
        <v>772</v>
      </c>
      <c r="B1493" s="4">
        <v>52</v>
      </c>
      <c r="C1493" s="4" t="s">
        <v>72</v>
      </c>
      <c r="D1493" s="4" t="s">
        <v>783</v>
      </c>
      <c r="E1493" s="4" t="str">
        <f t="shared" si="80"/>
        <v>52|U</v>
      </c>
      <c r="F1493" s="14">
        <f>INDEX('Emission Stepwise'!$H$2:$H$289,MATCH(E1493,'Emission Stepwise'!$C$2:$C$289,0))</f>
        <v>2.4509803921568627E-2</v>
      </c>
      <c r="G1493" s="14">
        <f>INDEX(Background!$C$4:$C$7,MATCH(C1493,Background!$A$4:$A$7,0))</f>
        <v>0.21314113777902177</v>
      </c>
      <c r="H1493" s="17">
        <f t="shared" si="81"/>
        <v>-2.1628813673834282</v>
      </c>
    </row>
    <row r="1494" spans="1:8">
      <c r="A1494" s="4" t="s">
        <v>772</v>
      </c>
      <c r="B1494" s="4">
        <v>53</v>
      </c>
      <c r="C1494" s="4" t="s">
        <v>70</v>
      </c>
      <c r="D1494" s="4" t="s">
        <v>783</v>
      </c>
      <c r="E1494" s="4" t="str">
        <f t="shared" si="80"/>
        <v>53|G</v>
      </c>
      <c r="F1494" s="14">
        <f>INDEX('Emission Stepwise'!$H$2:$H$289,MATCH(E1494,'Emission Stepwise'!$C$2:$C$289,0))</f>
        <v>0.96568627450980393</v>
      </c>
      <c r="G1494" s="14">
        <f>INDEX(Background!$C$4:$C$7,MATCH(C1494,Background!$A$4:$A$7,0))</f>
        <v>0.32488979077741237</v>
      </c>
      <c r="H1494" s="17">
        <f t="shared" si="81"/>
        <v>1.089352994355645</v>
      </c>
    </row>
    <row r="1495" spans="1:8">
      <c r="A1495" s="4" t="s">
        <v>772</v>
      </c>
      <c r="B1495" s="4">
        <v>54</v>
      </c>
      <c r="C1495" s="4" t="s">
        <v>72</v>
      </c>
      <c r="D1495" s="4" t="s">
        <v>783</v>
      </c>
      <c r="E1495" s="4" t="str">
        <f t="shared" si="80"/>
        <v>54|U</v>
      </c>
      <c r="F1495" s="14">
        <f>INDEX('Emission Stepwise'!$H$2:$H$289,MATCH(E1495,'Emission Stepwise'!$C$2:$C$289,0))</f>
        <v>0.97549019607843135</v>
      </c>
      <c r="G1495" s="14">
        <f>INDEX(Background!$C$4:$C$7,MATCH(C1495,Background!$A$4:$A$7,0))</f>
        <v>0.21314113777902177</v>
      </c>
      <c r="H1495" s="17">
        <f t="shared" si="81"/>
        <v>1.5209855449069636</v>
      </c>
    </row>
    <row r="1496" spans="1:8">
      <c r="A1496" s="4" t="s">
        <v>772</v>
      </c>
      <c r="B1496" s="4">
        <v>55</v>
      </c>
      <c r="C1496" s="4" t="s">
        <v>71</v>
      </c>
      <c r="D1496" s="4" t="s">
        <v>783</v>
      </c>
      <c r="E1496" s="4" t="str">
        <f t="shared" si="80"/>
        <v>55|C</v>
      </c>
      <c r="F1496" s="14">
        <f>INDEX('Emission Stepwise'!$H$2:$H$289,MATCH(E1496,'Emission Stepwise'!$C$2:$C$289,0))</f>
        <v>9.8039215686274508E-3</v>
      </c>
      <c r="G1496" s="14">
        <f>INDEX(Background!$C$4:$C$7,MATCH(C1496,Background!$A$4:$A$7,0))</f>
        <v>0.27646770694842909</v>
      </c>
      <c r="H1496" s="17">
        <f t="shared" si="81"/>
        <v>-3.3393115562138669</v>
      </c>
    </row>
    <row r="1497" spans="1:8">
      <c r="A1497" s="4" t="s">
        <v>772</v>
      </c>
      <c r="B1497" s="4">
        <v>56</v>
      </c>
      <c r="C1497" s="4" t="s">
        <v>71</v>
      </c>
      <c r="D1497" s="4" t="s">
        <v>783</v>
      </c>
      <c r="E1497" s="4" t="str">
        <f t="shared" si="80"/>
        <v>56|C</v>
      </c>
      <c r="F1497" s="14">
        <f>INDEX('Emission Stepwise'!$H$2:$H$289,MATCH(E1497,'Emission Stepwise'!$C$2:$C$289,0))</f>
        <v>0.96568627450980393</v>
      </c>
      <c r="G1497" s="14">
        <f>INDEX(Background!$C$4:$C$7,MATCH(C1497,Background!$A$4:$A$7,0))</f>
        <v>0.27646770694842909</v>
      </c>
      <c r="H1497" s="17">
        <f t="shared" si="81"/>
        <v>1.250744991964176</v>
      </c>
    </row>
    <row r="1498" spans="1:8">
      <c r="A1498" s="4" t="s">
        <v>772</v>
      </c>
      <c r="B1498" s="4">
        <v>57</v>
      </c>
      <c r="C1498" s="4" t="s">
        <v>70</v>
      </c>
      <c r="D1498" s="4" t="s">
        <v>783</v>
      </c>
      <c r="E1498" s="4" t="str">
        <f t="shared" si="80"/>
        <v>57|G</v>
      </c>
      <c r="F1498" s="14">
        <f>INDEX('Emission Stepwise'!$H$2:$H$289,MATCH(E1498,'Emission Stepwise'!$C$2:$C$289,0))</f>
        <v>0.60098522167487689</v>
      </c>
      <c r="G1498" s="14">
        <f>INDEX(Background!$C$4:$C$7,MATCH(C1498,Background!$A$4:$A$7,0))</f>
        <v>0.32488979077741237</v>
      </c>
      <c r="H1498" s="17">
        <f t="shared" si="81"/>
        <v>0.61508432515334222</v>
      </c>
    </row>
    <row r="1499" spans="1:8">
      <c r="A1499" s="4" t="s">
        <v>772</v>
      </c>
      <c r="B1499" s="4">
        <v>58</v>
      </c>
      <c r="C1499" s="4" t="s">
        <v>73</v>
      </c>
      <c r="D1499" s="4" t="s">
        <v>783</v>
      </c>
      <c r="E1499" s="4" t="str">
        <f t="shared" si="80"/>
        <v>58|A</v>
      </c>
      <c r="F1499" s="14">
        <f>INDEX('Emission Stepwise'!$H$2:$H$289,MATCH(E1499,'Emission Stepwise'!$C$2:$C$289,0))</f>
        <v>0.97549019607843135</v>
      </c>
      <c r="G1499" s="14">
        <f>INDEX(Background!$C$4:$C$7,MATCH(C1499,Background!$A$4:$A$7,0))</f>
        <v>0.18550136449513679</v>
      </c>
      <c r="H1499" s="17">
        <f t="shared" si="81"/>
        <v>1.6598778720730452</v>
      </c>
    </row>
    <row r="1500" spans="1:8">
      <c r="A1500" s="4" t="s">
        <v>772</v>
      </c>
      <c r="B1500" s="4">
        <v>59</v>
      </c>
      <c r="C1500" s="4" t="s">
        <v>72</v>
      </c>
      <c r="D1500" s="4" t="s">
        <v>783</v>
      </c>
      <c r="E1500" s="4" t="str">
        <f t="shared" si="80"/>
        <v>59|U</v>
      </c>
      <c r="F1500" s="14">
        <f>INDEX('Emission Stepwise'!$H$2:$H$289,MATCH(E1500,'Emission Stepwise'!$C$2:$C$289,0))</f>
        <v>0.25</v>
      </c>
      <c r="G1500" s="14">
        <f>INDEX(Background!$C$4:$C$7,MATCH(C1500,Background!$A$4:$A$7,0))</f>
        <v>0.21314113777902177</v>
      </c>
      <c r="H1500" s="17">
        <f t="shared" si="81"/>
        <v>0.15950635290679691</v>
      </c>
    </row>
    <row r="1501" spans="1:8">
      <c r="A1501" s="4" t="s">
        <v>772</v>
      </c>
      <c r="B1501" s="4">
        <v>60</v>
      </c>
      <c r="C1501" s="4" t="s">
        <v>71</v>
      </c>
      <c r="D1501" s="4" t="s">
        <v>783</v>
      </c>
      <c r="E1501" s="4" t="str">
        <f t="shared" si="80"/>
        <v>60|C</v>
      </c>
      <c r="F1501" s="14">
        <f>INDEX('Emission Stepwise'!$H$2:$H$289,MATCH(E1501,'Emission Stepwise'!$C$2:$C$289,0))</f>
        <v>0.20098039215686275</v>
      </c>
      <c r="G1501" s="14">
        <f>INDEX(Background!$C$4:$C$7,MATCH(C1501,Background!$A$4:$A$7,0))</f>
        <v>0.27646770694842909</v>
      </c>
      <c r="H1501" s="17">
        <f t="shared" si="81"/>
        <v>-0.3188866700695045</v>
      </c>
    </row>
    <row r="1502" spans="1:8">
      <c r="A1502" s="4" t="s">
        <v>772</v>
      </c>
      <c r="B1502" s="4">
        <v>61</v>
      </c>
      <c r="C1502" s="4" t="s">
        <v>71</v>
      </c>
      <c r="D1502" s="4" t="s">
        <v>783</v>
      </c>
      <c r="E1502" s="4" t="str">
        <f t="shared" si="80"/>
        <v>61|C</v>
      </c>
      <c r="F1502" s="14">
        <f>INDEX('Emission Stepwise'!$H$2:$H$289,MATCH(E1502,'Emission Stepwise'!$C$2:$C$289,0))</f>
        <v>0.97549019607843135</v>
      </c>
      <c r="G1502" s="14">
        <f>INDEX(Background!$C$4:$C$7,MATCH(C1502,Background!$A$4:$A$7,0))</f>
        <v>0.27646770694842909</v>
      </c>
      <c r="H1502" s="17">
        <f t="shared" si="81"/>
        <v>1.26084608795068</v>
      </c>
    </row>
    <row r="1503" spans="1:8">
      <c r="A1503" s="4" t="s">
        <v>772</v>
      </c>
      <c r="B1503" s="4">
        <v>62</v>
      </c>
      <c r="C1503" s="4" t="s">
        <v>71</v>
      </c>
      <c r="D1503" s="4" t="s">
        <v>783</v>
      </c>
      <c r="E1503" s="4" t="str">
        <f t="shared" si="80"/>
        <v>62|C</v>
      </c>
      <c r="F1503" s="14">
        <f>INDEX('Emission Stepwise'!$H$2:$H$289,MATCH(E1503,'Emission Stepwise'!$C$2:$C$289,0))</f>
        <v>0.83333333333333337</v>
      </c>
      <c r="G1503" s="14">
        <f>INDEX(Background!$C$4:$C$7,MATCH(C1503,Background!$A$4:$A$7,0))</f>
        <v>0.27646770694842909</v>
      </c>
      <c r="H1503" s="17">
        <f t="shared" si="81"/>
        <v>1.1033397002764493</v>
      </c>
    </row>
    <row r="1504" spans="1:8">
      <c r="A1504" s="4" t="s">
        <v>772</v>
      </c>
      <c r="B1504" s="4">
        <v>63</v>
      </c>
      <c r="C1504" s="4" t="s">
        <v>73</v>
      </c>
      <c r="D1504" s="4" t="s">
        <v>783</v>
      </c>
      <c r="E1504" s="4" t="str">
        <f t="shared" si="80"/>
        <v>63|A</v>
      </c>
      <c r="F1504" s="14">
        <f>INDEX('Emission Stepwise'!$H$2:$H$289,MATCH(E1504,'Emission Stepwise'!$C$2:$C$289,0))</f>
        <v>0.11764705882352941</v>
      </c>
      <c r="G1504" s="14">
        <f>INDEX(Background!$C$4:$C$7,MATCH(C1504,Background!$A$4:$A$7,0))</f>
        <v>0.18550136449513679</v>
      </c>
      <c r="H1504" s="17">
        <f t="shared" si="81"/>
        <v>-0.45537312230350152</v>
      </c>
    </row>
    <row r="1505" spans="1:8">
      <c r="A1505" s="4" t="s">
        <v>772</v>
      </c>
      <c r="B1505" s="4">
        <v>64</v>
      </c>
      <c r="C1505" s="4" t="s">
        <v>70</v>
      </c>
      <c r="D1505" s="4" t="s">
        <v>783</v>
      </c>
      <c r="E1505" s="4" t="str">
        <f t="shared" si="80"/>
        <v>64|G</v>
      </c>
      <c r="F1505" s="14">
        <f>INDEX('Emission Stepwise'!$H$2:$H$289,MATCH(E1505,'Emission Stepwise'!$C$2:$C$289,0))</f>
        <v>0.45588235294117646</v>
      </c>
      <c r="G1505" s="14">
        <f>INDEX(Background!$C$4:$C$7,MATCH(C1505,Background!$A$4:$A$7,0))</f>
        <v>0.32488979077741237</v>
      </c>
      <c r="H1505" s="17">
        <f t="shared" si="81"/>
        <v>0.33874875877091259</v>
      </c>
    </row>
    <row r="1506" spans="1:8">
      <c r="A1506" s="4" t="s">
        <v>772</v>
      </c>
      <c r="B1506" s="4">
        <v>65</v>
      </c>
      <c r="C1506" s="4" t="s">
        <v>70</v>
      </c>
      <c r="D1506" s="4" t="s">
        <v>783</v>
      </c>
      <c r="E1506" s="4" t="str">
        <f t="shared" si="80"/>
        <v>65|G</v>
      </c>
      <c r="F1506" s="14">
        <f>INDEX('Emission Stepwise'!$H$2:$H$289,MATCH(E1506,'Emission Stepwise'!$C$2:$C$289,0))</f>
        <v>0.2857142857142857</v>
      </c>
      <c r="G1506" s="14">
        <f>INDEX(Background!$C$4:$C$7,MATCH(C1506,Background!$A$4:$A$7,0))</f>
        <v>0.32488979077741237</v>
      </c>
      <c r="H1506" s="17">
        <f t="shared" si="81"/>
        <v>-0.12849370903349497</v>
      </c>
    </row>
    <row r="1507" spans="1:8">
      <c r="A1507" s="4" t="s">
        <v>772</v>
      </c>
      <c r="B1507" s="4">
        <v>66</v>
      </c>
      <c r="C1507" s="4" t="s">
        <v>72</v>
      </c>
      <c r="D1507" s="4" t="s">
        <v>784</v>
      </c>
      <c r="E1507" s="4" t="str">
        <f t="shared" si="80"/>
        <v>66|U</v>
      </c>
      <c r="F1507" s="14">
        <f>INDEX('Emission Stepwise'!$H$2:$H$289,MATCH(E1507,'Emission Stepwise'!$C$2:$C$289,0))</f>
        <v>0.25</v>
      </c>
      <c r="G1507" s="14">
        <f>INDEX(Background!$C$4:$C$7,MATCH(C1507,Background!$A$4:$A$7,0))</f>
        <v>0.21314113777902177</v>
      </c>
      <c r="H1507" s="17">
        <f t="shared" si="81"/>
        <v>0.15950635290679691</v>
      </c>
    </row>
    <row r="1508" spans="1:8">
      <c r="A1508" s="4" t="s">
        <v>772</v>
      </c>
      <c r="B1508" s="4">
        <v>67</v>
      </c>
      <c r="C1508" s="4" t="s">
        <v>72</v>
      </c>
      <c r="D1508" s="4" t="s">
        <v>784</v>
      </c>
      <c r="E1508" s="4" t="str">
        <f t="shared" si="80"/>
        <v>67|U</v>
      </c>
      <c r="F1508" s="14">
        <f>INDEX('Emission Stepwise'!$H$2:$H$289,MATCH(E1508,'Emission Stepwise'!$C$2:$C$289,0))</f>
        <v>0.19117647058823528</v>
      </c>
      <c r="G1508" s="14">
        <f>INDEX(Background!$C$4:$C$7,MATCH(C1508,Background!$A$4:$A$7,0))</f>
        <v>0.21314113777902177</v>
      </c>
      <c r="H1508" s="17">
        <f t="shared" si="81"/>
        <v>-0.1087576336878824</v>
      </c>
    </row>
    <row r="1509" spans="1:8">
      <c r="A1509" s="4" t="s">
        <v>772</v>
      </c>
      <c r="B1509" s="4">
        <v>68</v>
      </c>
      <c r="C1509" s="4" t="s">
        <v>72</v>
      </c>
      <c r="D1509" s="4" t="s">
        <v>784</v>
      </c>
      <c r="E1509" s="4" t="str">
        <f t="shared" si="80"/>
        <v>68|U</v>
      </c>
      <c r="F1509" s="14">
        <f>INDEX('Emission Stepwise'!$H$2:$H$289,MATCH(E1509,'Emission Stepwise'!$C$2:$C$289,0))</f>
        <v>0.18137254901960784</v>
      </c>
      <c r="G1509" s="14">
        <f>INDEX(Background!$C$4:$C$7,MATCH(C1509,Background!$A$4:$A$7,0))</f>
        <v>0.21314113777902177</v>
      </c>
      <c r="H1509" s="17">
        <f t="shared" si="81"/>
        <v>-0.16140136717330436</v>
      </c>
    </row>
    <row r="1510" spans="1:8">
      <c r="A1510" s="4" t="s">
        <v>772</v>
      </c>
      <c r="B1510" s="4">
        <v>69</v>
      </c>
      <c r="C1510" s="4" t="s">
        <v>72</v>
      </c>
      <c r="D1510" s="4" t="s">
        <v>784</v>
      </c>
      <c r="E1510" s="4" t="str">
        <f t="shared" si="80"/>
        <v>69|U</v>
      </c>
      <c r="F1510" s="14">
        <f>INDEX('Emission Stepwise'!$H$2:$H$289,MATCH(E1510,'Emission Stepwise'!$C$2:$C$289,0))</f>
        <v>8.8235294117647065E-2</v>
      </c>
      <c r="G1510" s="14">
        <f>INDEX(Background!$C$4:$C$7,MATCH(C1510,Background!$A$4:$A$7,0))</f>
        <v>0.21314113777902177</v>
      </c>
      <c r="H1510" s="17">
        <f t="shared" si="81"/>
        <v>-0.88194752192136405</v>
      </c>
    </row>
    <row r="1511" spans="1:8">
      <c r="A1511" s="4" t="s">
        <v>772</v>
      </c>
      <c r="B1511" s="4">
        <v>70</v>
      </c>
      <c r="C1511" s="4" t="s">
        <v>70</v>
      </c>
      <c r="D1511" s="4" t="s">
        <v>784</v>
      </c>
      <c r="E1511" s="4" t="str">
        <f t="shared" si="80"/>
        <v>70|G</v>
      </c>
      <c r="F1511" s="14">
        <f>INDEX('Emission Stepwise'!$H$2:$H$289,MATCH(E1511,'Emission Stepwise'!$C$2:$C$289,0))</f>
        <v>0.37254901960784315</v>
      </c>
      <c r="G1511" s="14">
        <f>INDEX(Background!$C$4:$C$7,MATCH(C1511,Background!$A$4:$A$7,0))</f>
        <v>0.32488979077741237</v>
      </c>
      <c r="H1511" s="17">
        <f t="shared" si="81"/>
        <v>0.13688260590398765</v>
      </c>
    </row>
    <row r="1512" spans="1:8">
      <c r="A1512" s="4" t="s">
        <v>772</v>
      </c>
      <c r="B1512" s="4">
        <v>71</v>
      </c>
      <c r="C1512" s="4" t="s">
        <v>72</v>
      </c>
      <c r="D1512" s="4" t="s">
        <v>784</v>
      </c>
      <c r="E1512" s="4" t="str">
        <f t="shared" si="80"/>
        <v>71|U</v>
      </c>
      <c r="F1512" s="14">
        <f>INDEX('Emission Stepwise'!$H$2:$H$289,MATCH(E1512,'Emission Stepwise'!$C$2:$C$289,0))</f>
        <v>4.9019607843137254E-2</v>
      </c>
      <c r="G1512" s="14">
        <f>INDEX(Background!$C$4:$C$7,MATCH(C1512,Background!$A$4:$A$7,0))</f>
        <v>0.21314113777902177</v>
      </c>
      <c r="H1512" s="17">
        <f t="shared" si="81"/>
        <v>-1.469734186823483</v>
      </c>
    </row>
    <row r="1513" spans="1:8">
      <c r="A1513" s="4" t="s">
        <v>772</v>
      </c>
      <c r="B1513" s="4">
        <v>72</v>
      </c>
      <c r="C1513" s="4" t="s">
        <v>72</v>
      </c>
      <c r="D1513" s="4" t="s">
        <v>784</v>
      </c>
      <c r="E1513" s="4" t="str">
        <f t="shared" si="80"/>
        <v>72|U</v>
      </c>
      <c r="F1513" s="14">
        <f>INDEX('Emission Stepwise'!$H$2:$H$289,MATCH(E1513,'Emission Stepwise'!$C$2:$C$289,0))</f>
        <v>0.10784313725490197</v>
      </c>
      <c r="G1513" s="14">
        <f>INDEX(Background!$C$4:$C$7,MATCH(C1513,Background!$A$4:$A$7,0))</f>
        <v>0.21314113777902177</v>
      </c>
      <c r="H1513" s="17">
        <f t="shared" si="81"/>
        <v>-0.68127682645921295</v>
      </c>
    </row>
    <row r="1514" spans="1:8">
      <c r="A1514" s="4" t="s">
        <v>773</v>
      </c>
      <c r="B1514" s="4">
        <v>1</v>
      </c>
      <c r="C1514" s="4" t="s">
        <v>73</v>
      </c>
      <c r="D1514" s="4" t="s">
        <v>778</v>
      </c>
      <c r="E1514" s="4" t="str">
        <f t="shared" si="80"/>
        <v>1|A</v>
      </c>
      <c r="F1514" s="14">
        <f>INDEX('Emission Stepwise'!$H$2:$H$289,MATCH(E1514,'Emission Stepwise'!$C$2:$C$289,0))</f>
        <v>6.8627450980392163E-2</v>
      </c>
      <c r="G1514" s="14">
        <f>INDEX(Background!$C$4:$C$7,MATCH(C1514,Background!$A$4:$A$7,0))</f>
        <v>0.18550136449513679</v>
      </c>
      <c r="H1514" s="17">
        <f t="shared" si="81"/>
        <v>-0.99436962303618837</v>
      </c>
    </row>
    <row r="1515" spans="1:8">
      <c r="A1515" s="4" t="s">
        <v>773</v>
      </c>
      <c r="B1515" s="4">
        <v>2</v>
      </c>
      <c r="C1515" s="4" t="s">
        <v>73</v>
      </c>
      <c r="D1515" s="4" t="s">
        <v>778</v>
      </c>
      <c r="E1515" s="4" t="str">
        <f t="shared" si="80"/>
        <v>2|A</v>
      </c>
      <c r="F1515" s="14">
        <f>INDEX('Emission Stepwise'!$H$2:$H$289,MATCH(E1515,'Emission Stepwise'!$C$2:$C$289,0))</f>
        <v>3.4313725490196081E-2</v>
      </c>
      <c r="G1515" s="14">
        <f>INDEX(Background!$C$4:$C$7,MATCH(C1515,Background!$A$4:$A$7,0))</f>
        <v>0.18550136449513679</v>
      </c>
      <c r="H1515" s="17">
        <f t="shared" si="81"/>
        <v>-1.6875168035961337</v>
      </c>
    </row>
    <row r="1516" spans="1:8">
      <c r="A1516" s="4" t="s">
        <v>773</v>
      </c>
      <c r="B1516" s="4">
        <v>3</v>
      </c>
      <c r="C1516" s="4" t="s">
        <v>72</v>
      </c>
      <c r="D1516" s="4" t="s">
        <v>778</v>
      </c>
      <c r="E1516" s="4" t="str">
        <f t="shared" si="80"/>
        <v>3|U</v>
      </c>
      <c r="F1516" s="14">
        <f>INDEX('Emission Stepwise'!$H$2:$H$289,MATCH(E1516,'Emission Stepwise'!$C$2:$C$289,0))</f>
        <v>0.11764705882352941</v>
      </c>
      <c r="G1516" s="14">
        <f>INDEX(Background!$C$4:$C$7,MATCH(C1516,Background!$A$4:$A$7,0))</f>
        <v>0.21314113777902177</v>
      </c>
      <c r="H1516" s="17">
        <f t="shared" si="81"/>
        <v>-0.59426544946958315</v>
      </c>
    </row>
    <row r="1517" spans="1:8">
      <c r="A1517" s="4" t="s">
        <v>773</v>
      </c>
      <c r="B1517" s="4">
        <v>4</v>
      </c>
      <c r="C1517" s="4" t="s">
        <v>72</v>
      </c>
      <c r="D1517" s="4" t="s">
        <v>778</v>
      </c>
      <c r="E1517" s="4" t="str">
        <f t="shared" si="80"/>
        <v>4|U</v>
      </c>
      <c r="F1517" s="14">
        <f>INDEX('Emission Stepwise'!$H$2:$H$289,MATCH(E1517,'Emission Stepwise'!$C$2:$C$289,0))</f>
        <v>0.17156862745098039</v>
      </c>
      <c r="G1517" s="14">
        <f>INDEX(Background!$C$4:$C$7,MATCH(C1517,Background!$A$4:$A$7,0))</f>
        <v>0.21314113777902177</v>
      </c>
      <c r="H1517" s="17">
        <f t="shared" si="81"/>
        <v>-0.21697121832811511</v>
      </c>
    </row>
    <row r="1518" spans="1:8">
      <c r="A1518" s="4" t="s">
        <v>773</v>
      </c>
      <c r="B1518" s="4">
        <v>5</v>
      </c>
      <c r="C1518" s="4" t="s">
        <v>71</v>
      </c>
      <c r="D1518" s="4" t="s">
        <v>778</v>
      </c>
      <c r="E1518" s="4" t="str">
        <f t="shared" si="80"/>
        <v>5|C</v>
      </c>
      <c r="F1518" s="14">
        <f>INDEX('Emission Stepwise'!$H$2:$H$289,MATCH(E1518,'Emission Stepwise'!$C$2:$C$289,0))</f>
        <v>0.39215686274509803</v>
      </c>
      <c r="G1518" s="14">
        <f>INDEX(Background!$C$4:$C$7,MATCH(C1518,Background!$A$4:$A$7,0))</f>
        <v>0.27646770694842909</v>
      </c>
      <c r="H1518" s="17">
        <f t="shared" si="81"/>
        <v>0.3495678979000692</v>
      </c>
    </row>
    <row r="1519" spans="1:8">
      <c r="A1519" s="4" t="s">
        <v>773</v>
      </c>
      <c r="B1519" s="4">
        <v>6</v>
      </c>
      <c r="C1519" s="4" t="s">
        <v>73</v>
      </c>
      <c r="D1519" s="4" t="s">
        <v>778</v>
      </c>
      <c r="E1519" s="4" t="str">
        <f t="shared" si="80"/>
        <v>6|A</v>
      </c>
      <c r="F1519" s="14">
        <f>INDEX('Emission Stepwise'!$H$2:$H$289,MATCH(E1519,'Emission Stepwise'!$C$2:$C$289,0))</f>
        <v>0.17156862745098039</v>
      </c>
      <c r="G1519" s="14">
        <f>INDEX(Background!$C$4:$C$7,MATCH(C1519,Background!$A$4:$A$7,0))</f>
        <v>0.18550136449513679</v>
      </c>
      <c r="H1519" s="17">
        <f t="shared" si="81"/>
        <v>-7.8078891162033495E-2</v>
      </c>
    </row>
    <row r="1520" spans="1:8">
      <c r="A1520" s="4" t="s">
        <v>773</v>
      </c>
      <c r="B1520" s="4">
        <v>7</v>
      </c>
      <c r="C1520" s="4" t="s">
        <v>72</v>
      </c>
      <c r="D1520" s="4" t="s">
        <v>778</v>
      </c>
      <c r="E1520" s="4" t="str">
        <f t="shared" si="80"/>
        <v>7|U</v>
      </c>
      <c r="F1520" s="14">
        <f>INDEX('Emission Stepwise'!$H$2:$H$289,MATCH(E1520,'Emission Stepwise'!$C$2:$C$289,0))</f>
        <v>0.22058823529411764</v>
      </c>
      <c r="G1520" s="14">
        <f>INDEX(Background!$C$4:$C$7,MATCH(C1520,Background!$A$4:$A$7,0))</f>
        <v>0.21314113777902177</v>
      </c>
      <c r="H1520" s="17">
        <f t="shared" si="81"/>
        <v>3.4343209952791019E-2</v>
      </c>
    </row>
    <row r="1521" spans="1:8">
      <c r="A1521" s="4" t="s">
        <v>773</v>
      </c>
      <c r="B1521" s="4">
        <v>8</v>
      </c>
      <c r="C1521" s="4" t="s">
        <v>72</v>
      </c>
      <c r="D1521" s="4" t="s">
        <v>779</v>
      </c>
      <c r="E1521" s="4" t="str">
        <f t="shared" si="80"/>
        <v>8|U</v>
      </c>
      <c r="F1521" s="14">
        <f>INDEX('Emission Stepwise'!$H$2:$H$289,MATCH(E1521,'Emission Stepwise'!$C$2:$C$289,0))</f>
        <v>0.97549019607843135</v>
      </c>
      <c r="G1521" s="14">
        <f>INDEX(Background!$C$4:$C$7,MATCH(C1521,Background!$A$4:$A$7,0))</f>
        <v>0.21314113777902177</v>
      </c>
      <c r="H1521" s="17">
        <f t="shared" si="81"/>
        <v>1.5209855449069636</v>
      </c>
    </row>
    <row r="1522" spans="1:8">
      <c r="A1522" s="4" t="s">
        <v>773</v>
      </c>
      <c r="B1522" s="4">
        <v>9</v>
      </c>
      <c r="C1522" s="4" t="s">
        <v>72</v>
      </c>
      <c r="D1522" s="4" t="s">
        <v>780</v>
      </c>
      <c r="E1522" s="4" t="str">
        <f t="shared" si="80"/>
        <v>9|U</v>
      </c>
      <c r="F1522" s="14">
        <f>INDEX('Emission Stepwise'!$H$2:$H$289,MATCH(E1522,'Emission Stepwise'!$C$2:$C$289,0))</f>
        <v>4.9261083743842365E-3</v>
      </c>
      <c r="G1522" s="14">
        <f>INDEX(Background!$C$4:$C$7,MATCH(C1522,Background!$A$4:$A$7,0))</f>
        <v>0.21314113777902177</v>
      </c>
      <c r="H1522" s="17">
        <f t="shared" si="81"/>
        <v>-3.7674052650150998</v>
      </c>
    </row>
    <row r="1523" spans="1:8">
      <c r="A1523" s="4" t="s">
        <v>773</v>
      </c>
      <c r="B1523" s="4">
        <v>10</v>
      </c>
      <c r="C1523" s="4" t="s">
        <v>73</v>
      </c>
      <c r="D1523" s="4" t="s">
        <v>780</v>
      </c>
      <c r="E1523" s="4" t="str">
        <f t="shared" si="80"/>
        <v>10|A</v>
      </c>
      <c r="F1523" s="14">
        <f>INDEX('Emission Stepwise'!$H$2:$H$289,MATCH(E1523,'Emission Stepwise'!$C$2:$C$289,0))</f>
        <v>4.9019607843137254E-3</v>
      </c>
      <c r="G1523" s="14">
        <f>INDEX(Background!$C$4:$C$7,MATCH(C1523,Background!$A$4:$A$7,0))</f>
        <v>0.18550136449513679</v>
      </c>
      <c r="H1523" s="17">
        <f t="shared" si="81"/>
        <v>-3.6334269526514471</v>
      </c>
    </row>
    <row r="1524" spans="1:8">
      <c r="A1524" s="4" t="s">
        <v>773</v>
      </c>
      <c r="B1524" s="4">
        <v>11</v>
      </c>
      <c r="C1524" s="4" t="s">
        <v>73</v>
      </c>
      <c r="D1524" s="4" t="s">
        <v>780</v>
      </c>
      <c r="E1524" s="4" t="str">
        <f t="shared" si="80"/>
        <v>11|A</v>
      </c>
      <c r="F1524" s="14">
        <f>INDEX('Emission Stepwise'!$H$2:$H$289,MATCH(E1524,'Emission Stepwise'!$C$2:$C$289,0))</f>
        <v>3.9215686274509803E-2</v>
      </c>
      <c r="G1524" s="14">
        <f>INDEX(Background!$C$4:$C$7,MATCH(C1524,Background!$A$4:$A$7,0))</f>
        <v>0.18550136449513679</v>
      </c>
      <c r="H1524" s="17">
        <f t="shared" si="81"/>
        <v>-1.5539854109716114</v>
      </c>
    </row>
    <row r="1525" spans="1:8">
      <c r="A1525" s="4" t="s">
        <v>773</v>
      </c>
      <c r="B1525" s="4">
        <v>12</v>
      </c>
      <c r="C1525" s="4" t="s">
        <v>72</v>
      </c>
      <c r="D1525" s="4" t="s">
        <v>780</v>
      </c>
      <c r="E1525" s="4" t="str">
        <f t="shared" si="80"/>
        <v>12|U</v>
      </c>
      <c r="F1525" s="14">
        <f>INDEX('Emission Stepwise'!$H$2:$H$289,MATCH(E1525,'Emission Stepwise'!$C$2:$C$289,0))</f>
        <v>0.59313725490196079</v>
      </c>
      <c r="G1525" s="14">
        <f>INDEX(Background!$C$4:$C$7,MATCH(C1525,Background!$A$4:$A$7,0))</f>
        <v>0.21314113777902177</v>
      </c>
      <c r="H1525" s="17">
        <f t="shared" si="81"/>
        <v>1.0234712657792122</v>
      </c>
    </row>
    <row r="1526" spans="1:8">
      <c r="A1526" s="4" t="s">
        <v>773</v>
      </c>
      <c r="B1526" s="4">
        <v>13</v>
      </c>
      <c r="C1526" s="4" t="s">
        <v>73</v>
      </c>
      <c r="D1526" s="4" t="s">
        <v>780</v>
      </c>
      <c r="E1526" s="4" t="str">
        <f t="shared" si="80"/>
        <v>13|A</v>
      </c>
      <c r="F1526" s="14">
        <f>INDEX('Emission Stepwise'!$H$2:$H$289,MATCH(E1526,'Emission Stepwise'!$C$2:$C$289,0))</f>
        <v>6.8627450980392163E-2</v>
      </c>
      <c r="G1526" s="14">
        <f>INDEX(Background!$C$4:$C$7,MATCH(C1526,Background!$A$4:$A$7,0))</f>
        <v>0.18550136449513679</v>
      </c>
      <c r="H1526" s="17">
        <f t="shared" si="81"/>
        <v>-0.99436962303618837</v>
      </c>
    </row>
    <row r="1527" spans="1:8">
      <c r="A1527" s="4" t="s">
        <v>773</v>
      </c>
      <c r="B1527" s="4">
        <v>14</v>
      </c>
      <c r="C1527" s="4" t="s">
        <v>73</v>
      </c>
      <c r="D1527" s="4" t="s">
        <v>780</v>
      </c>
      <c r="E1527" s="4" t="str">
        <f t="shared" si="80"/>
        <v>14|A</v>
      </c>
      <c r="F1527" s="14">
        <f>INDEX('Emission Stepwise'!$H$2:$H$289,MATCH(E1527,'Emission Stepwise'!$C$2:$C$289,0))</f>
        <v>0.97549019607843135</v>
      </c>
      <c r="G1527" s="14">
        <f>INDEX(Background!$C$4:$C$7,MATCH(C1527,Background!$A$4:$A$7,0))</f>
        <v>0.18550136449513679</v>
      </c>
      <c r="H1527" s="17">
        <f t="shared" si="81"/>
        <v>1.6598778720730452</v>
      </c>
    </row>
    <row r="1528" spans="1:8">
      <c r="A1528" s="4" t="s">
        <v>773</v>
      </c>
      <c r="B1528" s="4">
        <v>15</v>
      </c>
      <c r="C1528" s="4" t="s">
        <v>72</v>
      </c>
      <c r="D1528" s="4" t="s">
        <v>780</v>
      </c>
      <c r="E1528" s="4" t="str">
        <f t="shared" si="80"/>
        <v>15|U</v>
      </c>
      <c r="F1528" s="14">
        <f>INDEX('Emission Stepwise'!$H$2:$H$289,MATCH(E1528,'Emission Stepwise'!$C$2:$C$289,0))</f>
        <v>1.4778325123152709E-2</v>
      </c>
      <c r="G1528" s="14">
        <f>INDEX(Background!$C$4:$C$7,MATCH(C1528,Background!$A$4:$A$7,0))</f>
        <v>0.21314113777902177</v>
      </c>
      <c r="H1528" s="17">
        <f t="shared" si="81"/>
        <v>-2.6687929763469902</v>
      </c>
    </row>
    <row r="1529" spans="1:8">
      <c r="A1529" s="4" t="s">
        <v>773</v>
      </c>
      <c r="B1529" s="4">
        <v>16</v>
      </c>
      <c r="C1529" s="4" t="s">
        <v>73</v>
      </c>
      <c r="D1529" s="4" t="s">
        <v>780</v>
      </c>
      <c r="E1529" s="4" t="str">
        <f t="shared" si="80"/>
        <v>16|A</v>
      </c>
      <c r="F1529" s="14">
        <f>INDEX('Emission Stepwise'!$H$2:$H$289,MATCH(E1529,'Emission Stepwise'!$C$2:$C$289,0))</f>
        <v>2.9197080291970802E-2</v>
      </c>
      <c r="G1529" s="14">
        <f>INDEX(Background!$C$4:$C$7,MATCH(C1529,Background!$A$4:$A$7,0))</f>
        <v>0.18550136449513679</v>
      </c>
      <c r="H1529" s="17">
        <f t="shared" si="81"/>
        <v>-1.8489935235154651</v>
      </c>
    </row>
    <row r="1530" spans="1:8">
      <c r="A1530" s="4" t="s">
        <v>773</v>
      </c>
      <c r="B1530" s="4">
        <v>17</v>
      </c>
      <c r="C1530" s="4" t="s">
        <v>73</v>
      </c>
      <c r="D1530" s="4" t="s">
        <v>780</v>
      </c>
      <c r="E1530" s="4" t="str">
        <f t="shared" si="80"/>
        <v>17|A</v>
      </c>
      <c r="F1530" s="14">
        <f>INDEX('Emission Stepwise'!$H$2:$H$289,MATCH(E1530,'Emission Stepwise'!$C$2:$C$289,0))</f>
        <v>6.4676616915422883E-2</v>
      </c>
      <c r="G1530" s="14">
        <f>INDEX(Background!$C$4:$C$7,MATCH(C1530,Background!$A$4:$A$7,0))</f>
        <v>0.18550136449513679</v>
      </c>
      <c r="H1530" s="17">
        <f t="shared" si="81"/>
        <v>-1.0536625094047698</v>
      </c>
    </row>
    <row r="1531" spans="1:8">
      <c r="A1531" s="4" t="s">
        <v>773</v>
      </c>
      <c r="B1531" s="4">
        <v>18</v>
      </c>
      <c r="C1531" s="4" t="s">
        <v>70</v>
      </c>
      <c r="D1531" s="4" t="s">
        <v>780</v>
      </c>
      <c r="E1531" s="4" t="str">
        <f t="shared" si="80"/>
        <v>18|G</v>
      </c>
      <c r="F1531" s="14">
        <f>INDEX('Emission Stepwise'!$H$2:$H$289,MATCH(E1531,'Emission Stepwise'!$C$2:$C$289,0))</f>
        <v>0.98039215686274506</v>
      </c>
      <c r="G1531" s="14">
        <f>INDEX(Background!$C$4:$C$7,MATCH(C1531,Background!$A$4:$A$7,0))</f>
        <v>0.32488979077741237</v>
      </c>
      <c r="H1531" s="17">
        <f t="shared" si="81"/>
        <v>1.1044666321656933</v>
      </c>
    </row>
    <row r="1532" spans="1:8">
      <c r="A1532" s="4" t="s">
        <v>773</v>
      </c>
      <c r="B1532" s="4">
        <v>19</v>
      </c>
      <c r="C1532" s="4" t="s">
        <v>70</v>
      </c>
      <c r="D1532" s="4" t="s">
        <v>780</v>
      </c>
      <c r="E1532" s="4" t="str">
        <f t="shared" si="80"/>
        <v>19|G</v>
      </c>
      <c r="F1532" s="14">
        <f>INDEX('Emission Stepwise'!$H$2:$H$289,MATCH(E1532,'Emission Stepwise'!$C$2:$C$289,0))</f>
        <v>0.97058823529411764</v>
      </c>
      <c r="G1532" s="14">
        <f>INDEX(Background!$C$4:$C$7,MATCH(C1532,Background!$A$4:$A$7,0))</f>
        <v>0.32488979077741237</v>
      </c>
      <c r="H1532" s="17">
        <f t="shared" si="81"/>
        <v>1.0944162963121917</v>
      </c>
    </row>
    <row r="1533" spans="1:8">
      <c r="A1533" s="4" t="s">
        <v>773</v>
      </c>
      <c r="B1533" s="4">
        <v>20</v>
      </c>
      <c r="C1533" s="4" t="s">
        <v>73</v>
      </c>
      <c r="D1533" s="4" t="s">
        <v>780</v>
      </c>
      <c r="E1533" s="4" t="str">
        <f t="shared" si="80"/>
        <v>20|A</v>
      </c>
      <c r="F1533" s="14">
        <f>INDEX('Emission Stepwise'!$H$2:$H$289,MATCH(E1533,'Emission Stepwise'!$C$2:$C$289,0))</f>
        <v>8.8669950738916259E-2</v>
      </c>
      <c r="G1533" s="14">
        <f>INDEX(Background!$C$4:$C$7,MATCH(C1533,Background!$A$4:$A$7,0))</f>
        <v>0.18550136449513679</v>
      </c>
      <c r="H1533" s="17">
        <f t="shared" si="81"/>
        <v>-0.73814117995285333</v>
      </c>
    </row>
    <row r="1534" spans="1:8">
      <c r="A1534" s="4" t="s">
        <v>773</v>
      </c>
      <c r="B1534" s="4">
        <v>21</v>
      </c>
      <c r="C1534" s="4" t="s">
        <v>72</v>
      </c>
      <c r="D1534" s="4" t="s">
        <v>780</v>
      </c>
      <c r="E1534" s="4" t="str">
        <f t="shared" si="80"/>
        <v>21|U</v>
      </c>
      <c r="F1534" s="14">
        <f>INDEX('Emission Stepwise'!$H$2:$H$289,MATCH(E1534,'Emission Stepwise'!$C$2:$C$289,0))</f>
        <v>5.3921568627450983E-2</v>
      </c>
      <c r="G1534" s="14">
        <f>INDEX(Background!$C$4:$C$7,MATCH(C1534,Background!$A$4:$A$7,0))</f>
        <v>0.21314113777902177</v>
      </c>
      <c r="H1534" s="17">
        <f t="shared" si="81"/>
        <v>-1.3744240070191582</v>
      </c>
    </row>
    <row r="1535" spans="1:8">
      <c r="A1535" s="4" t="s">
        <v>773</v>
      </c>
      <c r="B1535" s="4">
        <v>22</v>
      </c>
      <c r="C1535" s="4" t="s">
        <v>72</v>
      </c>
      <c r="D1535" s="4" t="s">
        <v>780</v>
      </c>
      <c r="E1535" s="4" t="str">
        <f t="shared" si="80"/>
        <v>22|U</v>
      </c>
      <c r="F1535" s="14">
        <f>INDEX('Emission Stepwise'!$H$2:$H$289,MATCH(E1535,'Emission Stepwise'!$C$2:$C$289,0))</f>
        <v>7.3529411764705885E-2</v>
      </c>
      <c r="G1535" s="14">
        <f>INDEX(Background!$C$4:$C$7,MATCH(C1535,Background!$A$4:$A$7,0))</f>
        <v>0.21314113777902177</v>
      </c>
      <c r="H1535" s="17">
        <f t="shared" si="81"/>
        <v>-1.0642690787153186</v>
      </c>
    </row>
    <row r="1536" spans="1:8">
      <c r="A1536" s="4" t="s">
        <v>773</v>
      </c>
      <c r="B1536" s="4">
        <v>23</v>
      </c>
      <c r="C1536" s="4" t="s">
        <v>73</v>
      </c>
      <c r="D1536" s="4" t="s">
        <v>780</v>
      </c>
      <c r="E1536" s="4" t="str">
        <f t="shared" ref="E1536:E1585" si="82">B1536&amp;"|"&amp;C1536</f>
        <v>23|A</v>
      </c>
      <c r="F1536" s="14">
        <f>INDEX('Emission Stepwise'!$H$2:$H$289,MATCH(E1536,'Emission Stepwise'!$C$2:$C$289,0))</f>
        <v>0.59803921568627449</v>
      </c>
      <c r="G1536" s="14">
        <f>INDEX(Background!$C$4:$C$7,MATCH(C1536,Background!$A$4:$A$7,0))</f>
        <v>0.18550136449513679</v>
      </c>
      <c r="H1536" s="17">
        <f t="shared" ref="H1536:H1599" si="83">LN(F1536/G1536)</f>
        <v>1.1705940920818094</v>
      </c>
    </row>
    <row r="1537" spans="1:8">
      <c r="A1537" s="4" t="s">
        <v>773</v>
      </c>
      <c r="B1537" s="4">
        <v>24</v>
      </c>
      <c r="C1537" s="4" t="s">
        <v>72</v>
      </c>
      <c r="D1537" s="4" t="s">
        <v>780</v>
      </c>
      <c r="E1537" s="4" t="str">
        <f t="shared" si="82"/>
        <v>24|U</v>
      </c>
      <c r="F1537" s="14">
        <f>INDEX('Emission Stepwise'!$H$2:$H$289,MATCH(E1537,'Emission Stepwise'!$C$2:$C$289,0))</f>
        <v>3.9215686274509803E-2</v>
      </c>
      <c r="G1537" s="14">
        <f>INDEX(Background!$C$4:$C$7,MATCH(C1537,Background!$A$4:$A$7,0))</f>
        <v>0.21314113777902177</v>
      </c>
      <c r="H1537" s="17">
        <f t="shared" si="83"/>
        <v>-1.6928777381376929</v>
      </c>
    </row>
    <row r="1538" spans="1:8">
      <c r="A1538" s="4" t="s">
        <v>773</v>
      </c>
      <c r="B1538" s="4">
        <v>25</v>
      </c>
      <c r="C1538" s="4" t="s">
        <v>72</v>
      </c>
      <c r="D1538" s="4" t="s">
        <v>780</v>
      </c>
      <c r="E1538" s="4" t="str">
        <f t="shared" si="82"/>
        <v>25|U</v>
      </c>
      <c r="F1538" s="14">
        <f>INDEX('Emission Stepwise'!$H$2:$H$289,MATCH(E1538,'Emission Stepwise'!$C$2:$C$289,0))</f>
        <v>7.3529411764705885E-2</v>
      </c>
      <c r="G1538" s="14">
        <f>INDEX(Background!$C$4:$C$7,MATCH(C1538,Background!$A$4:$A$7,0))</f>
        <v>0.21314113777902177</v>
      </c>
      <c r="H1538" s="17">
        <f t="shared" si="83"/>
        <v>-1.0642690787153186</v>
      </c>
    </row>
    <row r="1539" spans="1:8">
      <c r="A1539" s="4" t="s">
        <v>773</v>
      </c>
      <c r="B1539" s="4">
        <v>26</v>
      </c>
      <c r="C1539" s="4" t="s">
        <v>72</v>
      </c>
      <c r="D1539" s="4" t="s">
        <v>781</v>
      </c>
      <c r="E1539" s="4" t="str">
        <f t="shared" si="82"/>
        <v>26|U</v>
      </c>
      <c r="F1539" s="14">
        <f>INDEX('Emission Stepwise'!$H$2:$H$289,MATCH(E1539,'Emission Stepwise'!$C$2:$C$289,0))</f>
        <v>5.8823529411764705E-2</v>
      </c>
      <c r="G1539" s="14">
        <f>INDEX(Background!$C$4:$C$7,MATCH(C1539,Background!$A$4:$A$7,0))</f>
        <v>0.21314113777902177</v>
      </c>
      <c r="H1539" s="17">
        <f t="shared" si="83"/>
        <v>-1.2874126300295285</v>
      </c>
    </row>
    <row r="1540" spans="1:8">
      <c r="A1540" s="4" t="s">
        <v>773</v>
      </c>
      <c r="B1540" s="4">
        <v>27</v>
      </c>
      <c r="C1540" s="4" t="s">
        <v>70</v>
      </c>
      <c r="D1540" s="4" t="s">
        <v>781</v>
      </c>
      <c r="E1540" s="4" t="str">
        <f t="shared" si="82"/>
        <v>27|G</v>
      </c>
      <c r="F1540" s="14">
        <f>INDEX('Emission Stepwise'!$H$2:$H$289,MATCH(E1540,'Emission Stepwise'!$C$2:$C$289,0))</f>
        <v>0.15686274509803921</v>
      </c>
      <c r="G1540" s="14">
        <f>INDEX(Background!$C$4:$C$7,MATCH(C1540,Background!$A$4:$A$7,0))</f>
        <v>0.32488979077741237</v>
      </c>
      <c r="H1540" s="17">
        <f t="shared" si="83"/>
        <v>-0.72811483158261692</v>
      </c>
    </row>
    <row r="1541" spans="1:8">
      <c r="A1541" s="4" t="s">
        <v>773</v>
      </c>
      <c r="B1541" s="4">
        <v>28</v>
      </c>
      <c r="C1541" s="4" t="s">
        <v>70</v>
      </c>
      <c r="D1541" s="4" t="s">
        <v>781</v>
      </c>
      <c r="E1541" s="4" t="str">
        <f t="shared" si="82"/>
        <v>28|G</v>
      </c>
      <c r="F1541" s="14">
        <f>INDEX('Emission Stepwise'!$H$2:$H$289,MATCH(E1541,'Emission Stepwise'!$C$2:$C$289,0))</f>
        <v>0.11274509803921569</v>
      </c>
      <c r="G1541" s="14">
        <f>INDEX(Background!$C$4:$C$7,MATCH(C1541,Background!$A$4:$A$7,0))</f>
        <v>0.32488979077741237</v>
      </c>
      <c r="H1541" s="17">
        <f t="shared" si="83"/>
        <v>-1.0583565184531936</v>
      </c>
    </row>
    <row r="1542" spans="1:8">
      <c r="A1542" s="4" t="s">
        <v>773</v>
      </c>
      <c r="B1542" s="4">
        <v>29</v>
      </c>
      <c r="C1542" s="4" t="s">
        <v>73</v>
      </c>
      <c r="D1542" s="4" t="s">
        <v>781</v>
      </c>
      <c r="E1542" s="4" t="str">
        <f t="shared" si="82"/>
        <v>29|A</v>
      </c>
      <c r="F1542" s="14">
        <f>INDEX('Emission Stepwise'!$H$2:$H$289,MATCH(E1542,'Emission Stepwise'!$C$2:$C$289,0))</f>
        <v>0.16176470588235295</v>
      </c>
      <c r="G1542" s="14">
        <f>INDEX(Background!$C$4:$C$7,MATCH(C1542,Background!$A$4:$A$7,0))</f>
        <v>0.18550136449513679</v>
      </c>
      <c r="H1542" s="17">
        <f t="shared" si="83"/>
        <v>-0.13691939118496679</v>
      </c>
    </row>
    <row r="1543" spans="1:8">
      <c r="A1543" s="4" t="s">
        <v>773</v>
      </c>
      <c r="B1543" s="4">
        <v>30</v>
      </c>
      <c r="C1543" s="4" t="s">
        <v>70</v>
      </c>
      <c r="D1543" s="4" t="s">
        <v>781</v>
      </c>
      <c r="E1543" s="4" t="str">
        <f t="shared" si="82"/>
        <v>30|G</v>
      </c>
      <c r="F1543" s="14">
        <f>INDEX('Emission Stepwise'!$H$2:$H$289,MATCH(E1543,'Emission Stepwise'!$C$2:$C$289,0))</f>
        <v>0.74019607843137258</v>
      </c>
      <c r="G1543" s="14">
        <f>INDEX(Background!$C$4:$C$7,MATCH(C1543,Background!$A$4:$A$7,0))</f>
        <v>0.32488979077741237</v>
      </c>
      <c r="H1543" s="17">
        <f t="shared" si="83"/>
        <v>0.82342910243258094</v>
      </c>
    </row>
    <row r="1544" spans="1:8">
      <c r="A1544" s="4" t="s">
        <v>773</v>
      </c>
      <c r="B1544" s="4">
        <v>31</v>
      </c>
      <c r="C1544" s="4" t="s">
        <v>72</v>
      </c>
      <c r="D1544" s="4" t="s">
        <v>781</v>
      </c>
      <c r="E1544" s="4" t="str">
        <f t="shared" si="82"/>
        <v>31|U</v>
      </c>
      <c r="F1544" s="14">
        <f>INDEX('Emission Stepwise'!$H$2:$H$289,MATCH(E1544,'Emission Stepwise'!$C$2:$C$289,0))</f>
        <v>9.8039215686274508E-2</v>
      </c>
      <c r="G1544" s="14">
        <f>INDEX(Background!$C$4:$C$7,MATCH(C1544,Background!$A$4:$A$7,0))</f>
        <v>0.21314113777902177</v>
      </c>
      <c r="H1544" s="17">
        <f t="shared" si="83"/>
        <v>-0.77658700626353783</v>
      </c>
    </row>
    <row r="1545" spans="1:8">
      <c r="A1545" s="4" t="s">
        <v>773</v>
      </c>
      <c r="B1545" s="4">
        <v>32</v>
      </c>
      <c r="C1545" s="4" t="s">
        <v>73</v>
      </c>
      <c r="D1545" s="4" t="s">
        <v>781</v>
      </c>
      <c r="E1545" s="4" t="str">
        <f t="shared" si="82"/>
        <v>32|A</v>
      </c>
      <c r="F1545" s="14">
        <f>INDEX('Emission Stepwise'!$H$2:$H$289,MATCH(E1545,'Emission Stepwise'!$C$2:$C$289,0))</f>
        <v>3.4313725490196081E-2</v>
      </c>
      <c r="G1545" s="14">
        <f>INDEX(Background!$C$4:$C$7,MATCH(C1545,Background!$A$4:$A$7,0))</f>
        <v>0.18550136449513679</v>
      </c>
      <c r="H1545" s="17">
        <f t="shared" si="83"/>
        <v>-1.6875168035961337</v>
      </c>
    </row>
    <row r="1546" spans="1:8">
      <c r="A1546" s="4" t="s">
        <v>773</v>
      </c>
      <c r="B1546" s="4">
        <v>33</v>
      </c>
      <c r="C1546" s="4" t="s">
        <v>72</v>
      </c>
      <c r="D1546" s="4" t="s">
        <v>781</v>
      </c>
      <c r="E1546" s="4" t="str">
        <f t="shared" si="82"/>
        <v>33|U</v>
      </c>
      <c r="F1546" s="14">
        <f>INDEX('Emission Stepwise'!$H$2:$H$289,MATCH(E1546,'Emission Stepwise'!$C$2:$C$289,0))</f>
        <v>0.97549019607843135</v>
      </c>
      <c r="G1546" s="14">
        <f>INDEX(Background!$C$4:$C$7,MATCH(C1546,Background!$A$4:$A$7,0))</f>
        <v>0.21314113777902177</v>
      </c>
      <c r="H1546" s="17">
        <f t="shared" si="83"/>
        <v>1.5209855449069636</v>
      </c>
    </row>
    <row r="1547" spans="1:8">
      <c r="A1547" s="4" t="s">
        <v>773</v>
      </c>
      <c r="B1547" s="4">
        <v>34</v>
      </c>
      <c r="C1547" s="4" t="s">
        <v>71</v>
      </c>
      <c r="D1547" s="4" t="s">
        <v>781</v>
      </c>
      <c r="E1547" s="4" t="str">
        <f t="shared" si="82"/>
        <v>34|C</v>
      </c>
      <c r="F1547" s="14">
        <f>INDEX('Emission Stepwise'!$H$2:$H$289,MATCH(E1547,'Emission Stepwise'!$C$2:$C$289,0))</f>
        <v>0.32843137254901961</v>
      </c>
      <c r="G1547" s="14">
        <f>INDEX(Background!$C$4:$C$7,MATCH(C1547,Background!$A$4:$A$7,0))</f>
        <v>0.27646770694842909</v>
      </c>
      <c r="H1547" s="17">
        <f t="shared" si="83"/>
        <v>0.17223388261715358</v>
      </c>
    </row>
    <row r="1548" spans="1:8">
      <c r="A1548" s="4" t="s">
        <v>773</v>
      </c>
      <c r="B1548" s="4">
        <v>35</v>
      </c>
      <c r="C1548" s="4" t="s">
        <v>72</v>
      </c>
      <c r="D1548" s="4" t="s">
        <v>781</v>
      </c>
      <c r="E1548" s="4" t="str">
        <f t="shared" si="82"/>
        <v>35|U</v>
      </c>
      <c r="F1548" s="14">
        <f>INDEX('Emission Stepwise'!$H$2:$H$289,MATCH(E1548,'Emission Stepwise'!$C$2:$C$289,0))</f>
        <v>0.20588235294117646</v>
      </c>
      <c r="G1548" s="14">
        <f>INDEX(Background!$C$4:$C$7,MATCH(C1548,Background!$A$4:$A$7,0))</f>
        <v>0.21314113777902177</v>
      </c>
      <c r="H1548" s="17">
        <f t="shared" si="83"/>
        <v>-3.4649661534160589E-2</v>
      </c>
    </row>
    <row r="1549" spans="1:8">
      <c r="A1549" s="4" t="s">
        <v>773</v>
      </c>
      <c r="B1549" s="4">
        <v>36</v>
      </c>
      <c r="C1549" s="4" t="s">
        <v>73</v>
      </c>
      <c r="D1549" s="4" t="s">
        <v>781</v>
      </c>
      <c r="E1549" s="4" t="str">
        <f t="shared" si="82"/>
        <v>36|A</v>
      </c>
      <c r="F1549" s="14">
        <f>INDEX('Emission Stepwise'!$H$2:$H$289,MATCH(E1549,'Emission Stepwise'!$C$2:$C$289,0))</f>
        <v>0.21568627450980393</v>
      </c>
      <c r="G1549" s="14">
        <f>INDEX(Background!$C$4:$C$7,MATCH(C1549,Background!$A$4:$A$7,0))</f>
        <v>0.18550136449513679</v>
      </c>
      <c r="H1549" s="17">
        <f t="shared" si="83"/>
        <v>0.15076268126681408</v>
      </c>
    </row>
    <row r="1550" spans="1:8">
      <c r="A1550" s="4" t="s">
        <v>773</v>
      </c>
      <c r="B1550" s="4">
        <v>37</v>
      </c>
      <c r="C1550" s="4" t="s">
        <v>71</v>
      </c>
      <c r="D1550" s="4" t="s">
        <v>781</v>
      </c>
      <c r="E1550" s="4" t="str">
        <f t="shared" si="82"/>
        <v>37|C</v>
      </c>
      <c r="F1550" s="14">
        <f>INDEX('Emission Stepwise'!$H$2:$H$289,MATCH(E1550,'Emission Stepwise'!$C$2:$C$289,0))</f>
        <v>9.8039215686274508E-3</v>
      </c>
      <c r="G1550" s="14">
        <f>INDEX(Background!$C$4:$C$7,MATCH(C1550,Background!$A$4:$A$7,0))</f>
        <v>0.27646770694842909</v>
      </c>
      <c r="H1550" s="17">
        <f t="shared" si="83"/>
        <v>-3.3393115562138669</v>
      </c>
    </row>
    <row r="1551" spans="1:8">
      <c r="A1551" s="4" t="s">
        <v>773</v>
      </c>
      <c r="B1551" s="4">
        <v>38</v>
      </c>
      <c r="C1551" s="4" t="s">
        <v>72</v>
      </c>
      <c r="D1551" s="4" t="s">
        <v>781</v>
      </c>
      <c r="E1551" s="4" t="str">
        <f t="shared" si="82"/>
        <v>38|U</v>
      </c>
      <c r="F1551" s="14">
        <f>INDEX('Emission Stepwise'!$H$2:$H$289,MATCH(E1551,'Emission Stepwise'!$C$2:$C$289,0))</f>
        <v>0.11764705882352941</v>
      </c>
      <c r="G1551" s="14">
        <f>INDEX(Background!$C$4:$C$7,MATCH(C1551,Background!$A$4:$A$7,0))</f>
        <v>0.21314113777902177</v>
      </c>
      <c r="H1551" s="17">
        <f t="shared" si="83"/>
        <v>-0.59426544946958315</v>
      </c>
    </row>
    <row r="1552" spans="1:8">
      <c r="A1552" s="4" t="s">
        <v>773</v>
      </c>
      <c r="B1552" s="4">
        <v>39</v>
      </c>
      <c r="C1552" s="4" t="s">
        <v>70</v>
      </c>
      <c r="D1552" s="4" t="s">
        <v>781</v>
      </c>
      <c r="E1552" s="4" t="str">
        <f t="shared" si="82"/>
        <v>39|G</v>
      </c>
      <c r="F1552" s="14">
        <f>INDEX('Emission Stepwise'!$H$2:$H$289,MATCH(E1552,'Emission Stepwise'!$C$2:$C$289,0))</f>
        <v>0.35784313725490197</v>
      </c>
      <c r="G1552" s="14">
        <f>INDEX(Background!$C$4:$C$7,MATCH(C1552,Background!$A$4:$A$7,0))</f>
        <v>0.32488979077741237</v>
      </c>
      <c r="H1552" s="17">
        <f t="shared" si="83"/>
        <v>9.6608706766047728E-2</v>
      </c>
    </row>
    <row r="1553" spans="1:8">
      <c r="A1553" s="4" t="s">
        <v>773</v>
      </c>
      <c r="B1553" s="4">
        <v>40</v>
      </c>
      <c r="C1553" s="4" t="s">
        <v>71</v>
      </c>
      <c r="D1553" s="4" t="s">
        <v>781</v>
      </c>
      <c r="E1553" s="4" t="str">
        <f t="shared" si="82"/>
        <v>40|C</v>
      </c>
      <c r="F1553" s="14">
        <f>INDEX('Emission Stepwise'!$H$2:$H$289,MATCH(E1553,'Emission Stepwise'!$C$2:$C$289,0))</f>
        <v>0.70588235294117652</v>
      </c>
      <c r="G1553" s="14">
        <f>INDEX(Background!$C$4:$C$7,MATCH(C1553,Background!$A$4:$A$7,0))</f>
        <v>0.27646770694842909</v>
      </c>
      <c r="H1553" s="17">
        <f t="shared" si="83"/>
        <v>0.93735456280218832</v>
      </c>
    </row>
    <row r="1554" spans="1:8">
      <c r="A1554" s="4" t="s">
        <v>773</v>
      </c>
      <c r="B1554" s="4">
        <v>41</v>
      </c>
      <c r="C1554" s="4" t="s">
        <v>72</v>
      </c>
      <c r="D1554" s="4" t="s">
        <v>781</v>
      </c>
      <c r="E1554" s="4" t="str">
        <f t="shared" si="82"/>
        <v>41|U</v>
      </c>
      <c r="F1554" s="14">
        <f>INDEX('Emission Stepwise'!$H$2:$H$289,MATCH(E1554,'Emission Stepwise'!$C$2:$C$289,0))</f>
        <v>0.16666666666666666</v>
      </c>
      <c r="G1554" s="14">
        <f>INDEX(Background!$C$4:$C$7,MATCH(C1554,Background!$A$4:$A$7,0))</f>
        <v>0.21314113777902177</v>
      </c>
      <c r="H1554" s="17">
        <f t="shared" si="83"/>
        <v>-0.24595875520136748</v>
      </c>
    </row>
    <row r="1555" spans="1:8">
      <c r="A1555" s="4" t="s">
        <v>773</v>
      </c>
      <c r="B1555" s="4">
        <v>42</v>
      </c>
      <c r="C1555" s="4" t="s">
        <v>72</v>
      </c>
      <c r="D1555" s="4" t="s">
        <v>781</v>
      </c>
      <c r="E1555" s="4" t="str">
        <f t="shared" si="82"/>
        <v>42|U</v>
      </c>
      <c r="F1555" s="14">
        <f>INDEX('Emission Stepwise'!$H$2:$H$289,MATCH(E1555,'Emission Stepwise'!$C$2:$C$289,0))</f>
        <v>0.13235294117647059</v>
      </c>
      <c r="G1555" s="14">
        <f>INDEX(Background!$C$4:$C$7,MATCH(C1555,Background!$A$4:$A$7,0))</f>
        <v>0.21314113777902177</v>
      </c>
      <c r="H1555" s="17">
        <f t="shared" si="83"/>
        <v>-0.47648241381319967</v>
      </c>
    </row>
    <row r="1556" spans="1:8">
      <c r="A1556" s="4" t="s">
        <v>773</v>
      </c>
      <c r="B1556" s="4">
        <v>43</v>
      </c>
      <c r="C1556" s="4" t="s">
        <v>72</v>
      </c>
      <c r="D1556" s="4" t="s">
        <v>781</v>
      </c>
      <c r="E1556" s="4" t="str">
        <f t="shared" si="82"/>
        <v>43|U</v>
      </c>
      <c r="F1556" s="14">
        <f>INDEX('Emission Stepwise'!$H$2:$H$289,MATCH(E1556,'Emission Stepwise'!$C$2:$C$289,0))</f>
        <v>0.16176470588235295</v>
      </c>
      <c r="G1556" s="14">
        <f>INDEX(Background!$C$4:$C$7,MATCH(C1556,Background!$A$4:$A$7,0))</f>
        <v>0.21314113777902177</v>
      </c>
      <c r="H1556" s="17">
        <f t="shared" si="83"/>
        <v>-0.27581171835104856</v>
      </c>
    </row>
    <row r="1557" spans="1:8">
      <c r="A1557" s="4" t="s">
        <v>773</v>
      </c>
      <c r="B1557" s="4">
        <v>44</v>
      </c>
      <c r="C1557" s="4" t="s">
        <v>70</v>
      </c>
      <c r="D1557" s="4" t="s">
        <v>781</v>
      </c>
      <c r="E1557" s="4" t="str">
        <f t="shared" si="82"/>
        <v>44|G</v>
      </c>
      <c r="F1557" s="14">
        <f>INDEX('Emission Stepwise'!$H$2:$H$289,MATCH(E1557,'Emission Stepwise'!$C$2:$C$289,0))</f>
        <v>0.23039215686274508</v>
      </c>
      <c r="G1557" s="14">
        <f>INDEX(Background!$C$4:$C$7,MATCH(C1557,Background!$A$4:$A$7,0))</f>
        <v>0.32488979077741237</v>
      </c>
      <c r="H1557" s="17">
        <f t="shared" si="83"/>
        <v>-0.34370313267228481</v>
      </c>
    </row>
    <row r="1558" spans="1:8">
      <c r="A1558" s="4" t="s">
        <v>773</v>
      </c>
      <c r="B1558" s="4">
        <v>45</v>
      </c>
      <c r="C1558" s="4" t="s">
        <v>72</v>
      </c>
      <c r="D1558" s="4" t="s">
        <v>782</v>
      </c>
      <c r="E1558" s="4" t="str">
        <f t="shared" si="82"/>
        <v>45|U</v>
      </c>
      <c r="F1558" s="14">
        <f>INDEX('Emission Stepwise'!$H$2:$H$289,MATCH(E1558,'Emission Stepwise'!$C$2:$C$289,0))</f>
        <v>0.14356435643564355</v>
      </c>
      <c r="G1558" s="14">
        <f>INDEX(Background!$C$4:$C$7,MATCH(C1558,Background!$A$4:$A$7,0))</f>
        <v>0.21314113777902177</v>
      </c>
      <c r="H1558" s="17">
        <f t="shared" si="83"/>
        <v>-0.39517115338804326</v>
      </c>
    </row>
    <row r="1559" spans="1:8">
      <c r="A1559" s="4" t="s">
        <v>773</v>
      </c>
      <c r="B1559" s="4">
        <v>46</v>
      </c>
      <c r="C1559" s="4" t="s">
        <v>73</v>
      </c>
      <c r="D1559" s="4" t="s">
        <v>782</v>
      </c>
      <c r="E1559" s="4" t="str">
        <f t="shared" si="82"/>
        <v>46|A</v>
      </c>
      <c r="F1559" s="14">
        <f>INDEX('Emission Stepwise'!$H$2:$H$289,MATCH(E1559,'Emission Stepwise'!$C$2:$C$289,0))</f>
        <v>9.8265895953757232E-2</v>
      </c>
      <c r="G1559" s="14">
        <f>INDEX(Background!$C$4:$C$7,MATCH(C1559,Background!$A$4:$A$7,0))</f>
        <v>0.18550136449513679</v>
      </c>
      <c r="H1559" s="17">
        <f t="shared" si="83"/>
        <v>-0.6353852092487936</v>
      </c>
    </row>
    <row r="1560" spans="1:8">
      <c r="A1560" s="4" t="s">
        <v>773</v>
      </c>
      <c r="B1560" s="4">
        <v>47</v>
      </c>
      <c r="C1560" s="4" t="s">
        <v>72</v>
      </c>
      <c r="D1560" s="4" t="s">
        <v>782</v>
      </c>
      <c r="E1560" s="4" t="str">
        <f t="shared" si="82"/>
        <v>47|U</v>
      </c>
      <c r="F1560" s="14">
        <f>INDEX('Emission Stepwise'!$H$2:$H$289,MATCH(E1560,'Emission Stepwise'!$C$2:$C$289,0))</f>
        <v>0.66666666666666663</v>
      </c>
      <c r="G1560" s="14">
        <f>INDEX(Background!$C$4:$C$7,MATCH(C1560,Background!$A$4:$A$7,0))</f>
        <v>0.21314113777902177</v>
      </c>
      <c r="H1560" s="17">
        <f t="shared" si="83"/>
        <v>1.1403356059185232</v>
      </c>
    </row>
    <row r="1561" spans="1:8">
      <c r="A1561" s="4" t="s">
        <v>773</v>
      </c>
      <c r="B1561" s="4">
        <v>48</v>
      </c>
      <c r="C1561" s="4" t="s">
        <v>73</v>
      </c>
      <c r="D1561" s="4" t="s">
        <v>782</v>
      </c>
      <c r="E1561" s="4" t="str">
        <f t="shared" si="82"/>
        <v>48|A</v>
      </c>
      <c r="F1561" s="14">
        <f>INDEX('Emission Stepwise'!$H$2:$H$289,MATCH(E1561,'Emission Stepwise'!$C$2:$C$289,0))</f>
        <v>9.8039215686274508E-3</v>
      </c>
      <c r="G1561" s="14">
        <f>INDEX(Background!$C$4:$C$7,MATCH(C1561,Background!$A$4:$A$7,0))</f>
        <v>0.18550136449513679</v>
      </c>
      <c r="H1561" s="17">
        <f t="shared" si="83"/>
        <v>-2.9402797720915017</v>
      </c>
    </row>
    <row r="1562" spans="1:8">
      <c r="A1562" s="4" t="s">
        <v>773</v>
      </c>
      <c r="B1562" s="4">
        <v>49</v>
      </c>
      <c r="C1562" s="4" t="s">
        <v>70</v>
      </c>
      <c r="D1562" s="4" t="s">
        <v>783</v>
      </c>
      <c r="E1562" s="4" t="str">
        <f t="shared" si="82"/>
        <v>49|G</v>
      </c>
      <c r="F1562" s="14">
        <f>INDEX('Emission Stepwise'!$H$2:$H$289,MATCH(E1562,'Emission Stepwise'!$C$2:$C$289,0))</f>
        <v>0.5</v>
      </c>
      <c r="G1562" s="14">
        <f>INDEX(Background!$C$4:$C$7,MATCH(C1562,Background!$A$4:$A$7,0))</f>
        <v>0.32488979077741237</v>
      </c>
      <c r="H1562" s="17">
        <f t="shared" si="83"/>
        <v>0.43112207890192766</v>
      </c>
    </row>
    <row r="1563" spans="1:8">
      <c r="A1563" s="4" t="s">
        <v>773</v>
      </c>
      <c r="B1563" s="4">
        <v>50</v>
      </c>
      <c r="C1563" s="4" t="s">
        <v>70</v>
      </c>
      <c r="D1563" s="4" t="s">
        <v>783</v>
      </c>
      <c r="E1563" s="4" t="str">
        <f t="shared" si="82"/>
        <v>50|G</v>
      </c>
      <c r="F1563" s="14">
        <f>INDEX('Emission Stepwise'!$H$2:$H$289,MATCH(E1563,'Emission Stepwise'!$C$2:$C$289,0))</f>
        <v>0.26960784313725489</v>
      </c>
      <c r="G1563" s="14">
        <f>INDEX(Background!$C$4:$C$7,MATCH(C1563,Background!$A$4:$A$7,0))</f>
        <v>0.32488979077741237</v>
      </c>
      <c r="H1563" s="17">
        <f t="shared" si="83"/>
        <v>-0.18651754914987254</v>
      </c>
    </row>
    <row r="1564" spans="1:8">
      <c r="A1564" s="4" t="s">
        <v>773</v>
      </c>
      <c r="B1564" s="4">
        <v>51</v>
      </c>
      <c r="C1564" s="4" t="s">
        <v>71</v>
      </c>
      <c r="D1564" s="4" t="s">
        <v>783</v>
      </c>
      <c r="E1564" s="4" t="str">
        <f t="shared" si="82"/>
        <v>51|C</v>
      </c>
      <c r="F1564" s="14">
        <f>INDEX('Emission Stepwise'!$H$2:$H$289,MATCH(E1564,'Emission Stepwise'!$C$2:$C$289,0))</f>
        <v>0.20689655172413793</v>
      </c>
      <c r="G1564" s="14">
        <f>INDEX(Background!$C$4:$C$7,MATCH(C1564,Background!$A$4:$A$7,0))</f>
        <v>0.27646770694842909</v>
      </c>
      <c r="H1564" s="17">
        <f t="shared" si="83"/>
        <v>-0.289875103688015</v>
      </c>
    </row>
    <row r="1565" spans="1:8">
      <c r="A1565" s="4" t="s">
        <v>773</v>
      </c>
      <c r="B1565" s="4">
        <v>52</v>
      </c>
      <c r="C1565" s="4" t="s">
        <v>73</v>
      </c>
      <c r="D1565" s="4" t="s">
        <v>783</v>
      </c>
      <c r="E1565" s="4" t="str">
        <f t="shared" si="82"/>
        <v>52|A</v>
      </c>
      <c r="F1565" s="14">
        <f>INDEX('Emission Stepwise'!$H$2:$H$289,MATCH(E1565,'Emission Stepwise'!$C$2:$C$289,0))</f>
        <v>0.13235294117647059</v>
      </c>
      <c r="G1565" s="14">
        <f>INDEX(Background!$C$4:$C$7,MATCH(C1565,Background!$A$4:$A$7,0))</f>
        <v>0.18550136449513679</v>
      </c>
      <c r="H1565" s="17">
        <f t="shared" si="83"/>
        <v>-0.33759008664711798</v>
      </c>
    </row>
    <row r="1566" spans="1:8">
      <c r="A1566" s="4" t="s">
        <v>773</v>
      </c>
      <c r="B1566" s="4">
        <v>53</v>
      </c>
      <c r="C1566" s="4" t="s">
        <v>70</v>
      </c>
      <c r="D1566" s="4" t="s">
        <v>783</v>
      </c>
      <c r="E1566" s="4" t="str">
        <f t="shared" si="82"/>
        <v>53|G</v>
      </c>
      <c r="F1566" s="14">
        <f>INDEX('Emission Stepwise'!$H$2:$H$289,MATCH(E1566,'Emission Stepwise'!$C$2:$C$289,0))</f>
        <v>0.96568627450980393</v>
      </c>
      <c r="G1566" s="14">
        <f>INDEX(Background!$C$4:$C$7,MATCH(C1566,Background!$A$4:$A$7,0))</f>
        <v>0.32488979077741237</v>
      </c>
      <c r="H1566" s="17">
        <f t="shared" si="83"/>
        <v>1.089352994355645</v>
      </c>
    </row>
    <row r="1567" spans="1:8">
      <c r="A1567" s="4" t="s">
        <v>773</v>
      </c>
      <c r="B1567" s="4">
        <v>54</v>
      </c>
      <c r="C1567" s="4" t="s">
        <v>73</v>
      </c>
      <c r="D1567" s="4" t="s">
        <v>783</v>
      </c>
      <c r="E1567" s="4" t="str">
        <f t="shared" si="82"/>
        <v>54|A</v>
      </c>
      <c r="F1567" s="14">
        <f>INDEX('Emission Stepwise'!$H$2:$H$289,MATCH(E1567,'Emission Stepwise'!$C$2:$C$289,0))</f>
        <v>1.4705882352941176E-2</v>
      </c>
      <c r="G1567" s="14">
        <f>INDEX(Background!$C$4:$C$7,MATCH(C1567,Background!$A$4:$A$7,0))</f>
        <v>0.18550136449513679</v>
      </c>
      <c r="H1567" s="17">
        <f t="shared" si="83"/>
        <v>-2.5348146639833375</v>
      </c>
    </row>
    <row r="1568" spans="1:8">
      <c r="A1568" s="4" t="s">
        <v>773</v>
      </c>
      <c r="B1568" s="4">
        <v>55</v>
      </c>
      <c r="C1568" s="4" t="s">
        <v>72</v>
      </c>
      <c r="D1568" s="4" t="s">
        <v>783</v>
      </c>
      <c r="E1568" s="4" t="str">
        <f t="shared" si="82"/>
        <v>55|U</v>
      </c>
      <c r="F1568" s="14">
        <f>INDEX('Emission Stepwise'!$H$2:$H$289,MATCH(E1568,'Emission Stepwise'!$C$2:$C$289,0))</f>
        <v>0.97058823529411764</v>
      </c>
      <c r="G1568" s="14">
        <f>INDEX(Background!$C$4:$C$7,MATCH(C1568,Background!$A$4:$A$7,0))</f>
        <v>0.21314113777902177</v>
      </c>
      <c r="H1568" s="17">
        <f t="shared" si="83"/>
        <v>1.5159477508770065</v>
      </c>
    </row>
    <row r="1569" spans="1:8">
      <c r="A1569" s="4" t="s">
        <v>773</v>
      </c>
      <c r="B1569" s="4">
        <v>56</v>
      </c>
      <c r="C1569" s="4" t="s">
        <v>71</v>
      </c>
      <c r="D1569" s="4" t="s">
        <v>783</v>
      </c>
      <c r="E1569" s="4" t="str">
        <f t="shared" si="82"/>
        <v>56|C</v>
      </c>
      <c r="F1569" s="14">
        <f>INDEX('Emission Stepwise'!$H$2:$H$289,MATCH(E1569,'Emission Stepwise'!$C$2:$C$289,0))</f>
        <v>0.96568627450980393</v>
      </c>
      <c r="G1569" s="14">
        <f>INDEX(Background!$C$4:$C$7,MATCH(C1569,Background!$A$4:$A$7,0))</f>
        <v>0.27646770694842909</v>
      </c>
      <c r="H1569" s="17">
        <f t="shared" si="83"/>
        <v>1.250744991964176</v>
      </c>
    </row>
    <row r="1570" spans="1:8">
      <c r="A1570" s="4" t="s">
        <v>773</v>
      </c>
      <c r="B1570" s="4">
        <v>57</v>
      </c>
      <c r="C1570" s="4" t="s">
        <v>72</v>
      </c>
      <c r="D1570" s="4" t="s">
        <v>783</v>
      </c>
      <c r="E1570" s="4" t="str">
        <f t="shared" si="82"/>
        <v>57|U</v>
      </c>
      <c r="F1570" s="14">
        <f>INDEX('Emission Stepwise'!$H$2:$H$289,MATCH(E1570,'Emission Stepwise'!$C$2:$C$289,0))</f>
        <v>9.852216748768473E-3</v>
      </c>
      <c r="G1570" s="14">
        <f>INDEX(Background!$C$4:$C$7,MATCH(C1570,Background!$A$4:$A$7,0))</f>
        <v>0.21314113777902177</v>
      </c>
      <c r="H1570" s="17">
        <f t="shared" si="83"/>
        <v>-3.0742580844551544</v>
      </c>
    </row>
    <row r="1571" spans="1:8">
      <c r="A1571" s="4" t="s">
        <v>773</v>
      </c>
      <c r="B1571" s="4">
        <v>58</v>
      </c>
      <c r="C1571" s="4" t="s">
        <v>71</v>
      </c>
      <c r="D1571" s="4" t="s">
        <v>783</v>
      </c>
      <c r="E1571" s="4" t="str">
        <f t="shared" si="82"/>
        <v>58|C</v>
      </c>
      <c r="F1571" s="14">
        <f>INDEX('Emission Stepwise'!$H$2:$H$289,MATCH(E1571,'Emission Stepwise'!$C$2:$C$289,0))</f>
        <v>9.8039215686274508E-3</v>
      </c>
      <c r="G1571" s="14">
        <f>INDEX(Background!$C$4:$C$7,MATCH(C1571,Background!$A$4:$A$7,0))</f>
        <v>0.27646770694842909</v>
      </c>
      <c r="H1571" s="17">
        <f t="shared" si="83"/>
        <v>-3.3393115562138669</v>
      </c>
    </row>
    <row r="1572" spans="1:8">
      <c r="A1572" s="4" t="s">
        <v>773</v>
      </c>
      <c r="B1572" s="4">
        <v>59</v>
      </c>
      <c r="C1572" s="4" t="s">
        <v>72</v>
      </c>
      <c r="D1572" s="4" t="s">
        <v>783</v>
      </c>
      <c r="E1572" s="4" t="str">
        <f t="shared" si="82"/>
        <v>59|U</v>
      </c>
      <c r="F1572" s="14">
        <f>INDEX('Emission Stepwise'!$H$2:$H$289,MATCH(E1572,'Emission Stepwise'!$C$2:$C$289,0))</f>
        <v>0.25</v>
      </c>
      <c r="G1572" s="14">
        <f>INDEX(Background!$C$4:$C$7,MATCH(C1572,Background!$A$4:$A$7,0))</f>
        <v>0.21314113777902177</v>
      </c>
      <c r="H1572" s="17">
        <f t="shared" si="83"/>
        <v>0.15950635290679691</v>
      </c>
    </row>
    <row r="1573" spans="1:8">
      <c r="A1573" s="4" t="s">
        <v>773</v>
      </c>
      <c r="B1573" s="4">
        <v>60</v>
      </c>
      <c r="C1573" s="4" t="s">
        <v>73</v>
      </c>
      <c r="D1573" s="4" t="s">
        <v>783</v>
      </c>
      <c r="E1573" s="4" t="str">
        <f t="shared" si="82"/>
        <v>60|A</v>
      </c>
      <c r="F1573" s="14">
        <f>INDEX('Emission Stepwise'!$H$2:$H$289,MATCH(E1573,'Emission Stepwise'!$C$2:$C$289,0))</f>
        <v>9.8039215686274508E-3</v>
      </c>
      <c r="G1573" s="14">
        <f>INDEX(Background!$C$4:$C$7,MATCH(C1573,Background!$A$4:$A$7,0))</f>
        <v>0.18550136449513679</v>
      </c>
      <c r="H1573" s="17">
        <f t="shared" si="83"/>
        <v>-2.9402797720915017</v>
      </c>
    </row>
    <row r="1574" spans="1:8">
      <c r="A1574" s="4" t="s">
        <v>773</v>
      </c>
      <c r="B1574" s="4">
        <v>61</v>
      </c>
      <c r="C1574" s="4" t="s">
        <v>71</v>
      </c>
      <c r="D1574" s="4" t="s">
        <v>783</v>
      </c>
      <c r="E1574" s="4" t="str">
        <f t="shared" si="82"/>
        <v>61|C</v>
      </c>
      <c r="F1574" s="14">
        <f>INDEX('Emission Stepwise'!$H$2:$H$289,MATCH(E1574,'Emission Stepwise'!$C$2:$C$289,0))</f>
        <v>0.97549019607843135</v>
      </c>
      <c r="G1574" s="14">
        <f>INDEX(Background!$C$4:$C$7,MATCH(C1574,Background!$A$4:$A$7,0))</f>
        <v>0.27646770694842909</v>
      </c>
      <c r="H1574" s="17">
        <f t="shared" si="83"/>
        <v>1.26084608795068</v>
      </c>
    </row>
    <row r="1575" spans="1:8">
      <c r="A1575" s="4" t="s">
        <v>773</v>
      </c>
      <c r="B1575" s="4">
        <v>62</v>
      </c>
      <c r="C1575" s="4" t="s">
        <v>72</v>
      </c>
      <c r="D1575" s="4" t="s">
        <v>783</v>
      </c>
      <c r="E1575" s="4" t="str">
        <f t="shared" si="82"/>
        <v>62|U</v>
      </c>
      <c r="F1575" s="14">
        <f>INDEX('Emission Stepwise'!$H$2:$H$289,MATCH(E1575,'Emission Stepwise'!$C$2:$C$289,0))</f>
        <v>0.13235294117647059</v>
      </c>
      <c r="G1575" s="14">
        <f>INDEX(Background!$C$4:$C$7,MATCH(C1575,Background!$A$4:$A$7,0))</f>
        <v>0.21314113777902177</v>
      </c>
      <c r="H1575" s="17">
        <f t="shared" si="83"/>
        <v>-0.47648241381319967</v>
      </c>
    </row>
    <row r="1576" spans="1:8">
      <c r="A1576" s="4" t="s">
        <v>773</v>
      </c>
      <c r="B1576" s="4">
        <v>63</v>
      </c>
      <c r="C1576" s="4" t="s">
        <v>72</v>
      </c>
      <c r="D1576" s="4" t="s">
        <v>783</v>
      </c>
      <c r="E1576" s="4" t="str">
        <f t="shared" si="82"/>
        <v>63|U</v>
      </c>
      <c r="F1576" s="14">
        <f>INDEX('Emission Stepwise'!$H$2:$H$289,MATCH(E1576,'Emission Stepwise'!$C$2:$C$289,0))</f>
        <v>0.16176470588235295</v>
      </c>
      <c r="G1576" s="14">
        <f>INDEX(Background!$C$4:$C$7,MATCH(C1576,Background!$A$4:$A$7,0))</f>
        <v>0.21314113777902177</v>
      </c>
      <c r="H1576" s="17">
        <f t="shared" si="83"/>
        <v>-0.27581171835104856</v>
      </c>
    </row>
    <row r="1577" spans="1:8">
      <c r="A1577" s="4" t="s">
        <v>773</v>
      </c>
      <c r="B1577" s="4">
        <v>64</v>
      </c>
      <c r="C1577" s="4" t="s">
        <v>72</v>
      </c>
      <c r="D1577" s="4" t="s">
        <v>783</v>
      </c>
      <c r="E1577" s="4" t="str">
        <f t="shared" si="82"/>
        <v>64|U</v>
      </c>
      <c r="F1577" s="14">
        <f>INDEX('Emission Stepwise'!$H$2:$H$289,MATCH(E1577,'Emission Stepwise'!$C$2:$C$289,0))</f>
        <v>0.16666666666666666</v>
      </c>
      <c r="G1577" s="14">
        <f>INDEX(Background!$C$4:$C$7,MATCH(C1577,Background!$A$4:$A$7,0))</f>
        <v>0.21314113777902177</v>
      </c>
      <c r="H1577" s="17">
        <f t="shared" si="83"/>
        <v>-0.24595875520136748</v>
      </c>
    </row>
    <row r="1578" spans="1:8">
      <c r="A1578" s="4" t="s">
        <v>773</v>
      </c>
      <c r="B1578" s="4">
        <v>65</v>
      </c>
      <c r="C1578" s="4" t="s">
        <v>71</v>
      </c>
      <c r="D1578" s="4" t="s">
        <v>783</v>
      </c>
      <c r="E1578" s="4" t="str">
        <f t="shared" si="82"/>
        <v>65|C</v>
      </c>
      <c r="F1578" s="14">
        <f>INDEX('Emission Stepwise'!$H$2:$H$289,MATCH(E1578,'Emission Stepwise'!$C$2:$C$289,0))</f>
        <v>0.31527093596059114</v>
      </c>
      <c r="G1578" s="14">
        <f>INDEX(Background!$C$4:$C$7,MATCH(C1578,Background!$A$4:$A$7,0))</f>
        <v>0.27646770694842909</v>
      </c>
      <c r="H1578" s="17">
        <f t="shared" si="83"/>
        <v>0.13133836138828858</v>
      </c>
    </row>
    <row r="1579" spans="1:8">
      <c r="A1579" s="4" t="s">
        <v>773</v>
      </c>
      <c r="B1579" s="4">
        <v>66</v>
      </c>
      <c r="C1579" s="4" t="s">
        <v>73</v>
      </c>
      <c r="D1579" s="4" t="s">
        <v>784</v>
      </c>
      <c r="E1579" s="4" t="str">
        <f t="shared" si="82"/>
        <v>66|A</v>
      </c>
      <c r="F1579" s="14">
        <f>INDEX('Emission Stepwise'!$H$2:$H$289,MATCH(E1579,'Emission Stepwise'!$C$2:$C$289,0))</f>
        <v>0.21568627450980393</v>
      </c>
      <c r="G1579" s="14">
        <f>INDEX(Background!$C$4:$C$7,MATCH(C1579,Background!$A$4:$A$7,0))</f>
        <v>0.18550136449513679</v>
      </c>
      <c r="H1579" s="17">
        <f t="shared" si="83"/>
        <v>0.15076268126681408</v>
      </c>
    </row>
    <row r="1580" spans="1:8">
      <c r="A1580" s="4" t="s">
        <v>773</v>
      </c>
      <c r="B1580" s="4">
        <v>67</v>
      </c>
      <c r="C1580" s="4" t="s">
        <v>72</v>
      </c>
      <c r="D1580" s="4" t="s">
        <v>784</v>
      </c>
      <c r="E1580" s="4" t="str">
        <f t="shared" si="82"/>
        <v>67|U</v>
      </c>
      <c r="F1580" s="14">
        <f>INDEX('Emission Stepwise'!$H$2:$H$289,MATCH(E1580,'Emission Stepwise'!$C$2:$C$289,0))</f>
        <v>0.19117647058823528</v>
      </c>
      <c r="G1580" s="14">
        <f>INDEX(Background!$C$4:$C$7,MATCH(C1580,Background!$A$4:$A$7,0))</f>
        <v>0.21314113777902177</v>
      </c>
      <c r="H1580" s="17">
        <f t="shared" si="83"/>
        <v>-0.1087576336878824</v>
      </c>
    </row>
    <row r="1581" spans="1:8">
      <c r="A1581" s="4" t="s">
        <v>773</v>
      </c>
      <c r="B1581" s="4">
        <v>68</v>
      </c>
      <c r="C1581" s="4" t="s">
        <v>70</v>
      </c>
      <c r="D1581" s="4" t="s">
        <v>784</v>
      </c>
      <c r="E1581" s="4" t="str">
        <f t="shared" si="82"/>
        <v>68|G</v>
      </c>
      <c r="F1581" s="14">
        <f>INDEX('Emission Stepwise'!$H$2:$H$289,MATCH(E1581,'Emission Stepwise'!$C$2:$C$289,0))</f>
        <v>0.43137254901960786</v>
      </c>
      <c r="G1581" s="14">
        <f>INDEX(Background!$C$4:$C$7,MATCH(C1581,Background!$A$4:$A$7,0))</f>
        <v>0.32488979077741237</v>
      </c>
      <c r="H1581" s="17">
        <f t="shared" si="83"/>
        <v>0.28348608009586312</v>
      </c>
    </row>
    <row r="1582" spans="1:8">
      <c r="A1582" s="4" t="s">
        <v>773</v>
      </c>
      <c r="B1582" s="4">
        <v>69</v>
      </c>
      <c r="C1582" s="4" t="s">
        <v>70</v>
      </c>
      <c r="D1582" s="4" t="s">
        <v>784</v>
      </c>
      <c r="E1582" s="4" t="str">
        <f t="shared" si="82"/>
        <v>69|G</v>
      </c>
      <c r="F1582" s="14">
        <f>INDEX('Emission Stepwise'!$H$2:$H$289,MATCH(E1582,'Emission Stepwise'!$C$2:$C$289,0))</f>
        <v>0.34803921568627449</v>
      </c>
      <c r="G1582" s="14">
        <f>INDEX(Background!$C$4:$C$7,MATCH(C1582,Background!$A$4:$A$7,0))</f>
        <v>0.32488979077741237</v>
      </c>
      <c r="H1582" s="17">
        <f t="shared" si="83"/>
        <v>6.882914265897204E-2</v>
      </c>
    </row>
    <row r="1583" spans="1:8">
      <c r="A1583" s="4" t="s">
        <v>773</v>
      </c>
      <c r="B1583" s="4">
        <v>70</v>
      </c>
      <c r="C1583" s="4" t="s">
        <v>73</v>
      </c>
      <c r="D1583" s="4" t="s">
        <v>784</v>
      </c>
      <c r="E1583" s="4" t="str">
        <f t="shared" si="82"/>
        <v>70|A</v>
      </c>
      <c r="F1583" s="14">
        <f>INDEX('Emission Stepwise'!$H$2:$H$289,MATCH(E1583,'Emission Stepwise'!$C$2:$C$289,0))</f>
        <v>0.11764705882352941</v>
      </c>
      <c r="G1583" s="14">
        <f>INDEX(Background!$C$4:$C$7,MATCH(C1583,Background!$A$4:$A$7,0))</f>
        <v>0.18550136449513679</v>
      </c>
      <c r="H1583" s="17">
        <f t="shared" si="83"/>
        <v>-0.45537312230350152</v>
      </c>
    </row>
    <row r="1584" spans="1:8">
      <c r="A1584" s="4" t="s">
        <v>773</v>
      </c>
      <c r="B1584" s="4">
        <v>71</v>
      </c>
      <c r="C1584" s="4" t="s">
        <v>72</v>
      </c>
      <c r="D1584" s="4" t="s">
        <v>784</v>
      </c>
      <c r="E1584" s="4" t="str">
        <f t="shared" si="82"/>
        <v>71|U</v>
      </c>
      <c r="F1584" s="14">
        <f>INDEX('Emission Stepwise'!$H$2:$H$289,MATCH(E1584,'Emission Stepwise'!$C$2:$C$289,0))</f>
        <v>4.9019607843137254E-2</v>
      </c>
      <c r="G1584" s="14">
        <f>INDEX(Background!$C$4:$C$7,MATCH(C1584,Background!$A$4:$A$7,0))</f>
        <v>0.21314113777902177</v>
      </c>
      <c r="H1584" s="17">
        <f t="shared" si="83"/>
        <v>-1.469734186823483</v>
      </c>
    </row>
    <row r="1585" spans="1:8">
      <c r="A1585" s="4" t="s">
        <v>773</v>
      </c>
      <c r="B1585" s="4">
        <v>72</v>
      </c>
      <c r="C1585" s="4" t="s">
        <v>72</v>
      </c>
      <c r="D1585" s="4" t="s">
        <v>784</v>
      </c>
      <c r="E1585" s="4" t="str">
        <f t="shared" si="82"/>
        <v>72|U</v>
      </c>
      <c r="F1585" s="14">
        <f>INDEX('Emission Stepwise'!$H$2:$H$289,MATCH(E1585,'Emission Stepwise'!$C$2:$C$289,0))</f>
        <v>0.10784313725490197</v>
      </c>
      <c r="G1585" s="14">
        <f>INDEX(Background!$C$4:$C$7,MATCH(C1585,Background!$A$4:$A$7,0))</f>
        <v>0.21314113777902177</v>
      </c>
      <c r="H1585" s="17">
        <f t="shared" si="83"/>
        <v>-0.68127682645921295</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dimension ref="A1:I1563"/>
  <sheetViews>
    <sheetView workbookViewId="0"/>
  </sheetViews>
  <sheetFormatPr defaultColWidth="8.7109375" defaultRowHeight="15"/>
  <cols>
    <col min="1" max="1" width="14" customWidth="1"/>
    <col min="2" max="2" width="8" customWidth="1"/>
    <col min="3" max="3" width="10" customWidth="1"/>
    <col min="4" max="4" width="8" customWidth="1"/>
    <col min="5" max="5" width="16" customWidth="1"/>
    <col min="6" max="6" width="14" customWidth="1"/>
    <col min="7" max="8" width="16" customWidth="1"/>
    <col min="9" max="9" width="14" customWidth="1"/>
  </cols>
  <sheetData>
    <row r="1" spans="1:9">
      <c r="A1" s="9" t="s">
        <v>669</v>
      </c>
      <c r="B1" s="9" t="s">
        <v>508</v>
      </c>
      <c r="C1" s="9" t="s">
        <v>509</v>
      </c>
      <c r="D1" s="9" t="s">
        <v>510</v>
      </c>
      <c r="E1" s="9" t="s">
        <v>785</v>
      </c>
      <c r="F1" s="9" t="s">
        <v>493</v>
      </c>
      <c r="G1" s="9" t="s">
        <v>514</v>
      </c>
      <c r="H1" s="9" t="s">
        <v>786</v>
      </c>
      <c r="I1" s="9" t="s">
        <v>787</v>
      </c>
    </row>
    <row r="2" spans="1:9">
      <c r="A2" s="4" t="s">
        <v>747</v>
      </c>
      <c r="B2" s="4">
        <v>1</v>
      </c>
      <c r="C2" s="4" t="s">
        <v>70</v>
      </c>
      <c r="D2" s="4" t="s">
        <v>72</v>
      </c>
      <c r="E2" s="4" t="s">
        <v>788</v>
      </c>
      <c r="F2" s="4" t="str">
        <f t="shared" ref="F2:F15" si="0">B2&amp;"|"&amp;C2&amp;"|"&amp;D2</f>
        <v>1|G|U</v>
      </c>
      <c r="G2" s="14">
        <f>INDEX('Transition Stepwise'!$J$2:$J$1137,MATCH(F2,'Transition Stepwise'!$E$2:$E$1137,0))</f>
        <v>3.8461538461538464E-2</v>
      </c>
      <c r="H2" s="14" t="e">
        <f>INDEX(Background!$D$12:$D$27,MATCH(C2&amp;D2,INDEX(Background!$A$12:$A$27,0)&amp;INDEX(Background!$B$12:$B$27,0),0))</f>
        <v>#VALUE!</v>
      </c>
      <c r="I2" s="17" t="e">
        <f t="shared" ref="I2:I15" si="1">LN(G2/H2)</f>
        <v>#VALUE!</v>
      </c>
    </row>
    <row r="3" spans="1:9">
      <c r="A3" s="4" t="s">
        <v>747</v>
      </c>
      <c r="B3" s="4">
        <v>2</v>
      </c>
      <c r="C3" s="4" t="s">
        <v>72</v>
      </c>
      <c r="D3" s="4" t="s">
        <v>72</v>
      </c>
      <c r="E3" s="4" t="s">
        <v>788</v>
      </c>
      <c r="F3" s="4" t="str">
        <f t="shared" si="0"/>
        <v>2|U|U</v>
      </c>
      <c r="G3" s="14">
        <f>INDEX('Transition Stepwise'!$J$2:$J$1137,MATCH(F3,'Transition Stepwise'!$E$2:$E$1137,0))</f>
        <v>0.2</v>
      </c>
      <c r="H3" s="14" t="e">
        <f>INDEX(Background!$D$12:$D$27,MATCH(C3&amp;D3,INDEX(Background!$A$12:$A$27,0)&amp;INDEX(Background!$B$12:$B$27,0),0))</f>
        <v>#VALUE!</v>
      </c>
      <c r="I3" s="17" t="e">
        <f t="shared" si="1"/>
        <v>#VALUE!</v>
      </c>
    </row>
    <row r="4" spans="1:9">
      <c r="A4" s="4" t="s">
        <v>747</v>
      </c>
      <c r="B4" s="4">
        <v>3</v>
      </c>
      <c r="C4" s="4" t="s">
        <v>72</v>
      </c>
      <c r="D4" s="4" t="s">
        <v>73</v>
      </c>
      <c r="E4" s="4" t="s">
        <v>788</v>
      </c>
      <c r="F4" s="4" t="str">
        <f t="shared" si="0"/>
        <v>3|U|A</v>
      </c>
      <c r="G4" s="14">
        <f>INDEX('Transition Stepwise'!$J$2:$J$1137,MATCH(F4,'Transition Stepwise'!$E$2:$E$1137,0))</f>
        <v>3.7037037037037035E-2</v>
      </c>
      <c r="H4" s="14" t="e">
        <f>INDEX(Background!$D$12:$D$27,MATCH(C4&amp;D4,INDEX(Background!$A$12:$A$27,0)&amp;INDEX(Background!$B$12:$B$27,0),0))</f>
        <v>#VALUE!</v>
      </c>
      <c r="I4" s="17" t="e">
        <f t="shared" si="1"/>
        <v>#VALUE!</v>
      </c>
    </row>
    <row r="5" spans="1:9">
      <c r="A5" s="4" t="s">
        <v>747</v>
      </c>
      <c r="B5" s="4">
        <v>4</v>
      </c>
      <c r="C5" s="4" t="s">
        <v>73</v>
      </c>
      <c r="D5" s="4" t="s">
        <v>70</v>
      </c>
      <c r="E5" s="4" t="s">
        <v>788</v>
      </c>
      <c r="F5" s="4" t="str">
        <f t="shared" si="0"/>
        <v>4|A|G</v>
      </c>
      <c r="G5" s="14">
        <f>INDEX('Transition Stepwise'!$J$2:$J$1137,MATCH(F5,'Transition Stepwise'!$E$2:$E$1137,0))</f>
        <v>0.4</v>
      </c>
      <c r="H5" s="14" t="e">
        <f>INDEX(Background!$D$12:$D$27,MATCH(C5&amp;D5,INDEX(Background!$A$12:$A$27,0)&amp;INDEX(Background!$B$12:$B$27,0),0))</f>
        <v>#VALUE!</v>
      </c>
      <c r="I5" s="17" t="e">
        <f t="shared" si="1"/>
        <v>#VALUE!</v>
      </c>
    </row>
    <row r="6" spans="1:9">
      <c r="A6" s="4" t="s">
        <v>747</v>
      </c>
      <c r="B6" s="4">
        <v>5</v>
      </c>
      <c r="C6" s="4" t="s">
        <v>70</v>
      </c>
      <c r="D6" s="4" t="s">
        <v>73</v>
      </c>
      <c r="E6" s="4" t="s">
        <v>788</v>
      </c>
      <c r="F6" s="4" t="str">
        <f t="shared" si="0"/>
        <v>5|G|A</v>
      </c>
      <c r="G6" s="14">
        <f>INDEX('Transition Stepwise'!$J$2:$J$1137,MATCH(F6,'Transition Stepwise'!$E$2:$E$1137,0))</f>
        <v>0.23287671232876711</v>
      </c>
      <c r="H6" s="14" t="e">
        <f>INDEX(Background!$D$12:$D$27,MATCH(C6&amp;D6,INDEX(Background!$A$12:$A$27,0)&amp;INDEX(Background!$B$12:$B$27,0),0))</f>
        <v>#VALUE!</v>
      </c>
      <c r="I6" s="17" t="e">
        <f t="shared" si="1"/>
        <v>#VALUE!</v>
      </c>
    </row>
    <row r="7" spans="1:9">
      <c r="A7" s="4" t="s">
        <v>747</v>
      </c>
      <c r="B7" s="4">
        <v>6</v>
      </c>
      <c r="C7" s="4" t="s">
        <v>73</v>
      </c>
      <c r="D7" s="4" t="s">
        <v>70</v>
      </c>
      <c r="E7" s="4" t="s">
        <v>788</v>
      </c>
      <c r="F7" s="4" t="str">
        <f t="shared" si="0"/>
        <v>6|A|G</v>
      </c>
      <c r="G7" s="14">
        <f>INDEX('Transition Stepwise'!$J$2:$J$1137,MATCH(F7,'Transition Stepwise'!$E$2:$E$1137,0))</f>
        <v>0.39473684210526316</v>
      </c>
      <c r="H7" s="14" t="e">
        <f>INDEX(Background!$D$12:$D$27,MATCH(C7&amp;D7,INDEX(Background!$A$12:$A$27,0)&amp;INDEX(Background!$B$12:$B$27,0),0))</f>
        <v>#VALUE!</v>
      </c>
      <c r="I7" s="17" t="e">
        <f t="shared" si="1"/>
        <v>#VALUE!</v>
      </c>
    </row>
    <row r="8" spans="1:9">
      <c r="A8" s="4" t="s">
        <v>747</v>
      </c>
      <c r="B8" s="4">
        <v>7</v>
      </c>
      <c r="C8" s="4" t="s">
        <v>70</v>
      </c>
      <c r="D8" s="4" t="s">
        <v>72</v>
      </c>
      <c r="E8" s="4" t="s">
        <v>788</v>
      </c>
      <c r="F8" s="4" t="str">
        <f t="shared" si="0"/>
        <v>7|G|U</v>
      </c>
      <c r="G8" s="14">
        <f>INDEX('Transition Stepwise'!$J$2:$J$1137,MATCH(F8,'Transition Stepwise'!$E$2:$E$1137,0))</f>
        <v>0.96330275229357798</v>
      </c>
      <c r="H8" s="14" t="e">
        <f>INDEX(Background!$D$12:$D$27,MATCH(C8&amp;D8,INDEX(Background!$A$12:$A$27,0)&amp;INDEX(Background!$B$12:$B$27,0),0))</f>
        <v>#VALUE!</v>
      </c>
      <c r="I8" s="17" t="e">
        <f t="shared" si="1"/>
        <v>#VALUE!</v>
      </c>
    </row>
    <row r="9" spans="1:9">
      <c r="A9" s="4" t="s">
        <v>747</v>
      </c>
      <c r="B9" s="4">
        <v>8</v>
      </c>
      <c r="C9" s="4" t="s">
        <v>72</v>
      </c>
      <c r="D9" s="4" t="s">
        <v>71</v>
      </c>
      <c r="E9" s="4" t="s">
        <v>788</v>
      </c>
      <c r="F9" s="4" t="str">
        <f t="shared" si="0"/>
        <v>8|U|C</v>
      </c>
      <c r="G9" s="14">
        <f>INDEX('Transition Stepwise'!$J$2:$J$1137,MATCH(F9,'Transition Stepwise'!$E$2:$E$1137,0))</f>
        <v>3.482587064676617E-2</v>
      </c>
      <c r="H9" s="14" t="e">
        <f>INDEX(Background!$D$12:$D$27,MATCH(C9&amp;D9,INDEX(Background!$A$12:$A$27,0)&amp;INDEX(Background!$B$12:$B$27,0),0))</f>
        <v>#VALUE!</v>
      </c>
      <c r="I9" s="17" t="e">
        <f t="shared" si="1"/>
        <v>#VALUE!</v>
      </c>
    </row>
    <row r="10" spans="1:9">
      <c r="A10" s="4" t="s">
        <v>747</v>
      </c>
      <c r="B10" s="4">
        <v>9</v>
      </c>
      <c r="C10" s="4" t="s">
        <v>71</v>
      </c>
      <c r="D10" s="4" t="s">
        <v>73</v>
      </c>
      <c r="E10" s="4" t="s">
        <v>788</v>
      </c>
      <c r="F10" s="4" t="str">
        <f t="shared" si="0"/>
        <v>9|C|A</v>
      </c>
      <c r="G10" s="14">
        <f>INDEX('Transition Stepwise'!$J$2:$J$1137,MATCH(F10,'Transition Stepwise'!$E$2:$E$1137,0))</f>
        <v>9.0909090909090912E-2</v>
      </c>
      <c r="H10" s="14" t="e">
        <f>INDEX(Background!$D$12:$D$27,MATCH(C10&amp;D10,INDEX(Background!$A$12:$A$27,0)&amp;INDEX(Background!$B$12:$B$27,0),0))</f>
        <v>#VALUE!</v>
      </c>
      <c r="I10" s="17" t="e">
        <f t="shared" si="1"/>
        <v>#VALUE!</v>
      </c>
    </row>
    <row r="11" spans="1:9">
      <c r="A11" s="4" t="s">
        <v>747</v>
      </c>
      <c r="B11" s="4">
        <v>10</v>
      </c>
      <c r="C11" s="4" t="s">
        <v>73</v>
      </c>
      <c r="D11" s="4" t="s">
        <v>73</v>
      </c>
      <c r="E11" s="4" t="s">
        <v>788</v>
      </c>
      <c r="F11" s="4" t="str">
        <f t="shared" si="0"/>
        <v>10|A|A</v>
      </c>
      <c r="G11" s="14">
        <f>INDEX('Transition Stepwise'!$J$2:$J$1137,MATCH(F11,'Transition Stepwise'!$E$2:$E$1137,0))</f>
        <v>0.25</v>
      </c>
      <c r="H11" s="14" t="e">
        <f>INDEX(Background!$D$12:$D$27,MATCH(C11&amp;D11,INDEX(Background!$A$12:$A$27,0)&amp;INDEX(Background!$B$12:$B$27,0),0))</f>
        <v>#VALUE!</v>
      </c>
      <c r="I11" s="17" t="e">
        <f t="shared" si="1"/>
        <v>#VALUE!</v>
      </c>
    </row>
    <row r="12" spans="1:9">
      <c r="A12" s="4" t="s">
        <v>747</v>
      </c>
      <c r="B12" s="4">
        <v>11</v>
      </c>
      <c r="C12" s="4" t="s">
        <v>73</v>
      </c>
      <c r="D12" s="4" t="s">
        <v>70</v>
      </c>
      <c r="E12" s="4" t="s">
        <v>788</v>
      </c>
      <c r="F12" s="4" t="str">
        <f t="shared" si="0"/>
        <v>11|A|G</v>
      </c>
      <c r="G12" s="14">
        <f>INDEX('Transition Stepwise'!$J$2:$J$1137,MATCH(F12,'Transition Stepwise'!$E$2:$E$1137,0))</f>
        <v>0.45454545454545453</v>
      </c>
      <c r="H12" s="14" t="e">
        <f>INDEX(Background!$D$12:$D$27,MATCH(C12&amp;D12,INDEX(Background!$A$12:$A$27,0)&amp;INDEX(Background!$B$12:$B$27,0),0))</f>
        <v>#VALUE!</v>
      </c>
      <c r="I12" s="17" t="e">
        <f t="shared" si="1"/>
        <v>#VALUE!</v>
      </c>
    </row>
    <row r="13" spans="1:9">
      <c r="A13" s="4" t="s">
        <v>747</v>
      </c>
      <c r="B13" s="4">
        <v>12</v>
      </c>
      <c r="C13" s="4" t="s">
        <v>70</v>
      </c>
      <c r="D13" s="4" t="s">
        <v>73</v>
      </c>
      <c r="E13" s="4" t="s">
        <v>788</v>
      </c>
      <c r="F13" s="4" t="str">
        <f t="shared" si="0"/>
        <v>12|G|A</v>
      </c>
      <c r="G13" s="14">
        <f>INDEX('Transition Stepwise'!$J$2:$J$1137,MATCH(F13,'Transition Stepwise'!$E$2:$E$1137,0))</f>
        <v>0.14285714285714285</v>
      </c>
      <c r="H13" s="14" t="e">
        <f>INDEX(Background!$D$12:$D$27,MATCH(C13&amp;D13,INDEX(Background!$A$12:$A$27,0)&amp;INDEX(Background!$B$12:$B$27,0),0))</f>
        <v>#VALUE!</v>
      </c>
      <c r="I13" s="17" t="e">
        <f t="shared" si="1"/>
        <v>#VALUE!</v>
      </c>
    </row>
    <row r="14" spans="1:9">
      <c r="A14" s="4" t="s">
        <v>747</v>
      </c>
      <c r="B14" s="4">
        <v>13</v>
      </c>
      <c r="C14" s="4" t="s">
        <v>73</v>
      </c>
      <c r="D14" s="4" t="s">
        <v>73</v>
      </c>
      <c r="E14" s="4" t="s">
        <v>788</v>
      </c>
      <c r="F14" s="4" t="str">
        <f t="shared" si="0"/>
        <v>13|A|A</v>
      </c>
      <c r="G14" s="14">
        <f>INDEX('Transition Stepwise'!$J$2:$J$1137,MATCH(F14,'Transition Stepwise'!$E$2:$E$1137,0))</f>
        <v>0.76470588235294112</v>
      </c>
      <c r="H14" s="14" t="e">
        <f>INDEX(Background!$D$12:$D$27,MATCH(C14&amp;D14,INDEX(Background!$A$12:$A$27,0)&amp;INDEX(Background!$B$12:$B$27,0),0))</f>
        <v>#VALUE!</v>
      </c>
      <c r="I14" s="17" t="e">
        <f t="shared" si="1"/>
        <v>#VALUE!</v>
      </c>
    </row>
    <row r="15" spans="1:9">
      <c r="A15" s="4" t="s">
        <v>747</v>
      </c>
      <c r="B15" s="4">
        <v>14</v>
      </c>
      <c r="C15" s="4" t="s">
        <v>73</v>
      </c>
      <c r="D15" s="4" t="s">
        <v>73</v>
      </c>
      <c r="E15" s="4" t="s">
        <v>788</v>
      </c>
      <c r="F15" s="4" t="str">
        <f t="shared" si="0"/>
        <v>14|A|A</v>
      </c>
      <c r="G15" s="14">
        <f>INDEX('Transition Stepwise'!$J$2:$J$1137,MATCH(F15,'Transition Stepwise'!$E$2:$E$1137,0))</f>
        <v>0.16417910447761194</v>
      </c>
      <c r="H15" s="14" t="e">
        <f>INDEX(Background!$D$12:$D$27,MATCH(C15&amp;D15,INDEX(Background!$A$12:$A$27,0)&amp;INDEX(Background!$B$12:$B$27,0),0))</f>
        <v>#VALUE!</v>
      </c>
      <c r="I15" s="17" t="e">
        <f t="shared" si="1"/>
        <v>#VALUE!</v>
      </c>
    </row>
    <row r="16" spans="1:9">
      <c r="A16" s="4" t="s">
        <v>747</v>
      </c>
      <c r="B16" s="4">
        <v>15</v>
      </c>
      <c r="C16" s="4" t="s">
        <v>73</v>
      </c>
      <c r="D16" s="4" t="s">
        <v>77</v>
      </c>
      <c r="E16" s="10" t="s">
        <v>789</v>
      </c>
      <c r="F16" s="4"/>
      <c r="G16" s="4"/>
      <c r="H16" s="4"/>
      <c r="I16" s="4"/>
    </row>
    <row r="17" spans="1:9">
      <c r="A17" s="4" t="s">
        <v>747</v>
      </c>
      <c r="B17" s="4">
        <v>16</v>
      </c>
      <c r="C17" s="4" t="s">
        <v>77</v>
      </c>
      <c r="D17" s="4" t="s">
        <v>71</v>
      </c>
      <c r="E17" s="10" t="s">
        <v>789</v>
      </c>
      <c r="F17" s="4"/>
      <c r="G17" s="4"/>
      <c r="H17" s="4"/>
      <c r="I17" s="4"/>
    </row>
    <row r="18" spans="1:9">
      <c r="A18" s="4" t="s">
        <v>747</v>
      </c>
      <c r="B18" s="4">
        <v>17</v>
      </c>
      <c r="C18" s="4" t="s">
        <v>71</v>
      </c>
      <c r="D18" s="4" t="s">
        <v>70</v>
      </c>
      <c r="E18" s="4" t="s">
        <v>788</v>
      </c>
      <c r="F18" s="4" t="str">
        <f t="shared" ref="F18:F45" si="2">B18&amp;"|"&amp;C18&amp;"|"&amp;D18</f>
        <v>17|C|G</v>
      </c>
      <c r="G18" s="14">
        <f>INDEX('Transition Stepwise'!$J$2:$J$1137,MATCH(F18,'Transition Stepwise'!$E$2:$E$1137,0))</f>
        <v>0.95522388059701491</v>
      </c>
      <c r="H18" s="14" t="e">
        <f>INDEX(Background!$D$12:$D$27,MATCH(C18&amp;D18,INDEX(Background!$A$12:$A$27,0)&amp;INDEX(Background!$B$12:$B$27,0),0))</f>
        <v>#VALUE!</v>
      </c>
      <c r="I18" s="17" t="e">
        <f t="shared" ref="I18:I45" si="3">LN(G18/H18)</f>
        <v>#VALUE!</v>
      </c>
    </row>
    <row r="19" spans="1:9">
      <c r="A19" s="4" t="s">
        <v>747</v>
      </c>
      <c r="B19" s="4">
        <v>18</v>
      </c>
      <c r="C19" s="4" t="s">
        <v>70</v>
      </c>
      <c r="D19" s="4" t="s">
        <v>70</v>
      </c>
      <c r="E19" s="4" t="s">
        <v>788</v>
      </c>
      <c r="F19" s="4" t="str">
        <f t="shared" si="2"/>
        <v>18|G|G</v>
      </c>
      <c r="G19" s="14">
        <f>INDEX('Transition Stepwise'!$J$2:$J$1137,MATCH(F19,'Transition Stepwise'!$E$2:$E$1137,0))</f>
        <v>0.97536945812807885</v>
      </c>
      <c r="H19" s="14" t="e">
        <f>INDEX(Background!$D$12:$D$27,MATCH(C19&amp;D19,INDEX(Background!$A$12:$A$27,0)&amp;INDEX(Background!$B$12:$B$27,0),0))</f>
        <v>#VALUE!</v>
      </c>
      <c r="I19" s="17" t="e">
        <f t="shared" si="3"/>
        <v>#VALUE!</v>
      </c>
    </row>
    <row r="20" spans="1:9">
      <c r="A20" s="4" t="s">
        <v>747</v>
      </c>
      <c r="B20" s="4">
        <v>19</v>
      </c>
      <c r="C20" s="4" t="s">
        <v>70</v>
      </c>
      <c r="D20" s="4" t="s">
        <v>73</v>
      </c>
      <c r="E20" s="4" t="s">
        <v>788</v>
      </c>
      <c r="F20" s="4" t="str">
        <f t="shared" si="2"/>
        <v>19|G|A</v>
      </c>
      <c r="G20" s="14">
        <f>INDEX('Transition Stepwise'!$J$2:$J$1137,MATCH(F20,'Transition Stepwise'!$E$2:$E$1137,0))</f>
        <v>8.9552238805970144E-2</v>
      </c>
      <c r="H20" s="14" t="e">
        <f>INDEX(Background!$D$12:$D$27,MATCH(C20&amp;D20,INDEX(Background!$A$12:$A$27,0)&amp;INDEX(Background!$B$12:$B$27,0),0))</f>
        <v>#VALUE!</v>
      </c>
      <c r="I20" s="17" t="e">
        <f t="shared" si="3"/>
        <v>#VALUE!</v>
      </c>
    </row>
    <row r="21" spans="1:9">
      <c r="A21" s="4" t="s">
        <v>747</v>
      </c>
      <c r="B21" s="4">
        <v>20</v>
      </c>
      <c r="C21" s="4" t="s">
        <v>73</v>
      </c>
      <c r="D21" s="4" t="s">
        <v>72</v>
      </c>
      <c r="E21" s="4" t="s">
        <v>788</v>
      </c>
      <c r="F21" s="4" t="str">
        <f t="shared" si="2"/>
        <v>20|A|U</v>
      </c>
      <c r="G21" s="14">
        <f>INDEX('Transition Stepwise'!$J$2:$J$1137,MATCH(F21,'Transition Stepwise'!$E$2:$E$1137,0))</f>
        <v>9.5238095238095233E-2</v>
      </c>
      <c r="H21" s="14" t="e">
        <f>INDEX(Background!$D$12:$D$27,MATCH(C21&amp;D21,INDEX(Background!$A$12:$A$27,0)&amp;INDEX(Background!$B$12:$B$27,0),0))</f>
        <v>#VALUE!</v>
      </c>
      <c r="I21" s="17" t="e">
        <f t="shared" si="3"/>
        <v>#VALUE!</v>
      </c>
    </row>
    <row r="22" spans="1:9">
      <c r="A22" s="4" t="s">
        <v>747</v>
      </c>
      <c r="B22" s="4">
        <v>21</v>
      </c>
      <c r="C22" s="4" t="s">
        <v>72</v>
      </c>
      <c r="D22" s="4" t="s">
        <v>72</v>
      </c>
      <c r="E22" s="4" t="s">
        <v>788</v>
      </c>
      <c r="F22" s="4" t="str">
        <f t="shared" si="2"/>
        <v>21|U|U</v>
      </c>
      <c r="G22" s="14">
        <f>INDEX('Transition Stepwise'!$J$2:$J$1137,MATCH(F22,'Transition Stepwise'!$E$2:$E$1137,0))</f>
        <v>0.2857142857142857</v>
      </c>
      <c r="H22" s="14" t="e">
        <f>INDEX(Background!$D$12:$D$27,MATCH(C22&amp;D22,INDEX(Background!$A$12:$A$27,0)&amp;INDEX(Background!$B$12:$B$27,0),0))</f>
        <v>#VALUE!</v>
      </c>
      <c r="I22" s="17" t="e">
        <f t="shared" si="3"/>
        <v>#VALUE!</v>
      </c>
    </row>
    <row r="23" spans="1:9">
      <c r="A23" s="4" t="s">
        <v>747</v>
      </c>
      <c r="B23" s="4">
        <v>22</v>
      </c>
      <c r="C23" s="4" t="s">
        <v>72</v>
      </c>
      <c r="D23" s="4" t="s">
        <v>71</v>
      </c>
      <c r="E23" s="4" t="s">
        <v>788</v>
      </c>
      <c r="F23" s="4" t="str">
        <f t="shared" si="2"/>
        <v>22|U|C</v>
      </c>
      <c r="G23" s="14">
        <f>INDEX('Transition Stepwise'!$J$2:$J$1137,MATCH(F23,'Transition Stepwise'!$E$2:$E$1137,0))</f>
        <v>0.33333333333333331</v>
      </c>
      <c r="H23" s="14" t="e">
        <f>INDEX(Background!$D$12:$D$27,MATCH(C23&amp;D23,INDEX(Background!$A$12:$A$27,0)&amp;INDEX(Background!$B$12:$B$27,0),0))</f>
        <v>#VALUE!</v>
      </c>
      <c r="I23" s="17" t="e">
        <f t="shared" si="3"/>
        <v>#VALUE!</v>
      </c>
    </row>
    <row r="24" spans="1:9">
      <c r="A24" s="4" t="s">
        <v>747</v>
      </c>
      <c r="B24" s="4">
        <v>23</v>
      </c>
      <c r="C24" s="4" t="s">
        <v>71</v>
      </c>
      <c r="D24" s="4" t="s">
        <v>73</v>
      </c>
      <c r="E24" s="4" t="s">
        <v>788</v>
      </c>
      <c r="F24" s="4" t="str">
        <f t="shared" si="2"/>
        <v>23|C|A</v>
      </c>
      <c r="G24" s="14">
        <f>INDEX('Transition Stepwise'!$J$2:$J$1137,MATCH(F24,'Transition Stepwise'!$E$2:$E$1137,0))</f>
        <v>0.2857142857142857</v>
      </c>
      <c r="H24" s="14" t="e">
        <f>INDEX(Background!$D$12:$D$27,MATCH(C24&amp;D24,INDEX(Background!$A$12:$A$27,0)&amp;INDEX(Background!$B$12:$B$27,0),0))</f>
        <v>#VALUE!</v>
      </c>
      <c r="I24" s="17" t="e">
        <f t="shared" si="3"/>
        <v>#VALUE!</v>
      </c>
    </row>
    <row r="25" spans="1:9">
      <c r="A25" s="4" t="s">
        <v>747</v>
      </c>
      <c r="B25" s="4">
        <v>24</v>
      </c>
      <c r="C25" s="4" t="s">
        <v>73</v>
      </c>
      <c r="D25" s="4" t="s">
        <v>72</v>
      </c>
      <c r="E25" s="4" t="s">
        <v>788</v>
      </c>
      <c r="F25" s="4" t="str">
        <f t="shared" si="2"/>
        <v>24|A|U</v>
      </c>
      <c r="G25" s="14">
        <f>INDEX('Transition Stepwise'!$J$2:$J$1137,MATCH(F25,'Transition Stepwise'!$E$2:$E$1137,0))</f>
        <v>0.26829268292682928</v>
      </c>
      <c r="H25" s="14" t="e">
        <f>INDEX(Background!$D$12:$D$27,MATCH(C25&amp;D25,INDEX(Background!$A$12:$A$27,0)&amp;INDEX(Background!$B$12:$B$27,0),0))</f>
        <v>#VALUE!</v>
      </c>
      <c r="I25" s="17" t="e">
        <f t="shared" si="3"/>
        <v>#VALUE!</v>
      </c>
    </row>
    <row r="26" spans="1:9">
      <c r="A26" s="4" t="s">
        <v>747</v>
      </c>
      <c r="B26" s="4">
        <v>25</v>
      </c>
      <c r="C26" s="4" t="s">
        <v>72</v>
      </c>
      <c r="D26" s="4" t="s">
        <v>71</v>
      </c>
      <c r="E26" s="4" t="s">
        <v>788</v>
      </c>
      <c r="F26" s="4" t="str">
        <f t="shared" si="2"/>
        <v>25|U|C</v>
      </c>
      <c r="G26" s="14">
        <f>INDEX('Transition Stepwise'!$J$2:$J$1137,MATCH(F26,'Transition Stepwise'!$E$2:$E$1137,0))</f>
        <v>0.16666666666666666</v>
      </c>
      <c r="H26" s="14" t="e">
        <f>INDEX(Background!$D$12:$D$27,MATCH(C26&amp;D26,INDEX(Background!$A$12:$A$27,0)&amp;INDEX(Background!$B$12:$B$27,0),0))</f>
        <v>#VALUE!</v>
      </c>
      <c r="I26" s="17" t="e">
        <f t="shared" si="3"/>
        <v>#VALUE!</v>
      </c>
    </row>
    <row r="27" spans="1:9">
      <c r="A27" s="4" t="s">
        <v>747</v>
      </c>
      <c r="B27" s="4">
        <v>26</v>
      </c>
      <c r="C27" s="4" t="s">
        <v>71</v>
      </c>
      <c r="D27" s="4" t="s">
        <v>72</v>
      </c>
      <c r="E27" s="4" t="s">
        <v>788</v>
      </c>
      <c r="F27" s="4" t="str">
        <f t="shared" si="2"/>
        <v>26|C|U</v>
      </c>
      <c r="G27" s="14">
        <f>INDEX('Transition Stepwise'!$J$2:$J$1137,MATCH(F27,'Transition Stepwise'!$E$2:$E$1137,0))</f>
        <v>0.33333333333333331</v>
      </c>
      <c r="H27" s="14" t="e">
        <f>INDEX(Background!$D$12:$D$27,MATCH(C27&amp;D27,INDEX(Background!$A$12:$A$27,0)&amp;INDEX(Background!$B$12:$B$27,0),0))</f>
        <v>#VALUE!</v>
      </c>
      <c r="I27" s="17" t="e">
        <f t="shared" si="3"/>
        <v>#VALUE!</v>
      </c>
    </row>
    <row r="28" spans="1:9">
      <c r="A28" s="4" t="s">
        <v>747</v>
      </c>
      <c r="B28" s="4">
        <v>27</v>
      </c>
      <c r="C28" s="4" t="s">
        <v>72</v>
      </c>
      <c r="D28" s="4" t="s">
        <v>70</v>
      </c>
      <c r="E28" s="4" t="s">
        <v>788</v>
      </c>
      <c r="F28" s="4" t="str">
        <f t="shared" si="2"/>
        <v>27|U|G</v>
      </c>
      <c r="G28" s="14">
        <f>INDEX('Transition Stepwise'!$J$2:$J$1137,MATCH(F28,'Transition Stepwise'!$E$2:$E$1137,0))</f>
        <v>0.10714285714285714</v>
      </c>
      <c r="H28" s="14" t="e">
        <f>INDEX(Background!$D$12:$D$27,MATCH(C28&amp;D28,INDEX(Background!$A$12:$A$27,0)&amp;INDEX(Background!$B$12:$B$27,0),0))</f>
        <v>#VALUE!</v>
      </c>
      <c r="I28" s="17" t="e">
        <f t="shared" si="3"/>
        <v>#VALUE!</v>
      </c>
    </row>
    <row r="29" spans="1:9">
      <c r="A29" s="4" t="s">
        <v>747</v>
      </c>
      <c r="B29" s="4">
        <v>28</v>
      </c>
      <c r="C29" s="4" t="s">
        <v>70</v>
      </c>
      <c r="D29" s="4" t="s">
        <v>72</v>
      </c>
      <c r="E29" s="4" t="s">
        <v>788</v>
      </c>
      <c r="F29" s="4" t="str">
        <f t="shared" si="2"/>
        <v>28|G|U</v>
      </c>
      <c r="G29" s="14">
        <f>INDEX('Transition Stepwise'!$J$2:$J$1137,MATCH(F29,'Transition Stepwise'!$E$2:$E$1137,0))</f>
        <v>7.6923076923076927E-2</v>
      </c>
      <c r="H29" s="14" t="e">
        <f>INDEX(Background!$D$12:$D$27,MATCH(C29&amp;D29,INDEX(Background!$A$12:$A$27,0)&amp;INDEX(Background!$B$12:$B$27,0),0))</f>
        <v>#VALUE!</v>
      </c>
      <c r="I29" s="17" t="e">
        <f t="shared" si="3"/>
        <v>#VALUE!</v>
      </c>
    </row>
    <row r="30" spans="1:9">
      <c r="A30" s="4" t="s">
        <v>747</v>
      </c>
      <c r="B30" s="4">
        <v>29</v>
      </c>
      <c r="C30" s="4" t="s">
        <v>72</v>
      </c>
      <c r="D30" s="4" t="s">
        <v>73</v>
      </c>
      <c r="E30" s="4" t="s">
        <v>788</v>
      </c>
      <c r="F30" s="4" t="str">
        <f t="shared" si="2"/>
        <v>29|U|A</v>
      </c>
      <c r="G30" s="14">
        <f>INDEX('Transition Stepwise'!$J$2:$J$1137,MATCH(F30,'Transition Stepwise'!$E$2:$E$1137,0))</f>
        <v>1.6949152542372881E-2</v>
      </c>
      <c r="H30" s="14" t="e">
        <f>INDEX(Background!$D$12:$D$27,MATCH(C30&amp;D30,INDEX(Background!$A$12:$A$27,0)&amp;INDEX(Background!$B$12:$B$27,0),0))</f>
        <v>#VALUE!</v>
      </c>
      <c r="I30" s="17" t="e">
        <f t="shared" si="3"/>
        <v>#VALUE!</v>
      </c>
    </row>
    <row r="31" spans="1:9">
      <c r="A31" s="4" t="s">
        <v>747</v>
      </c>
      <c r="B31" s="4">
        <v>30</v>
      </c>
      <c r="C31" s="4" t="s">
        <v>73</v>
      </c>
      <c r="D31" s="4" t="s">
        <v>73</v>
      </c>
      <c r="E31" s="4" t="s">
        <v>788</v>
      </c>
      <c r="F31" s="4" t="str">
        <f t="shared" si="2"/>
        <v>30|A|A</v>
      </c>
      <c r="G31" s="14">
        <f>INDEX('Transition Stepwise'!$J$2:$J$1137,MATCH(F31,'Transition Stepwise'!$E$2:$E$1137,0))</f>
        <v>0.25</v>
      </c>
      <c r="H31" s="14" t="e">
        <f>INDEX(Background!$D$12:$D$27,MATCH(C31&amp;D31,INDEX(Background!$A$12:$A$27,0)&amp;INDEX(Background!$B$12:$B$27,0),0))</f>
        <v>#VALUE!</v>
      </c>
      <c r="I31" s="17" t="e">
        <f t="shared" si="3"/>
        <v>#VALUE!</v>
      </c>
    </row>
    <row r="32" spans="1:9">
      <c r="A32" s="4" t="s">
        <v>747</v>
      </c>
      <c r="B32" s="4">
        <v>31</v>
      </c>
      <c r="C32" s="4" t="s">
        <v>73</v>
      </c>
      <c r="D32" s="4" t="s">
        <v>72</v>
      </c>
      <c r="E32" s="4" t="s">
        <v>788</v>
      </c>
      <c r="F32" s="4" t="str">
        <f t="shared" si="2"/>
        <v>31|A|U</v>
      </c>
      <c r="G32" s="14">
        <f>INDEX('Transition Stepwise'!$J$2:$J$1137,MATCH(F32,'Transition Stepwise'!$E$2:$E$1137,0))</f>
        <v>0.13793103448275862</v>
      </c>
      <c r="H32" s="14" t="e">
        <f>INDEX(Background!$D$12:$D$27,MATCH(C32&amp;D32,INDEX(Background!$A$12:$A$27,0)&amp;INDEX(Background!$B$12:$B$27,0),0))</f>
        <v>#VALUE!</v>
      </c>
      <c r="I32" s="17" t="e">
        <f t="shared" si="3"/>
        <v>#VALUE!</v>
      </c>
    </row>
    <row r="33" spans="1:9">
      <c r="A33" s="4" t="s">
        <v>747</v>
      </c>
      <c r="B33" s="4">
        <v>32</v>
      </c>
      <c r="C33" s="4" t="s">
        <v>72</v>
      </c>
      <c r="D33" s="4" t="s">
        <v>72</v>
      </c>
      <c r="E33" s="4" t="s">
        <v>788</v>
      </c>
      <c r="F33" s="4" t="str">
        <f t="shared" si="2"/>
        <v>32|U|U</v>
      </c>
      <c r="G33" s="14">
        <f>INDEX('Transition Stepwise'!$J$2:$J$1137,MATCH(F33,'Transition Stepwise'!$E$2:$E$1137,0))</f>
        <v>0.93650793650793651</v>
      </c>
      <c r="H33" s="14" t="e">
        <f>INDEX(Background!$D$12:$D$27,MATCH(C33&amp;D33,INDEX(Background!$A$12:$A$27,0)&amp;INDEX(Background!$B$12:$B$27,0),0))</f>
        <v>#VALUE!</v>
      </c>
      <c r="I33" s="17" t="e">
        <f t="shared" si="3"/>
        <v>#VALUE!</v>
      </c>
    </row>
    <row r="34" spans="1:9">
      <c r="A34" s="4" t="s">
        <v>747</v>
      </c>
      <c r="B34" s="4">
        <v>33</v>
      </c>
      <c r="C34" s="4" t="s">
        <v>72</v>
      </c>
      <c r="D34" s="4" t="s">
        <v>72</v>
      </c>
      <c r="E34" s="4" t="s">
        <v>788</v>
      </c>
      <c r="F34" s="4" t="str">
        <f t="shared" si="2"/>
        <v>33|U|U</v>
      </c>
      <c r="G34" s="14">
        <f>INDEX('Transition Stepwise'!$J$2:$J$1137,MATCH(F34,'Transition Stepwise'!$E$2:$E$1137,0))</f>
        <v>0.29207920792079206</v>
      </c>
      <c r="H34" s="14" t="e">
        <f>INDEX(Background!$D$12:$D$27,MATCH(C34&amp;D34,INDEX(Background!$A$12:$A$27,0)&amp;INDEX(Background!$B$12:$B$27,0),0))</f>
        <v>#VALUE!</v>
      </c>
      <c r="I34" s="17" t="e">
        <f t="shared" si="3"/>
        <v>#VALUE!</v>
      </c>
    </row>
    <row r="35" spans="1:9">
      <c r="A35" s="4" t="s">
        <v>747</v>
      </c>
      <c r="B35" s="4">
        <v>34</v>
      </c>
      <c r="C35" s="4" t="s">
        <v>72</v>
      </c>
      <c r="D35" s="4" t="s">
        <v>72</v>
      </c>
      <c r="E35" s="4" t="s">
        <v>788</v>
      </c>
      <c r="F35" s="4" t="str">
        <f t="shared" si="2"/>
        <v>34|U|U</v>
      </c>
      <c r="G35" s="14">
        <f>INDEX('Transition Stepwise'!$J$2:$J$1137,MATCH(F35,'Transition Stepwise'!$E$2:$E$1137,0))</f>
        <v>0.17741935483870969</v>
      </c>
      <c r="H35" s="14" t="e">
        <f>INDEX(Background!$D$12:$D$27,MATCH(C35&amp;D35,INDEX(Background!$A$12:$A$27,0)&amp;INDEX(Background!$B$12:$B$27,0),0))</f>
        <v>#VALUE!</v>
      </c>
      <c r="I35" s="17" t="e">
        <f t="shared" si="3"/>
        <v>#VALUE!</v>
      </c>
    </row>
    <row r="36" spans="1:9">
      <c r="A36" s="4" t="s">
        <v>747</v>
      </c>
      <c r="B36" s="4">
        <v>35</v>
      </c>
      <c r="C36" s="4" t="s">
        <v>72</v>
      </c>
      <c r="D36" s="4" t="s">
        <v>73</v>
      </c>
      <c r="E36" s="4" t="s">
        <v>788</v>
      </c>
      <c r="F36" s="4" t="str">
        <f t="shared" si="2"/>
        <v>35|U|A</v>
      </c>
      <c r="G36" s="14">
        <f>INDEX('Transition Stepwise'!$J$2:$J$1137,MATCH(F36,'Transition Stepwise'!$E$2:$E$1137,0))</f>
        <v>0.17777777777777778</v>
      </c>
      <c r="H36" s="14" t="e">
        <f>INDEX(Background!$D$12:$D$27,MATCH(C36&amp;D36,INDEX(Background!$A$12:$A$27,0)&amp;INDEX(Background!$B$12:$B$27,0),0))</f>
        <v>#VALUE!</v>
      </c>
      <c r="I36" s="17" t="e">
        <f t="shared" si="3"/>
        <v>#VALUE!</v>
      </c>
    </row>
    <row r="37" spans="1:9">
      <c r="A37" s="4" t="s">
        <v>747</v>
      </c>
      <c r="B37" s="4">
        <v>36</v>
      </c>
      <c r="C37" s="4" t="s">
        <v>73</v>
      </c>
      <c r="D37" s="4" t="s">
        <v>73</v>
      </c>
      <c r="E37" s="4" t="s">
        <v>788</v>
      </c>
      <c r="F37" s="4" t="str">
        <f t="shared" si="2"/>
        <v>36|A|A</v>
      </c>
      <c r="G37" s="14">
        <f>INDEX('Transition Stepwise'!$J$2:$J$1137,MATCH(F37,'Transition Stepwise'!$E$2:$E$1137,0))</f>
        <v>0.55319148936170215</v>
      </c>
      <c r="H37" s="14" t="e">
        <f>INDEX(Background!$D$12:$D$27,MATCH(C37&amp;D37,INDEX(Background!$A$12:$A$27,0)&amp;INDEX(Background!$B$12:$B$27,0),0))</f>
        <v>#VALUE!</v>
      </c>
      <c r="I37" s="17" t="e">
        <f t="shared" si="3"/>
        <v>#VALUE!</v>
      </c>
    </row>
    <row r="38" spans="1:9">
      <c r="A38" s="4" t="s">
        <v>747</v>
      </c>
      <c r="B38" s="4">
        <v>37</v>
      </c>
      <c r="C38" s="4" t="s">
        <v>73</v>
      </c>
      <c r="D38" s="4" t="s">
        <v>73</v>
      </c>
      <c r="E38" s="4" t="s">
        <v>788</v>
      </c>
      <c r="F38" s="4" t="str">
        <f t="shared" si="2"/>
        <v>37|A|A</v>
      </c>
      <c r="G38" s="14">
        <f>INDEX('Transition Stepwise'!$J$2:$J$1137,MATCH(F38,'Transition Stepwise'!$E$2:$E$1137,0))</f>
        <v>0.74838709677419357</v>
      </c>
      <c r="H38" s="14" t="e">
        <f>INDEX(Background!$D$12:$D$27,MATCH(C38&amp;D38,INDEX(Background!$A$12:$A$27,0)&amp;INDEX(Background!$B$12:$B$27,0),0))</f>
        <v>#VALUE!</v>
      </c>
      <c r="I38" s="17" t="e">
        <f t="shared" si="3"/>
        <v>#VALUE!</v>
      </c>
    </row>
    <row r="39" spans="1:9">
      <c r="A39" s="4" t="s">
        <v>747</v>
      </c>
      <c r="B39" s="4">
        <v>38</v>
      </c>
      <c r="C39" s="4" t="s">
        <v>73</v>
      </c>
      <c r="D39" s="4" t="s">
        <v>72</v>
      </c>
      <c r="E39" s="4" t="s">
        <v>788</v>
      </c>
      <c r="F39" s="4" t="str">
        <f t="shared" si="2"/>
        <v>38|A|U</v>
      </c>
      <c r="G39" s="14">
        <f>INDEX('Transition Stepwise'!$J$2:$J$1137,MATCH(F39,'Transition Stepwise'!$E$2:$E$1137,0))</f>
        <v>0.33774834437086093</v>
      </c>
      <c r="H39" s="14" t="e">
        <f>INDEX(Background!$D$12:$D$27,MATCH(C39&amp;D39,INDEX(Background!$A$12:$A$27,0)&amp;INDEX(Background!$B$12:$B$27,0),0))</f>
        <v>#VALUE!</v>
      </c>
      <c r="I39" s="17" t="e">
        <f t="shared" si="3"/>
        <v>#VALUE!</v>
      </c>
    </row>
    <row r="40" spans="1:9">
      <c r="A40" s="4" t="s">
        <v>747</v>
      </c>
      <c r="B40" s="4">
        <v>39</v>
      </c>
      <c r="C40" s="4" t="s">
        <v>72</v>
      </c>
      <c r="D40" s="4" t="s">
        <v>72</v>
      </c>
      <c r="E40" s="4" t="s">
        <v>788</v>
      </c>
      <c r="F40" s="4" t="str">
        <f t="shared" si="2"/>
        <v>39|U|U</v>
      </c>
      <c r="G40" s="14">
        <f>INDEX('Transition Stepwise'!$J$2:$J$1137,MATCH(F40,'Transition Stepwise'!$E$2:$E$1137,0))</f>
        <v>3.1746031746031744E-2</v>
      </c>
      <c r="H40" s="14" t="e">
        <f>INDEX(Background!$D$12:$D$27,MATCH(C40&amp;D40,INDEX(Background!$A$12:$A$27,0)&amp;INDEX(Background!$B$12:$B$27,0),0))</f>
        <v>#VALUE!</v>
      </c>
      <c r="I40" s="17" t="e">
        <f t="shared" si="3"/>
        <v>#VALUE!</v>
      </c>
    </row>
    <row r="41" spans="1:9">
      <c r="A41" s="4" t="s">
        <v>747</v>
      </c>
      <c r="B41" s="4">
        <v>40</v>
      </c>
      <c r="C41" s="4" t="s">
        <v>72</v>
      </c>
      <c r="D41" s="4" t="s">
        <v>73</v>
      </c>
      <c r="E41" s="4" t="s">
        <v>788</v>
      </c>
      <c r="F41" s="4" t="str">
        <f t="shared" si="2"/>
        <v>40|U|A</v>
      </c>
      <c r="G41" s="14">
        <f>INDEX('Transition Stepwise'!$J$2:$J$1137,MATCH(F41,'Transition Stepwise'!$E$2:$E$1137,0))</f>
        <v>0.25</v>
      </c>
      <c r="H41" s="14" t="e">
        <f>INDEX(Background!$D$12:$D$27,MATCH(C41&amp;D41,INDEX(Background!$A$12:$A$27,0)&amp;INDEX(Background!$B$12:$B$27,0),0))</f>
        <v>#VALUE!</v>
      </c>
      <c r="I41" s="17" t="e">
        <f t="shared" si="3"/>
        <v>#VALUE!</v>
      </c>
    </row>
    <row r="42" spans="1:9">
      <c r="A42" s="4" t="s">
        <v>747</v>
      </c>
      <c r="B42" s="4">
        <v>41</v>
      </c>
      <c r="C42" s="4" t="s">
        <v>73</v>
      </c>
      <c r="D42" s="4" t="s">
        <v>71</v>
      </c>
      <c r="E42" s="4" t="s">
        <v>788</v>
      </c>
      <c r="F42" s="4" t="str">
        <f t="shared" si="2"/>
        <v>41|A|C</v>
      </c>
      <c r="G42" s="14">
        <f>INDEX('Transition Stepwise'!$J$2:$J$1137,MATCH(F42,'Transition Stepwise'!$E$2:$E$1137,0))</f>
        <v>3.4482758620689655E-2</v>
      </c>
      <c r="H42" s="14" t="e">
        <f>INDEX(Background!$D$12:$D$27,MATCH(C42&amp;D42,INDEX(Background!$A$12:$A$27,0)&amp;INDEX(Background!$B$12:$B$27,0),0))</f>
        <v>#VALUE!</v>
      </c>
      <c r="I42" s="17" t="e">
        <f t="shared" si="3"/>
        <v>#VALUE!</v>
      </c>
    </row>
    <row r="43" spans="1:9">
      <c r="A43" s="4" t="s">
        <v>747</v>
      </c>
      <c r="B43" s="4">
        <v>42</v>
      </c>
      <c r="C43" s="4" t="s">
        <v>71</v>
      </c>
      <c r="D43" s="4" t="s">
        <v>73</v>
      </c>
      <c r="E43" s="4" t="s">
        <v>788</v>
      </c>
      <c r="F43" s="4" t="str">
        <f t="shared" si="2"/>
        <v>42|C|A</v>
      </c>
      <c r="G43" s="14">
        <f>INDEX('Transition Stepwise'!$J$2:$J$1137,MATCH(F43,'Transition Stepwise'!$E$2:$E$1137,0))</f>
        <v>0.25</v>
      </c>
      <c r="H43" s="14" t="e">
        <f>INDEX(Background!$D$12:$D$27,MATCH(C43&amp;D43,INDEX(Background!$A$12:$A$27,0)&amp;INDEX(Background!$B$12:$B$27,0),0))</f>
        <v>#VALUE!</v>
      </c>
      <c r="I43" s="17" t="e">
        <f t="shared" si="3"/>
        <v>#VALUE!</v>
      </c>
    </row>
    <row r="44" spans="1:9">
      <c r="A44" s="4" t="s">
        <v>747</v>
      </c>
      <c r="B44" s="4">
        <v>43</v>
      </c>
      <c r="C44" s="4" t="s">
        <v>73</v>
      </c>
      <c r="D44" s="4" t="s">
        <v>70</v>
      </c>
      <c r="E44" s="4" t="s">
        <v>788</v>
      </c>
      <c r="F44" s="4" t="str">
        <f t="shared" si="2"/>
        <v>43|A|G</v>
      </c>
      <c r="G44" s="14">
        <f>INDEX('Transition Stepwise'!$J$2:$J$1137,MATCH(F44,'Transition Stepwise'!$E$2:$E$1137,0))</f>
        <v>0.2857142857142857</v>
      </c>
      <c r="H44" s="14" t="e">
        <f>INDEX(Background!$D$12:$D$27,MATCH(C44&amp;D44,INDEX(Background!$A$12:$A$27,0)&amp;INDEX(Background!$B$12:$B$27,0),0))</f>
        <v>#VALUE!</v>
      </c>
      <c r="I44" s="17" t="e">
        <f t="shared" si="3"/>
        <v>#VALUE!</v>
      </c>
    </row>
    <row r="45" spans="1:9">
      <c r="A45" s="4" t="s">
        <v>747</v>
      </c>
      <c r="B45" s="4">
        <v>44</v>
      </c>
      <c r="C45" s="4" t="s">
        <v>70</v>
      </c>
      <c r="D45" s="4" t="s">
        <v>72</v>
      </c>
      <c r="E45" s="4" t="s">
        <v>788</v>
      </c>
      <c r="F45" s="4" t="str">
        <f t="shared" si="2"/>
        <v>44|G|U</v>
      </c>
      <c r="G45" s="14">
        <f>INDEX('Transition Stepwise'!$J$2:$J$1137,MATCH(F45,'Transition Stepwise'!$E$2:$E$1137,0))</f>
        <v>0.16</v>
      </c>
      <c r="H45" s="14" t="e">
        <f>INDEX(Background!$D$12:$D$27,MATCH(C45&amp;D45,INDEX(Background!$A$12:$A$27,0)&amp;INDEX(Background!$B$12:$B$27,0),0))</f>
        <v>#VALUE!</v>
      </c>
      <c r="I45" s="17" t="e">
        <f t="shared" si="3"/>
        <v>#VALUE!</v>
      </c>
    </row>
    <row r="46" spans="1:9">
      <c r="A46" s="4" t="s">
        <v>747</v>
      </c>
      <c r="B46" s="4">
        <v>45</v>
      </c>
      <c r="C46" s="4" t="s">
        <v>72</v>
      </c>
      <c r="D46" s="4" t="s">
        <v>77</v>
      </c>
      <c r="E46" s="10" t="s">
        <v>789</v>
      </c>
      <c r="F46" s="4"/>
      <c r="G46" s="4"/>
      <c r="H46" s="4"/>
      <c r="I46" s="4"/>
    </row>
    <row r="47" spans="1:9">
      <c r="A47" s="4" t="s">
        <v>747</v>
      </c>
      <c r="B47" s="4">
        <v>46</v>
      </c>
      <c r="C47" s="4" t="s">
        <v>77</v>
      </c>
      <c r="D47" s="4" t="s">
        <v>72</v>
      </c>
      <c r="E47" s="10" t="s">
        <v>789</v>
      </c>
      <c r="F47" s="4"/>
      <c r="G47" s="4"/>
      <c r="H47" s="4"/>
      <c r="I47" s="4"/>
    </row>
    <row r="48" spans="1:9">
      <c r="A48" s="4" t="s">
        <v>747</v>
      </c>
      <c r="B48" s="4">
        <v>47</v>
      </c>
      <c r="C48" s="4" t="s">
        <v>72</v>
      </c>
      <c r="D48" s="4" t="s">
        <v>72</v>
      </c>
      <c r="E48" s="4" t="s">
        <v>788</v>
      </c>
      <c r="F48" s="4" t="str">
        <f t="shared" ref="F48:F79" si="4">B48&amp;"|"&amp;C48&amp;"|"&amp;D48</f>
        <v>47|U|U</v>
      </c>
      <c r="G48" s="14">
        <f>INDEX('Transition Stepwise'!$J$2:$J$1137,MATCH(F48,'Transition Stepwise'!$E$2:$E$1137,0))</f>
        <v>0.1223021582733813</v>
      </c>
      <c r="H48" s="14" t="e">
        <f>INDEX(Background!$D$12:$D$27,MATCH(C48&amp;D48,INDEX(Background!$A$12:$A$27,0)&amp;INDEX(Background!$B$12:$B$27,0),0))</f>
        <v>#VALUE!</v>
      </c>
      <c r="I48" s="17" t="e">
        <f t="shared" ref="I48:I79" si="5">LN(G48/H48)</f>
        <v>#VALUE!</v>
      </c>
    </row>
    <row r="49" spans="1:9">
      <c r="A49" s="4" t="s">
        <v>747</v>
      </c>
      <c r="B49" s="4">
        <v>48</v>
      </c>
      <c r="C49" s="4" t="s">
        <v>72</v>
      </c>
      <c r="D49" s="4" t="s">
        <v>72</v>
      </c>
      <c r="E49" s="4" t="s">
        <v>788</v>
      </c>
      <c r="F49" s="4" t="str">
        <f t="shared" si="4"/>
        <v>48|U|U</v>
      </c>
      <c r="G49" s="14">
        <f>INDEX('Transition Stepwise'!$J$2:$J$1137,MATCH(F49,'Transition Stepwise'!$E$2:$E$1137,0))</f>
        <v>9.0909090909090912E-2</v>
      </c>
      <c r="H49" s="14" t="e">
        <f>INDEX(Background!$D$12:$D$27,MATCH(C49&amp;D49,INDEX(Background!$A$12:$A$27,0)&amp;INDEX(Background!$B$12:$B$27,0),0))</f>
        <v>#VALUE!</v>
      </c>
      <c r="I49" s="17" t="e">
        <f t="shared" si="5"/>
        <v>#VALUE!</v>
      </c>
    </row>
    <row r="50" spans="1:9">
      <c r="A50" s="4" t="s">
        <v>747</v>
      </c>
      <c r="B50" s="4">
        <v>49</v>
      </c>
      <c r="C50" s="4" t="s">
        <v>72</v>
      </c>
      <c r="D50" s="4" t="s">
        <v>73</v>
      </c>
      <c r="E50" s="4" t="s">
        <v>788</v>
      </c>
      <c r="F50" s="4" t="str">
        <f t="shared" si="4"/>
        <v>49|U|A</v>
      </c>
      <c r="G50" s="14">
        <f>INDEX('Transition Stepwise'!$J$2:$J$1137,MATCH(F50,'Transition Stepwise'!$E$2:$E$1137,0))</f>
        <v>0.2</v>
      </c>
      <c r="H50" s="14" t="e">
        <f>INDEX(Background!$D$12:$D$27,MATCH(C50&amp;D50,INDEX(Background!$A$12:$A$27,0)&amp;INDEX(Background!$B$12:$B$27,0),0))</f>
        <v>#VALUE!</v>
      </c>
      <c r="I50" s="17" t="e">
        <f t="shared" si="5"/>
        <v>#VALUE!</v>
      </c>
    </row>
    <row r="51" spans="1:9">
      <c r="A51" s="4" t="s">
        <v>747</v>
      </c>
      <c r="B51" s="4">
        <v>50</v>
      </c>
      <c r="C51" s="4" t="s">
        <v>73</v>
      </c>
      <c r="D51" s="4" t="s">
        <v>70</v>
      </c>
      <c r="E51" s="4" t="s">
        <v>788</v>
      </c>
      <c r="F51" s="4" t="str">
        <f t="shared" si="4"/>
        <v>50|A|G</v>
      </c>
      <c r="G51" s="14">
        <f>INDEX('Transition Stepwise'!$J$2:$J$1137,MATCH(F51,'Transition Stepwise'!$E$2:$E$1137,0))</f>
        <v>0.62962962962962965</v>
      </c>
      <c r="H51" s="14" t="e">
        <f>INDEX(Background!$D$12:$D$27,MATCH(C51&amp;D51,INDEX(Background!$A$12:$A$27,0)&amp;INDEX(Background!$B$12:$B$27,0),0))</f>
        <v>#VALUE!</v>
      </c>
      <c r="I51" s="17" t="e">
        <f t="shared" si="5"/>
        <v>#VALUE!</v>
      </c>
    </row>
    <row r="52" spans="1:9">
      <c r="A52" s="4" t="s">
        <v>747</v>
      </c>
      <c r="B52" s="4">
        <v>51</v>
      </c>
      <c r="C52" s="4" t="s">
        <v>70</v>
      </c>
      <c r="D52" s="4" t="s">
        <v>70</v>
      </c>
      <c r="E52" s="4" t="s">
        <v>788</v>
      </c>
      <c r="F52" s="4" t="str">
        <f t="shared" si="4"/>
        <v>51|G|G</v>
      </c>
      <c r="G52" s="14">
        <f>INDEX('Transition Stepwise'!$J$2:$J$1137,MATCH(F52,'Transition Stepwise'!$E$2:$E$1137,0))</f>
        <v>0.78640776699029125</v>
      </c>
      <c r="H52" s="14" t="e">
        <f>INDEX(Background!$D$12:$D$27,MATCH(C52&amp;D52,INDEX(Background!$A$12:$A$27,0)&amp;INDEX(Background!$B$12:$B$27,0),0))</f>
        <v>#VALUE!</v>
      </c>
      <c r="I52" s="17" t="e">
        <f t="shared" si="5"/>
        <v>#VALUE!</v>
      </c>
    </row>
    <row r="53" spans="1:9">
      <c r="A53" s="4" t="s">
        <v>747</v>
      </c>
      <c r="B53" s="4">
        <v>52</v>
      </c>
      <c r="C53" s="4" t="s">
        <v>70</v>
      </c>
      <c r="D53" s="4" t="s">
        <v>70</v>
      </c>
      <c r="E53" s="4" t="s">
        <v>788</v>
      </c>
      <c r="F53" s="4" t="str">
        <f t="shared" si="4"/>
        <v>52|G|G</v>
      </c>
      <c r="G53" s="14">
        <f>INDEX('Transition Stepwise'!$J$2:$J$1137,MATCH(F53,'Transition Stepwise'!$E$2:$E$1137,0))</f>
        <v>0.96511627906976749</v>
      </c>
      <c r="H53" s="14" t="e">
        <f>INDEX(Background!$D$12:$D$27,MATCH(C53&amp;D53,INDEX(Background!$A$12:$A$27,0)&amp;INDEX(Background!$B$12:$B$27,0),0))</f>
        <v>#VALUE!</v>
      </c>
      <c r="I53" s="17" t="e">
        <f t="shared" si="5"/>
        <v>#VALUE!</v>
      </c>
    </row>
    <row r="54" spans="1:9">
      <c r="A54" s="4" t="s">
        <v>747</v>
      </c>
      <c r="B54" s="4">
        <v>53</v>
      </c>
      <c r="C54" s="4" t="s">
        <v>70</v>
      </c>
      <c r="D54" s="4" t="s">
        <v>73</v>
      </c>
      <c r="E54" s="4" t="s">
        <v>788</v>
      </c>
      <c r="F54" s="4" t="str">
        <f t="shared" si="4"/>
        <v>53|G|A</v>
      </c>
      <c r="G54" s="14">
        <f>INDEX('Transition Stepwise'!$J$2:$J$1137,MATCH(F54,'Transition Stepwise'!$E$2:$E$1137,0))</f>
        <v>1.4999999999999999E-2</v>
      </c>
      <c r="H54" s="14" t="e">
        <f>INDEX(Background!$D$12:$D$27,MATCH(C54&amp;D54,INDEX(Background!$A$12:$A$27,0)&amp;INDEX(Background!$B$12:$B$27,0),0))</f>
        <v>#VALUE!</v>
      </c>
      <c r="I54" s="17" t="e">
        <f t="shared" si="5"/>
        <v>#VALUE!</v>
      </c>
    </row>
    <row r="55" spans="1:9">
      <c r="A55" s="4" t="s">
        <v>747</v>
      </c>
      <c r="B55" s="4">
        <v>54</v>
      </c>
      <c r="C55" s="4" t="s">
        <v>73</v>
      </c>
      <c r="D55" s="4" t="s">
        <v>72</v>
      </c>
      <c r="E55" s="4" t="s">
        <v>788</v>
      </c>
      <c r="F55" s="4" t="str">
        <f t="shared" si="4"/>
        <v>54|A|U</v>
      </c>
      <c r="G55" s="14">
        <f>INDEX('Transition Stepwise'!$J$2:$J$1137,MATCH(F55,'Transition Stepwise'!$E$2:$E$1137,0))</f>
        <v>0.5</v>
      </c>
      <c r="H55" s="14" t="e">
        <f>INDEX(Background!$D$12:$D$27,MATCH(C55&amp;D55,INDEX(Background!$A$12:$A$27,0)&amp;INDEX(Background!$B$12:$B$27,0),0))</f>
        <v>#VALUE!</v>
      </c>
      <c r="I55" s="17" t="e">
        <f t="shared" si="5"/>
        <v>#VALUE!</v>
      </c>
    </row>
    <row r="56" spans="1:9">
      <c r="A56" s="4" t="s">
        <v>747</v>
      </c>
      <c r="B56" s="4">
        <v>55</v>
      </c>
      <c r="C56" s="4" t="s">
        <v>72</v>
      </c>
      <c r="D56" s="4" t="s">
        <v>71</v>
      </c>
      <c r="E56" s="4" t="s">
        <v>788</v>
      </c>
      <c r="F56" s="4" t="str">
        <f t="shared" si="4"/>
        <v>55|U|C</v>
      </c>
      <c r="G56" s="14">
        <f>INDEX('Transition Stepwise'!$J$2:$J$1137,MATCH(F56,'Transition Stepwise'!$E$2:$E$1137,0))</f>
        <v>0.97512437810945274</v>
      </c>
      <c r="H56" s="14" t="e">
        <f>INDEX(Background!$D$12:$D$27,MATCH(C56&amp;D56,INDEX(Background!$A$12:$A$27,0)&amp;INDEX(Background!$B$12:$B$27,0),0))</f>
        <v>#VALUE!</v>
      </c>
      <c r="I56" s="17" t="e">
        <f t="shared" si="5"/>
        <v>#VALUE!</v>
      </c>
    </row>
    <row r="57" spans="1:9">
      <c r="A57" s="4" t="s">
        <v>747</v>
      </c>
      <c r="B57" s="4">
        <v>56</v>
      </c>
      <c r="C57" s="4" t="s">
        <v>71</v>
      </c>
      <c r="D57" s="4" t="s">
        <v>71</v>
      </c>
      <c r="E57" s="4" t="s">
        <v>788</v>
      </c>
      <c r="F57" s="4" t="str">
        <f t="shared" si="4"/>
        <v>56|C|C</v>
      </c>
      <c r="G57" s="14">
        <f>INDEX('Transition Stepwise'!$J$2:$J$1137,MATCH(F57,'Transition Stepwise'!$E$2:$E$1137,0))</f>
        <v>5.0000000000000001E-3</v>
      </c>
      <c r="H57" s="14" t="e">
        <f>INDEX(Background!$D$12:$D$27,MATCH(C57&amp;D57,INDEX(Background!$A$12:$A$27,0)&amp;INDEX(Background!$B$12:$B$27,0),0))</f>
        <v>#VALUE!</v>
      </c>
      <c r="I57" s="17" t="e">
        <f t="shared" si="5"/>
        <v>#VALUE!</v>
      </c>
    </row>
    <row r="58" spans="1:9">
      <c r="A58" s="4" t="s">
        <v>747</v>
      </c>
      <c r="B58" s="4">
        <v>57</v>
      </c>
      <c r="C58" s="4" t="s">
        <v>71</v>
      </c>
      <c r="D58" s="4" t="s">
        <v>72</v>
      </c>
      <c r="E58" s="4" t="s">
        <v>788</v>
      </c>
      <c r="F58" s="4" t="str">
        <f t="shared" si="4"/>
        <v>57|C|U</v>
      </c>
      <c r="G58" s="14">
        <f>INDEX('Transition Stepwise'!$J$2:$J$1137,MATCH(F58,'Transition Stepwise'!$E$2:$E$1137,0))</f>
        <v>0.25</v>
      </c>
      <c r="H58" s="14" t="e">
        <f>INDEX(Background!$D$12:$D$27,MATCH(C58&amp;D58,INDEX(Background!$A$12:$A$27,0)&amp;INDEX(Background!$B$12:$B$27,0),0))</f>
        <v>#VALUE!</v>
      </c>
      <c r="I58" s="17" t="e">
        <f t="shared" si="5"/>
        <v>#VALUE!</v>
      </c>
    </row>
    <row r="59" spans="1:9">
      <c r="A59" s="4" t="s">
        <v>747</v>
      </c>
      <c r="B59" s="4">
        <v>58</v>
      </c>
      <c r="C59" s="4" t="s">
        <v>72</v>
      </c>
      <c r="D59" s="4" t="s">
        <v>72</v>
      </c>
      <c r="E59" s="4" t="s">
        <v>788</v>
      </c>
      <c r="F59" s="4" t="str">
        <f t="shared" si="4"/>
        <v>58|U|U</v>
      </c>
      <c r="G59" s="14">
        <f>INDEX('Transition Stepwise'!$J$2:$J$1137,MATCH(F59,'Transition Stepwise'!$E$2:$E$1137,0))</f>
        <v>0.2</v>
      </c>
      <c r="H59" s="14" t="e">
        <f>INDEX(Background!$D$12:$D$27,MATCH(C59&amp;D59,INDEX(Background!$A$12:$A$27,0)&amp;INDEX(Background!$B$12:$B$27,0),0))</f>
        <v>#VALUE!</v>
      </c>
      <c r="I59" s="17" t="e">
        <f t="shared" si="5"/>
        <v>#VALUE!</v>
      </c>
    </row>
    <row r="60" spans="1:9">
      <c r="A60" s="4" t="s">
        <v>747</v>
      </c>
      <c r="B60" s="4">
        <v>59</v>
      </c>
      <c r="C60" s="4" t="s">
        <v>72</v>
      </c>
      <c r="D60" s="4" t="s">
        <v>70</v>
      </c>
      <c r="E60" s="4" t="s">
        <v>788</v>
      </c>
      <c r="F60" s="4" t="str">
        <f t="shared" si="4"/>
        <v>59|U|G</v>
      </c>
      <c r="G60" s="14">
        <f>INDEX('Transition Stepwise'!$J$2:$J$1137,MATCH(F60,'Transition Stepwise'!$E$2:$E$1137,0))</f>
        <v>1.8518518518518517E-2</v>
      </c>
      <c r="H60" s="14" t="e">
        <f>INDEX(Background!$D$12:$D$27,MATCH(C60&amp;D60,INDEX(Background!$A$12:$A$27,0)&amp;INDEX(Background!$B$12:$B$27,0),0))</f>
        <v>#VALUE!</v>
      </c>
      <c r="I60" s="17" t="e">
        <f t="shared" si="5"/>
        <v>#VALUE!</v>
      </c>
    </row>
    <row r="61" spans="1:9">
      <c r="A61" s="4" t="s">
        <v>747</v>
      </c>
      <c r="B61" s="4">
        <v>60</v>
      </c>
      <c r="C61" s="4" t="s">
        <v>70</v>
      </c>
      <c r="D61" s="4" t="s">
        <v>71</v>
      </c>
      <c r="E61" s="4" t="s">
        <v>788</v>
      </c>
      <c r="F61" s="4" t="str">
        <f t="shared" si="4"/>
        <v>60|G|C</v>
      </c>
      <c r="G61" s="14">
        <f>INDEX('Transition Stepwise'!$J$2:$J$1137,MATCH(F61,'Transition Stepwise'!$E$2:$E$1137,0))</f>
        <v>0.33333333333333331</v>
      </c>
      <c r="H61" s="14" t="e">
        <f>INDEX(Background!$D$12:$D$27,MATCH(C61&amp;D61,INDEX(Background!$A$12:$A$27,0)&amp;INDEX(Background!$B$12:$B$27,0),0))</f>
        <v>#VALUE!</v>
      </c>
      <c r="I61" s="17" t="e">
        <f t="shared" si="5"/>
        <v>#VALUE!</v>
      </c>
    </row>
    <row r="62" spans="1:9">
      <c r="A62" s="4" t="s">
        <v>747</v>
      </c>
      <c r="B62" s="4">
        <v>61</v>
      </c>
      <c r="C62" s="4" t="s">
        <v>71</v>
      </c>
      <c r="D62" s="4" t="s">
        <v>72</v>
      </c>
      <c r="E62" s="4" t="s">
        <v>788</v>
      </c>
      <c r="F62" s="4" t="str">
        <f t="shared" si="4"/>
        <v>61|C|U</v>
      </c>
      <c r="G62" s="14">
        <f>INDEX('Transition Stepwise'!$J$2:$J$1137,MATCH(F62,'Transition Stepwise'!$E$2:$E$1137,0))</f>
        <v>0.12871287128712872</v>
      </c>
      <c r="H62" s="14" t="e">
        <f>INDEX(Background!$D$12:$D$27,MATCH(C62&amp;D62,INDEX(Background!$A$12:$A$27,0)&amp;INDEX(Background!$B$12:$B$27,0),0))</f>
        <v>#VALUE!</v>
      </c>
      <c r="I62" s="17" t="e">
        <f t="shared" si="5"/>
        <v>#VALUE!</v>
      </c>
    </row>
    <row r="63" spans="1:9">
      <c r="A63" s="4" t="s">
        <v>747</v>
      </c>
      <c r="B63" s="4">
        <v>62</v>
      </c>
      <c r="C63" s="4" t="s">
        <v>72</v>
      </c>
      <c r="D63" s="4" t="s">
        <v>72</v>
      </c>
      <c r="E63" s="4" t="s">
        <v>788</v>
      </c>
      <c r="F63" s="4" t="str">
        <f t="shared" si="4"/>
        <v>62|U|U</v>
      </c>
      <c r="G63" s="14">
        <f>INDEX('Transition Stepwise'!$J$2:$J$1137,MATCH(F63,'Transition Stepwise'!$E$2:$E$1137,0))</f>
        <v>0.1</v>
      </c>
      <c r="H63" s="14" t="e">
        <f>INDEX(Background!$D$12:$D$27,MATCH(C63&amp;D63,INDEX(Background!$A$12:$A$27,0)&amp;INDEX(Background!$B$12:$B$27,0),0))</f>
        <v>#VALUE!</v>
      </c>
      <c r="I63" s="17" t="e">
        <f t="shared" si="5"/>
        <v>#VALUE!</v>
      </c>
    </row>
    <row r="64" spans="1:9">
      <c r="A64" s="4" t="s">
        <v>747</v>
      </c>
      <c r="B64" s="4">
        <v>63</v>
      </c>
      <c r="C64" s="4" t="s">
        <v>72</v>
      </c>
      <c r="D64" s="4" t="s">
        <v>72</v>
      </c>
      <c r="E64" s="4" t="s">
        <v>788</v>
      </c>
      <c r="F64" s="4" t="str">
        <f t="shared" si="4"/>
        <v>63|U|U</v>
      </c>
      <c r="G64" s="14">
        <f>INDEX('Transition Stepwise'!$J$2:$J$1137,MATCH(F64,'Transition Stepwise'!$E$2:$E$1137,0))</f>
        <v>0.1388888888888889</v>
      </c>
      <c r="H64" s="14" t="e">
        <f>INDEX(Background!$D$12:$D$27,MATCH(C64&amp;D64,INDEX(Background!$A$12:$A$27,0)&amp;INDEX(Background!$B$12:$B$27,0),0))</f>
        <v>#VALUE!</v>
      </c>
      <c r="I64" s="17" t="e">
        <f t="shared" si="5"/>
        <v>#VALUE!</v>
      </c>
    </row>
    <row r="65" spans="1:9">
      <c r="A65" s="4" t="s">
        <v>747</v>
      </c>
      <c r="B65" s="4">
        <v>64</v>
      </c>
      <c r="C65" s="4" t="s">
        <v>72</v>
      </c>
      <c r="D65" s="4" t="s">
        <v>73</v>
      </c>
      <c r="E65" s="4" t="s">
        <v>788</v>
      </c>
      <c r="F65" s="4" t="str">
        <f t="shared" si="4"/>
        <v>64|U|A</v>
      </c>
      <c r="G65" s="14">
        <f>INDEX('Transition Stepwise'!$J$2:$J$1137,MATCH(F65,'Transition Stepwise'!$E$2:$E$1137,0))</f>
        <v>8.1081081081081086E-2</v>
      </c>
      <c r="H65" s="14" t="e">
        <f>INDEX(Background!$D$12:$D$27,MATCH(C65&amp;D65,INDEX(Background!$A$12:$A$27,0)&amp;INDEX(Background!$B$12:$B$27,0),0))</f>
        <v>#VALUE!</v>
      </c>
      <c r="I65" s="17" t="e">
        <f t="shared" si="5"/>
        <v>#VALUE!</v>
      </c>
    </row>
    <row r="66" spans="1:9">
      <c r="A66" s="4" t="s">
        <v>747</v>
      </c>
      <c r="B66" s="4">
        <v>65</v>
      </c>
      <c r="C66" s="4" t="s">
        <v>73</v>
      </c>
      <c r="D66" s="4" t="s">
        <v>71</v>
      </c>
      <c r="E66" s="4" t="s">
        <v>788</v>
      </c>
      <c r="F66" s="4" t="str">
        <f t="shared" si="4"/>
        <v>65|A|C</v>
      </c>
      <c r="G66" s="14">
        <f>INDEX('Transition Stepwise'!$J$2:$J$1137,MATCH(F66,'Transition Stepwise'!$E$2:$E$1137,0))</f>
        <v>0.23076923076923078</v>
      </c>
      <c r="H66" s="14" t="e">
        <f>INDEX(Background!$D$12:$D$27,MATCH(C66&amp;D66,INDEX(Background!$A$12:$A$27,0)&amp;INDEX(Background!$B$12:$B$27,0),0))</f>
        <v>#VALUE!</v>
      </c>
      <c r="I66" s="17" t="e">
        <f t="shared" si="5"/>
        <v>#VALUE!</v>
      </c>
    </row>
    <row r="67" spans="1:9">
      <c r="A67" s="4" t="s">
        <v>747</v>
      </c>
      <c r="B67" s="4">
        <v>66</v>
      </c>
      <c r="C67" s="4" t="s">
        <v>71</v>
      </c>
      <c r="D67" s="4" t="s">
        <v>72</v>
      </c>
      <c r="E67" s="4" t="s">
        <v>788</v>
      </c>
      <c r="F67" s="4" t="str">
        <f t="shared" si="4"/>
        <v>66|C|U</v>
      </c>
      <c r="G67" s="14">
        <f>INDEX('Transition Stepwise'!$J$2:$J$1137,MATCH(F67,'Transition Stepwise'!$E$2:$E$1137,0))</f>
        <v>0.15596330275229359</v>
      </c>
      <c r="H67" s="14" t="e">
        <f>INDEX(Background!$D$12:$D$27,MATCH(C67&amp;D67,INDEX(Background!$A$12:$A$27,0)&amp;INDEX(Background!$B$12:$B$27,0),0))</f>
        <v>#VALUE!</v>
      </c>
      <c r="I67" s="17" t="e">
        <f t="shared" si="5"/>
        <v>#VALUE!</v>
      </c>
    </row>
    <row r="68" spans="1:9">
      <c r="A68" s="4" t="s">
        <v>747</v>
      </c>
      <c r="B68" s="4">
        <v>67</v>
      </c>
      <c r="C68" s="4" t="s">
        <v>72</v>
      </c>
      <c r="D68" s="4" t="s">
        <v>72</v>
      </c>
      <c r="E68" s="4" t="s">
        <v>788</v>
      </c>
      <c r="F68" s="4" t="str">
        <f t="shared" si="4"/>
        <v>67|U|U</v>
      </c>
      <c r="G68" s="14">
        <f>INDEX('Transition Stepwise'!$J$2:$J$1137,MATCH(F68,'Transition Stepwise'!$E$2:$E$1137,0))</f>
        <v>0.23809523809523808</v>
      </c>
      <c r="H68" s="14" t="e">
        <f>INDEX(Background!$D$12:$D$27,MATCH(C68&amp;D68,INDEX(Background!$A$12:$A$27,0)&amp;INDEX(Background!$B$12:$B$27,0),0))</f>
        <v>#VALUE!</v>
      </c>
      <c r="I68" s="17" t="e">
        <f t="shared" si="5"/>
        <v>#VALUE!</v>
      </c>
    </row>
    <row r="69" spans="1:9">
      <c r="A69" s="4" t="s">
        <v>747</v>
      </c>
      <c r="B69" s="4">
        <v>68</v>
      </c>
      <c r="C69" s="4" t="s">
        <v>72</v>
      </c>
      <c r="D69" s="4" t="s">
        <v>72</v>
      </c>
      <c r="E69" s="4" t="s">
        <v>788</v>
      </c>
      <c r="F69" s="4" t="str">
        <f t="shared" si="4"/>
        <v>68|U|U</v>
      </c>
      <c r="G69" s="14">
        <f>INDEX('Transition Stepwise'!$J$2:$J$1137,MATCH(F69,'Transition Stepwise'!$E$2:$E$1137,0))</f>
        <v>0.17499999999999999</v>
      </c>
      <c r="H69" s="14" t="e">
        <f>INDEX(Background!$D$12:$D$27,MATCH(C69&amp;D69,INDEX(Background!$A$12:$A$27,0)&amp;INDEX(Background!$B$12:$B$27,0),0))</f>
        <v>#VALUE!</v>
      </c>
      <c r="I69" s="17" t="e">
        <f t="shared" si="5"/>
        <v>#VALUE!</v>
      </c>
    </row>
    <row r="70" spans="1:9">
      <c r="A70" s="4" t="s">
        <v>747</v>
      </c>
      <c r="B70" s="4">
        <v>69</v>
      </c>
      <c r="C70" s="4" t="s">
        <v>72</v>
      </c>
      <c r="D70" s="4" t="s">
        <v>72</v>
      </c>
      <c r="E70" s="4" t="s">
        <v>788</v>
      </c>
      <c r="F70" s="4" t="str">
        <f t="shared" si="4"/>
        <v>69|U|U</v>
      </c>
      <c r="G70" s="14">
        <f>INDEX('Transition Stepwise'!$J$2:$J$1137,MATCH(F70,'Transition Stepwise'!$E$2:$E$1137,0))</f>
        <v>0.14285714285714285</v>
      </c>
      <c r="H70" s="14" t="e">
        <f>INDEX(Background!$D$12:$D$27,MATCH(C70&amp;D70,INDEX(Background!$A$12:$A$27,0)&amp;INDEX(Background!$B$12:$B$27,0),0))</f>
        <v>#VALUE!</v>
      </c>
      <c r="I70" s="17" t="e">
        <f t="shared" si="5"/>
        <v>#VALUE!</v>
      </c>
    </row>
    <row r="71" spans="1:9">
      <c r="A71" s="4" t="s">
        <v>747</v>
      </c>
      <c r="B71" s="4">
        <v>70</v>
      </c>
      <c r="C71" s="4" t="s">
        <v>72</v>
      </c>
      <c r="D71" s="4" t="s">
        <v>73</v>
      </c>
      <c r="E71" s="4" t="s">
        <v>788</v>
      </c>
      <c r="F71" s="4" t="str">
        <f t="shared" si="4"/>
        <v>70|U|A</v>
      </c>
      <c r="G71" s="14">
        <f>INDEX('Transition Stepwise'!$J$2:$J$1137,MATCH(F71,'Transition Stepwise'!$E$2:$E$1137,0))</f>
        <v>2.9411764705882353E-2</v>
      </c>
      <c r="H71" s="14" t="e">
        <f>INDEX(Background!$D$12:$D$27,MATCH(C71&amp;D71,INDEX(Background!$A$12:$A$27,0)&amp;INDEX(Background!$B$12:$B$27,0),0))</f>
        <v>#VALUE!</v>
      </c>
      <c r="I71" s="17" t="e">
        <f t="shared" si="5"/>
        <v>#VALUE!</v>
      </c>
    </row>
    <row r="72" spans="1:9">
      <c r="A72" s="4" t="s">
        <v>747</v>
      </c>
      <c r="B72" s="4">
        <v>71</v>
      </c>
      <c r="C72" s="4" t="s">
        <v>73</v>
      </c>
      <c r="D72" s="4" t="s">
        <v>72</v>
      </c>
      <c r="E72" s="4" t="s">
        <v>788</v>
      </c>
      <c r="F72" s="4" t="str">
        <f t="shared" si="4"/>
        <v>71|A|U</v>
      </c>
      <c r="G72" s="14">
        <f>INDEX('Transition Stepwise'!$J$2:$J$1137,MATCH(F72,'Transition Stepwise'!$E$2:$E$1137,0))</f>
        <v>0.1111111111111111</v>
      </c>
      <c r="H72" s="14" t="e">
        <f>INDEX(Background!$D$12:$D$27,MATCH(C72&amp;D72,INDEX(Background!$A$12:$A$27,0)&amp;INDEX(Background!$B$12:$B$27,0),0))</f>
        <v>#VALUE!</v>
      </c>
      <c r="I72" s="17" t="e">
        <f t="shared" si="5"/>
        <v>#VALUE!</v>
      </c>
    </row>
    <row r="73" spans="1:9">
      <c r="A73" s="4" t="s">
        <v>751</v>
      </c>
      <c r="B73" s="4">
        <v>1</v>
      </c>
      <c r="C73" s="4" t="s">
        <v>70</v>
      </c>
      <c r="D73" s="4" t="s">
        <v>70</v>
      </c>
      <c r="E73" s="4" t="s">
        <v>788</v>
      </c>
      <c r="F73" s="4" t="str">
        <f t="shared" si="4"/>
        <v>1|G|G</v>
      </c>
      <c r="G73" s="14">
        <f>INDEX('Transition Stepwise'!$J$2:$J$1137,MATCH(F73,'Transition Stepwise'!$E$2:$E$1137,0))</f>
        <v>0.47435897435897434</v>
      </c>
      <c r="H73" s="14" t="e">
        <f>INDEX(Background!$D$12:$D$27,MATCH(C73&amp;D73,INDEX(Background!$A$12:$A$27,0)&amp;INDEX(Background!$B$12:$B$27,0),0))</f>
        <v>#VALUE!</v>
      </c>
      <c r="I73" s="17" t="e">
        <f t="shared" si="5"/>
        <v>#VALUE!</v>
      </c>
    </row>
    <row r="74" spans="1:9">
      <c r="A74" s="4" t="s">
        <v>751</v>
      </c>
      <c r="B74" s="4">
        <v>2</v>
      </c>
      <c r="C74" s="4" t="s">
        <v>70</v>
      </c>
      <c r="D74" s="4" t="s">
        <v>70</v>
      </c>
      <c r="E74" s="4" t="s">
        <v>788</v>
      </c>
      <c r="F74" s="4" t="str">
        <f t="shared" si="4"/>
        <v>2|G|G</v>
      </c>
      <c r="G74" s="14">
        <f>INDEX('Transition Stepwise'!$J$2:$J$1137,MATCH(F74,'Transition Stepwise'!$E$2:$E$1137,0))</f>
        <v>0.57272727272727275</v>
      </c>
      <c r="H74" s="14" t="e">
        <f>INDEX(Background!$D$12:$D$27,MATCH(C74&amp;D74,INDEX(Background!$A$12:$A$27,0)&amp;INDEX(Background!$B$12:$B$27,0),0))</f>
        <v>#VALUE!</v>
      </c>
      <c r="I74" s="17" t="e">
        <f t="shared" si="5"/>
        <v>#VALUE!</v>
      </c>
    </row>
    <row r="75" spans="1:9">
      <c r="A75" s="4" t="s">
        <v>751</v>
      </c>
      <c r="B75" s="4">
        <v>3</v>
      </c>
      <c r="C75" s="4" t="s">
        <v>70</v>
      </c>
      <c r="D75" s="4" t="s">
        <v>73</v>
      </c>
      <c r="E75" s="4" t="s">
        <v>788</v>
      </c>
      <c r="F75" s="4" t="str">
        <f t="shared" si="4"/>
        <v>3|G|A</v>
      </c>
      <c r="G75" s="14">
        <f>INDEX('Transition Stepwise'!$J$2:$J$1137,MATCH(F75,'Transition Stepwise'!$E$2:$E$1137,0))</f>
        <v>8.8888888888888892E-2</v>
      </c>
      <c r="H75" s="14" t="e">
        <f>INDEX(Background!$D$12:$D$27,MATCH(C75&amp;D75,INDEX(Background!$A$12:$A$27,0)&amp;INDEX(Background!$B$12:$B$27,0),0))</f>
        <v>#VALUE!</v>
      </c>
      <c r="I75" s="17" t="e">
        <f t="shared" si="5"/>
        <v>#VALUE!</v>
      </c>
    </row>
    <row r="76" spans="1:9">
      <c r="A76" s="4" t="s">
        <v>751</v>
      </c>
      <c r="B76" s="4">
        <v>4</v>
      </c>
      <c r="C76" s="4" t="s">
        <v>73</v>
      </c>
      <c r="D76" s="4" t="s">
        <v>70</v>
      </c>
      <c r="E76" s="4" t="s">
        <v>788</v>
      </c>
      <c r="F76" s="4" t="str">
        <f t="shared" si="4"/>
        <v>4|A|G</v>
      </c>
      <c r="G76" s="14">
        <f>INDEX('Transition Stepwise'!$J$2:$J$1137,MATCH(F76,'Transition Stepwise'!$E$2:$E$1137,0))</f>
        <v>0.4</v>
      </c>
      <c r="H76" s="14" t="e">
        <f>INDEX(Background!$D$12:$D$27,MATCH(C76&amp;D76,INDEX(Background!$A$12:$A$27,0)&amp;INDEX(Background!$B$12:$B$27,0),0))</f>
        <v>#VALUE!</v>
      </c>
      <c r="I76" s="17" t="e">
        <f t="shared" si="5"/>
        <v>#VALUE!</v>
      </c>
    </row>
    <row r="77" spans="1:9">
      <c r="A77" s="4" t="s">
        <v>751</v>
      </c>
      <c r="B77" s="4">
        <v>5</v>
      </c>
      <c r="C77" s="4" t="s">
        <v>70</v>
      </c>
      <c r="D77" s="4" t="s">
        <v>70</v>
      </c>
      <c r="E77" s="4" t="s">
        <v>788</v>
      </c>
      <c r="F77" s="4" t="str">
        <f t="shared" si="4"/>
        <v>5|G|G</v>
      </c>
      <c r="G77" s="14">
        <f>INDEX('Transition Stepwise'!$J$2:$J$1137,MATCH(F77,'Transition Stepwise'!$E$2:$E$1137,0))</f>
        <v>0.30136986301369861</v>
      </c>
      <c r="H77" s="14" t="e">
        <f>INDEX(Background!$D$12:$D$27,MATCH(C77&amp;D77,INDEX(Background!$A$12:$A$27,0)&amp;INDEX(Background!$B$12:$B$27,0),0))</f>
        <v>#VALUE!</v>
      </c>
      <c r="I77" s="17" t="e">
        <f t="shared" si="5"/>
        <v>#VALUE!</v>
      </c>
    </row>
    <row r="78" spans="1:9">
      <c r="A78" s="4" t="s">
        <v>751</v>
      </c>
      <c r="B78" s="4">
        <v>6</v>
      </c>
      <c r="C78" s="4" t="s">
        <v>70</v>
      </c>
      <c r="D78" s="4" t="s">
        <v>72</v>
      </c>
      <c r="E78" s="4" t="s">
        <v>788</v>
      </c>
      <c r="F78" s="4" t="str">
        <f t="shared" si="4"/>
        <v>6|G|U</v>
      </c>
      <c r="G78" s="14">
        <f>INDEX('Transition Stepwise'!$J$2:$J$1137,MATCH(F78,'Transition Stepwise'!$E$2:$E$1137,0))</f>
        <v>0.26923076923076922</v>
      </c>
      <c r="H78" s="14" t="e">
        <f>INDEX(Background!$D$12:$D$27,MATCH(C78&amp;D78,INDEX(Background!$A$12:$A$27,0)&amp;INDEX(Background!$B$12:$B$27,0),0))</f>
        <v>#VALUE!</v>
      </c>
      <c r="I78" s="17" t="e">
        <f t="shared" si="5"/>
        <v>#VALUE!</v>
      </c>
    </row>
    <row r="79" spans="1:9">
      <c r="A79" s="4" t="s">
        <v>751</v>
      </c>
      <c r="B79" s="4">
        <v>7</v>
      </c>
      <c r="C79" s="4" t="s">
        <v>72</v>
      </c>
      <c r="D79" s="4" t="s">
        <v>72</v>
      </c>
      <c r="E79" s="4" t="s">
        <v>788</v>
      </c>
      <c r="F79" s="4" t="str">
        <f t="shared" si="4"/>
        <v>7|U|U</v>
      </c>
      <c r="G79" s="14">
        <f>INDEX('Transition Stepwise'!$J$2:$J$1137,MATCH(F79,'Transition Stepwise'!$E$2:$E$1137,0))</f>
        <v>0.9375</v>
      </c>
      <c r="H79" s="14" t="e">
        <f>INDEX(Background!$D$12:$D$27,MATCH(C79&amp;D79,INDEX(Background!$A$12:$A$27,0)&amp;INDEX(Background!$B$12:$B$27,0),0))</f>
        <v>#VALUE!</v>
      </c>
      <c r="I79" s="17" t="e">
        <f t="shared" si="5"/>
        <v>#VALUE!</v>
      </c>
    </row>
    <row r="80" spans="1:9">
      <c r="A80" s="4" t="s">
        <v>751</v>
      </c>
      <c r="B80" s="4">
        <v>8</v>
      </c>
      <c r="C80" s="4" t="s">
        <v>72</v>
      </c>
      <c r="D80" s="4" t="s">
        <v>72</v>
      </c>
      <c r="E80" s="4" t="s">
        <v>788</v>
      </c>
      <c r="F80" s="4" t="str">
        <f t="shared" ref="F80:F116" si="6">B80&amp;"|"&amp;C80&amp;"|"&amp;D80</f>
        <v>8|U|U</v>
      </c>
      <c r="G80" s="14">
        <f>INDEX('Transition Stepwise'!$J$2:$J$1137,MATCH(F80,'Transition Stepwise'!$E$2:$E$1137,0))</f>
        <v>4.9751243781094526E-3</v>
      </c>
      <c r="H80" s="14" t="e">
        <f>INDEX(Background!$D$12:$D$27,MATCH(C80&amp;D80,INDEX(Background!$A$12:$A$27,0)&amp;INDEX(Background!$B$12:$B$27,0),0))</f>
        <v>#VALUE!</v>
      </c>
      <c r="I80" s="17" t="e">
        <f t="shared" ref="I80:I111" si="7">LN(G80/H80)</f>
        <v>#VALUE!</v>
      </c>
    </row>
    <row r="81" spans="1:9">
      <c r="A81" s="4" t="s">
        <v>751</v>
      </c>
      <c r="B81" s="4">
        <v>9</v>
      </c>
      <c r="C81" s="4" t="s">
        <v>72</v>
      </c>
      <c r="D81" s="4" t="s">
        <v>70</v>
      </c>
      <c r="E81" s="4" t="s">
        <v>788</v>
      </c>
      <c r="F81" s="4" t="str">
        <f t="shared" si="6"/>
        <v>9|U|G</v>
      </c>
      <c r="G81" s="14">
        <f>INDEX('Transition Stepwise'!$J$2:$J$1137,MATCH(F81,'Transition Stepwise'!$E$2:$E$1137,0))</f>
        <v>0.25</v>
      </c>
      <c r="H81" s="14" t="e">
        <f>INDEX(Background!$D$12:$D$27,MATCH(C81&amp;D81,INDEX(Background!$A$12:$A$27,0)&amp;INDEX(Background!$B$12:$B$27,0),0))</f>
        <v>#VALUE!</v>
      </c>
      <c r="I81" s="17" t="e">
        <f t="shared" si="7"/>
        <v>#VALUE!</v>
      </c>
    </row>
    <row r="82" spans="1:9">
      <c r="A82" s="4" t="s">
        <v>751</v>
      </c>
      <c r="B82" s="4">
        <v>10</v>
      </c>
      <c r="C82" s="4" t="s">
        <v>70</v>
      </c>
      <c r="D82" s="4" t="s">
        <v>73</v>
      </c>
      <c r="E82" s="4" t="s">
        <v>788</v>
      </c>
      <c r="F82" s="4" t="str">
        <f t="shared" si="6"/>
        <v>10|G|A</v>
      </c>
      <c r="G82" s="14">
        <f>INDEX('Transition Stepwise'!$J$2:$J$1137,MATCH(F82,'Transition Stepwise'!$E$2:$E$1137,0))</f>
        <v>4.0816326530612242E-2</v>
      </c>
      <c r="H82" s="14" t="e">
        <f>INDEX(Background!$D$12:$D$27,MATCH(C82&amp;D82,INDEX(Background!$A$12:$A$27,0)&amp;INDEX(Background!$B$12:$B$27,0),0))</f>
        <v>#VALUE!</v>
      </c>
      <c r="I82" s="17" t="e">
        <f t="shared" si="7"/>
        <v>#VALUE!</v>
      </c>
    </row>
    <row r="83" spans="1:9">
      <c r="A83" s="4" t="s">
        <v>751</v>
      </c>
      <c r="B83" s="4">
        <v>11</v>
      </c>
      <c r="C83" s="4" t="s">
        <v>73</v>
      </c>
      <c r="D83" s="4" t="s">
        <v>72</v>
      </c>
      <c r="E83" s="4" t="s">
        <v>788</v>
      </c>
      <c r="F83" s="4" t="str">
        <f t="shared" si="6"/>
        <v>11|A|U</v>
      </c>
      <c r="G83" s="14">
        <f>INDEX('Transition Stepwise'!$J$2:$J$1137,MATCH(F83,'Transition Stepwise'!$E$2:$E$1137,0))</f>
        <v>0.36363636363636365</v>
      </c>
      <c r="H83" s="14" t="e">
        <f>INDEX(Background!$D$12:$D$27,MATCH(C83&amp;D83,INDEX(Background!$A$12:$A$27,0)&amp;INDEX(Background!$B$12:$B$27,0),0))</f>
        <v>#VALUE!</v>
      </c>
      <c r="I83" s="17" t="e">
        <f t="shared" si="7"/>
        <v>#VALUE!</v>
      </c>
    </row>
    <row r="84" spans="1:9">
      <c r="A84" s="4" t="s">
        <v>751</v>
      </c>
      <c r="B84" s="4">
        <v>12</v>
      </c>
      <c r="C84" s="4" t="s">
        <v>72</v>
      </c>
      <c r="D84" s="4" t="s">
        <v>71</v>
      </c>
      <c r="E84" s="4" t="s">
        <v>788</v>
      </c>
      <c r="F84" s="4" t="str">
        <f t="shared" si="6"/>
        <v>12|U|C</v>
      </c>
      <c r="G84" s="14">
        <f>INDEX('Transition Stepwise'!$J$2:$J$1137,MATCH(F84,'Transition Stepwise'!$E$2:$E$1137,0))</f>
        <v>0.87096774193548387</v>
      </c>
      <c r="H84" s="14" t="e">
        <f>INDEX(Background!$D$12:$D$27,MATCH(C84&amp;D84,INDEX(Background!$A$12:$A$27,0)&amp;INDEX(Background!$B$12:$B$27,0),0))</f>
        <v>#VALUE!</v>
      </c>
      <c r="I84" s="17" t="e">
        <f t="shared" si="7"/>
        <v>#VALUE!</v>
      </c>
    </row>
    <row r="85" spans="1:9">
      <c r="A85" s="4" t="s">
        <v>751</v>
      </c>
      <c r="B85" s="4">
        <v>13</v>
      </c>
      <c r="C85" s="4" t="s">
        <v>71</v>
      </c>
      <c r="D85" s="4" t="s">
        <v>70</v>
      </c>
      <c r="E85" s="4" t="s">
        <v>788</v>
      </c>
      <c r="F85" s="4" t="str">
        <f t="shared" si="6"/>
        <v>13|C|G</v>
      </c>
      <c r="G85" s="14">
        <f>INDEX('Transition Stepwise'!$J$2:$J$1137,MATCH(F85,'Transition Stepwise'!$E$2:$E$1137,0))</f>
        <v>7.462686567164179E-3</v>
      </c>
      <c r="H85" s="14" t="e">
        <f>INDEX(Background!$D$12:$D$27,MATCH(C85&amp;D85,INDEX(Background!$A$12:$A$27,0)&amp;INDEX(Background!$B$12:$B$27,0),0))</f>
        <v>#VALUE!</v>
      </c>
      <c r="I85" s="17" t="e">
        <f t="shared" si="7"/>
        <v>#VALUE!</v>
      </c>
    </row>
    <row r="86" spans="1:9">
      <c r="A86" s="4" t="s">
        <v>751</v>
      </c>
      <c r="B86" s="4">
        <v>14</v>
      </c>
      <c r="C86" s="4" t="s">
        <v>70</v>
      </c>
      <c r="D86" s="4" t="s">
        <v>70</v>
      </c>
      <c r="E86" s="4" t="s">
        <v>788</v>
      </c>
      <c r="F86" s="4" t="str">
        <f t="shared" si="6"/>
        <v>14|G|G</v>
      </c>
      <c r="G86" s="14">
        <f>INDEX('Transition Stepwise'!$J$2:$J$1137,MATCH(F86,'Transition Stepwise'!$E$2:$E$1137,0))</f>
        <v>0.2</v>
      </c>
      <c r="H86" s="14" t="e">
        <f>INDEX(Background!$D$12:$D$27,MATCH(C86&amp;D86,INDEX(Background!$A$12:$A$27,0)&amp;INDEX(Background!$B$12:$B$27,0),0))</f>
        <v>#VALUE!</v>
      </c>
      <c r="I86" s="17" t="e">
        <f t="shared" si="7"/>
        <v>#VALUE!</v>
      </c>
    </row>
    <row r="87" spans="1:9">
      <c r="A87" s="4" t="s">
        <v>751</v>
      </c>
      <c r="B87" s="4">
        <v>15</v>
      </c>
      <c r="C87" s="4" t="s">
        <v>70</v>
      </c>
      <c r="D87" s="4" t="s">
        <v>73</v>
      </c>
      <c r="E87" s="4" t="s">
        <v>788</v>
      </c>
      <c r="F87" s="4" t="str">
        <f t="shared" si="6"/>
        <v>15|G|A</v>
      </c>
      <c r="G87" s="14">
        <f>INDEX('Transition Stepwise'!$J$2:$J$1137,MATCH(F87,'Transition Stepwise'!$E$2:$E$1137,0))</f>
        <v>2.5423728813559324E-2</v>
      </c>
      <c r="H87" s="14" t="e">
        <f>INDEX(Background!$D$12:$D$27,MATCH(C87&amp;D87,INDEX(Background!$A$12:$A$27,0)&amp;INDEX(Background!$B$12:$B$27,0),0))</f>
        <v>#VALUE!</v>
      </c>
      <c r="I87" s="17" t="e">
        <f t="shared" si="7"/>
        <v>#VALUE!</v>
      </c>
    </row>
    <row r="88" spans="1:9">
      <c r="A88" s="4" t="s">
        <v>751</v>
      </c>
      <c r="B88" s="4">
        <v>16</v>
      </c>
      <c r="C88" s="4" t="s">
        <v>73</v>
      </c>
      <c r="D88" s="4" t="s">
        <v>71</v>
      </c>
      <c r="E88" s="4" t="s">
        <v>788</v>
      </c>
      <c r="F88" s="4" t="str">
        <f t="shared" si="6"/>
        <v>16|A|C</v>
      </c>
      <c r="G88" s="14">
        <f>INDEX('Transition Stepwise'!$J$2:$J$1137,MATCH(F88,'Transition Stepwise'!$E$2:$E$1137,0))</f>
        <v>0.2857142857142857</v>
      </c>
      <c r="H88" s="14" t="e">
        <f>INDEX(Background!$D$12:$D$27,MATCH(C88&amp;D88,INDEX(Background!$A$12:$A$27,0)&amp;INDEX(Background!$B$12:$B$27,0),0))</f>
        <v>#VALUE!</v>
      </c>
      <c r="I88" s="17" t="e">
        <f t="shared" si="7"/>
        <v>#VALUE!</v>
      </c>
    </row>
    <row r="89" spans="1:9">
      <c r="A89" s="4" t="s">
        <v>751</v>
      </c>
      <c r="B89" s="4">
        <v>17</v>
      </c>
      <c r="C89" s="4" t="s">
        <v>71</v>
      </c>
      <c r="D89" s="4" t="s">
        <v>70</v>
      </c>
      <c r="E89" s="4" t="s">
        <v>788</v>
      </c>
      <c r="F89" s="4" t="str">
        <f t="shared" si="6"/>
        <v>17|C|G</v>
      </c>
      <c r="G89" s="14">
        <f>INDEX('Transition Stepwise'!$J$2:$J$1137,MATCH(F89,'Transition Stepwise'!$E$2:$E$1137,0))</f>
        <v>0.95522388059701491</v>
      </c>
      <c r="H89" s="14" t="e">
        <f>INDEX(Background!$D$12:$D$27,MATCH(C89&amp;D89,INDEX(Background!$A$12:$A$27,0)&amp;INDEX(Background!$B$12:$B$27,0),0))</f>
        <v>#VALUE!</v>
      </c>
      <c r="I89" s="17" t="e">
        <f t="shared" si="7"/>
        <v>#VALUE!</v>
      </c>
    </row>
    <row r="90" spans="1:9">
      <c r="A90" s="4" t="s">
        <v>751</v>
      </c>
      <c r="B90" s="4">
        <v>18</v>
      </c>
      <c r="C90" s="4" t="s">
        <v>70</v>
      </c>
      <c r="D90" s="4" t="s">
        <v>70</v>
      </c>
      <c r="E90" s="4" t="s">
        <v>788</v>
      </c>
      <c r="F90" s="4" t="str">
        <f t="shared" si="6"/>
        <v>18|G|G</v>
      </c>
      <c r="G90" s="14">
        <f>INDEX('Transition Stepwise'!$J$2:$J$1137,MATCH(F90,'Transition Stepwise'!$E$2:$E$1137,0))</f>
        <v>0.97536945812807885</v>
      </c>
      <c r="H90" s="14" t="e">
        <f>INDEX(Background!$D$12:$D$27,MATCH(C90&amp;D90,INDEX(Background!$A$12:$A$27,0)&amp;INDEX(Background!$B$12:$B$27,0),0))</f>
        <v>#VALUE!</v>
      </c>
      <c r="I90" s="17" t="e">
        <f t="shared" si="7"/>
        <v>#VALUE!</v>
      </c>
    </row>
    <row r="91" spans="1:9">
      <c r="A91" s="4" t="s">
        <v>751</v>
      </c>
      <c r="B91" s="4">
        <v>19</v>
      </c>
      <c r="C91" s="4" t="s">
        <v>70</v>
      </c>
      <c r="D91" s="4" t="s">
        <v>70</v>
      </c>
      <c r="E91" s="4" t="s">
        <v>788</v>
      </c>
      <c r="F91" s="4" t="str">
        <f t="shared" si="6"/>
        <v>19|G|G</v>
      </c>
      <c r="G91" s="14">
        <f>INDEX('Transition Stepwise'!$J$2:$J$1137,MATCH(F91,'Transition Stepwise'!$E$2:$E$1137,0))</f>
        <v>9.4527363184079602E-2</v>
      </c>
      <c r="H91" s="14" t="e">
        <f>INDEX(Background!$D$12:$D$27,MATCH(C91&amp;D91,INDEX(Background!$A$12:$A$27,0)&amp;INDEX(Background!$B$12:$B$27,0),0))</f>
        <v>#VALUE!</v>
      </c>
      <c r="I91" s="17" t="e">
        <f t="shared" si="7"/>
        <v>#VALUE!</v>
      </c>
    </row>
    <row r="92" spans="1:9">
      <c r="A92" s="4" t="s">
        <v>751</v>
      </c>
      <c r="B92" s="4">
        <v>20</v>
      </c>
      <c r="C92" s="4" t="s">
        <v>70</v>
      </c>
      <c r="D92" s="4" t="s">
        <v>70</v>
      </c>
      <c r="E92" s="4" t="s">
        <v>788</v>
      </c>
      <c r="F92" s="4" t="str">
        <f t="shared" si="6"/>
        <v>20|G|G</v>
      </c>
      <c r="G92" s="14">
        <f>INDEX('Transition Stepwise'!$J$2:$J$1137,MATCH(F92,'Transition Stepwise'!$E$2:$E$1137,0))</f>
        <v>4.5454545454545456E-2</v>
      </c>
      <c r="H92" s="14" t="e">
        <f>INDEX(Background!$D$12:$D$27,MATCH(C92&amp;D92,INDEX(Background!$A$12:$A$27,0)&amp;INDEX(Background!$B$12:$B$27,0),0))</f>
        <v>#VALUE!</v>
      </c>
      <c r="I92" s="17" t="e">
        <f t="shared" si="7"/>
        <v>#VALUE!</v>
      </c>
    </row>
    <row r="93" spans="1:9">
      <c r="A93" s="4" t="s">
        <v>751</v>
      </c>
      <c r="B93" s="4">
        <v>21</v>
      </c>
      <c r="C93" s="4" t="s">
        <v>70</v>
      </c>
      <c r="D93" s="4" t="s">
        <v>70</v>
      </c>
      <c r="E93" s="4" t="s">
        <v>788</v>
      </c>
      <c r="F93" s="4" t="str">
        <f t="shared" si="6"/>
        <v>21|G|G</v>
      </c>
      <c r="G93" s="14">
        <f>INDEX('Transition Stepwise'!$J$2:$J$1137,MATCH(F93,'Transition Stepwise'!$E$2:$E$1137,0))</f>
        <v>9.0909090909090912E-2</v>
      </c>
      <c r="H93" s="14" t="e">
        <f>INDEX(Background!$D$12:$D$27,MATCH(C93&amp;D93,INDEX(Background!$A$12:$A$27,0)&amp;INDEX(Background!$B$12:$B$27,0),0))</f>
        <v>#VALUE!</v>
      </c>
      <c r="I93" s="17" t="e">
        <f t="shared" si="7"/>
        <v>#VALUE!</v>
      </c>
    </row>
    <row r="94" spans="1:9">
      <c r="A94" s="4" t="s">
        <v>751</v>
      </c>
      <c r="B94" s="4">
        <v>22</v>
      </c>
      <c r="C94" s="4" t="s">
        <v>70</v>
      </c>
      <c r="D94" s="4" t="s">
        <v>73</v>
      </c>
      <c r="E94" s="4" t="s">
        <v>788</v>
      </c>
      <c r="F94" s="4" t="str">
        <f t="shared" si="6"/>
        <v>22|G|A</v>
      </c>
      <c r="G94" s="14">
        <f>INDEX('Transition Stepwise'!$J$2:$J$1137,MATCH(F94,'Transition Stepwise'!$E$2:$E$1137,0))</f>
        <v>0.77181208053691275</v>
      </c>
      <c r="H94" s="14" t="e">
        <f>INDEX(Background!$D$12:$D$27,MATCH(C94&amp;D94,INDEX(Background!$A$12:$A$27,0)&amp;INDEX(Background!$B$12:$B$27,0),0))</f>
        <v>#VALUE!</v>
      </c>
      <c r="I94" s="17" t="e">
        <f t="shared" si="7"/>
        <v>#VALUE!</v>
      </c>
    </row>
    <row r="95" spans="1:9">
      <c r="A95" s="4" t="s">
        <v>751</v>
      </c>
      <c r="B95" s="4">
        <v>23</v>
      </c>
      <c r="C95" s="4" t="s">
        <v>73</v>
      </c>
      <c r="D95" s="4" t="s">
        <v>73</v>
      </c>
      <c r="E95" s="4" t="s">
        <v>788</v>
      </c>
      <c r="F95" s="4" t="str">
        <f t="shared" si="6"/>
        <v>23|A|A</v>
      </c>
      <c r="G95" s="14">
        <f>INDEX('Transition Stepwise'!$J$2:$J$1137,MATCH(F95,'Transition Stepwise'!$E$2:$E$1137,0))</f>
        <v>9.6000000000000002E-2</v>
      </c>
      <c r="H95" s="14" t="e">
        <f>INDEX(Background!$D$12:$D$27,MATCH(C95&amp;D95,INDEX(Background!$A$12:$A$27,0)&amp;INDEX(Background!$B$12:$B$27,0),0))</f>
        <v>#VALUE!</v>
      </c>
      <c r="I95" s="17" t="e">
        <f t="shared" si="7"/>
        <v>#VALUE!</v>
      </c>
    </row>
    <row r="96" spans="1:9">
      <c r="A96" s="4" t="s">
        <v>751</v>
      </c>
      <c r="B96" s="4">
        <v>24</v>
      </c>
      <c r="C96" s="4" t="s">
        <v>73</v>
      </c>
      <c r="D96" s="4" t="s">
        <v>72</v>
      </c>
      <c r="E96" s="4" t="s">
        <v>788</v>
      </c>
      <c r="F96" s="4" t="str">
        <f t="shared" si="6"/>
        <v>24|A|U</v>
      </c>
      <c r="G96" s="14">
        <f>INDEX('Transition Stepwise'!$J$2:$J$1137,MATCH(F96,'Transition Stepwise'!$E$2:$E$1137,0))</f>
        <v>0.26829268292682928</v>
      </c>
      <c r="H96" s="14" t="e">
        <f>INDEX(Background!$D$12:$D$27,MATCH(C96&amp;D96,INDEX(Background!$A$12:$A$27,0)&amp;INDEX(Background!$B$12:$B$27,0),0))</f>
        <v>#VALUE!</v>
      </c>
      <c r="I96" s="17" t="e">
        <f t="shared" si="7"/>
        <v>#VALUE!</v>
      </c>
    </row>
    <row r="97" spans="1:9">
      <c r="A97" s="4" t="s">
        <v>751</v>
      </c>
      <c r="B97" s="4">
        <v>25</v>
      </c>
      <c r="C97" s="4" t="s">
        <v>72</v>
      </c>
      <c r="D97" s="4" t="s">
        <v>72</v>
      </c>
      <c r="E97" s="4" t="s">
        <v>788</v>
      </c>
      <c r="F97" s="4" t="str">
        <f t="shared" si="6"/>
        <v>25|U|U</v>
      </c>
      <c r="G97" s="14">
        <f>INDEX('Transition Stepwise'!$J$2:$J$1137,MATCH(F97,'Transition Stepwise'!$E$2:$E$1137,0))</f>
        <v>0.16666666666666666</v>
      </c>
      <c r="H97" s="14" t="e">
        <f>INDEX(Background!$D$12:$D$27,MATCH(C97&amp;D97,INDEX(Background!$A$12:$A$27,0)&amp;INDEX(Background!$B$12:$B$27,0),0))</f>
        <v>#VALUE!</v>
      </c>
      <c r="I97" s="17" t="e">
        <f t="shared" si="7"/>
        <v>#VALUE!</v>
      </c>
    </row>
    <row r="98" spans="1:9">
      <c r="A98" s="4" t="s">
        <v>751</v>
      </c>
      <c r="B98" s="4">
        <v>26</v>
      </c>
      <c r="C98" s="4" t="s">
        <v>72</v>
      </c>
      <c r="D98" s="4" t="s">
        <v>72</v>
      </c>
      <c r="E98" s="4" t="s">
        <v>788</v>
      </c>
      <c r="F98" s="4" t="str">
        <f t="shared" si="6"/>
        <v>26|U|U</v>
      </c>
      <c r="G98" s="14">
        <f>INDEX('Transition Stepwise'!$J$2:$J$1137,MATCH(F98,'Transition Stepwise'!$E$2:$E$1137,0))</f>
        <v>0.26666666666666666</v>
      </c>
      <c r="H98" s="14" t="e">
        <f>INDEX(Background!$D$12:$D$27,MATCH(C98&amp;D98,INDEX(Background!$A$12:$A$27,0)&amp;INDEX(Background!$B$12:$B$27,0),0))</f>
        <v>#VALUE!</v>
      </c>
      <c r="I98" s="17" t="e">
        <f t="shared" si="7"/>
        <v>#VALUE!</v>
      </c>
    </row>
    <row r="99" spans="1:9">
      <c r="A99" s="4" t="s">
        <v>751</v>
      </c>
      <c r="B99" s="4">
        <v>27</v>
      </c>
      <c r="C99" s="4" t="s">
        <v>72</v>
      </c>
      <c r="D99" s="4" t="s">
        <v>72</v>
      </c>
      <c r="E99" s="4" t="s">
        <v>788</v>
      </c>
      <c r="F99" s="4" t="str">
        <f t="shared" si="6"/>
        <v>27|U|U</v>
      </c>
      <c r="G99" s="14">
        <f>INDEX('Transition Stepwise'!$J$2:$J$1137,MATCH(F99,'Transition Stepwise'!$E$2:$E$1137,0))</f>
        <v>0.3392857142857143</v>
      </c>
      <c r="H99" s="14" t="e">
        <f>INDEX(Background!$D$12:$D$27,MATCH(C99&amp;D99,INDEX(Background!$A$12:$A$27,0)&amp;INDEX(Background!$B$12:$B$27,0),0))</f>
        <v>#VALUE!</v>
      </c>
      <c r="I99" s="17" t="e">
        <f t="shared" si="7"/>
        <v>#VALUE!</v>
      </c>
    </row>
    <row r="100" spans="1:9">
      <c r="A100" s="4" t="s">
        <v>751</v>
      </c>
      <c r="B100" s="4">
        <v>28</v>
      </c>
      <c r="C100" s="4" t="s">
        <v>72</v>
      </c>
      <c r="D100" s="4" t="s">
        <v>72</v>
      </c>
      <c r="E100" s="4" t="s">
        <v>788</v>
      </c>
      <c r="F100" s="4" t="str">
        <f t="shared" si="6"/>
        <v>28|U|U</v>
      </c>
      <c r="G100" s="14">
        <f>INDEX('Transition Stepwise'!$J$2:$J$1137,MATCH(F100,'Transition Stepwise'!$E$2:$E$1137,0))</f>
        <v>0.27272727272727271</v>
      </c>
      <c r="H100" s="14" t="e">
        <f>INDEX(Background!$D$12:$D$27,MATCH(C100&amp;D100,INDEX(Background!$A$12:$A$27,0)&amp;INDEX(Background!$B$12:$B$27,0),0))</f>
        <v>#VALUE!</v>
      </c>
      <c r="I100" s="17" t="e">
        <f t="shared" si="7"/>
        <v>#VALUE!</v>
      </c>
    </row>
    <row r="101" spans="1:9">
      <c r="A101" s="4" t="s">
        <v>751</v>
      </c>
      <c r="B101" s="4">
        <v>29</v>
      </c>
      <c r="C101" s="4" t="s">
        <v>72</v>
      </c>
      <c r="D101" s="4" t="s">
        <v>72</v>
      </c>
      <c r="E101" s="4" t="s">
        <v>788</v>
      </c>
      <c r="F101" s="4" t="str">
        <f t="shared" si="6"/>
        <v>29|U|U</v>
      </c>
      <c r="G101" s="14">
        <f>INDEX('Transition Stepwise'!$J$2:$J$1137,MATCH(F101,'Transition Stepwise'!$E$2:$E$1137,0))</f>
        <v>1.6949152542372881E-2</v>
      </c>
      <c r="H101" s="14" t="e">
        <f>INDEX(Background!$D$12:$D$27,MATCH(C101&amp;D101,INDEX(Background!$A$12:$A$27,0)&amp;INDEX(Background!$B$12:$B$27,0),0))</f>
        <v>#VALUE!</v>
      </c>
      <c r="I101" s="17" t="e">
        <f t="shared" si="7"/>
        <v>#VALUE!</v>
      </c>
    </row>
    <row r="102" spans="1:9">
      <c r="A102" s="4" t="s">
        <v>751</v>
      </c>
      <c r="B102" s="4">
        <v>30</v>
      </c>
      <c r="C102" s="4" t="s">
        <v>72</v>
      </c>
      <c r="D102" s="4" t="s">
        <v>70</v>
      </c>
      <c r="E102" s="4" t="s">
        <v>788</v>
      </c>
      <c r="F102" s="4" t="str">
        <f t="shared" si="6"/>
        <v>30|U|G</v>
      </c>
      <c r="G102" s="14">
        <f>INDEX('Transition Stepwise'!$J$2:$J$1137,MATCH(F102,'Transition Stepwise'!$E$2:$E$1137,0))</f>
        <v>0.45454545454545453</v>
      </c>
      <c r="H102" s="14" t="e">
        <f>INDEX(Background!$D$12:$D$27,MATCH(C102&amp;D102,INDEX(Background!$A$12:$A$27,0)&amp;INDEX(Background!$B$12:$B$27,0),0))</f>
        <v>#VALUE!</v>
      </c>
      <c r="I102" s="17" t="e">
        <f t="shared" si="7"/>
        <v>#VALUE!</v>
      </c>
    </row>
    <row r="103" spans="1:9">
      <c r="A103" s="4" t="s">
        <v>751</v>
      </c>
      <c r="B103" s="4">
        <v>31</v>
      </c>
      <c r="C103" s="4" t="s">
        <v>70</v>
      </c>
      <c r="D103" s="4" t="s">
        <v>70</v>
      </c>
      <c r="E103" s="4" t="s">
        <v>788</v>
      </c>
      <c r="F103" s="4" t="str">
        <f t="shared" si="6"/>
        <v>31|G|G</v>
      </c>
      <c r="G103" s="14">
        <f>INDEX('Transition Stepwise'!$J$2:$J$1137,MATCH(F103,'Transition Stepwise'!$E$2:$E$1137,0))</f>
        <v>1.6949152542372881E-2</v>
      </c>
      <c r="H103" s="14" t="e">
        <f>INDEX(Background!$D$12:$D$27,MATCH(C103&amp;D103,INDEX(Background!$A$12:$A$27,0)&amp;INDEX(Background!$B$12:$B$27,0),0))</f>
        <v>#VALUE!</v>
      </c>
      <c r="I103" s="17" t="e">
        <f t="shared" si="7"/>
        <v>#VALUE!</v>
      </c>
    </row>
    <row r="104" spans="1:9">
      <c r="A104" s="4" t="s">
        <v>751</v>
      </c>
      <c r="B104" s="4">
        <v>32</v>
      </c>
      <c r="C104" s="4" t="s">
        <v>70</v>
      </c>
      <c r="D104" s="4" t="s">
        <v>72</v>
      </c>
      <c r="E104" s="4" t="s">
        <v>788</v>
      </c>
      <c r="F104" s="4" t="str">
        <f t="shared" si="6"/>
        <v>32|G|U</v>
      </c>
      <c r="G104" s="14">
        <f>INDEX('Transition Stepwise'!$J$2:$J$1137,MATCH(F104,'Transition Stepwise'!$E$2:$E$1137,0))</f>
        <v>0.25</v>
      </c>
      <c r="H104" s="14" t="e">
        <f>INDEX(Background!$D$12:$D$27,MATCH(C104&amp;D104,INDEX(Background!$A$12:$A$27,0)&amp;INDEX(Background!$B$12:$B$27,0),0))</f>
        <v>#VALUE!</v>
      </c>
      <c r="I104" s="17" t="e">
        <f t="shared" si="7"/>
        <v>#VALUE!</v>
      </c>
    </row>
    <row r="105" spans="1:9">
      <c r="A105" s="4" t="s">
        <v>751</v>
      </c>
      <c r="B105" s="4">
        <v>33</v>
      </c>
      <c r="C105" s="4" t="s">
        <v>72</v>
      </c>
      <c r="D105" s="4" t="s">
        <v>72</v>
      </c>
      <c r="E105" s="4" t="s">
        <v>788</v>
      </c>
      <c r="F105" s="4" t="str">
        <f t="shared" si="6"/>
        <v>33|U|U</v>
      </c>
      <c r="G105" s="14">
        <f>INDEX('Transition Stepwise'!$J$2:$J$1137,MATCH(F105,'Transition Stepwise'!$E$2:$E$1137,0))</f>
        <v>0.29207920792079206</v>
      </c>
      <c r="H105" s="14" t="e">
        <f>INDEX(Background!$D$12:$D$27,MATCH(C105&amp;D105,INDEX(Background!$A$12:$A$27,0)&amp;INDEX(Background!$B$12:$B$27,0),0))</f>
        <v>#VALUE!</v>
      </c>
      <c r="I105" s="17" t="e">
        <f t="shared" si="7"/>
        <v>#VALUE!</v>
      </c>
    </row>
    <row r="106" spans="1:9">
      <c r="A106" s="4" t="s">
        <v>751</v>
      </c>
      <c r="B106" s="4">
        <v>34</v>
      </c>
      <c r="C106" s="4" t="s">
        <v>72</v>
      </c>
      <c r="D106" s="4" t="s">
        <v>72</v>
      </c>
      <c r="E106" s="4" t="s">
        <v>788</v>
      </c>
      <c r="F106" s="4" t="str">
        <f t="shared" si="6"/>
        <v>34|U|U</v>
      </c>
      <c r="G106" s="14">
        <f>INDEX('Transition Stepwise'!$J$2:$J$1137,MATCH(F106,'Transition Stepwise'!$E$2:$E$1137,0))</f>
        <v>0.17741935483870969</v>
      </c>
      <c r="H106" s="14" t="e">
        <f>INDEX(Background!$D$12:$D$27,MATCH(C106&amp;D106,INDEX(Background!$A$12:$A$27,0)&amp;INDEX(Background!$B$12:$B$27,0),0))</f>
        <v>#VALUE!</v>
      </c>
      <c r="I106" s="17" t="e">
        <f t="shared" si="7"/>
        <v>#VALUE!</v>
      </c>
    </row>
    <row r="107" spans="1:9">
      <c r="A107" s="4" t="s">
        <v>751</v>
      </c>
      <c r="B107" s="4">
        <v>35</v>
      </c>
      <c r="C107" s="4" t="s">
        <v>72</v>
      </c>
      <c r="D107" s="4" t="s">
        <v>73</v>
      </c>
      <c r="E107" s="4" t="s">
        <v>788</v>
      </c>
      <c r="F107" s="4" t="str">
        <f t="shared" si="6"/>
        <v>35|U|A</v>
      </c>
      <c r="G107" s="14">
        <f>INDEX('Transition Stepwise'!$J$2:$J$1137,MATCH(F107,'Transition Stepwise'!$E$2:$E$1137,0))</f>
        <v>0.17777777777777778</v>
      </c>
      <c r="H107" s="14" t="e">
        <f>INDEX(Background!$D$12:$D$27,MATCH(C107&amp;D107,INDEX(Background!$A$12:$A$27,0)&amp;INDEX(Background!$B$12:$B$27,0),0))</f>
        <v>#VALUE!</v>
      </c>
      <c r="I107" s="17" t="e">
        <f t="shared" si="7"/>
        <v>#VALUE!</v>
      </c>
    </row>
    <row r="108" spans="1:9">
      <c r="A108" s="4" t="s">
        <v>751</v>
      </c>
      <c r="B108" s="4">
        <v>36</v>
      </c>
      <c r="C108" s="4" t="s">
        <v>73</v>
      </c>
      <c r="D108" s="4" t="s">
        <v>70</v>
      </c>
      <c r="E108" s="4" t="s">
        <v>788</v>
      </c>
      <c r="F108" s="4" t="str">
        <f t="shared" si="6"/>
        <v>36|A|G</v>
      </c>
      <c r="G108" s="14">
        <f>INDEX('Transition Stepwise'!$J$2:$J$1137,MATCH(F108,'Transition Stepwise'!$E$2:$E$1137,0))</f>
        <v>0.38297872340425532</v>
      </c>
      <c r="H108" s="14" t="e">
        <f>INDEX(Background!$D$12:$D$27,MATCH(C108&amp;D108,INDEX(Background!$A$12:$A$27,0)&amp;INDEX(Background!$B$12:$B$27,0),0))</f>
        <v>#VALUE!</v>
      </c>
      <c r="I108" s="17" t="e">
        <f t="shared" si="7"/>
        <v>#VALUE!</v>
      </c>
    </row>
    <row r="109" spans="1:9">
      <c r="A109" s="4" t="s">
        <v>751</v>
      </c>
      <c r="B109" s="4">
        <v>37</v>
      </c>
      <c r="C109" s="4" t="s">
        <v>70</v>
      </c>
      <c r="D109" s="4" t="s">
        <v>72</v>
      </c>
      <c r="E109" s="4" t="s">
        <v>788</v>
      </c>
      <c r="F109" s="4" t="str">
        <f t="shared" si="6"/>
        <v>37|G|U</v>
      </c>
      <c r="G109" s="14">
        <f>INDEX('Transition Stepwise'!$J$2:$J$1137,MATCH(F109,'Transition Stepwise'!$E$2:$E$1137,0))</f>
        <v>0.19230769230769232</v>
      </c>
      <c r="H109" s="14" t="e">
        <f>INDEX(Background!$D$12:$D$27,MATCH(C109&amp;D109,INDEX(Background!$A$12:$A$27,0)&amp;INDEX(Background!$B$12:$B$27,0),0))</f>
        <v>#VALUE!</v>
      </c>
      <c r="I109" s="17" t="e">
        <f t="shared" si="7"/>
        <v>#VALUE!</v>
      </c>
    </row>
    <row r="110" spans="1:9">
      <c r="A110" s="4" t="s">
        <v>751</v>
      </c>
      <c r="B110" s="4">
        <v>38</v>
      </c>
      <c r="C110" s="4" t="s">
        <v>72</v>
      </c>
      <c r="D110" s="4" t="s">
        <v>71</v>
      </c>
      <c r="E110" s="4" t="s">
        <v>788</v>
      </c>
      <c r="F110" s="4" t="str">
        <f t="shared" si="6"/>
        <v>38|U|C</v>
      </c>
      <c r="G110" s="14">
        <f>INDEX('Transition Stepwise'!$J$2:$J$1137,MATCH(F110,'Transition Stepwise'!$E$2:$E$1137,0))</f>
        <v>0.18518518518518517</v>
      </c>
      <c r="H110" s="14" t="e">
        <f>INDEX(Background!$D$12:$D$27,MATCH(C110&amp;D110,INDEX(Background!$A$12:$A$27,0)&amp;INDEX(Background!$B$12:$B$27,0),0))</f>
        <v>#VALUE!</v>
      </c>
      <c r="I110" s="17" t="e">
        <f t="shared" si="7"/>
        <v>#VALUE!</v>
      </c>
    </row>
    <row r="111" spans="1:9">
      <c r="A111" s="4" t="s">
        <v>751</v>
      </c>
      <c r="B111" s="4">
        <v>39</v>
      </c>
      <c r="C111" s="4" t="s">
        <v>71</v>
      </c>
      <c r="D111" s="4" t="s">
        <v>73</v>
      </c>
      <c r="E111" s="4" t="s">
        <v>788</v>
      </c>
      <c r="F111" s="4" t="str">
        <f t="shared" si="6"/>
        <v>39|C|A</v>
      </c>
      <c r="G111" s="14">
        <f>INDEX('Transition Stepwise'!$J$2:$J$1137,MATCH(F111,'Transition Stepwise'!$E$2:$E$1137,0))</f>
        <v>1.8181818181818181E-2</v>
      </c>
      <c r="H111" s="14" t="e">
        <f>INDEX(Background!$D$12:$D$27,MATCH(C111&amp;D111,INDEX(Background!$A$12:$A$27,0)&amp;INDEX(Background!$B$12:$B$27,0),0))</f>
        <v>#VALUE!</v>
      </c>
      <c r="I111" s="17" t="e">
        <f t="shared" si="7"/>
        <v>#VALUE!</v>
      </c>
    </row>
    <row r="112" spans="1:9">
      <c r="A112" s="4" t="s">
        <v>751</v>
      </c>
      <c r="B112" s="4">
        <v>40</v>
      </c>
      <c r="C112" s="4" t="s">
        <v>73</v>
      </c>
      <c r="D112" s="4" t="s">
        <v>70</v>
      </c>
      <c r="E112" s="4" t="s">
        <v>788</v>
      </c>
      <c r="F112" s="4" t="str">
        <f t="shared" si="6"/>
        <v>40|A|G</v>
      </c>
      <c r="G112" s="14">
        <f>INDEX('Transition Stepwise'!$J$2:$J$1137,MATCH(F112,'Transition Stepwise'!$E$2:$E$1137,0))</f>
        <v>0.2</v>
      </c>
      <c r="H112" s="14" t="e">
        <f>INDEX(Background!$D$12:$D$27,MATCH(C112&amp;D112,INDEX(Background!$A$12:$A$27,0)&amp;INDEX(Background!$B$12:$B$27,0),0))</f>
        <v>#VALUE!</v>
      </c>
      <c r="I112" s="17" t="e">
        <f t="shared" ref="I112:I143" si="8">LN(G112/H112)</f>
        <v>#VALUE!</v>
      </c>
    </row>
    <row r="113" spans="1:9">
      <c r="A113" s="4" t="s">
        <v>751</v>
      </c>
      <c r="B113" s="4">
        <v>41</v>
      </c>
      <c r="C113" s="4" t="s">
        <v>70</v>
      </c>
      <c r="D113" s="4" t="s">
        <v>70</v>
      </c>
      <c r="E113" s="4" t="s">
        <v>788</v>
      </c>
      <c r="F113" s="4" t="str">
        <f t="shared" si="6"/>
        <v>41|G|G</v>
      </c>
      <c r="G113" s="14">
        <f>INDEX('Transition Stepwise'!$J$2:$J$1137,MATCH(F113,'Transition Stepwise'!$E$2:$E$1137,0))</f>
        <v>0.27500000000000002</v>
      </c>
      <c r="H113" s="14" t="e">
        <f>INDEX(Background!$D$12:$D$27,MATCH(C113&amp;D113,INDEX(Background!$A$12:$A$27,0)&amp;INDEX(Background!$B$12:$B$27,0),0))</f>
        <v>#VALUE!</v>
      </c>
      <c r="I113" s="17" t="e">
        <f t="shared" si="8"/>
        <v>#VALUE!</v>
      </c>
    </row>
    <row r="114" spans="1:9">
      <c r="A114" s="4" t="s">
        <v>751</v>
      </c>
      <c r="B114" s="4">
        <v>42</v>
      </c>
      <c r="C114" s="4" t="s">
        <v>70</v>
      </c>
      <c r="D114" s="4" t="s">
        <v>73</v>
      </c>
      <c r="E114" s="4" t="s">
        <v>788</v>
      </c>
      <c r="F114" s="4" t="str">
        <f t="shared" si="6"/>
        <v>42|G|A</v>
      </c>
      <c r="G114" s="14">
        <f>INDEX('Transition Stepwise'!$J$2:$J$1137,MATCH(F114,'Transition Stepwise'!$E$2:$E$1137,0))</f>
        <v>0.23853211009174313</v>
      </c>
      <c r="H114" s="14" t="e">
        <f>INDEX(Background!$D$12:$D$27,MATCH(C114&amp;D114,INDEX(Background!$A$12:$A$27,0)&amp;INDEX(Background!$B$12:$B$27,0),0))</f>
        <v>#VALUE!</v>
      </c>
      <c r="I114" s="17" t="e">
        <f t="shared" si="8"/>
        <v>#VALUE!</v>
      </c>
    </row>
    <row r="115" spans="1:9">
      <c r="A115" s="4" t="s">
        <v>751</v>
      </c>
      <c r="B115" s="4">
        <v>43</v>
      </c>
      <c r="C115" s="4" t="s">
        <v>73</v>
      </c>
      <c r="D115" s="4" t="s">
        <v>73</v>
      </c>
      <c r="E115" s="4" t="s">
        <v>788</v>
      </c>
      <c r="F115" s="4" t="str">
        <f t="shared" si="6"/>
        <v>43|A|A</v>
      </c>
      <c r="G115" s="14">
        <f>INDEX('Transition Stepwise'!$J$2:$J$1137,MATCH(F115,'Transition Stepwise'!$E$2:$E$1137,0))</f>
        <v>0.46938775510204084</v>
      </c>
      <c r="H115" s="14" t="e">
        <f>INDEX(Background!$D$12:$D$27,MATCH(C115&amp;D115,INDEX(Background!$A$12:$A$27,0)&amp;INDEX(Background!$B$12:$B$27,0),0))</f>
        <v>#VALUE!</v>
      </c>
      <c r="I115" s="17" t="e">
        <f t="shared" si="8"/>
        <v>#VALUE!</v>
      </c>
    </row>
    <row r="116" spans="1:9">
      <c r="A116" s="4" t="s">
        <v>751</v>
      </c>
      <c r="B116" s="4">
        <v>44</v>
      </c>
      <c r="C116" s="4" t="s">
        <v>73</v>
      </c>
      <c r="D116" s="4" t="s">
        <v>72</v>
      </c>
      <c r="E116" s="4" t="s">
        <v>788</v>
      </c>
      <c r="F116" s="4" t="str">
        <f t="shared" si="6"/>
        <v>44|A|U</v>
      </c>
      <c r="G116" s="14">
        <f>INDEX('Transition Stepwise'!$J$2:$J$1137,MATCH(F116,'Transition Stepwise'!$E$2:$E$1137,0))</f>
        <v>9.7087378640776698E-2</v>
      </c>
      <c r="H116" s="14" t="e">
        <f>INDEX(Background!$D$12:$D$27,MATCH(C116&amp;D116,INDEX(Background!$A$12:$A$27,0)&amp;INDEX(Background!$B$12:$B$27,0),0))</f>
        <v>#VALUE!</v>
      </c>
      <c r="I116" s="17" t="e">
        <f t="shared" si="8"/>
        <v>#VALUE!</v>
      </c>
    </row>
    <row r="117" spans="1:9">
      <c r="A117" s="4" t="s">
        <v>751</v>
      </c>
      <c r="B117" s="4">
        <v>45</v>
      </c>
      <c r="C117" s="4" t="s">
        <v>72</v>
      </c>
      <c r="D117" s="4" t="s">
        <v>77</v>
      </c>
      <c r="E117" s="10" t="s">
        <v>789</v>
      </c>
      <c r="F117" s="4"/>
      <c r="G117" s="4"/>
      <c r="H117" s="4"/>
      <c r="I117" s="4"/>
    </row>
    <row r="118" spans="1:9">
      <c r="A118" s="4" t="s">
        <v>751</v>
      </c>
      <c r="B118" s="4">
        <v>46</v>
      </c>
      <c r="C118" s="4" t="s">
        <v>77</v>
      </c>
      <c r="D118" s="4" t="s">
        <v>77</v>
      </c>
      <c r="E118" s="10" t="s">
        <v>789</v>
      </c>
      <c r="F118" s="4"/>
      <c r="G118" s="4"/>
      <c r="H118" s="4"/>
      <c r="I118" s="4"/>
    </row>
    <row r="119" spans="1:9">
      <c r="A119" s="4" t="s">
        <v>751</v>
      </c>
      <c r="B119" s="4">
        <v>47</v>
      </c>
      <c r="C119" s="4" t="s">
        <v>77</v>
      </c>
      <c r="D119" s="4" t="s">
        <v>72</v>
      </c>
      <c r="E119" s="10" t="s">
        <v>789</v>
      </c>
      <c r="F119" s="4"/>
      <c r="G119" s="4"/>
      <c r="H119" s="4"/>
      <c r="I119" s="4"/>
    </row>
    <row r="120" spans="1:9">
      <c r="A120" s="4" t="s">
        <v>751</v>
      </c>
      <c r="B120" s="4">
        <v>48</v>
      </c>
      <c r="C120" s="4" t="s">
        <v>72</v>
      </c>
      <c r="D120" s="4" t="s">
        <v>72</v>
      </c>
      <c r="E120" s="4" t="s">
        <v>788</v>
      </c>
      <c r="F120" s="4" t="str">
        <f t="shared" ref="F120:F157" si="9">B120&amp;"|"&amp;C120&amp;"|"&amp;D120</f>
        <v>48|U|U</v>
      </c>
      <c r="G120" s="14">
        <f>INDEX('Transition Stepwise'!$J$2:$J$1137,MATCH(F120,'Transition Stepwise'!$E$2:$E$1137,0))</f>
        <v>9.0909090909090912E-2</v>
      </c>
      <c r="H120" s="14" t="e">
        <f>INDEX(Background!$D$12:$D$27,MATCH(C120&amp;D120,INDEX(Background!$A$12:$A$27,0)&amp;INDEX(Background!$B$12:$B$27,0),0))</f>
        <v>#VALUE!</v>
      </c>
      <c r="I120" s="17" t="e">
        <f t="shared" ref="I120:I157" si="10">LN(G120/H120)</f>
        <v>#VALUE!</v>
      </c>
    </row>
    <row r="121" spans="1:9">
      <c r="A121" s="4" t="s">
        <v>751</v>
      </c>
      <c r="B121" s="4">
        <v>49</v>
      </c>
      <c r="C121" s="4" t="s">
        <v>72</v>
      </c>
      <c r="D121" s="4" t="s">
        <v>71</v>
      </c>
      <c r="E121" s="4" t="s">
        <v>788</v>
      </c>
      <c r="F121" s="4" t="str">
        <f t="shared" si="9"/>
        <v>49|U|C</v>
      </c>
      <c r="G121" s="14">
        <f>INDEX('Transition Stepwise'!$J$2:$J$1137,MATCH(F121,'Transition Stepwise'!$E$2:$E$1137,0))</f>
        <v>0.4</v>
      </c>
      <c r="H121" s="14" t="e">
        <f>INDEX(Background!$D$12:$D$27,MATCH(C121&amp;D121,INDEX(Background!$A$12:$A$27,0)&amp;INDEX(Background!$B$12:$B$27,0),0))</f>
        <v>#VALUE!</v>
      </c>
      <c r="I121" s="17" t="e">
        <f t="shared" si="10"/>
        <v>#VALUE!</v>
      </c>
    </row>
    <row r="122" spans="1:9">
      <c r="A122" s="4" t="s">
        <v>751</v>
      </c>
      <c r="B122" s="4">
        <v>50</v>
      </c>
      <c r="C122" s="4" t="s">
        <v>71</v>
      </c>
      <c r="D122" s="4" t="s">
        <v>72</v>
      </c>
      <c r="E122" s="4" t="s">
        <v>788</v>
      </c>
      <c r="F122" s="4" t="str">
        <f t="shared" si="9"/>
        <v>50|C|U</v>
      </c>
      <c r="G122" s="14">
        <f>INDEX('Transition Stepwise'!$J$2:$J$1137,MATCH(F122,'Transition Stepwise'!$E$2:$E$1137,0))</f>
        <v>0.17582417582417584</v>
      </c>
      <c r="H122" s="14" t="e">
        <f>INDEX(Background!$D$12:$D$27,MATCH(C122&amp;D122,INDEX(Background!$A$12:$A$27,0)&amp;INDEX(Background!$B$12:$B$27,0),0))</f>
        <v>#VALUE!</v>
      </c>
      <c r="I122" s="17" t="e">
        <f t="shared" si="10"/>
        <v>#VALUE!</v>
      </c>
    </row>
    <row r="123" spans="1:9">
      <c r="A123" s="4" t="s">
        <v>751</v>
      </c>
      <c r="B123" s="4">
        <v>51</v>
      </c>
      <c r="C123" s="4" t="s">
        <v>72</v>
      </c>
      <c r="D123" s="4" t="s">
        <v>70</v>
      </c>
      <c r="E123" s="4" t="s">
        <v>788</v>
      </c>
      <c r="F123" s="4" t="str">
        <f t="shared" si="9"/>
        <v>51|U|G</v>
      </c>
      <c r="G123" s="14">
        <f>INDEX('Transition Stepwise'!$J$2:$J$1137,MATCH(F123,'Transition Stepwise'!$E$2:$E$1137,0))</f>
        <v>0.8571428571428571</v>
      </c>
      <c r="H123" s="14" t="e">
        <f>INDEX(Background!$D$12:$D$27,MATCH(C123&amp;D123,INDEX(Background!$A$12:$A$27,0)&amp;INDEX(Background!$B$12:$B$27,0),0))</f>
        <v>#VALUE!</v>
      </c>
      <c r="I123" s="17" t="e">
        <f t="shared" si="10"/>
        <v>#VALUE!</v>
      </c>
    </row>
    <row r="124" spans="1:9">
      <c r="A124" s="4" t="s">
        <v>751</v>
      </c>
      <c r="B124" s="4">
        <v>52</v>
      </c>
      <c r="C124" s="4" t="s">
        <v>70</v>
      </c>
      <c r="D124" s="4" t="s">
        <v>70</v>
      </c>
      <c r="E124" s="4" t="s">
        <v>788</v>
      </c>
      <c r="F124" s="4" t="str">
        <f t="shared" si="9"/>
        <v>52|G|G</v>
      </c>
      <c r="G124" s="14">
        <f>INDEX('Transition Stepwise'!$J$2:$J$1137,MATCH(F124,'Transition Stepwise'!$E$2:$E$1137,0))</f>
        <v>0.96511627906976749</v>
      </c>
      <c r="H124" s="14" t="e">
        <f>INDEX(Background!$D$12:$D$27,MATCH(C124&amp;D124,INDEX(Background!$A$12:$A$27,0)&amp;INDEX(Background!$B$12:$B$27,0),0))</f>
        <v>#VALUE!</v>
      </c>
      <c r="I124" s="17" t="e">
        <f t="shared" si="10"/>
        <v>#VALUE!</v>
      </c>
    </row>
    <row r="125" spans="1:9">
      <c r="A125" s="4" t="s">
        <v>751</v>
      </c>
      <c r="B125" s="4">
        <v>53</v>
      </c>
      <c r="C125" s="4" t="s">
        <v>70</v>
      </c>
      <c r="D125" s="4" t="s">
        <v>72</v>
      </c>
      <c r="E125" s="4" t="s">
        <v>788</v>
      </c>
      <c r="F125" s="4" t="str">
        <f t="shared" si="9"/>
        <v>53|G|U</v>
      </c>
      <c r="G125" s="14">
        <f>INDEX('Transition Stepwise'!$J$2:$J$1137,MATCH(F125,'Transition Stepwise'!$E$2:$E$1137,0))</f>
        <v>0.97499999999999998</v>
      </c>
      <c r="H125" s="14" t="e">
        <f>INDEX(Background!$D$12:$D$27,MATCH(C125&amp;D125,INDEX(Background!$A$12:$A$27,0)&amp;INDEX(Background!$B$12:$B$27,0),0))</f>
        <v>#VALUE!</v>
      </c>
      <c r="I125" s="17" t="e">
        <f t="shared" si="10"/>
        <v>#VALUE!</v>
      </c>
    </row>
    <row r="126" spans="1:9">
      <c r="A126" s="4" t="s">
        <v>751</v>
      </c>
      <c r="B126" s="4">
        <v>54</v>
      </c>
      <c r="C126" s="4" t="s">
        <v>72</v>
      </c>
      <c r="D126" s="4" t="s">
        <v>72</v>
      </c>
      <c r="E126" s="4" t="s">
        <v>788</v>
      </c>
      <c r="F126" s="4" t="str">
        <f t="shared" si="9"/>
        <v>54|U|U</v>
      </c>
      <c r="G126" s="14">
        <f>INDEX('Transition Stepwise'!$J$2:$J$1137,MATCH(F126,'Transition Stepwise'!$E$2:$E$1137,0))</f>
        <v>0.97029702970297027</v>
      </c>
      <c r="H126" s="14" t="e">
        <f>INDEX(Background!$D$12:$D$27,MATCH(C126&amp;D126,INDEX(Background!$A$12:$A$27,0)&amp;INDEX(Background!$B$12:$B$27,0),0))</f>
        <v>#VALUE!</v>
      </c>
      <c r="I126" s="17" t="e">
        <f t="shared" si="10"/>
        <v>#VALUE!</v>
      </c>
    </row>
    <row r="127" spans="1:9">
      <c r="A127" s="4" t="s">
        <v>751</v>
      </c>
      <c r="B127" s="4">
        <v>55</v>
      </c>
      <c r="C127" s="4" t="s">
        <v>72</v>
      </c>
      <c r="D127" s="4" t="s">
        <v>71</v>
      </c>
      <c r="E127" s="4" t="s">
        <v>788</v>
      </c>
      <c r="F127" s="4" t="str">
        <f t="shared" si="9"/>
        <v>55|U|C</v>
      </c>
      <c r="G127" s="14">
        <f>INDEX('Transition Stepwise'!$J$2:$J$1137,MATCH(F127,'Transition Stepwise'!$E$2:$E$1137,0))</f>
        <v>0.97512437810945274</v>
      </c>
      <c r="H127" s="14" t="e">
        <f>INDEX(Background!$D$12:$D$27,MATCH(C127&amp;D127,INDEX(Background!$A$12:$A$27,0)&amp;INDEX(Background!$B$12:$B$27,0),0))</f>
        <v>#VALUE!</v>
      </c>
      <c r="I127" s="17" t="e">
        <f t="shared" si="10"/>
        <v>#VALUE!</v>
      </c>
    </row>
    <row r="128" spans="1:9">
      <c r="A128" s="4" t="s">
        <v>751</v>
      </c>
      <c r="B128" s="4">
        <v>56</v>
      </c>
      <c r="C128" s="4" t="s">
        <v>71</v>
      </c>
      <c r="D128" s="4" t="s">
        <v>72</v>
      </c>
      <c r="E128" s="4" t="s">
        <v>788</v>
      </c>
      <c r="F128" s="4" t="str">
        <f t="shared" si="9"/>
        <v>56|C|U</v>
      </c>
      <c r="G128" s="14">
        <f>INDEX('Transition Stepwise'!$J$2:$J$1137,MATCH(F128,'Transition Stepwise'!$E$2:$E$1137,0))</f>
        <v>5.0000000000000001E-3</v>
      </c>
      <c r="H128" s="14" t="e">
        <f>INDEX(Background!$D$12:$D$27,MATCH(C128&amp;D128,INDEX(Background!$A$12:$A$27,0)&amp;INDEX(Background!$B$12:$B$27,0),0))</f>
        <v>#VALUE!</v>
      </c>
      <c r="I128" s="17" t="e">
        <f t="shared" si="10"/>
        <v>#VALUE!</v>
      </c>
    </row>
    <row r="129" spans="1:9">
      <c r="A129" s="4" t="s">
        <v>751</v>
      </c>
      <c r="B129" s="4">
        <v>57</v>
      </c>
      <c r="C129" s="4" t="s">
        <v>72</v>
      </c>
      <c r="D129" s="4" t="s">
        <v>72</v>
      </c>
      <c r="E129" s="4" t="s">
        <v>788</v>
      </c>
      <c r="F129" s="4" t="str">
        <f t="shared" si="9"/>
        <v>57|U|U</v>
      </c>
      <c r="G129" s="14">
        <f>INDEX('Transition Stepwise'!$J$2:$J$1137,MATCH(F129,'Transition Stepwise'!$E$2:$E$1137,0))</f>
        <v>0.2</v>
      </c>
      <c r="H129" s="14" t="e">
        <f>INDEX(Background!$D$12:$D$27,MATCH(C129&amp;D129,INDEX(Background!$A$12:$A$27,0)&amp;INDEX(Background!$B$12:$B$27,0),0))</f>
        <v>#VALUE!</v>
      </c>
      <c r="I129" s="17" t="e">
        <f t="shared" si="10"/>
        <v>#VALUE!</v>
      </c>
    </row>
    <row r="130" spans="1:9">
      <c r="A130" s="4" t="s">
        <v>751</v>
      </c>
      <c r="B130" s="4">
        <v>58</v>
      </c>
      <c r="C130" s="4" t="s">
        <v>72</v>
      </c>
      <c r="D130" s="4" t="s">
        <v>70</v>
      </c>
      <c r="E130" s="4" t="s">
        <v>788</v>
      </c>
      <c r="F130" s="4" t="str">
        <f t="shared" si="9"/>
        <v>58|U|G</v>
      </c>
      <c r="G130" s="14">
        <f>INDEX('Transition Stepwise'!$J$2:$J$1137,MATCH(F130,'Transition Stepwise'!$E$2:$E$1137,0))</f>
        <v>0.2</v>
      </c>
      <c r="H130" s="14" t="e">
        <f>INDEX(Background!$D$12:$D$27,MATCH(C130&amp;D130,INDEX(Background!$A$12:$A$27,0)&amp;INDEX(Background!$B$12:$B$27,0),0))</f>
        <v>#VALUE!</v>
      </c>
      <c r="I130" s="17" t="e">
        <f t="shared" si="10"/>
        <v>#VALUE!</v>
      </c>
    </row>
    <row r="131" spans="1:9">
      <c r="A131" s="4" t="s">
        <v>751</v>
      </c>
      <c r="B131" s="4">
        <v>59</v>
      </c>
      <c r="C131" s="4" t="s">
        <v>70</v>
      </c>
      <c r="D131" s="4" t="s">
        <v>72</v>
      </c>
      <c r="E131" s="4" t="s">
        <v>788</v>
      </c>
      <c r="F131" s="4" t="str">
        <f t="shared" si="9"/>
        <v>59|G|U</v>
      </c>
      <c r="G131" s="14">
        <f>INDEX('Transition Stepwise'!$J$2:$J$1137,MATCH(F131,'Transition Stepwise'!$E$2:$E$1137,0))</f>
        <v>0.82352941176470584</v>
      </c>
      <c r="H131" s="14" t="e">
        <f>INDEX(Background!$D$12:$D$27,MATCH(C131&amp;D131,INDEX(Background!$A$12:$A$27,0)&amp;INDEX(Background!$B$12:$B$27,0),0))</f>
        <v>#VALUE!</v>
      </c>
      <c r="I131" s="17" t="e">
        <f t="shared" si="10"/>
        <v>#VALUE!</v>
      </c>
    </row>
    <row r="132" spans="1:9">
      <c r="A132" s="4" t="s">
        <v>751</v>
      </c>
      <c r="B132" s="4">
        <v>60</v>
      </c>
      <c r="C132" s="4" t="s">
        <v>72</v>
      </c>
      <c r="D132" s="4" t="s">
        <v>71</v>
      </c>
      <c r="E132" s="4" t="s">
        <v>788</v>
      </c>
      <c r="F132" s="4" t="str">
        <f t="shared" si="9"/>
        <v>60|U|C</v>
      </c>
      <c r="G132" s="14">
        <f>INDEX('Transition Stepwise'!$J$2:$J$1137,MATCH(F132,'Transition Stepwise'!$E$2:$E$1137,0))</f>
        <v>0.97515527950310554</v>
      </c>
      <c r="H132" s="14" t="e">
        <f>INDEX(Background!$D$12:$D$27,MATCH(C132&amp;D132,INDEX(Background!$A$12:$A$27,0)&amp;INDEX(Background!$B$12:$B$27,0),0))</f>
        <v>#VALUE!</v>
      </c>
      <c r="I132" s="17" t="e">
        <f t="shared" si="10"/>
        <v>#VALUE!</v>
      </c>
    </row>
    <row r="133" spans="1:9">
      <c r="A133" s="4" t="s">
        <v>751</v>
      </c>
      <c r="B133" s="4">
        <v>61</v>
      </c>
      <c r="C133" s="4" t="s">
        <v>71</v>
      </c>
      <c r="D133" s="4" t="s">
        <v>72</v>
      </c>
      <c r="E133" s="4" t="s">
        <v>788</v>
      </c>
      <c r="F133" s="4" t="str">
        <f t="shared" si="9"/>
        <v>61|C|U</v>
      </c>
      <c r="G133" s="14">
        <f>INDEX('Transition Stepwise'!$J$2:$J$1137,MATCH(F133,'Transition Stepwise'!$E$2:$E$1137,0))</f>
        <v>0.12871287128712872</v>
      </c>
      <c r="H133" s="14" t="e">
        <f>INDEX(Background!$D$12:$D$27,MATCH(C133&amp;D133,INDEX(Background!$A$12:$A$27,0)&amp;INDEX(Background!$B$12:$B$27,0),0))</f>
        <v>#VALUE!</v>
      </c>
      <c r="I133" s="17" t="e">
        <f t="shared" si="10"/>
        <v>#VALUE!</v>
      </c>
    </row>
    <row r="134" spans="1:9">
      <c r="A134" s="4" t="s">
        <v>751</v>
      </c>
      <c r="B134" s="4">
        <v>62</v>
      </c>
      <c r="C134" s="4" t="s">
        <v>72</v>
      </c>
      <c r="D134" s="4" t="s">
        <v>70</v>
      </c>
      <c r="E134" s="4" t="s">
        <v>788</v>
      </c>
      <c r="F134" s="4" t="str">
        <f t="shared" si="9"/>
        <v>62|U|G</v>
      </c>
      <c r="G134" s="14">
        <f>INDEX('Transition Stepwise'!$J$2:$J$1137,MATCH(F134,'Transition Stepwise'!$E$2:$E$1137,0))</f>
        <v>0.26666666666666666</v>
      </c>
      <c r="H134" s="14" t="e">
        <f>INDEX(Background!$D$12:$D$27,MATCH(C134&amp;D134,INDEX(Background!$A$12:$A$27,0)&amp;INDEX(Background!$B$12:$B$27,0),0))</f>
        <v>#VALUE!</v>
      </c>
      <c r="I134" s="17" t="e">
        <f t="shared" si="10"/>
        <v>#VALUE!</v>
      </c>
    </row>
    <row r="135" spans="1:9">
      <c r="A135" s="4" t="s">
        <v>751</v>
      </c>
      <c r="B135" s="4">
        <v>63</v>
      </c>
      <c r="C135" s="4" t="s">
        <v>70</v>
      </c>
      <c r="D135" s="4" t="s">
        <v>70</v>
      </c>
      <c r="E135" s="4" t="s">
        <v>788</v>
      </c>
      <c r="F135" s="4" t="str">
        <f t="shared" si="9"/>
        <v>63|G|G</v>
      </c>
      <c r="G135" s="14">
        <f>INDEX('Transition Stepwise'!$J$2:$J$1137,MATCH(F135,'Transition Stepwise'!$E$2:$E$1137,0))</f>
        <v>0.51923076923076927</v>
      </c>
      <c r="H135" s="14" t="e">
        <f>INDEX(Background!$D$12:$D$27,MATCH(C135&amp;D135,INDEX(Background!$A$12:$A$27,0)&amp;INDEX(Background!$B$12:$B$27,0),0))</f>
        <v>#VALUE!</v>
      </c>
      <c r="I135" s="17" t="e">
        <f t="shared" si="10"/>
        <v>#VALUE!</v>
      </c>
    </row>
    <row r="136" spans="1:9">
      <c r="A136" s="4" t="s">
        <v>751</v>
      </c>
      <c r="B136" s="4">
        <v>64</v>
      </c>
      <c r="C136" s="4" t="s">
        <v>70</v>
      </c>
      <c r="D136" s="4" t="s">
        <v>73</v>
      </c>
      <c r="E136" s="4" t="s">
        <v>788</v>
      </c>
      <c r="F136" s="4" t="str">
        <f t="shared" si="9"/>
        <v>64|G|A</v>
      </c>
      <c r="G136" s="14">
        <f>INDEX('Transition Stepwise'!$J$2:$J$1137,MATCH(F136,'Transition Stepwise'!$E$2:$E$1137,0))</f>
        <v>3.125E-2</v>
      </c>
      <c r="H136" s="14" t="e">
        <f>INDEX(Background!$D$12:$D$27,MATCH(C136&amp;D136,INDEX(Background!$A$12:$A$27,0)&amp;INDEX(Background!$B$12:$B$27,0),0))</f>
        <v>#VALUE!</v>
      </c>
      <c r="I136" s="17" t="e">
        <f t="shared" si="10"/>
        <v>#VALUE!</v>
      </c>
    </row>
    <row r="137" spans="1:9">
      <c r="A137" s="4" t="s">
        <v>751</v>
      </c>
      <c r="B137" s="4">
        <v>65</v>
      </c>
      <c r="C137" s="4" t="s">
        <v>73</v>
      </c>
      <c r="D137" s="4" t="s">
        <v>70</v>
      </c>
      <c r="E137" s="4" t="s">
        <v>788</v>
      </c>
      <c r="F137" s="4" t="str">
        <f t="shared" si="9"/>
        <v>65|A|G</v>
      </c>
      <c r="G137" s="14">
        <f>INDEX('Transition Stepwise'!$J$2:$J$1137,MATCH(F137,'Transition Stepwise'!$E$2:$E$1137,0))</f>
        <v>7.6923076923076927E-2</v>
      </c>
      <c r="H137" s="14" t="e">
        <f>INDEX(Background!$D$12:$D$27,MATCH(C137&amp;D137,INDEX(Background!$A$12:$A$27,0)&amp;INDEX(Background!$B$12:$B$27,0),0))</f>
        <v>#VALUE!</v>
      </c>
      <c r="I137" s="17" t="e">
        <f t="shared" si="10"/>
        <v>#VALUE!</v>
      </c>
    </row>
    <row r="138" spans="1:9">
      <c r="A138" s="4" t="s">
        <v>751</v>
      </c>
      <c r="B138" s="4">
        <v>66</v>
      </c>
      <c r="C138" s="4" t="s">
        <v>70</v>
      </c>
      <c r="D138" s="4" t="s">
        <v>72</v>
      </c>
      <c r="E138" s="4" t="s">
        <v>788</v>
      </c>
      <c r="F138" s="4" t="str">
        <f t="shared" si="9"/>
        <v>66|G|U</v>
      </c>
      <c r="G138" s="14">
        <f>INDEX('Transition Stepwise'!$J$2:$J$1137,MATCH(F138,'Transition Stepwise'!$E$2:$E$1137,0))</f>
        <v>0.16666666666666666</v>
      </c>
      <c r="H138" s="14" t="e">
        <f>INDEX(Background!$D$12:$D$27,MATCH(C138&amp;D138,INDEX(Background!$A$12:$A$27,0)&amp;INDEX(Background!$B$12:$B$27,0),0))</f>
        <v>#VALUE!</v>
      </c>
      <c r="I138" s="17" t="e">
        <f t="shared" si="10"/>
        <v>#VALUE!</v>
      </c>
    </row>
    <row r="139" spans="1:9">
      <c r="A139" s="4" t="s">
        <v>751</v>
      </c>
      <c r="B139" s="4">
        <v>67</v>
      </c>
      <c r="C139" s="4" t="s">
        <v>72</v>
      </c>
      <c r="D139" s="4" t="s">
        <v>72</v>
      </c>
      <c r="E139" s="4" t="s">
        <v>788</v>
      </c>
      <c r="F139" s="4" t="str">
        <f t="shared" si="9"/>
        <v>67|U|U</v>
      </c>
      <c r="G139" s="14">
        <f>INDEX('Transition Stepwise'!$J$2:$J$1137,MATCH(F139,'Transition Stepwise'!$E$2:$E$1137,0))</f>
        <v>0.23809523809523808</v>
      </c>
      <c r="H139" s="14" t="e">
        <f>INDEX(Background!$D$12:$D$27,MATCH(C139&amp;D139,INDEX(Background!$A$12:$A$27,0)&amp;INDEX(Background!$B$12:$B$27,0),0))</f>
        <v>#VALUE!</v>
      </c>
      <c r="I139" s="17" t="e">
        <f t="shared" si="10"/>
        <v>#VALUE!</v>
      </c>
    </row>
    <row r="140" spans="1:9">
      <c r="A140" s="4" t="s">
        <v>751</v>
      </c>
      <c r="B140" s="4">
        <v>68</v>
      </c>
      <c r="C140" s="4" t="s">
        <v>72</v>
      </c>
      <c r="D140" s="4" t="s">
        <v>72</v>
      </c>
      <c r="E140" s="4" t="s">
        <v>788</v>
      </c>
      <c r="F140" s="4" t="str">
        <f t="shared" si="9"/>
        <v>68|U|U</v>
      </c>
      <c r="G140" s="14">
        <f>INDEX('Transition Stepwise'!$J$2:$J$1137,MATCH(F140,'Transition Stepwise'!$E$2:$E$1137,0))</f>
        <v>0.17499999999999999</v>
      </c>
      <c r="H140" s="14" t="e">
        <f>INDEX(Background!$D$12:$D$27,MATCH(C140&amp;D140,INDEX(Background!$A$12:$A$27,0)&amp;INDEX(Background!$B$12:$B$27,0),0))</f>
        <v>#VALUE!</v>
      </c>
      <c r="I140" s="17" t="e">
        <f t="shared" si="10"/>
        <v>#VALUE!</v>
      </c>
    </row>
    <row r="141" spans="1:9">
      <c r="A141" s="4" t="s">
        <v>751</v>
      </c>
      <c r="B141" s="4">
        <v>69</v>
      </c>
      <c r="C141" s="4" t="s">
        <v>72</v>
      </c>
      <c r="D141" s="4" t="s">
        <v>71</v>
      </c>
      <c r="E141" s="4" t="s">
        <v>788</v>
      </c>
      <c r="F141" s="4" t="str">
        <f t="shared" si="9"/>
        <v>69|U|C</v>
      </c>
      <c r="G141" s="14">
        <f>INDEX('Transition Stepwise'!$J$2:$J$1137,MATCH(F141,'Transition Stepwise'!$E$2:$E$1137,0))</f>
        <v>0.47619047619047616</v>
      </c>
      <c r="H141" s="14" t="e">
        <f>INDEX(Background!$D$12:$D$27,MATCH(C141&amp;D141,INDEX(Background!$A$12:$A$27,0)&amp;INDEX(Background!$B$12:$B$27,0),0))</f>
        <v>#VALUE!</v>
      </c>
      <c r="I141" s="17" t="e">
        <f t="shared" si="10"/>
        <v>#VALUE!</v>
      </c>
    </row>
    <row r="142" spans="1:9">
      <c r="A142" s="4" t="s">
        <v>751</v>
      </c>
      <c r="B142" s="4">
        <v>70</v>
      </c>
      <c r="C142" s="4" t="s">
        <v>71</v>
      </c>
      <c r="D142" s="4" t="s">
        <v>72</v>
      </c>
      <c r="E142" s="4" t="s">
        <v>788</v>
      </c>
      <c r="F142" s="4" t="str">
        <f t="shared" si="9"/>
        <v>70|C|U</v>
      </c>
      <c r="G142" s="14">
        <f>INDEX('Transition Stepwise'!$J$2:$J$1137,MATCH(F142,'Transition Stepwise'!$E$2:$E$1137,0))</f>
        <v>2.6315789473684209E-2</v>
      </c>
      <c r="H142" s="14" t="e">
        <f>INDEX(Background!$D$12:$D$27,MATCH(C142&amp;D142,INDEX(Background!$A$12:$A$27,0)&amp;INDEX(Background!$B$12:$B$27,0),0))</f>
        <v>#VALUE!</v>
      </c>
      <c r="I142" s="17" t="e">
        <f t="shared" si="10"/>
        <v>#VALUE!</v>
      </c>
    </row>
    <row r="143" spans="1:9">
      <c r="A143" s="4" t="s">
        <v>751</v>
      </c>
      <c r="B143" s="4">
        <v>71</v>
      </c>
      <c r="C143" s="4" t="s">
        <v>72</v>
      </c>
      <c r="D143" s="4" t="s">
        <v>72</v>
      </c>
      <c r="E143" s="4" t="s">
        <v>788</v>
      </c>
      <c r="F143" s="4" t="str">
        <f t="shared" si="9"/>
        <v>71|U|U</v>
      </c>
      <c r="G143" s="14">
        <f>INDEX('Transition Stepwise'!$J$2:$J$1137,MATCH(F143,'Transition Stepwise'!$E$2:$E$1137,0))</f>
        <v>7.6923076923076927E-2</v>
      </c>
      <c r="H143" s="14" t="e">
        <f>INDEX(Background!$D$12:$D$27,MATCH(C143&amp;D143,INDEX(Background!$A$12:$A$27,0)&amp;INDEX(Background!$B$12:$B$27,0),0))</f>
        <v>#VALUE!</v>
      </c>
      <c r="I143" s="17" t="e">
        <f t="shared" si="10"/>
        <v>#VALUE!</v>
      </c>
    </row>
    <row r="144" spans="1:9">
      <c r="A144" s="4" t="s">
        <v>752</v>
      </c>
      <c r="B144" s="4">
        <v>1</v>
      </c>
      <c r="C144" s="4" t="s">
        <v>71</v>
      </c>
      <c r="D144" s="4" t="s">
        <v>72</v>
      </c>
      <c r="E144" s="4" t="s">
        <v>788</v>
      </c>
      <c r="F144" s="4" t="str">
        <f t="shared" si="9"/>
        <v>1|C|U</v>
      </c>
      <c r="G144" s="14">
        <f>INDEX('Transition Stepwise'!$J$2:$J$1137,MATCH(F144,'Transition Stepwise'!$E$2:$E$1137,0))</f>
        <v>7.6923076923076927E-2</v>
      </c>
      <c r="H144" s="14" t="e">
        <f>INDEX(Background!$D$12:$D$27,MATCH(C144&amp;D144,INDEX(Background!$A$12:$A$27,0)&amp;INDEX(Background!$B$12:$B$27,0),0))</f>
        <v>#VALUE!</v>
      </c>
      <c r="I144" s="17" t="e">
        <f t="shared" si="10"/>
        <v>#VALUE!</v>
      </c>
    </row>
    <row r="145" spans="1:9">
      <c r="A145" s="4" t="s">
        <v>752</v>
      </c>
      <c r="B145" s="4">
        <v>2</v>
      </c>
      <c r="C145" s="4" t="s">
        <v>72</v>
      </c>
      <c r="D145" s="4" t="s">
        <v>72</v>
      </c>
      <c r="E145" s="4" t="s">
        <v>788</v>
      </c>
      <c r="F145" s="4" t="str">
        <f t="shared" si="9"/>
        <v>2|U|U</v>
      </c>
      <c r="G145" s="14">
        <f>INDEX('Transition Stepwise'!$J$2:$J$1137,MATCH(F145,'Transition Stepwise'!$E$2:$E$1137,0))</f>
        <v>0.2</v>
      </c>
      <c r="H145" s="14" t="e">
        <f>INDEX(Background!$D$12:$D$27,MATCH(C145&amp;D145,INDEX(Background!$A$12:$A$27,0)&amp;INDEX(Background!$B$12:$B$27,0),0))</f>
        <v>#VALUE!</v>
      </c>
      <c r="I145" s="17" t="e">
        <f t="shared" si="10"/>
        <v>#VALUE!</v>
      </c>
    </row>
    <row r="146" spans="1:9">
      <c r="A146" s="4" t="s">
        <v>752</v>
      </c>
      <c r="B146" s="4">
        <v>3</v>
      </c>
      <c r="C146" s="4" t="s">
        <v>72</v>
      </c>
      <c r="D146" s="4" t="s">
        <v>72</v>
      </c>
      <c r="E146" s="4" t="s">
        <v>788</v>
      </c>
      <c r="F146" s="4" t="str">
        <f t="shared" si="9"/>
        <v>3|U|U</v>
      </c>
      <c r="G146" s="14">
        <f>INDEX('Transition Stepwise'!$J$2:$J$1137,MATCH(F146,'Transition Stepwise'!$E$2:$E$1137,0))</f>
        <v>0.25925925925925924</v>
      </c>
      <c r="H146" s="14" t="e">
        <f>INDEX(Background!$D$12:$D$27,MATCH(C146&amp;D146,INDEX(Background!$A$12:$A$27,0)&amp;INDEX(Background!$B$12:$B$27,0),0))</f>
        <v>#VALUE!</v>
      </c>
      <c r="I146" s="17" t="e">
        <f t="shared" si="10"/>
        <v>#VALUE!</v>
      </c>
    </row>
    <row r="147" spans="1:9">
      <c r="A147" s="4" t="s">
        <v>752</v>
      </c>
      <c r="B147" s="4">
        <v>4</v>
      </c>
      <c r="C147" s="4" t="s">
        <v>72</v>
      </c>
      <c r="D147" s="4" t="s">
        <v>71</v>
      </c>
      <c r="E147" s="4" t="s">
        <v>788</v>
      </c>
      <c r="F147" s="4" t="str">
        <f t="shared" si="9"/>
        <v>4|U|C</v>
      </c>
      <c r="G147" s="14">
        <f>INDEX('Transition Stepwise'!$J$2:$J$1137,MATCH(F147,'Transition Stepwise'!$E$2:$E$1137,0))</f>
        <v>0.5</v>
      </c>
      <c r="H147" s="14" t="e">
        <f>INDEX(Background!$D$12:$D$27,MATCH(C147&amp;D147,INDEX(Background!$A$12:$A$27,0)&amp;INDEX(Background!$B$12:$B$27,0),0))</f>
        <v>#VALUE!</v>
      </c>
      <c r="I147" s="17" t="e">
        <f t="shared" si="10"/>
        <v>#VALUE!</v>
      </c>
    </row>
    <row r="148" spans="1:9">
      <c r="A148" s="4" t="s">
        <v>752</v>
      </c>
      <c r="B148" s="4">
        <v>5</v>
      </c>
      <c r="C148" s="4" t="s">
        <v>71</v>
      </c>
      <c r="D148" s="4" t="s">
        <v>72</v>
      </c>
      <c r="E148" s="4" t="s">
        <v>788</v>
      </c>
      <c r="F148" s="4" t="str">
        <f t="shared" si="9"/>
        <v>5|C|U</v>
      </c>
      <c r="G148" s="14">
        <f>INDEX('Transition Stepwise'!$J$2:$J$1137,MATCH(F148,'Transition Stepwise'!$E$2:$E$1137,0))</f>
        <v>0.20481927710843373</v>
      </c>
      <c r="H148" s="14" t="e">
        <f>INDEX(Background!$D$12:$D$27,MATCH(C148&amp;D148,INDEX(Background!$A$12:$A$27,0)&amp;INDEX(Background!$B$12:$B$27,0),0))</f>
        <v>#VALUE!</v>
      </c>
      <c r="I148" s="17" t="e">
        <f t="shared" si="10"/>
        <v>#VALUE!</v>
      </c>
    </row>
    <row r="149" spans="1:9">
      <c r="A149" s="4" t="s">
        <v>752</v>
      </c>
      <c r="B149" s="4">
        <v>6</v>
      </c>
      <c r="C149" s="4" t="s">
        <v>72</v>
      </c>
      <c r="D149" s="4" t="s">
        <v>72</v>
      </c>
      <c r="E149" s="4" t="s">
        <v>788</v>
      </c>
      <c r="F149" s="4" t="str">
        <f t="shared" si="9"/>
        <v>6|U|U</v>
      </c>
      <c r="G149" s="14">
        <f>INDEX('Transition Stepwise'!$J$2:$J$1137,MATCH(F149,'Transition Stepwise'!$E$2:$E$1137,0))</f>
        <v>8.771929824561403E-2</v>
      </c>
      <c r="H149" s="14" t="e">
        <f>INDEX(Background!$D$12:$D$27,MATCH(C149&amp;D149,INDEX(Background!$A$12:$A$27,0)&amp;INDEX(Background!$B$12:$B$27,0),0))</f>
        <v>#VALUE!</v>
      </c>
      <c r="I149" s="17" t="e">
        <f t="shared" si="10"/>
        <v>#VALUE!</v>
      </c>
    </row>
    <row r="150" spans="1:9">
      <c r="A150" s="4" t="s">
        <v>752</v>
      </c>
      <c r="B150" s="4">
        <v>7</v>
      </c>
      <c r="C150" s="4" t="s">
        <v>72</v>
      </c>
      <c r="D150" s="4" t="s">
        <v>72</v>
      </c>
      <c r="E150" s="4" t="s">
        <v>788</v>
      </c>
      <c r="F150" s="4" t="str">
        <f t="shared" si="9"/>
        <v>7|U|U</v>
      </c>
      <c r="G150" s="14">
        <f>INDEX('Transition Stepwise'!$J$2:$J$1137,MATCH(F150,'Transition Stepwise'!$E$2:$E$1137,0))</f>
        <v>0.9375</v>
      </c>
      <c r="H150" s="14" t="e">
        <f>INDEX(Background!$D$12:$D$27,MATCH(C150&amp;D150,INDEX(Background!$A$12:$A$27,0)&amp;INDEX(Background!$B$12:$B$27,0),0))</f>
        <v>#VALUE!</v>
      </c>
      <c r="I150" s="17" t="e">
        <f t="shared" si="10"/>
        <v>#VALUE!</v>
      </c>
    </row>
    <row r="151" spans="1:9">
      <c r="A151" s="4" t="s">
        <v>752</v>
      </c>
      <c r="B151" s="4">
        <v>8</v>
      </c>
      <c r="C151" s="4" t="s">
        <v>72</v>
      </c>
      <c r="D151" s="4" t="s">
        <v>73</v>
      </c>
      <c r="E151" s="4" t="s">
        <v>788</v>
      </c>
      <c r="F151" s="4" t="str">
        <f t="shared" si="9"/>
        <v>8|U|A</v>
      </c>
      <c r="G151" s="14">
        <f>INDEX('Transition Stepwise'!$J$2:$J$1137,MATCH(F151,'Transition Stepwise'!$E$2:$E$1137,0))</f>
        <v>0.65174129353233834</v>
      </c>
      <c r="H151" s="14" t="e">
        <f>INDEX(Background!$D$12:$D$27,MATCH(C151&amp;D151,INDEX(Background!$A$12:$A$27,0)&amp;INDEX(Background!$B$12:$B$27,0),0))</f>
        <v>#VALUE!</v>
      </c>
      <c r="I151" s="17" t="e">
        <f t="shared" si="10"/>
        <v>#VALUE!</v>
      </c>
    </row>
    <row r="152" spans="1:9">
      <c r="A152" s="4" t="s">
        <v>752</v>
      </c>
      <c r="B152" s="4">
        <v>9</v>
      </c>
      <c r="C152" s="4" t="s">
        <v>73</v>
      </c>
      <c r="D152" s="4" t="s">
        <v>73</v>
      </c>
      <c r="E152" s="4" t="s">
        <v>788</v>
      </c>
      <c r="F152" s="4" t="str">
        <f t="shared" si="9"/>
        <v>9|A|A</v>
      </c>
      <c r="G152" s="14">
        <f>INDEX('Transition Stepwise'!$J$2:$J$1137,MATCH(F152,'Transition Stepwise'!$E$2:$E$1137,0))</f>
        <v>7.4074074074074077E-3</v>
      </c>
      <c r="H152" s="14" t="e">
        <f>INDEX(Background!$D$12:$D$27,MATCH(C152&amp;D152,INDEX(Background!$A$12:$A$27,0)&amp;INDEX(Background!$B$12:$B$27,0),0))</f>
        <v>#VALUE!</v>
      </c>
      <c r="I152" s="17" t="e">
        <f t="shared" si="10"/>
        <v>#VALUE!</v>
      </c>
    </row>
    <row r="153" spans="1:9">
      <c r="A153" s="4" t="s">
        <v>752</v>
      </c>
      <c r="B153" s="4">
        <v>10</v>
      </c>
      <c r="C153" s="4" t="s">
        <v>73</v>
      </c>
      <c r="D153" s="4" t="s">
        <v>73</v>
      </c>
      <c r="E153" s="4" t="s">
        <v>788</v>
      </c>
      <c r="F153" s="4" t="str">
        <f t="shared" si="9"/>
        <v>10|A|A</v>
      </c>
      <c r="G153" s="14">
        <f>INDEX('Transition Stepwise'!$J$2:$J$1137,MATCH(F153,'Transition Stepwise'!$E$2:$E$1137,0))</f>
        <v>0.25</v>
      </c>
      <c r="H153" s="14" t="e">
        <f>INDEX(Background!$D$12:$D$27,MATCH(C153&amp;D153,INDEX(Background!$A$12:$A$27,0)&amp;INDEX(Background!$B$12:$B$27,0),0))</f>
        <v>#VALUE!</v>
      </c>
      <c r="I153" s="17" t="e">
        <f t="shared" si="10"/>
        <v>#VALUE!</v>
      </c>
    </row>
    <row r="154" spans="1:9">
      <c r="A154" s="4" t="s">
        <v>752</v>
      </c>
      <c r="B154" s="4">
        <v>11</v>
      </c>
      <c r="C154" s="4" t="s">
        <v>73</v>
      </c>
      <c r="D154" s="4" t="s">
        <v>72</v>
      </c>
      <c r="E154" s="4" t="s">
        <v>788</v>
      </c>
      <c r="F154" s="4" t="str">
        <f t="shared" si="9"/>
        <v>11|A|U</v>
      </c>
      <c r="G154" s="14">
        <f>INDEX('Transition Stepwise'!$J$2:$J$1137,MATCH(F154,'Transition Stepwise'!$E$2:$E$1137,0))</f>
        <v>0.36363636363636365</v>
      </c>
      <c r="H154" s="14" t="e">
        <f>INDEX(Background!$D$12:$D$27,MATCH(C154&amp;D154,INDEX(Background!$A$12:$A$27,0)&amp;INDEX(Background!$B$12:$B$27,0),0))</f>
        <v>#VALUE!</v>
      </c>
      <c r="I154" s="17" t="e">
        <f t="shared" si="10"/>
        <v>#VALUE!</v>
      </c>
    </row>
    <row r="155" spans="1:9">
      <c r="A155" s="4" t="s">
        <v>752</v>
      </c>
      <c r="B155" s="4">
        <v>12</v>
      </c>
      <c r="C155" s="4" t="s">
        <v>72</v>
      </c>
      <c r="D155" s="4" t="s">
        <v>73</v>
      </c>
      <c r="E155" s="4" t="s">
        <v>788</v>
      </c>
      <c r="F155" s="4" t="str">
        <f t="shared" si="9"/>
        <v>12|U|A</v>
      </c>
      <c r="G155" s="14">
        <f>INDEX('Transition Stepwise'!$J$2:$J$1137,MATCH(F155,'Transition Stepwise'!$E$2:$E$1137,0))</f>
        <v>1.6129032258064516E-2</v>
      </c>
      <c r="H155" s="14" t="e">
        <f>INDEX(Background!$D$12:$D$27,MATCH(C155&amp;D155,INDEX(Background!$A$12:$A$27,0)&amp;INDEX(Background!$B$12:$B$27,0),0))</f>
        <v>#VALUE!</v>
      </c>
      <c r="I155" s="17" t="e">
        <f t="shared" si="10"/>
        <v>#VALUE!</v>
      </c>
    </row>
    <row r="156" spans="1:9">
      <c r="A156" s="4" t="s">
        <v>752</v>
      </c>
      <c r="B156" s="4">
        <v>13</v>
      </c>
      <c r="C156" s="4" t="s">
        <v>73</v>
      </c>
      <c r="D156" s="4" t="s">
        <v>73</v>
      </c>
      <c r="E156" s="4" t="s">
        <v>788</v>
      </c>
      <c r="F156" s="4" t="str">
        <f t="shared" si="9"/>
        <v>13|A|A</v>
      </c>
      <c r="G156" s="14">
        <f>INDEX('Transition Stepwise'!$J$2:$J$1137,MATCH(F156,'Transition Stepwise'!$E$2:$E$1137,0))</f>
        <v>0.76470588235294112</v>
      </c>
      <c r="H156" s="14" t="e">
        <f>INDEX(Background!$D$12:$D$27,MATCH(C156&amp;D156,INDEX(Background!$A$12:$A$27,0)&amp;INDEX(Background!$B$12:$B$27,0),0))</f>
        <v>#VALUE!</v>
      </c>
      <c r="I156" s="17" t="e">
        <f t="shared" si="10"/>
        <v>#VALUE!</v>
      </c>
    </row>
    <row r="157" spans="1:9">
      <c r="A157" s="4" t="s">
        <v>752</v>
      </c>
      <c r="B157" s="4">
        <v>14</v>
      </c>
      <c r="C157" s="4" t="s">
        <v>73</v>
      </c>
      <c r="D157" s="4" t="s">
        <v>73</v>
      </c>
      <c r="E157" s="4" t="s">
        <v>788</v>
      </c>
      <c r="F157" s="4" t="str">
        <f t="shared" si="9"/>
        <v>14|A|A</v>
      </c>
      <c r="G157" s="14">
        <f>INDEX('Transition Stepwise'!$J$2:$J$1137,MATCH(F157,'Transition Stepwise'!$E$2:$E$1137,0))</f>
        <v>0.16417910447761194</v>
      </c>
      <c r="H157" s="14" t="e">
        <f>INDEX(Background!$D$12:$D$27,MATCH(C157&amp;D157,INDEX(Background!$A$12:$A$27,0)&amp;INDEX(Background!$B$12:$B$27,0),0))</f>
        <v>#VALUE!</v>
      </c>
      <c r="I157" s="17" t="e">
        <f t="shared" si="10"/>
        <v>#VALUE!</v>
      </c>
    </row>
    <row r="158" spans="1:9">
      <c r="A158" s="4" t="s">
        <v>752</v>
      </c>
      <c r="B158" s="4">
        <v>15</v>
      </c>
      <c r="C158" s="4" t="s">
        <v>73</v>
      </c>
      <c r="D158" s="4" t="s">
        <v>77</v>
      </c>
      <c r="E158" s="10" t="s">
        <v>789</v>
      </c>
      <c r="F158" s="4"/>
      <c r="G158" s="4"/>
      <c r="H158" s="4"/>
      <c r="I158" s="4"/>
    </row>
    <row r="159" spans="1:9">
      <c r="A159" s="4" t="s">
        <v>752</v>
      </c>
      <c r="B159" s="4">
        <v>16</v>
      </c>
      <c r="C159" s="4" t="s">
        <v>77</v>
      </c>
      <c r="D159" s="4" t="s">
        <v>73</v>
      </c>
      <c r="E159" s="10" t="s">
        <v>789</v>
      </c>
      <c r="F159" s="4"/>
      <c r="G159" s="4"/>
      <c r="H159" s="4"/>
      <c r="I159" s="4"/>
    </row>
    <row r="160" spans="1:9">
      <c r="A160" s="4" t="s">
        <v>752</v>
      </c>
      <c r="B160" s="4">
        <v>17</v>
      </c>
      <c r="C160" s="4" t="s">
        <v>73</v>
      </c>
      <c r="D160" s="4" t="s">
        <v>70</v>
      </c>
      <c r="E160" s="4" t="s">
        <v>788</v>
      </c>
      <c r="F160" s="4" t="str">
        <f t="shared" ref="F160:F223" si="11">B160&amp;"|"&amp;C160&amp;"|"&amp;D160</f>
        <v>17|A|G</v>
      </c>
      <c r="G160" s="14">
        <f>INDEX('Transition Stepwise'!$J$2:$J$1137,MATCH(F160,'Transition Stepwise'!$E$2:$E$1137,0))</f>
        <v>0.75</v>
      </c>
      <c r="H160" s="14" t="e">
        <f>INDEX(Background!$D$12:$D$27,MATCH(C160&amp;D160,INDEX(Background!$A$12:$A$27,0)&amp;INDEX(Background!$B$12:$B$27,0),0))</f>
        <v>#VALUE!</v>
      </c>
      <c r="I160" s="17" t="e">
        <f t="shared" ref="I160:I223" si="12">LN(G160/H160)</f>
        <v>#VALUE!</v>
      </c>
    </row>
    <row r="161" spans="1:9">
      <c r="A161" s="4" t="s">
        <v>752</v>
      </c>
      <c r="B161" s="4">
        <v>18</v>
      </c>
      <c r="C161" s="4" t="s">
        <v>70</v>
      </c>
      <c r="D161" s="4" t="s">
        <v>70</v>
      </c>
      <c r="E161" s="4" t="s">
        <v>788</v>
      </c>
      <c r="F161" s="4" t="str">
        <f t="shared" si="11"/>
        <v>18|G|G</v>
      </c>
      <c r="G161" s="14">
        <f>INDEX('Transition Stepwise'!$J$2:$J$1137,MATCH(F161,'Transition Stepwise'!$E$2:$E$1137,0))</f>
        <v>0.97536945812807885</v>
      </c>
      <c r="H161" s="14" t="e">
        <f>INDEX(Background!$D$12:$D$27,MATCH(C161&amp;D161,INDEX(Background!$A$12:$A$27,0)&amp;INDEX(Background!$B$12:$B$27,0),0))</f>
        <v>#VALUE!</v>
      </c>
      <c r="I161" s="17" t="e">
        <f t="shared" si="12"/>
        <v>#VALUE!</v>
      </c>
    </row>
    <row r="162" spans="1:9">
      <c r="A162" s="4" t="s">
        <v>752</v>
      </c>
      <c r="B162" s="4">
        <v>19</v>
      </c>
      <c r="C162" s="4" t="s">
        <v>70</v>
      </c>
      <c r="D162" s="4" t="s">
        <v>73</v>
      </c>
      <c r="E162" s="4" t="s">
        <v>788</v>
      </c>
      <c r="F162" s="4" t="str">
        <f t="shared" si="11"/>
        <v>19|G|A</v>
      </c>
      <c r="G162" s="14">
        <f>INDEX('Transition Stepwise'!$J$2:$J$1137,MATCH(F162,'Transition Stepwise'!$E$2:$E$1137,0))</f>
        <v>8.9552238805970144E-2</v>
      </c>
      <c r="H162" s="14" t="e">
        <f>INDEX(Background!$D$12:$D$27,MATCH(C162&amp;D162,INDEX(Background!$A$12:$A$27,0)&amp;INDEX(Background!$B$12:$B$27,0),0))</f>
        <v>#VALUE!</v>
      </c>
      <c r="I162" s="17" t="e">
        <f t="shared" si="12"/>
        <v>#VALUE!</v>
      </c>
    </row>
    <row r="163" spans="1:9">
      <c r="A163" s="4" t="s">
        <v>752</v>
      </c>
      <c r="B163" s="4">
        <v>20</v>
      </c>
      <c r="C163" s="4" t="s">
        <v>73</v>
      </c>
      <c r="D163" s="4" t="s">
        <v>71</v>
      </c>
      <c r="E163" s="4" t="s">
        <v>788</v>
      </c>
      <c r="F163" s="4" t="str">
        <f t="shared" si="11"/>
        <v>20|A|C</v>
      </c>
      <c r="G163" s="14">
        <f>INDEX('Transition Stepwise'!$J$2:$J$1137,MATCH(F163,'Transition Stepwise'!$E$2:$E$1137,0))</f>
        <v>4.7619047619047616E-2</v>
      </c>
      <c r="H163" s="14" t="e">
        <f>INDEX(Background!$D$12:$D$27,MATCH(C163&amp;D163,INDEX(Background!$A$12:$A$27,0)&amp;INDEX(Background!$B$12:$B$27,0),0))</f>
        <v>#VALUE!</v>
      </c>
      <c r="I163" s="17" t="e">
        <f t="shared" si="12"/>
        <v>#VALUE!</v>
      </c>
    </row>
    <row r="164" spans="1:9">
      <c r="A164" s="4" t="s">
        <v>752</v>
      </c>
      <c r="B164" s="4">
        <v>21</v>
      </c>
      <c r="C164" s="4" t="s">
        <v>71</v>
      </c>
      <c r="D164" s="4" t="s">
        <v>72</v>
      </c>
      <c r="E164" s="4" t="s">
        <v>788</v>
      </c>
      <c r="F164" s="4" t="str">
        <f t="shared" si="11"/>
        <v>21|C|U</v>
      </c>
      <c r="G164" s="14">
        <f>INDEX('Transition Stepwise'!$J$2:$J$1137,MATCH(F164,'Transition Stepwise'!$E$2:$E$1137,0))</f>
        <v>0.125</v>
      </c>
      <c r="H164" s="14" t="e">
        <f>INDEX(Background!$D$12:$D$27,MATCH(C164&amp;D164,INDEX(Background!$A$12:$A$27,0)&amp;INDEX(Background!$B$12:$B$27,0),0))</f>
        <v>#VALUE!</v>
      </c>
      <c r="I164" s="17" t="e">
        <f t="shared" si="12"/>
        <v>#VALUE!</v>
      </c>
    </row>
    <row r="165" spans="1:9">
      <c r="A165" s="4" t="s">
        <v>752</v>
      </c>
      <c r="B165" s="4">
        <v>22</v>
      </c>
      <c r="C165" s="4" t="s">
        <v>72</v>
      </c>
      <c r="D165" s="4" t="s">
        <v>73</v>
      </c>
      <c r="E165" s="4" t="s">
        <v>788</v>
      </c>
      <c r="F165" s="4" t="str">
        <f t="shared" si="11"/>
        <v>22|U|A</v>
      </c>
      <c r="G165" s="14">
        <f>INDEX('Transition Stepwise'!$J$2:$J$1137,MATCH(F165,'Transition Stepwise'!$E$2:$E$1137,0))</f>
        <v>0.1111111111111111</v>
      </c>
      <c r="H165" s="14" t="e">
        <f>INDEX(Background!$D$12:$D$27,MATCH(C165&amp;D165,INDEX(Background!$A$12:$A$27,0)&amp;INDEX(Background!$B$12:$B$27,0),0))</f>
        <v>#VALUE!</v>
      </c>
      <c r="I165" s="17" t="e">
        <f t="shared" si="12"/>
        <v>#VALUE!</v>
      </c>
    </row>
    <row r="166" spans="1:9">
      <c r="A166" s="4" t="s">
        <v>752</v>
      </c>
      <c r="B166" s="4">
        <v>23</v>
      </c>
      <c r="C166" s="4" t="s">
        <v>73</v>
      </c>
      <c r="D166" s="4" t="s">
        <v>72</v>
      </c>
      <c r="E166" s="4" t="s">
        <v>788</v>
      </c>
      <c r="F166" s="4" t="str">
        <f t="shared" si="11"/>
        <v>23|A|U</v>
      </c>
      <c r="G166" s="14">
        <f>INDEX('Transition Stepwise'!$J$2:$J$1137,MATCH(F166,'Transition Stepwise'!$E$2:$E$1137,0))</f>
        <v>3.2000000000000001E-2</v>
      </c>
      <c r="H166" s="14" t="e">
        <f>INDEX(Background!$D$12:$D$27,MATCH(C166&amp;D166,INDEX(Background!$A$12:$A$27,0)&amp;INDEX(Background!$B$12:$B$27,0),0))</f>
        <v>#VALUE!</v>
      </c>
      <c r="I166" s="17" t="e">
        <f t="shared" si="12"/>
        <v>#VALUE!</v>
      </c>
    </row>
    <row r="167" spans="1:9">
      <c r="A167" s="4" t="s">
        <v>752</v>
      </c>
      <c r="B167" s="4">
        <v>24</v>
      </c>
      <c r="C167" s="4" t="s">
        <v>72</v>
      </c>
      <c r="D167" s="4" t="s">
        <v>72</v>
      </c>
      <c r="E167" s="4" t="s">
        <v>788</v>
      </c>
      <c r="F167" s="4" t="str">
        <f t="shared" si="11"/>
        <v>24|U|U</v>
      </c>
      <c r="G167" s="14">
        <f>INDEX('Transition Stepwise'!$J$2:$J$1137,MATCH(F167,'Transition Stepwise'!$E$2:$E$1137,0))</f>
        <v>9.0909090909090912E-2</v>
      </c>
      <c r="H167" s="14" t="e">
        <f>INDEX(Background!$D$12:$D$27,MATCH(C167&amp;D167,INDEX(Background!$A$12:$A$27,0)&amp;INDEX(Background!$B$12:$B$27,0),0))</f>
        <v>#VALUE!</v>
      </c>
      <c r="I167" s="17" t="e">
        <f t="shared" si="12"/>
        <v>#VALUE!</v>
      </c>
    </row>
    <row r="168" spans="1:9">
      <c r="A168" s="4" t="s">
        <v>752</v>
      </c>
      <c r="B168" s="4">
        <v>25</v>
      </c>
      <c r="C168" s="4" t="s">
        <v>72</v>
      </c>
      <c r="D168" s="4" t="s">
        <v>71</v>
      </c>
      <c r="E168" s="4" t="s">
        <v>788</v>
      </c>
      <c r="F168" s="4" t="str">
        <f t="shared" si="11"/>
        <v>25|U|C</v>
      </c>
      <c r="G168" s="14">
        <f>INDEX('Transition Stepwise'!$J$2:$J$1137,MATCH(F168,'Transition Stepwise'!$E$2:$E$1137,0))</f>
        <v>0.16666666666666666</v>
      </c>
      <c r="H168" s="14" t="e">
        <f>INDEX(Background!$D$12:$D$27,MATCH(C168&amp;D168,INDEX(Background!$A$12:$A$27,0)&amp;INDEX(Background!$B$12:$B$27,0),0))</f>
        <v>#VALUE!</v>
      </c>
      <c r="I168" s="17" t="e">
        <f t="shared" si="12"/>
        <v>#VALUE!</v>
      </c>
    </row>
    <row r="169" spans="1:9">
      <c r="A169" s="4" t="s">
        <v>752</v>
      </c>
      <c r="B169" s="4">
        <v>26</v>
      </c>
      <c r="C169" s="4" t="s">
        <v>71</v>
      </c>
      <c r="D169" s="4" t="s">
        <v>72</v>
      </c>
      <c r="E169" s="4" t="s">
        <v>788</v>
      </c>
      <c r="F169" s="4" t="str">
        <f t="shared" si="11"/>
        <v>26|C|U</v>
      </c>
      <c r="G169" s="14">
        <f>INDEX('Transition Stepwise'!$J$2:$J$1137,MATCH(F169,'Transition Stepwise'!$E$2:$E$1137,0))</f>
        <v>0.33333333333333331</v>
      </c>
      <c r="H169" s="14" t="e">
        <f>INDEX(Background!$D$12:$D$27,MATCH(C169&amp;D169,INDEX(Background!$A$12:$A$27,0)&amp;INDEX(Background!$B$12:$B$27,0),0))</f>
        <v>#VALUE!</v>
      </c>
      <c r="I169" s="17" t="e">
        <f t="shared" si="12"/>
        <v>#VALUE!</v>
      </c>
    </row>
    <row r="170" spans="1:9">
      <c r="A170" s="4" t="s">
        <v>752</v>
      </c>
      <c r="B170" s="4">
        <v>27</v>
      </c>
      <c r="C170" s="4" t="s">
        <v>72</v>
      </c>
      <c r="D170" s="4" t="s">
        <v>71</v>
      </c>
      <c r="E170" s="4" t="s">
        <v>788</v>
      </c>
      <c r="F170" s="4" t="str">
        <f t="shared" si="11"/>
        <v>27|U|C</v>
      </c>
      <c r="G170" s="14">
        <f>INDEX('Transition Stepwise'!$J$2:$J$1137,MATCH(F170,'Transition Stepwise'!$E$2:$E$1137,0))</f>
        <v>0.48214285714285715</v>
      </c>
      <c r="H170" s="14" t="e">
        <f>INDEX(Background!$D$12:$D$27,MATCH(C170&amp;D170,INDEX(Background!$A$12:$A$27,0)&amp;INDEX(Background!$B$12:$B$27,0),0))</f>
        <v>#VALUE!</v>
      </c>
      <c r="I170" s="17" t="e">
        <f t="shared" si="12"/>
        <v>#VALUE!</v>
      </c>
    </row>
    <row r="171" spans="1:9">
      <c r="A171" s="4" t="s">
        <v>752</v>
      </c>
      <c r="B171" s="4">
        <v>28</v>
      </c>
      <c r="C171" s="4" t="s">
        <v>71</v>
      </c>
      <c r="D171" s="4" t="s">
        <v>73</v>
      </c>
      <c r="E171" s="4" t="s">
        <v>788</v>
      </c>
      <c r="F171" s="4" t="str">
        <f t="shared" si="11"/>
        <v>28|C|A</v>
      </c>
      <c r="G171" s="14">
        <f>INDEX('Transition Stepwise'!$J$2:$J$1137,MATCH(F171,'Transition Stepwise'!$E$2:$E$1137,0))</f>
        <v>0.17757009345794392</v>
      </c>
      <c r="H171" s="14" t="e">
        <f>INDEX(Background!$D$12:$D$27,MATCH(C171&amp;D171,INDEX(Background!$A$12:$A$27,0)&amp;INDEX(Background!$B$12:$B$27,0),0))</f>
        <v>#VALUE!</v>
      </c>
      <c r="I171" s="17" t="e">
        <f t="shared" si="12"/>
        <v>#VALUE!</v>
      </c>
    </row>
    <row r="172" spans="1:9">
      <c r="A172" s="4" t="s">
        <v>752</v>
      </c>
      <c r="B172" s="4">
        <v>29</v>
      </c>
      <c r="C172" s="4" t="s">
        <v>73</v>
      </c>
      <c r="D172" s="4" t="s">
        <v>73</v>
      </c>
      <c r="E172" s="4" t="s">
        <v>788</v>
      </c>
      <c r="F172" s="4" t="str">
        <f t="shared" si="11"/>
        <v>29|A|A</v>
      </c>
      <c r="G172" s="14">
        <f>INDEX('Transition Stepwise'!$J$2:$J$1137,MATCH(F172,'Transition Stepwise'!$E$2:$E$1137,0))</f>
        <v>2.7777777777777776E-2</v>
      </c>
      <c r="H172" s="14" t="e">
        <f>INDEX(Background!$D$12:$D$27,MATCH(C172&amp;D172,INDEX(Background!$A$12:$A$27,0)&amp;INDEX(Background!$B$12:$B$27,0),0))</f>
        <v>#VALUE!</v>
      </c>
      <c r="I172" s="17" t="e">
        <f t="shared" si="12"/>
        <v>#VALUE!</v>
      </c>
    </row>
    <row r="173" spans="1:9">
      <c r="A173" s="4" t="s">
        <v>752</v>
      </c>
      <c r="B173" s="4">
        <v>30</v>
      </c>
      <c r="C173" s="4" t="s">
        <v>73</v>
      </c>
      <c r="D173" s="4" t="s">
        <v>73</v>
      </c>
      <c r="E173" s="4" t="s">
        <v>788</v>
      </c>
      <c r="F173" s="4" t="str">
        <f t="shared" si="11"/>
        <v>30|A|A</v>
      </c>
      <c r="G173" s="14">
        <f>INDEX('Transition Stepwise'!$J$2:$J$1137,MATCH(F173,'Transition Stepwise'!$E$2:$E$1137,0))</f>
        <v>0.25</v>
      </c>
      <c r="H173" s="14" t="e">
        <f>INDEX(Background!$D$12:$D$27,MATCH(C173&amp;D173,INDEX(Background!$A$12:$A$27,0)&amp;INDEX(Background!$B$12:$B$27,0),0))</f>
        <v>#VALUE!</v>
      </c>
      <c r="I173" s="17" t="e">
        <f t="shared" si="12"/>
        <v>#VALUE!</v>
      </c>
    </row>
    <row r="174" spans="1:9">
      <c r="A174" s="4" t="s">
        <v>752</v>
      </c>
      <c r="B174" s="4">
        <v>31</v>
      </c>
      <c r="C174" s="4" t="s">
        <v>73</v>
      </c>
      <c r="D174" s="4" t="s">
        <v>73</v>
      </c>
      <c r="E174" s="4" t="s">
        <v>788</v>
      </c>
      <c r="F174" s="4" t="str">
        <f t="shared" si="11"/>
        <v>31|A|A</v>
      </c>
      <c r="G174" s="14">
        <f>INDEX('Transition Stepwise'!$J$2:$J$1137,MATCH(F174,'Transition Stepwise'!$E$2:$E$1137,0))</f>
        <v>1.7241379310344827E-2</v>
      </c>
      <c r="H174" s="14" t="e">
        <f>INDEX(Background!$D$12:$D$27,MATCH(C174&amp;D174,INDEX(Background!$A$12:$A$27,0)&amp;INDEX(Background!$B$12:$B$27,0),0))</f>
        <v>#VALUE!</v>
      </c>
      <c r="I174" s="17" t="e">
        <f t="shared" si="12"/>
        <v>#VALUE!</v>
      </c>
    </row>
    <row r="175" spans="1:9">
      <c r="A175" s="4" t="s">
        <v>752</v>
      </c>
      <c r="B175" s="4">
        <v>32</v>
      </c>
      <c r="C175" s="4" t="s">
        <v>73</v>
      </c>
      <c r="D175" s="4" t="s">
        <v>71</v>
      </c>
      <c r="E175" s="4" t="s">
        <v>788</v>
      </c>
      <c r="F175" s="4" t="str">
        <f t="shared" si="11"/>
        <v>32|A|C</v>
      </c>
      <c r="G175" s="14">
        <f>INDEX('Transition Stepwise'!$J$2:$J$1137,MATCH(F175,'Transition Stepwise'!$E$2:$E$1137,0))</f>
        <v>0.1</v>
      </c>
      <c r="H175" s="14" t="e">
        <f>INDEX(Background!$D$12:$D$27,MATCH(C175&amp;D175,INDEX(Background!$A$12:$A$27,0)&amp;INDEX(Background!$B$12:$B$27,0),0))</f>
        <v>#VALUE!</v>
      </c>
      <c r="I175" s="17" t="e">
        <f t="shared" si="12"/>
        <v>#VALUE!</v>
      </c>
    </row>
    <row r="176" spans="1:9">
      <c r="A176" s="4" t="s">
        <v>752</v>
      </c>
      <c r="B176" s="4">
        <v>33</v>
      </c>
      <c r="C176" s="4" t="s">
        <v>71</v>
      </c>
      <c r="D176" s="4" t="s">
        <v>72</v>
      </c>
      <c r="E176" s="4" t="s">
        <v>788</v>
      </c>
      <c r="F176" s="4" t="str">
        <f t="shared" si="11"/>
        <v>33|C|U</v>
      </c>
      <c r="G176" s="14">
        <f>INDEX('Transition Stepwise'!$J$2:$J$1137,MATCH(F176,'Transition Stepwise'!$E$2:$E$1137,0))</f>
        <v>0.2</v>
      </c>
      <c r="H176" s="14" t="e">
        <f>INDEX(Background!$D$12:$D$27,MATCH(C176&amp;D176,INDEX(Background!$A$12:$A$27,0)&amp;INDEX(Background!$B$12:$B$27,0),0))</f>
        <v>#VALUE!</v>
      </c>
      <c r="I176" s="17" t="e">
        <f t="shared" si="12"/>
        <v>#VALUE!</v>
      </c>
    </row>
    <row r="177" spans="1:9">
      <c r="A177" s="4" t="s">
        <v>752</v>
      </c>
      <c r="B177" s="4">
        <v>34</v>
      </c>
      <c r="C177" s="4" t="s">
        <v>72</v>
      </c>
      <c r="D177" s="4" t="s">
        <v>72</v>
      </c>
      <c r="E177" s="4" t="s">
        <v>788</v>
      </c>
      <c r="F177" s="4" t="str">
        <f t="shared" si="11"/>
        <v>34|U|U</v>
      </c>
      <c r="G177" s="14">
        <f>INDEX('Transition Stepwise'!$J$2:$J$1137,MATCH(F177,'Transition Stepwise'!$E$2:$E$1137,0))</f>
        <v>0.17741935483870969</v>
      </c>
      <c r="H177" s="14" t="e">
        <f>INDEX(Background!$D$12:$D$27,MATCH(C177&amp;D177,INDEX(Background!$A$12:$A$27,0)&amp;INDEX(Background!$B$12:$B$27,0),0))</f>
        <v>#VALUE!</v>
      </c>
      <c r="I177" s="17" t="e">
        <f t="shared" si="12"/>
        <v>#VALUE!</v>
      </c>
    </row>
    <row r="178" spans="1:9">
      <c r="A178" s="4" t="s">
        <v>752</v>
      </c>
      <c r="B178" s="4">
        <v>35</v>
      </c>
      <c r="C178" s="4" t="s">
        <v>72</v>
      </c>
      <c r="D178" s="4" t="s">
        <v>73</v>
      </c>
      <c r="E178" s="4" t="s">
        <v>788</v>
      </c>
      <c r="F178" s="4" t="str">
        <f t="shared" si="11"/>
        <v>35|U|A</v>
      </c>
      <c r="G178" s="14">
        <f>INDEX('Transition Stepwise'!$J$2:$J$1137,MATCH(F178,'Transition Stepwise'!$E$2:$E$1137,0))</f>
        <v>0.17777777777777778</v>
      </c>
      <c r="H178" s="14" t="e">
        <f>INDEX(Background!$D$12:$D$27,MATCH(C178&amp;D178,INDEX(Background!$A$12:$A$27,0)&amp;INDEX(Background!$B$12:$B$27,0),0))</f>
        <v>#VALUE!</v>
      </c>
      <c r="I178" s="17" t="e">
        <f t="shared" si="12"/>
        <v>#VALUE!</v>
      </c>
    </row>
    <row r="179" spans="1:9">
      <c r="A179" s="4" t="s">
        <v>752</v>
      </c>
      <c r="B179" s="4">
        <v>36</v>
      </c>
      <c r="C179" s="4" t="s">
        <v>73</v>
      </c>
      <c r="D179" s="4" t="s">
        <v>72</v>
      </c>
      <c r="E179" s="4" t="s">
        <v>788</v>
      </c>
      <c r="F179" s="4" t="str">
        <f t="shared" si="11"/>
        <v>36|A|U</v>
      </c>
      <c r="G179" s="14">
        <f>INDEX('Transition Stepwise'!$J$2:$J$1137,MATCH(F179,'Transition Stepwise'!$E$2:$E$1137,0))</f>
        <v>2.1276595744680851E-2</v>
      </c>
      <c r="H179" s="14" t="e">
        <f>INDEX(Background!$D$12:$D$27,MATCH(C179&amp;D179,INDEX(Background!$A$12:$A$27,0)&amp;INDEX(Background!$B$12:$B$27,0),0))</f>
        <v>#VALUE!</v>
      </c>
      <c r="I179" s="17" t="e">
        <f t="shared" si="12"/>
        <v>#VALUE!</v>
      </c>
    </row>
    <row r="180" spans="1:9">
      <c r="A180" s="4" t="s">
        <v>752</v>
      </c>
      <c r="B180" s="4">
        <v>37</v>
      </c>
      <c r="C180" s="4" t="s">
        <v>72</v>
      </c>
      <c r="D180" s="4" t="s">
        <v>72</v>
      </c>
      <c r="E180" s="4" t="s">
        <v>788</v>
      </c>
      <c r="F180" s="4" t="str">
        <f t="shared" si="11"/>
        <v>37|U|U</v>
      </c>
      <c r="G180" s="14">
        <f>INDEX('Transition Stepwise'!$J$2:$J$1137,MATCH(F180,'Transition Stepwise'!$E$2:$E$1137,0))</f>
        <v>0.25</v>
      </c>
      <c r="H180" s="14" t="e">
        <f>INDEX(Background!$D$12:$D$27,MATCH(C180&amp;D180,INDEX(Background!$A$12:$A$27,0)&amp;INDEX(Background!$B$12:$B$27,0),0))</f>
        <v>#VALUE!</v>
      </c>
      <c r="I180" s="17" t="e">
        <f t="shared" si="12"/>
        <v>#VALUE!</v>
      </c>
    </row>
    <row r="181" spans="1:9">
      <c r="A181" s="4" t="s">
        <v>752</v>
      </c>
      <c r="B181" s="4">
        <v>38</v>
      </c>
      <c r="C181" s="4" t="s">
        <v>72</v>
      </c>
      <c r="D181" s="4" t="s">
        <v>72</v>
      </c>
      <c r="E181" s="4" t="s">
        <v>788</v>
      </c>
      <c r="F181" s="4" t="str">
        <f t="shared" si="11"/>
        <v>38|U|U</v>
      </c>
      <c r="G181" s="14">
        <f>INDEX('Transition Stepwise'!$J$2:$J$1137,MATCH(F181,'Transition Stepwise'!$E$2:$E$1137,0))</f>
        <v>0.14814814814814814</v>
      </c>
      <c r="H181" s="14" t="e">
        <f>INDEX(Background!$D$12:$D$27,MATCH(C181&amp;D181,INDEX(Background!$A$12:$A$27,0)&amp;INDEX(Background!$B$12:$B$27,0),0))</f>
        <v>#VALUE!</v>
      </c>
      <c r="I181" s="17" t="e">
        <f t="shared" si="12"/>
        <v>#VALUE!</v>
      </c>
    </row>
    <row r="182" spans="1:9">
      <c r="A182" s="4" t="s">
        <v>752</v>
      </c>
      <c r="B182" s="4">
        <v>39</v>
      </c>
      <c r="C182" s="4" t="s">
        <v>72</v>
      </c>
      <c r="D182" s="4" t="s">
        <v>72</v>
      </c>
      <c r="E182" s="4" t="s">
        <v>788</v>
      </c>
      <c r="F182" s="4" t="str">
        <f t="shared" si="11"/>
        <v>39|U|U</v>
      </c>
      <c r="G182" s="14">
        <f>INDEX('Transition Stepwise'!$J$2:$J$1137,MATCH(F182,'Transition Stepwise'!$E$2:$E$1137,0))</f>
        <v>3.1746031746031744E-2</v>
      </c>
      <c r="H182" s="14" t="e">
        <f>INDEX(Background!$D$12:$D$27,MATCH(C182&amp;D182,INDEX(Background!$A$12:$A$27,0)&amp;INDEX(Background!$B$12:$B$27,0),0))</f>
        <v>#VALUE!</v>
      </c>
      <c r="I182" s="17" t="e">
        <f t="shared" si="12"/>
        <v>#VALUE!</v>
      </c>
    </row>
    <row r="183" spans="1:9">
      <c r="A183" s="4" t="s">
        <v>752</v>
      </c>
      <c r="B183" s="4">
        <v>40</v>
      </c>
      <c r="C183" s="4" t="s">
        <v>72</v>
      </c>
      <c r="D183" s="4" t="s">
        <v>72</v>
      </c>
      <c r="E183" s="4" t="s">
        <v>788</v>
      </c>
      <c r="F183" s="4" t="str">
        <f t="shared" si="11"/>
        <v>40|U|U</v>
      </c>
      <c r="G183" s="14">
        <f>INDEX('Transition Stepwise'!$J$2:$J$1137,MATCH(F183,'Transition Stepwise'!$E$2:$E$1137,0))</f>
        <v>8.3333333333333329E-2</v>
      </c>
      <c r="H183" s="14" t="e">
        <f>INDEX(Background!$D$12:$D$27,MATCH(C183&amp;D183,INDEX(Background!$A$12:$A$27,0)&amp;INDEX(Background!$B$12:$B$27,0),0))</f>
        <v>#VALUE!</v>
      </c>
      <c r="I183" s="17" t="e">
        <f t="shared" si="12"/>
        <v>#VALUE!</v>
      </c>
    </row>
    <row r="184" spans="1:9">
      <c r="A184" s="4" t="s">
        <v>752</v>
      </c>
      <c r="B184" s="4">
        <v>41</v>
      </c>
      <c r="C184" s="4" t="s">
        <v>72</v>
      </c>
      <c r="D184" s="4" t="s">
        <v>71</v>
      </c>
      <c r="E184" s="4" t="s">
        <v>788</v>
      </c>
      <c r="F184" s="4" t="str">
        <f t="shared" si="11"/>
        <v>41|U|C</v>
      </c>
      <c r="G184" s="14">
        <f>INDEX('Transition Stepwise'!$J$2:$J$1137,MATCH(F184,'Transition Stepwise'!$E$2:$E$1137,0))</f>
        <v>0.16216216216216217</v>
      </c>
      <c r="H184" s="14" t="e">
        <f>INDEX(Background!$D$12:$D$27,MATCH(C184&amp;D184,INDEX(Background!$A$12:$A$27,0)&amp;INDEX(Background!$B$12:$B$27,0),0))</f>
        <v>#VALUE!</v>
      </c>
      <c r="I184" s="17" t="e">
        <f t="shared" si="12"/>
        <v>#VALUE!</v>
      </c>
    </row>
    <row r="185" spans="1:9">
      <c r="A185" s="4" t="s">
        <v>752</v>
      </c>
      <c r="B185" s="4">
        <v>42</v>
      </c>
      <c r="C185" s="4" t="s">
        <v>71</v>
      </c>
      <c r="D185" s="4" t="s">
        <v>73</v>
      </c>
      <c r="E185" s="4" t="s">
        <v>788</v>
      </c>
      <c r="F185" s="4" t="str">
        <f t="shared" si="11"/>
        <v>42|C|A</v>
      </c>
      <c r="G185" s="14">
        <f>INDEX('Transition Stepwise'!$J$2:$J$1137,MATCH(F185,'Transition Stepwise'!$E$2:$E$1137,0))</f>
        <v>0.25</v>
      </c>
      <c r="H185" s="14" t="e">
        <f>INDEX(Background!$D$12:$D$27,MATCH(C185&amp;D185,INDEX(Background!$A$12:$A$27,0)&amp;INDEX(Background!$B$12:$B$27,0),0))</f>
        <v>#VALUE!</v>
      </c>
      <c r="I185" s="17" t="e">
        <f t="shared" si="12"/>
        <v>#VALUE!</v>
      </c>
    </row>
    <row r="186" spans="1:9">
      <c r="A186" s="4" t="s">
        <v>752</v>
      </c>
      <c r="B186" s="4">
        <v>43</v>
      </c>
      <c r="C186" s="4" t="s">
        <v>73</v>
      </c>
      <c r="D186" s="4" t="s">
        <v>73</v>
      </c>
      <c r="E186" s="4" t="s">
        <v>788</v>
      </c>
      <c r="F186" s="4" t="str">
        <f t="shared" si="11"/>
        <v>43|A|A</v>
      </c>
      <c r="G186" s="14">
        <f>INDEX('Transition Stepwise'!$J$2:$J$1137,MATCH(F186,'Transition Stepwise'!$E$2:$E$1137,0))</f>
        <v>0.46938775510204084</v>
      </c>
      <c r="H186" s="14" t="e">
        <f>INDEX(Background!$D$12:$D$27,MATCH(C186&amp;D186,INDEX(Background!$A$12:$A$27,0)&amp;INDEX(Background!$B$12:$B$27,0),0))</f>
        <v>#VALUE!</v>
      </c>
      <c r="I186" s="17" t="e">
        <f t="shared" si="12"/>
        <v>#VALUE!</v>
      </c>
    </row>
    <row r="187" spans="1:9">
      <c r="A187" s="4" t="s">
        <v>752</v>
      </c>
      <c r="B187" s="4">
        <v>44</v>
      </c>
      <c r="C187" s="4" t="s">
        <v>73</v>
      </c>
      <c r="D187" s="4" t="s">
        <v>72</v>
      </c>
      <c r="E187" s="4" t="s">
        <v>788</v>
      </c>
      <c r="F187" s="4" t="str">
        <f t="shared" si="11"/>
        <v>44|A|U</v>
      </c>
      <c r="G187" s="14">
        <f>INDEX('Transition Stepwise'!$J$2:$J$1137,MATCH(F187,'Transition Stepwise'!$E$2:$E$1137,0))</f>
        <v>9.7087378640776698E-2</v>
      </c>
      <c r="H187" s="14" t="e">
        <f>INDEX(Background!$D$12:$D$27,MATCH(C187&amp;D187,INDEX(Background!$A$12:$A$27,0)&amp;INDEX(Background!$B$12:$B$27,0),0))</f>
        <v>#VALUE!</v>
      </c>
      <c r="I187" s="17" t="e">
        <f t="shared" si="12"/>
        <v>#VALUE!</v>
      </c>
    </row>
    <row r="188" spans="1:9">
      <c r="A188" s="4" t="s">
        <v>752</v>
      </c>
      <c r="B188" s="4">
        <v>45</v>
      </c>
      <c r="C188" s="4" t="s">
        <v>72</v>
      </c>
      <c r="D188" s="4" t="s">
        <v>73</v>
      </c>
      <c r="E188" s="4" t="s">
        <v>788</v>
      </c>
      <c r="F188" s="4" t="str">
        <f t="shared" si="11"/>
        <v>45|U|A</v>
      </c>
      <c r="G188" s="14">
        <f>INDEX('Transition Stepwise'!$J$2:$J$1137,MATCH(F188,'Transition Stepwise'!$E$2:$E$1137,0))</f>
        <v>0.08</v>
      </c>
      <c r="H188" s="14" t="e">
        <f>INDEX(Background!$D$12:$D$27,MATCH(C188&amp;D188,INDEX(Background!$A$12:$A$27,0)&amp;INDEX(Background!$B$12:$B$27,0),0))</f>
        <v>#VALUE!</v>
      </c>
      <c r="I188" s="17" t="e">
        <f t="shared" si="12"/>
        <v>#VALUE!</v>
      </c>
    </row>
    <row r="189" spans="1:9">
      <c r="A189" s="4" t="s">
        <v>752</v>
      </c>
      <c r="B189" s="4">
        <v>46</v>
      </c>
      <c r="C189" s="4" t="s">
        <v>73</v>
      </c>
      <c r="D189" s="4" t="s">
        <v>72</v>
      </c>
      <c r="E189" s="4" t="s">
        <v>788</v>
      </c>
      <c r="F189" s="4" t="str">
        <f t="shared" si="11"/>
        <v>46|A|U</v>
      </c>
      <c r="G189" s="14">
        <f>INDEX('Transition Stepwise'!$J$2:$J$1137,MATCH(F189,'Transition Stepwise'!$E$2:$E$1137,0))</f>
        <v>0.65</v>
      </c>
      <c r="H189" s="14" t="e">
        <f>INDEX(Background!$D$12:$D$27,MATCH(C189&amp;D189,INDEX(Background!$A$12:$A$27,0)&amp;INDEX(Background!$B$12:$B$27,0),0))</f>
        <v>#VALUE!</v>
      </c>
      <c r="I189" s="17" t="e">
        <f t="shared" si="12"/>
        <v>#VALUE!</v>
      </c>
    </row>
    <row r="190" spans="1:9">
      <c r="A190" s="4" t="s">
        <v>752</v>
      </c>
      <c r="B190" s="4">
        <v>47</v>
      </c>
      <c r="C190" s="4" t="s">
        <v>72</v>
      </c>
      <c r="D190" s="4" t="s">
        <v>72</v>
      </c>
      <c r="E190" s="4" t="s">
        <v>788</v>
      </c>
      <c r="F190" s="4" t="str">
        <f t="shared" si="11"/>
        <v>47|U|U</v>
      </c>
      <c r="G190" s="14">
        <f>INDEX('Transition Stepwise'!$J$2:$J$1137,MATCH(F190,'Transition Stepwise'!$E$2:$E$1137,0))</f>
        <v>0.1223021582733813</v>
      </c>
      <c r="H190" s="14" t="e">
        <f>INDEX(Background!$D$12:$D$27,MATCH(C190&amp;D190,INDEX(Background!$A$12:$A$27,0)&amp;INDEX(Background!$B$12:$B$27,0),0))</f>
        <v>#VALUE!</v>
      </c>
      <c r="I190" s="17" t="e">
        <f t="shared" si="12"/>
        <v>#VALUE!</v>
      </c>
    </row>
    <row r="191" spans="1:9">
      <c r="A191" s="4" t="s">
        <v>752</v>
      </c>
      <c r="B191" s="4">
        <v>48</v>
      </c>
      <c r="C191" s="4" t="s">
        <v>72</v>
      </c>
      <c r="D191" s="4" t="s">
        <v>70</v>
      </c>
      <c r="E191" s="4" t="s">
        <v>788</v>
      </c>
      <c r="F191" s="4" t="str">
        <f t="shared" si="11"/>
        <v>48|U|G</v>
      </c>
      <c r="G191" s="14">
        <f>INDEX('Transition Stepwise'!$J$2:$J$1137,MATCH(F191,'Transition Stepwise'!$E$2:$E$1137,0))</f>
        <v>0.51515151515151514</v>
      </c>
      <c r="H191" s="14" t="e">
        <f>INDEX(Background!$D$12:$D$27,MATCH(C191&amp;D191,INDEX(Background!$A$12:$A$27,0)&amp;INDEX(Background!$B$12:$B$27,0),0))</f>
        <v>#VALUE!</v>
      </c>
      <c r="I191" s="17" t="e">
        <f t="shared" si="12"/>
        <v>#VALUE!</v>
      </c>
    </row>
    <row r="192" spans="1:9">
      <c r="A192" s="4" t="s">
        <v>752</v>
      </c>
      <c r="B192" s="4">
        <v>49</v>
      </c>
      <c r="C192" s="4" t="s">
        <v>70</v>
      </c>
      <c r="D192" s="4" t="s">
        <v>71</v>
      </c>
      <c r="E192" s="4" t="s">
        <v>788</v>
      </c>
      <c r="F192" s="4" t="str">
        <f t="shared" si="11"/>
        <v>49|G|C</v>
      </c>
      <c r="G192" s="14">
        <f>INDEX('Transition Stepwise'!$J$2:$J$1137,MATCH(F192,'Transition Stepwise'!$E$2:$E$1137,0))</f>
        <v>0.32380952380952382</v>
      </c>
      <c r="H192" s="14" t="e">
        <f>INDEX(Background!$D$12:$D$27,MATCH(C192&amp;D192,INDEX(Background!$A$12:$A$27,0)&amp;INDEX(Background!$B$12:$B$27,0),0))</f>
        <v>#VALUE!</v>
      </c>
      <c r="I192" s="17" t="e">
        <f t="shared" si="12"/>
        <v>#VALUE!</v>
      </c>
    </row>
    <row r="193" spans="1:9">
      <c r="A193" s="4" t="s">
        <v>752</v>
      </c>
      <c r="B193" s="4">
        <v>50</v>
      </c>
      <c r="C193" s="4" t="s">
        <v>71</v>
      </c>
      <c r="D193" s="4" t="s">
        <v>71</v>
      </c>
      <c r="E193" s="4" t="s">
        <v>788</v>
      </c>
      <c r="F193" s="4" t="str">
        <f t="shared" si="11"/>
        <v>50|C|C</v>
      </c>
      <c r="G193" s="14">
        <f>INDEX('Transition Stepwise'!$J$2:$J$1137,MATCH(F193,'Transition Stepwise'!$E$2:$E$1137,0))</f>
        <v>0.2087912087912088</v>
      </c>
      <c r="H193" s="14" t="e">
        <f>INDEX(Background!$D$12:$D$27,MATCH(C193&amp;D193,INDEX(Background!$A$12:$A$27,0)&amp;INDEX(Background!$B$12:$B$27,0),0))</f>
        <v>#VALUE!</v>
      </c>
      <c r="I193" s="17" t="e">
        <f t="shared" si="12"/>
        <v>#VALUE!</v>
      </c>
    </row>
    <row r="194" spans="1:9">
      <c r="A194" s="4" t="s">
        <v>752</v>
      </c>
      <c r="B194" s="4">
        <v>51</v>
      </c>
      <c r="C194" s="4" t="s">
        <v>71</v>
      </c>
      <c r="D194" s="4" t="s">
        <v>72</v>
      </c>
      <c r="E194" s="4" t="s">
        <v>788</v>
      </c>
      <c r="F194" s="4" t="str">
        <f t="shared" si="11"/>
        <v>51|C|U</v>
      </c>
      <c r="G194" s="14">
        <f>INDEX('Transition Stepwise'!$J$2:$J$1137,MATCH(F194,'Transition Stepwise'!$E$2:$E$1137,0))</f>
        <v>2.2222222222222223E-2</v>
      </c>
      <c r="H194" s="14" t="e">
        <f>INDEX(Background!$D$12:$D$27,MATCH(C194&amp;D194,INDEX(Background!$A$12:$A$27,0)&amp;INDEX(Background!$B$12:$B$27,0),0))</f>
        <v>#VALUE!</v>
      </c>
      <c r="I194" s="17" t="e">
        <f t="shared" si="12"/>
        <v>#VALUE!</v>
      </c>
    </row>
    <row r="195" spans="1:9">
      <c r="A195" s="4" t="s">
        <v>752</v>
      </c>
      <c r="B195" s="4">
        <v>52</v>
      </c>
      <c r="C195" s="4" t="s">
        <v>72</v>
      </c>
      <c r="D195" s="4" t="s">
        <v>70</v>
      </c>
      <c r="E195" s="4" t="s">
        <v>788</v>
      </c>
      <c r="F195" s="4" t="str">
        <f t="shared" si="11"/>
        <v>52|U|G</v>
      </c>
      <c r="G195" s="14">
        <f>INDEX('Transition Stepwise'!$J$2:$J$1137,MATCH(F195,'Transition Stepwise'!$E$2:$E$1137,0))</f>
        <v>0.5</v>
      </c>
      <c r="H195" s="14" t="e">
        <f>INDEX(Background!$D$12:$D$27,MATCH(C195&amp;D195,INDEX(Background!$A$12:$A$27,0)&amp;INDEX(Background!$B$12:$B$27,0),0))</f>
        <v>#VALUE!</v>
      </c>
      <c r="I195" s="17" t="e">
        <f t="shared" si="12"/>
        <v>#VALUE!</v>
      </c>
    </row>
    <row r="196" spans="1:9">
      <c r="A196" s="4" t="s">
        <v>752</v>
      </c>
      <c r="B196" s="4">
        <v>53</v>
      </c>
      <c r="C196" s="4" t="s">
        <v>70</v>
      </c>
      <c r="D196" s="4" t="s">
        <v>73</v>
      </c>
      <c r="E196" s="4" t="s">
        <v>788</v>
      </c>
      <c r="F196" s="4" t="str">
        <f t="shared" si="11"/>
        <v>53|G|A</v>
      </c>
      <c r="G196" s="14">
        <f>INDEX('Transition Stepwise'!$J$2:$J$1137,MATCH(F196,'Transition Stepwise'!$E$2:$E$1137,0))</f>
        <v>1.4999999999999999E-2</v>
      </c>
      <c r="H196" s="14" t="e">
        <f>INDEX(Background!$D$12:$D$27,MATCH(C196&amp;D196,INDEX(Background!$A$12:$A$27,0)&amp;INDEX(Background!$B$12:$B$27,0),0))</f>
        <v>#VALUE!</v>
      </c>
      <c r="I196" s="17" t="e">
        <f t="shared" si="12"/>
        <v>#VALUE!</v>
      </c>
    </row>
    <row r="197" spans="1:9">
      <c r="A197" s="4" t="s">
        <v>752</v>
      </c>
      <c r="B197" s="4">
        <v>54</v>
      </c>
      <c r="C197" s="4" t="s">
        <v>73</v>
      </c>
      <c r="D197" s="4" t="s">
        <v>72</v>
      </c>
      <c r="E197" s="4" t="s">
        <v>788</v>
      </c>
      <c r="F197" s="4" t="str">
        <f t="shared" si="11"/>
        <v>54|A|U</v>
      </c>
      <c r="G197" s="14">
        <f>INDEX('Transition Stepwise'!$J$2:$J$1137,MATCH(F197,'Transition Stepwise'!$E$2:$E$1137,0))</f>
        <v>0.5</v>
      </c>
      <c r="H197" s="14" t="e">
        <f>INDEX(Background!$D$12:$D$27,MATCH(C197&amp;D197,INDEX(Background!$A$12:$A$27,0)&amp;INDEX(Background!$B$12:$B$27,0),0))</f>
        <v>#VALUE!</v>
      </c>
      <c r="I197" s="17" t="e">
        <f t="shared" si="12"/>
        <v>#VALUE!</v>
      </c>
    </row>
    <row r="198" spans="1:9">
      <c r="A198" s="4" t="s">
        <v>752</v>
      </c>
      <c r="B198" s="4">
        <v>55</v>
      </c>
      <c r="C198" s="4" t="s">
        <v>72</v>
      </c>
      <c r="D198" s="4" t="s">
        <v>71</v>
      </c>
      <c r="E198" s="4" t="s">
        <v>788</v>
      </c>
      <c r="F198" s="4" t="str">
        <f t="shared" si="11"/>
        <v>55|U|C</v>
      </c>
      <c r="G198" s="14">
        <f>INDEX('Transition Stepwise'!$J$2:$J$1137,MATCH(F198,'Transition Stepwise'!$E$2:$E$1137,0))</f>
        <v>0.97512437810945274</v>
      </c>
      <c r="H198" s="14" t="e">
        <f>INDEX(Background!$D$12:$D$27,MATCH(C198&amp;D198,INDEX(Background!$A$12:$A$27,0)&amp;INDEX(Background!$B$12:$B$27,0),0))</f>
        <v>#VALUE!</v>
      </c>
      <c r="I198" s="17" t="e">
        <f t="shared" si="12"/>
        <v>#VALUE!</v>
      </c>
    </row>
    <row r="199" spans="1:9">
      <c r="A199" s="4" t="s">
        <v>752</v>
      </c>
      <c r="B199" s="4">
        <v>56</v>
      </c>
      <c r="C199" s="4" t="s">
        <v>71</v>
      </c>
      <c r="D199" s="4" t="s">
        <v>71</v>
      </c>
      <c r="E199" s="4" t="s">
        <v>788</v>
      </c>
      <c r="F199" s="4" t="str">
        <f t="shared" si="11"/>
        <v>56|C|C</v>
      </c>
      <c r="G199" s="14">
        <f>INDEX('Transition Stepwise'!$J$2:$J$1137,MATCH(F199,'Transition Stepwise'!$E$2:$E$1137,0))</f>
        <v>5.0000000000000001E-3</v>
      </c>
      <c r="H199" s="14" t="e">
        <f>INDEX(Background!$D$12:$D$27,MATCH(C199&amp;D199,INDEX(Background!$A$12:$A$27,0)&amp;INDEX(Background!$B$12:$B$27,0),0))</f>
        <v>#VALUE!</v>
      </c>
      <c r="I199" s="17" t="e">
        <f t="shared" si="12"/>
        <v>#VALUE!</v>
      </c>
    </row>
    <row r="200" spans="1:9">
      <c r="A200" s="4" t="s">
        <v>752</v>
      </c>
      <c r="B200" s="4">
        <v>57</v>
      </c>
      <c r="C200" s="4" t="s">
        <v>71</v>
      </c>
      <c r="D200" s="4" t="s">
        <v>72</v>
      </c>
      <c r="E200" s="4" t="s">
        <v>788</v>
      </c>
      <c r="F200" s="4" t="str">
        <f t="shared" si="11"/>
        <v>57|C|U</v>
      </c>
      <c r="G200" s="14">
        <f>INDEX('Transition Stepwise'!$J$2:$J$1137,MATCH(F200,'Transition Stepwise'!$E$2:$E$1137,0))</f>
        <v>0.25</v>
      </c>
      <c r="H200" s="14" t="e">
        <f>INDEX(Background!$D$12:$D$27,MATCH(C200&amp;D200,INDEX(Background!$A$12:$A$27,0)&amp;INDEX(Background!$B$12:$B$27,0),0))</f>
        <v>#VALUE!</v>
      </c>
      <c r="I200" s="17" t="e">
        <f t="shared" si="12"/>
        <v>#VALUE!</v>
      </c>
    </row>
    <row r="201" spans="1:9">
      <c r="A201" s="4" t="s">
        <v>752</v>
      </c>
      <c r="B201" s="4">
        <v>58</v>
      </c>
      <c r="C201" s="4" t="s">
        <v>72</v>
      </c>
      <c r="D201" s="4" t="s">
        <v>71</v>
      </c>
      <c r="E201" s="4" t="s">
        <v>788</v>
      </c>
      <c r="F201" s="4" t="str">
        <f t="shared" si="11"/>
        <v>58|U|C</v>
      </c>
      <c r="G201" s="14">
        <f>INDEX('Transition Stepwise'!$J$2:$J$1137,MATCH(F201,'Transition Stepwise'!$E$2:$E$1137,0))</f>
        <v>0.4</v>
      </c>
      <c r="H201" s="14" t="e">
        <f>INDEX(Background!$D$12:$D$27,MATCH(C201&amp;D201,INDEX(Background!$A$12:$A$27,0)&amp;INDEX(Background!$B$12:$B$27,0),0))</f>
        <v>#VALUE!</v>
      </c>
      <c r="I201" s="17" t="e">
        <f t="shared" si="12"/>
        <v>#VALUE!</v>
      </c>
    </row>
    <row r="202" spans="1:9">
      <c r="A202" s="4" t="s">
        <v>752</v>
      </c>
      <c r="B202" s="4">
        <v>59</v>
      </c>
      <c r="C202" s="4" t="s">
        <v>71</v>
      </c>
      <c r="D202" s="4" t="s">
        <v>72</v>
      </c>
      <c r="E202" s="4" t="s">
        <v>788</v>
      </c>
      <c r="F202" s="4" t="str">
        <f t="shared" si="11"/>
        <v>59|C|U</v>
      </c>
      <c r="G202" s="14">
        <f>INDEX('Transition Stepwise'!$J$2:$J$1137,MATCH(F202,'Transition Stepwise'!$E$2:$E$1137,0))</f>
        <v>0.5625</v>
      </c>
      <c r="H202" s="14" t="e">
        <f>INDEX(Background!$D$12:$D$27,MATCH(C202&amp;D202,INDEX(Background!$A$12:$A$27,0)&amp;INDEX(Background!$B$12:$B$27,0),0))</f>
        <v>#VALUE!</v>
      </c>
      <c r="I202" s="17" t="e">
        <f t="shared" si="12"/>
        <v>#VALUE!</v>
      </c>
    </row>
    <row r="203" spans="1:9">
      <c r="A203" s="4" t="s">
        <v>752</v>
      </c>
      <c r="B203" s="4">
        <v>60</v>
      </c>
      <c r="C203" s="4" t="s">
        <v>72</v>
      </c>
      <c r="D203" s="4" t="s">
        <v>71</v>
      </c>
      <c r="E203" s="4" t="s">
        <v>788</v>
      </c>
      <c r="F203" s="4" t="str">
        <f t="shared" si="11"/>
        <v>60|U|C</v>
      </c>
      <c r="G203" s="14">
        <f>INDEX('Transition Stepwise'!$J$2:$J$1137,MATCH(F203,'Transition Stepwise'!$E$2:$E$1137,0))</f>
        <v>0.97515527950310554</v>
      </c>
      <c r="H203" s="14" t="e">
        <f>INDEX(Background!$D$12:$D$27,MATCH(C203&amp;D203,INDEX(Background!$A$12:$A$27,0)&amp;INDEX(Background!$B$12:$B$27,0),0))</f>
        <v>#VALUE!</v>
      </c>
      <c r="I203" s="17" t="e">
        <f t="shared" si="12"/>
        <v>#VALUE!</v>
      </c>
    </row>
    <row r="204" spans="1:9">
      <c r="A204" s="4" t="s">
        <v>752</v>
      </c>
      <c r="B204" s="4">
        <v>61</v>
      </c>
      <c r="C204" s="4" t="s">
        <v>71</v>
      </c>
      <c r="D204" s="4" t="s">
        <v>73</v>
      </c>
      <c r="E204" s="4" t="s">
        <v>788</v>
      </c>
      <c r="F204" s="4" t="str">
        <f t="shared" si="11"/>
        <v>61|C|A</v>
      </c>
      <c r="G204" s="14">
        <f>INDEX('Transition Stepwise'!$J$2:$J$1137,MATCH(F204,'Transition Stepwise'!$E$2:$E$1137,0))</f>
        <v>1.9801980198019802E-2</v>
      </c>
      <c r="H204" s="14" t="e">
        <f>INDEX(Background!$D$12:$D$27,MATCH(C204&amp;D204,INDEX(Background!$A$12:$A$27,0)&amp;INDEX(Background!$B$12:$B$27,0),0))</f>
        <v>#VALUE!</v>
      </c>
      <c r="I204" s="17" t="e">
        <f t="shared" si="12"/>
        <v>#VALUE!</v>
      </c>
    </row>
    <row r="205" spans="1:9">
      <c r="A205" s="4" t="s">
        <v>752</v>
      </c>
      <c r="B205" s="4">
        <v>62</v>
      </c>
      <c r="C205" s="4" t="s">
        <v>73</v>
      </c>
      <c r="D205" s="4" t="s">
        <v>70</v>
      </c>
      <c r="E205" s="4" t="s">
        <v>788</v>
      </c>
      <c r="F205" s="4" t="str">
        <f t="shared" si="11"/>
        <v>62|A|G</v>
      </c>
      <c r="G205" s="14">
        <f>INDEX('Transition Stepwise'!$J$2:$J$1137,MATCH(F205,'Transition Stepwise'!$E$2:$E$1137,0))</f>
        <v>0.14285714285714285</v>
      </c>
      <c r="H205" s="14" t="e">
        <f>INDEX(Background!$D$12:$D$27,MATCH(C205&amp;D205,INDEX(Background!$A$12:$A$27,0)&amp;INDEX(Background!$B$12:$B$27,0),0))</f>
        <v>#VALUE!</v>
      </c>
      <c r="I205" s="17" t="e">
        <f t="shared" si="12"/>
        <v>#VALUE!</v>
      </c>
    </row>
    <row r="206" spans="1:9">
      <c r="A206" s="4" t="s">
        <v>752</v>
      </c>
      <c r="B206" s="4">
        <v>63</v>
      </c>
      <c r="C206" s="4" t="s">
        <v>70</v>
      </c>
      <c r="D206" s="4" t="s">
        <v>70</v>
      </c>
      <c r="E206" s="4" t="s">
        <v>788</v>
      </c>
      <c r="F206" s="4" t="str">
        <f t="shared" si="11"/>
        <v>63|G|G</v>
      </c>
      <c r="G206" s="14">
        <f>INDEX('Transition Stepwise'!$J$2:$J$1137,MATCH(F206,'Transition Stepwise'!$E$2:$E$1137,0))</f>
        <v>0.51923076923076927</v>
      </c>
      <c r="H206" s="14" t="e">
        <f>INDEX(Background!$D$12:$D$27,MATCH(C206&amp;D206,INDEX(Background!$A$12:$A$27,0)&amp;INDEX(Background!$B$12:$B$27,0),0))</f>
        <v>#VALUE!</v>
      </c>
      <c r="I206" s="17" t="e">
        <f t="shared" si="12"/>
        <v>#VALUE!</v>
      </c>
    </row>
    <row r="207" spans="1:9">
      <c r="A207" s="4" t="s">
        <v>752</v>
      </c>
      <c r="B207" s="4">
        <v>64</v>
      </c>
      <c r="C207" s="4" t="s">
        <v>70</v>
      </c>
      <c r="D207" s="4" t="s">
        <v>72</v>
      </c>
      <c r="E207" s="4" t="s">
        <v>788</v>
      </c>
      <c r="F207" s="4" t="str">
        <f t="shared" si="11"/>
        <v>64|G|U</v>
      </c>
      <c r="G207" s="14">
        <f>INDEX('Transition Stepwise'!$J$2:$J$1137,MATCH(F207,'Transition Stepwise'!$E$2:$E$1137,0))</f>
        <v>0.33333333333333331</v>
      </c>
      <c r="H207" s="14" t="e">
        <f>INDEX(Background!$D$12:$D$27,MATCH(C207&amp;D207,INDEX(Background!$A$12:$A$27,0)&amp;INDEX(Background!$B$12:$B$27,0),0))</f>
        <v>#VALUE!</v>
      </c>
      <c r="I207" s="17" t="e">
        <f t="shared" si="12"/>
        <v>#VALUE!</v>
      </c>
    </row>
    <row r="208" spans="1:9">
      <c r="A208" s="4" t="s">
        <v>752</v>
      </c>
      <c r="B208" s="4">
        <v>65</v>
      </c>
      <c r="C208" s="4" t="s">
        <v>72</v>
      </c>
      <c r="D208" s="4" t="s">
        <v>70</v>
      </c>
      <c r="E208" s="4" t="s">
        <v>788</v>
      </c>
      <c r="F208" s="4" t="str">
        <f t="shared" si="11"/>
        <v>65|U|G</v>
      </c>
      <c r="G208" s="14">
        <f>INDEX('Transition Stepwise'!$J$2:$J$1137,MATCH(F208,'Transition Stepwise'!$E$2:$E$1137,0))</f>
        <v>1.3513513513513514E-2</v>
      </c>
      <c r="H208" s="14" t="e">
        <f>INDEX(Background!$D$12:$D$27,MATCH(C208&amp;D208,INDEX(Background!$A$12:$A$27,0)&amp;INDEX(Background!$B$12:$B$27,0),0))</f>
        <v>#VALUE!</v>
      </c>
      <c r="I208" s="17" t="e">
        <f t="shared" si="12"/>
        <v>#VALUE!</v>
      </c>
    </row>
    <row r="209" spans="1:9">
      <c r="A209" s="4" t="s">
        <v>752</v>
      </c>
      <c r="B209" s="4">
        <v>66</v>
      </c>
      <c r="C209" s="4" t="s">
        <v>70</v>
      </c>
      <c r="D209" s="4" t="s">
        <v>73</v>
      </c>
      <c r="E209" s="4" t="s">
        <v>788</v>
      </c>
      <c r="F209" s="4" t="str">
        <f t="shared" si="11"/>
        <v>66|G|A</v>
      </c>
      <c r="G209" s="14">
        <f>INDEX('Transition Stepwise'!$J$2:$J$1137,MATCH(F209,'Transition Stepwise'!$E$2:$E$1137,0))</f>
        <v>0.16666666666666666</v>
      </c>
      <c r="H209" s="14" t="e">
        <f>INDEX(Background!$D$12:$D$27,MATCH(C209&amp;D209,INDEX(Background!$A$12:$A$27,0)&amp;INDEX(Background!$B$12:$B$27,0),0))</f>
        <v>#VALUE!</v>
      </c>
      <c r="I209" s="17" t="e">
        <f t="shared" si="12"/>
        <v>#VALUE!</v>
      </c>
    </row>
    <row r="210" spans="1:9">
      <c r="A210" s="4" t="s">
        <v>752</v>
      </c>
      <c r="B210" s="4">
        <v>67</v>
      </c>
      <c r="C210" s="4" t="s">
        <v>73</v>
      </c>
      <c r="D210" s="4" t="s">
        <v>70</v>
      </c>
      <c r="E210" s="4" t="s">
        <v>788</v>
      </c>
      <c r="F210" s="4" t="str">
        <f t="shared" si="11"/>
        <v>67|A|G</v>
      </c>
      <c r="G210" s="14">
        <f>INDEX('Transition Stepwise'!$J$2:$J$1137,MATCH(F210,'Transition Stepwise'!$E$2:$E$1137,0))</f>
        <v>0.30434782608695654</v>
      </c>
      <c r="H210" s="14" t="e">
        <f>INDEX(Background!$D$12:$D$27,MATCH(C210&amp;D210,INDEX(Background!$A$12:$A$27,0)&amp;INDEX(Background!$B$12:$B$27,0),0))</f>
        <v>#VALUE!</v>
      </c>
      <c r="I210" s="17" t="e">
        <f t="shared" si="12"/>
        <v>#VALUE!</v>
      </c>
    </row>
    <row r="211" spans="1:9">
      <c r="A211" s="4" t="s">
        <v>752</v>
      </c>
      <c r="B211" s="4">
        <v>68</v>
      </c>
      <c r="C211" s="4" t="s">
        <v>70</v>
      </c>
      <c r="D211" s="4" t="s">
        <v>70</v>
      </c>
      <c r="E211" s="4" t="s">
        <v>788</v>
      </c>
      <c r="F211" s="4" t="str">
        <f t="shared" si="11"/>
        <v>68|G|G</v>
      </c>
      <c r="G211" s="14">
        <f>INDEX('Transition Stepwise'!$J$2:$J$1137,MATCH(F211,'Transition Stepwise'!$E$2:$E$1137,0))</f>
        <v>0.5494505494505495</v>
      </c>
      <c r="H211" s="14" t="e">
        <f>INDEX(Background!$D$12:$D$27,MATCH(C211&amp;D211,INDEX(Background!$A$12:$A$27,0)&amp;INDEX(Background!$B$12:$B$27,0),0))</f>
        <v>#VALUE!</v>
      </c>
      <c r="I211" s="17" t="e">
        <f t="shared" si="12"/>
        <v>#VALUE!</v>
      </c>
    </row>
    <row r="212" spans="1:9">
      <c r="A212" s="4" t="s">
        <v>752</v>
      </c>
      <c r="B212" s="4">
        <v>69</v>
      </c>
      <c r="C212" s="4" t="s">
        <v>70</v>
      </c>
      <c r="D212" s="4" t="s">
        <v>70</v>
      </c>
      <c r="E212" s="4" t="s">
        <v>788</v>
      </c>
      <c r="F212" s="4" t="str">
        <f t="shared" si="11"/>
        <v>69|G|G</v>
      </c>
      <c r="G212" s="14">
        <f>INDEX('Transition Stepwise'!$J$2:$J$1137,MATCH(F212,'Transition Stepwise'!$E$2:$E$1137,0))</f>
        <v>0.40540540540540543</v>
      </c>
      <c r="H212" s="14" t="e">
        <f>INDEX(Background!$D$12:$D$27,MATCH(C212&amp;D212,INDEX(Background!$A$12:$A$27,0)&amp;INDEX(Background!$B$12:$B$27,0),0))</f>
        <v>#VALUE!</v>
      </c>
      <c r="I212" s="17" t="e">
        <f t="shared" si="12"/>
        <v>#VALUE!</v>
      </c>
    </row>
    <row r="213" spans="1:9">
      <c r="A213" s="4" t="s">
        <v>752</v>
      </c>
      <c r="B213" s="4">
        <v>70</v>
      </c>
      <c r="C213" s="4" t="s">
        <v>70</v>
      </c>
      <c r="D213" s="4" t="s">
        <v>73</v>
      </c>
      <c r="E213" s="4" t="s">
        <v>788</v>
      </c>
      <c r="F213" s="4" t="str">
        <f t="shared" si="11"/>
        <v>70|G|A</v>
      </c>
      <c r="G213" s="14">
        <f>INDEX('Transition Stepwise'!$J$2:$J$1137,MATCH(F213,'Transition Stepwise'!$E$2:$E$1137,0))</f>
        <v>5.0632911392405063E-2</v>
      </c>
      <c r="H213" s="14" t="e">
        <f>INDEX(Background!$D$12:$D$27,MATCH(C213&amp;D213,INDEX(Background!$A$12:$A$27,0)&amp;INDEX(Background!$B$12:$B$27,0),0))</f>
        <v>#VALUE!</v>
      </c>
      <c r="I213" s="17" t="e">
        <f t="shared" si="12"/>
        <v>#VALUE!</v>
      </c>
    </row>
    <row r="214" spans="1:9">
      <c r="A214" s="4" t="s">
        <v>752</v>
      </c>
      <c r="B214" s="4">
        <v>71</v>
      </c>
      <c r="C214" s="4" t="s">
        <v>73</v>
      </c>
      <c r="D214" s="4" t="s">
        <v>70</v>
      </c>
      <c r="E214" s="4" t="s">
        <v>788</v>
      </c>
      <c r="F214" s="4" t="str">
        <f t="shared" si="11"/>
        <v>71|A|G</v>
      </c>
      <c r="G214" s="14">
        <f>INDEX('Transition Stepwise'!$J$2:$J$1137,MATCH(F214,'Transition Stepwise'!$E$2:$E$1137,0))</f>
        <v>0.22222222222222221</v>
      </c>
      <c r="H214" s="14" t="e">
        <f>INDEX(Background!$D$12:$D$27,MATCH(C214&amp;D214,INDEX(Background!$A$12:$A$27,0)&amp;INDEX(Background!$B$12:$B$27,0),0))</f>
        <v>#VALUE!</v>
      </c>
      <c r="I214" s="17" t="e">
        <f t="shared" si="12"/>
        <v>#VALUE!</v>
      </c>
    </row>
    <row r="215" spans="1:9">
      <c r="A215" s="4" t="s">
        <v>753</v>
      </c>
      <c r="B215" s="4">
        <v>1</v>
      </c>
      <c r="C215" s="4" t="s">
        <v>72</v>
      </c>
      <c r="D215" s="4" t="s">
        <v>71</v>
      </c>
      <c r="E215" s="4" t="s">
        <v>788</v>
      </c>
      <c r="F215" s="4" t="str">
        <f t="shared" si="11"/>
        <v>1|U|C</v>
      </c>
      <c r="G215" s="14">
        <f>INDEX('Transition Stepwise'!$J$2:$J$1137,MATCH(F215,'Transition Stepwise'!$E$2:$E$1137,0))</f>
        <v>0.58823529411764708</v>
      </c>
      <c r="H215" s="14" t="e">
        <f>INDEX(Background!$D$12:$D$27,MATCH(C215&amp;D215,INDEX(Background!$A$12:$A$27,0)&amp;INDEX(Background!$B$12:$B$27,0),0))</f>
        <v>#VALUE!</v>
      </c>
      <c r="I215" s="17" t="e">
        <f t="shared" si="12"/>
        <v>#VALUE!</v>
      </c>
    </row>
    <row r="216" spans="1:9">
      <c r="A216" s="4" t="s">
        <v>753</v>
      </c>
      <c r="B216" s="4">
        <v>2</v>
      </c>
      <c r="C216" s="4" t="s">
        <v>71</v>
      </c>
      <c r="D216" s="4" t="s">
        <v>73</v>
      </c>
      <c r="E216" s="4" t="s">
        <v>788</v>
      </c>
      <c r="F216" s="4" t="str">
        <f t="shared" si="11"/>
        <v>2|C|A</v>
      </c>
      <c r="G216" s="14">
        <f>INDEX('Transition Stepwise'!$J$2:$J$1137,MATCH(F216,'Transition Stepwise'!$E$2:$E$1137,0))</f>
        <v>3.4883720930232558E-2</v>
      </c>
      <c r="H216" s="14" t="e">
        <f>INDEX(Background!$D$12:$D$27,MATCH(C216&amp;D216,INDEX(Background!$A$12:$A$27,0)&amp;INDEX(Background!$B$12:$B$27,0),0))</f>
        <v>#VALUE!</v>
      </c>
      <c r="I216" s="17" t="e">
        <f t="shared" si="12"/>
        <v>#VALUE!</v>
      </c>
    </row>
    <row r="217" spans="1:9">
      <c r="A217" s="4" t="s">
        <v>753</v>
      </c>
      <c r="B217" s="4">
        <v>3</v>
      </c>
      <c r="C217" s="4" t="s">
        <v>73</v>
      </c>
      <c r="D217" s="4" t="s">
        <v>73</v>
      </c>
      <c r="E217" s="4" t="s">
        <v>788</v>
      </c>
      <c r="F217" s="4" t="str">
        <f t="shared" si="11"/>
        <v>3|A|A</v>
      </c>
      <c r="G217" s="14">
        <f>INDEX('Transition Stepwise'!$J$2:$J$1137,MATCH(F217,'Transition Stepwise'!$E$2:$E$1137,0))</f>
        <v>0.16666666666666666</v>
      </c>
      <c r="H217" s="14" t="e">
        <f>INDEX(Background!$D$12:$D$27,MATCH(C217&amp;D217,INDEX(Background!$A$12:$A$27,0)&amp;INDEX(Background!$B$12:$B$27,0),0))</f>
        <v>#VALUE!</v>
      </c>
      <c r="I217" s="17" t="e">
        <f t="shared" si="12"/>
        <v>#VALUE!</v>
      </c>
    </row>
    <row r="218" spans="1:9">
      <c r="A218" s="4" t="s">
        <v>753</v>
      </c>
      <c r="B218" s="4">
        <v>4</v>
      </c>
      <c r="C218" s="4" t="s">
        <v>73</v>
      </c>
      <c r="D218" s="4" t="s">
        <v>71</v>
      </c>
      <c r="E218" s="4" t="s">
        <v>788</v>
      </c>
      <c r="F218" s="4" t="str">
        <f t="shared" si="11"/>
        <v>4|A|C</v>
      </c>
      <c r="G218" s="14">
        <f>INDEX('Transition Stepwise'!$J$2:$J$1137,MATCH(F218,'Transition Stepwise'!$E$2:$E$1137,0))</f>
        <v>0.2</v>
      </c>
      <c r="H218" s="14" t="e">
        <f>INDEX(Background!$D$12:$D$27,MATCH(C218&amp;D218,INDEX(Background!$A$12:$A$27,0)&amp;INDEX(Background!$B$12:$B$27,0),0))</f>
        <v>#VALUE!</v>
      </c>
      <c r="I218" s="17" t="e">
        <f t="shared" si="12"/>
        <v>#VALUE!</v>
      </c>
    </row>
    <row r="219" spans="1:9">
      <c r="A219" s="4" t="s">
        <v>753</v>
      </c>
      <c r="B219" s="4">
        <v>5</v>
      </c>
      <c r="C219" s="4" t="s">
        <v>71</v>
      </c>
      <c r="D219" s="4" t="s">
        <v>73</v>
      </c>
      <c r="E219" s="4" t="s">
        <v>788</v>
      </c>
      <c r="F219" s="4" t="str">
        <f t="shared" si="11"/>
        <v>5|C|A</v>
      </c>
      <c r="G219" s="14">
        <f>INDEX('Transition Stepwise'!$J$2:$J$1137,MATCH(F219,'Transition Stepwise'!$E$2:$E$1137,0))</f>
        <v>0.15662650602409639</v>
      </c>
      <c r="H219" s="14" t="e">
        <f>INDEX(Background!$D$12:$D$27,MATCH(C219&amp;D219,INDEX(Background!$A$12:$A$27,0)&amp;INDEX(Background!$B$12:$B$27,0),0))</f>
        <v>#VALUE!</v>
      </c>
      <c r="I219" s="17" t="e">
        <f t="shared" si="12"/>
        <v>#VALUE!</v>
      </c>
    </row>
    <row r="220" spans="1:9">
      <c r="A220" s="4" t="s">
        <v>753</v>
      </c>
      <c r="B220" s="4">
        <v>6</v>
      </c>
      <c r="C220" s="4" t="s">
        <v>73</v>
      </c>
      <c r="D220" s="4" t="s">
        <v>72</v>
      </c>
      <c r="E220" s="4" t="s">
        <v>788</v>
      </c>
      <c r="F220" s="4" t="str">
        <f t="shared" si="11"/>
        <v>6|A|U</v>
      </c>
      <c r="G220" s="14">
        <f>INDEX('Transition Stepwise'!$J$2:$J$1137,MATCH(F220,'Transition Stepwise'!$E$2:$E$1137,0))</f>
        <v>0.28947368421052633</v>
      </c>
      <c r="H220" s="14" t="e">
        <f>INDEX(Background!$D$12:$D$27,MATCH(C220&amp;D220,INDEX(Background!$A$12:$A$27,0)&amp;INDEX(Background!$B$12:$B$27,0),0))</f>
        <v>#VALUE!</v>
      </c>
      <c r="I220" s="17" t="e">
        <f t="shared" si="12"/>
        <v>#VALUE!</v>
      </c>
    </row>
    <row r="221" spans="1:9">
      <c r="A221" s="4" t="s">
        <v>753</v>
      </c>
      <c r="B221" s="4">
        <v>7</v>
      </c>
      <c r="C221" s="4" t="s">
        <v>72</v>
      </c>
      <c r="D221" s="4" t="s">
        <v>72</v>
      </c>
      <c r="E221" s="4" t="s">
        <v>788</v>
      </c>
      <c r="F221" s="4" t="str">
        <f t="shared" si="11"/>
        <v>7|U|U</v>
      </c>
      <c r="G221" s="14">
        <f>INDEX('Transition Stepwise'!$J$2:$J$1137,MATCH(F221,'Transition Stepwise'!$E$2:$E$1137,0))</f>
        <v>0.9375</v>
      </c>
      <c r="H221" s="14" t="e">
        <f>INDEX(Background!$D$12:$D$27,MATCH(C221&amp;D221,INDEX(Background!$A$12:$A$27,0)&amp;INDEX(Background!$B$12:$B$27,0),0))</f>
        <v>#VALUE!</v>
      </c>
      <c r="I221" s="17" t="e">
        <f t="shared" si="12"/>
        <v>#VALUE!</v>
      </c>
    </row>
    <row r="222" spans="1:9">
      <c r="A222" s="4" t="s">
        <v>753</v>
      </c>
      <c r="B222" s="4">
        <v>8</v>
      </c>
      <c r="C222" s="4" t="s">
        <v>72</v>
      </c>
      <c r="D222" s="4" t="s">
        <v>73</v>
      </c>
      <c r="E222" s="4" t="s">
        <v>788</v>
      </c>
      <c r="F222" s="4" t="str">
        <f t="shared" si="11"/>
        <v>8|U|A</v>
      </c>
      <c r="G222" s="14">
        <f>INDEX('Transition Stepwise'!$J$2:$J$1137,MATCH(F222,'Transition Stepwise'!$E$2:$E$1137,0))</f>
        <v>0.65174129353233834</v>
      </c>
      <c r="H222" s="14" t="e">
        <f>INDEX(Background!$D$12:$D$27,MATCH(C222&amp;D222,INDEX(Background!$A$12:$A$27,0)&amp;INDEX(Background!$B$12:$B$27,0),0))</f>
        <v>#VALUE!</v>
      </c>
      <c r="I222" s="17" t="e">
        <f t="shared" si="12"/>
        <v>#VALUE!</v>
      </c>
    </row>
    <row r="223" spans="1:9">
      <c r="A223" s="4" t="s">
        <v>753</v>
      </c>
      <c r="B223" s="4">
        <v>9</v>
      </c>
      <c r="C223" s="4" t="s">
        <v>73</v>
      </c>
      <c r="D223" s="4" t="s">
        <v>70</v>
      </c>
      <c r="E223" s="4" t="s">
        <v>788</v>
      </c>
      <c r="F223" s="4" t="str">
        <f t="shared" si="11"/>
        <v>9|A|G</v>
      </c>
      <c r="G223" s="14">
        <f>INDEX('Transition Stepwise'!$J$2:$J$1137,MATCH(F223,'Transition Stepwise'!$E$2:$E$1137,0))</f>
        <v>0.96296296296296291</v>
      </c>
      <c r="H223" s="14" t="e">
        <f>INDEX(Background!$D$12:$D$27,MATCH(C223&amp;D223,INDEX(Background!$A$12:$A$27,0)&amp;INDEX(Background!$B$12:$B$27,0),0))</f>
        <v>#VALUE!</v>
      </c>
      <c r="I223" s="17" t="e">
        <f t="shared" si="12"/>
        <v>#VALUE!</v>
      </c>
    </row>
    <row r="224" spans="1:9">
      <c r="A224" s="4" t="s">
        <v>753</v>
      </c>
      <c r="B224" s="4">
        <v>10</v>
      </c>
      <c r="C224" s="4" t="s">
        <v>70</v>
      </c>
      <c r="D224" s="4" t="s">
        <v>70</v>
      </c>
      <c r="E224" s="4" t="s">
        <v>788</v>
      </c>
      <c r="F224" s="4" t="str">
        <f t="shared" ref="F224:F287" si="13">B224&amp;"|"&amp;C224&amp;"|"&amp;D224</f>
        <v>10|G|G</v>
      </c>
      <c r="G224" s="14">
        <f>INDEX('Transition Stepwise'!$J$2:$J$1137,MATCH(F224,'Transition Stepwise'!$E$2:$E$1137,0))</f>
        <v>3.0612244897959183E-2</v>
      </c>
      <c r="H224" s="14" t="e">
        <f>INDEX(Background!$D$12:$D$27,MATCH(C224&amp;D224,INDEX(Background!$A$12:$A$27,0)&amp;INDEX(Background!$B$12:$B$27,0),0))</f>
        <v>#VALUE!</v>
      </c>
      <c r="I224" s="17" t="e">
        <f t="shared" ref="I224:I287" si="14">LN(G224/H224)</f>
        <v>#VALUE!</v>
      </c>
    </row>
    <row r="225" spans="1:9">
      <c r="A225" s="4" t="s">
        <v>753</v>
      </c>
      <c r="B225" s="4">
        <v>11</v>
      </c>
      <c r="C225" s="4" t="s">
        <v>70</v>
      </c>
      <c r="D225" s="4" t="s">
        <v>73</v>
      </c>
      <c r="E225" s="4" t="s">
        <v>788</v>
      </c>
      <c r="F225" s="4" t="str">
        <f t="shared" si="13"/>
        <v>11|G|A</v>
      </c>
      <c r="G225" s="14">
        <f>INDEX('Transition Stepwise'!$J$2:$J$1137,MATCH(F225,'Transition Stepwise'!$E$2:$E$1137,0))</f>
        <v>0.3</v>
      </c>
      <c r="H225" s="14" t="e">
        <f>INDEX(Background!$D$12:$D$27,MATCH(C225&amp;D225,INDEX(Background!$A$12:$A$27,0)&amp;INDEX(Background!$B$12:$B$27,0),0))</f>
        <v>#VALUE!</v>
      </c>
      <c r="I225" s="17" t="e">
        <f t="shared" si="14"/>
        <v>#VALUE!</v>
      </c>
    </row>
    <row r="226" spans="1:9">
      <c r="A226" s="4" t="s">
        <v>753</v>
      </c>
      <c r="B226" s="4">
        <v>12</v>
      </c>
      <c r="C226" s="4" t="s">
        <v>73</v>
      </c>
      <c r="D226" s="4" t="s">
        <v>72</v>
      </c>
      <c r="E226" s="4" t="s">
        <v>788</v>
      </c>
      <c r="F226" s="4" t="str">
        <f t="shared" si="13"/>
        <v>12|A|U</v>
      </c>
      <c r="G226" s="14">
        <f>INDEX('Transition Stepwise'!$J$2:$J$1137,MATCH(F226,'Transition Stepwise'!$E$2:$E$1137,0))</f>
        <v>0.47058823529411764</v>
      </c>
      <c r="H226" s="14" t="e">
        <f>INDEX(Background!$D$12:$D$27,MATCH(C226&amp;D226,INDEX(Background!$A$12:$A$27,0)&amp;INDEX(Background!$B$12:$B$27,0),0))</f>
        <v>#VALUE!</v>
      </c>
      <c r="I226" s="17" t="e">
        <f t="shared" si="14"/>
        <v>#VALUE!</v>
      </c>
    </row>
    <row r="227" spans="1:9">
      <c r="A227" s="4" t="s">
        <v>753</v>
      </c>
      <c r="B227" s="4">
        <v>13</v>
      </c>
      <c r="C227" s="4" t="s">
        <v>72</v>
      </c>
      <c r="D227" s="4" t="s">
        <v>73</v>
      </c>
      <c r="E227" s="4" t="s">
        <v>788</v>
      </c>
      <c r="F227" s="4" t="str">
        <f t="shared" si="13"/>
        <v>13|U|A</v>
      </c>
      <c r="G227" s="14">
        <f>INDEX('Transition Stepwise'!$J$2:$J$1137,MATCH(F227,'Transition Stepwise'!$E$2:$E$1137,0))</f>
        <v>0.9285714285714286</v>
      </c>
      <c r="H227" s="14" t="e">
        <f>INDEX(Background!$D$12:$D$27,MATCH(C227&amp;D227,INDEX(Background!$A$12:$A$27,0)&amp;INDEX(Background!$B$12:$B$27,0),0))</f>
        <v>#VALUE!</v>
      </c>
      <c r="I227" s="17" t="e">
        <f t="shared" si="14"/>
        <v>#VALUE!</v>
      </c>
    </row>
    <row r="228" spans="1:9">
      <c r="A228" s="4" t="s">
        <v>753</v>
      </c>
      <c r="B228" s="4">
        <v>14</v>
      </c>
      <c r="C228" s="4" t="s">
        <v>73</v>
      </c>
      <c r="D228" s="4" t="s">
        <v>70</v>
      </c>
      <c r="E228" s="4" t="s">
        <v>788</v>
      </c>
      <c r="F228" s="4" t="str">
        <f t="shared" si="13"/>
        <v>14|A|G</v>
      </c>
      <c r="G228" s="14">
        <f>INDEX('Transition Stepwise'!$J$2:$J$1137,MATCH(F228,'Transition Stepwise'!$E$2:$E$1137,0))</f>
        <v>0.81094527363184077</v>
      </c>
      <c r="H228" s="14" t="e">
        <f>INDEX(Background!$D$12:$D$27,MATCH(C228&amp;D228,INDEX(Background!$A$12:$A$27,0)&amp;INDEX(Background!$B$12:$B$27,0),0))</f>
        <v>#VALUE!</v>
      </c>
      <c r="I228" s="17" t="e">
        <f t="shared" si="14"/>
        <v>#VALUE!</v>
      </c>
    </row>
    <row r="229" spans="1:9">
      <c r="A229" s="4" t="s">
        <v>753</v>
      </c>
      <c r="B229" s="4">
        <v>15</v>
      </c>
      <c r="C229" s="4" t="s">
        <v>70</v>
      </c>
      <c r="D229" s="4" t="s">
        <v>73</v>
      </c>
      <c r="E229" s="4" t="s">
        <v>788</v>
      </c>
      <c r="F229" s="4" t="str">
        <f t="shared" si="13"/>
        <v>15|G|A</v>
      </c>
      <c r="G229" s="14">
        <f>INDEX('Transition Stepwise'!$J$2:$J$1137,MATCH(F229,'Transition Stepwise'!$E$2:$E$1137,0))</f>
        <v>2.5423728813559324E-2</v>
      </c>
      <c r="H229" s="14" t="e">
        <f>INDEX(Background!$D$12:$D$27,MATCH(C229&amp;D229,INDEX(Background!$A$12:$A$27,0)&amp;INDEX(Background!$B$12:$B$27,0),0))</f>
        <v>#VALUE!</v>
      </c>
      <c r="I229" s="17" t="e">
        <f t="shared" si="14"/>
        <v>#VALUE!</v>
      </c>
    </row>
    <row r="230" spans="1:9">
      <c r="A230" s="4" t="s">
        <v>753</v>
      </c>
      <c r="B230" s="4">
        <v>16</v>
      </c>
      <c r="C230" s="4" t="s">
        <v>73</v>
      </c>
      <c r="D230" s="4" t="s">
        <v>72</v>
      </c>
      <c r="E230" s="4" t="s">
        <v>788</v>
      </c>
      <c r="F230" s="4" t="str">
        <f t="shared" si="13"/>
        <v>16|A|U</v>
      </c>
      <c r="G230" s="14">
        <f>INDEX('Transition Stepwise'!$J$2:$J$1137,MATCH(F230,'Transition Stepwise'!$E$2:$E$1137,0))</f>
        <v>0.42857142857142855</v>
      </c>
      <c r="H230" s="14" t="e">
        <f>INDEX(Background!$D$12:$D$27,MATCH(C230&amp;D230,INDEX(Background!$A$12:$A$27,0)&amp;INDEX(Background!$B$12:$B$27,0),0))</f>
        <v>#VALUE!</v>
      </c>
      <c r="I230" s="17" t="e">
        <f t="shared" si="14"/>
        <v>#VALUE!</v>
      </c>
    </row>
    <row r="231" spans="1:9">
      <c r="A231" s="4" t="s">
        <v>753</v>
      </c>
      <c r="B231" s="4">
        <v>17</v>
      </c>
      <c r="C231" s="4" t="s">
        <v>72</v>
      </c>
      <c r="D231" s="4" t="s">
        <v>70</v>
      </c>
      <c r="E231" s="4" t="s">
        <v>788</v>
      </c>
      <c r="F231" s="4" t="str">
        <f t="shared" si="13"/>
        <v>17|U|G</v>
      </c>
      <c r="G231" s="14">
        <f>INDEX('Transition Stepwise'!$J$2:$J$1137,MATCH(F231,'Transition Stepwise'!$E$2:$E$1137,0))</f>
        <v>0.97457627118644063</v>
      </c>
      <c r="H231" s="14" t="e">
        <f>INDEX(Background!$D$12:$D$27,MATCH(C231&amp;D231,INDEX(Background!$A$12:$A$27,0)&amp;INDEX(Background!$B$12:$B$27,0),0))</f>
        <v>#VALUE!</v>
      </c>
      <c r="I231" s="17" t="e">
        <f t="shared" si="14"/>
        <v>#VALUE!</v>
      </c>
    </row>
    <row r="232" spans="1:9">
      <c r="A232" s="4" t="s">
        <v>753</v>
      </c>
      <c r="B232" s="4">
        <v>18</v>
      </c>
      <c r="C232" s="4" t="s">
        <v>70</v>
      </c>
      <c r="D232" s="4" t="s">
        <v>70</v>
      </c>
      <c r="E232" s="4" t="s">
        <v>788</v>
      </c>
      <c r="F232" s="4" t="str">
        <f t="shared" si="13"/>
        <v>18|G|G</v>
      </c>
      <c r="G232" s="14">
        <f>INDEX('Transition Stepwise'!$J$2:$J$1137,MATCH(F232,'Transition Stepwise'!$E$2:$E$1137,0))</f>
        <v>0.97536945812807885</v>
      </c>
      <c r="H232" s="14" t="e">
        <f>INDEX(Background!$D$12:$D$27,MATCH(C232&amp;D232,INDEX(Background!$A$12:$A$27,0)&amp;INDEX(Background!$B$12:$B$27,0),0))</f>
        <v>#VALUE!</v>
      </c>
      <c r="I232" s="17" t="e">
        <f t="shared" si="14"/>
        <v>#VALUE!</v>
      </c>
    </row>
    <row r="233" spans="1:9">
      <c r="A233" s="4" t="s">
        <v>753</v>
      </c>
      <c r="B233" s="4">
        <v>19</v>
      </c>
      <c r="C233" s="4" t="s">
        <v>70</v>
      </c>
      <c r="D233" s="4" t="s">
        <v>71</v>
      </c>
      <c r="E233" s="4" t="s">
        <v>788</v>
      </c>
      <c r="F233" s="4" t="str">
        <f t="shared" si="13"/>
        <v>19|G|C</v>
      </c>
      <c r="G233" s="14">
        <f>INDEX('Transition Stepwise'!$J$2:$J$1137,MATCH(F233,'Transition Stepwise'!$E$2:$E$1137,0))</f>
        <v>0.22885572139303484</v>
      </c>
      <c r="H233" s="14" t="e">
        <f>INDEX(Background!$D$12:$D$27,MATCH(C233&amp;D233,INDEX(Background!$A$12:$A$27,0)&amp;INDEX(Background!$B$12:$B$27,0),0))</f>
        <v>#VALUE!</v>
      </c>
      <c r="I233" s="17" t="e">
        <f t="shared" si="14"/>
        <v>#VALUE!</v>
      </c>
    </row>
    <row r="234" spans="1:9">
      <c r="A234" s="4" t="s">
        <v>753</v>
      </c>
      <c r="B234" s="4">
        <v>20</v>
      </c>
      <c r="C234" s="4" t="s">
        <v>71</v>
      </c>
      <c r="D234" s="4" t="s">
        <v>72</v>
      </c>
      <c r="E234" s="4" t="s">
        <v>788</v>
      </c>
      <c r="F234" s="4" t="str">
        <f t="shared" si="13"/>
        <v>20|C|U</v>
      </c>
      <c r="G234" s="14">
        <f>INDEX('Transition Stepwise'!$J$2:$J$1137,MATCH(F234,'Transition Stepwise'!$E$2:$E$1137,0))</f>
        <v>0.10204081632653061</v>
      </c>
      <c r="H234" s="14" t="e">
        <f>INDEX(Background!$D$12:$D$27,MATCH(C234&amp;D234,INDEX(Background!$A$12:$A$27,0)&amp;INDEX(Background!$B$12:$B$27,0),0))</f>
        <v>#VALUE!</v>
      </c>
      <c r="I234" s="17" t="e">
        <f t="shared" si="14"/>
        <v>#VALUE!</v>
      </c>
    </row>
    <row r="235" spans="1:9">
      <c r="A235" s="4" t="s">
        <v>753</v>
      </c>
      <c r="B235" s="4">
        <v>21</v>
      </c>
      <c r="C235" s="4" t="s">
        <v>72</v>
      </c>
      <c r="D235" s="4" t="s">
        <v>72</v>
      </c>
      <c r="E235" s="4" t="s">
        <v>788</v>
      </c>
      <c r="F235" s="4" t="str">
        <f t="shared" si="13"/>
        <v>21|U|U</v>
      </c>
      <c r="G235" s="14">
        <f>INDEX('Transition Stepwise'!$J$2:$J$1137,MATCH(F235,'Transition Stepwise'!$E$2:$E$1137,0))</f>
        <v>0.2857142857142857</v>
      </c>
      <c r="H235" s="14" t="e">
        <f>INDEX(Background!$D$12:$D$27,MATCH(C235&amp;D235,INDEX(Background!$A$12:$A$27,0)&amp;INDEX(Background!$B$12:$B$27,0),0))</f>
        <v>#VALUE!</v>
      </c>
      <c r="I235" s="17" t="e">
        <f t="shared" si="14"/>
        <v>#VALUE!</v>
      </c>
    </row>
    <row r="236" spans="1:9">
      <c r="A236" s="4" t="s">
        <v>753</v>
      </c>
      <c r="B236" s="4">
        <v>22</v>
      </c>
      <c r="C236" s="4" t="s">
        <v>72</v>
      </c>
      <c r="D236" s="4" t="s">
        <v>72</v>
      </c>
      <c r="E236" s="4" t="s">
        <v>788</v>
      </c>
      <c r="F236" s="4" t="str">
        <f t="shared" si="13"/>
        <v>22|U|U</v>
      </c>
      <c r="G236" s="14">
        <f>INDEX('Transition Stepwise'!$J$2:$J$1137,MATCH(F236,'Transition Stepwise'!$E$2:$E$1137,0))</f>
        <v>0.33333333333333331</v>
      </c>
      <c r="H236" s="14" t="e">
        <f>INDEX(Background!$D$12:$D$27,MATCH(C236&amp;D236,INDEX(Background!$A$12:$A$27,0)&amp;INDEX(Background!$B$12:$B$27,0),0))</f>
        <v>#VALUE!</v>
      </c>
      <c r="I236" s="17" t="e">
        <f t="shared" si="14"/>
        <v>#VALUE!</v>
      </c>
    </row>
    <row r="237" spans="1:9">
      <c r="A237" s="4" t="s">
        <v>753</v>
      </c>
      <c r="B237" s="4">
        <v>23</v>
      </c>
      <c r="C237" s="4" t="s">
        <v>72</v>
      </c>
      <c r="D237" s="4" t="s">
        <v>71</v>
      </c>
      <c r="E237" s="4" t="s">
        <v>788</v>
      </c>
      <c r="F237" s="4" t="str">
        <f t="shared" si="13"/>
        <v>23|U|C</v>
      </c>
      <c r="G237" s="14">
        <f>INDEX('Transition Stepwise'!$J$2:$J$1137,MATCH(F237,'Transition Stepwise'!$E$2:$E$1137,0))</f>
        <v>0.1875</v>
      </c>
      <c r="H237" s="14" t="e">
        <f>INDEX(Background!$D$12:$D$27,MATCH(C237&amp;D237,INDEX(Background!$A$12:$A$27,0)&amp;INDEX(Background!$B$12:$B$27,0),0))</f>
        <v>#VALUE!</v>
      </c>
      <c r="I237" s="17" t="e">
        <f t="shared" si="14"/>
        <v>#VALUE!</v>
      </c>
    </row>
    <row r="238" spans="1:9">
      <c r="A238" s="4" t="s">
        <v>753</v>
      </c>
      <c r="B238" s="4">
        <v>24</v>
      </c>
      <c r="C238" s="4" t="s">
        <v>71</v>
      </c>
      <c r="D238" s="4" t="s">
        <v>71</v>
      </c>
      <c r="E238" s="4" t="s">
        <v>788</v>
      </c>
      <c r="F238" s="4" t="str">
        <f t="shared" si="13"/>
        <v>24|C|C</v>
      </c>
      <c r="G238" s="14">
        <f>INDEX('Transition Stepwise'!$J$2:$J$1137,MATCH(F238,'Transition Stepwise'!$E$2:$E$1137,0))</f>
        <v>0.5</v>
      </c>
      <c r="H238" s="14" t="e">
        <f>INDEX(Background!$D$12:$D$27,MATCH(C238&amp;D238,INDEX(Background!$A$12:$A$27,0)&amp;INDEX(Background!$B$12:$B$27,0),0))</f>
        <v>#VALUE!</v>
      </c>
      <c r="I238" s="17" t="e">
        <f t="shared" si="14"/>
        <v>#VALUE!</v>
      </c>
    </row>
    <row r="239" spans="1:9">
      <c r="A239" s="4" t="s">
        <v>753</v>
      </c>
      <c r="B239" s="4">
        <v>25</v>
      </c>
      <c r="C239" s="4" t="s">
        <v>71</v>
      </c>
      <c r="D239" s="4" t="s">
        <v>72</v>
      </c>
      <c r="E239" s="4" t="s">
        <v>788</v>
      </c>
      <c r="F239" s="4" t="str">
        <f t="shared" si="13"/>
        <v>25|C|U</v>
      </c>
      <c r="G239" s="14">
        <f>INDEX('Transition Stepwise'!$J$2:$J$1137,MATCH(F239,'Transition Stepwise'!$E$2:$E$1137,0))</f>
        <v>5.4945054945054944E-2</v>
      </c>
      <c r="H239" s="14" t="e">
        <f>INDEX(Background!$D$12:$D$27,MATCH(C239&amp;D239,INDEX(Background!$A$12:$A$27,0)&amp;INDEX(Background!$B$12:$B$27,0),0))</f>
        <v>#VALUE!</v>
      </c>
      <c r="I239" s="17" t="e">
        <f t="shared" si="14"/>
        <v>#VALUE!</v>
      </c>
    </row>
    <row r="240" spans="1:9">
      <c r="A240" s="4" t="s">
        <v>753</v>
      </c>
      <c r="B240" s="4">
        <v>26</v>
      </c>
      <c r="C240" s="4" t="s">
        <v>72</v>
      </c>
      <c r="D240" s="4" t="s">
        <v>72</v>
      </c>
      <c r="E240" s="4" t="s">
        <v>788</v>
      </c>
      <c r="F240" s="4" t="str">
        <f t="shared" si="13"/>
        <v>26|U|U</v>
      </c>
      <c r="G240" s="14">
        <f>INDEX('Transition Stepwise'!$J$2:$J$1137,MATCH(F240,'Transition Stepwise'!$E$2:$E$1137,0))</f>
        <v>0.26666666666666666</v>
      </c>
      <c r="H240" s="14" t="e">
        <f>INDEX(Background!$D$12:$D$27,MATCH(C240&amp;D240,INDEX(Background!$A$12:$A$27,0)&amp;INDEX(Background!$B$12:$B$27,0),0))</f>
        <v>#VALUE!</v>
      </c>
      <c r="I240" s="17" t="e">
        <f t="shared" si="14"/>
        <v>#VALUE!</v>
      </c>
    </row>
    <row r="241" spans="1:9">
      <c r="A241" s="4" t="s">
        <v>753</v>
      </c>
      <c r="B241" s="4">
        <v>27</v>
      </c>
      <c r="C241" s="4" t="s">
        <v>72</v>
      </c>
      <c r="D241" s="4" t="s">
        <v>72</v>
      </c>
      <c r="E241" s="4" t="s">
        <v>788</v>
      </c>
      <c r="F241" s="4" t="str">
        <f t="shared" si="13"/>
        <v>27|U|U</v>
      </c>
      <c r="G241" s="14">
        <f>INDEX('Transition Stepwise'!$J$2:$J$1137,MATCH(F241,'Transition Stepwise'!$E$2:$E$1137,0))</f>
        <v>0.3392857142857143</v>
      </c>
      <c r="H241" s="14" t="e">
        <f>INDEX(Background!$D$12:$D$27,MATCH(C241&amp;D241,INDEX(Background!$A$12:$A$27,0)&amp;INDEX(Background!$B$12:$B$27,0),0))</f>
        <v>#VALUE!</v>
      </c>
      <c r="I241" s="17" t="e">
        <f t="shared" si="14"/>
        <v>#VALUE!</v>
      </c>
    </row>
    <row r="242" spans="1:9">
      <c r="A242" s="4" t="s">
        <v>753</v>
      </c>
      <c r="B242" s="4">
        <v>28</v>
      </c>
      <c r="C242" s="4" t="s">
        <v>72</v>
      </c>
      <c r="D242" s="4" t="s">
        <v>71</v>
      </c>
      <c r="E242" s="4" t="s">
        <v>788</v>
      </c>
      <c r="F242" s="4" t="str">
        <f t="shared" si="13"/>
        <v>28|U|C</v>
      </c>
      <c r="G242" s="14">
        <f>INDEX('Transition Stepwise'!$J$2:$J$1137,MATCH(F242,'Transition Stepwise'!$E$2:$E$1137,0))</f>
        <v>0.27272727272727271</v>
      </c>
      <c r="H242" s="14" t="e">
        <f>INDEX(Background!$D$12:$D$27,MATCH(C242&amp;D242,INDEX(Background!$A$12:$A$27,0)&amp;INDEX(Background!$B$12:$B$27,0),0))</f>
        <v>#VALUE!</v>
      </c>
      <c r="I242" s="17" t="e">
        <f t="shared" si="14"/>
        <v>#VALUE!</v>
      </c>
    </row>
    <row r="243" spans="1:9">
      <c r="A243" s="4" t="s">
        <v>753</v>
      </c>
      <c r="B243" s="4">
        <v>29</v>
      </c>
      <c r="C243" s="4" t="s">
        <v>71</v>
      </c>
      <c r="D243" s="4" t="s">
        <v>72</v>
      </c>
      <c r="E243" s="4" t="s">
        <v>788</v>
      </c>
      <c r="F243" s="4" t="str">
        <f t="shared" si="13"/>
        <v>29|C|U</v>
      </c>
      <c r="G243" s="14">
        <f>INDEX('Transition Stepwise'!$J$2:$J$1137,MATCH(F243,'Transition Stepwise'!$E$2:$E$1137,0))</f>
        <v>0.05</v>
      </c>
      <c r="H243" s="14" t="e">
        <f>INDEX(Background!$D$12:$D$27,MATCH(C243&amp;D243,INDEX(Background!$A$12:$A$27,0)&amp;INDEX(Background!$B$12:$B$27,0),0))</f>
        <v>#VALUE!</v>
      </c>
      <c r="I243" s="17" t="e">
        <f t="shared" si="14"/>
        <v>#VALUE!</v>
      </c>
    </row>
    <row r="244" spans="1:9">
      <c r="A244" s="4" t="s">
        <v>753</v>
      </c>
      <c r="B244" s="4">
        <v>30</v>
      </c>
      <c r="C244" s="4" t="s">
        <v>72</v>
      </c>
      <c r="D244" s="4" t="s">
        <v>72</v>
      </c>
      <c r="E244" s="4" t="s">
        <v>788</v>
      </c>
      <c r="F244" s="4" t="str">
        <f t="shared" si="13"/>
        <v>30|U|U</v>
      </c>
      <c r="G244" s="14">
        <f>INDEX('Transition Stepwise'!$J$2:$J$1137,MATCH(F244,'Transition Stepwise'!$E$2:$E$1137,0))</f>
        <v>9.0909090909090912E-2</v>
      </c>
      <c r="H244" s="14" t="e">
        <f>INDEX(Background!$D$12:$D$27,MATCH(C244&amp;D244,INDEX(Background!$A$12:$A$27,0)&amp;INDEX(Background!$B$12:$B$27,0),0))</f>
        <v>#VALUE!</v>
      </c>
      <c r="I244" s="17" t="e">
        <f t="shared" si="14"/>
        <v>#VALUE!</v>
      </c>
    </row>
    <row r="245" spans="1:9">
      <c r="A245" s="4" t="s">
        <v>753</v>
      </c>
      <c r="B245" s="4">
        <v>31</v>
      </c>
      <c r="C245" s="4" t="s">
        <v>72</v>
      </c>
      <c r="D245" s="4" t="s">
        <v>72</v>
      </c>
      <c r="E245" s="4" t="s">
        <v>788</v>
      </c>
      <c r="F245" s="4" t="str">
        <f t="shared" si="13"/>
        <v>31|U|U</v>
      </c>
      <c r="G245" s="14">
        <f>INDEX('Transition Stepwise'!$J$2:$J$1137,MATCH(F245,'Transition Stepwise'!$E$2:$E$1137,0))</f>
        <v>0.13043478260869565</v>
      </c>
      <c r="H245" s="14" t="e">
        <f>INDEX(Background!$D$12:$D$27,MATCH(C245&amp;D245,INDEX(Background!$A$12:$A$27,0)&amp;INDEX(Background!$B$12:$B$27,0),0))</f>
        <v>#VALUE!</v>
      </c>
      <c r="I245" s="17" t="e">
        <f t="shared" si="14"/>
        <v>#VALUE!</v>
      </c>
    </row>
    <row r="246" spans="1:9">
      <c r="A246" s="4" t="s">
        <v>753</v>
      </c>
      <c r="B246" s="4">
        <v>32</v>
      </c>
      <c r="C246" s="4" t="s">
        <v>72</v>
      </c>
      <c r="D246" s="4" t="s">
        <v>72</v>
      </c>
      <c r="E246" s="4" t="s">
        <v>788</v>
      </c>
      <c r="F246" s="4" t="str">
        <f t="shared" si="13"/>
        <v>32|U|U</v>
      </c>
      <c r="G246" s="14">
        <f>INDEX('Transition Stepwise'!$J$2:$J$1137,MATCH(F246,'Transition Stepwise'!$E$2:$E$1137,0))</f>
        <v>0.93650793650793651</v>
      </c>
      <c r="H246" s="14" t="e">
        <f>INDEX(Background!$D$12:$D$27,MATCH(C246&amp;D246,INDEX(Background!$A$12:$A$27,0)&amp;INDEX(Background!$B$12:$B$27,0),0))</f>
        <v>#VALUE!</v>
      </c>
      <c r="I246" s="17" t="e">
        <f t="shared" si="14"/>
        <v>#VALUE!</v>
      </c>
    </row>
    <row r="247" spans="1:9">
      <c r="A247" s="4" t="s">
        <v>753</v>
      </c>
      <c r="B247" s="4">
        <v>33</v>
      </c>
      <c r="C247" s="4" t="s">
        <v>72</v>
      </c>
      <c r="D247" s="4" t="s">
        <v>71</v>
      </c>
      <c r="E247" s="4" t="s">
        <v>788</v>
      </c>
      <c r="F247" s="4" t="str">
        <f t="shared" si="13"/>
        <v>33|U|C</v>
      </c>
      <c r="G247" s="14">
        <f>INDEX('Transition Stepwise'!$J$2:$J$1137,MATCH(F247,'Transition Stepwise'!$E$2:$E$1137,0))</f>
        <v>0.32178217821782179</v>
      </c>
      <c r="H247" s="14" t="e">
        <f>INDEX(Background!$D$12:$D$27,MATCH(C247&amp;D247,INDEX(Background!$A$12:$A$27,0)&amp;INDEX(Background!$B$12:$B$27,0),0))</f>
        <v>#VALUE!</v>
      </c>
      <c r="I247" s="17" t="e">
        <f t="shared" si="14"/>
        <v>#VALUE!</v>
      </c>
    </row>
    <row r="248" spans="1:9">
      <c r="A248" s="4" t="s">
        <v>753</v>
      </c>
      <c r="B248" s="4">
        <v>34</v>
      </c>
      <c r="C248" s="4" t="s">
        <v>71</v>
      </c>
      <c r="D248" s="4" t="s">
        <v>72</v>
      </c>
      <c r="E248" s="4" t="s">
        <v>788</v>
      </c>
      <c r="F248" s="4" t="str">
        <f t="shared" si="13"/>
        <v>34|C|U</v>
      </c>
      <c r="G248" s="14">
        <f>INDEX('Transition Stepwise'!$J$2:$J$1137,MATCH(F248,'Transition Stepwise'!$E$2:$E$1137,0))</f>
        <v>0.18571428571428572</v>
      </c>
      <c r="H248" s="14" t="e">
        <f>INDEX(Background!$D$12:$D$27,MATCH(C248&amp;D248,INDEX(Background!$A$12:$A$27,0)&amp;INDEX(Background!$B$12:$B$27,0),0))</f>
        <v>#VALUE!</v>
      </c>
      <c r="I248" s="17" t="e">
        <f t="shared" si="14"/>
        <v>#VALUE!</v>
      </c>
    </row>
    <row r="249" spans="1:9">
      <c r="A249" s="4" t="s">
        <v>753</v>
      </c>
      <c r="B249" s="4">
        <v>35</v>
      </c>
      <c r="C249" s="4" t="s">
        <v>72</v>
      </c>
      <c r="D249" s="4" t="s">
        <v>73</v>
      </c>
      <c r="E249" s="4" t="s">
        <v>788</v>
      </c>
      <c r="F249" s="4" t="str">
        <f t="shared" si="13"/>
        <v>35|U|A</v>
      </c>
      <c r="G249" s="14">
        <f>INDEX('Transition Stepwise'!$J$2:$J$1137,MATCH(F249,'Transition Stepwise'!$E$2:$E$1137,0))</f>
        <v>0.17777777777777778</v>
      </c>
      <c r="H249" s="14" t="e">
        <f>INDEX(Background!$D$12:$D$27,MATCH(C249&amp;D249,INDEX(Background!$A$12:$A$27,0)&amp;INDEX(Background!$B$12:$B$27,0),0))</f>
        <v>#VALUE!</v>
      </c>
      <c r="I249" s="17" t="e">
        <f t="shared" si="14"/>
        <v>#VALUE!</v>
      </c>
    </row>
    <row r="250" spans="1:9">
      <c r="A250" s="4" t="s">
        <v>753</v>
      </c>
      <c r="B250" s="4">
        <v>36</v>
      </c>
      <c r="C250" s="4" t="s">
        <v>73</v>
      </c>
      <c r="D250" s="4" t="s">
        <v>71</v>
      </c>
      <c r="E250" s="4" t="s">
        <v>788</v>
      </c>
      <c r="F250" s="4" t="str">
        <f t="shared" si="13"/>
        <v>36|A|C</v>
      </c>
      <c r="G250" s="14">
        <f>INDEX('Transition Stepwise'!$J$2:$J$1137,MATCH(F250,'Transition Stepwise'!$E$2:$E$1137,0))</f>
        <v>4.2553191489361701E-2</v>
      </c>
      <c r="H250" s="14" t="e">
        <f>INDEX(Background!$D$12:$D$27,MATCH(C250&amp;D250,INDEX(Background!$A$12:$A$27,0)&amp;INDEX(Background!$B$12:$B$27,0),0))</f>
        <v>#VALUE!</v>
      </c>
      <c r="I250" s="17" t="e">
        <f t="shared" si="14"/>
        <v>#VALUE!</v>
      </c>
    </row>
    <row r="251" spans="1:9">
      <c r="A251" s="4" t="s">
        <v>753</v>
      </c>
      <c r="B251" s="4">
        <v>37</v>
      </c>
      <c r="C251" s="4" t="s">
        <v>71</v>
      </c>
      <c r="D251" s="4" t="s">
        <v>70</v>
      </c>
      <c r="E251" s="4" t="s">
        <v>788</v>
      </c>
      <c r="F251" s="4" t="str">
        <f t="shared" si="13"/>
        <v>37|C|G</v>
      </c>
      <c r="G251" s="14">
        <f>INDEX('Transition Stepwise'!$J$2:$J$1137,MATCH(F251,'Transition Stepwise'!$E$2:$E$1137,0))</f>
        <v>0.2</v>
      </c>
      <c r="H251" s="14" t="e">
        <f>INDEX(Background!$D$12:$D$27,MATCH(C251&amp;D251,INDEX(Background!$A$12:$A$27,0)&amp;INDEX(Background!$B$12:$B$27,0),0))</f>
        <v>#VALUE!</v>
      </c>
      <c r="I251" s="17" t="e">
        <f t="shared" si="14"/>
        <v>#VALUE!</v>
      </c>
    </row>
    <row r="252" spans="1:9">
      <c r="A252" s="4" t="s">
        <v>753</v>
      </c>
      <c r="B252" s="4">
        <v>38</v>
      </c>
      <c r="C252" s="4" t="s">
        <v>70</v>
      </c>
      <c r="D252" s="4" t="s">
        <v>70</v>
      </c>
      <c r="E252" s="4" t="s">
        <v>788</v>
      </c>
      <c r="F252" s="4" t="str">
        <f t="shared" si="13"/>
        <v>38|G|G</v>
      </c>
      <c r="G252" s="14">
        <f>INDEX('Transition Stepwise'!$J$2:$J$1137,MATCH(F252,'Transition Stepwise'!$E$2:$E$1137,0))</f>
        <v>0.2</v>
      </c>
      <c r="H252" s="14" t="e">
        <f>INDEX(Background!$D$12:$D$27,MATCH(C252&amp;D252,INDEX(Background!$A$12:$A$27,0)&amp;INDEX(Background!$B$12:$B$27,0),0))</f>
        <v>#VALUE!</v>
      </c>
      <c r="I252" s="17" t="e">
        <f t="shared" si="14"/>
        <v>#VALUE!</v>
      </c>
    </row>
    <row r="253" spans="1:9">
      <c r="A253" s="4" t="s">
        <v>753</v>
      </c>
      <c r="B253" s="4">
        <v>39</v>
      </c>
      <c r="C253" s="4" t="s">
        <v>70</v>
      </c>
      <c r="D253" s="4" t="s">
        <v>73</v>
      </c>
      <c r="E253" s="4" t="s">
        <v>788</v>
      </c>
      <c r="F253" s="4" t="str">
        <f t="shared" si="13"/>
        <v>39|G|A</v>
      </c>
      <c r="G253" s="14">
        <f>INDEX('Transition Stepwise'!$J$2:$J$1137,MATCH(F253,'Transition Stepwise'!$E$2:$E$1137,0))</f>
        <v>1.3157894736842105E-2</v>
      </c>
      <c r="H253" s="14" t="e">
        <f>INDEX(Background!$D$12:$D$27,MATCH(C253&amp;D253,INDEX(Background!$A$12:$A$27,0)&amp;INDEX(Background!$B$12:$B$27,0),0))</f>
        <v>#VALUE!</v>
      </c>
      <c r="I253" s="17" t="e">
        <f t="shared" si="14"/>
        <v>#VALUE!</v>
      </c>
    </row>
    <row r="254" spans="1:9">
      <c r="A254" s="4" t="s">
        <v>753</v>
      </c>
      <c r="B254" s="4">
        <v>40</v>
      </c>
      <c r="C254" s="4" t="s">
        <v>73</v>
      </c>
      <c r="D254" s="4" t="s">
        <v>71</v>
      </c>
      <c r="E254" s="4" t="s">
        <v>788</v>
      </c>
      <c r="F254" s="4" t="str">
        <f t="shared" si="13"/>
        <v>40|A|C</v>
      </c>
      <c r="G254" s="14">
        <f>INDEX('Transition Stepwise'!$J$2:$J$1137,MATCH(F254,'Transition Stepwise'!$E$2:$E$1137,0))</f>
        <v>0.4</v>
      </c>
      <c r="H254" s="14" t="e">
        <f>INDEX(Background!$D$12:$D$27,MATCH(C254&amp;D254,INDEX(Background!$A$12:$A$27,0)&amp;INDEX(Background!$B$12:$B$27,0),0))</f>
        <v>#VALUE!</v>
      </c>
      <c r="I254" s="17" t="e">
        <f t="shared" si="14"/>
        <v>#VALUE!</v>
      </c>
    </row>
    <row r="255" spans="1:9">
      <c r="A255" s="4" t="s">
        <v>753</v>
      </c>
      <c r="B255" s="4">
        <v>41</v>
      </c>
      <c r="C255" s="4" t="s">
        <v>71</v>
      </c>
      <c r="D255" s="4" t="s">
        <v>73</v>
      </c>
      <c r="E255" s="4" t="s">
        <v>788</v>
      </c>
      <c r="F255" s="4" t="str">
        <f t="shared" si="13"/>
        <v>41|C|A</v>
      </c>
      <c r="G255" s="14">
        <f>INDEX('Transition Stepwise'!$J$2:$J$1137,MATCH(F255,'Transition Stepwise'!$E$2:$E$1137,0))</f>
        <v>0.20987654320987653</v>
      </c>
      <c r="H255" s="14" t="e">
        <f>INDEX(Background!$D$12:$D$27,MATCH(C255&amp;D255,INDEX(Background!$A$12:$A$27,0)&amp;INDEX(Background!$B$12:$B$27,0),0))</f>
        <v>#VALUE!</v>
      </c>
      <c r="I255" s="17" t="e">
        <f t="shared" si="14"/>
        <v>#VALUE!</v>
      </c>
    </row>
    <row r="256" spans="1:9">
      <c r="A256" s="4" t="s">
        <v>753</v>
      </c>
      <c r="B256" s="4">
        <v>42</v>
      </c>
      <c r="C256" s="4" t="s">
        <v>73</v>
      </c>
      <c r="D256" s="4" t="s">
        <v>73</v>
      </c>
      <c r="E256" s="4" t="s">
        <v>788</v>
      </c>
      <c r="F256" s="4" t="str">
        <f t="shared" si="13"/>
        <v>42|A|A</v>
      </c>
      <c r="G256" s="14">
        <f>INDEX('Transition Stepwise'!$J$2:$J$1137,MATCH(F256,'Transition Stepwise'!$E$2:$E$1137,0))</f>
        <v>0.26415094339622641</v>
      </c>
      <c r="H256" s="14" t="e">
        <f>INDEX(Background!$D$12:$D$27,MATCH(C256&amp;D256,INDEX(Background!$A$12:$A$27,0)&amp;INDEX(Background!$B$12:$B$27,0),0))</f>
        <v>#VALUE!</v>
      </c>
      <c r="I256" s="17" t="e">
        <f t="shared" si="14"/>
        <v>#VALUE!</v>
      </c>
    </row>
    <row r="257" spans="1:9">
      <c r="A257" s="4" t="s">
        <v>753</v>
      </c>
      <c r="B257" s="4">
        <v>43</v>
      </c>
      <c r="C257" s="4" t="s">
        <v>73</v>
      </c>
      <c r="D257" s="4" t="s">
        <v>72</v>
      </c>
      <c r="E257" s="4" t="s">
        <v>788</v>
      </c>
      <c r="F257" s="4" t="str">
        <f t="shared" si="13"/>
        <v>43|A|U</v>
      </c>
      <c r="G257" s="14">
        <f>INDEX('Transition Stepwise'!$J$2:$J$1137,MATCH(F257,'Transition Stepwise'!$E$2:$E$1137,0))</f>
        <v>0.10204081632653061</v>
      </c>
      <c r="H257" s="14" t="e">
        <f>INDEX(Background!$D$12:$D$27,MATCH(C257&amp;D257,INDEX(Background!$A$12:$A$27,0)&amp;INDEX(Background!$B$12:$B$27,0),0))</f>
        <v>#VALUE!</v>
      </c>
      <c r="I257" s="17" t="e">
        <f t="shared" si="14"/>
        <v>#VALUE!</v>
      </c>
    </row>
    <row r="258" spans="1:9">
      <c r="A258" s="4" t="s">
        <v>753</v>
      </c>
      <c r="B258" s="4">
        <v>44</v>
      </c>
      <c r="C258" s="4" t="s">
        <v>72</v>
      </c>
      <c r="D258" s="4" t="s">
        <v>70</v>
      </c>
      <c r="E258" s="4" t="s">
        <v>788</v>
      </c>
      <c r="F258" s="4" t="str">
        <f t="shared" si="13"/>
        <v>44|U|G</v>
      </c>
      <c r="G258" s="14">
        <f>INDEX('Transition Stepwise'!$J$2:$J$1137,MATCH(F258,'Transition Stepwise'!$E$2:$E$1137,0))</f>
        <v>0.59259259259259256</v>
      </c>
      <c r="H258" s="14" t="e">
        <f>INDEX(Background!$D$12:$D$27,MATCH(C258&amp;D258,INDEX(Background!$A$12:$A$27,0)&amp;INDEX(Background!$B$12:$B$27,0),0))</f>
        <v>#VALUE!</v>
      </c>
      <c r="I258" s="17" t="e">
        <f t="shared" si="14"/>
        <v>#VALUE!</v>
      </c>
    </row>
    <row r="259" spans="1:9">
      <c r="A259" s="4" t="s">
        <v>753</v>
      </c>
      <c r="B259" s="4">
        <v>45</v>
      </c>
      <c r="C259" s="4" t="s">
        <v>70</v>
      </c>
      <c r="D259" s="4" t="s">
        <v>72</v>
      </c>
      <c r="E259" s="4" t="s">
        <v>788</v>
      </c>
      <c r="F259" s="4" t="str">
        <f t="shared" si="13"/>
        <v>45|G|U</v>
      </c>
      <c r="G259" s="14">
        <f>INDEX('Transition Stepwise'!$J$2:$J$1137,MATCH(F259,'Transition Stepwise'!$E$2:$E$1137,0))</f>
        <v>3.6231884057971016E-2</v>
      </c>
      <c r="H259" s="14" t="e">
        <f>INDEX(Background!$D$12:$D$27,MATCH(C259&amp;D259,INDEX(Background!$A$12:$A$27,0)&amp;INDEX(Background!$B$12:$B$27,0),0))</f>
        <v>#VALUE!</v>
      </c>
      <c r="I259" s="17" t="e">
        <f t="shared" si="14"/>
        <v>#VALUE!</v>
      </c>
    </row>
    <row r="260" spans="1:9">
      <c r="A260" s="4" t="s">
        <v>753</v>
      </c>
      <c r="B260" s="4">
        <v>46</v>
      </c>
      <c r="C260" s="4" t="s">
        <v>72</v>
      </c>
      <c r="D260" s="4" t="s">
        <v>72</v>
      </c>
      <c r="E260" s="4" t="s">
        <v>788</v>
      </c>
      <c r="F260" s="4" t="str">
        <f t="shared" si="13"/>
        <v>46|U|U</v>
      </c>
      <c r="G260" s="14">
        <f>INDEX('Transition Stepwise'!$J$2:$J$1137,MATCH(F260,'Transition Stepwise'!$E$2:$E$1137,0))</f>
        <v>0.125</v>
      </c>
      <c r="H260" s="14" t="e">
        <f>INDEX(Background!$D$12:$D$27,MATCH(C260&amp;D260,INDEX(Background!$A$12:$A$27,0)&amp;INDEX(Background!$B$12:$B$27,0),0))</f>
        <v>#VALUE!</v>
      </c>
      <c r="I260" s="17" t="e">
        <f t="shared" si="14"/>
        <v>#VALUE!</v>
      </c>
    </row>
    <row r="261" spans="1:9">
      <c r="A261" s="4" t="s">
        <v>753</v>
      </c>
      <c r="B261" s="4">
        <v>47</v>
      </c>
      <c r="C261" s="4" t="s">
        <v>72</v>
      </c>
      <c r="D261" s="4" t="s">
        <v>72</v>
      </c>
      <c r="E261" s="4" t="s">
        <v>788</v>
      </c>
      <c r="F261" s="4" t="str">
        <f t="shared" si="13"/>
        <v>47|U|U</v>
      </c>
      <c r="G261" s="14">
        <f>INDEX('Transition Stepwise'!$J$2:$J$1137,MATCH(F261,'Transition Stepwise'!$E$2:$E$1137,0))</f>
        <v>0.1223021582733813</v>
      </c>
      <c r="H261" s="14" t="e">
        <f>INDEX(Background!$D$12:$D$27,MATCH(C261&amp;D261,INDEX(Background!$A$12:$A$27,0)&amp;INDEX(Background!$B$12:$B$27,0),0))</f>
        <v>#VALUE!</v>
      </c>
      <c r="I261" s="17" t="e">
        <f t="shared" si="14"/>
        <v>#VALUE!</v>
      </c>
    </row>
    <row r="262" spans="1:9">
      <c r="A262" s="4" t="s">
        <v>753</v>
      </c>
      <c r="B262" s="4">
        <v>48</v>
      </c>
      <c r="C262" s="4" t="s">
        <v>72</v>
      </c>
      <c r="D262" s="4" t="s">
        <v>71</v>
      </c>
      <c r="E262" s="4" t="s">
        <v>788</v>
      </c>
      <c r="F262" s="4" t="str">
        <f t="shared" si="13"/>
        <v>48|U|C</v>
      </c>
      <c r="G262" s="14">
        <f>INDEX('Transition Stepwise'!$J$2:$J$1137,MATCH(F262,'Transition Stepwise'!$E$2:$E$1137,0))</f>
        <v>0.15151515151515152</v>
      </c>
      <c r="H262" s="14" t="e">
        <f>INDEX(Background!$D$12:$D$27,MATCH(C262&amp;D262,INDEX(Background!$A$12:$A$27,0)&amp;INDEX(Background!$B$12:$B$27,0),0))</f>
        <v>#VALUE!</v>
      </c>
      <c r="I262" s="17" t="e">
        <f t="shared" si="14"/>
        <v>#VALUE!</v>
      </c>
    </row>
    <row r="263" spans="1:9">
      <c r="A263" s="4" t="s">
        <v>753</v>
      </c>
      <c r="B263" s="4">
        <v>49</v>
      </c>
      <c r="C263" s="4" t="s">
        <v>71</v>
      </c>
      <c r="D263" s="4" t="s">
        <v>70</v>
      </c>
      <c r="E263" s="4" t="s">
        <v>788</v>
      </c>
      <c r="F263" s="4" t="str">
        <f t="shared" si="13"/>
        <v>49|C|G</v>
      </c>
      <c r="G263" s="14">
        <f>INDEX('Transition Stepwise'!$J$2:$J$1137,MATCH(F263,'Transition Stepwise'!$E$2:$E$1137,0))</f>
        <v>0.21311475409836064</v>
      </c>
      <c r="H263" s="14" t="e">
        <f>INDEX(Background!$D$12:$D$27,MATCH(C263&amp;D263,INDEX(Background!$A$12:$A$27,0)&amp;INDEX(Background!$B$12:$B$27,0),0))</f>
        <v>#VALUE!</v>
      </c>
      <c r="I263" s="17" t="e">
        <f t="shared" si="14"/>
        <v>#VALUE!</v>
      </c>
    </row>
    <row r="264" spans="1:9">
      <c r="A264" s="4" t="s">
        <v>753</v>
      </c>
      <c r="B264" s="4">
        <v>50</v>
      </c>
      <c r="C264" s="4" t="s">
        <v>70</v>
      </c>
      <c r="D264" s="4" t="s">
        <v>70</v>
      </c>
      <c r="E264" s="4" t="s">
        <v>788</v>
      </c>
      <c r="F264" s="4" t="str">
        <f t="shared" si="13"/>
        <v>50|G|G</v>
      </c>
      <c r="G264" s="14">
        <f>INDEX('Transition Stepwise'!$J$2:$J$1137,MATCH(F264,'Transition Stepwise'!$E$2:$E$1137,0))</f>
        <v>0.47368421052631576</v>
      </c>
      <c r="H264" s="14" t="e">
        <f>INDEX(Background!$D$12:$D$27,MATCH(C264&amp;D264,INDEX(Background!$A$12:$A$27,0)&amp;INDEX(Background!$B$12:$B$27,0),0))</f>
        <v>#VALUE!</v>
      </c>
      <c r="I264" s="17" t="e">
        <f t="shared" si="14"/>
        <v>#VALUE!</v>
      </c>
    </row>
    <row r="265" spans="1:9">
      <c r="A265" s="4" t="s">
        <v>753</v>
      </c>
      <c r="B265" s="4">
        <v>51</v>
      </c>
      <c r="C265" s="4" t="s">
        <v>70</v>
      </c>
      <c r="D265" s="4" t="s">
        <v>72</v>
      </c>
      <c r="E265" s="4" t="s">
        <v>788</v>
      </c>
      <c r="F265" s="4" t="str">
        <f t="shared" si="13"/>
        <v>51|G|U</v>
      </c>
      <c r="G265" s="14">
        <f>INDEX('Transition Stepwise'!$J$2:$J$1137,MATCH(F265,'Transition Stepwise'!$E$2:$E$1137,0))</f>
        <v>3.8834951456310676E-2</v>
      </c>
      <c r="H265" s="14" t="e">
        <f>INDEX(Background!$D$12:$D$27,MATCH(C265&amp;D265,INDEX(Background!$A$12:$A$27,0)&amp;INDEX(Background!$B$12:$B$27,0),0))</f>
        <v>#VALUE!</v>
      </c>
      <c r="I265" s="17" t="e">
        <f t="shared" si="14"/>
        <v>#VALUE!</v>
      </c>
    </row>
    <row r="266" spans="1:9">
      <c r="A266" s="4" t="s">
        <v>753</v>
      </c>
      <c r="B266" s="4">
        <v>52</v>
      </c>
      <c r="C266" s="4" t="s">
        <v>72</v>
      </c>
      <c r="D266" s="4" t="s">
        <v>70</v>
      </c>
      <c r="E266" s="4" t="s">
        <v>788</v>
      </c>
      <c r="F266" s="4" t="str">
        <f t="shared" si="13"/>
        <v>52|U|G</v>
      </c>
      <c r="G266" s="14">
        <f>INDEX('Transition Stepwise'!$J$2:$J$1137,MATCH(F266,'Transition Stepwise'!$E$2:$E$1137,0))</f>
        <v>0.5</v>
      </c>
      <c r="H266" s="14" t="e">
        <f>INDEX(Background!$D$12:$D$27,MATCH(C266&amp;D266,INDEX(Background!$A$12:$A$27,0)&amp;INDEX(Background!$B$12:$B$27,0),0))</f>
        <v>#VALUE!</v>
      </c>
      <c r="I266" s="17" t="e">
        <f t="shared" si="14"/>
        <v>#VALUE!</v>
      </c>
    </row>
    <row r="267" spans="1:9">
      <c r="A267" s="4" t="s">
        <v>753</v>
      </c>
      <c r="B267" s="4">
        <v>53</v>
      </c>
      <c r="C267" s="4" t="s">
        <v>70</v>
      </c>
      <c r="D267" s="4" t="s">
        <v>72</v>
      </c>
      <c r="E267" s="4" t="s">
        <v>788</v>
      </c>
      <c r="F267" s="4" t="str">
        <f t="shared" si="13"/>
        <v>53|G|U</v>
      </c>
      <c r="G267" s="14">
        <f>INDEX('Transition Stepwise'!$J$2:$J$1137,MATCH(F267,'Transition Stepwise'!$E$2:$E$1137,0))</f>
        <v>0.97499999999999998</v>
      </c>
      <c r="H267" s="14" t="e">
        <f>INDEX(Background!$D$12:$D$27,MATCH(C267&amp;D267,INDEX(Background!$A$12:$A$27,0)&amp;INDEX(Background!$B$12:$B$27,0),0))</f>
        <v>#VALUE!</v>
      </c>
      <c r="I267" s="17" t="e">
        <f t="shared" si="14"/>
        <v>#VALUE!</v>
      </c>
    </row>
    <row r="268" spans="1:9">
      <c r="A268" s="4" t="s">
        <v>753</v>
      </c>
      <c r="B268" s="4">
        <v>54</v>
      </c>
      <c r="C268" s="4" t="s">
        <v>72</v>
      </c>
      <c r="D268" s="4" t="s">
        <v>72</v>
      </c>
      <c r="E268" s="4" t="s">
        <v>788</v>
      </c>
      <c r="F268" s="4" t="str">
        <f t="shared" si="13"/>
        <v>54|U|U</v>
      </c>
      <c r="G268" s="14">
        <f>INDEX('Transition Stepwise'!$J$2:$J$1137,MATCH(F268,'Transition Stepwise'!$E$2:$E$1137,0))</f>
        <v>0.97029702970297027</v>
      </c>
      <c r="H268" s="14" t="e">
        <f>INDEX(Background!$D$12:$D$27,MATCH(C268&amp;D268,INDEX(Background!$A$12:$A$27,0)&amp;INDEX(Background!$B$12:$B$27,0),0))</f>
        <v>#VALUE!</v>
      </c>
      <c r="I268" s="17" t="e">
        <f t="shared" si="14"/>
        <v>#VALUE!</v>
      </c>
    </row>
    <row r="269" spans="1:9">
      <c r="A269" s="4" t="s">
        <v>753</v>
      </c>
      <c r="B269" s="4">
        <v>55</v>
      </c>
      <c r="C269" s="4" t="s">
        <v>72</v>
      </c>
      <c r="D269" s="4" t="s">
        <v>71</v>
      </c>
      <c r="E269" s="4" t="s">
        <v>788</v>
      </c>
      <c r="F269" s="4" t="str">
        <f t="shared" si="13"/>
        <v>55|U|C</v>
      </c>
      <c r="G269" s="14">
        <f>INDEX('Transition Stepwise'!$J$2:$J$1137,MATCH(F269,'Transition Stepwise'!$E$2:$E$1137,0))</f>
        <v>0.97512437810945274</v>
      </c>
      <c r="H269" s="14" t="e">
        <f>INDEX(Background!$D$12:$D$27,MATCH(C269&amp;D269,INDEX(Background!$A$12:$A$27,0)&amp;INDEX(Background!$B$12:$B$27,0),0))</f>
        <v>#VALUE!</v>
      </c>
      <c r="I269" s="17" t="e">
        <f t="shared" si="14"/>
        <v>#VALUE!</v>
      </c>
    </row>
    <row r="270" spans="1:9">
      <c r="A270" s="4" t="s">
        <v>753</v>
      </c>
      <c r="B270" s="4">
        <v>56</v>
      </c>
      <c r="C270" s="4" t="s">
        <v>71</v>
      </c>
      <c r="D270" s="4" t="s">
        <v>70</v>
      </c>
      <c r="E270" s="4" t="s">
        <v>788</v>
      </c>
      <c r="F270" s="4" t="str">
        <f t="shared" si="13"/>
        <v>56|C|G</v>
      </c>
      <c r="G270" s="14">
        <f>INDEX('Transition Stepwise'!$J$2:$J$1137,MATCH(F270,'Transition Stepwise'!$E$2:$E$1137,0))</f>
        <v>0.60499999999999998</v>
      </c>
      <c r="H270" s="14" t="e">
        <f>INDEX(Background!$D$12:$D$27,MATCH(C270&amp;D270,INDEX(Background!$A$12:$A$27,0)&amp;INDEX(Background!$B$12:$B$27,0),0))</f>
        <v>#VALUE!</v>
      </c>
      <c r="I270" s="17" t="e">
        <f t="shared" si="14"/>
        <v>#VALUE!</v>
      </c>
    </row>
    <row r="271" spans="1:9">
      <c r="A271" s="4" t="s">
        <v>753</v>
      </c>
      <c r="B271" s="4">
        <v>57</v>
      </c>
      <c r="C271" s="4" t="s">
        <v>70</v>
      </c>
      <c r="D271" s="4" t="s">
        <v>73</v>
      </c>
      <c r="E271" s="4" t="s">
        <v>788</v>
      </c>
      <c r="F271" s="4" t="str">
        <f t="shared" si="13"/>
        <v>57|G|A</v>
      </c>
      <c r="G271" s="14">
        <f>INDEX('Transition Stepwise'!$J$2:$J$1137,MATCH(F271,'Transition Stepwise'!$E$2:$E$1137,0))</f>
        <v>0.97599999999999998</v>
      </c>
      <c r="H271" s="14" t="e">
        <f>INDEX(Background!$D$12:$D$27,MATCH(C271&amp;D271,INDEX(Background!$A$12:$A$27,0)&amp;INDEX(Background!$B$12:$B$27,0),0))</f>
        <v>#VALUE!</v>
      </c>
      <c r="I271" s="17" t="e">
        <f t="shared" si="14"/>
        <v>#VALUE!</v>
      </c>
    </row>
    <row r="272" spans="1:9">
      <c r="A272" s="4" t="s">
        <v>753</v>
      </c>
      <c r="B272" s="4">
        <v>58</v>
      </c>
      <c r="C272" s="4" t="s">
        <v>73</v>
      </c>
      <c r="D272" s="4" t="s">
        <v>72</v>
      </c>
      <c r="E272" s="4" t="s">
        <v>788</v>
      </c>
      <c r="F272" s="4" t="str">
        <f t="shared" si="13"/>
        <v>58|A|U</v>
      </c>
      <c r="G272" s="14">
        <f>INDEX('Transition Stepwise'!$J$2:$J$1137,MATCH(F272,'Transition Stepwise'!$E$2:$E$1137,0))</f>
        <v>0.25247524752475248</v>
      </c>
      <c r="H272" s="14" t="e">
        <f>INDEX(Background!$D$12:$D$27,MATCH(C272&amp;D272,INDEX(Background!$A$12:$A$27,0)&amp;INDEX(Background!$B$12:$B$27,0),0))</f>
        <v>#VALUE!</v>
      </c>
      <c r="I272" s="17" t="e">
        <f t="shared" si="14"/>
        <v>#VALUE!</v>
      </c>
    </row>
    <row r="273" spans="1:9">
      <c r="A273" s="4" t="s">
        <v>753</v>
      </c>
      <c r="B273" s="4">
        <v>59</v>
      </c>
      <c r="C273" s="4" t="s">
        <v>72</v>
      </c>
      <c r="D273" s="4" t="s">
        <v>71</v>
      </c>
      <c r="E273" s="4" t="s">
        <v>788</v>
      </c>
      <c r="F273" s="4" t="str">
        <f t="shared" si="13"/>
        <v>59|U|C</v>
      </c>
      <c r="G273" s="14">
        <f>INDEX('Transition Stepwise'!$J$2:$J$1137,MATCH(F273,'Transition Stepwise'!$E$2:$E$1137,0))</f>
        <v>0.42592592592592593</v>
      </c>
      <c r="H273" s="14" t="e">
        <f>INDEX(Background!$D$12:$D$27,MATCH(C273&amp;D273,INDEX(Background!$A$12:$A$27,0)&amp;INDEX(Background!$B$12:$B$27,0),0))</f>
        <v>#VALUE!</v>
      </c>
      <c r="I273" s="17" t="e">
        <f t="shared" si="14"/>
        <v>#VALUE!</v>
      </c>
    </row>
    <row r="274" spans="1:9">
      <c r="A274" s="4" t="s">
        <v>753</v>
      </c>
      <c r="B274" s="4">
        <v>60</v>
      </c>
      <c r="C274" s="4" t="s">
        <v>71</v>
      </c>
      <c r="D274" s="4" t="s">
        <v>71</v>
      </c>
      <c r="E274" s="4" t="s">
        <v>788</v>
      </c>
      <c r="F274" s="4" t="str">
        <f t="shared" si="13"/>
        <v>60|C|C</v>
      </c>
      <c r="G274" s="14">
        <f>INDEX('Transition Stepwise'!$J$2:$J$1137,MATCH(F274,'Transition Stepwise'!$E$2:$E$1137,0))</f>
        <v>0.93181818181818177</v>
      </c>
      <c r="H274" s="14" t="e">
        <f>INDEX(Background!$D$12:$D$27,MATCH(C274&amp;D274,INDEX(Background!$A$12:$A$27,0)&amp;INDEX(Background!$B$12:$B$27,0),0))</f>
        <v>#VALUE!</v>
      </c>
      <c r="I274" s="17" t="e">
        <f t="shared" si="14"/>
        <v>#VALUE!</v>
      </c>
    </row>
    <row r="275" spans="1:9">
      <c r="A275" s="4" t="s">
        <v>753</v>
      </c>
      <c r="B275" s="4">
        <v>61</v>
      </c>
      <c r="C275" s="4" t="s">
        <v>71</v>
      </c>
      <c r="D275" s="4" t="s">
        <v>73</v>
      </c>
      <c r="E275" s="4" t="s">
        <v>788</v>
      </c>
      <c r="F275" s="4" t="str">
        <f t="shared" si="13"/>
        <v>61|C|A</v>
      </c>
      <c r="G275" s="14">
        <f>INDEX('Transition Stepwise'!$J$2:$J$1137,MATCH(F275,'Transition Stepwise'!$E$2:$E$1137,0))</f>
        <v>1.9801980198019802E-2</v>
      </c>
      <c r="H275" s="14" t="e">
        <f>INDEX(Background!$D$12:$D$27,MATCH(C275&amp;D275,INDEX(Background!$A$12:$A$27,0)&amp;INDEX(Background!$B$12:$B$27,0),0))</f>
        <v>#VALUE!</v>
      </c>
      <c r="I275" s="17" t="e">
        <f t="shared" si="14"/>
        <v>#VALUE!</v>
      </c>
    </row>
    <row r="276" spans="1:9">
      <c r="A276" s="4" t="s">
        <v>753</v>
      </c>
      <c r="B276" s="4">
        <v>62</v>
      </c>
      <c r="C276" s="4" t="s">
        <v>73</v>
      </c>
      <c r="D276" s="4" t="s">
        <v>71</v>
      </c>
      <c r="E276" s="4" t="s">
        <v>788</v>
      </c>
      <c r="F276" s="4" t="str">
        <f t="shared" si="13"/>
        <v>62|A|C</v>
      </c>
      <c r="G276" s="14">
        <f>INDEX('Transition Stepwise'!$J$2:$J$1137,MATCH(F276,'Transition Stepwise'!$E$2:$E$1137,0))</f>
        <v>0.5714285714285714</v>
      </c>
      <c r="H276" s="14" t="e">
        <f>INDEX(Background!$D$12:$D$27,MATCH(C276&amp;D276,INDEX(Background!$A$12:$A$27,0)&amp;INDEX(Background!$B$12:$B$27,0),0))</f>
        <v>#VALUE!</v>
      </c>
      <c r="I276" s="17" t="e">
        <f t="shared" si="14"/>
        <v>#VALUE!</v>
      </c>
    </row>
    <row r="277" spans="1:9">
      <c r="A277" s="4" t="s">
        <v>753</v>
      </c>
      <c r="B277" s="4">
        <v>63</v>
      </c>
      <c r="C277" s="4" t="s">
        <v>71</v>
      </c>
      <c r="D277" s="4" t="s">
        <v>71</v>
      </c>
      <c r="E277" s="4" t="s">
        <v>788</v>
      </c>
      <c r="F277" s="4" t="str">
        <f t="shared" si="13"/>
        <v>63|C|C</v>
      </c>
      <c r="G277" s="14">
        <f>INDEX('Transition Stepwise'!$J$2:$J$1137,MATCH(F277,'Transition Stepwise'!$E$2:$E$1137,0))</f>
        <v>0.18811881188118812</v>
      </c>
      <c r="H277" s="14" t="e">
        <f>INDEX(Background!$D$12:$D$27,MATCH(C277&amp;D277,INDEX(Background!$A$12:$A$27,0)&amp;INDEX(Background!$B$12:$B$27,0),0))</f>
        <v>#VALUE!</v>
      </c>
      <c r="I277" s="17" t="e">
        <f t="shared" si="14"/>
        <v>#VALUE!</v>
      </c>
    </row>
    <row r="278" spans="1:9">
      <c r="A278" s="4" t="s">
        <v>753</v>
      </c>
      <c r="B278" s="4">
        <v>64</v>
      </c>
      <c r="C278" s="4" t="s">
        <v>71</v>
      </c>
      <c r="D278" s="4" t="s">
        <v>70</v>
      </c>
      <c r="E278" s="4" t="s">
        <v>788</v>
      </c>
      <c r="F278" s="4" t="str">
        <f t="shared" si="13"/>
        <v>64|C|G</v>
      </c>
      <c r="G278" s="14">
        <f>INDEX('Transition Stepwise'!$J$2:$J$1137,MATCH(F278,'Transition Stepwise'!$E$2:$E$1137,0))</f>
        <v>0.2608695652173913</v>
      </c>
      <c r="H278" s="14" t="e">
        <f>INDEX(Background!$D$12:$D$27,MATCH(C278&amp;D278,INDEX(Background!$A$12:$A$27,0)&amp;INDEX(Background!$B$12:$B$27,0),0))</f>
        <v>#VALUE!</v>
      </c>
      <c r="I278" s="17" t="e">
        <f t="shared" si="14"/>
        <v>#VALUE!</v>
      </c>
    </row>
    <row r="279" spans="1:9">
      <c r="A279" s="4" t="s">
        <v>753</v>
      </c>
      <c r="B279" s="4">
        <v>65</v>
      </c>
      <c r="C279" s="4" t="s">
        <v>70</v>
      </c>
      <c r="D279" s="4" t="s">
        <v>70</v>
      </c>
      <c r="E279" s="4" t="s">
        <v>788</v>
      </c>
      <c r="F279" s="4" t="str">
        <f t="shared" si="13"/>
        <v>65|G|G</v>
      </c>
      <c r="G279" s="14">
        <f>INDEX('Transition Stepwise'!$J$2:$J$1137,MATCH(F279,'Transition Stepwise'!$E$2:$E$1137,0))</f>
        <v>3.2786885245901641E-2</v>
      </c>
      <c r="H279" s="14" t="e">
        <f>INDEX(Background!$D$12:$D$27,MATCH(C279&amp;D279,INDEX(Background!$A$12:$A$27,0)&amp;INDEX(Background!$B$12:$B$27,0),0))</f>
        <v>#VALUE!</v>
      </c>
      <c r="I279" s="17" t="e">
        <f t="shared" si="14"/>
        <v>#VALUE!</v>
      </c>
    </row>
    <row r="280" spans="1:9">
      <c r="A280" s="4" t="s">
        <v>753</v>
      </c>
      <c r="B280" s="4">
        <v>66</v>
      </c>
      <c r="C280" s="4" t="s">
        <v>70</v>
      </c>
      <c r="D280" s="4" t="s">
        <v>72</v>
      </c>
      <c r="E280" s="4" t="s">
        <v>788</v>
      </c>
      <c r="F280" s="4" t="str">
        <f t="shared" si="13"/>
        <v>66|G|U</v>
      </c>
      <c r="G280" s="14">
        <f>INDEX('Transition Stepwise'!$J$2:$J$1137,MATCH(F280,'Transition Stepwise'!$E$2:$E$1137,0))</f>
        <v>0.16666666666666666</v>
      </c>
      <c r="H280" s="14" t="e">
        <f>INDEX(Background!$D$12:$D$27,MATCH(C280&amp;D280,INDEX(Background!$A$12:$A$27,0)&amp;INDEX(Background!$B$12:$B$27,0),0))</f>
        <v>#VALUE!</v>
      </c>
      <c r="I280" s="17" t="e">
        <f t="shared" si="14"/>
        <v>#VALUE!</v>
      </c>
    </row>
    <row r="281" spans="1:9">
      <c r="A281" s="4" t="s">
        <v>753</v>
      </c>
      <c r="B281" s="4">
        <v>67</v>
      </c>
      <c r="C281" s="4" t="s">
        <v>72</v>
      </c>
      <c r="D281" s="4" t="s">
        <v>70</v>
      </c>
      <c r="E281" s="4" t="s">
        <v>788</v>
      </c>
      <c r="F281" s="4" t="str">
        <f t="shared" si="13"/>
        <v>67|U|G</v>
      </c>
      <c r="G281" s="14">
        <f>INDEX('Transition Stepwise'!$J$2:$J$1137,MATCH(F281,'Transition Stepwise'!$E$2:$E$1137,0))</f>
        <v>0.2857142857142857</v>
      </c>
      <c r="H281" s="14" t="e">
        <f>INDEX(Background!$D$12:$D$27,MATCH(C281&amp;D281,INDEX(Background!$A$12:$A$27,0)&amp;INDEX(Background!$B$12:$B$27,0),0))</f>
        <v>#VALUE!</v>
      </c>
      <c r="I281" s="17" t="e">
        <f t="shared" si="14"/>
        <v>#VALUE!</v>
      </c>
    </row>
    <row r="282" spans="1:9">
      <c r="A282" s="4" t="s">
        <v>753</v>
      </c>
      <c r="B282" s="4">
        <v>68</v>
      </c>
      <c r="C282" s="4" t="s">
        <v>70</v>
      </c>
      <c r="D282" s="4" t="s">
        <v>72</v>
      </c>
      <c r="E282" s="4" t="s">
        <v>788</v>
      </c>
      <c r="F282" s="4" t="str">
        <f t="shared" si="13"/>
        <v>68|G|U</v>
      </c>
      <c r="G282" s="14">
        <f>INDEX('Transition Stepwise'!$J$2:$J$1137,MATCH(F282,'Transition Stepwise'!$E$2:$E$1137,0))</f>
        <v>4.3956043956043959E-2</v>
      </c>
      <c r="H282" s="14" t="e">
        <f>INDEX(Background!$D$12:$D$27,MATCH(C282&amp;D282,INDEX(Background!$A$12:$A$27,0)&amp;INDEX(Background!$B$12:$B$27,0),0))</f>
        <v>#VALUE!</v>
      </c>
      <c r="I282" s="17" t="e">
        <f t="shared" si="14"/>
        <v>#VALUE!</v>
      </c>
    </row>
    <row r="283" spans="1:9">
      <c r="A283" s="4" t="s">
        <v>753</v>
      </c>
      <c r="B283" s="4">
        <v>69</v>
      </c>
      <c r="C283" s="4" t="s">
        <v>72</v>
      </c>
      <c r="D283" s="4" t="s">
        <v>72</v>
      </c>
      <c r="E283" s="4" t="s">
        <v>788</v>
      </c>
      <c r="F283" s="4" t="str">
        <f t="shared" si="13"/>
        <v>69|U|U</v>
      </c>
      <c r="G283" s="14">
        <f>INDEX('Transition Stepwise'!$J$2:$J$1137,MATCH(F283,'Transition Stepwise'!$E$2:$E$1137,0))</f>
        <v>0.14285714285714285</v>
      </c>
      <c r="H283" s="14" t="e">
        <f>INDEX(Background!$D$12:$D$27,MATCH(C283&amp;D283,INDEX(Background!$A$12:$A$27,0)&amp;INDEX(Background!$B$12:$B$27,0),0))</f>
        <v>#VALUE!</v>
      </c>
      <c r="I283" s="17" t="e">
        <f t="shared" si="14"/>
        <v>#VALUE!</v>
      </c>
    </row>
    <row r="284" spans="1:9">
      <c r="A284" s="4" t="s">
        <v>753</v>
      </c>
      <c r="B284" s="4">
        <v>70</v>
      </c>
      <c r="C284" s="4" t="s">
        <v>72</v>
      </c>
      <c r="D284" s="4" t="s">
        <v>70</v>
      </c>
      <c r="E284" s="4" t="s">
        <v>788</v>
      </c>
      <c r="F284" s="4" t="str">
        <f t="shared" si="13"/>
        <v>70|U|G</v>
      </c>
      <c r="G284" s="14">
        <f>INDEX('Transition Stepwise'!$J$2:$J$1137,MATCH(F284,'Transition Stepwise'!$E$2:$E$1137,0))</f>
        <v>8.8235294117647065E-2</v>
      </c>
      <c r="H284" s="14" t="e">
        <f>INDEX(Background!$D$12:$D$27,MATCH(C284&amp;D284,INDEX(Background!$A$12:$A$27,0)&amp;INDEX(Background!$B$12:$B$27,0),0))</f>
        <v>#VALUE!</v>
      </c>
      <c r="I284" s="17" t="e">
        <f t="shared" si="14"/>
        <v>#VALUE!</v>
      </c>
    </row>
    <row r="285" spans="1:9">
      <c r="A285" s="4" t="s">
        <v>753</v>
      </c>
      <c r="B285" s="4">
        <v>71</v>
      </c>
      <c r="C285" s="4" t="s">
        <v>70</v>
      </c>
      <c r="D285" s="4" t="s">
        <v>70</v>
      </c>
      <c r="E285" s="4" t="s">
        <v>788</v>
      </c>
      <c r="F285" s="4" t="str">
        <f t="shared" si="13"/>
        <v>71|G|G</v>
      </c>
      <c r="G285" s="14">
        <f>INDEX('Transition Stepwise'!$J$2:$J$1137,MATCH(F285,'Transition Stepwise'!$E$2:$E$1137,0))</f>
        <v>5.8139534883720929E-2</v>
      </c>
      <c r="H285" s="14" t="e">
        <f>INDEX(Background!$D$12:$D$27,MATCH(C285&amp;D285,INDEX(Background!$A$12:$A$27,0)&amp;INDEX(Background!$B$12:$B$27,0),0))</f>
        <v>#VALUE!</v>
      </c>
      <c r="I285" s="17" t="e">
        <f t="shared" si="14"/>
        <v>#VALUE!</v>
      </c>
    </row>
    <row r="286" spans="1:9">
      <c r="A286" s="4" t="s">
        <v>754</v>
      </c>
      <c r="B286" s="4">
        <v>1</v>
      </c>
      <c r="C286" s="4" t="s">
        <v>72</v>
      </c>
      <c r="D286" s="4" t="s">
        <v>71</v>
      </c>
      <c r="E286" s="4" t="s">
        <v>788</v>
      </c>
      <c r="F286" s="4" t="str">
        <f t="shared" si="13"/>
        <v>1|U|C</v>
      </c>
      <c r="G286" s="14">
        <f>INDEX('Transition Stepwise'!$J$2:$J$1137,MATCH(F286,'Transition Stepwise'!$E$2:$E$1137,0))</f>
        <v>0.58823529411764708</v>
      </c>
      <c r="H286" s="14" t="e">
        <f>INDEX(Background!$D$12:$D$27,MATCH(C286&amp;D286,INDEX(Background!$A$12:$A$27,0)&amp;INDEX(Background!$B$12:$B$27,0),0))</f>
        <v>#VALUE!</v>
      </c>
      <c r="I286" s="17" t="e">
        <f t="shared" si="14"/>
        <v>#VALUE!</v>
      </c>
    </row>
    <row r="287" spans="1:9">
      <c r="A287" s="4" t="s">
        <v>754</v>
      </c>
      <c r="B287" s="4">
        <v>2</v>
      </c>
      <c r="C287" s="4" t="s">
        <v>71</v>
      </c>
      <c r="D287" s="4" t="s">
        <v>73</v>
      </c>
      <c r="E287" s="4" t="s">
        <v>788</v>
      </c>
      <c r="F287" s="4" t="str">
        <f t="shared" si="13"/>
        <v>2|C|A</v>
      </c>
      <c r="G287" s="14">
        <f>INDEX('Transition Stepwise'!$J$2:$J$1137,MATCH(F287,'Transition Stepwise'!$E$2:$E$1137,0))</f>
        <v>3.4883720930232558E-2</v>
      </c>
      <c r="H287" s="14" t="e">
        <f>INDEX(Background!$D$12:$D$27,MATCH(C287&amp;D287,INDEX(Background!$A$12:$A$27,0)&amp;INDEX(Background!$B$12:$B$27,0),0))</f>
        <v>#VALUE!</v>
      </c>
      <c r="I287" s="17" t="e">
        <f t="shared" si="14"/>
        <v>#VALUE!</v>
      </c>
    </row>
    <row r="288" spans="1:9">
      <c r="A288" s="4" t="s">
        <v>754</v>
      </c>
      <c r="B288" s="4">
        <v>3</v>
      </c>
      <c r="C288" s="4" t="s">
        <v>73</v>
      </c>
      <c r="D288" s="4" t="s">
        <v>73</v>
      </c>
      <c r="E288" s="4" t="s">
        <v>788</v>
      </c>
      <c r="F288" s="4" t="str">
        <f t="shared" ref="F288:F351" si="15">B288&amp;"|"&amp;C288&amp;"|"&amp;D288</f>
        <v>3|A|A</v>
      </c>
      <c r="G288" s="14">
        <f>INDEX('Transition Stepwise'!$J$2:$J$1137,MATCH(F288,'Transition Stepwise'!$E$2:$E$1137,0))</f>
        <v>0.16666666666666666</v>
      </c>
      <c r="H288" s="14" t="e">
        <f>INDEX(Background!$D$12:$D$27,MATCH(C288&amp;D288,INDEX(Background!$A$12:$A$27,0)&amp;INDEX(Background!$B$12:$B$27,0),0))</f>
        <v>#VALUE!</v>
      </c>
      <c r="I288" s="17" t="e">
        <f t="shared" ref="I288:I351" si="16">LN(G288/H288)</f>
        <v>#VALUE!</v>
      </c>
    </row>
    <row r="289" spans="1:9">
      <c r="A289" s="4" t="s">
        <v>754</v>
      </c>
      <c r="B289" s="4">
        <v>4</v>
      </c>
      <c r="C289" s="4" t="s">
        <v>73</v>
      </c>
      <c r="D289" s="4" t="s">
        <v>71</v>
      </c>
      <c r="E289" s="4" t="s">
        <v>788</v>
      </c>
      <c r="F289" s="4" t="str">
        <f t="shared" si="15"/>
        <v>4|A|C</v>
      </c>
      <c r="G289" s="14">
        <f>INDEX('Transition Stepwise'!$J$2:$J$1137,MATCH(F289,'Transition Stepwise'!$E$2:$E$1137,0))</f>
        <v>0.2</v>
      </c>
      <c r="H289" s="14" t="e">
        <f>INDEX(Background!$D$12:$D$27,MATCH(C289&amp;D289,INDEX(Background!$A$12:$A$27,0)&amp;INDEX(Background!$B$12:$B$27,0),0))</f>
        <v>#VALUE!</v>
      </c>
      <c r="I289" s="17" t="e">
        <f t="shared" si="16"/>
        <v>#VALUE!</v>
      </c>
    </row>
    <row r="290" spans="1:9">
      <c r="A290" s="4" t="s">
        <v>754</v>
      </c>
      <c r="B290" s="4">
        <v>5</v>
      </c>
      <c r="C290" s="4" t="s">
        <v>71</v>
      </c>
      <c r="D290" s="4" t="s">
        <v>73</v>
      </c>
      <c r="E290" s="4" t="s">
        <v>788</v>
      </c>
      <c r="F290" s="4" t="str">
        <f t="shared" si="15"/>
        <v>5|C|A</v>
      </c>
      <c r="G290" s="14">
        <f>INDEX('Transition Stepwise'!$J$2:$J$1137,MATCH(F290,'Transition Stepwise'!$E$2:$E$1137,0))</f>
        <v>0.15662650602409639</v>
      </c>
      <c r="H290" s="14" t="e">
        <f>INDEX(Background!$D$12:$D$27,MATCH(C290&amp;D290,INDEX(Background!$A$12:$A$27,0)&amp;INDEX(Background!$B$12:$B$27,0),0))</f>
        <v>#VALUE!</v>
      </c>
      <c r="I290" s="17" t="e">
        <f t="shared" si="16"/>
        <v>#VALUE!</v>
      </c>
    </row>
    <row r="291" spans="1:9">
      <c r="A291" s="4" t="s">
        <v>754</v>
      </c>
      <c r="B291" s="4">
        <v>6</v>
      </c>
      <c r="C291" s="4" t="s">
        <v>73</v>
      </c>
      <c r="D291" s="4" t="s">
        <v>72</v>
      </c>
      <c r="E291" s="4" t="s">
        <v>788</v>
      </c>
      <c r="F291" s="4" t="str">
        <f t="shared" si="15"/>
        <v>6|A|U</v>
      </c>
      <c r="G291" s="14">
        <f>INDEX('Transition Stepwise'!$J$2:$J$1137,MATCH(F291,'Transition Stepwise'!$E$2:$E$1137,0))</f>
        <v>0.28947368421052633</v>
      </c>
      <c r="H291" s="14" t="e">
        <f>INDEX(Background!$D$12:$D$27,MATCH(C291&amp;D291,INDEX(Background!$A$12:$A$27,0)&amp;INDEX(Background!$B$12:$B$27,0),0))</f>
        <v>#VALUE!</v>
      </c>
      <c r="I291" s="17" t="e">
        <f t="shared" si="16"/>
        <v>#VALUE!</v>
      </c>
    </row>
    <row r="292" spans="1:9">
      <c r="A292" s="4" t="s">
        <v>754</v>
      </c>
      <c r="B292" s="4">
        <v>7</v>
      </c>
      <c r="C292" s="4" t="s">
        <v>72</v>
      </c>
      <c r="D292" s="4" t="s">
        <v>72</v>
      </c>
      <c r="E292" s="4" t="s">
        <v>788</v>
      </c>
      <c r="F292" s="4" t="str">
        <f t="shared" si="15"/>
        <v>7|U|U</v>
      </c>
      <c r="G292" s="14">
        <f>INDEX('Transition Stepwise'!$J$2:$J$1137,MATCH(F292,'Transition Stepwise'!$E$2:$E$1137,0))</f>
        <v>0.9375</v>
      </c>
      <c r="H292" s="14" t="e">
        <f>INDEX(Background!$D$12:$D$27,MATCH(C292&amp;D292,INDEX(Background!$A$12:$A$27,0)&amp;INDEX(Background!$B$12:$B$27,0),0))</f>
        <v>#VALUE!</v>
      </c>
      <c r="I292" s="17" t="e">
        <f t="shared" si="16"/>
        <v>#VALUE!</v>
      </c>
    </row>
    <row r="293" spans="1:9">
      <c r="A293" s="4" t="s">
        <v>754</v>
      </c>
      <c r="B293" s="4">
        <v>8</v>
      </c>
      <c r="C293" s="4" t="s">
        <v>72</v>
      </c>
      <c r="D293" s="4" t="s">
        <v>73</v>
      </c>
      <c r="E293" s="4" t="s">
        <v>788</v>
      </c>
      <c r="F293" s="4" t="str">
        <f t="shared" si="15"/>
        <v>8|U|A</v>
      </c>
      <c r="G293" s="14">
        <f>INDEX('Transition Stepwise'!$J$2:$J$1137,MATCH(F293,'Transition Stepwise'!$E$2:$E$1137,0))</f>
        <v>0.65174129353233834</v>
      </c>
      <c r="H293" s="14" t="e">
        <f>INDEX(Background!$D$12:$D$27,MATCH(C293&amp;D293,INDEX(Background!$A$12:$A$27,0)&amp;INDEX(Background!$B$12:$B$27,0),0))</f>
        <v>#VALUE!</v>
      </c>
      <c r="I293" s="17" t="e">
        <f t="shared" si="16"/>
        <v>#VALUE!</v>
      </c>
    </row>
    <row r="294" spans="1:9">
      <c r="A294" s="4" t="s">
        <v>754</v>
      </c>
      <c r="B294" s="4">
        <v>9</v>
      </c>
      <c r="C294" s="4" t="s">
        <v>73</v>
      </c>
      <c r="D294" s="4" t="s">
        <v>70</v>
      </c>
      <c r="E294" s="4" t="s">
        <v>788</v>
      </c>
      <c r="F294" s="4" t="str">
        <f t="shared" si="15"/>
        <v>9|A|G</v>
      </c>
      <c r="G294" s="14">
        <f>INDEX('Transition Stepwise'!$J$2:$J$1137,MATCH(F294,'Transition Stepwise'!$E$2:$E$1137,0))</f>
        <v>0.96296296296296291</v>
      </c>
      <c r="H294" s="14" t="e">
        <f>INDEX(Background!$D$12:$D$27,MATCH(C294&amp;D294,INDEX(Background!$A$12:$A$27,0)&amp;INDEX(Background!$B$12:$B$27,0),0))</f>
        <v>#VALUE!</v>
      </c>
      <c r="I294" s="17" t="e">
        <f t="shared" si="16"/>
        <v>#VALUE!</v>
      </c>
    </row>
    <row r="295" spans="1:9">
      <c r="A295" s="4" t="s">
        <v>754</v>
      </c>
      <c r="B295" s="4">
        <v>10</v>
      </c>
      <c r="C295" s="4" t="s">
        <v>70</v>
      </c>
      <c r="D295" s="4" t="s">
        <v>70</v>
      </c>
      <c r="E295" s="4" t="s">
        <v>788</v>
      </c>
      <c r="F295" s="4" t="str">
        <f t="shared" si="15"/>
        <v>10|G|G</v>
      </c>
      <c r="G295" s="14">
        <f>INDEX('Transition Stepwise'!$J$2:$J$1137,MATCH(F295,'Transition Stepwise'!$E$2:$E$1137,0))</f>
        <v>3.0612244897959183E-2</v>
      </c>
      <c r="H295" s="14" t="e">
        <f>INDEX(Background!$D$12:$D$27,MATCH(C295&amp;D295,INDEX(Background!$A$12:$A$27,0)&amp;INDEX(Background!$B$12:$B$27,0),0))</f>
        <v>#VALUE!</v>
      </c>
      <c r="I295" s="17" t="e">
        <f t="shared" si="16"/>
        <v>#VALUE!</v>
      </c>
    </row>
    <row r="296" spans="1:9">
      <c r="A296" s="4" t="s">
        <v>754</v>
      </c>
      <c r="B296" s="4">
        <v>11</v>
      </c>
      <c r="C296" s="4" t="s">
        <v>70</v>
      </c>
      <c r="D296" s="4" t="s">
        <v>73</v>
      </c>
      <c r="E296" s="4" t="s">
        <v>788</v>
      </c>
      <c r="F296" s="4" t="str">
        <f t="shared" si="15"/>
        <v>11|G|A</v>
      </c>
      <c r="G296" s="14">
        <f>INDEX('Transition Stepwise'!$J$2:$J$1137,MATCH(F296,'Transition Stepwise'!$E$2:$E$1137,0))</f>
        <v>0.3</v>
      </c>
      <c r="H296" s="14" t="e">
        <f>INDEX(Background!$D$12:$D$27,MATCH(C296&amp;D296,INDEX(Background!$A$12:$A$27,0)&amp;INDEX(Background!$B$12:$B$27,0),0))</f>
        <v>#VALUE!</v>
      </c>
      <c r="I296" s="17" t="e">
        <f t="shared" si="16"/>
        <v>#VALUE!</v>
      </c>
    </row>
    <row r="297" spans="1:9">
      <c r="A297" s="4" t="s">
        <v>754</v>
      </c>
      <c r="B297" s="4">
        <v>12</v>
      </c>
      <c r="C297" s="4" t="s">
        <v>73</v>
      </c>
      <c r="D297" s="4" t="s">
        <v>72</v>
      </c>
      <c r="E297" s="4" t="s">
        <v>788</v>
      </c>
      <c r="F297" s="4" t="str">
        <f t="shared" si="15"/>
        <v>12|A|U</v>
      </c>
      <c r="G297" s="14">
        <f>INDEX('Transition Stepwise'!$J$2:$J$1137,MATCH(F297,'Transition Stepwise'!$E$2:$E$1137,0))</f>
        <v>0.47058823529411764</v>
      </c>
      <c r="H297" s="14" t="e">
        <f>INDEX(Background!$D$12:$D$27,MATCH(C297&amp;D297,INDEX(Background!$A$12:$A$27,0)&amp;INDEX(Background!$B$12:$B$27,0),0))</f>
        <v>#VALUE!</v>
      </c>
      <c r="I297" s="17" t="e">
        <f t="shared" si="16"/>
        <v>#VALUE!</v>
      </c>
    </row>
    <row r="298" spans="1:9">
      <c r="A298" s="4" t="s">
        <v>754</v>
      </c>
      <c r="B298" s="4">
        <v>13</v>
      </c>
      <c r="C298" s="4" t="s">
        <v>72</v>
      </c>
      <c r="D298" s="4" t="s">
        <v>73</v>
      </c>
      <c r="E298" s="4" t="s">
        <v>788</v>
      </c>
      <c r="F298" s="4" t="str">
        <f t="shared" si="15"/>
        <v>13|U|A</v>
      </c>
      <c r="G298" s="14">
        <f>INDEX('Transition Stepwise'!$J$2:$J$1137,MATCH(F298,'Transition Stepwise'!$E$2:$E$1137,0))</f>
        <v>0.9285714285714286</v>
      </c>
      <c r="H298" s="14" t="e">
        <f>INDEX(Background!$D$12:$D$27,MATCH(C298&amp;D298,INDEX(Background!$A$12:$A$27,0)&amp;INDEX(Background!$B$12:$B$27,0),0))</f>
        <v>#VALUE!</v>
      </c>
      <c r="I298" s="17" t="e">
        <f t="shared" si="16"/>
        <v>#VALUE!</v>
      </c>
    </row>
    <row r="299" spans="1:9">
      <c r="A299" s="4" t="s">
        <v>754</v>
      </c>
      <c r="B299" s="4">
        <v>14</v>
      </c>
      <c r="C299" s="4" t="s">
        <v>73</v>
      </c>
      <c r="D299" s="4" t="s">
        <v>70</v>
      </c>
      <c r="E299" s="4" t="s">
        <v>788</v>
      </c>
      <c r="F299" s="4" t="str">
        <f t="shared" si="15"/>
        <v>14|A|G</v>
      </c>
      <c r="G299" s="14">
        <f>INDEX('Transition Stepwise'!$J$2:$J$1137,MATCH(F299,'Transition Stepwise'!$E$2:$E$1137,0))</f>
        <v>0.81094527363184077</v>
      </c>
      <c r="H299" s="14" t="e">
        <f>INDEX(Background!$D$12:$D$27,MATCH(C299&amp;D299,INDEX(Background!$A$12:$A$27,0)&amp;INDEX(Background!$B$12:$B$27,0),0))</f>
        <v>#VALUE!</v>
      </c>
      <c r="I299" s="17" t="e">
        <f t="shared" si="16"/>
        <v>#VALUE!</v>
      </c>
    </row>
    <row r="300" spans="1:9">
      <c r="A300" s="4" t="s">
        <v>754</v>
      </c>
      <c r="B300" s="4">
        <v>15</v>
      </c>
      <c r="C300" s="4" t="s">
        <v>70</v>
      </c>
      <c r="D300" s="4" t="s">
        <v>73</v>
      </c>
      <c r="E300" s="4" t="s">
        <v>788</v>
      </c>
      <c r="F300" s="4" t="str">
        <f t="shared" si="15"/>
        <v>15|G|A</v>
      </c>
      <c r="G300" s="14">
        <f>INDEX('Transition Stepwise'!$J$2:$J$1137,MATCH(F300,'Transition Stepwise'!$E$2:$E$1137,0))</f>
        <v>2.5423728813559324E-2</v>
      </c>
      <c r="H300" s="14" t="e">
        <f>INDEX(Background!$D$12:$D$27,MATCH(C300&amp;D300,INDEX(Background!$A$12:$A$27,0)&amp;INDEX(Background!$B$12:$B$27,0),0))</f>
        <v>#VALUE!</v>
      </c>
      <c r="I300" s="17" t="e">
        <f t="shared" si="16"/>
        <v>#VALUE!</v>
      </c>
    </row>
    <row r="301" spans="1:9">
      <c r="A301" s="4" t="s">
        <v>754</v>
      </c>
      <c r="B301" s="4">
        <v>16</v>
      </c>
      <c r="C301" s="4" t="s">
        <v>73</v>
      </c>
      <c r="D301" s="4" t="s">
        <v>72</v>
      </c>
      <c r="E301" s="4" t="s">
        <v>788</v>
      </c>
      <c r="F301" s="4" t="str">
        <f t="shared" si="15"/>
        <v>16|A|U</v>
      </c>
      <c r="G301" s="14">
        <f>INDEX('Transition Stepwise'!$J$2:$J$1137,MATCH(F301,'Transition Stepwise'!$E$2:$E$1137,0))</f>
        <v>0.42857142857142855</v>
      </c>
      <c r="H301" s="14" t="e">
        <f>INDEX(Background!$D$12:$D$27,MATCH(C301&amp;D301,INDEX(Background!$A$12:$A$27,0)&amp;INDEX(Background!$B$12:$B$27,0),0))</f>
        <v>#VALUE!</v>
      </c>
      <c r="I301" s="17" t="e">
        <f t="shared" si="16"/>
        <v>#VALUE!</v>
      </c>
    </row>
    <row r="302" spans="1:9">
      <c r="A302" s="4" t="s">
        <v>754</v>
      </c>
      <c r="B302" s="4">
        <v>17</v>
      </c>
      <c r="C302" s="4" t="s">
        <v>72</v>
      </c>
      <c r="D302" s="4" t="s">
        <v>70</v>
      </c>
      <c r="E302" s="4" t="s">
        <v>788</v>
      </c>
      <c r="F302" s="4" t="str">
        <f t="shared" si="15"/>
        <v>17|U|G</v>
      </c>
      <c r="G302" s="14">
        <f>INDEX('Transition Stepwise'!$J$2:$J$1137,MATCH(F302,'Transition Stepwise'!$E$2:$E$1137,0))</f>
        <v>0.97457627118644063</v>
      </c>
      <c r="H302" s="14" t="e">
        <f>INDEX(Background!$D$12:$D$27,MATCH(C302&amp;D302,INDEX(Background!$A$12:$A$27,0)&amp;INDEX(Background!$B$12:$B$27,0),0))</f>
        <v>#VALUE!</v>
      </c>
      <c r="I302" s="17" t="e">
        <f t="shared" si="16"/>
        <v>#VALUE!</v>
      </c>
    </row>
    <row r="303" spans="1:9">
      <c r="A303" s="4" t="s">
        <v>754</v>
      </c>
      <c r="B303" s="4">
        <v>18</v>
      </c>
      <c r="C303" s="4" t="s">
        <v>70</v>
      </c>
      <c r="D303" s="4" t="s">
        <v>70</v>
      </c>
      <c r="E303" s="4" t="s">
        <v>788</v>
      </c>
      <c r="F303" s="4" t="str">
        <f t="shared" si="15"/>
        <v>18|G|G</v>
      </c>
      <c r="G303" s="14">
        <f>INDEX('Transition Stepwise'!$J$2:$J$1137,MATCH(F303,'Transition Stepwise'!$E$2:$E$1137,0))</f>
        <v>0.97536945812807885</v>
      </c>
      <c r="H303" s="14" t="e">
        <f>INDEX(Background!$D$12:$D$27,MATCH(C303&amp;D303,INDEX(Background!$A$12:$A$27,0)&amp;INDEX(Background!$B$12:$B$27,0),0))</f>
        <v>#VALUE!</v>
      </c>
      <c r="I303" s="17" t="e">
        <f t="shared" si="16"/>
        <v>#VALUE!</v>
      </c>
    </row>
    <row r="304" spans="1:9">
      <c r="A304" s="4" t="s">
        <v>754</v>
      </c>
      <c r="B304" s="4">
        <v>19</v>
      </c>
      <c r="C304" s="4" t="s">
        <v>70</v>
      </c>
      <c r="D304" s="4" t="s">
        <v>71</v>
      </c>
      <c r="E304" s="4" t="s">
        <v>788</v>
      </c>
      <c r="F304" s="4" t="str">
        <f t="shared" si="15"/>
        <v>19|G|C</v>
      </c>
      <c r="G304" s="14">
        <f>INDEX('Transition Stepwise'!$J$2:$J$1137,MATCH(F304,'Transition Stepwise'!$E$2:$E$1137,0))</f>
        <v>0.22885572139303484</v>
      </c>
      <c r="H304" s="14" t="e">
        <f>INDEX(Background!$D$12:$D$27,MATCH(C304&amp;D304,INDEX(Background!$A$12:$A$27,0)&amp;INDEX(Background!$B$12:$B$27,0),0))</f>
        <v>#VALUE!</v>
      </c>
      <c r="I304" s="17" t="e">
        <f t="shared" si="16"/>
        <v>#VALUE!</v>
      </c>
    </row>
    <row r="305" spans="1:9">
      <c r="A305" s="4" t="s">
        <v>754</v>
      </c>
      <c r="B305" s="4">
        <v>20</v>
      </c>
      <c r="C305" s="4" t="s">
        <v>71</v>
      </c>
      <c r="D305" s="4" t="s">
        <v>72</v>
      </c>
      <c r="E305" s="4" t="s">
        <v>788</v>
      </c>
      <c r="F305" s="4" t="str">
        <f t="shared" si="15"/>
        <v>20|C|U</v>
      </c>
      <c r="G305" s="14">
        <f>INDEX('Transition Stepwise'!$J$2:$J$1137,MATCH(F305,'Transition Stepwise'!$E$2:$E$1137,0))</f>
        <v>0.10204081632653061</v>
      </c>
      <c r="H305" s="14" t="e">
        <f>INDEX(Background!$D$12:$D$27,MATCH(C305&amp;D305,INDEX(Background!$A$12:$A$27,0)&amp;INDEX(Background!$B$12:$B$27,0),0))</f>
        <v>#VALUE!</v>
      </c>
      <c r="I305" s="17" t="e">
        <f t="shared" si="16"/>
        <v>#VALUE!</v>
      </c>
    </row>
    <row r="306" spans="1:9">
      <c r="A306" s="4" t="s">
        <v>754</v>
      </c>
      <c r="B306" s="4">
        <v>21</v>
      </c>
      <c r="C306" s="4" t="s">
        <v>72</v>
      </c>
      <c r="D306" s="4" t="s">
        <v>72</v>
      </c>
      <c r="E306" s="4" t="s">
        <v>788</v>
      </c>
      <c r="F306" s="4" t="str">
        <f t="shared" si="15"/>
        <v>21|U|U</v>
      </c>
      <c r="G306" s="14">
        <f>INDEX('Transition Stepwise'!$J$2:$J$1137,MATCH(F306,'Transition Stepwise'!$E$2:$E$1137,0))</f>
        <v>0.2857142857142857</v>
      </c>
      <c r="H306" s="14" t="e">
        <f>INDEX(Background!$D$12:$D$27,MATCH(C306&amp;D306,INDEX(Background!$A$12:$A$27,0)&amp;INDEX(Background!$B$12:$B$27,0),0))</f>
        <v>#VALUE!</v>
      </c>
      <c r="I306" s="17" t="e">
        <f t="shared" si="16"/>
        <v>#VALUE!</v>
      </c>
    </row>
    <row r="307" spans="1:9">
      <c r="A307" s="4" t="s">
        <v>754</v>
      </c>
      <c r="B307" s="4">
        <v>22</v>
      </c>
      <c r="C307" s="4" t="s">
        <v>72</v>
      </c>
      <c r="D307" s="4" t="s">
        <v>72</v>
      </c>
      <c r="E307" s="4" t="s">
        <v>788</v>
      </c>
      <c r="F307" s="4" t="str">
        <f t="shared" si="15"/>
        <v>22|U|U</v>
      </c>
      <c r="G307" s="14">
        <f>INDEX('Transition Stepwise'!$J$2:$J$1137,MATCH(F307,'Transition Stepwise'!$E$2:$E$1137,0))</f>
        <v>0.33333333333333331</v>
      </c>
      <c r="H307" s="14" t="e">
        <f>INDEX(Background!$D$12:$D$27,MATCH(C307&amp;D307,INDEX(Background!$A$12:$A$27,0)&amp;INDEX(Background!$B$12:$B$27,0),0))</f>
        <v>#VALUE!</v>
      </c>
      <c r="I307" s="17" t="e">
        <f t="shared" si="16"/>
        <v>#VALUE!</v>
      </c>
    </row>
    <row r="308" spans="1:9">
      <c r="A308" s="4" t="s">
        <v>754</v>
      </c>
      <c r="B308" s="4">
        <v>23</v>
      </c>
      <c r="C308" s="4" t="s">
        <v>72</v>
      </c>
      <c r="D308" s="4" t="s">
        <v>71</v>
      </c>
      <c r="E308" s="4" t="s">
        <v>788</v>
      </c>
      <c r="F308" s="4" t="str">
        <f t="shared" si="15"/>
        <v>23|U|C</v>
      </c>
      <c r="G308" s="14">
        <f>INDEX('Transition Stepwise'!$J$2:$J$1137,MATCH(F308,'Transition Stepwise'!$E$2:$E$1137,0))</f>
        <v>0.1875</v>
      </c>
      <c r="H308" s="14" t="e">
        <f>INDEX(Background!$D$12:$D$27,MATCH(C308&amp;D308,INDEX(Background!$A$12:$A$27,0)&amp;INDEX(Background!$B$12:$B$27,0),0))</f>
        <v>#VALUE!</v>
      </c>
      <c r="I308" s="17" t="e">
        <f t="shared" si="16"/>
        <v>#VALUE!</v>
      </c>
    </row>
    <row r="309" spans="1:9">
      <c r="A309" s="4" t="s">
        <v>754</v>
      </c>
      <c r="B309" s="4">
        <v>24</v>
      </c>
      <c r="C309" s="4" t="s">
        <v>71</v>
      </c>
      <c r="D309" s="4" t="s">
        <v>71</v>
      </c>
      <c r="E309" s="4" t="s">
        <v>788</v>
      </c>
      <c r="F309" s="4" t="str">
        <f t="shared" si="15"/>
        <v>24|C|C</v>
      </c>
      <c r="G309" s="14">
        <f>INDEX('Transition Stepwise'!$J$2:$J$1137,MATCH(F309,'Transition Stepwise'!$E$2:$E$1137,0))</f>
        <v>0.5</v>
      </c>
      <c r="H309" s="14" t="e">
        <f>INDEX(Background!$D$12:$D$27,MATCH(C309&amp;D309,INDEX(Background!$A$12:$A$27,0)&amp;INDEX(Background!$B$12:$B$27,0),0))</f>
        <v>#VALUE!</v>
      </c>
      <c r="I309" s="17" t="e">
        <f t="shared" si="16"/>
        <v>#VALUE!</v>
      </c>
    </row>
    <row r="310" spans="1:9">
      <c r="A310" s="4" t="s">
        <v>754</v>
      </c>
      <c r="B310" s="4">
        <v>25</v>
      </c>
      <c r="C310" s="4" t="s">
        <v>71</v>
      </c>
      <c r="D310" s="4" t="s">
        <v>72</v>
      </c>
      <c r="E310" s="4" t="s">
        <v>788</v>
      </c>
      <c r="F310" s="4" t="str">
        <f t="shared" si="15"/>
        <v>25|C|U</v>
      </c>
      <c r="G310" s="14">
        <f>INDEX('Transition Stepwise'!$J$2:$J$1137,MATCH(F310,'Transition Stepwise'!$E$2:$E$1137,0))</f>
        <v>5.4945054945054944E-2</v>
      </c>
      <c r="H310" s="14" t="e">
        <f>INDEX(Background!$D$12:$D$27,MATCH(C310&amp;D310,INDEX(Background!$A$12:$A$27,0)&amp;INDEX(Background!$B$12:$B$27,0),0))</f>
        <v>#VALUE!</v>
      </c>
      <c r="I310" s="17" t="e">
        <f t="shared" si="16"/>
        <v>#VALUE!</v>
      </c>
    </row>
    <row r="311" spans="1:9">
      <c r="A311" s="4" t="s">
        <v>754</v>
      </c>
      <c r="B311" s="4">
        <v>26</v>
      </c>
      <c r="C311" s="4" t="s">
        <v>72</v>
      </c>
      <c r="D311" s="4" t="s">
        <v>72</v>
      </c>
      <c r="E311" s="4" t="s">
        <v>788</v>
      </c>
      <c r="F311" s="4" t="str">
        <f t="shared" si="15"/>
        <v>26|U|U</v>
      </c>
      <c r="G311" s="14">
        <f>INDEX('Transition Stepwise'!$J$2:$J$1137,MATCH(F311,'Transition Stepwise'!$E$2:$E$1137,0))</f>
        <v>0.26666666666666666</v>
      </c>
      <c r="H311" s="14" t="e">
        <f>INDEX(Background!$D$12:$D$27,MATCH(C311&amp;D311,INDEX(Background!$A$12:$A$27,0)&amp;INDEX(Background!$B$12:$B$27,0),0))</f>
        <v>#VALUE!</v>
      </c>
      <c r="I311" s="17" t="e">
        <f t="shared" si="16"/>
        <v>#VALUE!</v>
      </c>
    </row>
    <row r="312" spans="1:9">
      <c r="A312" s="4" t="s">
        <v>754</v>
      </c>
      <c r="B312" s="4">
        <v>27</v>
      </c>
      <c r="C312" s="4" t="s">
        <v>72</v>
      </c>
      <c r="D312" s="4" t="s">
        <v>72</v>
      </c>
      <c r="E312" s="4" t="s">
        <v>788</v>
      </c>
      <c r="F312" s="4" t="str">
        <f t="shared" si="15"/>
        <v>27|U|U</v>
      </c>
      <c r="G312" s="14">
        <f>INDEX('Transition Stepwise'!$J$2:$J$1137,MATCH(F312,'Transition Stepwise'!$E$2:$E$1137,0))</f>
        <v>0.3392857142857143</v>
      </c>
      <c r="H312" s="14" t="e">
        <f>INDEX(Background!$D$12:$D$27,MATCH(C312&amp;D312,INDEX(Background!$A$12:$A$27,0)&amp;INDEX(Background!$B$12:$B$27,0),0))</f>
        <v>#VALUE!</v>
      </c>
      <c r="I312" s="17" t="e">
        <f t="shared" si="16"/>
        <v>#VALUE!</v>
      </c>
    </row>
    <row r="313" spans="1:9">
      <c r="A313" s="4" t="s">
        <v>754</v>
      </c>
      <c r="B313" s="4">
        <v>28</v>
      </c>
      <c r="C313" s="4" t="s">
        <v>72</v>
      </c>
      <c r="D313" s="4" t="s">
        <v>71</v>
      </c>
      <c r="E313" s="4" t="s">
        <v>788</v>
      </c>
      <c r="F313" s="4" t="str">
        <f t="shared" si="15"/>
        <v>28|U|C</v>
      </c>
      <c r="G313" s="14">
        <f>INDEX('Transition Stepwise'!$J$2:$J$1137,MATCH(F313,'Transition Stepwise'!$E$2:$E$1137,0))</f>
        <v>0.27272727272727271</v>
      </c>
      <c r="H313" s="14" t="e">
        <f>INDEX(Background!$D$12:$D$27,MATCH(C313&amp;D313,INDEX(Background!$A$12:$A$27,0)&amp;INDEX(Background!$B$12:$B$27,0),0))</f>
        <v>#VALUE!</v>
      </c>
      <c r="I313" s="17" t="e">
        <f t="shared" si="16"/>
        <v>#VALUE!</v>
      </c>
    </row>
    <row r="314" spans="1:9">
      <c r="A314" s="4" t="s">
        <v>754</v>
      </c>
      <c r="B314" s="4">
        <v>29</v>
      </c>
      <c r="C314" s="4" t="s">
        <v>71</v>
      </c>
      <c r="D314" s="4" t="s">
        <v>72</v>
      </c>
      <c r="E314" s="4" t="s">
        <v>788</v>
      </c>
      <c r="F314" s="4" t="str">
        <f t="shared" si="15"/>
        <v>29|C|U</v>
      </c>
      <c r="G314" s="14">
        <f>INDEX('Transition Stepwise'!$J$2:$J$1137,MATCH(F314,'Transition Stepwise'!$E$2:$E$1137,0))</f>
        <v>0.05</v>
      </c>
      <c r="H314" s="14" t="e">
        <f>INDEX(Background!$D$12:$D$27,MATCH(C314&amp;D314,INDEX(Background!$A$12:$A$27,0)&amp;INDEX(Background!$B$12:$B$27,0),0))</f>
        <v>#VALUE!</v>
      </c>
      <c r="I314" s="17" t="e">
        <f t="shared" si="16"/>
        <v>#VALUE!</v>
      </c>
    </row>
    <row r="315" spans="1:9">
      <c r="A315" s="4" t="s">
        <v>754</v>
      </c>
      <c r="B315" s="4">
        <v>30</v>
      </c>
      <c r="C315" s="4" t="s">
        <v>72</v>
      </c>
      <c r="D315" s="4" t="s">
        <v>72</v>
      </c>
      <c r="E315" s="4" t="s">
        <v>788</v>
      </c>
      <c r="F315" s="4" t="str">
        <f t="shared" si="15"/>
        <v>30|U|U</v>
      </c>
      <c r="G315" s="14">
        <f>INDEX('Transition Stepwise'!$J$2:$J$1137,MATCH(F315,'Transition Stepwise'!$E$2:$E$1137,0))</f>
        <v>9.0909090909090912E-2</v>
      </c>
      <c r="H315" s="14" t="e">
        <f>INDEX(Background!$D$12:$D$27,MATCH(C315&amp;D315,INDEX(Background!$A$12:$A$27,0)&amp;INDEX(Background!$B$12:$B$27,0),0))</f>
        <v>#VALUE!</v>
      </c>
      <c r="I315" s="17" t="e">
        <f t="shared" si="16"/>
        <v>#VALUE!</v>
      </c>
    </row>
    <row r="316" spans="1:9">
      <c r="A316" s="4" t="s">
        <v>754</v>
      </c>
      <c r="B316" s="4">
        <v>31</v>
      </c>
      <c r="C316" s="4" t="s">
        <v>72</v>
      </c>
      <c r="D316" s="4" t="s">
        <v>72</v>
      </c>
      <c r="E316" s="4" t="s">
        <v>788</v>
      </c>
      <c r="F316" s="4" t="str">
        <f t="shared" si="15"/>
        <v>31|U|U</v>
      </c>
      <c r="G316" s="14">
        <f>INDEX('Transition Stepwise'!$J$2:$J$1137,MATCH(F316,'Transition Stepwise'!$E$2:$E$1137,0))</f>
        <v>0.13043478260869565</v>
      </c>
      <c r="H316" s="14" t="e">
        <f>INDEX(Background!$D$12:$D$27,MATCH(C316&amp;D316,INDEX(Background!$A$12:$A$27,0)&amp;INDEX(Background!$B$12:$B$27,0),0))</f>
        <v>#VALUE!</v>
      </c>
      <c r="I316" s="17" t="e">
        <f t="shared" si="16"/>
        <v>#VALUE!</v>
      </c>
    </row>
    <row r="317" spans="1:9">
      <c r="A317" s="4" t="s">
        <v>754</v>
      </c>
      <c r="B317" s="4">
        <v>32</v>
      </c>
      <c r="C317" s="4" t="s">
        <v>72</v>
      </c>
      <c r="D317" s="4" t="s">
        <v>72</v>
      </c>
      <c r="E317" s="4" t="s">
        <v>788</v>
      </c>
      <c r="F317" s="4" t="str">
        <f t="shared" si="15"/>
        <v>32|U|U</v>
      </c>
      <c r="G317" s="14">
        <f>INDEX('Transition Stepwise'!$J$2:$J$1137,MATCH(F317,'Transition Stepwise'!$E$2:$E$1137,0))</f>
        <v>0.93650793650793651</v>
      </c>
      <c r="H317" s="14" t="e">
        <f>INDEX(Background!$D$12:$D$27,MATCH(C317&amp;D317,INDEX(Background!$A$12:$A$27,0)&amp;INDEX(Background!$B$12:$B$27,0),0))</f>
        <v>#VALUE!</v>
      </c>
      <c r="I317" s="17" t="e">
        <f t="shared" si="16"/>
        <v>#VALUE!</v>
      </c>
    </row>
    <row r="318" spans="1:9">
      <c r="A318" s="4" t="s">
        <v>754</v>
      </c>
      <c r="B318" s="4">
        <v>33</v>
      </c>
      <c r="C318" s="4" t="s">
        <v>72</v>
      </c>
      <c r="D318" s="4" t="s">
        <v>71</v>
      </c>
      <c r="E318" s="4" t="s">
        <v>788</v>
      </c>
      <c r="F318" s="4" t="str">
        <f t="shared" si="15"/>
        <v>33|U|C</v>
      </c>
      <c r="G318" s="14">
        <f>INDEX('Transition Stepwise'!$J$2:$J$1137,MATCH(F318,'Transition Stepwise'!$E$2:$E$1137,0))</f>
        <v>0.32178217821782179</v>
      </c>
      <c r="H318" s="14" t="e">
        <f>INDEX(Background!$D$12:$D$27,MATCH(C318&amp;D318,INDEX(Background!$A$12:$A$27,0)&amp;INDEX(Background!$B$12:$B$27,0),0))</f>
        <v>#VALUE!</v>
      </c>
      <c r="I318" s="17" t="e">
        <f t="shared" si="16"/>
        <v>#VALUE!</v>
      </c>
    </row>
    <row r="319" spans="1:9">
      <c r="A319" s="4" t="s">
        <v>754</v>
      </c>
      <c r="B319" s="4">
        <v>34</v>
      </c>
      <c r="C319" s="4" t="s">
        <v>71</v>
      </c>
      <c r="D319" s="4" t="s">
        <v>72</v>
      </c>
      <c r="E319" s="4" t="s">
        <v>788</v>
      </c>
      <c r="F319" s="4" t="str">
        <f t="shared" si="15"/>
        <v>34|C|U</v>
      </c>
      <c r="G319" s="14">
        <f>INDEX('Transition Stepwise'!$J$2:$J$1137,MATCH(F319,'Transition Stepwise'!$E$2:$E$1137,0))</f>
        <v>0.18571428571428572</v>
      </c>
      <c r="H319" s="14" t="e">
        <f>INDEX(Background!$D$12:$D$27,MATCH(C319&amp;D319,INDEX(Background!$A$12:$A$27,0)&amp;INDEX(Background!$B$12:$B$27,0),0))</f>
        <v>#VALUE!</v>
      </c>
      <c r="I319" s="17" t="e">
        <f t="shared" si="16"/>
        <v>#VALUE!</v>
      </c>
    </row>
    <row r="320" spans="1:9">
      <c r="A320" s="4" t="s">
        <v>754</v>
      </c>
      <c r="B320" s="4">
        <v>35</v>
      </c>
      <c r="C320" s="4" t="s">
        <v>72</v>
      </c>
      <c r="D320" s="4" t="s">
        <v>73</v>
      </c>
      <c r="E320" s="4" t="s">
        <v>788</v>
      </c>
      <c r="F320" s="4" t="str">
        <f t="shared" si="15"/>
        <v>35|U|A</v>
      </c>
      <c r="G320" s="14">
        <f>INDEX('Transition Stepwise'!$J$2:$J$1137,MATCH(F320,'Transition Stepwise'!$E$2:$E$1137,0))</f>
        <v>0.17777777777777778</v>
      </c>
      <c r="H320" s="14" t="e">
        <f>INDEX(Background!$D$12:$D$27,MATCH(C320&amp;D320,INDEX(Background!$A$12:$A$27,0)&amp;INDEX(Background!$B$12:$B$27,0),0))</f>
        <v>#VALUE!</v>
      </c>
      <c r="I320" s="17" t="e">
        <f t="shared" si="16"/>
        <v>#VALUE!</v>
      </c>
    </row>
    <row r="321" spans="1:9">
      <c r="A321" s="4" t="s">
        <v>754</v>
      </c>
      <c r="B321" s="4">
        <v>36</v>
      </c>
      <c r="C321" s="4" t="s">
        <v>73</v>
      </c>
      <c r="D321" s="4" t="s">
        <v>71</v>
      </c>
      <c r="E321" s="4" t="s">
        <v>788</v>
      </c>
      <c r="F321" s="4" t="str">
        <f t="shared" si="15"/>
        <v>36|A|C</v>
      </c>
      <c r="G321" s="14">
        <f>INDEX('Transition Stepwise'!$J$2:$J$1137,MATCH(F321,'Transition Stepwise'!$E$2:$E$1137,0))</f>
        <v>4.2553191489361701E-2</v>
      </c>
      <c r="H321" s="14" t="e">
        <f>INDEX(Background!$D$12:$D$27,MATCH(C321&amp;D321,INDEX(Background!$A$12:$A$27,0)&amp;INDEX(Background!$B$12:$B$27,0),0))</f>
        <v>#VALUE!</v>
      </c>
      <c r="I321" s="17" t="e">
        <f t="shared" si="16"/>
        <v>#VALUE!</v>
      </c>
    </row>
    <row r="322" spans="1:9">
      <c r="A322" s="4" t="s">
        <v>754</v>
      </c>
      <c r="B322" s="4">
        <v>37</v>
      </c>
      <c r="C322" s="4" t="s">
        <v>71</v>
      </c>
      <c r="D322" s="4" t="s">
        <v>73</v>
      </c>
      <c r="E322" s="4" t="s">
        <v>788</v>
      </c>
      <c r="F322" s="4" t="str">
        <f t="shared" si="15"/>
        <v>37|C|A</v>
      </c>
      <c r="G322" s="14">
        <f>INDEX('Transition Stepwise'!$J$2:$J$1137,MATCH(F322,'Transition Stepwise'!$E$2:$E$1137,0))</f>
        <v>0.4</v>
      </c>
      <c r="H322" s="14" t="e">
        <f>INDEX(Background!$D$12:$D$27,MATCH(C322&amp;D322,INDEX(Background!$A$12:$A$27,0)&amp;INDEX(Background!$B$12:$B$27,0),0))</f>
        <v>#VALUE!</v>
      </c>
      <c r="I322" s="17" t="e">
        <f t="shared" si="16"/>
        <v>#VALUE!</v>
      </c>
    </row>
    <row r="323" spans="1:9">
      <c r="A323" s="4" t="s">
        <v>754</v>
      </c>
      <c r="B323" s="4">
        <v>38</v>
      </c>
      <c r="C323" s="4" t="s">
        <v>73</v>
      </c>
      <c r="D323" s="4" t="s">
        <v>70</v>
      </c>
      <c r="E323" s="4" t="s">
        <v>788</v>
      </c>
      <c r="F323" s="4" t="str">
        <f t="shared" si="15"/>
        <v>38|A|G</v>
      </c>
      <c r="G323" s="14">
        <f>INDEX('Transition Stepwise'!$J$2:$J$1137,MATCH(F323,'Transition Stepwise'!$E$2:$E$1137,0))</f>
        <v>0.28476821192052981</v>
      </c>
      <c r="H323" s="14" t="e">
        <f>INDEX(Background!$D$12:$D$27,MATCH(C323&amp;D323,INDEX(Background!$A$12:$A$27,0)&amp;INDEX(Background!$B$12:$B$27,0),0))</f>
        <v>#VALUE!</v>
      </c>
      <c r="I323" s="17" t="e">
        <f t="shared" si="16"/>
        <v>#VALUE!</v>
      </c>
    </row>
    <row r="324" spans="1:9">
      <c r="A324" s="4" t="s">
        <v>754</v>
      </c>
      <c r="B324" s="4">
        <v>39</v>
      </c>
      <c r="C324" s="4" t="s">
        <v>70</v>
      </c>
      <c r="D324" s="4" t="s">
        <v>70</v>
      </c>
      <c r="E324" s="4" t="s">
        <v>788</v>
      </c>
      <c r="F324" s="4" t="str">
        <f t="shared" si="15"/>
        <v>39|G|G</v>
      </c>
      <c r="G324" s="14">
        <f>INDEX('Transition Stepwise'!$J$2:$J$1137,MATCH(F324,'Transition Stepwise'!$E$2:$E$1137,0))</f>
        <v>0.38157894736842107</v>
      </c>
      <c r="H324" s="14" t="e">
        <f>INDEX(Background!$D$12:$D$27,MATCH(C324&amp;D324,INDEX(Background!$A$12:$A$27,0)&amp;INDEX(Background!$B$12:$B$27,0),0))</f>
        <v>#VALUE!</v>
      </c>
      <c r="I324" s="17" t="e">
        <f t="shared" si="16"/>
        <v>#VALUE!</v>
      </c>
    </row>
    <row r="325" spans="1:9">
      <c r="A325" s="4" t="s">
        <v>754</v>
      </c>
      <c r="B325" s="4">
        <v>40</v>
      </c>
      <c r="C325" s="4" t="s">
        <v>70</v>
      </c>
      <c r="D325" s="4" t="s">
        <v>73</v>
      </c>
      <c r="E325" s="4" t="s">
        <v>788</v>
      </c>
      <c r="F325" s="4" t="str">
        <f t="shared" si="15"/>
        <v>40|G|A</v>
      </c>
      <c r="G325" s="14">
        <f>INDEX('Transition Stepwise'!$J$2:$J$1137,MATCH(F325,'Transition Stepwise'!$E$2:$E$1137,0))</f>
        <v>0.36538461538461536</v>
      </c>
      <c r="H325" s="14" t="e">
        <f>INDEX(Background!$D$12:$D$27,MATCH(C325&amp;D325,INDEX(Background!$A$12:$A$27,0)&amp;INDEX(Background!$B$12:$B$27,0),0))</f>
        <v>#VALUE!</v>
      </c>
      <c r="I325" s="17" t="e">
        <f t="shared" si="16"/>
        <v>#VALUE!</v>
      </c>
    </row>
    <row r="326" spans="1:9">
      <c r="A326" s="4" t="s">
        <v>754</v>
      </c>
      <c r="B326" s="4">
        <v>41</v>
      </c>
      <c r="C326" s="4" t="s">
        <v>73</v>
      </c>
      <c r="D326" s="4" t="s">
        <v>73</v>
      </c>
      <c r="E326" s="4" t="s">
        <v>788</v>
      </c>
      <c r="F326" s="4" t="str">
        <f t="shared" si="15"/>
        <v>41|A|A</v>
      </c>
      <c r="G326" s="14">
        <f>INDEX('Transition Stepwise'!$J$2:$J$1137,MATCH(F326,'Transition Stepwise'!$E$2:$E$1137,0))</f>
        <v>0.25862068965517243</v>
      </c>
      <c r="H326" s="14" t="e">
        <f>INDEX(Background!$D$12:$D$27,MATCH(C326&amp;D326,INDEX(Background!$A$12:$A$27,0)&amp;INDEX(Background!$B$12:$B$27,0),0))</f>
        <v>#VALUE!</v>
      </c>
      <c r="I326" s="17" t="e">
        <f t="shared" si="16"/>
        <v>#VALUE!</v>
      </c>
    </row>
    <row r="327" spans="1:9">
      <c r="A327" s="4" t="s">
        <v>754</v>
      </c>
      <c r="B327" s="4">
        <v>42</v>
      </c>
      <c r="C327" s="4" t="s">
        <v>73</v>
      </c>
      <c r="D327" s="4" t="s">
        <v>70</v>
      </c>
      <c r="E327" s="4" t="s">
        <v>788</v>
      </c>
      <c r="F327" s="4" t="str">
        <f t="shared" si="15"/>
        <v>42|A|G</v>
      </c>
      <c r="G327" s="14">
        <f>INDEX('Transition Stepwise'!$J$2:$J$1137,MATCH(F327,'Transition Stepwise'!$E$2:$E$1137,0))</f>
        <v>0.60377358490566035</v>
      </c>
      <c r="H327" s="14" t="e">
        <f>INDEX(Background!$D$12:$D$27,MATCH(C327&amp;D327,INDEX(Background!$A$12:$A$27,0)&amp;INDEX(Background!$B$12:$B$27,0),0))</f>
        <v>#VALUE!</v>
      </c>
      <c r="I327" s="17" t="e">
        <f t="shared" si="16"/>
        <v>#VALUE!</v>
      </c>
    </row>
    <row r="328" spans="1:9">
      <c r="A328" s="4" t="s">
        <v>754</v>
      </c>
      <c r="B328" s="4">
        <v>43</v>
      </c>
      <c r="C328" s="4" t="s">
        <v>70</v>
      </c>
      <c r="D328" s="4" t="s">
        <v>70</v>
      </c>
      <c r="E328" s="4" t="s">
        <v>788</v>
      </c>
      <c r="F328" s="4" t="str">
        <f t="shared" si="15"/>
        <v>43|G|G</v>
      </c>
      <c r="G328" s="14">
        <f>INDEX('Transition Stepwise'!$J$2:$J$1137,MATCH(F328,'Transition Stepwise'!$E$2:$E$1137,0))</f>
        <v>0.20192307692307693</v>
      </c>
      <c r="H328" s="14" t="e">
        <f>INDEX(Background!$D$12:$D$27,MATCH(C328&amp;D328,INDEX(Background!$A$12:$A$27,0)&amp;INDEX(Background!$B$12:$B$27,0),0))</f>
        <v>#VALUE!</v>
      </c>
      <c r="I328" s="17" t="e">
        <f t="shared" si="16"/>
        <v>#VALUE!</v>
      </c>
    </row>
    <row r="329" spans="1:9">
      <c r="A329" s="4" t="s">
        <v>754</v>
      </c>
      <c r="B329" s="4">
        <v>44</v>
      </c>
      <c r="C329" s="4" t="s">
        <v>70</v>
      </c>
      <c r="D329" s="4" t="s">
        <v>71</v>
      </c>
      <c r="E329" s="4" t="s">
        <v>788</v>
      </c>
      <c r="F329" s="4" t="str">
        <f t="shared" si="15"/>
        <v>44|G|C</v>
      </c>
      <c r="G329" s="14">
        <f>INDEX('Transition Stepwise'!$J$2:$J$1137,MATCH(F329,'Transition Stepwise'!$E$2:$E$1137,0))</f>
        <v>0.04</v>
      </c>
      <c r="H329" s="14" t="e">
        <f>INDEX(Background!$D$12:$D$27,MATCH(C329&amp;D329,INDEX(Background!$A$12:$A$27,0)&amp;INDEX(Background!$B$12:$B$27,0),0))</f>
        <v>#VALUE!</v>
      </c>
      <c r="I329" s="17" t="e">
        <f t="shared" si="16"/>
        <v>#VALUE!</v>
      </c>
    </row>
    <row r="330" spans="1:9">
      <c r="A330" s="4" t="s">
        <v>754</v>
      </c>
      <c r="B330" s="4">
        <v>45</v>
      </c>
      <c r="C330" s="4" t="s">
        <v>71</v>
      </c>
      <c r="D330" s="4" t="s">
        <v>72</v>
      </c>
      <c r="E330" s="4" t="s">
        <v>788</v>
      </c>
      <c r="F330" s="4" t="str">
        <f t="shared" si="15"/>
        <v>45|C|U</v>
      </c>
      <c r="G330" s="14">
        <f>INDEX('Transition Stepwise'!$J$2:$J$1137,MATCH(F330,'Transition Stepwise'!$E$2:$E$1137,0))</f>
        <v>0.22222222222222221</v>
      </c>
      <c r="H330" s="14" t="e">
        <f>INDEX(Background!$D$12:$D$27,MATCH(C330&amp;D330,INDEX(Background!$A$12:$A$27,0)&amp;INDEX(Background!$B$12:$B$27,0),0))</f>
        <v>#VALUE!</v>
      </c>
      <c r="I330" s="17" t="e">
        <f t="shared" si="16"/>
        <v>#VALUE!</v>
      </c>
    </row>
    <row r="331" spans="1:9">
      <c r="A331" s="4" t="s">
        <v>754</v>
      </c>
      <c r="B331" s="4">
        <v>46</v>
      </c>
      <c r="C331" s="4" t="s">
        <v>72</v>
      </c>
      <c r="D331" s="4" t="s">
        <v>70</v>
      </c>
      <c r="E331" s="4" t="s">
        <v>788</v>
      </c>
      <c r="F331" s="4" t="str">
        <f t="shared" si="15"/>
        <v>46|U|G</v>
      </c>
      <c r="G331" s="14">
        <f>INDEX('Transition Stepwise'!$J$2:$J$1137,MATCH(F331,'Transition Stepwise'!$E$2:$E$1137,0))</f>
        <v>0.25</v>
      </c>
      <c r="H331" s="14" t="e">
        <f>INDEX(Background!$D$12:$D$27,MATCH(C331&amp;D331,INDEX(Background!$A$12:$A$27,0)&amp;INDEX(Background!$B$12:$B$27,0),0))</f>
        <v>#VALUE!</v>
      </c>
      <c r="I331" s="17" t="e">
        <f t="shared" si="16"/>
        <v>#VALUE!</v>
      </c>
    </row>
    <row r="332" spans="1:9">
      <c r="A332" s="4" t="s">
        <v>754</v>
      </c>
      <c r="B332" s="4">
        <v>47</v>
      </c>
      <c r="C332" s="4" t="s">
        <v>70</v>
      </c>
      <c r="D332" s="4" t="s">
        <v>72</v>
      </c>
      <c r="E332" s="4" t="s">
        <v>788</v>
      </c>
      <c r="F332" s="4" t="str">
        <f t="shared" si="15"/>
        <v>47|G|U</v>
      </c>
      <c r="G332" s="14">
        <f>INDEX('Transition Stepwise'!$J$2:$J$1137,MATCH(F332,'Transition Stepwise'!$E$2:$E$1137,0))</f>
        <v>0.45</v>
      </c>
      <c r="H332" s="14" t="e">
        <f>INDEX(Background!$D$12:$D$27,MATCH(C332&amp;D332,INDEX(Background!$A$12:$A$27,0)&amp;INDEX(Background!$B$12:$B$27,0),0))</f>
        <v>#VALUE!</v>
      </c>
      <c r="I332" s="17" t="e">
        <f t="shared" si="16"/>
        <v>#VALUE!</v>
      </c>
    </row>
    <row r="333" spans="1:9">
      <c r="A333" s="4" t="s">
        <v>754</v>
      </c>
      <c r="B333" s="4">
        <v>48</v>
      </c>
      <c r="C333" s="4" t="s">
        <v>72</v>
      </c>
      <c r="D333" s="4" t="s">
        <v>71</v>
      </c>
      <c r="E333" s="4" t="s">
        <v>788</v>
      </c>
      <c r="F333" s="4" t="str">
        <f t="shared" si="15"/>
        <v>48|U|C</v>
      </c>
      <c r="G333" s="14">
        <f>INDEX('Transition Stepwise'!$J$2:$J$1137,MATCH(F333,'Transition Stepwise'!$E$2:$E$1137,0))</f>
        <v>0.15151515151515152</v>
      </c>
      <c r="H333" s="14" t="e">
        <f>INDEX(Background!$D$12:$D$27,MATCH(C333&amp;D333,INDEX(Background!$A$12:$A$27,0)&amp;INDEX(Background!$B$12:$B$27,0),0))</f>
        <v>#VALUE!</v>
      </c>
      <c r="I333" s="17" t="e">
        <f t="shared" si="16"/>
        <v>#VALUE!</v>
      </c>
    </row>
    <row r="334" spans="1:9">
      <c r="A334" s="4" t="s">
        <v>754</v>
      </c>
      <c r="B334" s="4">
        <v>49</v>
      </c>
      <c r="C334" s="4" t="s">
        <v>71</v>
      </c>
      <c r="D334" s="4" t="s">
        <v>73</v>
      </c>
      <c r="E334" s="4" t="s">
        <v>788</v>
      </c>
      <c r="F334" s="4" t="str">
        <f t="shared" si="15"/>
        <v>49|C|A</v>
      </c>
      <c r="G334" s="14">
        <f>INDEX('Transition Stepwise'!$J$2:$J$1137,MATCH(F334,'Transition Stepwise'!$E$2:$E$1137,0))</f>
        <v>6.5573770491803282E-2</v>
      </c>
      <c r="H334" s="14" t="e">
        <f>INDEX(Background!$D$12:$D$27,MATCH(C334&amp;D334,INDEX(Background!$A$12:$A$27,0)&amp;INDEX(Background!$B$12:$B$27,0),0))</f>
        <v>#VALUE!</v>
      </c>
      <c r="I334" s="17" t="e">
        <f t="shared" si="16"/>
        <v>#VALUE!</v>
      </c>
    </row>
    <row r="335" spans="1:9">
      <c r="A335" s="4" t="s">
        <v>754</v>
      </c>
      <c r="B335" s="4">
        <v>50</v>
      </c>
      <c r="C335" s="4" t="s">
        <v>73</v>
      </c>
      <c r="D335" s="4" t="s">
        <v>70</v>
      </c>
      <c r="E335" s="4" t="s">
        <v>788</v>
      </c>
      <c r="F335" s="4" t="str">
        <f t="shared" si="15"/>
        <v>50|A|G</v>
      </c>
      <c r="G335" s="14">
        <f>INDEX('Transition Stepwise'!$J$2:$J$1137,MATCH(F335,'Transition Stepwise'!$E$2:$E$1137,0))</f>
        <v>0.62962962962962965</v>
      </c>
      <c r="H335" s="14" t="e">
        <f>INDEX(Background!$D$12:$D$27,MATCH(C335&amp;D335,INDEX(Background!$A$12:$A$27,0)&amp;INDEX(Background!$B$12:$B$27,0),0))</f>
        <v>#VALUE!</v>
      </c>
      <c r="I335" s="17" t="e">
        <f t="shared" si="16"/>
        <v>#VALUE!</v>
      </c>
    </row>
    <row r="336" spans="1:9">
      <c r="A336" s="4" t="s">
        <v>754</v>
      </c>
      <c r="B336" s="4">
        <v>51</v>
      </c>
      <c r="C336" s="4" t="s">
        <v>70</v>
      </c>
      <c r="D336" s="4" t="s">
        <v>70</v>
      </c>
      <c r="E336" s="4" t="s">
        <v>788</v>
      </c>
      <c r="F336" s="4" t="str">
        <f t="shared" si="15"/>
        <v>51|G|G</v>
      </c>
      <c r="G336" s="14">
        <f>INDEX('Transition Stepwise'!$J$2:$J$1137,MATCH(F336,'Transition Stepwise'!$E$2:$E$1137,0))</f>
        <v>0.78640776699029125</v>
      </c>
      <c r="H336" s="14" t="e">
        <f>INDEX(Background!$D$12:$D$27,MATCH(C336&amp;D336,INDEX(Background!$A$12:$A$27,0)&amp;INDEX(Background!$B$12:$B$27,0),0))</f>
        <v>#VALUE!</v>
      </c>
      <c r="I336" s="17" t="e">
        <f t="shared" si="16"/>
        <v>#VALUE!</v>
      </c>
    </row>
    <row r="337" spans="1:9">
      <c r="A337" s="4" t="s">
        <v>754</v>
      </c>
      <c r="B337" s="4">
        <v>52</v>
      </c>
      <c r="C337" s="4" t="s">
        <v>70</v>
      </c>
      <c r="D337" s="4" t="s">
        <v>70</v>
      </c>
      <c r="E337" s="4" t="s">
        <v>788</v>
      </c>
      <c r="F337" s="4" t="str">
        <f t="shared" si="15"/>
        <v>52|G|G</v>
      </c>
      <c r="G337" s="14">
        <f>INDEX('Transition Stepwise'!$J$2:$J$1137,MATCH(F337,'Transition Stepwise'!$E$2:$E$1137,0))</f>
        <v>0.96511627906976749</v>
      </c>
      <c r="H337" s="14" t="e">
        <f>INDEX(Background!$D$12:$D$27,MATCH(C337&amp;D337,INDEX(Background!$A$12:$A$27,0)&amp;INDEX(Background!$B$12:$B$27,0),0))</f>
        <v>#VALUE!</v>
      </c>
      <c r="I337" s="17" t="e">
        <f t="shared" si="16"/>
        <v>#VALUE!</v>
      </c>
    </row>
    <row r="338" spans="1:9">
      <c r="A338" s="4" t="s">
        <v>754</v>
      </c>
      <c r="B338" s="4">
        <v>53</v>
      </c>
      <c r="C338" s="4" t="s">
        <v>70</v>
      </c>
      <c r="D338" s="4" t="s">
        <v>73</v>
      </c>
      <c r="E338" s="4" t="s">
        <v>788</v>
      </c>
      <c r="F338" s="4" t="str">
        <f t="shared" si="15"/>
        <v>53|G|A</v>
      </c>
      <c r="G338" s="14">
        <f>INDEX('Transition Stepwise'!$J$2:$J$1137,MATCH(F338,'Transition Stepwise'!$E$2:$E$1137,0))</f>
        <v>1.4999999999999999E-2</v>
      </c>
      <c r="H338" s="14" t="e">
        <f>INDEX(Background!$D$12:$D$27,MATCH(C338&amp;D338,INDEX(Background!$A$12:$A$27,0)&amp;INDEX(Background!$B$12:$B$27,0),0))</f>
        <v>#VALUE!</v>
      </c>
      <c r="I338" s="17" t="e">
        <f t="shared" si="16"/>
        <v>#VALUE!</v>
      </c>
    </row>
    <row r="339" spans="1:9">
      <c r="A339" s="4" t="s">
        <v>754</v>
      </c>
      <c r="B339" s="4">
        <v>54</v>
      </c>
      <c r="C339" s="4" t="s">
        <v>73</v>
      </c>
      <c r="D339" s="4" t="s">
        <v>71</v>
      </c>
      <c r="E339" s="4" t="s">
        <v>788</v>
      </c>
      <c r="F339" s="4" t="str">
        <f t="shared" si="15"/>
        <v>54|A|C</v>
      </c>
      <c r="G339" s="14">
        <f>INDEX('Transition Stepwise'!$J$2:$J$1137,MATCH(F339,'Transition Stepwise'!$E$2:$E$1137,0))</f>
        <v>0.16666666666666666</v>
      </c>
      <c r="H339" s="14" t="e">
        <f>INDEX(Background!$D$12:$D$27,MATCH(C339&amp;D339,INDEX(Background!$A$12:$A$27,0)&amp;INDEX(Background!$B$12:$B$27,0),0))</f>
        <v>#VALUE!</v>
      </c>
      <c r="I339" s="17" t="e">
        <f t="shared" si="16"/>
        <v>#VALUE!</v>
      </c>
    </row>
    <row r="340" spans="1:9">
      <c r="A340" s="4" t="s">
        <v>754</v>
      </c>
      <c r="B340" s="4">
        <v>55</v>
      </c>
      <c r="C340" s="4" t="s">
        <v>71</v>
      </c>
      <c r="D340" s="4" t="s">
        <v>71</v>
      </c>
      <c r="E340" s="4" t="s">
        <v>788</v>
      </c>
      <c r="F340" s="4" t="str">
        <f t="shared" si="15"/>
        <v>55|C|C</v>
      </c>
      <c r="G340" s="14">
        <f>INDEX('Transition Stepwise'!$J$2:$J$1137,MATCH(F340,'Transition Stepwise'!$E$2:$E$1137,0))</f>
        <v>0.2</v>
      </c>
      <c r="H340" s="14" t="e">
        <f>INDEX(Background!$D$12:$D$27,MATCH(C340&amp;D340,INDEX(Background!$A$12:$A$27,0)&amp;INDEX(Background!$B$12:$B$27,0),0))</f>
        <v>#VALUE!</v>
      </c>
      <c r="I340" s="17" t="e">
        <f t="shared" si="16"/>
        <v>#VALUE!</v>
      </c>
    </row>
    <row r="341" spans="1:9">
      <c r="A341" s="4" t="s">
        <v>754</v>
      </c>
      <c r="B341" s="4">
        <v>56</v>
      </c>
      <c r="C341" s="4" t="s">
        <v>71</v>
      </c>
      <c r="D341" s="4" t="s">
        <v>72</v>
      </c>
      <c r="E341" s="4" t="s">
        <v>788</v>
      </c>
      <c r="F341" s="4" t="str">
        <f t="shared" si="15"/>
        <v>56|C|U</v>
      </c>
      <c r="G341" s="14">
        <f>INDEX('Transition Stepwise'!$J$2:$J$1137,MATCH(F341,'Transition Stepwise'!$E$2:$E$1137,0))</f>
        <v>5.0000000000000001E-3</v>
      </c>
      <c r="H341" s="14" t="e">
        <f>INDEX(Background!$D$12:$D$27,MATCH(C341&amp;D341,INDEX(Background!$A$12:$A$27,0)&amp;INDEX(Background!$B$12:$B$27,0),0))</f>
        <v>#VALUE!</v>
      </c>
      <c r="I341" s="17" t="e">
        <f t="shared" si="16"/>
        <v>#VALUE!</v>
      </c>
    </row>
    <row r="342" spans="1:9">
      <c r="A342" s="4" t="s">
        <v>754</v>
      </c>
      <c r="B342" s="4">
        <v>57</v>
      </c>
      <c r="C342" s="4" t="s">
        <v>72</v>
      </c>
      <c r="D342" s="4" t="s">
        <v>71</v>
      </c>
      <c r="E342" s="4" t="s">
        <v>788</v>
      </c>
      <c r="F342" s="4" t="str">
        <f t="shared" si="15"/>
        <v>57|U|C</v>
      </c>
      <c r="G342" s="14">
        <f>INDEX('Transition Stepwise'!$J$2:$J$1137,MATCH(F342,'Transition Stepwise'!$E$2:$E$1137,0))</f>
        <v>0.4</v>
      </c>
      <c r="H342" s="14" t="e">
        <f>INDEX(Background!$D$12:$D$27,MATCH(C342&amp;D342,INDEX(Background!$A$12:$A$27,0)&amp;INDEX(Background!$B$12:$B$27,0),0))</f>
        <v>#VALUE!</v>
      </c>
      <c r="I342" s="17" t="e">
        <f t="shared" si="16"/>
        <v>#VALUE!</v>
      </c>
    </row>
    <row r="343" spans="1:9">
      <c r="A343" s="4" t="s">
        <v>754</v>
      </c>
      <c r="B343" s="4">
        <v>58</v>
      </c>
      <c r="C343" s="4" t="s">
        <v>71</v>
      </c>
      <c r="D343" s="4" t="s">
        <v>72</v>
      </c>
      <c r="E343" s="4" t="s">
        <v>788</v>
      </c>
      <c r="F343" s="4" t="str">
        <f t="shared" si="15"/>
        <v>58|C|U</v>
      </c>
      <c r="G343" s="14">
        <f>INDEX('Transition Stepwise'!$J$2:$J$1137,MATCH(F343,'Transition Stepwise'!$E$2:$E$1137,0))</f>
        <v>0.2</v>
      </c>
      <c r="H343" s="14" t="e">
        <f>INDEX(Background!$D$12:$D$27,MATCH(C343&amp;D343,INDEX(Background!$A$12:$A$27,0)&amp;INDEX(Background!$B$12:$B$27,0),0))</f>
        <v>#VALUE!</v>
      </c>
      <c r="I343" s="17" t="e">
        <f t="shared" si="16"/>
        <v>#VALUE!</v>
      </c>
    </row>
    <row r="344" spans="1:9">
      <c r="A344" s="4" t="s">
        <v>754</v>
      </c>
      <c r="B344" s="4">
        <v>59</v>
      </c>
      <c r="C344" s="4" t="s">
        <v>72</v>
      </c>
      <c r="D344" s="4" t="s">
        <v>70</v>
      </c>
      <c r="E344" s="4" t="s">
        <v>788</v>
      </c>
      <c r="F344" s="4" t="str">
        <f t="shared" si="15"/>
        <v>59|U|G</v>
      </c>
      <c r="G344" s="14">
        <f>INDEX('Transition Stepwise'!$J$2:$J$1137,MATCH(F344,'Transition Stepwise'!$E$2:$E$1137,0))</f>
        <v>1.8518518518518517E-2</v>
      </c>
      <c r="H344" s="14" t="e">
        <f>INDEX(Background!$D$12:$D$27,MATCH(C344&amp;D344,INDEX(Background!$A$12:$A$27,0)&amp;INDEX(Background!$B$12:$B$27,0),0))</f>
        <v>#VALUE!</v>
      </c>
      <c r="I344" s="17" t="e">
        <f t="shared" si="16"/>
        <v>#VALUE!</v>
      </c>
    </row>
    <row r="345" spans="1:9">
      <c r="A345" s="4" t="s">
        <v>754</v>
      </c>
      <c r="B345" s="4">
        <v>60</v>
      </c>
      <c r="C345" s="4" t="s">
        <v>70</v>
      </c>
      <c r="D345" s="4" t="s">
        <v>71</v>
      </c>
      <c r="E345" s="4" t="s">
        <v>788</v>
      </c>
      <c r="F345" s="4" t="str">
        <f t="shared" si="15"/>
        <v>60|G|C</v>
      </c>
      <c r="G345" s="14">
        <f>INDEX('Transition Stepwise'!$J$2:$J$1137,MATCH(F345,'Transition Stepwise'!$E$2:$E$1137,0))</f>
        <v>0.33333333333333331</v>
      </c>
      <c r="H345" s="14" t="e">
        <f>INDEX(Background!$D$12:$D$27,MATCH(C345&amp;D345,INDEX(Background!$A$12:$A$27,0)&amp;INDEX(Background!$B$12:$B$27,0),0))</f>
        <v>#VALUE!</v>
      </c>
      <c r="I345" s="17" t="e">
        <f t="shared" si="16"/>
        <v>#VALUE!</v>
      </c>
    </row>
    <row r="346" spans="1:9">
      <c r="A346" s="4" t="s">
        <v>754</v>
      </c>
      <c r="B346" s="4">
        <v>61</v>
      </c>
      <c r="C346" s="4" t="s">
        <v>71</v>
      </c>
      <c r="D346" s="4" t="s">
        <v>71</v>
      </c>
      <c r="E346" s="4" t="s">
        <v>788</v>
      </c>
      <c r="F346" s="4" t="str">
        <f t="shared" si="15"/>
        <v>61|C|C</v>
      </c>
      <c r="G346" s="14">
        <f>INDEX('Transition Stepwise'!$J$2:$J$1137,MATCH(F346,'Transition Stepwise'!$E$2:$E$1137,0))</f>
        <v>0.8366336633663366</v>
      </c>
      <c r="H346" s="14" t="e">
        <f>INDEX(Background!$D$12:$D$27,MATCH(C346&amp;D346,INDEX(Background!$A$12:$A$27,0)&amp;INDEX(Background!$B$12:$B$27,0),0))</f>
        <v>#VALUE!</v>
      </c>
      <c r="I346" s="17" t="e">
        <f t="shared" si="16"/>
        <v>#VALUE!</v>
      </c>
    </row>
    <row r="347" spans="1:9">
      <c r="A347" s="4" t="s">
        <v>754</v>
      </c>
      <c r="B347" s="4">
        <v>62</v>
      </c>
      <c r="C347" s="4" t="s">
        <v>71</v>
      </c>
      <c r="D347" s="4" t="s">
        <v>72</v>
      </c>
      <c r="E347" s="4" t="s">
        <v>788</v>
      </c>
      <c r="F347" s="4" t="str">
        <f t="shared" si="15"/>
        <v>62|C|U</v>
      </c>
      <c r="G347" s="14">
        <f>INDEX('Transition Stepwise'!$J$2:$J$1137,MATCH(F347,'Transition Stepwise'!$E$2:$E$1137,0))</f>
        <v>0.1791907514450867</v>
      </c>
      <c r="H347" s="14" t="e">
        <f>INDEX(Background!$D$12:$D$27,MATCH(C347&amp;D347,INDEX(Background!$A$12:$A$27,0)&amp;INDEX(Background!$B$12:$B$27,0),0))</f>
        <v>#VALUE!</v>
      </c>
      <c r="I347" s="17" t="e">
        <f t="shared" si="16"/>
        <v>#VALUE!</v>
      </c>
    </row>
    <row r="348" spans="1:9">
      <c r="A348" s="4" t="s">
        <v>754</v>
      </c>
      <c r="B348" s="4">
        <v>63</v>
      </c>
      <c r="C348" s="4" t="s">
        <v>72</v>
      </c>
      <c r="D348" s="4" t="s">
        <v>72</v>
      </c>
      <c r="E348" s="4" t="s">
        <v>788</v>
      </c>
      <c r="F348" s="4" t="str">
        <f t="shared" si="15"/>
        <v>63|U|U</v>
      </c>
      <c r="G348" s="14">
        <f>INDEX('Transition Stepwise'!$J$2:$J$1137,MATCH(F348,'Transition Stepwise'!$E$2:$E$1137,0))</f>
        <v>0.1388888888888889</v>
      </c>
      <c r="H348" s="14" t="e">
        <f>INDEX(Background!$D$12:$D$27,MATCH(C348&amp;D348,INDEX(Background!$A$12:$A$27,0)&amp;INDEX(Background!$B$12:$B$27,0),0))</f>
        <v>#VALUE!</v>
      </c>
      <c r="I348" s="17" t="e">
        <f t="shared" si="16"/>
        <v>#VALUE!</v>
      </c>
    </row>
    <row r="349" spans="1:9">
      <c r="A349" s="4" t="s">
        <v>754</v>
      </c>
      <c r="B349" s="4">
        <v>64</v>
      </c>
      <c r="C349" s="4" t="s">
        <v>72</v>
      </c>
      <c r="D349" s="4" t="s">
        <v>70</v>
      </c>
      <c r="E349" s="4" t="s">
        <v>788</v>
      </c>
      <c r="F349" s="4" t="str">
        <f t="shared" si="15"/>
        <v>64|U|G</v>
      </c>
      <c r="G349" s="14">
        <f>INDEX('Transition Stepwise'!$J$2:$J$1137,MATCH(F349,'Transition Stepwise'!$E$2:$E$1137,0))</f>
        <v>0.13513513513513514</v>
      </c>
      <c r="H349" s="14" t="e">
        <f>INDEX(Background!$D$12:$D$27,MATCH(C349&amp;D349,INDEX(Background!$A$12:$A$27,0)&amp;INDEX(Background!$B$12:$B$27,0),0))</f>
        <v>#VALUE!</v>
      </c>
      <c r="I349" s="17" t="e">
        <f t="shared" si="16"/>
        <v>#VALUE!</v>
      </c>
    </row>
    <row r="350" spans="1:9">
      <c r="A350" s="4" t="s">
        <v>754</v>
      </c>
      <c r="B350" s="4">
        <v>65</v>
      </c>
      <c r="C350" s="4" t="s">
        <v>70</v>
      </c>
      <c r="D350" s="4" t="s">
        <v>73</v>
      </c>
      <c r="E350" s="4" t="s">
        <v>788</v>
      </c>
      <c r="F350" s="4" t="str">
        <f t="shared" si="15"/>
        <v>65|G|A</v>
      </c>
      <c r="G350" s="14">
        <f>INDEX('Transition Stepwise'!$J$2:$J$1137,MATCH(F350,'Transition Stepwise'!$E$2:$E$1137,0))</f>
        <v>0.16393442622950818</v>
      </c>
      <c r="H350" s="14" t="e">
        <f>INDEX(Background!$D$12:$D$27,MATCH(C350&amp;D350,INDEX(Background!$A$12:$A$27,0)&amp;INDEX(Background!$B$12:$B$27,0),0))</f>
        <v>#VALUE!</v>
      </c>
      <c r="I350" s="17" t="e">
        <f t="shared" si="16"/>
        <v>#VALUE!</v>
      </c>
    </row>
    <row r="351" spans="1:9">
      <c r="A351" s="4" t="s">
        <v>754</v>
      </c>
      <c r="B351" s="4">
        <v>66</v>
      </c>
      <c r="C351" s="4" t="s">
        <v>73</v>
      </c>
      <c r="D351" s="4" t="s">
        <v>72</v>
      </c>
      <c r="E351" s="4" t="s">
        <v>788</v>
      </c>
      <c r="F351" s="4" t="str">
        <f t="shared" si="15"/>
        <v>66|A|U</v>
      </c>
      <c r="G351" s="14">
        <f>INDEX('Transition Stepwise'!$J$2:$J$1137,MATCH(F351,'Transition Stepwise'!$E$2:$E$1137,0))</f>
        <v>0.25531914893617019</v>
      </c>
      <c r="H351" s="14" t="e">
        <f>INDEX(Background!$D$12:$D$27,MATCH(C351&amp;D351,INDEX(Background!$A$12:$A$27,0)&amp;INDEX(Background!$B$12:$B$27,0),0))</f>
        <v>#VALUE!</v>
      </c>
      <c r="I351" s="17" t="e">
        <f t="shared" si="16"/>
        <v>#VALUE!</v>
      </c>
    </row>
    <row r="352" spans="1:9">
      <c r="A352" s="4" t="s">
        <v>754</v>
      </c>
      <c r="B352" s="4">
        <v>67</v>
      </c>
      <c r="C352" s="4" t="s">
        <v>72</v>
      </c>
      <c r="D352" s="4" t="s">
        <v>70</v>
      </c>
      <c r="E352" s="4" t="s">
        <v>788</v>
      </c>
      <c r="F352" s="4" t="str">
        <f t="shared" ref="F352:F370" si="17">B352&amp;"|"&amp;C352&amp;"|"&amp;D352</f>
        <v>67|U|G</v>
      </c>
      <c r="G352" s="14">
        <f>INDEX('Transition Stepwise'!$J$2:$J$1137,MATCH(F352,'Transition Stepwise'!$E$2:$E$1137,0))</f>
        <v>0.2857142857142857</v>
      </c>
      <c r="H352" s="14" t="e">
        <f>INDEX(Background!$D$12:$D$27,MATCH(C352&amp;D352,INDEX(Background!$A$12:$A$27,0)&amp;INDEX(Background!$B$12:$B$27,0),0))</f>
        <v>#VALUE!</v>
      </c>
      <c r="I352" s="17" t="e">
        <f t="shared" ref="I352:I415" si="18">LN(G352/H352)</f>
        <v>#VALUE!</v>
      </c>
    </row>
    <row r="353" spans="1:9">
      <c r="A353" s="4" t="s">
        <v>754</v>
      </c>
      <c r="B353" s="4">
        <v>68</v>
      </c>
      <c r="C353" s="4" t="s">
        <v>70</v>
      </c>
      <c r="D353" s="4" t="s">
        <v>72</v>
      </c>
      <c r="E353" s="4" t="s">
        <v>788</v>
      </c>
      <c r="F353" s="4" t="str">
        <f t="shared" si="17"/>
        <v>68|G|U</v>
      </c>
      <c r="G353" s="14">
        <f>INDEX('Transition Stepwise'!$J$2:$J$1137,MATCH(F353,'Transition Stepwise'!$E$2:$E$1137,0))</f>
        <v>4.3956043956043959E-2</v>
      </c>
      <c r="H353" s="14" t="e">
        <f>INDEX(Background!$D$12:$D$27,MATCH(C353&amp;D353,INDEX(Background!$A$12:$A$27,0)&amp;INDEX(Background!$B$12:$B$27,0),0))</f>
        <v>#VALUE!</v>
      </c>
      <c r="I353" s="17" t="e">
        <f t="shared" si="18"/>
        <v>#VALUE!</v>
      </c>
    </row>
    <row r="354" spans="1:9">
      <c r="A354" s="4" t="s">
        <v>754</v>
      </c>
      <c r="B354" s="4">
        <v>69</v>
      </c>
      <c r="C354" s="4" t="s">
        <v>72</v>
      </c>
      <c r="D354" s="4" t="s">
        <v>72</v>
      </c>
      <c r="E354" s="4" t="s">
        <v>788</v>
      </c>
      <c r="F354" s="4" t="str">
        <f t="shared" si="17"/>
        <v>69|U|U</v>
      </c>
      <c r="G354" s="14">
        <f>INDEX('Transition Stepwise'!$J$2:$J$1137,MATCH(F354,'Transition Stepwise'!$E$2:$E$1137,0))</f>
        <v>0.14285714285714285</v>
      </c>
      <c r="H354" s="14" t="e">
        <f>INDEX(Background!$D$12:$D$27,MATCH(C354&amp;D354,INDEX(Background!$A$12:$A$27,0)&amp;INDEX(Background!$B$12:$B$27,0),0))</f>
        <v>#VALUE!</v>
      </c>
      <c r="I354" s="17" t="e">
        <f t="shared" si="18"/>
        <v>#VALUE!</v>
      </c>
    </row>
    <row r="355" spans="1:9">
      <c r="A355" s="4" t="s">
        <v>754</v>
      </c>
      <c r="B355" s="4">
        <v>70</v>
      </c>
      <c r="C355" s="4" t="s">
        <v>72</v>
      </c>
      <c r="D355" s="4" t="s">
        <v>70</v>
      </c>
      <c r="E355" s="4" t="s">
        <v>788</v>
      </c>
      <c r="F355" s="4" t="str">
        <f t="shared" si="17"/>
        <v>70|U|G</v>
      </c>
      <c r="G355" s="14">
        <f>INDEX('Transition Stepwise'!$J$2:$J$1137,MATCH(F355,'Transition Stepwise'!$E$2:$E$1137,0))</f>
        <v>8.8235294117647065E-2</v>
      </c>
      <c r="H355" s="14" t="e">
        <f>INDEX(Background!$D$12:$D$27,MATCH(C355&amp;D355,INDEX(Background!$A$12:$A$27,0)&amp;INDEX(Background!$B$12:$B$27,0),0))</f>
        <v>#VALUE!</v>
      </c>
      <c r="I355" s="17" t="e">
        <f t="shared" si="18"/>
        <v>#VALUE!</v>
      </c>
    </row>
    <row r="356" spans="1:9">
      <c r="A356" s="4" t="s">
        <v>754</v>
      </c>
      <c r="B356" s="4">
        <v>71</v>
      </c>
      <c r="C356" s="4" t="s">
        <v>70</v>
      </c>
      <c r="D356" s="4" t="s">
        <v>70</v>
      </c>
      <c r="E356" s="4" t="s">
        <v>788</v>
      </c>
      <c r="F356" s="4" t="str">
        <f t="shared" si="17"/>
        <v>71|G|G</v>
      </c>
      <c r="G356" s="14">
        <f>INDEX('Transition Stepwise'!$J$2:$J$1137,MATCH(F356,'Transition Stepwise'!$E$2:$E$1137,0))</f>
        <v>5.8139534883720929E-2</v>
      </c>
      <c r="H356" s="14" t="e">
        <f>INDEX(Background!$D$12:$D$27,MATCH(C356&amp;D356,INDEX(Background!$A$12:$A$27,0)&amp;INDEX(Background!$B$12:$B$27,0),0))</f>
        <v>#VALUE!</v>
      </c>
      <c r="I356" s="17" t="e">
        <f t="shared" si="18"/>
        <v>#VALUE!</v>
      </c>
    </row>
    <row r="357" spans="1:9">
      <c r="A357" s="4" t="s">
        <v>755</v>
      </c>
      <c r="B357" s="4">
        <v>1</v>
      </c>
      <c r="C357" s="4" t="s">
        <v>71</v>
      </c>
      <c r="D357" s="4" t="s">
        <v>72</v>
      </c>
      <c r="E357" s="4" t="s">
        <v>788</v>
      </c>
      <c r="F357" s="4" t="str">
        <f t="shared" si="17"/>
        <v>1|C|U</v>
      </c>
      <c r="G357" s="14">
        <f>INDEX('Transition Stepwise'!$J$2:$J$1137,MATCH(F357,'Transition Stepwise'!$E$2:$E$1137,0))</f>
        <v>7.6923076923076927E-2</v>
      </c>
      <c r="H357" s="14" t="e">
        <f>INDEX(Background!$D$12:$D$27,MATCH(C357&amp;D357,INDEX(Background!$A$12:$A$27,0)&amp;INDEX(Background!$B$12:$B$27,0),0))</f>
        <v>#VALUE!</v>
      </c>
      <c r="I357" s="17" t="e">
        <f t="shared" si="18"/>
        <v>#VALUE!</v>
      </c>
    </row>
    <row r="358" spans="1:9">
      <c r="A358" s="4" t="s">
        <v>755</v>
      </c>
      <c r="B358" s="4">
        <v>2</v>
      </c>
      <c r="C358" s="4" t="s">
        <v>72</v>
      </c>
      <c r="D358" s="4" t="s">
        <v>70</v>
      </c>
      <c r="E358" s="4" t="s">
        <v>788</v>
      </c>
      <c r="F358" s="4" t="str">
        <f t="shared" si="17"/>
        <v>2|U|G</v>
      </c>
      <c r="G358" s="14">
        <f>INDEX('Transition Stepwise'!$J$2:$J$1137,MATCH(F358,'Transition Stepwise'!$E$2:$E$1137,0))</f>
        <v>0.2</v>
      </c>
      <c r="H358" s="14" t="e">
        <f>INDEX(Background!$D$12:$D$27,MATCH(C358&amp;D358,INDEX(Background!$A$12:$A$27,0)&amp;INDEX(Background!$B$12:$B$27,0),0))</f>
        <v>#VALUE!</v>
      </c>
      <c r="I358" s="17" t="e">
        <f t="shared" si="18"/>
        <v>#VALUE!</v>
      </c>
    </row>
    <row r="359" spans="1:9">
      <c r="A359" s="4" t="s">
        <v>755</v>
      </c>
      <c r="B359" s="4">
        <v>3</v>
      </c>
      <c r="C359" s="4" t="s">
        <v>70</v>
      </c>
      <c r="D359" s="4" t="s">
        <v>73</v>
      </c>
      <c r="E359" s="4" t="s">
        <v>788</v>
      </c>
      <c r="F359" s="4" t="str">
        <f t="shared" si="17"/>
        <v>3|G|A</v>
      </c>
      <c r="G359" s="14">
        <f>INDEX('Transition Stepwise'!$J$2:$J$1137,MATCH(F359,'Transition Stepwise'!$E$2:$E$1137,0))</f>
        <v>8.8888888888888892E-2</v>
      </c>
      <c r="H359" s="14" t="e">
        <f>INDEX(Background!$D$12:$D$27,MATCH(C359&amp;D359,INDEX(Background!$A$12:$A$27,0)&amp;INDEX(Background!$B$12:$B$27,0),0))</f>
        <v>#VALUE!</v>
      </c>
      <c r="I359" s="17" t="e">
        <f t="shared" si="18"/>
        <v>#VALUE!</v>
      </c>
    </row>
    <row r="360" spans="1:9">
      <c r="A360" s="4" t="s">
        <v>755</v>
      </c>
      <c r="B360" s="4">
        <v>4</v>
      </c>
      <c r="C360" s="4" t="s">
        <v>73</v>
      </c>
      <c r="D360" s="4" t="s">
        <v>70</v>
      </c>
      <c r="E360" s="4" t="s">
        <v>788</v>
      </c>
      <c r="F360" s="4" t="str">
        <f t="shared" si="17"/>
        <v>4|A|G</v>
      </c>
      <c r="G360" s="14">
        <f>INDEX('Transition Stepwise'!$J$2:$J$1137,MATCH(F360,'Transition Stepwise'!$E$2:$E$1137,0))</f>
        <v>0.4</v>
      </c>
      <c r="H360" s="14" t="e">
        <f>INDEX(Background!$D$12:$D$27,MATCH(C360&amp;D360,INDEX(Background!$A$12:$A$27,0)&amp;INDEX(Background!$B$12:$B$27,0),0))</f>
        <v>#VALUE!</v>
      </c>
      <c r="I360" s="17" t="e">
        <f t="shared" si="18"/>
        <v>#VALUE!</v>
      </c>
    </row>
    <row r="361" spans="1:9">
      <c r="A361" s="4" t="s">
        <v>755</v>
      </c>
      <c r="B361" s="4">
        <v>5</v>
      </c>
      <c r="C361" s="4" t="s">
        <v>70</v>
      </c>
      <c r="D361" s="4" t="s">
        <v>70</v>
      </c>
      <c r="E361" s="4" t="s">
        <v>788</v>
      </c>
      <c r="F361" s="4" t="str">
        <f t="shared" si="17"/>
        <v>5|G|G</v>
      </c>
      <c r="G361" s="14">
        <f>INDEX('Transition Stepwise'!$J$2:$J$1137,MATCH(F361,'Transition Stepwise'!$E$2:$E$1137,0))</f>
        <v>0.30136986301369861</v>
      </c>
      <c r="H361" s="14" t="e">
        <f>INDEX(Background!$D$12:$D$27,MATCH(C361&amp;D361,INDEX(Background!$A$12:$A$27,0)&amp;INDEX(Background!$B$12:$B$27,0),0))</f>
        <v>#VALUE!</v>
      </c>
      <c r="I361" s="17" t="e">
        <f t="shared" si="18"/>
        <v>#VALUE!</v>
      </c>
    </row>
    <row r="362" spans="1:9">
      <c r="A362" s="4" t="s">
        <v>755</v>
      </c>
      <c r="B362" s="4">
        <v>6</v>
      </c>
      <c r="C362" s="4" t="s">
        <v>70</v>
      </c>
      <c r="D362" s="4" t="s">
        <v>70</v>
      </c>
      <c r="E362" s="4" t="s">
        <v>788</v>
      </c>
      <c r="F362" s="4" t="str">
        <f t="shared" si="17"/>
        <v>6|G|G</v>
      </c>
      <c r="G362" s="14">
        <f>INDEX('Transition Stepwise'!$J$2:$J$1137,MATCH(F362,'Transition Stepwise'!$E$2:$E$1137,0))</f>
        <v>0.46153846153846156</v>
      </c>
      <c r="H362" s="14" t="e">
        <f>INDEX(Background!$D$12:$D$27,MATCH(C362&amp;D362,INDEX(Background!$A$12:$A$27,0)&amp;INDEX(Background!$B$12:$B$27,0),0))</f>
        <v>#VALUE!</v>
      </c>
      <c r="I362" s="17" t="e">
        <f t="shared" si="18"/>
        <v>#VALUE!</v>
      </c>
    </row>
    <row r="363" spans="1:9">
      <c r="A363" s="4" t="s">
        <v>755</v>
      </c>
      <c r="B363" s="4">
        <v>7</v>
      </c>
      <c r="C363" s="4" t="s">
        <v>70</v>
      </c>
      <c r="D363" s="4" t="s">
        <v>72</v>
      </c>
      <c r="E363" s="4" t="s">
        <v>788</v>
      </c>
      <c r="F363" s="4" t="str">
        <f t="shared" si="17"/>
        <v>7|G|U</v>
      </c>
      <c r="G363" s="14">
        <f>INDEX('Transition Stepwise'!$J$2:$J$1137,MATCH(F363,'Transition Stepwise'!$E$2:$E$1137,0))</f>
        <v>0.96330275229357798</v>
      </c>
      <c r="H363" s="14" t="e">
        <f>INDEX(Background!$D$12:$D$27,MATCH(C363&amp;D363,INDEX(Background!$A$12:$A$27,0)&amp;INDEX(Background!$B$12:$B$27,0),0))</f>
        <v>#VALUE!</v>
      </c>
      <c r="I363" s="17" t="e">
        <f t="shared" si="18"/>
        <v>#VALUE!</v>
      </c>
    </row>
    <row r="364" spans="1:9">
      <c r="A364" s="4" t="s">
        <v>755</v>
      </c>
      <c r="B364" s="4">
        <v>8</v>
      </c>
      <c r="C364" s="4" t="s">
        <v>72</v>
      </c>
      <c r="D364" s="4" t="s">
        <v>72</v>
      </c>
      <c r="E364" s="4" t="s">
        <v>788</v>
      </c>
      <c r="F364" s="4" t="str">
        <f t="shared" si="17"/>
        <v>8|U|U</v>
      </c>
      <c r="G364" s="14">
        <f>INDEX('Transition Stepwise'!$J$2:$J$1137,MATCH(F364,'Transition Stepwise'!$E$2:$E$1137,0))</f>
        <v>4.9751243781094526E-3</v>
      </c>
      <c r="H364" s="14" t="e">
        <f>INDEX(Background!$D$12:$D$27,MATCH(C364&amp;D364,INDEX(Background!$A$12:$A$27,0)&amp;INDEX(Background!$B$12:$B$27,0),0))</f>
        <v>#VALUE!</v>
      </c>
      <c r="I364" s="17" t="e">
        <f t="shared" si="18"/>
        <v>#VALUE!</v>
      </c>
    </row>
    <row r="365" spans="1:9">
      <c r="A365" s="4" t="s">
        <v>755</v>
      </c>
      <c r="B365" s="4">
        <v>9</v>
      </c>
      <c r="C365" s="4" t="s">
        <v>72</v>
      </c>
      <c r="D365" s="4" t="s">
        <v>70</v>
      </c>
      <c r="E365" s="4" t="s">
        <v>788</v>
      </c>
      <c r="F365" s="4" t="str">
        <f t="shared" si="17"/>
        <v>9|U|G</v>
      </c>
      <c r="G365" s="14">
        <f>INDEX('Transition Stepwise'!$J$2:$J$1137,MATCH(F365,'Transition Stepwise'!$E$2:$E$1137,0))</f>
        <v>0.25</v>
      </c>
      <c r="H365" s="14" t="e">
        <f>INDEX(Background!$D$12:$D$27,MATCH(C365&amp;D365,INDEX(Background!$A$12:$A$27,0)&amp;INDEX(Background!$B$12:$B$27,0),0))</f>
        <v>#VALUE!</v>
      </c>
      <c r="I365" s="17" t="e">
        <f t="shared" si="18"/>
        <v>#VALUE!</v>
      </c>
    </row>
    <row r="366" spans="1:9">
      <c r="A366" s="4" t="s">
        <v>755</v>
      </c>
      <c r="B366" s="4">
        <v>10</v>
      </c>
      <c r="C366" s="4" t="s">
        <v>70</v>
      </c>
      <c r="D366" s="4" t="s">
        <v>71</v>
      </c>
      <c r="E366" s="4" t="s">
        <v>788</v>
      </c>
      <c r="F366" s="4" t="str">
        <f t="shared" si="17"/>
        <v>10|G|C</v>
      </c>
      <c r="G366" s="14">
        <f>INDEX('Transition Stepwise'!$J$2:$J$1137,MATCH(F366,'Transition Stepwise'!$E$2:$E$1137,0))</f>
        <v>0.72448979591836737</v>
      </c>
      <c r="H366" s="14" t="e">
        <f>INDEX(Background!$D$12:$D$27,MATCH(C366&amp;D366,INDEX(Background!$A$12:$A$27,0)&amp;INDEX(Background!$B$12:$B$27,0),0))</f>
        <v>#VALUE!</v>
      </c>
      <c r="I366" s="17" t="e">
        <f t="shared" si="18"/>
        <v>#VALUE!</v>
      </c>
    </row>
    <row r="367" spans="1:9">
      <c r="A367" s="4" t="s">
        <v>755</v>
      </c>
      <c r="B367" s="4">
        <v>11</v>
      </c>
      <c r="C367" s="4" t="s">
        <v>71</v>
      </c>
      <c r="D367" s="4" t="s">
        <v>71</v>
      </c>
      <c r="E367" s="4" t="s">
        <v>788</v>
      </c>
      <c r="F367" s="4" t="str">
        <f t="shared" si="17"/>
        <v>11|C|C</v>
      </c>
      <c r="G367" s="14">
        <f>INDEX('Transition Stepwise'!$J$2:$J$1137,MATCH(F367,'Transition Stepwise'!$E$2:$E$1137,0))</f>
        <v>0.11920529801324503</v>
      </c>
      <c r="H367" s="14" t="e">
        <f>INDEX(Background!$D$12:$D$27,MATCH(C367&amp;D367,INDEX(Background!$A$12:$A$27,0)&amp;INDEX(Background!$B$12:$B$27,0),0))</f>
        <v>#VALUE!</v>
      </c>
      <c r="I367" s="17" t="e">
        <f t="shared" si="18"/>
        <v>#VALUE!</v>
      </c>
    </row>
    <row r="368" spans="1:9">
      <c r="A368" s="4" t="s">
        <v>755</v>
      </c>
      <c r="B368" s="4">
        <v>12</v>
      </c>
      <c r="C368" s="4" t="s">
        <v>71</v>
      </c>
      <c r="D368" s="4" t="s">
        <v>73</v>
      </c>
      <c r="E368" s="4" t="s">
        <v>788</v>
      </c>
      <c r="F368" s="4" t="str">
        <f t="shared" si="17"/>
        <v>12|C|A</v>
      </c>
      <c r="G368" s="14">
        <f>INDEX('Transition Stepwise'!$J$2:$J$1137,MATCH(F368,'Transition Stepwise'!$E$2:$E$1137,0))</f>
        <v>0.24242424242424243</v>
      </c>
      <c r="H368" s="14" t="e">
        <f>INDEX(Background!$D$12:$D$27,MATCH(C368&amp;D368,INDEX(Background!$A$12:$A$27,0)&amp;INDEX(Background!$B$12:$B$27,0),0))</f>
        <v>#VALUE!</v>
      </c>
      <c r="I368" s="17" t="e">
        <f t="shared" si="18"/>
        <v>#VALUE!</v>
      </c>
    </row>
    <row r="369" spans="1:9">
      <c r="A369" s="4" t="s">
        <v>755</v>
      </c>
      <c r="B369" s="4">
        <v>13</v>
      </c>
      <c r="C369" s="4" t="s">
        <v>73</v>
      </c>
      <c r="D369" s="4" t="s">
        <v>70</v>
      </c>
      <c r="E369" s="4" t="s">
        <v>788</v>
      </c>
      <c r="F369" s="4" t="str">
        <f t="shared" si="17"/>
        <v>13|A|G</v>
      </c>
      <c r="G369" s="14">
        <f>INDEX('Transition Stepwise'!$J$2:$J$1137,MATCH(F369,'Transition Stepwise'!$E$2:$E$1137,0))</f>
        <v>0.11764705882352941</v>
      </c>
      <c r="H369" s="14" t="e">
        <f>INDEX(Background!$D$12:$D$27,MATCH(C369&amp;D369,INDEX(Background!$A$12:$A$27,0)&amp;INDEX(Background!$B$12:$B$27,0),0))</f>
        <v>#VALUE!</v>
      </c>
      <c r="I369" s="17" t="e">
        <f t="shared" si="18"/>
        <v>#VALUE!</v>
      </c>
    </row>
    <row r="370" spans="1:9">
      <c r="A370" s="4" t="s">
        <v>755</v>
      </c>
      <c r="B370" s="4">
        <v>14</v>
      </c>
      <c r="C370" s="4" t="s">
        <v>70</v>
      </c>
      <c r="D370" s="4" t="s">
        <v>73</v>
      </c>
      <c r="E370" s="4" t="s">
        <v>788</v>
      </c>
      <c r="F370" s="4" t="str">
        <f t="shared" si="17"/>
        <v>14|G|A</v>
      </c>
      <c r="G370" s="14">
        <f>INDEX('Transition Stepwise'!$J$2:$J$1137,MATCH(F370,'Transition Stepwise'!$E$2:$E$1137,0))</f>
        <v>0.2</v>
      </c>
      <c r="H370" s="14" t="e">
        <f>INDEX(Background!$D$12:$D$27,MATCH(C370&amp;D370,INDEX(Background!$A$12:$A$27,0)&amp;INDEX(Background!$B$12:$B$27,0),0))</f>
        <v>#VALUE!</v>
      </c>
      <c r="I370" s="17" t="e">
        <f t="shared" si="18"/>
        <v>#VALUE!</v>
      </c>
    </row>
    <row r="371" spans="1:9">
      <c r="A371" s="4" t="s">
        <v>755</v>
      </c>
      <c r="B371" s="4">
        <v>15</v>
      </c>
      <c r="C371" s="4" t="s">
        <v>73</v>
      </c>
      <c r="D371" s="4" t="s">
        <v>77</v>
      </c>
      <c r="E371" s="10" t="s">
        <v>789</v>
      </c>
      <c r="F371" s="4"/>
      <c r="G371" s="4"/>
      <c r="H371" s="4"/>
      <c r="I371" s="4"/>
    </row>
    <row r="372" spans="1:9">
      <c r="A372" s="4" t="s">
        <v>755</v>
      </c>
      <c r="B372" s="4">
        <v>16</v>
      </c>
      <c r="C372" s="4" t="s">
        <v>77</v>
      </c>
      <c r="D372" s="4" t="s">
        <v>70</v>
      </c>
      <c r="E372" s="10" t="s">
        <v>789</v>
      </c>
      <c r="F372" s="4"/>
      <c r="G372" s="4"/>
      <c r="H372" s="4"/>
      <c r="I372" s="4"/>
    </row>
    <row r="373" spans="1:9">
      <c r="A373" s="4" t="s">
        <v>755</v>
      </c>
      <c r="B373" s="4">
        <v>17</v>
      </c>
      <c r="C373" s="4" t="s">
        <v>70</v>
      </c>
      <c r="D373" s="4" t="s">
        <v>70</v>
      </c>
      <c r="E373" s="4" t="s">
        <v>788</v>
      </c>
      <c r="F373" s="4" t="str">
        <f t="shared" ref="F373:F404" si="19">B373&amp;"|"&amp;C373&amp;"|"&amp;D373</f>
        <v>17|G|G</v>
      </c>
      <c r="G373" s="14">
        <f>INDEX('Transition Stepwise'!$J$2:$J$1137,MATCH(F373,'Transition Stepwise'!$E$2:$E$1137,0))</f>
        <v>0.75</v>
      </c>
      <c r="H373" s="14" t="e">
        <f>INDEX(Background!$D$12:$D$27,MATCH(C373&amp;D373,INDEX(Background!$A$12:$A$27,0)&amp;INDEX(Background!$B$12:$B$27,0),0))</f>
        <v>#VALUE!</v>
      </c>
      <c r="I373" s="17" t="e">
        <f t="shared" ref="I373:I404" si="20">LN(G373/H373)</f>
        <v>#VALUE!</v>
      </c>
    </row>
    <row r="374" spans="1:9">
      <c r="A374" s="4" t="s">
        <v>755</v>
      </c>
      <c r="B374" s="4">
        <v>18</v>
      </c>
      <c r="C374" s="4" t="s">
        <v>70</v>
      </c>
      <c r="D374" s="4" t="s">
        <v>70</v>
      </c>
      <c r="E374" s="4" t="s">
        <v>788</v>
      </c>
      <c r="F374" s="4" t="str">
        <f t="shared" si="19"/>
        <v>18|G|G</v>
      </c>
      <c r="G374" s="14">
        <f>INDEX('Transition Stepwise'!$J$2:$J$1137,MATCH(F374,'Transition Stepwise'!$E$2:$E$1137,0))</f>
        <v>0.97536945812807885</v>
      </c>
      <c r="H374" s="14" t="e">
        <f>INDEX(Background!$D$12:$D$27,MATCH(C374&amp;D374,INDEX(Background!$A$12:$A$27,0)&amp;INDEX(Background!$B$12:$B$27,0),0))</f>
        <v>#VALUE!</v>
      </c>
      <c r="I374" s="17" t="e">
        <f t="shared" si="20"/>
        <v>#VALUE!</v>
      </c>
    </row>
    <row r="375" spans="1:9">
      <c r="A375" s="4" t="s">
        <v>755</v>
      </c>
      <c r="B375" s="4">
        <v>19</v>
      </c>
      <c r="C375" s="4" t="s">
        <v>70</v>
      </c>
      <c r="D375" s="4" t="s">
        <v>73</v>
      </c>
      <c r="E375" s="4" t="s">
        <v>788</v>
      </c>
      <c r="F375" s="4" t="str">
        <f t="shared" si="19"/>
        <v>19|G|A</v>
      </c>
      <c r="G375" s="14">
        <f>INDEX('Transition Stepwise'!$J$2:$J$1137,MATCH(F375,'Transition Stepwise'!$E$2:$E$1137,0))</f>
        <v>8.9552238805970144E-2</v>
      </c>
      <c r="H375" s="14" t="e">
        <f>INDEX(Background!$D$12:$D$27,MATCH(C375&amp;D375,INDEX(Background!$A$12:$A$27,0)&amp;INDEX(Background!$B$12:$B$27,0),0))</f>
        <v>#VALUE!</v>
      </c>
      <c r="I375" s="17" t="e">
        <f t="shared" si="20"/>
        <v>#VALUE!</v>
      </c>
    </row>
    <row r="376" spans="1:9">
      <c r="A376" s="4" t="s">
        <v>755</v>
      </c>
      <c r="B376" s="4">
        <v>20</v>
      </c>
      <c r="C376" s="4" t="s">
        <v>73</v>
      </c>
      <c r="D376" s="4" t="s">
        <v>72</v>
      </c>
      <c r="E376" s="4" t="s">
        <v>788</v>
      </c>
      <c r="F376" s="4" t="str">
        <f t="shared" si="19"/>
        <v>20|A|U</v>
      </c>
      <c r="G376" s="14">
        <f>INDEX('Transition Stepwise'!$J$2:$J$1137,MATCH(F376,'Transition Stepwise'!$E$2:$E$1137,0))</f>
        <v>9.5238095238095233E-2</v>
      </c>
      <c r="H376" s="14" t="e">
        <f>INDEX(Background!$D$12:$D$27,MATCH(C376&amp;D376,INDEX(Background!$A$12:$A$27,0)&amp;INDEX(Background!$B$12:$B$27,0),0))</f>
        <v>#VALUE!</v>
      </c>
      <c r="I376" s="17" t="e">
        <f t="shared" si="20"/>
        <v>#VALUE!</v>
      </c>
    </row>
    <row r="377" spans="1:9">
      <c r="A377" s="4" t="s">
        <v>755</v>
      </c>
      <c r="B377" s="4">
        <v>21</v>
      </c>
      <c r="C377" s="4" t="s">
        <v>72</v>
      </c>
      <c r="D377" s="4" t="s">
        <v>72</v>
      </c>
      <c r="E377" s="4" t="s">
        <v>788</v>
      </c>
      <c r="F377" s="4" t="str">
        <f t="shared" si="19"/>
        <v>21|U|U</v>
      </c>
      <c r="G377" s="14">
        <f>INDEX('Transition Stepwise'!$J$2:$J$1137,MATCH(F377,'Transition Stepwise'!$E$2:$E$1137,0))</f>
        <v>0.2857142857142857</v>
      </c>
      <c r="H377" s="14" t="e">
        <f>INDEX(Background!$D$12:$D$27,MATCH(C377&amp;D377,INDEX(Background!$A$12:$A$27,0)&amp;INDEX(Background!$B$12:$B$27,0),0))</f>
        <v>#VALUE!</v>
      </c>
      <c r="I377" s="17" t="e">
        <f t="shared" si="20"/>
        <v>#VALUE!</v>
      </c>
    </row>
    <row r="378" spans="1:9">
      <c r="A378" s="4" t="s">
        <v>755</v>
      </c>
      <c r="B378" s="4">
        <v>22</v>
      </c>
      <c r="C378" s="4" t="s">
        <v>72</v>
      </c>
      <c r="D378" s="4" t="s">
        <v>70</v>
      </c>
      <c r="E378" s="4" t="s">
        <v>788</v>
      </c>
      <c r="F378" s="4" t="str">
        <f t="shared" si="19"/>
        <v>22|U|G</v>
      </c>
      <c r="G378" s="14">
        <f>INDEX('Transition Stepwise'!$J$2:$J$1137,MATCH(F378,'Transition Stepwise'!$E$2:$E$1137,0))</f>
        <v>0.22222222222222221</v>
      </c>
      <c r="H378" s="14" t="e">
        <f>INDEX(Background!$D$12:$D$27,MATCH(C378&amp;D378,INDEX(Background!$A$12:$A$27,0)&amp;INDEX(Background!$B$12:$B$27,0),0))</f>
        <v>#VALUE!</v>
      </c>
      <c r="I378" s="17" t="e">
        <f t="shared" si="20"/>
        <v>#VALUE!</v>
      </c>
    </row>
    <row r="379" spans="1:9">
      <c r="A379" s="4" t="s">
        <v>755</v>
      </c>
      <c r="B379" s="4">
        <v>23</v>
      </c>
      <c r="C379" s="4" t="s">
        <v>70</v>
      </c>
      <c r="D379" s="4" t="s">
        <v>73</v>
      </c>
      <c r="E379" s="4" t="s">
        <v>788</v>
      </c>
      <c r="F379" s="4" t="str">
        <f t="shared" si="19"/>
        <v>23|G|A</v>
      </c>
      <c r="G379" s="14">
        <f>INDEX('Transition Stepwise'!$J$2:$J$1137,MATCH(F379,'Transition Stepwise'!$E$2:$E$1137,0))</f>
        <v>0.33333333333333331</v>
      </c>
      <c r="H379" s="14" t="e">
        <f>INDEX(Background!$D$12:$D$27,MATCH(C379&amp;D379,INDEX(Background!$A$12:$A$27,0)&amp;INDEX(Background!$B$12:$B$27,0),0))</f>
        <v>#VALUE!</v>
      </c>
      <c r="I379" s="17" t="e">
        <f t="shared" si="20"/>
        <v>#VALUE!</v>
      </c>
    </row>
    <row r="380" spans="1:9">
      <c r="A380" s="4" t="s">
        <v>755</v>
      </c>
      <c r="B380" s="4">
        <v>24</v>
      </c>
      <c r="C380" s="4" t="s">
        <v>73</v>
      </c>
      <c r="D380" s="4" t="s">
        <v>72</v>
      </c>
      <c r="E380" s="4" t="s">
        <v>788</v>
      </c>
      <c r="F380" s="4" t="str">
        <f t="shared" si="19"/>
        <v>24|A|U</v>
      </c>
      <c r="G380" s="14">
        <f>INDEX('Transition Stepwise'!$J$2:$J$1137,MATCH(F380,'Transition Stepwise'!$E$2:$E$1137,0))</f>
        <v>0.26829268292682928</v>
      </c>
      <c r="H380" s="14" t="e">
        <f>INDEX(Background!$D$12:$D$27,MATCH(C380&amp;D380,INDEX(Background!$A$12:$A$27,0)&amp;INDEX(Background!$B$12:$B$27,0),0))</f>
        <v>#VALUE!</v>
      </c>
      <c r="I380" s="17" t="e">
        <f t="shared" si="20"/>
        <v>#VALUE!</v>
      </c>
    </row>
    <row r="381" spans="1:9">
      <c r="A381" s="4" t="s">
        <v>755</v>
      </c>
      <c r="B381" s="4">
        <v>25</v>
      </c>
      <c r="C381" s="4" t="s">
        <v>72</v>
      </c>
      <c r="D381" s="4" t="s">
        <v>73</v>
      </c>
      <c r="E381" s="4" t="s">
        <v>788</v>
      </c>
      <c r="F381" s="4" t="str">
        <f t="shared" si="19"/>
        <v>25|U|A</v>
      </c>
      <c r="G381" s="14">
        <f>INDEX('Transition Stepwise'!$J$2:$J$1137,MATCH(F381,'Transition Stepwise'!$E$2:$E$1137,0))</f>
        <v>0.16666666666666666</v>
      </c>
      <c r="H381" s="14" t="e">
        <f>INDEX(Background!$D$12:$D$27,MATCH(C381&amp;D381,INDEX(Background!$A$12:$A$27,0)&amp;INDEX(Background!$B$12:$B$27,0),0))</f>
        <v>#VALUE!</v>
      </c>
      <c r="I381" s="17" t="e">
        <f t="shared" si="20"/>
        <v>#VALUE!</v>
      </c>
    </row>
    <row r="382" spans="1:9">
      <c r="A382" s="4" t="s">
        <v>755</v>
      </c>
      <c r="B382" s="4">
        <v>26</v>
      </c>
      <c r="C382" s="4" t="s">
        <v>73</v>
      </c>
      <c r="D382" s="4" t="s">
        <v>71</v>
      </c>
      <c r="E382" s="4" t="s">
        <v>788</v>
      </c>
      <c r="F382" s="4" t="str">
        <f t="shared" si="19"/>
        <v>26|A|C</v>
      </c>
      <c r="G382" s="14">
        <f>INDEX('Transition Stepwise'!$J$2:$J$1137,MATCH(F382,'Transition Stepwise'!$E$2:$E$1137,0))</f>
        <v>0.36363636363636365</v>
      </c>
      <c r="H382" s="14" t="e">
        <f>INDEX(Background!$D$12:$D$27,MATCH(C382&amp;D382,INDEX(Background!$A$12:$A$27,0)&amp;INDEX(Background!$B$12:$B$27,0),0))</f>
        <v>#VALUE!</v>
      </c>
      <c r="I382" s="17" t="e">
        <f t="shared" si="20"/>
        <v>#VALUE!</v>
      </c>
    </row>
    <row r="383" spans="1:9">
      <c r="A383" s="4" t="s">
        <v>755</v>
      </c>
      <c r="B383" s="4">
        <v>27</v>
      </c>
      <c r="C383" s="4" t="s">
        <v>71</v>
      </c>
      <c r="D383" s="4" t="s">
        <v>71</v>
      </c>
      <c r="E383" s="4" t="s">
        <v>788</v>
      </c>
      <c r="F383" s="4" t="str">
        <f t="shared" si="19"/>
        <v>27|C|C</v>
      </c>
      <c r="G383" s="14">
        <f>INDEX('Transition Stepwise'!$J$2:$J$1137,MATCH(F383,'Transition Stepwise'!$E$2:$E$1137,0))</f>
        <v>0.41237113402061853</v>
      </c>
      <c r="H383" s="14" t="e">
        <f>INDEX(Background!$D$12:$D$27,MATCH(C383&amp;D383,INDEX(Background!$A$12:$A$27,0)&amp;INDEX(Background!$B$12:$B$27,0),0))</f>
        <v>#VALUE!</v>
      </c>
      <c r="I383" s="17" t="e">
        <f t="shared" si="20"/>
        <v>#VALUE!</v>
      </c>
    </row>
    <row r="384" spans="1:9">
      <c r="A384" s="4" t="s">
        <v>755</v>
      </c>
      <c r="B384" s="4">
        <v>28</v>
      </c>
      <c r="C384" s="4" t="s">
        <v>71</v>
      </c>
      <c r="D384" s="4" t="s">
        <v>70</v>
      </c>
      <c r="E384" s="4" t="s">
        <v>788</v>
      </c>
      <c r="F384" s="4" t="str">
        <f t="shared" si="19"/>
        <v>28|C|G</v>
      </c>
      <c r="G384" s="14">
        <f>INDEX('Transition Stepwise'!$J$2:$J$1137,MATCH(F384,'Transition Stepwise'!$E$2:$E$1137,0))</f>
        <v>0.44859813084112149</v>
      </c>
      <c r="H384" s="14" t="e">
        <f>INDEX(Background!$D$12:$D$27,MATCH(C384&amp;D384,INDEX(Background!$A$12:$A$27,0)&amp;INDEX(Background!$B$12:$B$27,0),0))</f>
        <v>#VALUE!</v>
      </c>
      <c r="I384" s="17" t="e">
        <f t="shared" si="20"/>
        <v>#VALUE!</v>
      </c>
    </row>
    <row r="385" spans="1:9">
      <c r="A385" s="4" t="s">
        <v>755</v>
      </c>
      <c r="B385" s="4">
        <v>29</v>
      </c>
      <c r="C385" s="4" t="s">
        <v>70</v>
      </c>
      <c r="D385" s="4" t="s">
        <v>71</v>
      </c>
      <c r="E385" s="4" t="s">
        <v>788</v>
      </c>
      <c r="F385" s="4" t="str">
        <f t="shared" si="19"/>
        <v>29|G|C</v>
      </c>
      <c r="G385" s="14">
        <f>INDEX('Transition Stepwise'!$J$2:$J$1137,MATCH(F385,'Transition Stepwise'!$E$2:$E$1137,0))</f>
        <v>0.13580246913580246</v>
      </c>
      <c r="H385" s="14" t="e">
        <f>INDEX(Background!$D$12:$D$27,MATCH(C385&amp;D385,INDEX(Background!$A$12:$A$27,0)&amp;INDEX(Background!$B$12:$B$27,0),0))</f>
        <v>#VALUE!</v>
      </c>
      <c r="I385" s="17" t="e">
        <f t="shared" si="20"/>
        <v>#VALUE!</v>
      </c>
    </row>
    <row r="386" spans="1:9">
      <c r="A386" s="4" t="s">
        <v>755</v>
      </c>
      <c r="B386" s="4">
        <v>30</v>
      </c>
      <c r="C386" s="4" t="s">
        <v>71</v>
      </c>
      <c r="D386" s="4" t="s">
        <v>72</v>
      </c>
      <c r="E386" s="4" t="s">
        <v>788</v>
      </c>
      <c r="F386" s="4" t="str">
        <f t="shared" si="19"/>
        <v>30|C|U</v>
      </c>
      <c r="G386" s="14">
        <f>INDEX('Transition Stepwise'!$J$2:$J$1137,MATCH(F386,'Transition Stepwise'!$E$2:$E$1137,0))</f>
        <v>6.3829787234042548E-2</v>
      </c>
      <c r="H386" s="14" t="e">
        <f>INDEX(Background!$D$12:$D$27,MATCH(C386&amp;D386,INDEX(Background!$A$12:$A$27,0)&amp;INDEX(Background!$B$12:$B$27,0),0))</f>
        <v>#VALUE!</v>
      </c>
      <c r="I386" s="17" t="e">
        <f t="shared" si="20"/>
        <v>#VALUE!</v>
      </c>
    </row>
    <row r="387" spans="1:9">
      <c r="A387" s="4" t="s">
        <v>755</v>
      </c>
      <c r="B387" s="4">
        <v>31</v>
      </c>
      <c r="C387" s="4" t="s">
        <v>72</v>
      </c>
      <c r="D387" s="4" t="s">
        <v>72</v>
      </c>
      <c r="E387" s="4" t="s">
        <v>788</v>
      </c>
      <c r="F387" s="4" t="str">
        <f t="shared" si="19"/>
        <v>31|U|U</v>
      </c>
      <c r="G387" s="14">
        <f>INDEX('Transition Stepwise'!$J$2:$J$1137,MATCH(F387,'Transition Stepwise'!$E$2:$E$1137,0))</f>
        <v>0.13043478260869565</v>
      </c>
      <c r="H387" s="14" t="e">
        <f>INDEX(Background!$D$12:$D$27,MATCH(C387&amp;D387,INDEX(Background!$A$12:$A$27,0)&amp;INDEX(Background!$B$12:$B$27,0),0))</f>
        <v>#VALUE!</v>
      </c>
      <c r="I387" s="17" t="e">
        <f t="shared" si="20"/>
        <v>#VALUE!</v>
      </c>
    </row>
    <row r="388" spans="1:9">
      <c r="A388" s="4" t="s">
        <v>755</v>
      </c>
      <c r="B388" s="4">
        <v>32</v>
      </c>
      <c r="C388" s="4" t="s">
        <v>72</v>
      </c>
      <c r="D388" s="4" t="s">
        <v>71</v>
      </c>
      <c r="E388" s="4" t="s">
        <v>788</v>
      </c>
      <c r="F388" s="4" t="str">
        <f t="shared" si="19"/>
        <v>32|U|C</v>
      </c>
      <c r="G388" s="14">
        <f>INDEX('Transition Stepwise'!$J$2:$J$1137,MATCH(F388,'Transition Stepwise'!$E$2:$E$1137,0))</f>
        <v>1.5873015873015872E-2</v>
      </c>
      <c r="H388" s="14" t="e">
        <f>INDEX(Background!$D$12:$D$27,MATCH(C388&amp;D388,INDEX(Background!$A$12:$A$27,0)&amp;INDEX(Background!$B$12:$B$27,0),0))</f>
        <v>#VALUE!</v>
      </c>
      <c r="I388" s="17" t="e">
        <f t="shared" si="20"/>
        <v>#VALUE!</v>
      </c>
    </row>
    <row r="389" spans="1:9">
      <c r="A389" s="4" t="s">
        <v>755</v>
      </c>
      <c r="B389" s="4">
        <v>33</v>
      </c>
      <c r="C389" s="4" t="s">
        <v>71</v>
      </c>
      <c r="D389" s="4" t="s">
        <v>71</v>
      </c>
      <c r="E389" s="4" t="s">
        <v>788</v>
      </c>
      <c r="F389" s="4" t="str">
        <f t="shared" si="19"/>
        <v>33|C|C</v>
      </c>
      <c r="G389" s="14">
        <f>INDEX('Transition Stepwise'!$J$2:$J$1137,MATCH(F389,'Transition Stepwise'!$E$2:$E$1137,0))</f>
        <v>0.4</v>
      </c>
      <c r="H389" s="14" t="e">
        <f>INDEX(Background!$D$12:$D$27,MATCH(C389&amp;D389,INDEX(Background!$A$12:$A$27,0)&amp;INDEX(Background!$B$12:$B$27,0),0))</f>
        <v>#VALUE!</v>
      </c>
      <c r="I389" s="17" t="e">
        <f t="shared" si="20"/>
        <v>#VALUE!</v>
      </c>
    </row>
    <row r="390" spans="1:9">
      <c r="A390" s="4" t="s">
        <v>755</v>
      </c>
      <c r="B390" s="4">
        <v>34</v>
      </c>
      <c r="C390" s="4" t="s">
        <v>71</v>
      </c>
      <c r="D390" s="4" t="s">
        <v>72</v>
      </c>
      <c r="E390" s="4" t="s">
        <v>788</v>
      </c>
      <c r="F390" s="4" t="str">
        <f t="shared" si="19"/>
        <v>34|C|U</v>
      </c>
      <c r="G390" s="14">
        <f>INDEX('Transition Stepwise'!$J$2:$J$1137,MATCH(F390,'Transition Stepwise'!$E$2:$E$1137,0))</f>
        <v>0.18571428571428572</v>
      </c>
      <c r="H390" s="14" t="e">
        <f>INDEX(Background!$D$12:$D$27,MATCH(C390&amp;D390,INDEX(Background!$A$12:$A$27,0)&amp;INDEX(Background!$B$12:$B$27,0),0))</f>
        <v>#VALUE!</v>
      </c>
      <c r="I390" s="17" t="e">
        <f t="shared" si="20"/>
        <v>#VALUE!</v>
      </c>
    </row>
    <row r="391" spans="1:9">
      <c r="A391" s="4" t="s">
        <v>755</v>
      </c>
      <c r="B391" s="4">
        <v>35</v>
      </c>
      <c r="C391" s="4" t="s">
        <v>72</v>
      </c>
      <c r="D391" s="4" t="s">
        <v>73</v>
      </c>
      <c r="E391" s="4" t="s">
        <v>788</v>
      </c>
      <c r="F391" s="4" t="str">
        <f t="shared" si="19"/>
        <v>35|U|A</v>
      </c>
      <c r="G391" s="14">
        <f>INDEX('Transition Stepwise'!$J$2:$J$1137,MATCH(F391,'Transition Stepwise'!$E$2:$E$1137,0))</f>
        <v>0.17777777777777778</v>
      </c>
      <c r="H391" s="14" t="e">
        <f>INDEX(Background!$D$12:$D$27,MATCH(C391&amp;D391,INDEX(Background!$A$12:$A$27,0)&amp;INDEX(Background!$B$12:$B$27,0),0))</f>
        <v>#VALUE!</v>
      </c>
      <c r="I391" s="17" t="e">
        <f t="shared" si="20"/>
        <v>#VALUE!</v>
      </c>
    </row>
    <row r="392" spans="1:9">
      <c r="A392" s="4" t="s">
        <v>755</v>
      </c>
      <c r="B392" s="4">
        <v>36</v>
      </c>
      <c r="C392" s="4" t="s">
        <v>73</v>
      </c>
      <c r="D392" s="4" t="s">
        <v>70</v>
      </c>
      <c r="E392" s="4" t="s">
        <v>788</v>
      </c>
      <c r="F392" s="4" t="str">
        <f t="shared" si="19"/>
        <v>36|A|G</v>
      </c>
      <c r="G392" s="14">
        <f>INDEX('Transition Stepwise'!$J$2:$J$1137,MATCH(F392,'Transition Stepwise'!$E$2:$E$1137,0))</f>
        <v>0.38297872340425532</v>
      </c>
      <c r="H392" s="14" t="e">
        <f>INDEX(Background!$D$12:$D$27,MATCH(C392&amp;D392,INDEX(Background!$A$12:$A$27,0)&amp;INDEX(Background!$B$12:$B$27,0),0))</f>
        <v>#VALUE!</v>
      </c>
      <c r="I392" s="17" t="e">
        <f t="shared" si="20"/>
        <v>#VALUE!</v>
      </c>
    </row>
    <row r="393" spans="1:9">
      <c r="A393" s="4" t="s">
        <v>755</v>
      </c>
      <c r="B393" s="4">
        <v>37</v>
      </c>
      <c r="C393" s="4" t="s">
        <v>70</v>
      </c>
      <c r="D393" s="4" t="s">
        <v>70</v>
      </c>
      <c r="E393" s="4" t="s">
        <v>788</v>
      </c>
      <c r="F393" s="4" t="str">
        <f t="shared" si="19"/>
        <v>37|G|G</v>
      </c>
      <c r="G393" s="14">
        <f>INDEX('Transition Stepwise'!$J$2:$J$1137,MATCH(F393,'Transition Stepwise'!$E$2:$E$1137,0))</f>
        <v>3.8461538461538464E-2</v>
      </c>
      <c r="H393" s="14" t="e">
        <f>INDEX(Background!$D$12:$D$27,MATCH(C393&amp;D393,INDEX(Background!$A$12:$A$27,0)&amp;INDEX(Background!$B$12:$B$27,0),0))</f>
        <v>#VALUE!</v>
      </c>
      <c r="I393" s="17" t="e">
        <f t="shared" si="20"/>
        <v>#VALUE!</v>
      </c>
    </row>
    <row r="394" spans="1:9">
      <c r="A394" s="4" t="s">
        <v>755</v>
      </c>
      <c r="B394" s="4">
        <v>38</v>
      </c>
      <c r="C394" s="4" t="s">
        <v>70</v>
      </c>
      <c r="D394" s="4" t="s">
        <v>70</v>
      </c>
      <c r="E394" s="4" t="s">
        <v>788</v>
      </c>
      <c r="F394" s="4" t="str">
        <f t="shared" si="19"/>
        <v>38|G|G</v>
      </c>
      <c r="G394" s="14">
        <f>INDEX('Transition Stepwise'!$J$2:$J$1137,MATCH(F394,'Transition Stepwise'!$E$2:$E$1137,0))</f>
        <v>0.2</v>
      </c>
      <c r="H394" s="14" t="e">
        <f>INDEX(Background!$D$12:$D$27,MATCH(C394&amp;D394,INDEX(Background!$A$12:$A$27,0)&amp;INDEX(Background!$B$12:$B$27,0),0))</f>
        <v>#VALUE!</v>
      </c>
      <c r="I394" s="17" t="e">
        <f t="shared" si="20"/>
        <v>#VALUE!</v>
      </c>
    </row>
    <row r="395" spans="1:9">
      <c r="A395" s="4" t="s">
        <v>755</v>
      </c>
      <c r="B395" s="4">
        <v>39</v>
      </c>
      <c r="C395" s="4" t="s">
        <v>70</v>
      </c>
      <c r="D395" s="4" t="s">
        <v>70</v>
      </c>
      <c r="E395" s="4" t="s">
        <v>788</v>
      </c>
      <c r="F395" s="4" t="str">
        <f t="shared" si="19"/>
        <v>39|G|G</v>
      </c>
      <c r="G395" s="14">
        <f>INDEX('Transition Stepwise'!$J$2:$J$1137,MATCH(F395,'Transition Stepwise'!$E$2:$E$1137,0))</f>
        <v>0.38157894736842107</v>
      </c>
      <c r="H395" s="14" t="e">
        <f>INDEX(Background!$D$12:$D$27,MATCH(C395&amp;D395,INDEX(Background!$A$12:$A$27,0)&amp;INDEX(Background!$B$12:$B$27,0),0))</f>
        <v>#VALUE!</v>
      </c>
      <c r="I395" s="17" t="e">
        <f t="shared" si="20"/>
        <v>#VALUE!</v>
      </c>
    </row>
    <row r="396" spans="1:9">
      <c r="A396" s="4" t="s">
        <v>755</v>
      </c>
      <c r="B396" s="4">
        <v>40</v>
      </c>
      <c r="C396" s="4" t="s">
        <v>70</v>
      </c>
      <c r="D396" s="4" t="s">
        <v>72</v>
      </c>
      <c r="E396" s="4" t="s">
        <v>788</v>
      </c>
      <c r="F396" s="4" t="str">
        <f t="shared" si="19"/>
        <v>40|G|U</v>
      </c>
      <c r="G396" s="14">
        <f>INDEX('Transition Stepwise'!$J$2:$J$1137,MATCH(F396,'Transition Stepwise'!$E$2:$E$1137,0))</f>
        <v>0.17307692307692307</v>
      </c>
      <c r="H396" s="14" t="e">
        <f>INDEX(Background!$D$12:$D$27,MATCH(C396&amp;D396,INDEX(Background!$A$12:$A$27,0)&amp;INDEX(Background!$B$12:$B$27,0),0))</f>
        <v>#VALUE!</v>
      </c>
      <c r="I396" s="17" t="e">
        <f t="shared" si="20"/>
        <v>#VALUE!</v>
      </c>
    </row>
    <row r="397" spans="1:9">
      <c r="A397" s="4" t="s">
        <v>755</v>
      </c>
      <c r="B397" s="4">
        <v>41</v>
      </c>
      <c r="C397" s="4" t="s">
        <v>72</v>
      </c>
      <c r="D397" s="4" t="s">
        <v>70</v>
      </c>
      <c r="E397" s="4" t="s">
        <v>788</v>
      </c>
      <c r="F397" s="4" t="str">
        <f t="shared" si="19"/>
        <v>41|U|G</v>
      </c>
      <c r="G397" s="14">
        <f>INDEX('Transition Stepwise'!$J$2:$J$1137,MATCH(F397,'Transition Stepwise'!$E$2:$E$1137,0))</f>
        <v>0.51351351351351349</v>
      </c>
      <c r="H397" s="14" t="e">
        <f>INDEX(Background!$D$12:$D$27,MATCH(C397&amp;D397,INDEX(Background!$A$12:$A$27,0)&amp;INDEX(Background!$B$12:$B$27,0),0))</f>
        <v>#VALUE!</v>
      </c>
      <c r="I397" s="17" t="e">
        <f t="shared" si="20"/>
        <v>#VALUE!</v>
      </c>
    </row>
    <row r="398" spans="1:9">
      <c r="A398" s="4" t="s">
        <v>755</v>
      </c>
      <c r="B398" s="4">
        <v>42</v>
      </c>
      <c r="C398" s="4" t="s">
        <v>70</v>
      </c>
      <c r="D398" s="4" t="s">
        <v>70</v>
      </c>
      <c r="E398" s="4" t="s">
        <v>788</v>
      </c>
      <c r="F398" s="4" t="str">
        <f t="shared" si="19"/>
        <v>42|G|G</v>
      </c>
      <c r="G398" s="14">
        <f>INDEX('Transition Stepwise'!$J$2:$J$1137,MATCH(F398,'Transition Stepwise'!$E$2:$E$1137,0))</f>
        <v>0.39449541284403672</v>
      </c>
      <c r="H398" s="14" t="e">
        <f>INDEX(Background!$D$12:$D$27,MATCH(C398&amp;D398,INDEX(Background!$A$12:$A$27,0)&amp;INDEX(Background!$B$12:$B$27,0),0))</f>
        <v>#VALUE!</v>
      </c>
      <c r="I398" s="17" t="e">
        <f t="shared" si="20"/>
        <v>#VALUE!</v>
      </c>
    </row>
    <row r="399" spans="1:9">
      <c r="A399" s="4" t="s">
        <v>755</v>
      </c>
      <c r="B399" s="4">
        <v>43</v>
      </c>
      <c r="C399" s="4" t="s">
        <v>70</v>
      </c>
      <c r="D399" s="4" t="s">
        <v>71</v>
      </c>
      <c r="E399" s="4" t="s">
        <v>788</v>
      </c>
      <c r="F399" s="4" t="str">
        <f t="shared" si="19"/>
        <v>43|G|C</v>
      </c>
      <c r="G399" s="14">
        <f>INDEX('Transition Stepwise'!$J$2:$J$1137,MATCH(F399,'Transition Stepwise'!$E$2:$E$1137,0))</f>
        <v>0.13461538461538461</v>
      </c>
      <c r="H399" s="14" t="e">
        <f>INDEX(Background!$D$12:$D$27,MATCH(C399&amp;D399,INDEX(Background!$A$12:$A$27,0)&amp;INDEX(Background!$B$12:$B$27,0),0))</f>
        <v>#VALUE!</v>
      </c>
      <c r="I399" s="17" t="e">
        <f t="shared" si="20"/>
        <v>#VALUE!</v>
      </c>
    </row>
    <row r="400" spans="1:9">
      <c r="A400" s="4" t="s">
        <v>755</v>
      </c>
      <c r="B400" s="4">
        <v>44</v>
      </c>
      <c r="C400" s="4" t="s">
        <v>71</v>
      </c>
      <c r="D400" s="4" t="s">
        <v>71</v>
      </c>
      <c r="E400" s="4" t="s">
        <v>788</v>
      </c>
      <c r="F400" s="4" t="str">
        <f t="shared" si="19"/>
        <v>44|C|C</v>
      </c>
      <c r="G400" s="14">
        <f>INDEX('Transition Stepwise'!$J$2:$J$1137,MATCH(F400,'Transition Stepwise'!$E$2:$E$1137,0))</f>
        <v>5.8823529411764705E-2</v>
      </c>
      <c r="H400" s="14" t="e">
        <f>INDEX(Background!$D$12:$D$27,MATCH(C400&amp;D400,INDEX(Background!$A$12:$A$27,0)&amp;INDEX(Background!$B$12:$B$27,0),0))</f>
        <v>#VALUE!</v>
      </c>
      <c r="I400" s="17" t="e">
        <f t="shared" si="20"/>
        <v>#VALUE!</v>
      </c>
    </row>
    <row r="401" spans="1:9">
      <c r="A401" s="4" t="s">
        <v>755</v>
      </c>
      <c r="B401" s="4">
        <v>45</v>
      </c>
      <c r="C401" s="4" t="s">
        <v>71</v>
      </c>
      <c r="D401" s="4" t="s">
        <v>70</v>
      </c>
      <c r="E401" s="4" t="s">
        <v>788</v>
      </c>
      <c r="F401" s="4" t="str">
        <f t="shared" si="19"/>
        <v>45|C|G</v>
      </c>
      <c r="G401" s="14">
        <f>INDEX('Transition Stepwise'!$J$2:$J$1137,MATCH(F401,'Transition Stepwise'!$E$2:$E$1137,0))</f>
        <v>0.44444444444444442</v>
      </c>
      <c r="H401" s="14" t="e">
        <f>INDEX(Background!$D$12:$D$27,MATCH(C401&amp;D401,INDEX(Background!$A$12:$A$27,0)&amp;INDEX(Background!$B$12:$B$27,0),0))</f>
        <v>#VALUE!</v>
      </c>
      <c r="I401" s="17" t="e">
        <f t="shared" si="20"/>
        <v>#VALUE!</v>
      </c>
    </row>
    <row r="402" spans="1:9">
      <c r="A402" s="4" t="s">
        <v>755</v>
      </c>
      <c r="B402" s="4">
        <v>46</v>
      </c>
      <c r="C402" s="4" t="s">
        <v>70</v>
      </c>
      <c r="D402" s="4" t="s">
        <v>70</v>
      </c>
      <c r="E402" s="4" t="s">
        <v>788</v>
      </c>
      <c r="F402" s="4" t="str">
        <f t="shared" si="19"/>
        <v>46|G|G</v>
      </c>
      <c r="G402" s="14">
        <f>INDEX('Transition Stepwise'!$J$2:$J$1137,MATCH(F402,'Transition Stepwise'!$E$2:$E$1137,0))</f>
        <v>3.5460992907801421E-2</v>
      </c>
      <c r="H402" s="14" t="e">
        <f>INDEX(Background!$D$12:$D$27,MATCH(C402&amp;D402,INDEX(Background!$A$12:$A$27,0)&amp;INDEX(Background!$B$12:$B$27,0),0))</f>
        <v>#VALUE!</v>
      </c>
      <c r="I402" s="17" t="e">
        <f t="shared" si="20"/>
        <v>#VALUE!</v>
      </c>
    </row>
    <row r="403" spans="1:9">
      <c r="A403" s="4" t="s">
        <v>755</v>
      </c>
      <c r="B403" s="4">
        <v>47</v>
      </c>
      <c r="C403" s="4" t="s">
        <v>70</v>
      </c>
      <c r="D403" s="4" t="s">
        <v>72</v>
      </c>
      <c r="E403" s="4" t="s">
        <v>788</v>
      </c>
      <c r="F403" s="4" t="str">
        <f t="shared" si="19"/>
        <v>47|G|U</v>
      </c>
      <c r="G403" s="14">
        <f>INDEX('Transition Stepwise'!$J$2:$J$1137,MATCH(F403,'Transition Stepwise'!$E$2:$E$1137,0))</f>
        <v>0.45</v>
      </c>
      <c r="H403" s="14" t="e">
        <f>INDEX(Background!$D$12:$D$27,MATCH(C403&amp;D403,INDEX(Background!$A$12:$A$27,0)&amp;INDEX(Background!$B$12:$B$27,0),0))</f>
        <v>#VALUE!</v>
      </c>
      <c r="I403" s="17" t="e">
        <f t="shared" si="20"/>
        <v>#VALUE!</v>
      </c>
    </row>
    <row r="404" spans="1:9">
      <c r="A404" s="4" t="s">
        <v>755</v>
      </c>
      <c r="B404" s="4">
        <v>48</v>
      </c>
      <c r="C404" s="4" t="s">
        <v>72</v>
      </c>
      <c r="D404" s="4" t="s">
        <v>73</v>
      </c>
      <c r="E404" s="4" t="s">
        <v>788</v>
      </c>
      <c r="F404" s="4" t="str">
        <f t="shared" si="19"/>
        <v>48|U|A</v>
      </c>
      <c r="G404" s="14">
        <f>INDEX('Transition Stepwise'!$J$2:$J$1137,MATCH(F404,'Transition Stepwise'!$E$2:$E$1137,0))</f>
        <v>0.24242424242424243</v>
      </c>
      <c r="H404" s="14" t="e">
        <f>INDEX(Background!$D$12:$D$27,MATCH(C404&amp;D404,INDEX(Background!$A$12:$A$27,0)&amp;INDEX(Background!$B$12:$B$27,0),0))</f>
        <v>#VALUE!</v>
      </c>
      <c r="I404" s="17" t="e">
        <f t="shared" si="20"/>
        <v>#VALUE!</v>
      </c>
    </row>
    <row r="405" spans="1:9">
      <c r="A405" s="4" t="s">
        <v>755</v>
      </c>
      <c r="B405" s="4">
        <v>49</v>
      </c>
      <c r="C405" s="4" t="s">
        <v>73</v>
      </c>
      <c r="D405" s="4" t="s">
        <v>73</v>
      </c>
      <c r="E405" s="4" t="s">
        <v>788</v>
      </c>
      <c r="F405" s="4" t="str">
        <f t="shared" ref="F405:F436" si="21">B405&amp;"|"&amp;C405&amp;"|"&amp;D405</f>
        <v>49|A|A</v>
      </c>
      <c r="G405" s="14">
        <f>INDEX('Transition Stepwise'!$J$2:$J$1137,MATCH(F405,'Transition Stepwise'!$E$2:$E$1137,0))</f>
        <v>8.5714285714285715E-2</v>
      </c>
      <c r="H405" s="14" t="e">
        <f>INDEX(Background!$D$12:$D$27,MATCH(C405&amp;D405,INDEX(Background!$A$12:$A$27,0)&amp;INDEX(Background!$B$12:$B$27,0),0))</f>
        <v>#VALUE!</v>
      </c>
      <c r="I405" s="17" t="e">
        <f t="shared" ref="I405:I436" si="22">LN(G405/H405)</f>
        <v>#VALUE!</v>
      </c>
    </row>
    <row r="406" spans="1:9">
      <c r="A406" s="4" t="s">
        <v>755</v>
      </c>
      <c r="B406" s="4">
        <v>50</v>
      </c>
      <c r="C406" s="4" t="s">
        <v>73</v>
      </c>
      <c r="D406" s="4" t="s">
        <v>70</v>
      </c>
      <c r="E406" s="4" t="s">
        <v>788</v>
      </c>
      <c r="F406" s="4" t="str">
        <f t="shared" si="21"/>
        <v>50|A|G</v>
      </c>
      <c r="G406" s="14">
        <f>INDEX('Transition Stepwise'!$J$2:$J$1137,MATCH(F406,'Transition Stepwise'!$E$2:$E$1137,0))</f>
        <v>0.62962962962962965</v>
      </c>
      <c r="H406" s="14" t="e">
        <f>INDEX(Background!$D$12:$D$27,MATCH(C406&amp;D406,INDEX(Background!$A$12:$A$27,0)&amp;INDEX(Background!$B$12:$B$27,0),0))</f>
        <v>#VALUE!</v>
      </c>
      <c r="I406" s="17" t="e">
        <f t="shared" si="22"/>
        <v>#VALUE!</v>
      </c>
    </row>
    <row r="407" spans="1:9">
      <c r="A407" s="4" t="s">
        <v>755</v>
      </c>
      <c r="B407" s="4">
        <v>51</v>
      </c>
      <c r="C407" s="4" t="s">
        <v>70</v>
      </c>
      <c r="D407" s="4" t="s">
        <v>70</v>
      </c>
      <c r="E407" s="4" t="s">
        <v>788</v>
      </c>
      <c r="F407" s="4" t="str">
        <f t="shared" si="21"/>
        <v>51|G|G</v>
      </c>
      <c r="G407" s="14">
        <f>INDEX('Transition Stepwise'!$J$2:$J$1137,MATCH(F407,'Transition Stepwise'!$E$2:$E$1137,0))</f>
        <v>0.78640776699029125</v>
      </c>
      <c r="H407" s="14" t="e">
        <f>INDEX(Background!$D$12:$D$27,MATCH(C407&amp;D407,INDEX(Background!$A$12:$A$27,0)&amp;INDEX(Background!$B$12:$B$27,0),0))</f>
        <v>#VALUE!</v>
      </c>
      <c r="I407" s="17" t="e">
        <f t="shared" si="22"/>
        <v>#VALUE!</v>
      </c>
    </row>
    <row r="408" spans="1:9">
      <c r="A408" s="4" t="s">
        <v>755</v>
      </c>
      <c r="B408" s="4">
        <v>52</v>
      </c>
      <c r="C408" s="4" t="s">
        <v>70</v>
      </c>
      <c r="D408" s="4" t="s">
        <v>70</v>
      </c>
      <c r="E408" s="4" t="s">
        <v>788</v>
      </c>
      <c r="F408" s="4" t="str">
        <f t="shared" si="21"/>
        <v>52|G|G</v>
      </c>
      <c r="G408" s="14">
        <f>INDEX('Transition Stepwise'!$J$2:$J$1137,MATCH(F408,'Transition Stepwise'!$E$2:$E$1137,0))</f>
        <v>0.96511627906976749</v>
      </c>
      <c r="H408" s="14" t="e">
        <f>INDEX(Background!$D$12:$D$27,MATCH(C408&amp;D408,INDEX(Background!$A$12:$A$27,0)&amp;INDEX(Background!$B$12:$B$27,0),0))</f>
        <v>#VALUE!</v>
      </c>
      <c r="I408" s="17" t="e">
        <f t="shared" si="22"/>
        <v>#VALUE!</v>
      </c>
    </row>
    <row r="409" spans="1:9">
      <c r="A409" s="4" t="s">
        <v>755</v>
      </c>
      <c r="B409" s="4">
        <v>53</v>
      </c>
      <c r="C409" s="4" t="s">
        <v>70</v>
      </c>
      <c r="D409" s="4" t="s">
        <v>72</v>
      </c>
      <c r="E409" s="4" t="s">
        <v>788</v>
      </c>
      <c r="F409" s="4" t="str">
        <f t="shared" si="21"/>
        <v>53|G|U</v>
      </c>
      <c r="G409" s="14">
        <f>INDEX('Transition Stepwise'!$J$2:$J$1137,MATCH(F409,'Transition Stepwise'!$E$2:$E$1137,0))</f>
        <v>0.97499999999999998</v>
      </c>
      <c r="H409" s="14" t="e">
        <f>INDEX(Background!$D$12:$D$27,MATCH(C409&amp;D409,INDEX(Background!$A$12:$A$27,0)&amp;INDEX(Background!$B$12:$B$27,0),0))</f>
        <v>#VALUE!</v>
      </c>
      <c r="I409" s="17" t="e">
        <f t="shared" si="22"/>
        <v>#VALUE!</v>
      </c>
    </row>
    <row r="410" spans="1:9">
      <c r="A410" s="4" t="s">
        <v>755</v>
      </c>
      <c r="B410" s="4">
        <v>54</v>
      </c>
      <c r="C410" s="4" t="s">
        <v>72</v>
      </c>
      <c r="D410" s="4" t="s">
        <v>72</v>
      </c>
      <c r="E410" s="4" t="s">
        <v>788</v>
      </c>
      <c r="F410" s="4" t="str">
        <f t="shared" si="21"/>
        <v>54|U|U</v>
      </c>
      <c r="G410" s="14">
        <f>INDEX('Transition Stepwise'!$J$2:$J$1137,MATCH(F410,'Transition Stepwise'!$E$2:$E$1137,0))</f>
        <v>0.97029702970297027</v>
      </c>
      <c r="H410" s="14" t="e">
        <f>INDEX(Background!$D$12:$D$27,MATCH(C410&amp;D410,INDEX(Background!$A$12:$A$27,0)&amp;INDEX(Background!$B$12:$B$27,0),0))</f>
        <v>#VALUE!</v>
      </c>
      <c r="I410" s="17" t="e">
        <f t="shared" si="22"/>
        <v>#VALUE!</v>
      </c>
    </row>
    <row r="411" spans="1:9">
      <c r="A411" s="4" t="s">
        <v>755</v>
      </c>
      <c r="B411" s="4">
        <v>55</v>
      </c>
      <c r="C411" s="4" t="s">
        <v>72</v>
      </c>
      <c r="D411" s="4" t="s">
        <v>71</v>
      </c>
      <c r="E411" s="4" t="s">
        <v>788</v>
      </c>
      <c r="F411" s="4" t="str">
        <f t="shared" si="21"/>
        <v>55|U|C</v>
      </c>
      <c r="G411" s="14">
        <f>INDEX('Transition Stepwise'!$J$2:$J$1137,MATCH(F411,'Transition Stepwise'!$E$2:$E$1137,0))</f>
        <v>0.97512437810945274</v>
      </c>
      <c r="H411" s="14" t="e">
        <f>INDEX(Background!$D$12:$D$27,MATCH(C411&amp;D411,INDEX(Background!$A$12:$A$27,0)&amp;INDEX(Background!$B$12:$B$27,0),0))</f>
        <v>#VALUE!</v>
      </c>
      <c r="I411" s="17" t="e">
        <f t="shared" si="22"/>
        <v>#VALUE!</v>
      </c>
    </row>
    <row r="412" spans="1:9">
      <c r="A412" s="4" t="s">
        <v>755</v>
      </c>
      <c r="B412" s="4">
        <v>56</v>
      </c>
      <c r="C412" s="4" t="s">
        <v>71</v>
      </c>
      <c r="D412" s="4" t="s">
        <v>71</v>
      </c>
      <c r="E412" s="4" t="s">
        <v>788</v>
      </c>
      <c r="F412" s="4" t="str">
        <f t="shared" si="21"/>
        <v>56|C|C</v>
      </c>
      <c r="G412" s="14">
        <f>INDEX('Transition Stepwise'!$J$2:$J$1137,MATCH(F412,'Transition Stepwise'!$E$2:$E$1137,0))</f>
        <v>5.0000000000000001E-3</v>
      </c>
      <c r="H412" s="14" t="e">
        <f>INDEX(Background!$D$12:$D$27,MATCH(C412&amp;D412,INDEX(Background!$A$12:$A$27,0)&amp;INDEX(Background!$B$12:$B$27,0),0))</f>
        <v>#VALUE!</v>
      </c>
      <c r="I412" s="17" t="e">
        <f t="shared" si="22"/>
        <v>#VALUE!</v>
      </c>
    </row>
    <row r="413" spans="1:9">
      <c r="A413" s="4" t="s">
        <v>755</v>
      </c>
      <c r="B413" s="4">
        <v>57</v>
      </c>
      <c r="C413" s="4" t="s">
        <v>71</v>
      </c>
      <c r="D413" s="4" t="s">
        <v>73</v>
      </c>
      <c r="E413" s="4" t="s">
        <v>788</v>
      </c>
      <c r="F413" s="4" t="str">
        <f t="shared" si="21"/>
        <v>57|C|A</v>
      </c>
      <c r="G413" s="14">
        <f>INDEX('Transition Stepwise'!$J$2:$J$1137,MATCH(F413,'Transition Stepwise'!$E$2:$E$1137,0))</f>
        <v>0.25</v>
      </c>
      <c r="H413" s="14" t="e">
        <f>INDEX(Background!$D$12:$D$27,MATCH(C413&amp;D413,INDEX(Background!$A$12:$A$27,0)&amp;INDEX(Background!$B$12:$B$27,0),0))</f>
        <v>#VALUE!</v>
      </c>
      <c r="I413" s="17" t="e">
        <f t="shared" si="22"/>
        <v>#VALUE!</v>
      </c>
    </row>
    <row r="414" spans="1:9">
      <c r="A414" s="4" t="s">
        <v>755</v>
      </c>
      <c r="B414" s="4">
        <v>58</v>
      </c>
      <c r="C414" s="4" t="s">
        <v>73</v>
      </c>
      <c r="D414" s="4" t="s">
        <v>71</v>
      </c>
      <c r="E414" s="4" t="s">
        <v>788</v>
      </c>
      <c r="F414" s="4" t="str">
        <f t="shared" si="21"/>
        <v>58|A|C</v>
      </c>
      <c r="G414" s="14">
        <f>INDEX('Transition Stepwise'!$J$2:$J$1137,MATCH(F414,'Transition Stepwise'!$E$2:$E$1137,0))</f>
        <v>5.4455445544554455E-2</v>
      </c>
      <c r="H414" s="14" t="e">
        <f>INDEX(Background!$D$12:$D$27,MATCH(C414&amp;D414,INDEX(Background!$A$12:$A$27,0)&amp;INDEX(Background!$B$12:$B$27,0),0))</f>
        <v>#VALUE!</v>
      </c>
      <c r="I414" s="17" t="e">
        <f t="shared" si="22"/>
        <v>#VALUE!</v>
      </c>
    </row>
    <row r="415" spans="1:9">
      <c r="A415" s="4" t="s">
        <v>755</v>
      </c>
      <c r="B415" s="4">
        <v>59</v>
      </c>
      <c r="C415" s="4" t="s">
        <v>71</v>
      </c>
      <c r="D415" s="4" t="s">
        <v>72</v>
      </c>
      <c r="E415" s="4" t="s">
        <v>788</v>
      </c>
      <c r="F415" s="4" t="str">
        <f t="shared" si="21"/>
        <v>59|C|U</v>
      </c>
      <c r="G415" s="14">
        <f>INDEX('Transition Stepwise'!$J$2:$J$1137,MATCH(F415,'Transition Stepwise'!$E$2:$E$1137,0))</f>
        <v>0.5625</v>
      </c>
      <c r="H415" s="14" t="e">
        <f>INDEX(Background!$D$12:$D$27,MATCH(C415&amp;D415,INDEX(Background!$A$12:$A$27,0)&amp;INDEX(Background!$B$12:$B$27,0),0))</f>
        <v>#VALUE!</v>
      </c>
      <c r="I415" s="17" t="e">
        <f t="shared" si="22"/>
        <v>#VALUE!</v>
      </c>
    </row>
    <row r="416" spans="1:9">
      <c r="A416" s="4" t="s">
        <v>755</v>
      </c>
      <c r="B416" s="4">
        <v>60</v>
      </c>
      <c r="C416" s="4" t="s">
        <v>72</v>
      </c>
      <c r="D416" s="4" t="s">
        <v>71</v>
      </c>
      <c r="E416" s="4" t="s">
        <v>788</v>
      </c>
      <c r="F416" s="4" t="str">
        <f t="shared" si="21"/>
        <v>60|U|C</v>
      </c>
      <c r="G416" s="14">
        <f>INDEX('Transition Stepwise'!$J$2:$J$1137,MATCH(F416,'Transition Stepwise'!$E$2:$E$1137,0))</f>
        <v>0.97515527950310554</v>
      </c>
      <c r="H416" s="14" t="e">
        <f>INDEX(Background!$D$12:$D$27,MATCH(C416&amp;D416,INDEX(Background!$A$12:$A$27,0)&amp;INDEX(Background!$B$12:$B$27,0),0))</f>
        <v>#VALUE!</v>
      </c>
      <c r="I416" s="17" t="e">
        <f t="shared" si="22"/>
        <v>#VALUE!</v>
      </c>
    </row>
    <row r="417" spans="1:9">
      <c r="A417" s="4" t="s">
        <v>755</v>
      </c>
      <c r="B417" s="4">
        <v>61</v>
      </c>
      <c r="C417" s="4" t="s">
        <v>71</v>
      </c>
      <c r="D417" s="4" t="s">
        <v>72</v>
      </c>
      <c r="E417" s="4" t="s">
        <v>788</v>
      </c>
      <c r="F417" s="4" t="str">
        <f t="shared" si="21"/>
        <v>61|C|U</v>
      </c>
      <c r="G417" s="14">
        <f>INDEX('Transition Stepwise'!$J$2:$J$1137,MATCH(F417,'Transition Stepwise'!$E$2:$E$1137,0))</f>
        <v>0.12871287128712872</v>
      </c>
      <c r="H417" s="14" t="e">
        <f>INDEX(Background!$D$12:$D$27,MATCH(C417&amp;D417,INDEX(Background!$A$12:$A$27,0)&amp;INDEX(Background!$B$12:$B$27,0),0))</f>
        <v>#VALUE!</v>
      </c>
      <c r="I417" s="17" t="e">
        <f t="shared" si="22"/>
        <v>#VALUE!</v>
      </c>
    </row>
    <row r="418" spans="1:9">
      <c r="A418" s="4" t="s">
        <v>755</v>
      </c>
      <c r="B418" s="4">
        <v>62</v>
      </c>
      <c r="C418" s="4" t="s">
        <v>72</v>
      </c>
      <c r="D418" s="4" t="s">
        <v>72</v>
      </c>
      <c r="E418" s="4" t="s">
        <v>788</v>
      </c>
      <c r="F418" s="4" t="str">
        <f t="shared" si="21"/>
        <v>62|U|U</v>
      </c>
      <c r="G418" s="14">
        <f>INDEX('Transition Stepwise'!$J$2:$J$1137,MATCH(F418,'Transition Stepwise'!$E$2:$E$1137,0))</f>
        <v>0.1</v>
      </c>
      <c r="H418" s="14" t="e">
        <f>INDEX(Background!$D$12:$D$27,MATCH(C418&amp;D418,INDEX(Background!$A$12:$A$27,0)&amp;INDEX(Background!$B$12:$B$27,0),0))</f>
        <v>#VALUE!</v>
      </c>
      <c r="I418" s="17" t="e">
        <f t="shared" si="22"/>
        <v>#VALUE!</v>
      </c>
    </row>
    <row r="419" spans="1:9">
      <c r="A419" s="4" t="s">
        <v>755</v>
      </c>
      <c r="B419" s="4">
        <v>63</v>
      </c>
      <c r="C419" s="4" t="s">
        <v>72</v>
      </c>
      <c r="D419" s="4" t="s">
        <v>72</v>
      </c>
      <c r="E419" s="4" t="s">
        <v>788</v>
      </c>
      <c r="F419" s="4" t="str">
        <f t="shared" si="21"/>
        <v>63|U|U</v>
      </c>
      <c r="G419" s="14">
        <f>INDEX('Transition Stepwise'!$J$2:$J$1137,MATCH(F419,'Transition Stepwise'!$E$2:$E$1137,0))</f>
        <v>0.1388888888888889</v>
      </c>
      <c r="H419" s="14" t="e">
        <f>INDEX(Background!$D$12:$D$27,MATCH(C419&amp;D419,INDEX(Background!$A$12:$A$27,0)&amp;INDEX(Background!$B$12:$B$27,0),0))</f>
        <v>#VALUE!</v>
      </c>
      <c r="I419" s="17" t="e">
        <f t="shared" si="22"/>
        <v>#VALUE!</v>
      </c>
    </row>
    <row r="420" spans="1:9">
      <c r="A420" s="4" t="s">
        <v>755</v>
      </c>
      <c r="B420" s="4">
        <v>64</v>
      </c>
      <c r="C420" s="4" t="s">
        <v>72</v>
      </c>
      <c r="D420" s="4" t="s">
        <v>72</v>
      </c>
      <c r="E420" s="4" t="s">
        <v>788</v>
      </c>
      <c r="F420" s="4" t="str">
        <f t="shared" si="21"/>
        <v>64|U|U</v>
      </c>
      <c r="G420" s="14">
        <f>INDEX('Transition Stepwise'!$J$2:$J$1137,MATCH(F420,'Transition Stepwise'!$E$2:$E$1137,0))</f>
        <v>0.29729729729729731</v>
      </c>
      <c r="H420" s="14" t="e">
        <f>INDEX(Background!$D$12:$D$27,MATCH(C420&amp;D420,INDEX(Background!$A$12:$A$27,0)&amp;INDEX(Background!$B$12:$B$27,0),0))</f>
        <v>#VALUE!</v>
      </c>
      <c r="I420" s="17" t="e">
        <f t="shared" si="22"/>
        <v>#VALUE!</v>
      </c>
    </row>
    <row r="421" spans="1:9">
      <c r="A421" s="4" t="s">
        <v>755</v>
      </c>
      <c r="B421" s="4">
        <v>65</v>
      </c>
      <c r="C421" s="4" t="s">
        <v>72</v>
      </c>
      <c r="D421" s="4" t="s">
        <v>73</v>
      </c>
      <c r="E421" s="4" t="s">
        <v>788</v>
      </c>
      <c r="F421" s="4" t="str">
        <f t="shared" si="21"/>
        <v>65|U|A</v>
      </c>
      <c r="G421" s="14">
        <f>INDEX('Transition Stepwise'!$J$2:$J$1137,MATCH(F421,'Transition Stepwise'!$E$2:$E$1137,0))</f>
        <v>0.3108108108108108</v>
      </c>
      <c r="H421" s="14" t="e">
        <f>INDEX(Background!$D$12:$D$27,MATCH(C421&amp;D421,INDEX(Background!$A$12:$A$27,0)&amp;INDEX(Background!$B$12:$B$27,0),0))</f>
        <v>#VALUE!</v>
      </c>
      <c r="I421" s="17" t="e">
        <f t="shared" si="22"/>
        <v>#VALUE!</v>
      </c>
    </row>
    <row r="422" spans="1:9">
      <c r="A422" s="4" t="s">
        <v>755</v>
      </c>
      <c r="B422" s="4">
        <v>66</v>
      </c>
      <c r="C422" s="4" t="s">
        <v>73</v>
      </c>
      <c r="D422" s="4" t="s">
        <v>71</v>
      </c>
      <c r="E422" s="4" t="s">
        <v>788</v>
      </c>
      <c r="F422" s="4" t="str">
        <f t="shared" si="21"/>
        <v>66|A|C</v>
      </c>
      <c r="G422" s="14">
        <f>INDEX('Transition Stepwise'!$J$2:$J$1137,MATCH(F422,'Transition Stepwise'!$E$2:$E$1137,0))</f>
        <v>0.2978723404255319</v>
      </c>
      <c r="H422" s="14" t="e">
        <f>INDEX(Background!$D$12:$D$27,MATCH(C422&amp;D422,INDEX(Background!$A$12:$A$27,0)&amp;INDEX(Background!$B$12:$B$27,0),0))</f>
        <v>#VALUE!</v>
      </c>
      <c r="I422" s="17" t="e">
        <f t="shared" si="22"/>
        <v>#VALUE!</v>
      </c>
    </row>
    <row r="423" spans="1:9">
      <c r="A423" s="4" t="s">
        <v>755</v>
      </c>
      <c r="B423" s="4">
        <v>67</v>
      </c>
      <c r="C423" s="4" t="s">
        <v>71</v>
      </c>
      <c r="D423" s="4" t="s">
        <v>72</v>
      </c>
      <c r="E423" s="4" t="s">
        <v>788</v>
      </c>
      <c r="F423" s="4" t="str">
        <f t="shared" si="21"/>
        <v>67|C|U</v>
      </c>
      <c r="G423" s="14">
        <f>INDEX('Transition Stepwise'!$J$2:$J$1137,MATCH(F423,'Transition Stepwise'!$E$2:$E$1137,0))</f>
        <v>0.14285714285714285</v>
      </c>
      <c r="H423" s="14" t="e">
        <f>INDEX(Background!$D$12:$D$27,MATCH(C423&amp;D423,INDEX(Background!$A$12:$A$27,0)&amp;INDEX(Background!$B$12:$B$27,0),0))</f>
        <v>#VALUE!</v>
      </c>
      <c r="I423" s="17" t="e">
        <f t="shared" si="22"/>
        <v>#VALUE!</v>
      </c>
    </row>
    <row r="424" spans="1:9">
      <c r="A424" s="4" t="s">
        <v>755</v>
      </c>
      <c r="B424" s="4">
        <v>68</v>
      </c>
      <c r="C424" s="4" t="s">
        <v>72</v>
      </c>
      <c r="D424" s="4" t="s">
        <v>72</v>
      </c>
      <c r="E424" s="4" t="s">
        <v>788</v>
      </c>
      <c r="F424" s="4" t="str">
        <f t="shared" si="21"/>
        <v>68|U|U</v>
      </c>
      <c r="G424" s="14">
        <f>INDEX('Transition Stepwise'!$J$2:$J$1137,MATCH(F424,'Transition Stepwise'!$E$2:$E$1137,0))</f>
        <v>0.17499999999999999</v>
      </c>
      <c r="H424" s="14" t="e">
        <f>INDEX(Background!$D$12:$D$27,MATCH(C424&amp;D424,INDEX(Background!$A$12:$A$27,0)&amp;INDEX(Background!$B$12:$B$27,0),0))</f>
        <v>#VALUE!</v>
      </c>
      <c r="I424" s="17" t="e">
        <f t="shared" si="22"/>
        <v>#VALUE!</v>
      </c>
    </row>
    <row r="425" spans="1:9">
      <c r="A425" s="4" t="s">
        <v>755</v>
      </c>
      <c r="B425" s="4">
        <v>69</v>
      </c>
      <c r="C425" s="4" t="s">
        <v>72</v>
      </c>
      <c r="D425" s="4" t="s">
        <v>71</v>
      </c>
      <c r="E425" s="4" t="s">
        <v>788</v>
      </c>
      <c r="F425" s="4" t="str">
        <f t="shared" si="21"/>
        <v>69|U|C</v>
      </c>
      <c r="G425" s="14">
        <f>INDEX('Transition Stepwise'!$J$2:$J$1137,MATCH(F425,'Transition Stepwise'!$E$2:$E$1137,0))</f>
        <v>0.47619047619047616</v>
      </c>
      <c r="H425" s="14" t="e">
        <f>INDEX(Background!$D$12:$D$27,MATCH(C425&amp;D425,INDEX(Background!$A$12:$A$27,0)&amp;INDEX(Background!$B$12:$B$27,0),0))</f>
        <v>#VALUE!</v>
      </c>
      <c r="I425" s="17" t="e">
        <f t="shared" si="22"/>
        <v>#VALUE!</v>
      </c>
    </row>
    <row r="426" spans="1:9">
      <c r="A426" s="4" t="s">
        <v>755</v>
      </c>
      <c r="B426" s="4">
        <v>70</v>
      </c>
      <c r="C426" s="4" t="s">
        <v>71</v>
      </c>
      <c r="D426" s="4" t="s">
        <v>73</v>
      </c>
      <c r="E426" s="4" t="s">
        <v>788</v>
      </c>
      <c r="F426" s="4" t="str">
        <f t="shared" si="21"/>
        <v>70|C|A</v>
      </c>
      <c r="G426" s="14">
        <f>INDEX('Transition Stepwise'!$J$2:$J$1137,MATCH(F426,'Transition Stepwise'!$E$2:$E$1137,0))</f>
        <v>2.6315789473684209E-2</v>
      </c>
      <c r="H426" s="14" t="e">
        <f>INDEX(Background!$D$12:$D$27,MATCH(C426&amp;D426,INDEX(Background!$A$12:$A$27,0)&amp;INDEX(Background!$B$12:$B$27,0),0))</f>
        <v>#VALUE!</v>
      </c>
      <c r="I426" s="17" t="e">
        <f t="shared" si="22"/>
        <v>#VALUE!</v>
      </c>
    </row>
    <row r="427" spans="1:9">
      <c r="A427" s="4" t="s">
        <v>755</v>
      </c>
      <c r="B427" s="4">
        <v>71</v>
      </c>
      <c r="C427" s="4" t="s">
        <v>73</v>
      </c>
      <c r="D427" s="4" t="s">
        <v>70</v>
      </c>
      <c r="E427" s="4" t="s">
        <v>788</v>
      </c>
      <c r="F427" s="4" t="str">
        <f t="shared" si="21"/>
        <v>71|A|G</v>
      </c>
      <c r="G427" s="14">
        <f>INDEX('Transition Stepwise'!$J$2:$J$1137,MATCH(F427,'Transition Stepwise'!$E$2:$E$1137,0))</f>
        <v>0.22222222222222221</v>
      </c>
      <c r="H427" s="14" t="e">
        <f>INDEX(Background!$D$12:$D$27,MATCH(C427&amp;D427,INDEX(Background!$A$12:$A$27,0)&amp;INDEX(Background!$B$12:$B$27,0),0))</f>
        <v>#VALUE!</v>
      </c>
      <c r="I427" s="17" t="e">
        <f t="shared" si="22"/>
        <v>#VALUE!</v>
      </c>
    </row>
    <row r="428" spans="1:9">
      <c r="A428" s="4" t="s">
        <v>756</v>
      </c>
      <c r="B428" s="4">
        <v>1</v>
      </c>
      <c r="C428" s="4" t="s">
        <v>72</v>
      </c>
      <c r="D428" s="4" t="s">
        <v>70</v>
      </c>
      <c r="E428" s="4" t="s">
        <v>788</v>
      </c>
      <c r="F428" s="4" t="str">
        <f t="shared" si="21"/>
        <v>1|U|G</v>
      </c>
      <c r="G428" s="14">
        <f>INDEX('Transition Stepwise'!$J$2:$J$1137,MATCH(F428,'Transition Stepwise'!$E$2:$E$1137,0))</f>
        <v>0.29411764705882354</v>
      </c>
      <c r="H428" s="14" t="e">
        <f>INDEX(Background!$D$12:$D$27,MATCH(C428&amp;D428,INDEX(Background!$A$12:$A$27,0)&amp;INDEX(Background!$B$12:$B$27,0),0))</f>
        <v>#VALUE!</v>
      </c>
      <c r="I428" s="17" t="e">
        <f t="shared" si="22"/>
        <v>#VALUE!</v>
      </c>
    </row>
    <row r="429" spans="1:9">
      <c r="A429" s="4" t="s">
        <v>756</v>
      </c>
      <c r="B429" s="4">
        <v>2</v>
      </c>
      <c r="C429" s="4" t="s">
        <v>70</v>
      </c>
      <c r="D429" s="4" t="s">
        <v>70</v>
      </c>
      <c r="E429" s="4" t="s">
        <v>788</v>
      </c>
      <c r="F429" s="4" t="str">
        <f t="shared" si="21"/>
        <v>2|G|G</v>
      </c>
      <c r="G429" s="14">
        <f>INDEX('Transition Stepwise'!$J$2:$J$1137,MATCH(F429,'Transition Stepwise'!$E$2:$E$1137,0))</f>
        <v>0.57272727272727275</v>
      </c>
      <c r="H429" s="14" t="e">
        <f>INDEX(Background!$D$12:$D$27,MATCH(C429&amp;D429,INDEX(Background!$A$12:$A$27,0)&amp;INDEX(Background!$B$12:$B$27,0),0))</f>
        <v>#VALUE!</v>
      </c>
      <c r="I429" s="17" t="e">
        <f t="shared" si="22"/>
        <v>#VALUE!</v>
      </c>
    </row>
    <row r="430" spans="1:9">
      <c r="A430" s="4" t="s">
        <v>756</v>
      </c>
      <c r="B430" s="4">
        <v>3</v>
      </c>
      <c r="C430" s="4" t="s">
        <v>70</v>
      </c>
      <c r="D430" s="4" t="s">
        <v>72</v>
      </c>
      <c r="E430" s="4" t="s">
        <v>788</v>
      </c>
      <c r="F430" s="4" t="str">
        <f t="shared" si="21"/>
        <v>3|G|U</v>
      </c>
      <c r="G430" s="14">
        <f>INDEX('Transition Stepwise'!$J$2:$J$1137,MATCH(F430,'Transition Stepwise'!$E$2:$E$1137,0))</f>
        <v>0.13333333333333333</v>
      </c>
      <c r="H430" s="14" t="e">
        <f>INDEX(Background!$D$12:$D$27,MATCH(C430&amp;D430,INDEX(Background!$A$12:$A$27,0)&amp;INDEX(Background!$B$12:$B$27,0),0))</f>
        <v>#VALUE!</v>
      </c>
      <c r="I430" s="17" t="e">
        <f t="shared" si="22"/>
        <v>#VALUE!</v>
      </c>
    </row>
    <row r="431" spans="1:9">
      <c r="A431" s="4" t="s">
        <v>756</v>
      </c>
      <c r="B431" s="4">
        <v>4</v>
      </c>
      <c r="C431" s="4" t="s">
        <v>72</v>
      </c>
      <c r="D431" s="4" t="s">
        <v>71</v>
      </c>
      <c r="E431" s="4" t="s">
        <v>788</v>
      </c>
      <c r="F431" s="4" t="str">
        <f t="shared" si="21"/>
        <v>4|U|C</v>
      </c>
      <c r="G431" s="14">
        <f>INDEX('Transition Stepwise'!$J$2:$J$1137,MATCH(F431,'Transition Stepwise'!$E$2:$E$1137,0))</f>
        <v>0.5</v>
      </c>
      <c r="H431" s="14" t="e">
        <f>INDEX(Background!$D$12:$D$27,MATCH(C431&amp;D431,INDEX(Background!$A$12:$A$27,0)&amp;INDEX(Background!$B$12:$B$27,0),0))</f>
        <v>#VALUE!</v>
      </c>
      <c r="I431" s="17" t="e">
        <f t="shared" si="22"/>
        <v>#VALUE!</v>
      </c>
    </row>
    <row r="432" spans="1:9">
      <c r="A432" s="4" t="s">
        <v>756</v>
      </c>
      <c r="B432" s="4">
        <v>5</v>
      </c>
      <c r="C432" s="4" t="s">
        <v>71</v>
      </c>
      <c r="D432" s="4" t="s">
        <v>71</v>
      </c>
      <c r="E432" s="4" t="s">
        <v>788</v>
      </c>
      <c r="F432" s="4" t="str">
        <f t="shared" si="21"/>
        <v>5|C|C</v>
      </c>
      <c r="G432" s="14">
        <f>INDEX('Transition Stepwise'!$J$2:$J$1137,MATCH(F432,'Transition Stepwise'!$E$2:$E$1137,0))</f>
        <v>0.45783132530120479</v>
      </c>
      <c r="H432" s="14" t="e">
        <f>INDEX(Background!$D$12:$D$27,MATCH(C432&amp;D432,INDEX(Background!$A$12:$A$27,0)&amp;INDEX(Background!$B$12:$B$27,0),0))</f>
        <v>#VALUE!</v>
      </c>
      <c r="I432" s="17" t="e">
        <f t="shared" si="22"/>
        <v>#VALUE!</v>
      </c>
    </row>
    <row r="433" spans="1:9">
      <c r="A433" s="4" t="s">
        <v>756</v>
      </c>
      <c r="B433" s="4">
        <v>6</v>
      </c>
      <c r="C433" s="4" t="s">
        <v>71</v>
      </c>
      <c r="D433" s="4" t="s">
        <v>73</v>
      </c>
      <c r="E433" s="4" t="s">
        <v>788</v>
      </c>
      <c r="F433" s="4" t="str">
        <f t="shared" si="21"/>
        <v>6|C|A</v>
      </c>
      <c r="G433" s="14">
        <f>INDEX('Transition Stepwise'!$J$2:$J$1137,MATCH(F433,'Transition Stepwise'!$E$2:$E$1137,0))</f>
        <v>0.13043478260869565</v>
      </c>
      <c r="H433" s="14" t="e">
        <f>INDEX(Background!$D$12:$D$27,MATCH(C433&amp;D433,INDEX(Background!$A$12:$A$27,0)&amp;INDEX(Background!$B$12:$B$27,0),0))</f>
        <v>#VALUE!</v>
      </c>
      <c r="I433" s="17" t="e">
        <f t="shared" si="22"/>
        <v>#VALUE!</v>
      </c>
    </row>
    <row r="434" spans="1:9">
      <c r="A434" s="4" t="s">
        <v>756</v>
      </c>
      <c r="B434" s="4">
        <v>7</v>
      </c>
      <c r="C434" s="4" t="s">
        <v>73</v>
      </c>
      <c r="D434" s="4" t="s">
        <v>72</v>
      </c>
      <c r="E434" s="4" t="s">
        <v>788</v>
      </c>
      <c r="F434" s="4" t="str">
        <f t="shared" si="21"/>
        <v>7|A|U</v>
      </c>
      <c r="G434" s="14">
        <f>INDEX('Transition Stepwise'!$J$2:$J$1137,MATCH(F434,'Transition Stepwise'!$E$2:$E$1137,0))</f>
        <v>0.92307692307692313</v>
      </c>
      <c r="H434" s="14" t="e">
        <f>INDEX(Background!$D$12:$D$27,MATCH(C434&amp;D434,INDEX(Background!$A$12:$A$27,0)&amp;INDEX(Background!$B$12:$B$27,0),0))</f>
        <v>#VALUE!</v>
      </c>
      <c r="I434" s="17" t="e">
        <f t="shared" si="22"/>
        <v>#VALUE!</v>
      </c>
    </row>
    <row r="435" spans="1:9">
      <c r="A435" s="4" t="s">
        <v>756</v>
      </c>
      <c r="B435" s="4">
        <v>8</v>
      </c>
      <c r="C435" s="4" t="s">
        <v>72</v>
      </c>
      <c r="D435" s="4" t="s">
        <v>72</v>
      </c>
      <c r="E435" s="4" t="s">
        <v>788</v>
      </c>
      <c r="F435" s="4" t="str">
        <f t="shared" si="21"/>
        <v>8|U|U</v>
      </c>
      <c r="G435" s="14">
        <f>INDEX('Transition Stepwise'!$J$2:$J$1137,MATCH(F435,'Transition Stepwise'!$E$2:$E$1137,0))</f>
        <v>4.9751243781094526E-3</v>
      </c>
      <c r="H435" s="14" t="e">
        <f>INDEX(Background!$D$12:$D$27,MATCH(C435&amp;D435,INDEX(Background!$A$12:$A$27,0)&amp;INDEX(Background!$B$12:$B$27,0),0))</f>
        <v>#VALUE!</v>
      </c>
      <c r="I435" s="17" t="e">
        <f t="shared" si="22"/>
        <v>#VALUE!</v>
      </c>
    </row>
    <row r="436" spans="1:9">
      <c r="A436" s="4" t="s">
        <v>756</v>
      </c>
      <c r="B436" s="4">
        <v>9</v>
      </c>
      <c r="C436" s="4" t="s">
        <v>72</v>
      </c>
      <c r="D436" s="4" t="s">
        <v>72</v>
      </c>
      <c r="E436" s="4" t="s">
        <v>788</v>
      </c>
      <c r="F436" s="4" t="str">
        <f t="shared" si="21"/>
        <v>9|U|U</v>
      </c>
      <c r="G436" s="14">
        <f>INDEX('Transition Stepwise'!$J$2:$J$1137,MATCH(F436,'Transition Stepwise'!$E$2:$E$1137,0))</f>
        <v>0.25</v>
      </c>
      <c r="H436" s="14" t="e">
        <f>INDEX(Background!$D$12:$D$27,MATCH(C436&amp;D436,INDEX(Background!$A$12:$A$27,0)&amp;INDEX(Background!$B$12:$B$27,0),0))</f>
        <v>#VALUE!</v>
      </c>
      <c r="I436" s="17" t="e">
        <f t="shared" si="22"/>
        <v>#VALUE!</v>
      </c>
    </row>
    <row r="437" spans="1:9">
      <c r="A437" s="4" t="s">
        <v>756</v>
      </c>
      <c r="B437" s="4">
        <v>10</v>
      </c>
      <c r="C437" s="4" t="s">
        <v>72</v>
      </c>
      <c r="D437" s="4" t="s">
        <v>72</v>
      </c>
      <c r="E437" s="4" t="s">
        <v>788</v>
      </c>
      <c r="F437" s="4" t="str">
        <f t="shared" ref="F437:F468" si="23">B437&amp;"|"&amp;C437&amp;"|"&amp;D437</f>
        <v>10|U|U</v>
      </c>
      <c r="G437" s="14">
        <f>INDEX('Transition Stepwise'!$J$2:$J$1137,MATCH(F437,'Transition Stepwise'!$E$2:$E$1137,0))</f>
        <v>0.25</v>
      </c>
      <c r="H437" s="14" t="e">
        <f>INDEX(Background!$D$12:$D$27,MATCH(C437&amp;D437,INDEX(Background!$A$12:$A$27,0)&amp;INDEX(Background!$B$12:$B$27,0),0))</f>
        <v>#VALUE!</v>
      </c>
      <c r="I437" s="17" t="e">
        <f t="shared" ref="I437:I468" si="24">LN(G437/H437)</f>
        <v>#VALUE!</v>
      </c>
    </row>
    <row r="438" spans="1:9">
      <c r="A438" s="4" t="s">
        <v>756</v>
      </c>
      <c r="B438" s="4">
        <v>11</v>
      </c>
      <c r="C438" s="4" t="s">
        <v>72</v>
      </c>
      <c r="D438" s="4" t="s">
        <v>72</v>
      </c>
      <c r="E438" s="4" t="s">
        <v>788</v>
      </c>
      <c r="F438" s="4" t="str">
        <f t="shared" si="23"/>
        <v>11|U|U</v>
      </c>
      <c r="G438" s="14">
        <f>INDEX('Transition Stepwise'!$J$2:$J$1137,MATCH(F438,'Transition Stepwise'!$E$2:$E$1137,0))</f>
        <v>0.27272727272727271</v>
      </c>
      <c r="H438" s="14" t="e">
        <f>INDEX(Background!$D$12:$D$27,MATCH(C438&amp;D438,INDEX(Background!$A$12:$A$27,0)&amp;INDEX(Background!$B$12:$B$27,0),0))</f>
        <v>#VALUE!</v>
      </c>
      <c r="I438" s="17" t="e">
        <f t="shared" si="24"/>
        <v>#VALUE!</v>
      </c>
    </row>
    <row r="439" spans="1:9">
      <c r="A439" s="4" t="s">
        <v>756</v>
      </c>
      <c r="B439" s="4">
        <v>12</v>
      </c>
      <c r="C439" s="4" t="s">
        <v>72</v>
      </c>
      <c r="D439" s="4" t="s">
        <v>71</v>
      </c>
      <c r="E439" s="4" t="s">
        <v>788</v>
      </c>
      <c r="F439" s="4" t="str">
        <f t="shared" si="23"/>
        <v>12|U|C</v>
      </c>
      <c r="G439" s="14">
        <f>INDEX('Transition Stepwise'!$J$2:$J$1137,MATCH(F439,'Transition Stepwise'!$E$2:$E$1137,0))</f>
        <v>0.87096774193548387</v>
      </c>
      <c r="H439" s="14" t="e">
        <f>INDEX(Background!$D$12:$D$27,MATCH(C439&amp;D439,INDEX(Background!$A$12:$A$27,0)&amp;INDEX(Background!$B$12:$B$27,0),0))</f>
        <v>#VALUE!</v>
      </c>
      <c r="I439" s="17" t="e">
        <f t="shared" si="24"/>
        <v>#VALUE!</v>
      </c>
    </row>
    <row r="440" spans="1:9">
      <c r="A440" s="4" t="s">
        <v>756</v>
      </c>
      <c r="B440" s="4">
        <v>13</v>
      </c>
      <c r="C440" s="4" t="s">
        <v>71</v>
      </c>
      <c r="D440" s="4" t="s">
        <v>70</v>
      </c>
      <c r="E440" s="4" t="s">
        <v>788</v>
      </c>
      <c r="F440" s="4" t="str">
        <f t="shared" si="23"/>
        <v>13|C|G</v>
      </c>
      <c r="G440" s="14">
        <f>INDEX('Transition Stepwise'!$J$2:$J$1137,MATCH(F440,'Transition Stepwise'!$E$2:$E$1137,0))</f>
        <v>7.462686567164179E-3</v>
      </c>
      <c r="H440" s="14" t="e">
        <f>INDEX(Background!$D$12:$D$27,MATCH(C440&amp;D440,INDEX(Background!$A$12:$A$27,0)&amp;INDEX(Background!$B$12:$B$27,0),0))</f>
        <v>#VALUE!</v>
      </c>
      <c r="I440" s="17" t="e">
        <f t="shared" si="24"/>
        <v>#VALUE!</v>
      </c>
    </row>
    <row r="441" spans="1:9">
      <c r="A441" s="4" t="s">
        <v>756</v>
      </c>
      <c r="B441" s="4">
        <v>14</v>
      </c>
      <c r="C441" s="4" t="s">
        <v>70</v>
      </c>
      <c r="D441" s="4" t="s">
        <v>70</v>
      </c>
      <c r="E441" s="4" t="s">
        <v>788</v>
      </c>
      <c r="F441" s="4" t="str">
        <f t="shared" si="23"/>
        <v>14|G|G</v>
      </c>
      <c r="G441" s="14">
        <f>INDEX('Transition Stepwise'!$J$2:$J$1137,MATCH(F441,'Transition Stepwise'!$E$2:$E$1137,0))</f>
        <v>0.2</v>
      </c>
      <c r="H441" s="14" t="e">
        <f>INDEX(Background!$D$12:$D$27,MATCH(C441&amp;D441,INDEX(Background!$A$12:$A$27,0)&amp;INDEX(Background!$B$12:$B$27,0),0))</f>
        <v>#VALUE!</v>
      </c>
      <c r="I441" s="17" t="e">
        <f t="shared" si="24"/>
        <v>#VALUE!</v>
      </c>
    </row>
    <row r="442" spans="1:9">
      <c r="A442" s="4" t="s">
        <v>756</v>
      </c>
      <c r="B442" s="4">
        <v>15</v>
      </c>
      <c r="C442" s="4" t="s">
        <v>70</v>
      </c>
      <c r="D442" s="4" t="s">
        <v>71</v>
      </c>
      <c r="E442" s="4" t="s">
        <v>788</v>
      </c>
      <c r="F442" s="4" t="str">
        <f t="shared" si="23"/>
        <v>15|G|C</v>
      </c>
      <c r="G442" s="14">
        <f>INDEX('Transition Stepwise'!$J$2:$J$1137,MATCH(F442,'Transition Stepwise'!$E$2:$E$1137,0))</f>
        <v>0.39830508474576271</v>
      </c>
      <c r="H442" s="14" t="e">
        <f>INDEX(Background!$D$12:$D$27,MATCH(C442&amp;D442,INDEX(Background!$A$12:$A$27,0)&amp;INDEX(Background!$B$12:$B$27,0),0))</f>
        <v>#VALUE!</v>
      </c>
      <c r="I442" s="17" t="e">
        <f t="shared" si="24"/>
        <v>#VALUE!</v>
      </c>
    </row>
    <row r="443" spans="1:9">
      <c r="A443" s="4" t="s">
        <v>756</v>
      </c>
      <c r="B443" s="4">
        <v>16</v>
      </c>
      <c r="C443" s="4" t="s">
        <v>71</v>
      </c>
      <c r="D443" s="4" t="s">
        <v>71</v>
      </c>
      <c r="E443" s="4" t="s">
        <v>788</v>
      </c>
      <c r="F443" s="4" t="str">
        <f t="shared" si="23"/>
        <v>16|C|C</v>
      </c>
      <c r="G443" s="14">
        <f>INDEX('Transition Stepwise'!$J$2:$J$1137,MATCH(F443,'Transition Stepwise'!$E$2:$E$1137,0))</f>
        <v>0.45098039215686275</v>
      </c>
      <c r="H443" s="14" t="e">
        <f>INDEX(Background!$D$12:$D$27,MATCH(C443&amp;D443,INDEX(Background!$A$12:$A$27,0)&amp;INDEX(Background!$B$12:$B$27,0),0))</f>
        <v>#VALUE!</v>
      </c>
      <c r="I443" s="17" t="e">
        <f t="shared" si="24"/>
        <v>#VALUE!</v>
      </c>
    </row>
    <row r="444" spans="1:9">
      <c r="A444" s="4" t="s">
        <v>756</v>
      </c>
      <c r="B444" s="4">
        <v>17</v>
      </c>
      <c r="C444" s="4" t="s">
        <v>71</v>
      </c>
      <c r="D444" s="4" t="s">
        <v>70</v>
      </c>
      <c r="E444" s="4" t="s">
        <v>788</v>
      </c>
      <c r="F444" s="4" t="str">
        <f t="shared" si="23"/>
        <v>17|C|G</v>
      </c>
      <c r="G444" s="14">
        <f>INDEX('Transition Stepwise'!$J$2:$J$1137,MATCH(F444,'Transition Stepwise'!$E$2:$E$1137,0))</f>
        <v>0.95522388059701491</v>
      </c>
      <c r="H444" s="14" t="e">
        <f>INDEX(Background!$D$12:$D$27,MATCH(C444&amp;D444,INDEX(Background!$A$12:$A$27,0)&amp;INDEX(Background!$B$12:$B$27,0),0))</f>
        <v>#VALUE!</v>
      </c>
      <c r="I444" s="17" t="e">
        <f t="shared" si="24"/>
        <v>#VALUE!</v>
      </c>
    </row>
    <row r="445" spans="1:9">
      <c r="A445" s="4" t="s">
        <v>756</v>
      </c>
      <c r="B445" s="4">
        <v>18</v>
      </c>
      <c r="C445" s="4" t="s">
        <v>70</v>
      </c>
      <c r="D445" s="4" t="s">
        <v>70</v>
      </c>
      <c r="E445" s="4" t="s">
        <v>788</v>
      </c>
      <c r="F445" s="4" t="str">
        <f t="shared" si="23"/>
        <v>18|G|G</v>
      </c>
      <c r="G445" s="14">
        <f>INDEX('Transition Stepwise'!$J$2:$J$1137,MATCH(F445,'Transition Stepwise'!$E$2:$E$1137,0))</f>
        <v>0.97536945812807885</v>
      </c>
      <c r="H445" s="14" t="e">
        <f>INDEX(Background!$D$12:$D$27,MATCH(C445&amp;D445,INDEX(Background!$A$12:$A$27,0)&amp;INDEX(Background!$B$12:$B$27,0),0))</f>
        <v>#VALUE!</v>
      </c>
      <c r="I445" s="17" t="e">
        <f t="shared" si="24"/>
        <v>#VALUE!</v>
      </c>
    </row>
    <row r="446" spans="1:9">
      <c r="A446" s="4" t="s">
        <v>756</v>
      </c>
      <c r="B446" s="4">
        <v>19</v>
      </c>
      <c r="C446" s="4" t="s">
        <v>70</v>
      </c>
      <c r="D446" s="4" t="s">
        <v>71</v>
      </c>
      <c r="E446" s="4" t="s">
        <v>788</v>
      </c>
      <c r="F446" s="4" t="str">
        <f t="shared" si="23"/>
        <v>19|G|C</v>
      </c>
      <c r="G446" s="14">
        <f>INDEX('Transition Stepwise'!$J$2:$J$1137,MATCH(F446,'Transition Stepwise'!$E$2:$E$1137,0))</f>
        <v>0.22885572139303484</v>
      </c>
      <c r="H446" s="14" t="e">
        <f>INDEX(Background!$D$12:$D$27,MATCH(C446&amp;D446,INDEX(Background!$A$12:$A$27,0)&amp;INDEX(Background!$B$12:$B$27,0),0))</f>
        <v>#VALUE!</v>
      </c>
      <c r="I446" s="17" t="e">
        <f t="shared" si="24"/>
        <v>#VALUE!</v>
      </c>
    </row>
    <row r="447" spans="1:9">
      <c r="A447" s="4" t="s">
        <v>756</v>
      </c>
      <c r="B447" s="4">
        <v>20</v>
      </c>
      <c r="C447" s="4" t="s">
        <v>71</v>
      </c>
      <c r="D447" s="4" t="s">
        <v>70</v>
      </c>
      <c r="E447" s="4" t="s">
        <v>788</v>
      </c>
      <c r="F447" s="4" t="str">
        <f t="shared" si="23"/>
        <v>20|C|G</v>
      </c>
      <c r="G447" s="14">
        <f>INDEX('Transition Stepwise'!$J$2:$J$1137,MATCH(F447,'Transition Stepwise'!$E$2:$E$1137,0))</f>
        <v>0.10204081632653061</v>
      </c>
      <c r="H447" s="14" t="e">
        <f>INDEX(Background!$D$12:$D$27,MATCH(C447&amp;D447,INDEX(Background!$A$12:$A$27,0)&amp;INDEX(Background!$B$12:$B$27,0),0))</f>
        <v>#VALUE!</v>
      </c>
      <c r="I447" s="17" t="e">
        <f t="shared" si="24"/>
        <v>#VALUE!</v>
      </c>
    </row>
    <row r="448" spans="1:9">
      <c r="A448" s="4" t="s">
        <v>756</v>
      </c>
      <c r="B448" s="4">
        <v>21</v>
      </c>
      <c r="C448" s="4" t="s">
        <v>70</v>
      </c>
      <c r="D448" s="4" t="s">
        <v>70</v>
      </c>
      <c r="E448" s="4" t="s">
        <v>788</v>
      </c>
      <c r="F448" s="4" t="str">
        <f t="shared" si="23"/>
        <v>21|G|G</v>
      </c>
      <c r="G448" s="14">
        <f>INDEX('Transition Stepwise'!$J$2:$J$1137,MATCH(F448,'Transition Stepwise'!$E$2:$E$1137,0))</f>
        <v>9.0909090909090912E-2</v>
      </c>
      <c r="H448" s="14" t="e">
        <f>INDEX(Background!$D$12:$D$27,MATCH(C448&amp;D448,INDEX(Background!$A$12:$A$27,0)&amp;INDEX(Background!$B$12:$B$27,0),0))</f>
        <v>#VALUE!</v>
      </c>
      <c r="I448" s="17" t="e">
        <f t="shared" si="24"/>
        <v>#VALUE!</v>
      </c>
    </row>
    <row r="449" spans="1:9">
      <c r="A449" s="4" t="s">
        <v>756</v>
      </c>
      <c r="B449" s="4">
        <v>22</v>
      </c>
      <c r="C449" s="4" t="s">
        <v>70</v>
      </c>
      <c r="D449" s="4" t="s">
        <v>70</v>
      </c>
      <c r="E449" s="4" t="s">
        <v>788</v>
      </c>
      <c r="F449" s="4" t="str">
        <f t="shared" si="23"/>
        <v>22|G|G</v>
      </c>
      <c r="G449" s="14">
        <f>INDEX('Transition Stepwise'!$J$2:$J$1137,MATCH(F449,'Transition Stepwise'!$E$2:$E$1137,0))</f>
        <v>4.0268456375838924E-2</v>
      </c>
      <c r="H449" s="14" t="e">
        <f>INDEX(Background!$D$12:$D$27,MATCH(C449&amp;D449,INDEX(Background!$A$12:$A$27,0)&amp;INDEX(Background!$B$12:$B$27,0),0))</f>
        <v>#VALUE!</v>
      </c>
      <c r="I449" s="17" t="e">
        <f t="shared" si="24"/>
        <v>#VALUE!</v>
      </c>
    </row>
    <row r="450" spans="1:9">
      <c r="A450" s="4" t="s">
        <v>756</v>
      </c>
      <c r="B450" s="4">
        <v>23</v>
      </c>
      <c r="C450" s="4" t="s">
        <v>70</v>
      </c>
      <c r="D450" s="4" t="s">
        <v>73</v>
      </c>
      <c r="E450" s="4" t="s">
        <v>788</v>
      </c>
      <c r="F450" s="4" t="str">
        <f t="shared" si="23"/>
        <v>23|G|A</v>
      </c>
      <c r="G450" s="14">
        <f>INDEX('Transition Stepwise'!$J$2:$J$1137,MATCH(F450,'Transition Stepwise'!$E$2:$E$1137,0))</f>
        <v>0.33333333333333331</v>
      </c>
      <c r="H450" s="14" t="e">
        <f>INDEX(Background!$D$12:$D$27,MATCH(C450&amp;D450,INDEX(Background!$A$12:$A$27,0)&amp;INDEX(Background!$B$12:$B$27,0),0))</f>
        <v>#VALUE!</v>
      </c>
      <c r="I450" s="17" t="e">
        <f t="shared" si="24"/>
        <v>#VALUE!</v>
      </c>
    </row>
    <row r="451" spans="1:9">
      <c r="A451" s="4" t="s">
        <v>756</v>
      </c>
      <c r="B451" s="4">
        <v>24</v>
      </c>
      <c r="C451" s="4" t="s">
        <v>73</v>
      </c>
      <c r="D451" s="4" t="s">
        <v>70</v>
      </c>
      <c r="E451" s="4" t="s">
        <v>788</v>
      </c>
      <c r="F451" s="4" t="str">
        <f t="shared" si="23"/>
        <v>24|A|G</v>
      </c>
      <c r="G451" s="14">
        <f>INDEX('Transition Stepwise'!$J$2:$J$1137,MATCH(F451,'Transition Stepwise'!$E$2:$E$1137,0))</f>
        <v>2.4390243902439025E-2</v>
      </c>
      <c r="H451" s="14" t="e">
        <f>INDEX(Background!$D$12:$D$27,MATCH(C451&amp;D451,INDEX(Background!$A$12:$A$27,0)&amp;INDEX(Background!$B$12:$B$27,0),0))</f>
        <v>#VALUE!</v>
      </c>
      <c r="I451" s="17" t="e">
        <f t="shared" si="24"/>
        <v>#VALUE!</v>
      </c>
    </row>
    <row r="452" spans="1:9">
      <c r="A452" s="4" t="s">
        <v>756</v>
      </c>
      <c r="B452" s="4">
        <v>25</v>
      </c>
      <c r="C452" s="4" t="s">
        <v>70</v>
      </c>
      <c r="D452" s="4" t="s">
        <v>70</v>
      </c>
      <c r="E452" s="4" t="s">
        <v>788</v>
      </c>
      <c r="F452" s="4" t="str">
        <f t="shared" si="23"/>
        <v>25|G|G</v>
      </c>
      <c r="G452" s="14">
        <f>INDEX('Transition Stepwise'!$J$2:$J$1137,MATCH(F452,'Transition Stepwise'!$E$2:$E$1137,0))</f>
        <v>0.27272727272727271</v>
      </c>
      <c r="H452" s="14" t="e">
        <f>INDEX(Background!$D$12:$D$27,MATCH(C452&amp;D452,INDEX(Background!$A$12:$A$27,0)&amp;INDEX(Background!$B$12:$B$27,0),0))</f>
        <v>#VALUE!</v>
      </c>
      <c r="I452" s="17" t="e">
        <f t="shared" si="24"/>
        <v>#VALUE!</v>
      </c>
    </row>
    <row r="453" spans="1:9">
      <c r="A453" s="4" t="s">
        <v>756</v>
      </c>
      <c r="B453" s="4">
        <v>26</v>
      </c>
      <c r="C453" s="4" t="s">
        <v>70</v>
      </c>
      <c r="D453" s="4" t="s">
        <v>73</v>
      </c>
      <c r="E453" s="4" t="s">
        <v>788</v>
      </c>
      <c r="F453" s="4" t="str">
        <f t="shared" si="23"/>
        <v>26|G|A</v>
      </c>
      <c r="G453" s="14">
        <f>INDEX('Transition Stepwise'!$J$2:$J$1137,MATCH(F453,'Transition Stepwise'!$E$2:$E$1137,0))</f>
        <v>8.6538461538461536E-2</v>
      </c>
      <c r="H453" s="14" t="e">
        <f>INDEX(Background!$D$12:$D$27,MATCH(C453&amp;D453,INDEX(Background!$A$12:$A$27,0)&amp;INDEX(Background!$B$12:$B$27,0),0))</f>
        <v>#VALUE!</v>
      </c>
      <c r="I453" s="17" t="e">
        <f t="shared" si="24"/>
        <v>#VALUE!</v>
      </c>
    </row>
    <row r="454" spans="1:9">
      <c r="A454" s="4" t="s">
        <v>756</v>
      </c>
      <c r="B454" s="4">
        <v>27</v>
      </c>
      <c r="C454" s="4" t="s">
        <v>73</v>
      </c>
      <c r="D454" s="4" t="s">
        <v>70</v>
      </c>
      <c r="E454" s="4" t="s">
        <v>788</v>
      </c>
      <c r="F454" s="4" t="str">
        <f t="shared" si="23"/>
        <v>27|A|G</v>
      </c>
      <c r="G454" s="14">
        <f>INDEX('Transition Stepwise'!$J$2:$J$1137,MATCH(F454,'Transition Stepwise'!$E$2:$E$1137,0))</f>
        <v>0.14285714285714285</v>
      </c>
      <c r="H454" s="14" t="e">
        <f>INDEX(Background!$D$12:$D$27,MATCH(C454&amp;D454,INDEX(Background!$A$12:$A$27,0)&amp;INDEX(Background!$B$12:$B$27,0),0))</f>
        <v>#VALUE!</v>
      </c>
      <c r="I454" s="17" t="e">
        <f t="shared" si="24"/>
        <v>#VALUE!</v>
      </c>
    </row>
    <row r="455" spans="1:9">
      <c r="A455" s="4" t="s">
        <v>756</v>
      </c>
      <c r="B455" s="4">
        <v>28</v>
      </c>
      <c r="C455" s="4" t="s">
        <v>70</v>
      </c>
      <c r="D455" s="4" t="s">
        <v>73</v>
      </c>
      <c r="E455" s="4" t="s">
        <v>788</v>
      </c>
      <c r="F455" s="4" t="str">
        <f t="shared" si="23"/>
        <v>28|G|A</v>
      </c>
      <c r="G455" s="14">
        <f>INDEX('Transition Stepwise'!$J$2:$J$1137,MATCH(F455,'Transition Stepwise'!$E$2:$E$1137,0))</f>
        <v>0.19230769230769232</v>
      </c>
      <c r="H455" s="14" t="e">
        <f>INDEX(Background!$D$12:$D$27,MATCH(C455&amp;D455,INDEX(Background!$A$12:$A$27,0)&amp;INDEX(Background!$B$12:$B$27,0),0))</f>
        <v>#VALUE!</v>
      </c>
      <c r="I455" s="17" t="e">
        <f t="shared" si="24"/>
        <v>#VALUE!</v>
      </c>
    </row>
    <row r="456" spans="1:9">
      <c r="A456" s="4" t="s">
        <v>756</v>
      </c>
      <c r="B456" s="4">
        <v>29</v>
      </c>
      <c r="C456" s="4" t="s">
        <v>73</v>
      </c>
      <c r="D456" s="4" t="s">
        <v>73</v>
      </c>
      <c r="E456" s="4" t="s">
        <v>788</v>
      </c>
      <c r="F456" s="4" t="str">
        <f t="shared" si="23"/>
        <v>29|A|A</v>
      </c>
      <c r="G456" s="14">
        <f>INDEX('Transition Stepwise'!$J$2:$J$1137,MATCH(F456,'Transition Stepwise'!$E$2:$E$1137,0))</f>
        <v>2.7777777777777776E-2</v>
      </c>
      <c r="H456" s="14" t="e">
        <f>INDEX(Background!$D$12:$D$27,MATCH(C456&amp;D456,INDEX(Background!$A$12:$A$27,0)&amp;INDEX(Background!$B$12:$B$27,0),0))</f>
        <v>#VALUE!</v>
      </c>
      <c r="I456" s="17" t="e">
        <f t="shared" si="24"/>
        <v>#VALUE!</v>
      </c>
    </row>
    <row r="457" spans="1:9">
      <c r="A457" s="4" t="s">
        <v>756</v>
      </c>
      <c r="B457" s="4">
        <v>30</v>
      </c>
      <c r="C457" s="4" t="s">
        <v>73</v>
      </c>
      <c r="D457" s="4" t="s">
        <v>73</v>
      </c>
      <c r="E457" s="4" t="s">
        <v>788</v>
      </c>
      <c r="F457" s="4" t="str">
        <f t="shared" si="23"/>
        <v>30|A|A</v>
      </c>
      <c r="G457" s="14">
        <f>INDEX('Transition Stepwise'!$J$2:$J$1137,MATCH(F457,'Transition Stepwise'!$E$2:$E$1137,0))</f>
        <v>0.25</v>
      </c>
      <c r="H457" s="14" t="e">
        <f>INDEX(Background!$D$12:$D$27,MATCH(C457&amp;D457,INDEX(Background!$A$12:$A$27,0)&amp;INDEX(Background!$B$12:$B$27,0),0))</f>
        <v>#VALUE!</v>
      </c>
      <c r="I457" s="17" t="e">
        <f t="shared" si="24"/>
        <v>#VALUE!</v>
      </c>
    </row>
    <row r="458" spans="1:9">
      <c r="A458" s="4" t="s">
        <v>756</v>
      </c>
      <c r="B458" s="4">
        <v>31</v>
      </c>
      <c r="C458" s="4" t="s">
        <v>73</v>
      </c>
      <c r="D458" s="4" t="s">
        <v>73</v>
      </c>
      <c r="E458" s="4" t="s">
        <v>788</v>
      </c>
      <c r="F458" s="4" t="str">
        <f t="shared" si="23"/>
        <v>31|A|A</v>
      </c>
      <c r="G458" s="14">
        <f>INDEX('Transition Stepwise'!$J$2:$J$1137,MATCH(F458,'Transition Stepwise'!$E$2:$E$1137,0))</f>
        <v>1.7241379310344827E-2</v>
      </c>
      <c r="H458" s="14" t="e">
        <f>INDEX(Background!$D$12:$D$27,MATCH(C458&amp;D458,INDEX(Background!$A$12:$A$27,0)&amp;INDEX(Background!$B$12:$B$27,0),0))</f>
        <v>#VALUE!</v>
      </c>
      <c r="I458" s="17" t="e">
        <f t="shared" si="24"/>
        <v>#VALUE!</v>
      </c>
    </row>
    <row r="459" spans="1:9">
      <c r="A459" s="4" t="s">
        <v>756</v>
      </c>
      <c r="B459" s="4">
        <v>32</v>
      </c>
      <c r="C459" s="4" t="s">
        <v>73</v>
      </c>
      <c r="D459" s="4" t="s">
        <v>72</v>
      </c>
      <c r="E459" s="4" t="s">
        <v>788</v>
      </c>
      <c r="F459" s="4" t="str">
        <f t="shared" si="23"/>
        <v>32|A|U</v>
      </c>
      <c r="G459" s="14">
        <f>INDEX('Transition Stepwise'!$J$2:$J$1137,MATCH(F459,'Transition Stepwise'!$E$2:$E$1137,0))</f>
        <v>0.7</v>
      </c>
      <c r="H459" s="14" t="e">
        <f>INDEX(Background!$D$12:$D$27,MATCH(C459&amp;D459,INDEX(Background!$A$12:$A$27,0)&amp;INDEX(Background!$B$12:$B$27,0),0))</f>
        <v>#VALUE!</v>
      </c>
      <c r="I459" s="17" t="e">
        <f t="shared" si="24"/>
        <v>#VALUE!</v>
      </c>
    </row>
    <row r="460" spans="1:9">
      <c r="A460" s="4" t="s">
        <v>756</v>
      </c>
      <c r="B460" s="4">
        <v>33</v>
      </c>
      <c r="C460" s="4" t="s">
        <v>72</v>
      </c>
      <c r="D460" s="4" t="s">
        <v>71</v>
      </c>
      <c r="E460" s="4" t="s">
        <v>788</v>
      </c>
      <c r="F460" s="4" t="str">
        <f t="shared" si="23"/>
        <v>33|U|C</v>
      </c>
      <c r="G460" s="14">
        <f>INDEX('Transition Stepwise'!$J$2:$J$1137,MATCH(F460,'Transition Stepwise'!$E$2:$E$1137,0))</f>
        <v>0.32178217821782179</v>
      </c>
      <c r="H460" s="14" t="e">
        <f>INDEX(Background!$D$12:$D$27,MATCH(C460&amp;D460,INDEX(Background!$A$12:$A$27,0)&amp;INDEX(Background!$B$12:$B$27,0),0))</f>
        <v>#VALUE!</v>
      </c>
      <c r="I460" s="17" t="e">
        <f t="shared" si="24"/>
        <v>#VALUE!</v>
      </c>
    </row>
    <row r="461" spans="1:9">
      <c r="A461" s="4" t="s">
        <v>756</v>
      </c>
      <c r="B461" s="4">
        <v>34</v>
      </c>
      <c r="C461" s="4" t="s">
        <v>71</v>
      </c>
      <c r="D461" s="4" t="s">
        <v>72</v>
      </c>
      <c r="E461" s="4" t="s">
        <v>788</v>
      </c>
      <c r="F461" s="4" t="str">
        <f t="shared" si="23"/>
        <v>34|C|U</v>
      </c>
      <c r="G461" s="14">
        <f>INDEX('Transition Stepwise'!$J$2:$J$1137,MATCH(F461,'Transition Stepwise'!$E$2:$E$1137,0))</f>
        <v>0.18571428571428572</v>
      </c>
      <c r="H461" s="14" t="e">
        <f>INDEX(Background!$D$12:$D$27,MATCH(C461&amp;D461,INDEX(Background!$A$12:$A$27,0)&amp;INDEX(Background!$B$12:$B$27,0),0))</f>
        <v>#VALUE!</v>
      </c>
      <c r="I461" s="17" t="e">
        <f t="shared" si="24"/>
        <v>#VALUE!</v>
      </c>
    </row>
    <row r="462" spans="1:9">
      <c r="A462" s="4" t="s">
        <v>756</v>
      </c>
      <c r="B462" s="4">
        <v>35</v>
      </c>
      <c r="C462" s="4" t="s">
        <v>72</v>
      </c>
      <c r="D462" s="4" t="s">
        <v>73</v>
      </c>
      <c r="E462" s="4" t="s">
        <v>788</v>
      </c>
      <c r="F462" s="4" t="str">
        <f t="shared" si="23"/>
        <v>35|U|A</v>
      </c>
      <c r="G462" s="14">
        <f>INDEX('Transition Stepwise'!$J$2:$J$1137,MATCH(F462,'Transition Stepwise'!$E$2:$E$1137,0))</f>
        <v>0.17777777777777778</v>
      </c>
      <c r="H462" s="14" t="e">
        <f>INDEX(Background!$D$12:$D$27,MATCH(C462&amp;D462,INDEX(Background!$A$12:$A$27,0)&amp;INDEX(Background!$B$12:$B$27,0),0))</f>
        <v>#VALUE!</v>
      </c>
      <c r="I462" s="17" t="e">
        <f t="shared" si="24"/>
        <v>#VALUE!</v>
      </c>
    </row>
    <row r="463" spans="1:9">
      <c r="A463" s="4" t="s">
        <v>756</v>
      </c>
      <c r="B463" s="4">
        <v>36</v>
      </c>
      <c r="C463" s="4" t="s">
        <v>73</v>
      </c>
      <c r="D463" s="4" t="s">
        <v>70</v>
      </c>
      <c r="E463" s="4" t="s">
        <v>788</v>
      </c>
      <c r="F463" s="4" t="str">
        <f t="shared" si="23"/>
        <v>36|A|G</v>
      </c>
      <c r="G463" s="14">
        <f>INDEX('Transition Stepwise'!$J$2:$J$1137,MATCH(F463,'Transition Stepwise'!$E$2:$E$1137,0))</f>
        <v>0.38297872340425532</v>
      </c>
      <c r="H463" s="14" t="e">
        <f>INDEX(Background!$D$12:$D$27,MATCH(C463&amp;D463,INDEX(Background!$A$12:$A$27,0)&amp;INDEX(Background!$B$12:$B$27,0),0))</f>
        <v>#VALUE!</v>
      </c>
      <c r="I463" s="17" t="e">
        <f t="shared" si="24"/>
        <v>#VALUE!</v>
      </c>
    </row>
    <row r="464" spans="1:9">
      <c r="A464" s="4" t="s">
        <v>756</v>
      </c>
      <c r="B464" s="4">
        <v>37</v>
      </c>
      <c r="C464" s="4" t="s">
        <v>70</v>
      </c>
      <c r="D464" s="4" t="s">
        <v>70</v>
      </c>
      <c r="E464" s="4" t="s">
        <v>788</v>
      </c>
      <c r="F464" s="4" t="str">
        <f t="shared" si="23"/>
        <v>37|G|G</v>
      </c>
      <c r="G464" s="14">
        <f>INDEX('Transition Stepwise'!$J$2:$J$1137,MATCH(F464,'Transition Stepwise'!$E$2:$E$1137,0))</f>
        <v>3.8461538461538464E-2</v>
      </c>
      <c r="H464" s="14" t="e">
        <f>INDEX(Background!$D$12:$D$27,MATCH(C464&amp;D464,INDEX(Background!$A$12:$A$27,0)&amp;INDEX(Background!$B$12:$B$27,0),0))</f>
        <v>#VALUE!</v>
      </c>
      <c r="I464" s="17" t="e">
        <f t="shared" si="24"/>
        <v>#VALUE!</v>
      </c>
    </row>
    <row r="465" spans="1:9">
      <c r="A465" s="4" t="s">
        <v>756</v>
      </c>
      <c r="B465" s="4">
        <v>38</v>
      </c>
      <c r="C465" s="4" t="s">
        <v>70</v>
      </c>
      <c r="D465" s="4" t="s">
        <v>72</v>
      </c>
      <c r="E465" s="4" t="s">
        <v>788</v>
      </c>
      <c r="F465" s="4" t="str">
        <f t="shared" si="23"/>
        <v>38|G|U</v>
      </c>
      <c r="G465" s="14">
        <f>INDEX('Transition Stepwise'!$J$2:$J$1137,MATCH(F465,'Transition Stepwise'!$E$2:$E$1137,0))</f>
        <v>0.4</v>
      </c>
      <c r="H465" s="14" t="e">
        <f>INDEX(Background!$D$12:$D$27,MATCH(C465&amp;D465,INDEX(Background!$A$12:$A$27,0)&amp;INDEX(Background!$B$12:$B$27,0),0))</f>
        <v>#VALUE!</v>
      </c>
      <c r="I465" s="17" t="e">
        <f t="shared" si="24"/>
        <v>#VALUE!</v>
      </c>
    </row>
    <row r="466" spans="1:9">
      <c r="A466" s="4" t="s">
        <v>756</v>
      </c>
      <c r="B466" s="4">
        <v>39</v>
      </c>
      <c r="C466" s="4" t="s">
        <v>72</v>
      </c>
      <c r="D466" s="4" t="s">
        <v>72</v>
      </c>
      <c r="E466" s="4" t="s">
        <v>788</v>
      </c>
      <c r="F466" s="4" t="str">
        <f t="shared" si="23"/>
        <v>39|U|U</v>
      </c>
      <c r="G466" s="14">
        <f>INDEX('Transition Stepwise'!$J$2:$J$1137,MATCH(F466,'Transition Stepwise'!$E$2:$E$1137,0))</f>
        <v>3.1746031746031744E-2</v>
      </c>
      <c r="H466" s="14" t="e">
        <f>INDEX(Background!$D$12:$D$27,MATCH(C466&amp;D466,INDEX(Background!$A$12:$A$27,0)&amp;INDEX(Background!$B$12:$B$27,0),0))</f>
        <v>#VALUE!</v>
      </c>
      <c r="I466" s="17" t="e">
        <f t="shared" si="24"/>
        <v>#VALUE!</v>
      </c>
    </row>
    <row r="467" spans="1:9">
      <c r="A467" s="4" t="s">
        <v>756</v>
      </c>
      <c r="B467" s="4">
        <v>40</v>
      </c>
      <c r="C467" s="4" t="s">
        <v>72</v>
      </c>
      <c r="D467" s="4" t="s">
        <v>72</v>
      </c>
      <c r="E467" s="4" t="s">
        <v>788</v>
      </c>
      <c r="F467" s="4" t="str">
        <f t="shared" si="23"/>
        <v>40|U|U</v>
      </c>
      <c r="G467" s="14">
        <f>INDEX('Transition Stepwise'!$J$2:$J$1137,MATCH(F467,'Transition Stepwise'!$E$2:$E$1137,0))</f>
        <v>8.3333333333333329E-2</v>
      </c>
      <c r="H467" s="14" t="e">
        <f>INDEX(Background!$D$12:$D$27,MATCH(C467&amp;D467,INDEX(Background!$A$12:$A$27,0)&amp;INDEX(Background!$B$12:$B$27,0),0))</f>
        <v>#VALUE!</v>
      </c>
      <c r="I467" s="17" t="e">
        <f t="shared" si="24"/>
        <v>#VALUE!</v>
      </c>
    </row>
    <row r="468" spans="1:9">
      <c r="A468" s="4" t="s">
        <v>756</v>
      </c>
      <c r="B468" s="4">
        <v>41</v>
      </c>
      <c r="C468" s="4" t="s">
        <v>72</v>
      </c>
      <c r="D468" s="4" t="s">
        <v>71</v>
      </c>
      <c r="E468" s="4" t="s">
        <v>788</v>
      </c>
      <c r="F468" s="4" t="str">
        <f t="shared" si="23"/>
        <v>41|U|C</v>
      </c>
      <c r="G468" s="14">
        <f>INDEX('Transition Stepwise'!$J$2:$J$1137,MATCH(F468,'Transition Stepwise'!$E$2:$E$1137,0))</f>
        <v>0.16216216216216217</v>
      </c>
      <c r="H468" s="14" t="e">
        <f>INDEX(Background!$D$12:$D$27,MATCH(C468&amp;D468,INDEX(Background!$A$12:$A$27,0)&amp;INDEX(Background!$B$12:$B$27,0),0))</f>
        <v>#VALUE!</v>
      </c>
      <c r="I468" s="17" t="e">
        <f t="shared" si="24"/>
        <v>#VALUE!</v>
      </c>
    </row>
    <row r="469" spans="1:9">
      <c r="A469" s="4" t="s">
        <v>756</v>
      </c>
      <c r="B469" s="4">
        <v>42</v>
      </c>
      <c r="C469" s="4" t="s">
        <v>71</v>
      </c>
      <c r="D469" s="4" t="s">
        <v>72</v>
      </c>
      <c r="E469" s="4" t="s">
        <v>788</v>
      </c>
      <c r="F469" s="4" t="str">
        <f t="shared" ref="F469:F500" si="25">B469&amp;"|"&amp;C469&amp;"|"&amp;D469</f>
        <v>42|C|U</v>
      </c>
      <c r="G469" s="14">
        <f>INDEX('Transition Stepwise'!$J$2:$J$1137,MATCH(F469,'Transition Stepwise'!$E$2:$E$1137,0))</f>
        <v>0.20833333333333334</v>
      </c>
      <c r="H469" s="14" t="e">
        <f>INDEX(Background!$D$12:$D$27,MATCH(C469&amp;D469,INDEX(Background!$A$12:$A$27,0)&amp;INDEX(Background!$B$12:$B$27,0),0))</f>
        <v>#VALUE!</v>
      </c>
      <c r="I469" s="17" t="e">
        <f t="shared" ref="I469:I500" si="26">LN(G469/H469)</f>
        <v>#VALUE!</v>
      </c>
    </row>
    <row r="470" spans="1:9">
      <c r="A470" s="4" t="s">
        <v>756</v>
      </c>
      <c r="B470" s="4">
        <v>43</v>
      </c>
      <c r="C470" s="4" t="s">
        <v>72</v>
      </c>
      <c r="D470" s="4" t="s">
        <v>71</v>
      </c>
      <c r="E470" s="4" t="s">
        <v>788</v>
      </c>
      <c r="F470" s="4" t="str">
        <f t="shared" si="25"/>
        <v>43|U|C</v>
      </c>
      <c r="G470" s="14">
        <f>INDEX('Transition Stepwise'!$J$2:$J$1137,MATCH(F470,'Transition Stepwise'!$E$2:$E$1137,0))</f>
        <v>0.25</v>
      </c>
      <c r="H470" s="14" t="e">
        <f>INDEX(Background!$D$12:$D$27,MATCH(C470&amp;D470,INDEX(Background!$A$12:$A$27,0)&amp;INDEX(Background!$B$12:$B$27,0),0))</f>
        <v>#VALUE!</v>
      </c>
      <c r="I470" s="17" t="e">
        <f t="shared" si="26"/>
        <v>#VALUE!</v>
      </c>
    </row>
    <row r="471" spans="1:9">
      <c r="A471" s="4" t="s">
        <v>756</v>
      </c>
      <c r="B471" s="4">
        <v>44</v>
      </c>
      <c r="C471" s="4" t="s">
        <v>71</v>
      </c>
      <c r="D471" s="4" t="s">
        <v>70</v>
      </c>
      <c r="E471" s="4" t="s">
        <v>788</v>
      </c>
      <c r="F471" s="4" t="str">
        <f t="shared" si="25"/>
        <v>44|C|G</v>
      </c>
      <c r="G471" s="14">
        <f>INDEX('Transition Stepwise'!$J$2:$J$1137,MATCH(F471,'Transition Stepwise'!$E$2:$E$1137,0))</f>
        <v>0.5</v>
      </c>
      <c r="H471" s="14" t="e">
        <f>INDEX(Background!$D$12:$D$27,MATCH(C471&amp;D471,INDEX(Background!$A$12:$A$27,0)&amp;INDEX(Background!$B$12:$B$27,0),0))</f>
        <v>#VALUE!</v>
      </c>
      <c r="I471" s="17" t="e">
        <f t="shared" si="26"/>
        <v>#VALUE!</v>
      </c>
    </row>
    <row r="472" spans="1:9">
      <c r="A472" s="4" t="s">
        <v>756</v>
      </c>
      <c r="B472" s="4">
        <v>45</v>
      </c>
      <c r="C472" s="4" t="s">
        <v>70</v>
      </c>
      <c r="D472" s="4" t="s">
        <v>73</v>
      </c>
      <c r="E472" s="4" t="s">
        <v>788</v>
      </c>
      <c r="F472" s="4" t="str">
        <f t="shared" si="25"/>
        <v>45|G|A</v>
      </c>
      <c r="G472" s="14">
        <f>INDEX('Transition Stepwise'!$J$2:$J$1137,MATCH(F472,'Transition Stepwise'!$E$2:$E$1137,0))</f>
        <v>0.11594202898550725</v>
      </c>
      <c r="H472" s="14" t="e">
        <f>INDEX(Background!$D$12:$D$27,MATCH(C472&amp;D472,INDEX(Background!$A$12:$A$27,0)&amp;INDEX(Background!$B$12:$B$27,0),0))</f>
        <v>#VALUE!</v>
      </c>
      <c r="I472" s="17" t="e">
        <f t="shared" si="26"/>
        <v>#VALUE!</v>
      </c>
    </row>
    <row r="473" spans="1:9">
      <c r="A473" s="4" t="s">
        <v>756</v>
      </c>
      <c r="B473" s="4">
        <v>46</v>
      </c>
      <c r="C473" s="4" t="s">
        <v>73</v>
      </c>
      <c r="D473" s="4" t="s">
        <v>70</v>
      </c>
      <c r="E473" s="4" t="s">
        <v>788</v>
      </c>
      <c r="F473" s="4" t="str">
        <f t="shared" si="25"/>
        <v>46|A|G</v>
      </c>
      <c r="G473" s="14">
        <f>INDEX('Transition Stepwise'!$J$2:$J$1137,MATCH(F473,'Transition Stepwise'!$E$2:$E$1137,0))</f>
        <v>0.1</v>
      </c>
      <c r="H473" s="14" t="e">
        <f>INDEX(Background!$D$12:$D$27,MATCH(C473&amp;D473,INDEX(Background!$A$12:$A$27,0)&amp;INDEX(Background!$B$12:$B$27,0),0))</f>
        <v>#VALUE!</v>
      </c>
      <c r="I473" s="17" t="e">
        <f t="shared" si="26"/>
        <v>#VALUE!</v>
      </c>
    </row>
    <row r="474" spans="1:9">
      <c r="A474" s="4" t="s">
        <v>756</v>
      </c>
      <c r="B474" s="4">
        <v>47</v>
      </c>
      <c r="C474" s="4" t="s">
        <v>70</v>
      </c>
      <c r="D474" s="4" t="s">
        <v>72</v>
      </c>
      <c r="E474" s="4" t="s">
        <v>788</v>
      </c>
      <c r="F474" s="4" t="str">
        <f t="shared" si="25"/>
        <v>47|G|U</v>
      </c>
      <c r="G474" s="14">
        <f>INDEX('Transition Stepwise'!$J$2:$J$1137,MATCH(F474,'Transition Stepwise'!$E$2:$E$1137,0))</f>
        <v>0.45</v>
      </c>
      <c r="H474" s="14" t="e">
        <f>INDEX(Background!$D$12:$D$27,MATCH(C474&amp;D474,INDEX(Background!$A$12:$A$27,0)&amp;INDEX(Background!$B$12:$B$27,0),0))</f>
        <v>#VALUE!</v>
      </c>
      <c r="I474" s="17" t="e">
        <f t="shared" si="26"/>
        <v>#VALUE!</v>
      </c>
    </row>
    <row r="475" spans="1:9">
      <c r="A475" s="4" t="s">
        <v>756</v>
      </c>
      <c r="B475" s="4">
        <v>48</v>
      </c>
      <c r="C475" s="4" t="s">
        <v>72</v>
      </c>
      <c r="D475" s="4" t="s">
        <v>71</v>
      </c>
      <c r="E475" s="4" t="s">
        <v>788</v>
      </c>
      <c r="F475" s="4" t="str">
        <f t="shared" si="25"/>
        <v>48|U|C</v>
      </c>
      <c r="G475" s="14">
        <f>INDEX('Transition Stepwise'!$J$2:$J$1137,MATCH(F475,'Transition Stepwise'!$E$2:$E$1137,0))</f>
        <v>0.15151515151515152</v>
      </c>
      <c r="H475" s="14" t="e">
        <f>INDEX(Background!$D$12:$D$27,MATCH(C475&amp;D475,INDEX(Background!$A$12:$A$27,0)&amp;INDEX(Background!$B$12:$B$27,0),0))</f>
        <v>#VALUE!</v>
      </c>
      <c r="I475" s="17" t="e">
        <f t="shared" si="26"/>
        <v>#VALUE!</v>
      </c>
    </row>
    <row r="476" spans="1:9">
      <c r="A476" s="4" t="s">
        <v>756</v>
      </c>
      <c r="B476" s="4">
        <v>49</v>
      </c>
      <c r="C476" s="4" t="s">
        <v>71</v>
      </c>
      <c r="D476" s="4" t="s">
        <v>72</v>
      </c>
      <c r="E476" s="4" t="s">
        <v>788</v>
      </c>
      <c r="F476" s="4" t="str">
        <f t="shared" si="25"/>
        <v>49|C|U</v>
      </c>
      <c r="G476" s="14">
        <f>INDEX('Transition Stepwise'!$J$2:$J$1137,MATCH(F476,'Transition Stepwise'!$E$2:$E$1137,0))</f>
        <v>0.14754098360655737</v>
      </c>
      <c r="H476" s="14" t="e">
        <f>INDEX(Background!$D$12:$D$27,MATCH(C476&amp;D476,INDEX(Background!$A$12:$A$27,0)&amp;INDEX(Background!$B$12:$B$27,0),0))</f>
        <v>#VALUE!</v>
      </c>
      <c r="I476" s="17" t="e">
        <f t="shared" si="26"/>
        <v>#VALUE!</v>
      </c>
    </row>
    <row r="477" spans="1:9">
      <c r="A477" s="4" t="s">
        <v>756</v>
      </c>
      <c r="B477" s="4">
        <v>50</v>
      </c>
      <c r="C477" s="4" t="s">
        <v>72</v>
      </c>
      <c r="D477" s="4" t="s">
        <v>72</v>
      </c>
      <c r="E477" s="4" t="s">
        <v>788</v>
      </c>
      <c r="F477" s="4" t="str">
        <f t="shared" si="25"/>
        <v>50|U|U</v>
      </c>
      <c r="G477" s="14">
        <f>INDEX('Transition Stepwise'!$J$2:$J$1137,MATCH(F477,'Transition Stepwise'!$E$2:$E$1137,0))</f>
        <v>0.15</v>
      </c>
      <c r="H477" s="14" t="e">
        <f>INDEX(Background!$D$12:$D$27,MATCH(C477&amp;D477,INDEX(Background!$A$12:$A$27,0)&amp;INDEX(Background!$B$12:$B$27,0),0))</f>
        <v>#VALUE!</v>
      </c>
      <c r="I477" s="17" t="e">
        <f t="shared" si="26"/>
        <v>#VALUE!</v>
      </c>
    </row>
    <row r="478" spans="1:9">
      <c r="A478" s="4" t="s">
        <v>756</v>
      </c>
      <c r="B478" s="4">
        <v>51</v>
      </c>
      <c r="C478" s="4" t="s">
        <v>72</v>
      </c>
      <c r="D478" s="4" t="s">
        <v>72</v>
      </c>
      <c r="E478" s="4" t="s">
        <v>788</v>
      </c>
      <c r="F478" s="4" t="str">
        <f t="shared" si="25"/>
        <v>51|U|U</v>
      </c>
      <c r="G478" s="14">
        <f>INDEX('Transition Stepwise'!$J$2:$J$1137,MATCH(F478,'Transition Stepwise'!$E$2:$E$1137,0))</f>
        <v>5.7142857142857141E-2</v>
      </c>
      <c r="H478" s="14" t="e">
        <f>INDEX(Background!$D$12:$D$27,MATCH(C478&amp;D478,INDEX(Background!$A$12:$A$27,0)&amp;INDEX(Background!$B$12:$B$27,0),0))</f>
        <v>#VALUE!</v>
      </c>
      <c r="I478" s="17" t="e">
        <f t="shared" si="26"/>
        <v>#VALUE!</v>
      </c>
    </row>
    <row r="479" spans="1:9">
      <c r="A479" s="4" t="s">
        <v>756</v>
      </c>
      <c r="B479" s="4">
        <v>52</v>
      </c>
      <c r="C479" s="4" t="s">
        <v>72</v>
      </c>
      <c r="D479" s="4" t="s">
        <v>70</v>
      </c>
      <c r="E479" s="4" t="s">
        <v>788</v>
      </c>
      <c r="F479" s="4" t="str">
        <f t="shared" si="25"/>
        <v>52|U|G</v>
      </c>
      <c r="G479" s="14">
        <f>INDEX('Transition Stepwise'!$J$2:$J$1137,MATCH(F479,'Transition Stepwise'!$E$2:$E$1137,0))</f>
        <v>0.5</v>
      </c>
      <c r="H479" s="14" t="e">
        <f>INDEX(Background!$D$12:$D$27,MATCH(C479&amp;D479,INDEX(Background!$A$12:$A$27,0)&amp;INDEX(Background!$B$12:$B$27,0),0))</f>
        <v>#VALUE!</v>
      </c>
      <c r="I479" s="17" t="e">
        <f t="shared" si="26"/>
        <v>#VALUE!</v>
      </c>
    </row>
    <row r="480" spans="1:9">
      <c r="A480" s="4" t="s">
        <v>756</v>
      </c>
      <c r="B480" s="4">
        <v>53</v>
      </c>
      <c r="C480" s="4" t="s">
        <v>70</v>
      </c>
      <c r="D480" s="4" t="s">
        <v>73</v>
      </c>
      <c r="E480" s="4" t="s">
        <v>788</v>
      </c>
      <c r="F480" s="4" t="str">
        <f t="shared" si="25"/>
        <v>53|G|A</v>
      </c>
      <c r="G480" s="14">
        <f>INDEX('Transition Stepwise'!$J$2:$J$1137,MATCH(F480,'Transition Stepwise'!$E$2:$E$1137,0))</f>
        <v>1.4999999999999999E-2</v>
      </c>
      <c r="H480" s="14" t="e">
        <f>INDEX(Background!$D$12:$D$27,MATCH(C480&amp;D480,INDEX(Background!$A$12:$A$27,0)&amp;INDEX(Background!$B$12:$B$27,0),0))</f>
        <v>#VALUE!</v>
      </c>
      <c r="I480" s="17" t="e">
        <f t="shared" si="26"/>
        <v>#VALUE!</v>
      </c>
    </row>
    <row r="481" spans="1:9">
      <c r="A481" s="4" t="s">
        <v>756</v>
      </c>
      <c r="B481" s="4">
        <v>54</v>
      </c>
      <c r="C481" s="4" t="s">
        <v>73</v>
      </c>
      <c r="D481" s="4" t="s">
        <v>71</v>
      </c>
      <c r="E481" s="4" t="s">
        <v>788</v>
      </c>
      <c r="F481" s="4" t="str">
        <f t="shared" si="25"/>
        <v>54|A|C</v>
      </c>
      <c r="G481" s="14">
        <f>INDEX('Transition Stepwise'!$J$2:$J$1137,MATCH(F481,'Transition Stepwise'!$E$2:$E$1137,0))</f>
        <v>0.16666666666666666</v>
      </c>
      <c r="H481" s="14" t="e">
        <f>INDEX(Background!$D$12:$D$27,MATCH(C481&amp;D481,INDEX(Background!$A$12:$A$27,0)&amp;INDEX(Background!$B$12:$B$27,0),0))</f>
        <v>#VALUE!</v>
      </c>
      <c r="I481" s="17" t="e">
        <f t="shared" si="26"/>
        <v>#VALUE!</v>
      </c>
    </row>
    <row r="482" spans="1:9">
      <c r="A482" s="4" t="s">
        <v>756</v>
      </c>
      <c r="B482" s="4">
        <v>55</v>
      </c>
      <c r="C482" s="4" t="s">
        <v>71</v>
      </c>
      <c r="D482" s="4" t="s">
        <v>71</v>
      </c>
      <c r="E482" s="4" t="s">
        <v>788</v>
      </c>
      <c r="F482" s="4" t="str">
        <f t="shared" si="25"/>
        <v>55|C|C</v>
      </c>
      <c r="G482" s="14">
        <f>INDEX('Transition Stepwise'!$J$2:$J$1137,MATCH(F482,'Transition Stepwise'!$E$2:$E$1137,0))</f>
        <v>0.2</v>
      </c>
      <c r="H482" s="14" t="e">
        <f>INDEX(Background!$D$12:$D$27,MATCH(C482&amp;D482,INDEX(Background!$A$12:$A$27,0)&amp;INDEX(Background!$B$12:$B$27,0),0))</f>
        <v>#VALUE!</v>
      </c>
      <c r="I482" s="17" t="e">
        <f t="shared" si="26"/>
        <v>#VALUE!</v>
      </c>
    </row>
    <row r="483" spans="1:9">
      <c r="A483" s="4" t="s">
        <v>756</v>
      </c>
      <c r="B483" s="4">
        <v>56</v>
      </c>
      <c r="C483" s="4" t="s">
        <v>71</v>
      </c>
      <c r="D483" s="4" t="s">
        <v>72</v>
      </c>
      <c r="E483" s="4" t="s">
        <v>788</v>
      </c>
      <c r="F483" s="4" t="str">
        <f t="shared" si="25"/>
        <v>56|C|U</v>
      </c>
      <c r="G483" s="14">
        <f>INDEX('Transition Stepwise'!$J$2:$J$1137,MATCH(F483,'Transition Stepwise'!$E$2:$E$1137,0))</f>
        <v>5.0000000000000001E-3</v>
      </c>
      <c r="H483" s="14" t="e">
        <f>INDEX(Background!$D$12:$D$27,MATCH(C483&amp;D483,INDEX(Background!$A$12:$A$27,0)&amp;INDEX(Background!$B$12:$B$27,0),0))</f>
        <v>#VALUE!</v>
      </c>
      <c r="I483" s="17" t="e">
        <f t="shared" si="26"/>
        <v>#VALUE!</v>
      </c>
    </row>
    <row r="484" spans="1:9">
      <c r="A484" s="4" t="s">
        <v>756</v>
      </c>
      <c r="B484" s="4">
        <v>57</v>
      </c>
      <c r="C484" s="4" t="s">
        <v>72</v>
      </c>
      <c r="D484" s="4" t="s">
        <v>72</v>
      </c>
      <c r="E484" s="4" t="s">
        <v>788</v>
      </c>
      <c r="F484" s="4" t="str">
        <f t="shared" si="25"/>
        <v>57|U|U</v>
      </c>
      <c r="G484" s="14">
        <f>INDEX('Transition Stepwise'!$J$2:$J$1137,MATCH(F484,'Transition Stepwise'!$E$2:$E$1137,0))</f>
        <v>0.2</v>
      </c>
      <c r="H484" s="14" t="e">
        <f>INDEX(Background!$D$12:$D$27,MATCH(C484&amp;D484,INDEX(Background!$A$12:$A$27,0)&amp;INDEX(Background!$B$12:$B$27,0),0))</f>
        <v>#VALUE!</v>
      </c>
      <c r="I484" s="17" t="e">
        <f t="shared" si="26"/>
        <v>#VALUE!</v>
      </c>
    </row>
    <row r="485" spans="1:9">
      <c r="A485" s="4" t="s">
        <v>756</v>
      </c>
      <c r="B485" s="4">
        <v>58</v>
      </c>
      <c r="C485" s="4" t="s">
        <v>72</v>
      </c>
      <c r="D485" s="4" t="s">
        <v>72</v>
      </c>
      <c r="E485" s="4" t="s">
        <v>788</v>
      </c>
      <c r="F485" s="4" t="str">
        <f t="shared" si="25"/>
        <v>58|U|U</v>
      </c>
      <c r="G485" s="14">
        <f>INDEX('Transition Stepwise'!$J$2:$J$1137,MATCH(F485,'Transition Stepwise'!$E$2:$E$1137,0))</f>
        <v>0.2</v>
      </c>
      <c r="H485" s="14" t="e">
        <f>INDEX(Background!$D$12:$D$27,MATCH(C485&amp;D485,INDEX(Background!$A$12:$A$27,0)&amp;INDEX(Background!$B$12:$B$27,0),0))</f>
        <v>#VALUE!</v>
      </c>
      <c r="I485" s="17" t="e">
        <f t="shared" si="26"/>
        <v>#VALUE!</v>
      </c>
    </row>
    <row r="486" spans="1:9">
      <c r="A486" s="4" t="s">
        <v>756</v>
      </c>
      <c r="B486" s="4">
        <v>59</v>
      </c>
      <c r="C486" s="4" t="s">
        <v>72</v>
      </c>
      <c r="D486" s="4" t="s">
        <v>72</v>
      </c>
      <c r="E486" s="4" t="s">
        <v>788</v>
      </c>
      <c r="F486" s="4" t="str">
        <f t="shared" si="25"/>
        <v>59|U|U</v>
      </c>
      <c r="G486" s="14">
        <f>INDEX('Transition Stepwise'!$J$2:$J$1137,MATCH(F486,'Transition Stepwise'!$E$2:$E$1137,0))</f>
        <v>0.53703703703703709</v>
      </c>
      <c r="H486" s="14" t="e">
        <f>INDEX(Background!$D$12:$D$27,MATCH(C486&amp;D486,INDEX(Background!$A$12:$A$27,0)&amp;INDEX(Background!$B$12:$B$27,0),0))</f>
        <v>#VALUE!</v>
      </c>
      <c r="I486" s="17" t="e">
        <f t="shared" si="26"/>
        <v>#VALUE!</v>
      </c>
    </row>
    <row r="487" spans="1:9">
      <c r="A487" s="4" t="s">
        <v>756</v>
      </c>
      <c r="B487" s="4">
        <v>60</v>
      </c>
      <c r="C487" s="4" t="s">
        <v>72</v>
      </c>
      <c r="D487" s="4" t="s">
        <v>71</v>
      </c>
      <c r="E487" s="4" t="s">
        <v>788</v>
      </c>
      <c r="F487" s="4" t="str">
        <f t="shared" si="25"/>
        <v>60|U|C</v>
      </c>
      <c r="G487" s="14">
        <f>INDEX('Transition Stepwise'!$J$2:$J$1137,MATCH(F487,'Transition Stepwise'!$E$2:$E$1137,0))</f>
        <v>0.97515527950310554</v>
      </c>
      <c r="H487" s="14" t="e">
        <f>INDEX(Background!$D$12:$D$27,MATCH(C487&amp;D487,INDEX(Background!$A$12:$A$27,0)&amp;INDEX(Background!$B$12:$B$27,0),0))</f>
        <v>#VALUE!</v>
      </c>
      <c r="I487" s="17" t="e">
        <f t="shared" si="26"/>
        <v>#VALUE!</v>
      </c>
    </row>
    <row r="488" spans="1:9">
      <c r="A488" s="4" t="s">
        <v>756</v>
      </c>
      <c r="B488" s="4">
        <v>61</v>
      </c>
      <c r="C488" s="4" t="s">
        <v>71</v>
      </c>
      <c r="D488" s="4" t="s">
        <v>73</v>
      </c>
      <c r="E488" s="4" t="s">
        <v>788</v>
      </c>
      <c r="F488" s="4" t="str">
        <f t="shared" si="25"/>
        <v>61|C|A</v>
      </c>
      <c r="G488" s="14">
        <f>INDEX('Transition Stepwise'!$J$2:$J$1137,MATCH(F488,'Transition Stepwise'!$E$2:$E$1137,0))</f>
        <v>1.9801980198019802E-2</v>
      </c>
      <c r="H488" s="14" t="e">
        <f>INDEX(Background!$D$12:$D$27,MATCH(C488&amp;D488,INDEX(Background!$A$12:$A$27,0)&amp;INDEX(Background!$B$12:$B$27,0),0))</f>
        <v>#VALUE!</v>
      </c>
      <c r="I488" s="17" t="e">
        <f t="shared" si="26"/>
        <v>#VALUE!</v>
      </c>
    </row>
    <row r="489" spans="1:9">
      <c r="A489" s="4" t="s">
        <v>756</v>
      </c>
      <c r="B489" s="4">
        <v>62</v>
      </c>
      <c r="C489" s="4" t="s">
        <v>73</v>
      </c>
      <c r="D489" s="4" t="s">
        <v>70</v>
      </c>
      <c r="E489" s="4" t="s">
        <v>788</v>
      </c>
      <c r="F489" s="4" t="str">
        <f t="shared" si="25"/>
        <v>62|A|G</v>
      </c>
      <c r="G489" s="14">
        <f>INDEX('Transition Stepwise'!$J$2:$J$1137,MATCH(F489,'Transition Stepwise'!$E$2:$E$1137,0))</f>
        <v>0.14285714285714285</v>
      </c>
      <c r="H489" s="14" t="e">
        <f>INDEX(Background!$D$12:$D$27,MATCH(C489&amp;D489,INDEX(Background!$A$12:$A$27,0)&amp;INDEX(Background!$B$12:$B$27,0),0))</f>
        <v>#VALUE!</v>
      </c>
      <c r="I489" s="17" t="e">
        <f t="shared" si="26"/>
        <v>#VALUE!</v>
      </c>
    </row>
    <row r="490" spans="1:9">
      <c r="A490" s="4" t="s">
        <v>756</v>
      </c>
      <c r="B490" s="4">
        <v>63</v>
      </c>
      <c r="C490" s="4" t="s">
        <v>70</v>
      </c>
      <c r="D490" s="4" t="s">
        <v>70</v>
      </c>
      <c r="E490" s="4" t="s">
        <v>788</v>
      </c>
      <c r="F490" s="4" t="str">
        <f t="shared" si="25"/>
        <v>63|G|G</v>
      </c>
      <c r="G490" s="14">
        <f>INDEX('Transition Stepwise'!$J$2:$J$1137,MATCH(F490,'Transition Stepwise'!$E$2:$E$1137,0))</f>
        <v>0.51923076923076927</v>
      </c>
      <c r="H490" s="14" t="e">
        <f>INDEX(Background!$D$12:$D$27,MATCH(C490&amp;D490,INDEX(Background!$A$12:$A$27,0)&amp;INDEX(Background!$B$12:$B$27,0),0))</f>
        <v>#VALUE!</v>
      </c>
      <c r="I490" s="17" t="e">
        <f t="shared" si="26"/>
        <v>#VALUE!</v>
      </c>
    </row>
    <row r="491" spans="1:9">
      <c r="A491" s="4" t="s">
        <v>756</v>
      </c>
      <c r="B491" s="4">
        <v>64</v>
      </c>
      <c r="C491" s="4" t="s">
        <v>70</v>
      </c>
      <c r="D491" s="4" t="s">
        <v>73</v>
      </c>
      <c r="E491" s="4" t="s">
        <v>788</v>
      </c>
      <c r="F491" s="4" t="str">
        <f t="shared" si="25"/>
        <v>64|G|A</v>
      </c>
      <c r="G491" s="14">
        <f>INDEX('Transition Stepwise'!$J$2:$J$1137,MATCH(F491,'Transition Stepwise'!$E$2:$E$1137,0))</f>
        <v>3.125E-2</v>
      </c>
      <c r="H491" s="14" t="e">
        <f>INDEX(Background!$D$12:$D$27,MATCH(C491&amp;D491,INDEX(Background!$A$12:$A$27,0)&amp;INDEX(Background!$B$12:$B$27,0),0))</f>
        <v>#VALUE!</v>
      </c>
      <c r="I491" s="17" t="e">
        <f t="shared" si="26"/>
        <v>#VALUE!</v>
      </c>
    </row>
    <row r="492" spans="1:9">
      <c r="A492" s="4" t="s">
        <v>756</v>
      </c>
      <c r="B492" s="4">
        <v>65</v>
      </c>
      <c r="C492" s="4" t="s">
        <v>73</v>
      </c>
      <c r="D492" s="4" t="s">
        <v>72</v>
      </c>
      <c r="E492" s="4" t="s">
        <v>788</v>
      </c>
      <c r="F492" s="4" t="str">
        <f t="shared" si="25"/>
        <v>65|A|U</v>
      </c>
      <c r="G492" s="14">
        <f>INDEX('Transition Stepwise'!$J$2:$J$1137,MATCH(F492,'Transition Stepwise'!$E$2:$E$1137,0))</f>
        <v>0.53846153846153844</v>
      </c>
      <c r="H492" s="14" t="e">
        <f>INDEX(Background!$D$12:$D$27,MATCH(C492&amp;D492,INDEX(Background!$A$12:$A$27,0)&amp;INDEX(Background!$B$12:$B$27,0),0))</f>
        <v>#VALUE!</v>
      </c>
      <c r="I492" s="17" t="e">
        <f t="shared" si="26"/>
        <v>#VALUE!</v>
      </c>
    </row>
    <row r="493" spans="1:9">
      <c r="A493" s="4" t="s">
        <v>756</v>
      </c>
      <c r="B493" s="4">
        <v>66</v>
      </c>
      <c r="C493" s="4" t="s">
        <v>72</v>
      </c>
      <c r="D493" s="4" t="s">
        <v>70</v>
      </c>
      <c r="E493" s="4" t="s">
        <v>788</v>
      </c>
      <c r="F493" s="4" t="str">
        <f t="shared" si="25"/>
        <v>66|U|G</v>
      </c>
      <c r="G493" s="14">
        <f>INDEX('Transition Stepwise'!$J$2:$J$1137,MATCH(F493,'Transition Stepwise'!$E$2:$E$1137,0))</f>
        <v>0.20370370370370369</v>
      </c>
      <c r="H493" s="14" t="e">
        <f>INDEX(Background!$D$12:$D$27,MATCH(C493&amp;D493,INDEX(Background!$A$12:$A$27,0)&amp;INDEX(Background!$B$12:$B$27,0),0))</f>
        <v>#VALUE!</v>
      </c>
      <c r="I493" s="17" t="e">
        <f t="shared" si="26"/>
        <v>#VALUE!</v>
      </c>
    </row>
    <row r="494" spans="1:9">
      <c r="A494" s="4" t="s">
        <v>756</v>
      </c>
      <c r="B494" s="4">
        <v>67</v>
      </c>
      <c r="C494" s="4" t="s">
        <v>70</v>
      </c>
      <c r="D494" s="4" t="s">
        <v>71</v>
      </c>
      <c r="E494" s="4" t="s">
        <v>788</v>
      </c>
      <c r="F494" s="4" t="str">
        <f t="shared" si="25"/>
        <v>67|G|C</v>
      </c>
      <c r="G494" s="14">
        <f>INDEX('Transition Stepwise'!$J$2:$J$1137,MATCH(F494,'Transition Stepwise'!$E$2:$E$1137,0))</f>
        <v>0.189873417721519</v>
      </c>
      <c r="H494" s="14" t="e">
        <f>INDEX(Background!$D$12:$D$27,MATCH(C494&amp;D494,INDEX(Background!$A$12:$A$27,0)&amp;INDEX(Background!$B$12:$B$27,0),0))</f>
        <v>#VALUE!</v>
      </c>
      <c r="I494" s="17" t="e">
        <f t="shared" si="26"/>
        <v>#VALUE!</v>
      </c>
    </row>
    <row r="495" spans="1:9">
      <c r="A495" s="4" t="s">
        <v>756</v>
      </c>
      <c r="B495" s="4">
        <v>68</v>
      </c>
      <c r="C495" s="4" t="s">
        <v>71</v>
      </c>
      <c r="D495" s="4" t="s">
        <v>73</v>
      </c>
      <c r="E495" s="4" t="s">
        <v>788</v>
      </c>
      <c r="F495" s="4" t="str">
        <f t="shared" si="25"/>
        <v>68|C|A</v>
      </c>
      <c r="G495" s="14">
        <f>INDEX('Transition Stepwise'!$J$2:$J$1137,MATCH(F495,'Transition Stepwise'!$E$2:$E$1137,0))</f>
        <v>7.575757575757576E-2</v>
      </c>
      <c r="H495" s="14" t="e">
        <f>INDEX(Background!$D$12:$D$27,MATCH(C495&amp;D495,INDEX(Background!$A$12:$A$27,0)&amp;INDEX(Background!$B$12:$B$27,0),0))</f>
        <v>#VALUE!</v>
      </c>
      <c r="I495" s="17" t="e">
        <f t="shared" si="26"/>
        <v>#VALUE!</v>
      </c>
    </row>
    <row r="496" spans="1:9">
      <c r="A496" s="4" t="s">
        <v>756</v>
      </c>
      <c r="B496" s="4">
        <v>69</v>
      </c>
      <c r="C496" s="4" t="s">
        <v>73</v>
      </c>
      <c r="D496" s="4" t="s">
        <v>71</v>
      </c>
      <c r="E496" s="4" t="s">
        <v>788</v>
      </c>
      <c r="F496" s="4" t="str">
        <f t="shared" si="25"/>
        <v>69|A|C</v>
      </c>
      <c r="G496" s="14">
        <f>INDEX('Transition Stepwise'!$J$2:$J$1137,MATCH(F496,'Transition Stepwise'!$E$2:$E$1137,0))</f>
        <v>0.37931034482758619</v>
      </c>
      <c r="H496" s="14" t="e">
        <f>INDEX(Background!$D$12:$D$27,MATCH(C496&amp;D496,INDEX(Background!$A$12:$A$27,0)&amp;INDEX(Background!$B$12:$B$27,0),0))</f>
        <v>#VALUE!</v>
      </c>
      <c r="I496" s="17" t="e">
        <f t="shared" si="26"/>
        <v>#VALUE!</v>
      </c>
    </row>
    <row r="497" spans="1:9">
      <c r="A497" s="4" t="s">
        <v>756</v>
      </c>
      <c r="B497" s="4">
        <v>70</v>
      </c>
      <c r="C497" s="4" t="s">
        <v>71</v>
      </c>
      <c r="D497" s="4" t="s">
        <v>72</v>
      </c>
      <c r="E497" s="4" t="s">
        <v>788</v>
      </c>
      <c r="F497" s="4" t="str">
        <f t="shared" si="25"/>
        <v>70|C|U</v>
      </c>
      <c r="G497" s="14">
        <f>INDEX('Transition Stepwise'!$J$2:$J$1137,MATCH(F497,'Transition Stepwise'!$E$2:$E$1137,0))</f>
        <v>2.6315789473684209E-2</v>
      </c>
      <c r="H497" s="14" t="e">
        <f>INDEX(Background!$D$12:$D$27,MATCH(C497&amp;D497,INDEX(Background!$A$12:$A$27,0)&amp;INDEX(Background!$B$12:$B$27,0),0))</f>
        <v>#VALUE!</v>
      </c>
      <c r="I497" s="17" t="e">
        <f t="shared" si="26"/>
        <v>#VALUE!</v>
      </c>
    </row>
    <row r="498" spans="1:9">
      <c r="A498" s="4" t="s">
        <v>756</v>
      </c>
      <c r="B498" s="4">
        <v>71</v>
      </c>
      <c r="C498" s="4" t="s">
        <v>72</v>
      </c>
      <c r="D498" s="4" t="s">
        <v>73</v>
      </c>
      <c r="E498" s="4" t="s">
        <v>788</v>
      </c>
      <c r="F498" s="4" t="str">
        <f t="shared" si="25"/>
        <v>71|U|A</v>
      </c>
      <c r="G498" s="14">
        <f>INDEX('Transition Stepwise'!$J$2:$J$1137,MATCH(F498,'Transition Stepwise'!$E$2:$E$1137,0))</f>
        <v>7.6923076923076927E-2</v>
      </c>
      <c r="H498" s="14" t="e">
        <f>INDEX(Background!$D$12:$D$27,MATCH(C498&amp;D498,INDEX(Background!$A$12:$A$27,0)&amp;INDEX(Background!$B$12:$B$27,0),0))</f>
        <v>#VALUE!</v>
      </c>
      <c r="I498" s="17" t="e">
        <f t="shared" si="26"/>
        <v>#VALUE!</v>
      </c>
    </row>
    <row r="499" spans="1:9">
      <c r="A499" s="4" t="s">
        <v>757</v>
      </c>
      <c r="B499" s="4">
        <v>1</v>
      </c>
      <c r="C499" s="4" t="s">
        <v>70</v>
      </c>
      <c r="D499" s="4" t="s">
        <v>72</v>
      </c>
      <c r="E499" s="4" t="s">
        <v>788</v>
      </c>
      <c r="F499" s="4" t="str">
        <f t="shared" si="25"/>
        <v>1|G|U</v>
      </c>
      <c r="G499" s="14">
        <f>INDEX('Transition Stepwise'!$J$2:$J$1137,MATCH(F499,'Transition Stepwise'!$E$2:$E$1137,0))</f>
        <v>3.8461538461538464E-2</v>
      </c>
      <c r="H499" s="14" t="e">
        <f>INDEX(Background!$D$12:$D$27,MATCH(C499&amp;D499,INDEX(Background!$A$12:$A$27,0)&amp;INDEX(Background!$B$12:$B$27,0),0))</f>
        <v>#VALUE!</v>
      </c>
      <c r="I499" s="17" t="e">
        <f t="shared" si="26"/>
        <v>#VALUE!</v>
      </c>
    </row>
    <row r="500" spans="1:9">
      <c r="A500" s="4" t="s">
        <v>757</v>
      </c>
      <c r="B500" s="4">
        <v>2</v>
      </c>
      <c r="C500" s="4" t="s">
        <v>72</v>
      </c>
      <c r="D500" s="4" t="s">
        <v>71</v>
      </c>
      <c r="E500" s="4" t="s">
        <v>788</v>
      </c>
      <c r="F500" s="4" t="str">
        <f t="shared" si="25"/>
        <v>2|U|C</v>
      </c>
      <c r="G500" s="14">
        <f>INDEX('Transition Stepwise'!$J$2:$J$1137,MATCH(F500,'Transition Stepwise'!$E$2:$E$1137,0))</f>
        <v>0.5</v>
      </c>
      <c r="H500" s="14" t="e">
        <f>INDEX(Background!$D$12:$D$27,MATCH(C500&amp;D500,INDEX(Background!$A$12:$A$27,0)&amp;INDEX(Background!$B$12:$B$27,0),0))</f>
        <v>#VALUE!</v>
      </c>
      <c r="I500" s="17" t="e">
        <f t="shared" si="26"/>
        <v>#VALUE!</v>
      </c>
    </row>
    <row r="501" spans="1:9">
      <c r="A501" s="4" t="s">
        <v>757</v>
      </c>
      <c r="B501" s="4">
        <v>3</v>
      </c>
      <c r="C501" s="4" t="s">
        <v>71</v>
      </c>
      <c r="D501" s="4" t="s">
        <v>73</v>
      </c>
      <c r="E501" s="4" t="s">
        <v>788</v>
      </c>
      <c r="F501" s="4" t="str">
        <f t="shared" ref="F501:F512" si="27">B501&amp;"|"&amp;C501&amp;"|"&amp;D501</f>
        <v>3|C|A</v>
      </c>
      <c r="G501" s="14">
        <f>INDEX('Transition Stepwise'!$J$2:$J$1137,MATCH(F501,'Transition Stepwise'!$E$2:$E$1137,0))</f>
        <v>9.8765432098765427E-2</v>
      </c>
      <c r="H501" s="14" t="e">
        <f>INDEX(Background!$D$12:$D$27,MATCH(C501&amp;D501,INDEX(Background!$A$12:$A$27,0)&amp;INDEX(Background!$B$12:$B$27,0),0))</f>
        <v>#VALUE!</v>
      </c>
      <c r="I501" s="17" t="e">
        <f t="shared" ref="I501:I532" si="28">LN(G501/H501)</f>
        <v>#VALUE!</v>
      </c>
    </row>
    <row r="502" spans="1:9">
      <c r="A502" s="4" t="s">
        <v>757</v>
      </c>
      <c r="B502" s="4">
        <v>4</v>
      </c>
      <c r="C502" s="4" t="s">
        <v>73</v>
      </c>
      <c r="D502" s="4" t="s">
        <v>70</v>
      </c>
      <c r="E502" s="4" t="s">
        <v>788</v>
      </c>
      <c r="F502" s="4" t="str">
        <f t="shared" si="27"/>
        <v>4|A|G</v>
      </c>
      <c r="G502" s="14">
        <f>INDEX('Transition Stepwise'!$J$2:$J$1137,MATCH(F502,'Transition Stepwise'!$E$2:$E$1137,0))</f>
        <v>0.4</v>
      </c>
      <c r="H502" s="14" t="e">
        <f>INDEX(Background!$D$12:$D$27,MATCH(C502&amp;D502,INDEX(Background!$A$12:$A$27,0)&amp;INDEX(Background!$B$12:$B$27,0),0))</f>
        <v>#VALUE!</v>
      </c>
      <c r="I502" s="17" t="e">
        <f t="shared" si="28"/>
        <v>#VALUE!</v>
      </c>
    </row>
    <row r="503" spans="1:9">
      <c r="A503" s="4" t="s">
        <v>757</v>
      </c>
      <c r="B503" s="4">
        <v>5</v>
      </c>
      <c r="C503" s="4" t="s">
        <v>70</v>
      </c>
      <c r="D503" s="4" t="s">
        <v>70</v>
      </c>
      <c r="E503" s="4" t="s">
        <v>788</v>
      </c>
      <c r="F503" s="4" t="str">
        <f t="shared" si="27"/>
        <v>5|G|G</v>
      </c>
      <c r="G503" s="14">
        <f>INDEX('Transition Stepwise'!$J$2:$J$1137,MATCH(F503,'Transition Stepwise'!$E$2:$E$1137,0))</f>
        <v>0.30136986301369861</v>
      </c>
      <c r="H503" s="14" t="e">
        <f>INDEX(Background!$D$12:$D$27,MATCH(C503&amp;D503,INDEX(Background!$A$12:$A$27,0)&amp;INDEX(Background!$B$12:$B$27,0),0))</f>
        <v>#VALUE!</v>
      </c>
      <c r="I503" s="17" t="e">
        <f t="shared" si="28"/>
        <v>#VALUE!</v>
      </c>
    </row>
    <row r="504" spans="1:9">
      <c r="A504" s="4" t="s">
        <v>757</v>
      </c>
      <c r="B504" s="4">
        <v>6</v>
      </c>
      <c r="C504" s="4" t="s">
        <v>70</v>
      </c>
      <c r="D504" s="4" t="s">
        <v>70</v>
      </c>
      <c r="E504" s="4" t="s">
        <v>788</v>
      </c>
      <c r="F504" s="4" t="str">
        <f t="shared" si="27"/>
        <v>6|G|G</v>
      </c>
      <c r="G504" s="14">
        <f>INDEX('Transition Stepwise'!$J$2:$J$1137,MATCH(F504,'Transition Stepwise'!$E$2:$E$1137,0))</f>
        <v>0.46153846153846156</v>
      </c>
      <c r="H504" s="14" t="e">
        <f>INDEX(Background!$D$12:$D$27,MATCH(C504&amp;D504,INDEX(Background!$A$12:$A$27,0)&amp;INDEX(Background!$B$12:$B$27,0),0))</f>
        <v>#VALUE!</v>
      </c>
      <c r="I504" s="17" t="e">
        <f t="shared" si="28"/>
        <v>#VALUE!</v>
      </c>
    </row>
    <row r="505" spans="1:9">
      <c r="A505" s="4" t="s">
        <v>757</v>
      </c>
      <c r="B505" s="4">
        <v>7</v>
      </c>
      <c r="C505" s="4" t="s">
        <v>70</v>
      </c>
      <c r="D505" s="4" t="s">
        <v>72</v>
      </c>
      <c r="E505" s="4" t="s">
        <v>788</v>
      </c>
      <c r="F505" s="4" t="str">
        <f t="shared" si="27"/>
        <v>7|G|U</v>
      </c>
      <c r="G505" s="14">
        <f>INDEX('Transition Stepwise'!$J$2:$J$1137,MATCH(F505,'Transition Stepwise'!$E$2:$E$1137,0))</f>
        <v>0.96330275229357798</v>
      </c>
      <c r="H505" s="14" t="e">
        <f>INDEX(Background!$D$12:$D$27,MATCH(C505&amp;D505,INDEX(Background!$A$12:$A$27,0)&amp;INDEX(Background!$B$12:$B$27,0),0))</f>
        <v>#VALUE!</v>
      </c>
      <c r="I505" s="17" t="e">
        <f t="shared" si="28"/>
        <v>#VALUE!</v>
      </c>
    </row>
    <row r="506" spans="1:9">
      <c r="A506" s="4" t="s">
        <v>757</v>
      </c>
      <c r="B506" s="4">
        <v>8</v>
      </c>
      <c r="C506" s="4" t="s">
        <v>72</v>
      </c>
      <c r="D506" s="4" t="s">
        <v>71</v>
      </c>
      <c r="E506" s="4" t="s">
        <v>788</v>
      </c>
      <c r="F506" s="4" t="str">
        <f t="shared" si="27"/>
        <v>8|U|C</v>
      </c>
      <c r="G506" s="14">
        <f>INDEX('Transition Stepwise'!$J$2:$J$1137,MATCH(F506,'Transition Stepwise'!$E$2:$E$1137,0))</f>
        <v>3.482587064676617E-2</v>
      </c>
      <c r="H506" s="14" t="e">
        <f>INDEX(Background!$D$12:$D$27,MATCH(C506&amp;D506,INDEX(Background!$A$12:$A$27,0)&amp;INDEX(Background!$B$12:$B$27,0),0))</f>
        <v>#VALUE!</v>
      </c>
      <c r="I506" s="17" t="e">
        <f t="shared" si="28"/>
        <v>#VALUE!</v>
      </c>
    </row>
    <row r="507" spans="1:9">
      <c r="A507" s="4" t="s">
        <v>757</v>
      </c>
      <c r="B507" s="4">
        <v>9</v>
      </c>
      <c r="C507" s="4" t="s">
        <v>71</v>
      </c>
      <c r="D507" s="4" t="s">
        <v>73</v>
      </c>
      <c r="E507" s="4" t="s">
        <v>788</v>
      </c>
      <c r="F507" s="4" t="str">
        <f t="shared" si="27"/>
        <v>9|C|A</v>
      </c>
      <c r="G507" s="14">
        <f>INDEX('Transition Stepwise'!$J$2:$J$1137,MATCH(F507,'Transition Stepwise'!$E$2:$E$1137,0))</f>
        <v>9.0909090909090912E-2</v>
      </c>
      <c r="H507" s="14" t="e">
        <f>INDEX(Background!$D$12:$D$27,MATCH(C507&amp;D507,INDEX(Background!$A$12:$A$27,0)&amp;INDEX(Background!$B$12:$B$27,0),0))</f>
        <v>#VALUE!</v>
      </c>
      <c r="I507" s="17" t="e">
        <f t="shared" si="28"/>
        <v>#VALUE!</v>
      </c>
    </row>
    <row r="508" spans="1:9">
      <c r="A508" s="4" t="s">
        <v>757</v>
      </c>
      <c r="B508" s="4">
        <v>10</v>
      </c>
      <c r="C508" s="4" t="s">
        <v>73</v>
      </c>
      <c r="D508" s="4" t="s">
        <v>73</v>
      </c>
      <c r="E508" s="4" t="s">
        <v>788</v>
      </c>
      <c r="F508" s="4" t="str">
        <f t="shared" si="27"/>
        <v>10|A|A</v>
      </c>
      <c r="G508" s="14">
        <f>INDEX('Transition Stepwise'!$J$2:$J$1137,MATCH(F508,'Transition Stepwise'!$E$2:$E$1137,0))</f>
        <v>0.25</v>
      </c>
      <c r="H508" s="14" t="e">
        <f>INDEX(Background!$D$12:$D$27,MATCH(C508&amp;D508,INDEX(Background!$A$12:$A$27,0)&amp;INDEX(Background!$B$12:$B$27,0),0))</f>
        <v>#VALUE!</v>
      </c>
      <c r="I508" s="17" t="e">
        <f t="shared" si="28"/>
        <v>#VALUE!</v>
      </c>
    </row>
    <row r="509" spans="1:9">
      <c r="A509" s="4" t="s">
        <v>757</v>
      </c>
      <c r="B509" s="4">
        <v>11</v>
      </c>
      <c r="C509" s="4" t="s">
        <v>73</v>
      </c>
      <c r="D509" s="4" t="s">
        <v>70</v>
      </c>
      <c r="E509" s="4" t="s">
        <v>788</v>
      </c>
      <c r="F509" s="4" t="str">
        <f t="shared" si="27"/>
        <v>11|A|G</v>
      </c>
      <c r="G509" s="14">
        <f>INDEX('Transition Stepwise'!$J$2:$J$1137,MATCH(F509,'Transition Stepwise'!$E$2:$E$1137,0))</f>
        <v>0.45454545454545453</v>
      </c>
      <c r="H509" s="14" t="e">
        <f>INDEX(Background!$D$12:$D$27,MATCH(C509&amp;D509,INDEX(Background!$A$12:$A$27,0)&amp;INDEX(Background!$B$12:$B$27,0),0))</f>
        <v>#VALUE!</v>
      </c>
      <c r="I509" s="17" t="e">
        <f t="shared" si="28"/>
        <v>#VALUE!</v>
      </c>
    </row>
    <row r="510" spans="1:9">
      <c r="A510" s="4" t="s">
        <v>757</v>
      </c>
      <c r="B510" s="4">
        <v>12</v>
      </c>
      <c r="C510" s="4" t="s">
        <v>70</v>
      </c>
      <c r="D510" s="4" t="s">
        <v>73</v>
      </c>
      <c r="E510" s="4" t="s">
        <v>788</v>
      </c>
      <c r="F510" s="4" t="str">
        <f t="shared" si="27"/>
        <v>12|G|A</v>
      </c>
      <c r="G510" s="14">
        <f>INDEX('Transition Stepwise'!$J$2:$J$1137,MATCH(F510,'Transition Stepwise'!$E$2:$E$1137,0))</f>
        <v>0.14285714285714285</v>
      </c>
      <c r="H510" s="14" t="e">
        <f>INDEX(Background!$D$12:$D$27,MATCH(C510&amp;D510,INDEX(Background!$A$12:$A$27,0)&amp;INDEX(Background!$B$12:$B$27,0),0))</f>
        <v>#VALUE!</v>
      </c>
      <c r="I510" s="17" t="e">
        <f t="shared" si="28"/>
        <v>#VALUE!</v>
      </c>
    </row>
    <row r="511" spans="1:9">
      <c r="A511" s="4" t="s">
        <v>757</v>
      </c>
      <c r="B511" s="4">
        <v>13</v>
      </c>
      <c r="C511" s="4" t="s">
        <v>73</v>
      </c>
      <c r="D511" s="4" t="s">
        <v>73</v>
      </c>
      <c r="E511" s="4" t="s">
        <v>788</v>
      </c>
      <c r="F511" s="4" t="str">
        <f t="shared" si="27"/>
        <v>13|A|A</v>
      </c>
      <c r="G511" s="14">
        <f>INDEX('Transition Stepwise'!$J$2:$J$1137,MATCH(F511,'Transition Stepwise'!$E$2:$E$1137,0))</f>
        <v>0.76470588235294112</v>
      </c>
      <c r="H511" s="14" t="e">
        <f>INDEX(Background!$D$12:$D$27,MATCH(C511&amp;D511,INDEX(Background!$A$12:$A$27,0)&amp;INDEX(Background!$B$12:$B$27,0),0))</f>
        <v>#VALUE!</v>
      </c>
      <c r="I511" s="17" t="e">
        <f t="shared" si="28"/>
        <v>#VALUE!</v>
      </c>
    </row>
    <row r="512" spans="1:9">
      <c r="A512" s="4" t="s">
        <v>757</v>
      </c>
      <c r="B512" s="4">
        <v>14</v>
      </c>
      <c r="C512" s="4" t="s">
        <v>73</v>
      </c>
      <c r="D512" s="4" t="s">
        <v>73</v>
      </c>
      <c r="E512" s="4" t="s">
        <v>788</v>
      </c>
      <c r="F512" s="4" t="str">
        <f t="shared" si="27"/>
        <v>14|A|A</v>
      </c>
      <c r="G512" s="14">
        <f>INDEX('Transition Stepwise'!$J$2:$J$1137,MATCH(F512,'Transition Stepwise'!$E$2:$E$1137,0))</f>
        <v>0.16417910447761194</v>
      </c>
      <c r="H512" s="14" t="e">
        <f>INDEX(Background!$D$12:$D$27,MATCH(C512&amp;D512,INDEX(Background!$A$12:$A$27,0)&amp;INDEX(Background!$B$12:$B$27,0),0))</f>
        <v>#VALUE!</v>
      </c>
      <c r="I512" s="17" t="e">
        <f t="shared" si="28"/>
        <v>#VALUE!</v>
      </c>
    </row>
    <row r="513" spans="1:9">
      <c r="A513" s="4" t="s">
        <v>757</v>
      </c>
      <c r="B513" s="4">
        <v>15</v>
      </c>
      <c r="C513" s="4" t="s">
        <v>73</v>
      </c>
      <c r="D513" s="4" t="s">
        <v>77</v>
      </c>
      <c r="E513" s="10" t="s">
        <v>789</v>
      </c>
      <c r="F513" s="4"/>
      <c r="G513" s="4"/>
      <c r="H513" s="4"/>
      <c r="I513" s="4"/>
    </row>
    <row r="514" spans="1:9">
      <c r="A514" s="4" t="s">
        <v>757</v>
      </c>
      <c r="B514" s="4">
        <v>16</v>
      </c>
      <c r="C514" s="4" t="s">
        <v>77</v>
      </c>
      <c r="D514" s="4" t="s">
        <v>72</v>
      </c>
      <c r="E514" s="10" t="s">
        <v>789</v>
      </c>
      <c r="F514" s="4"/>
      <c r="G514" s="4"/>
      <c r="H514" s="4"/>
      <c r="I514" s="4"/>
    </row>
    <row r="515" spans="1:9">
      <c r="A515" s="4" t="s">
        <v>757</v>
      </c>
      <c r="B515" s="4">
        <v>17</v>
      </c>
      <c r="C515" s="4" t="s">
        <v>72</v>
      </c>
      <c r="D515" s="4" t="s">
        <v>70</v>
      </c>
      <c r="E515" s="4" t="s">
        <v>788</v>
      </c>
      <c r="F515" s="4" t="str">
        <f t="shared" ref="F515:F542" si="29">B515&amp;"|"&amp;C515&amp;"|"&amp;D515</f>
        <v>17|U|G</v>
      </c>
      <c r="G515" s="14">
        <f>INDEX('Transition Stepwise'!$J$2:$J$1137,MATCH(F515,'Transition Stepwise'!$E$2:$E$1137,0))</f>
        <v>0.97457627118644063</v>
      </c>
      <c r="H515" s="14" t="e">
        <f>INDEX(Background!$D$12:$D$27,MATCH(C515&amp;D515,INDEX(Background!$A$12:$A$27,0)&amp;INDEX(Background!$B$12:$B$27,0),0))</f>
        <v>#VALUE!</v>
      </c>
      <c r="I515" s="17" t="e">
        <f t="shared" ref="I515:I542" si="30">LN(G515/H515)</f>
        <v>#VALUE!</v>
      </c>
    </row>
    <row r="516" spans="1:9">
      <c r="A516" s="4" t="s">
        <v>757</v>
      </c>
      <c r="B516" s="4">
        <v>18</v>
      </c>
      <c r="C516" s="4" t="s">
        <v>70</v>
      </c>
      <c r="D516" s="4" t="s">
        <v>70</v>
      </c>
      <c r="E516" s="4" t="s">
        <v>788</v>
      </c>
      <c r="F516" s="4" t="str">
        <f t="shared" si="29"/>
        <v>18|G|G</v>
      </c>
      <c r="G516" s="14">
        <f>INDEX('Transition Stepwise'!$J$2:$J$1137,MATCH(F516,'Transition Stepwise'!$E$2:$E$1137,0))</f>
        <v>0.97536945812807885</v>
      </c>
      <c r="H516" s="14" t="e">
        <f>INDEX(Background!$D$12:$D$27,MATCH(C516&amp;D516,INDEX(Background!$A$12:$A$27,0)&amp;INDEX(Background!$B$12:$B$27,0),0))</f>
        <v>#VALUE!</v>
      </c>
      <c r="I516" s="17" t="e">
        <f t="shared" si="30"/>
        <v>#VALUE!</v>
      </c>
    </row>
    <row r="517" spans="1:9">
      <c r="A517" s="4" t="s">
        <v>757</v>
      </c>
      <c r="B517" s="4">
        <v>19</v>
      </c>
      <c r="C517" s="4" t="s">
        <v>70</v>
      </c>
      <c r="D517" s="4" t="s">
        <v>73</v>
      </c>
      <c r="E517" s="4" t="s">
        <v>788</v>
      </c>
      <c r="F517" s="4" t="str">
        <f t="shared" si="29"/>
        <v>19|G|A</v>
      </c>
      <c r="G517" s="14">
        <f>INDEX('Transition Stepwise'!$J$2:$J$1137,MATCH(F517,'Transition Stepwise'!$E$2:$E$1137,0))</f>
        <v>8.9552238805970144E-2</v>
      </c>
      <c r="H517" s="14" t="e">
        <f>INDEX(Background!$D$12:$D$27,MATCH(C517&amp;D517,INDEX(Background!$A$12:$A$27,0)&amp;INDEX(Background!$B$12:$B$27,0),0))</f>
        <v>#VALUE!</v>
      </c>
      <c r="I517" s="17" t="e">
        <f t="shared" si="30"/>
        <v>#VALUE!</v>
      </c>
    </row>
    <row r="518" spans="1:9">
      <c r="A518" s="4" t="s">
        <v>757</v>
      </c>
      <c r="B518" s="4">
        <v>20</v>
      </c>
      <c r="C518" s="4" t="s">
        <v>73</v>
      </c>
      <c r="D518" s="4" t="s">
        <v>72</v>
      </c>
      <c r="E518" s="4" t="s">
        <v>788</v>
      </c>
      <c r="F518" s="4" t="str">
        <f t="shared" si="29"/>
        <v>20|A|U</v>
      </c>
      <c r="G518" s="14">
        <f>INDEX('Transition Stepwise'!$J$2:$J$1137,MATCH(F518,'Transition Stepwise'!$E$2:$E$1137,0))</f>
        <v>9.5238095238095233E-2</v>
      </c>
      <c r="H518" s="14" t="e">
        <f>INDEX(Background!$D$12:$D$27,MATCH(C518&amp;D518,INDEX(Background!$A$12:$A$27,0)&amp;INDEX(Background!$B$12:$B$27,0),0))</f>
        <v>#VALUE!</v>
      </c>
      <c r="I518" s="17" t="e">
        <f t="shared" si="30"/>
        <v>#VALUE!</v>
      </c>
    </row>
    <row r="519" spans="1:9">
      <c r="A519" s="4" t="s">
        <v>757</v>
      </c>
      <c r="B519" s="4">
        <v>21</v>
      </c>
      <c r="C519" s="4" t="s">
        <v>72</v>
      </c>
      <c r="D519" s="4" t="s">
        <v>72</v>
      </c>
      <c r="E519" s="4" t="s">
        <v>788</v>
      </c>
      <c r="F519" s="4" t="str">
        <f t="shared" si="29"/>
        <v>21|U|U</v>
      </c>
      <c r="G519" s="14">
        <f>INDEX('Transition Stepwise'!$J$2:$J$1137,MATCH(F519,'Transition Stepwise'!$E$2:$E$1137,0))</f>
        <v>0.2857142857142857</v>
      </c>
      <c r="H519" s="14" t="e">
        <f>INDEX(Background!$D$12:$D$27,MATCH(C519&amp;D519,INDEX(Background!$A$12:$A$27,0)&amp;INDEX(Background!$B$12:$B$27,0),0))</f>
        <v>#VALUE!</v>
      </c>
      <c r="I519" s="17" t="e">
        <f t="shared" si="30"/>
        <v>#VALUE!</v>
      </c>
    </row>
    <row r="520" spans="1:9">
      <c r="A520" s="4" t="s">
        <v>757</v>
      </c>
      <c r="B520" s="4">
        <v>22</v>
      </c>
      <c r="C520" s="4" t="s">
        <v>72</v>
      </c>
      <c r="D520" s="4" t="s">
        <v>71</v>
      </c>
      <c r="E520" s="4" t="s">
        <v>788</v>
      </c>
      <c r="F520" s="4" t="str">
        <f t="shared" si="29"/>
        <v>22|U|C</v>
      </c>
      <c r="G520" s="14">
        <f>INDEX('Transition Stepwise'!$J$2:$J$1137,MATCH(F520,'Transition Stepwise'!$E$2:$E$1137,0))</f>
        <v>0.33333333333333331</v>
      </c>
      <c r="H520" s="14" t="e">
        <f>INDEX(Background!$D$12:$D$27,MATCH(C520&amp;D520,INDEX(Background!$A$12:$A$27,0)&amp;INDEX(Background!$B$12:$B$27,0),0))</f>
        <v>#VALUE!</v>
      </c>
      <c r="I520" s="17" t="e">
        <f t="shared" si="30"/>
        <v>#VALUE!</v>
      </c>
    </row>
    <row r="521" spans="1:9">
      <c r="A521" s="4" t="s">
        <v>757</v>
      </c>
      <c r="B521" s="4">
        <v>23</v>
      </c>
      <c r="C521" s="4" t="s">
        <v>71</v>
      </c>
      <c r="D521" s="4" t="s">
        <v>73</v>
      </c>
      <c r="E521" s="4" t="s">
        <v>788</v>
      </c>
      <c r="F521" s="4" t="str">
        <f t="shared" si="29"/>
        <v>23|C|A</v>
      </c>
      <c r="G521" s="14">
        <f>INDEX('Transition Stepwise'!$J$2:$J$1137,MATCH(F521,'Transition Stepwise'!$E$2:$E$1137,0))</f>
        <v>0.2857142857142857</v>
      </c>
      <c r="H521" s="14" t="e">
        <f>INDEX(Background!$D$12:$D$27,MATCH(C521&amp;D521,INDEX(Background!$A$12:$A$27,0)&amp;INDEX(Background!$B$12:$B$27,0),0))</f>
        <v>#VALUE!</v>
      </c>
      <c r="I521" s="17" t="e">
        <f t="shared" si="30"/>
        <v>#VALUE!</v>
      </c>
    </row>
    <row r="522" spans="1:9">
      <c r="A522" s="4" t="s">
        <v>757</v>
      </c>
      <c r="B522" s="4">
        <v>24</v>
      </c>
      <c r="C522" s="4" t="s">
        <v>73</v>
      </c>
      <c r="D522" s="4" t="s">
        <v>72</v>
      </c>
      <c r="E522" s="4" t="s">
        <v>788</v>
      </c>
      <c r="F522" s="4" t="str">
        <f t="shared" si="29"/>
        <v>24|A|U</v>
      </c>
      <c r="G522" s="14">
        <f>INDEX('Transition Stepwise'!$J$2:$J$1137,MATCH(F522,'Transition Stepwise'!$E$2:$E$1137,0))</f>
        <v>0.26829268292682928</v>
      </c>
      <c r="H522" s="14" t="e">
        <f>INDEX(Background!$D$12:$D$27,MATCH(C522&amp;D522,INDEX(Background!$A$12:$A$27,0)&amp;INDEX(Background!$B$12:$B$27,0),0))</f>
        <v>#VALUE!</v>
      </c>
      <c r="I522" s="17" t="e">
        <f t="shared" si="30"/>
        <v>#VALUE!</v>
      </c>
    </row>
    <row r="523" spans="1:9">
      <c r="A523" s="4" t="s">
        <v>757</v>
      </c>
      <c r="B523" s="4">
        <v>25</v>
      </c>
      <c r="C523" s="4" t="s">
        <v>72</v>
      </c>
      <c r="D523" s="4" t="s">
        <v>72</v>
      </c>
      <c r="E523" s="4" t="s">
        <v>788</v>
      </c>
      <c r="F523" s="4" t="str">
        <f t="shared" si="29"/>
        <v>25|U|U</v>
      </c>
      <c r="G523" s="14">
        <f>INDEX('Transition Stepwise'!$J$2:$J$1137,MATCH(F523,'Transition Stepwise'!$E$2:$E$1137,0))</f>
        <v>0.16666666666666666</v>
      </c>
      <c r="H523" s="14" t="e">
        <f>INDEX(Background!$D$12:$D$27,MATCH(C523&amp;D523,INDEX(Background!$A$12:$A$27,0)&amp;INDEX(Background!$B$12:$B$27,0),0))</f>
        <v>#VALUE!</v>
      </c>
      <c r="I523" s="17" t="e">
        <f t="shared" si="30"/>
        <v>#VALUE!</v>
      </c>
    </row>
    <row r="524" spans="1:9">
      <c r="A524" s="4" t="s">
        <v>757</v>
      </c>
      <c r="B524" s="4">
        <v>26</v>
      </c>
      <c r="C524" s="4" t="s">
        <v>72</v>
      </c>
      <c r="D524" s="4" t="s">
        <v>72</v>
      </c>
      <c r="E524" s="4" t="s">
        <v>788</v>
      </c>
      <c r="F524" s="4" t="str">
        <f t="shared" si="29"/>
        <v>26|U|U</v>
      </c>
      <c r="G524" s="14">
        <f>INDEX('Transition Stepwise'!$J$2:$J$1137,MATCH(F524,'Transition Stepwise'!$E$2:$E$1137,0))</f>
        <v>0.26666666666666666</v>
      </c>
      <c r="H524" s="14" t="e">
        <f>INDEX(Background!$D$12:$D$27,MATCH(C524&amp;D524,INDEX(Background!$A$12:$A$27,0)&amp;INDEX(Background!$B$12:$B$27,0),0))</f>
        <v>#VALUE!</v>
      </c>
      <c r="I524" s="17" t="e">
        <f t="shared" si="30"/>
        <v>#VALUE!</v>
      </c>
    </row>
    <row r="525" spans="1:9">
      <c r="A525" s="4" t="s">
        <v>757</v>
      </c>
      <c r="B525" s="4">
        <v>27</v>
      </c>
      <c r="C525" s="4" t="s">
        <v>72</v>
      </c>
      <c r="D525" s="4" t="s">
        <v>70</v>
      </c>
      <c r="E525" s="4" t="s">
        <v>788</v>
      </c>
      <c r="F525" s="4" t="str">
        <f t="shared" si="29"/>
        <v>27|U|G</v>
      </c>
      <c r="G525" s="14">
        <f>INDEX('Transition Stepwise'!$J$2:$J$1137,MATCH(F525,'Transition Stepwise'!$E$2:$E$1137,0))</f>
        <v>0.10714285714285714</v>
      </c>
      <c r="H525" s="14" t="e">
        <f>INDEX(Background!$D$12:$D$27,MATCH(C525&amp;D525,INDEX(Background!$A$12:$A$27,0)&amp;INDEX(Background!$B$12:$B$27,0),0))</f>
        <v>#VALUE!</v>
      </c>
      <c r="I525" s="17" t="e">
        <f t="shared" si="30"/>
        <v>#VALUE!</v>
      </c>
    </row>
    <row r="526" spans="1:9">
      <c r="A526" s="4" t="s">
        <v>757</v>
      </c>
      <c r="B526" s="4">
        <v>28</v>
      </c>
      <c r="C526" s="4" t="s">
        <v>70</v>
      </c>
      <c r="D526" s="4" t="s">
        <v>72</v>
      </c>
      <c r="E526" s="4" t="s">
        <v>788</v>
      </c>
      <c r="F526" s="4" t="str">
        <f t="shared" si="29"/>
        <v>28|G|U</v>
      </c>
      <c r="G526" s="14">
        <f>INDEX('Transition Stepwise'!$J$2:$J$1137,MATCH(F526,'Transition Stepwise'!$E$2:$E$1137,0))</f>
        <v>7.6923076923076927E-2</v>
      </c>
      <c r="H526" s="14" t="e">
        <f>INDEX(Background!$D$12:$D$27,MATCH(C526&amp;D526,INDEX(Background!$A$12:$A$27,0)&amp;INDEX(Background!$B$12:$B$27,0),0))</f>
        <v>#VALUE!</v>
      </c>
      <c r="I526" s="17" t="e">
        <f t="shared" si="30"/>
        <v>#VALUE!</v>
      </c>
    </row>
    <row r="527" spans="1:9">
      <c r="A527" s="4" t="s">
        <v>757</v>
      </c>
      <c r="B527" s="4">
        <v>29</v>
      </c>
      <c r="C527" s="4" t="s">
        <v>72</v>
      </c>
      <c r="D527" s="4" t="s">
        <v>73</v>
      </c>
      <c r="E527" s="4" t="s">
        <v>788</v>
      </c>
      <c r="F527" s="4" t="str">
        <f t="shared" si="29"/>
        <v>29|U|A</v>
      </c>
      <c r="G527" s="14">
        <f>INDEX('Transition Stepwise'!$J$2:$J$1137,MATCH(F527,'Transition Stepwise'!$E$2:$E$1137,0))</f>
        <v>1.6949152542372881E-2</v>
      </c>
      <c r="H527" s="14" t="e">
        <f>INDEX(Background!$D$12:$D$27,MATCH(C527&amp;D527,INDEX(Background!$A$12:$A$27,0)&amp;INDEX(Background!$B$12:$B$27,0),0))</f>
        <v>#VALUE!</v>
      </c>
      <c r="I527" s="17" t="e">
        <f t="shared" si="30"/>
        <v>#VALUE!</v>
      </c>
    </row>
    <row r="528" spans="1:9">
      <c r="A528" s="4" t="s">
        <v>757</v>
      </c>
      <c r="B528" s="4">
        <v>30</v>
      </c>
      <c r="C528" s="4" t="s">
        <v>73</v>
      </c>
      <c r="D528" s="4" t="s">
        <v>70</v>
      </c>
      <c r="E528" s="4" t="s">
        <v>788</v>
      </c>
      <c r="F528" s="4" t="str">
        <f t="shared" si="29"/>
        <v>30|A|G</v>
      </c>
      <c r="G528" s="14">
        <f>INDEX('Transition Stepwise'!$J$2:$J$1137,MATCH(F528,'Transition Stepwise'!$E$2:$E$1137,0))</f>
        <v>0.25</v>
      </c>
      <c r="H528" s="14" t="e">
        <f>INDEX(Background!$D$12:$D$27,MATCH(C528&amp;D528,INDEX(Background!$A$12:$A$27,0)&amp;INDEX(Background!$B$12:$B$27,0),0))</f>
        <v>#VALUE!</v>
      </c>
      <c r="I528" s="17" t="e">
        <f t="shared" si="30"/>
        <v>#VALUE!</v>
      </c>
    </row>
    <row r="529" spans="1:9">
      <c r="A529" s="4" t="s">
        <v>757</v>
      </c>
      <c r="B529" s="4">
        <v>31</v>
      </c>
      <c r="C529" s="4" t="s">
        <v>70</v>
      </c>
      <c r="D529" s="4" t="s">
        <v>72</v>
      </c>
      <c r="E529" s="4" t="s">
        <v>788</v>
      </c>
      <c r="F529" s="4" t="str">
        <f t="shared" si="29"/>
        <v>31|G|U</v>
      </c>
      <c r="G529" s="14">
        <f>INDEX('Transition Stepwise'!$J$2:$J$1137,MATCH(F529,'Transition Stepwise'!$E$2:$E$1137,0))</f>
        <v>0.3559322033898305</v>
      </c>
      <c r="H529" s="14" t="e">
        <f>INDEX(Background!$D$12:$D$27,MATCH(C529&amp;D529,INDEX(Background!$A$12:$A$27,0)&amp;INDEX(Background!$B$12:$B$27,0),0))</f>
        <v>#VALUE!</v>
      </c>
      <c r="I529" s="17" t="e">
        <f t="shared" si="30"/>
        <v>#VALUE!</v>
      </c>
    </row>
    <row r="530" spans="1:9">
      <c r="A530" s="4" t="s">
        <v>757</v>
      </c>
      <c r="B530" s="4">
        <v>32</v>
      </c>
      <c r="C530" s="4" t="s">
        <v>72</v>
      </c>
      <c r="D530" s="4" t="s">
        <v>72</v>
      </c>
      <c r="E530" s="4" t="s">
        <v>788</v>
      </c>
      <c r="F530" s="4" t="str">
        <f t="shared" si="29"/>
        <v>32|U|U</v>
      </c>
      <c r="G530" s="14">
        <f>INDEX('Transition Stepwise'!$J$2:$J$1137,MATCH(F530,'Transition Stepwise'!$E$2:$E$1137,0))</f>
        <v>0.93650793650793651</v>
      </c>
      <c r="H530" s="14" t="e">
        <f>INDEX(Background!$D$12:$D$27,MATCH(C530&amp;D530,INDEX(Background!$A$12:$A$27,0)&amp;INDEX(Background!$B$12:$B$27,0),0))</f>
        <v>#VALUE!</v>
      </c>
      <c r="I530" s="17" t="e">
        <f t="shared" si="30"/>
        <v>#VALUE!</v>
      </c>
    </row>
    <row r="531" spans="1:9">
      <c r="A531" s="4" t="s">
        <v>757</v>
      </c>
      <c r="B531" s="4">
        <v>33</v>
      </c>
      <c r="C531" s="4" t="s">
        <v>72</v>
      </c>
      <c r="D531" s="4" t="s">
        <v>72</v>
      </c>
      <c r="E531" s="4" t="s">
        <v>788</v>
      </c>
      <c r="F531" s="4" t="str">
        <f t="shared" si="29"/>
        <v>33|U|U</v>
      </c>
      <c r="G531" s="14">
        <f>INDEX('Transition Stepwise'!$J$2:$J$1137,MATCH(F531,'Transition Stepwise'!$E$2:$E$1137,0))</f>
        <v>0.29207920792079206</v>
      </c>
      <c r="H531" s="14" t="e">
        <f>INDEX(Background!$D$12:$D$27,MATCH(C531&amp;D531,INDEX(Background!$A$12:$A$27,0)&amp;INDEX(Background!$B$12:$B$27,0),0))</f>
        <v>#VALUE!</v>
      </c>
      <c r="I531" s="17" t="e">
        <f t="shared" si="30"/>
        <v>#VALUE!</v>
      </c>
    </row>
    <row r="532" spans="1:9">
      <c r="A532" s="4" t="s">
        <v>757</v>
      </c>
      <c r="B532" s="4">
        <v>34</v>
      </c>
      <c r="C532" s="4" t="s">
        <v>72</v>
      </c>
      <c r="D532" s="4" t="s">
        <v>71</v>
      </c>
      <c r="E532" s="4" t="s">
        <v>788</v>
      </c>
      <c r="F532" s="4" t="str">
        <f t="shared" si="29"/>
        <v>34|U|C</v>
      </c>
      <c r="G532" s="14">
        <f>INDEX('Transition Stepwise'!$J$2:$J$1137,MATCH(F532,'Transition Stepwise'!$E$2:$E$1137,0))</f>
        <v>0.22580645161290322</v>
      </c>
      <c r="H532" s="14" t="e">
        <f>INDEX(Background!$D$12:$D$27,MATCH(C532&amp;D532,INDEX(Background!$A$12:$A$27,0)&amp;INDEX(Background!$B$12:$B$27,0),0))</f>
        <v>#VALUE!</v>
      </c>
      <c r="I532" s="17" t="e">
        <f t="shared" si="30"/>
        <v>#VALUE!</v>
      </c>
    </row>
    <row r="533" spans="1:9">
      <c r="A533" s="4" t="s">
        <v>757</v>
      </c>
      <c r="B533" s="4">
        <v>35</v>
      </c>
      <c r="C533" s="4" t="s">
        <v>71</v>
      </c>
      <c r="D533" s="4" t="s">
        <v>73</v>
      </c>
      <c r="E533" s="4" t="s">
        <v>788</v>
      </c>
      <c r="F533" s="4" t="str">
        <f t="shared" si="29"/>
        <v>35|C|A</v>
      </c>
      <c r="G533" s="14">
        <f>INDEX('Transition Stepwise'!$J$2:$J$1137,MATCH(F533,'Transition Stepwise'!$E$2:$E$1137,0))</f>
        <v>0.42</v>
      </c>
      <c r="H533" s="14" t="e">
        <f>INDEX(Background!$D$12:$D$27,MATCH(C533&amp;D533,INDEX(Background!$A$12:$A$27,0)&amp;INDEX(Background!$B$12:$B$27,0),0))</f>
        <v>#VALUE!</v>
      </c>
      <c r="I533" s="17" t="e">
        <f t="shared" si="30"/>
        <v>#VALUE!</v>
      </c>
    </row>
    <row r="534" spans="1:9">
      <c r="A534" s="4" t="s">
        <v>757</v>
      </c>
      <c r="B534" s="4">
        <v>36</v>
      </c>
      <c r="C534" s="4" t="s">
        <v>73</v>
      </c>
      <c r="D534" s="4" t="s">
        <v>73</v>
      </c>
      <c r="E534" s="4" t="s">
        <v>788</v>
      </c>
      <c r="F534" s="4" t="str">
        <f t="shared" si="29"/>
        <v>36|A|A</v>
      </c>
      <c r="G534" s="14">
        <f>INDEX('Transition Stepwise'!$J$2:$J$1137,MATCH(F534,'Transition Stepwise'!$E$2:$E$1137,0))</f>
        <v>0.55319148936170215</v>
      </c>
      <c r="H534" s="14" t="e">
        <f>INDEX(Background!$D$12:$D$27,MATCH(C534&amp;D534,INDEX(Background!$A$12:$A$27,0)&amp;INDEX(Background!$B$12:$B$27,0),0))</f>
        <v>#VALUE!</v>
      </c>
      <c r="I534" s="17" t="e">
        <f t="shared" si="30"/>
        <v>#VALUE!</v>
      </c>
    </row>
    <row r="535" spans="1:9">
      <c r="A535" s="4" t="s">
        <v>757</v>
      </c>
      <c r="B535" s="4">
        <v>37</v>
      </c>
      <c r="C535" s="4" t="s">
        <v>73</v>
      </c>
      <c r="D535" s="4" t="s">
        <v>73</v>
      </c>
      <c r="E535" s="4" t="s">
        <v>788</v>
      </c>
      <c r="F535" s="4" t="str">
        <f t="shared" si="29"/>
        <v>37|A|A</v>
      </c>
      <c r="G535" s="14">
        <f>INDEX('Transition Stepwise'!$J$2:$J$1137,MATCH(F535,'Transition Stepwise'!$E$2:$E$1137,0))</f>
        <v>0.74838709677419357</v>
      </c>
      <c r="H535" s="14" t="e">
        <f>INDEX(Background!$D$12:$D$27,MATCH(C535&amp;D535,INDEX(Background!$A$12:$A$27,0)&amp;INDEX(Background!$B$12:$B$27,0),0))</f>
        <v>#VALUE!</v>
      </c>
      <c r="I535" s="17" t="e">
        <f t="shared" si="30"/>
        <v>#VALUE!</v>
      </c>
    </row>
    <row r="536" spans="1:9">
      <c r="A536" s="4" t="s">
        <v>757</v>
      </c>
      <c r="B536" s="4">
        <v>38</v>
      </c>
      <c r="C536" s="4" t="s">
        <v>73</v>
      </c>
      <c r="D536" s="4" t="s">
        <v>72</v>
      </c>
      <c r="E536" s="4" t="s">
        <v>788</v>
      </c>
      <c r="F536" s="4" t="str">
        <f t="shared" si="29"/>
        <v>38|A|U</v>
      </c>
      <c r="G536" s="14">
        <f>INDEX('Transition Stepwise'!$J$2:$J$1137,MATCH(F536,'Transition Stepwise'!$E$2:$E$1137,0))</f>
        <v>0.33774834437086093</v>
      </c>
      <c r="H536" s="14" t="e">
        <f>INDEX(Background!$D$12:$D$27,MATCH(C536&amp;D536,INDEX(Background!$A$12:$A$27,0)&amp;INDEX(Background!$B$12:$B$27,0),0))</f>
        <v>#VALUE!</v>
      </c>
      <c r="I536" s="17" t="e">
        <f t="shared" si="30"/>
        <v>#VALUE!</v>
      </c>
    </row>
    <row r="537" spans="1:9">
      <c r="A537" s="4" t="s">
        <v>757</v>
      </c>
      <c r="B537" s="4">
        <v>39</v>
      </c>
      <c r="C537" s="4" t="s">
        <v>72</v>
      </c>
      <c r="D537" s="4" t="s">
        <v>72</v>
      </c>
      <c r="E537" s="4" t="s">
        <v>788</v>
      </c>
      <c r="F537" s="4" t="str">
        <f t="shared" si="29"/>
        <v>39|U|U</v>
      </c>
      <c r="G537" s="14">
        <f>INDEX('Transition Stepwise'!$J$2:$J$1137,MATCH(F537,'Transition Stepwise'!$E$2:$E$1137,0))</f>
        <v>3.1746031746031744E-2</v>
      </c>
      <c r="H537" s="14" t="e">
        <f>INDEX(Background!$D$12:$D$27,MATCH(C537&amp;D537,INDEX(Background!$A$12:$A$27,0)&amp;INDEX(Background!$B$12:$B$27,0),0))</f>
        <v>#VALUE!</v>
      </c>
      <c r="I537" s="17" t="e">
        <f t="shared" si="30"/>
        <v>#VALUE!</v>
      </c>
    </row>
    <row r="538" spans="1:9">
      <c r="A538" s="4" t="s">
        <v>757</v>
      </c>
      <c r="B538" s="4">
        <v>40</v>
      </c>
      <c r="C538" s="4" t="s">
        <v>72</v>
      </c>
      <c r="D538" s="4" t="s">
        <v>73</v>
      </c>
      <c r="E538" s="4" t="s">
        <v>788</v>
      </c>
      <c r="F538" s="4" t="str">
        <f t="shared" si="29"/>
        <v>40|U|A</v>
      </c>
      <c r="G538" s="14">
        <f>INDEX('Transition Stepwise'!$J$2:$J$1137,MATCH(F538,'Transition Stepwise'!$E$2:$E$1137,0))</f>
        <v>0.25</v>
      </c>
      <c r="H538" s="14" t="e">
        <f>INDEX(Background!$D$12:$D$27,MATCH(C538&amp;D538,INDEX(Background!$A$12:$A$27,0)&amp;INDEX(Background!$B$12:$B$27,0),0))</f>
        <v>#VALUE!</v>
      </c>
      <c r="I538" s="17" t="e">
        <f t="shared" si="30"/>
        <v>#VALUE!</v>
      </c>
    </row>
    <row r="539" spans="1:9">
      <c r="A539" s="4" t="s">
        <v>757</v>
      </c>
      <c r="B539" s="4">
        <v>41</v>
      </c>
      <c r="C539" s="4" t="s">
        <v>73</v>
      </c>
      <c r="D539" s="4" t="s">
        <v>71</v>
      </c>
      <c r="E539" s="4" t="s">
        <v>788</v>
      </c>
      <c r="F539" s="4" t="str">
        <f t="shared" si="29"/>
        <v>41|A|C</v>
      </c>
      <c r="G539" s="14">
        <f>INDEX('Transition Stepwise'!$J$2:$J$1137,MATCH(F539,'Transition Stepwise'!$E$2:$E$1137,0))</f>
        <v>3.4482758620689655E-2</v>
      </c>
      <c r="H539" s="14" t="e">
        <f>INDEX(Background!$D$12:$D$27,MATCH(C539&amp;D539,INDEX(Background!$A$12:$A$27,0)&amp;INDEX(Background!$B$12:$B$27,0),0))</f>
        <v>#VALUE!</v>
      </c>
      <c r="I539" s="17" t="e">
        <f t="shared" si="30"/>
        <v>#VALUE!</v>
      </c>
    </row>
    <row r="540" spans="1:9">
      <c r="A540" s="4" t="s">
        <v>757</v>
      </c>
      <c r="B540" s="4">
        <v>42</v>
      </c>
      <c r="C540" s="4" t="s">
        <v>71</v>
      </c>
      <c r="D540" s="4" t="s">
        <v>73</v>
      </c>
      <c r="E540" s="4" t="s">
        <v>788</v>
      </c>
      <c r="F540" s="4" t="str">
        <f t="shared" si="29"/>
        <v>42|C|A</v>
      </c>
      <c r="G540" s="14">
        <f>INDEX('Transition Stepwise'!$J$2:$J$1137,MATCH(F540,'Transition Stepwise'!$E$2:$E$1137,0))</f>
        <v>0.25</v>
      </c>
      <c r="H540" s="14" t="e">
        <f>INDEX(Background!$D$12:$D$27,MATCH(C540&amp;D540,INDEX(Background!$A$12:$A$27,0)&amp;INDEX(Background!$B$12:$B$27,0),0))</f>
        <v>#VALUE!</v>
      </c>
      <c r="I540" s="17" t="e">
        <f t="shared" si="30"/>
        <v>#VALUE!</v>
      </c>
    </row>
    <row r="541" spans="1:9">
      <c r="A541" s="4" t="s">
        <v>757</v>
      </c>
      <c r="B541" s="4">
        <v>43</v>
      </c>
      <c r="C541" s="4" t="s">
        <v>73</v>
      </c>
      <c r="D541" s="4" t="s">
        <v>70</v>
      </c>
      <c r="E541" s="4" t="s">
        <v>788</v>
      </c>
      <c r="F541" s="4" t="str">
        <f t="shared" si="29"/>
        <v>43|A|G</v>
      </c>
      <c r="G541" s="14">
        <f>INDEX('Transition Stepwise'!$J$2:$J$1137,MATCH(F541,'Transition Stepwise'!$E$2:$E$1137,0))</f>
        <v>0.2857142857142857</v>
      </c>
      <c r="H541" s="14" t="e">
        <f>INDEX(Background!$D$12:$D$27,MATCH(C541&amp;D541,INDEX(Background!$A$12:$A$27,0)&amp;INDEX(Background!$B$12:$B$27,0),0))</f>
        <v>#VALUE!</v>
      </c>
      <c r="I541" s="17" t="e">
        <f t="shared" si="30"/>
        <v>#VALUE!</v>
      </c>
    </row>
    <row r="542" spans="1:9">
      <c r="A542" s="4" t="s">
        <v>757</v>
      </c>
      <c r="B542" s="4">
        <v>44</v>
      </c>
      <c r="C542" s="4" t="s">
        <v>70</v>
      </c>
      <c r="D542" s="4" t="s">
        <v>72</v>
      </c>
      <c r="E542" s="4" t="s">
        <v>788</v>
      </c>
      <c r="F542" s="4" t="str">
        <f t="shared" si="29"/>
        <v>44|G|U</v>
      </c>
      <c r="G542" s="14">
        <f>INDEX('Transition Stepwise'!$J$2:$J$1137,MATCH(F542,'Transition Stepwise'!$E$2:$E$1137,0))</f>
        <v>0.16</v>
      </c>
      <c r="H542" s="14" t="e">
        <f>INDEX(Background!$D$12:$D$27,MATCH(C542&amp;D542,INDEX(Background!$A$12:$A$27,0)&amp;INDEX(Background!$B$12:$B$27,0),0))</f>
        <v>#VALUE!</v>
      </c>
      <c r="I542" s="17" t="e">
        <f t="shared" si="30"/>
        <v>#VALUE!</v>
      </c>
    </row>
    <row r="543" spans="1:9">
      <c r="A543" s="4" t="s">
        <v>757</v>
      </c>
      <c r="B543" s="4">
        <v>45</v>
      </c>
      <c r="C543" s="4" t="s">
        <v>72</v>
      </c>
      <c r="D543" s="4" t="s">
        <v>77</v>
      </c>
      <c r="E543" s="10" t="s">
        <v>789</v>
      </c>
      <c r="F543" s="4"/>
      <c r="G543" s="4"/>
      <c r="H543" s="4"/>
      <c r="I543" s="4"/>
    </row>
    <row r="544" spans="1:9">
      <c r="A544" s="4" t="s">
        <v>757</v>
      </c>
      <c r="B544" s="4">
        <v>46</v>
      </c>
      <c r="C544" s="4" t="s">
        <v>77</v>
      </c>
      <c r="D544" s="4" t="s">
        <v>72</v>
      </c>
      <c r="E544" s="10" t="s">
        <v>789</v>
      </c>
      <c r="F544" s="4"/>
      <c r="G544" s="4"/>
      <c r="H544" s="4"/>
      <c r="I544" s="4"/>
    </row>
    <row r="545" spans="1:9">
      <c r="A545" s="4" t="s">
        <v>757</v>
      </c>
      <c r="B545" s="4">
        <v>47</v>
      </c>
      <c r="C545" s="4" t="s">
        <v>72</v>
      </c>
      <c r="D545" s="4" t="s">
        <v>72</v>
      </c>
      <c r="E545" s="4" t="s">
        <v>788</v>
      </c>
      <c r="F545" s="4" t="str">
        <f t="shared" ref="F545:F576" si="31">B545&amp;"|"&amp;C545&amp;"|"&amp;D545</f>
        <v>47|U|U</v>
      </c>
      <c r="G545" s="14">
        <f>INDEX('Transition Stepwise'!$J$2:$J$1137,MATCH(F545,'Transition Stepwise'!$E$2:$E$1137,0))</f>
        <v>0.1223021582733813</v>
      </c>
      <c r="H545" s="14" t="e">
        <f>INDEX(Background!$D$12:$D$27,MATCH(C545&amp;D545,INDEX(Background!$A$12:$A$27,0)&amp;INDEX(Background!$B$12:$B$27,0),0))</f>
        <v>#VALUE!</v>
      </c>
      <c r="I545" s="17" t="e">
        <f t="shared" ref="I545:I576" si="32">LN(G545/H545)</f>
        <v>#VALUE!</v>
      </c>
    </row>
    <row r="546" spans="1:9">
      <c r="A546" s="4" t="s">
        <v>757</v>
      </c>
      <c r="B546" s="4">
        <v>48</v>
      </c>
      <c r="C546" s="4" t="s">
        <v>72</v>
      </c>
      <c r="D546" s="4" t="s">
        <v>72</v>
      </c>
      <c r="E546" s="4" t="s">
        <v>788</v>
      </c>
      <c r="F546" s="4" t="str">
        <f t="shared" si="31"/>
        <v>48|U|U</v>
      </c>
      <c r="G546" s="14">
        <f>INDEX('Transition Stepwise'!$J$2:$J$1137,MATCH(F546,'Transition Stepwise'!$E$2:$E$1137,0))</f>
        <v>9.0909090909090912E-2</v>
      </c>
      <c r="H546" s="14" t="e">
        <f>INDEX(Background!$D$12:$D$27,MATCH(C546&amp;D546,INDEX(Background!$A$12:$A$27,0)&amp;INDEX(Background!$B$12:$B$27,0),0))</f>
        <v>#VALUE!</v>
      </c>
      <c r="I546" s="17" t="e">
        <f t="shared" si="32"/>
        <v>#VALUE!</v>
      </c>
    </row>
    <row r="547" spans="1:9">
      <c r="A547" s="4" t="s">
        <v>757</v>
      </c>
      <c r="B547" s="4">
        <v>49</v>
      </c>
      <c r="C547" s="4" t="s">
        <v>72</v>
      </c>
      <c r="D547" s="4" t="s">
        <v>73</v>
      </c>
      <c r="E547" s="4" t="s">
        <v>788</v>
      </c>
      <c r="F547" s="4" t="str">
        <f t="shared" si="31"/>
        <v>49|U|A</v>
      </c>
      <c r="G547" s="14">
        <f>INDEX('Transition Stepwise'!$J$2:$J$1137,MATCH(F547,'Transition Stepwise'!$E$2:$E$1137,0))</f>
        <v>0.2</v>
      </c>
      <c r="H547" s="14" t="e">
        <f>INDEX(Background!$D$12:$D$27,MATCH(C547&amp;D547,INDEX(Background!$A$12:$A$27,0)&amp;INDEX(Background!$B$12:$B$27,0),0))</f>
        <v>#VALUE!</v>
      </c>
      <c r="I547" s="17" t="e">
        <f t="shared" si="32"/>
        <v>#VALUE!</v>
      </c>
    </row>
    <row r="548" spans="1:9">
      <c r="A548" s="4" t="s">
        <v>757</v>
      </c>
      <c r="B548" s="4">
        <v>50</v>
      </c>
      <c r="C548" s="4" t="s">
        <v>73</v>
      </c>
      <c r="D548" s="4" t="s">
        <v>70</v>
      </c>
      <c r="E548" s="4" t="s">
        <v>788</v>
      </c>
      <c r="F548" s="4" t="str">
        <f t="shared" si="31"/>
        <v>50|A|G</v>
      </c>
      <c r="G548" s="14">
        <f>INDEX('Transition Stepwise'!$J$2:$J$1137,MATCH(F548,'Transition Stepwise'!$E$2:$E$1137,0))</f>
        <v>0.62962962962962965</v>
      </c>
      <c r="H548" s="14" t="e">
        <f>INDEX(Background!$D$12:$D$27,MATCH(C548&amp;D548,INDEX(Background!$A$12:$A$27,0)&amp;INDEX(Background!$B$12:$B$27,0),0))</f>
        <v>#VALUE!</v>
      </c>
      <c r="I548" s="17" t="e">
        <f t="shared" si="32"/>
        <v>#VALUE!</v>
      </c>
    </row>
    <row r="549" spans="1:9">
      <c r="A549" s="4" t="s">
        <v>757</v>
      </c>
      <c r="B549" s="4">
        <v>51</v>
      </c>
      <c r="C549" s="4" t="s">
        <v>70</v>
      </c>
      <c r="D549" s="4" t="s">
        <v>70</v>
      </c>
      <c r="E549" s="4" t="s">
        <v>788</v>
      </c>
      <c r="F549" s="4" t="str">
        <f t="shared" si="31"/>
        <v>51|G|G</v>
      </c>
      <c r="G549" s="14">
        <f>INDEX('Transition Stepwise'!$J$2:$J$1137,MATCH(F549,'Transition Stepwise'!$E$2:$E$1137,0))</f>
        <v>0.78640776699029125</v>
      </c>
      <c r="H549" s="14" t="e">
        <f>INDEX(Background!$D$12:$D$27,MATCH(C549&amp;D549,INDEX(Background!$A$12:$A$27,0)&amp;INDEX(Background!$B$12:$B$27,0),0))</f>
        <v>#VALUE!</v>
      </c>
      <c r="I549" s="17" t="e">
        <f t="shared" si="32"/>
        <v>#VALUE!</v>
      </c>
    </row>
    <row r="550" spans="1:9">
      <c r="A550" s="4" t="s">
        <v>757</v>
      </c>
      <c r="B550" s="4">
        <v>52</v>
      </c>
      <c r="C550" s="4" t="s">
        <v>70</v>
      </c>
      <c r="D550" s="4" t="s">
        <v>70</v>
      </c>
      <c r="E550" s="4" t="s">
        <v>788</v>
      </c>
      <c r="F550" s="4" t="str">
        <f t="shared" si="31"/>
        <v>52|G|G</v>
      </c>
      <c r="G550" s="14">
        <f>INDEX('Transition Stepwise'!$J$2:$J$1137,MATCH(F550,'Transition Stepwise'!$E$2:$E$1137,0))</f>
        <v>0.96511627906976749</v>
      </c>
      <c r="H550" s="14" t="e">
        <f>INDEX(Background!$D$12:$D$27,MATCH(C550&amp;D550,INDEX(Background!$A$12:$A$27,0)&amp;INDEX(Background!$B$12:$B$27,0),0))</f>
        <v>#VALUE!</v>
      </c>
      <c r="I550" s="17" t="e">
        <f t="shared" si="32"/>
        <v>#VALUE!</v>
      </c>
    </row>
    <row r="551" spans="1:9">
      <c r="A551" s="4" t="s">
        <v>757</v>
      </c>
      <c r="B551" s="4">
        <v>53</v>
      </c>
      <c r="C551" s="4" t="s">
        <v>70</v>
      </c>
      <c r="D551" s="4" t="s">
        <v>73</v>
      </c>
      <c r="E551" s="4" t="s">
        <v>788</v>
      </c>
      <c r="F551" s="4" t="str">
        <f t="shared" si="31"/>
        <v>53|G|A</v>
      </c>
      <c r="G551" s="14">
        <f>INDEX('Transition Stepwise'!$J$2:$J$1137,MATCH(F551,'Transition Stepwise'!$E$2:$E$1137,0))</f>
        <v>1.4999999999999999E-2</v>
      </c>
      <c r="H551" s="14" t="e">
        <f>INDEX(Background!$D$12:$D$27,MATCH(C551&amp;D551,INDEX(Background!$A$12:$A$27,0)&amp;INDEX(Background!$B$12:$B$27,0),0))</f>
        <v>#VALUE!</v>
      </c>
      <c r="I551" s="17" t="e">
        <f t="shared" si="32"/>
        <v>#VALUE!</v>
      </c>
    </row>
    <row r="552" spans="1:9">
      <c r="A552" s="4" t="s">
        <v>757</v>
      </c>
      <c r="B552" s="4">
        <v>54</v>
      </c>
      <c r="C552" s="4" t="s">
        <v>73</v>
      </c>
      <c r="D552" s="4" t="s">
        <v>72</v>
      </c>
      <c r="E552" s="4" t="s">
        <v>788</v>
      </c>
      <c r="F552" s="4" t="str">
        <f t="shared" si="31"/>
        <v>54|A|U</v>
      </c>
      <c r="G552" s="14">
        <f>INDEX('Transition Stepwise'!$J$2:$J$1137,MATCH(F552,'Transition Stepwise'!$E$2:$E$1137,0))</f>
        <v>0.5</v>
      </c>
      <c r="H552" s="14" t="e">
        <f>INDEX(Background!$D$12:$D$27,MATCH(C552&amp;D552,INDEX(Background!$A$12:$A$27,0)&amp;INDEX(Background!$B$12:$B$27,0),0))</f>
        <v>#VALUE!</v>
      </c>
      <c r="I552" s="17" t="e">
        <f t="shared" si="32"/>
        <v>#VALUE!</v>
      </c>
    </row>
    <row r="553" spans="1:9">
      <c r="A553" s="4" t="s">
        <v>757</v>
      </c>
      <c r="B553" s="4">
        <v>55</v>
      </c>
      <c r="C553" s="4" t="s">
        <v>72</v>
      </c>
      <c r="D553" s="4" t="s">
        <v>71</v>
      </c>
      <c r="E553" s="4" t="s">
        <v>788</v>
      </c>
      <c r="F553" s="4" t="str">
        <f t="shared" si="31"/>
        <v>55|U|C</v>
      </c>
      <c r="G553" s="14">
        <f>INDEX('Transition Stepwise'!$J$2:$J$1137,MATCH(F553,'Transition Stepwise'!$E$2:$E$1137,0))</f>
        <v>0.97512437810945274</v>
      </c>
      <c r="H553" s="14" t="e">
        <f>INDEX(Background!$D$12:$D$27,MATCH(C553&amp;D553,INDEX(Background!$A$12:$A$27,0)&amp;INDEX(Background!$B$12:$B$27,0),0))</f>
        <v>#VALUE!</v>
      </c>
      <c r="I553" s="17" t="e">
        <f t="shared" si="32"/>
        <v>#VALUE!</v>
      </c>
    </row>
    <row r="554" spans="1:9">
      <c r="A554" s="4" t="s">
        <v>757</v>
      </c>
      <c r="B554" s="4">
        <v>56</v>
      </c>
      <c r="C554" s="4" t="s">
        <v>71</v>
      </c>
      <c r="D554" s="4" t="s">
        <v>71</v>
      </c>
      <c r="E554" s="4" t="s">
        <v>788</v>
      </c>
      <c r="F554" s="4" t="str">
        <f t="shared" si="31"/>
        <v>56|C|C</v>
      </c>
      <c r="G554" s="14">
        <f>INDEX('Transition Stepwise'!$J$2:$J$1137,MATCH(F554,'Transition Stepwise'!$E$2:$E$1137,0))</f>
        <v>5.0000000000000001E-3</v>
      </c>
      <c r="H554" s="14" t="e">
        <f>INDEX(Background!$D$12:$D$27,MATCH(C554&amp;D554,INDEX(Background!$A$12:$A$27,0)&amp;INDEX(Background!$B$12:$B$27,0),0))</f>
        <v>#VALUE!</v>
      </c>
      <c r="I554" s="17" t="e">
        <f t="shared" si="32"/>
        <v>#VALUE!</v>
      </c>
    </row>
    <row r="555" spans="1:9">
      <c r="A555" s="4" t="s">
        <v>757</v>
      </c>
      <c r="B555" s="4">
        <v>57</v>
      </c>
      <c r="C555" s="4" t="s">
        <v>71</v>
      </c>
      <c r="D555" s="4" t="s">
        <v>72</v>
      </c>
      <c r="E555" s="4" t="s">
        <v>788</v>
      </c>
      <c r="F555" s="4" t="str">
        <f t="shared" si="31"/>
        <v>57|C|U</v>
      </c>
      <c r="G555" s="14">
        <f>INDEX('Transition Stepwise'!$J$2:$J$1137,MATCH(F555,'Transition Stepwise'!$E$2:$E$1137,0))</f>
        <v>0.25</v>
      </c>
      <c r="H555" s="14" t="e">
        <f>INDEX(Background!$D$12:$D$27,MATCH(C555&amp;D555,INDEX(Background!$A$12:$A$27,0)&amp;INDEX(Background!$B$12:$B$27,0),0))</f>
        <v>#VALUE!</v>
      </c>
      <c r="I555" s="17" t="e">
        <f t="shared" si="32"/>
        <v>#VALUE!</v>
      </c>
    </row>
    <row r="556" spans="1:9">
      <c r="A556" s="4" t="s">
        <v>757</v>
      </c>
      <c r="B556" s="4">
        <v>58</v>
      </c>
      <c r="C556" s="4" t="s">
        <v>72</v>
      </c>
      <c r="D556" s="4" t="s">
        <v>72</v>
      </c>
      <c r="E556" s="4" t="s">
        <v>788</v>
      </c>
      <c r="F556" s="4" t="str">
        <f t="shared" si="31"/>
        <v>58|U|U</v>
      </c>
      <c r="G556" s="14">
        <f>INDEX('Transition Stepwise'!$J$2:$J$1137,MATCH(F556,'Transition Stepwise'!$E$2:$E$1137,0))</f>
        <v>0.2</v>
      </c>
      <c r="H556" s="14" t="e">
        <f>INDEX(Background!$D$12:$D$27,MATCH(C556&amp;D556,INDEX(Background!$A$12:$A$27,0)&amp;INDEX(Background!$B$12:$B$27,0),0))</f>
        <v>#VALUE!</v>
      </c>
      <c r="I556" s="17" t="e">
        <f t="shared" si="32"/>
        <v>#VALUE!</v>
      </c>
    </row>
    <row r="557" spans="1:9">
      <c r="A557" s="4" t="s">
        <v>757</v>
      </c>
      <c r="B557" s="4">
        <v>59</v>
      </c>
      <c r="C557" s="4" t="s">
        <v>72</v>
      </c>
      <c r="D557" s="4" t="s">
        <v>70</v>
      </c>
      <c r="E557" s="4" t="s">
        <v>788</v>
      </c>
      <c r="F557" s="4" t="str">
        <f t="shared" si="31"/>
        <v>59|U|G</v>
      </c>
      <c r="G557" s="14">
        <f>INDEX('Transition Stepwise'!$J$2:$J$1137,MATCH(F557,'Transition Stepwise'!$E$2:$E$1137,0))</f>
        <v>1.8518518518518517E-2</v>
      </c>
      <c r="H557" s="14" t="e">
        <f>INDEX(Background!$D$12:$D$27,MATCH(C557&amp;D557,INDEX(Background!$A$12:$A$27,0)&amp;INDEX(Background!$B$12:$B$27,0),0))</f>
        <v>#VALUE!</v>
      </c>
      <c r="I557" s="17" t="e">
        <f t="shared" si="32"/>
        <v>#VALUE!</v>
      </c>
    </row>
    <row r="558" spans="1:9">
      <c r="A558" s="4" t="s">
        <v>757</v>
      </c>
      <c r="B558" s="4">
        <v>60</v>
      </c>
      <c r="C558" s="4" t="s">
        <v>70</v>
      </c>
      <c r="D558" s="4" t="s">
        <v>71</v>
      </c>
      <c r="E558" s="4" t="s">
        <v>788</v>
      </c>
      <c r="F558" s="4" t="str">
        <f t="shared" si="31"/>
        <v>60|G|C</v>
      </c>
      <c r="G558" s="14">
        <f>INDEX('Transition Stepwise'!$J$2:$J$1137,MATCH(F558,'Transition Stepwise'!$E$2:$E$1137,0))</f>
        <v>0.33333333333333331</v>
      </c>
      <c r="H558" s="14" t="e">
        <f>INDEX(Background!$D$12:$D$27,MATCH(C558&amp;D558,INDEX(Background!$A$12:$A$27,0)&amp;INDEX(Background!$B$12:$B$27,0),0))</f>
        <v>#VALUE!</v>
      </c>
      <c r="I558" s="17" t="e">
        <f t="shared" si="32"/>
        <v>#VALUE!</v>
      </c>
    </row>
    <row r="559" spans="1:9">
      <c r="A559" s="4" t="s">
        <v>757</v>
      </c>
      <c r="B559" s="4">
        <v>61</v>
      </c>
      <c r="C559" s="4" t="s">
        <v>71</v>
      </c>
      <c r="D559" s="4" t="s">
        <v>72</v>
      </c>
      <c r="E559" s="4" t="s">
        <v>788</v>
      </c>
      <c r="F559" s="4" t="str">
        <f t="shared" si="31"/>
        <v>61|C|U</v>
      </c>
      <c r="G559" s="14">
        <f>INDEX('Transition Stepwise'!$J$2:$J$1137,MATCH(F559,'Transition Stepwise'!$E$2:$E$1137,0))</f>
        <v>0.12871287128712872</v>
      </c>
      <c r="H559" s="14" t="e">
        <f>INDEX(Background!$D$12:$D$27,MATCH(C559&amp;D559,INDEX(Background!$A$12:$A$27,0)&amp;INDEX(Background!$B$12:$B$27,0),0))</f>
        <v>#VALUE!</v>
      </c>
      <c r="I559" s="17" t="e">
        <f t="shared" si="32"/>
        <v>#VALUE!</v>
      </c>
    </row>
    <row r="560" spans="1:9">
      <c r="A560" s="4" t="s">
        <v>757</v>
      </c>
      <c r="B560" s="4">
        <v>62</v>
      </c>
      <c r="C560" s="4" t="s">
        <v>72</v>
      </c>
      <c r="D560" s="4" t="s">
        <v>72</v>
      </c>
      <c r="E560" s="4" t="s">
        <v>788</v>
      </c>
      <c r="F560" s="4" t="str">
        <f t="shared" si="31"/>
        <v>62|U|U</v>
      </c>
      <c r="G560" s="14">
        <f>INDEX('Transition Stepwise'!$J$2:$J$1137,MATCH(F560,'Transition Stepwise'!$E$2:$E$1137,0))</f>
        <v>0.1</v>
      </c>
      <c r="H560" s="14" t="e">
        <f>INDEX(Background!$D$12:$D$27,MATCH(C560&amp;D560,INDEX(Background!$A$12:$A$27,0)&amp;INDEX(Background!$B$12:$B$27,0),0))</f>
        <v>#VALUE!</v>
      </c>
      <c r="I560" s="17" t="e">
        <f t="shared" si="32"/>
        <v>#VALUE!</v>
      </c>
    </row>
    <row r="561" spans="1:9">
      <c r="A561" s="4" t="s">
        <v>757</v>
      </c>
      <c r="B561" s="4">
        <v>63</v>
      </c>
      <c r="C561" s="4" t="s">
        <v>72</v>
      </c>
      <c r="D561" s="4" t="s">
        <v>72</v>
      </c>
      <c r="E561" s="4" t="s">
        <v>788</v>
      </c>
      <c r="F561" s="4" t="str">
        <f t="shared" si="31"/>
        <v>63|U|U</v>
      </c>
      <c r="G561" s="14">
        <f>INDEX('Transition Stepwise'!$J$2:$J$1137,MATCH(F561,'Transition Stepwise'!$E$2:$E$1137,0))</f>
        <v>0.1388888888888889</v>
      </c>
      <c r="H561" s="14" t="e">
        <f>INDEX(Background!$D$12:$D$27,MATCH(C561&amp;D561,INDEX(Background!$A$12:$A$27,0)&amp;INDEX(Background!$B$12:$B$27,0),0))</f>
        <v>#VALUE!</v>
      </c>
      <c r="I561" s="17" t="e">
        <f t="shared" si="32"/>
        <v>#VALUE!</v>
      </c>
    </row>
    <row r="562" spans="1:9">
      <c r="A562" s="4" t="s">
        <v>757</v>
      </c>
      <c r="B562" s="4">
        <v>64</v>
      </c>
      <c r="C562" s="4" t="s">
        <v>72</v>
      </c>
      <c r="D562" s="4" t="s">
        <v>73</v>
      </c>
      <c r="E562" s="4" t="s">
        <v>788</v>
      </c>
      <c r="F562" s="4" t="str">
        <f t="shared" si="31"/>
        <v>64|U|A</v>
      </c>
      <c r="G562" s="14">
        <f>INDEX('Transition Stepwise'!$J$2:$J$1137,MATCH(F562,'Transition Stepwise'!$E$2:$E$1137,0))</f>
        <v>8.1081081081081086E-2</v>
      </c>
      <c r="H562" s="14" t="e">
        <f>INDEX(Background!$D$12:$D$27,MATCH(C562&amp;D562,INDEX(Background!$A$12:$A$27,0)&amp;INDEX(Background!$B$12:$B$27,0),0))</f>
        <v>#VALUE!</v>
      </c>
      <c r="I562" s="17" t="e">
        <f t="shared" si="32"/>
        <v>#VALUE!</v>
      </c>
    </row>
    <row r="563" spans="1:9">
      <c r="A563" s="4" t="s">
        <v>757</v>
      </c>
      <c r="B563" s="4">
        <v>65</v>
      </c>
      <c r="C563" s="4" t="s">
        <v>73</v>
      </c>
      <c r="D563" s="4" t="s">
        <v>71</v>
      </c>
      <c r="E563" s="4" t="s">
        <v>788</v>
      </c>
      <c r="F563" s="4" t="str">
        <f t="shared" si="31"/>
        <v>65|A|C</v>
      </c>
      <c r="G563" s="14">
        <f>INDEX('Transition Stepwise'!$J$2:$J$1137,MATCH(F563,'Transition Stepwise'!$E$2:$E$1137,0))</f>
        <v>0.23076923076923078</v>
      </c>
      <c r="H563" s="14" t="e">
        <f>INDEX(Background!$D$12:$D$27,MATCH(C563&amp;D563,INDEX(Background!$A$12:$A$27,0)&amp;INDEX(Background!$B$12:$B$27,0),0))</f>
        <v>#VALUE!</v>
      </c>
      <c r="I563" s="17" t="e">
        <f t="shared" si="32"/>
        <v>#VALUE!</v>
      </c>
    </row>
    <row r="564" spans="1:9">
      <c r="A564" s="4" t="s">
        <v>757</v>
      </c>
      <c r="B564" s="4">
        <v>66</v>
      </c>
      <c r="C564" s="4" t="s">
        <v>71</v>
      </c>
      <c r="D564" s="4" t="s">
        <v>72</v>
      </c>
      <c r="E564" s="4" t="s">
        <v>788</v>
      </c>
      <c r="F564" s="4" t="str">
        <f t="shared" si="31"/>
        <v>66|C|U</v>
      </c>
      <c r="G564" s="14">
        <f>INDEX('Transition Stepwise'!$J$2:$J$1137,MATCH(F564,'Transition Stepwise'!$E$2:$E$1137,0))</f>
        <v>0.15596330275229359</v>
      </c>
      <c r="H564" s="14" t="e">
        <f>INDEX(Background!$D$12:$D$27,MATCH(C564&amp;D564,INDEX(Background!$A$12:$A$27,0)&amp;INDEX(Background!$B$12:$B$27,0),0))</f>
        <v>#VALUE!</v>
      </c>
      <c r="I564" s="17" t="e">
        <f t="shared" si="32"/>
        <v>#VALUE!</v>
      </c>
    </row>
    <row r="565" spans="1:9">
      <c r="A565" s="4" t="s">
        <v>757</v>
      </c>
      <c r="B565" s="4">
        <v>67</v>
      </c>
      <c r="C565" s="4" t="s">
        <v>72</v>
      </c>
      <c r="D565" s="4" t="s">
        <v>72</v>
      </c>
      <c r="E565" s="4" t="s">
        <v>788</v>
      </c>
      <c r="F565" s="4" t="str">
        <f t="shared" si="31"/>
        <v>67|U|U</v>
      </c>
      <c r="G565" s="14">
        <f>INDEX('Transition Stepwise'!$J$2:$J$1137,MATCH(F565,'Transition Stepwise'!$E$2:$E$1137,0))</f>
        <v>0.23809523809523808</v>
      </c>
      <c r="H565" s="14" t="e">
        <f>INDEX(Background!$D$12:$D$27,MATCH(C565&amp;D565,INDEX(Background!$A$12:$A$27,0)&amp;INDEX(Background!$B$12:$B$27,0),0))</f>
        <v>#VALUE!</v>
      </c>
      <c r="I565" s="17" t="e">
        <f t="shared" si="32"/>
        <v>#VALUE!</v>
      </c>
    </row>
    <row r="566" spans="1:9">
      <c r="A566" s="4" t="s">
        <v>757</v>
      </c>
      <c r="B566" s="4">
        <v>68</v>
      </c>
      <c r="C566" s="4" t="s">
        <v>72</v>
      </c>
      <c r="D566" s="4" t="s">
        <v>72</v>
      </c>
      <c r="E566" s="4" t="s">
        <v>788</v>
      </c>
      <c r="F566" s="4" t="str">
        <f t="shared" si="31"/>
        <v>68|U|U</v>
      </c>
      <c r="G566" s="14">
        <f>INDEX('Transition Stepwise'!$J$2:$J$1137,MATCH(F566,'Transition Stepwise'!$E$2:$E$1137,0))</f>
        <v>0.17499999999999999</v>
      </c>
      <c r="H566" s="14" t="e">
        <f>INDEX(Background!$D$12:$D$27,MATCH(C566&amp;D566,INDEX(Background!$A$12:$A$27,0)&amp;INDEX(Background!$B$12:$B$27,0),0))</f>
        <v>#VALUE!</v>
      </c>
      <c r="I566" s="17" t="e">
        <f t="shared" si="32"/>
        <v>#VALUE!</v>
      </c>
    </row>
    <row r="567" spans="1:9">
      <c r="A567" s="4" t="s">
        <v>757</v>
      </c>
      <c r="B567" s="4">
        <v>69</v>
      </c>
      <c r="C567" s="4" t="s">
        <v>72</v>
      </c>
      <c r="D567" s="4" t="s">
        <v>72</v>
      </c>
      <c r="E567" s="4" t="s">
        <v>788</v>
      </c>
      <c r="F567" s="4" t="str">
        <f t="shared" si="31"/>
        <v>69|U|U</v>
      </c>
      <c r="G567" s="14">
        <f>INDEX('Transition Stepwise'!$J$2:$J$1137,MATCH(F567,'Transition Stepwise'!$E$2:$E$1137,0))</f>
        <v>0.14285714285714285</v>
      </c>
      <c r="H567" s="14" t="e">
        <f>INDEX(Background!$D$12:$D$27,MATCH(C567&amp;D567,INDEX(Background!$A$12:$A$27,0)&amp;INDEX(Background!$B$12:$B$27,0),0))</f>
        <v>#VALUE!</v>
      </c>
      <c r="I567" s="17" t="e">
        <f t="shared" si="32"/>
        <v>#VALUE!</v>
      </c>
    </row>
    <row r="568" spans="1:9">
      <c r="A568" s="4" t="s">
        <v>757</v>
      </c>
      <c r="B568" s="4">
        <v>70</v>
      </c>
      <c r="C568" s="4" t="s">
        <v>72</v>
      </c>
      <c r="D568" s="4" t="s">
        <v>73</v>
      </c>
      <c r="E568" s="4" t="s">
        <v>788</v>
      </c>
      <c r="F568" s="4" t="str">
        <f t="shared" si="31"/>
        <v>70|U|A</v>
      </c>
      <c r="G568" s="14">
        <f>INDEX('Transition Stepwise'!$J$2:$J$1137,MATCH(F568,'Transition Stepwise'!$E$2:$E$1137,0))</f>
        <v>2.9411764705882353E-2</v>
      </c>
      <c r="H568" s="14" t="e">
        <f>INDEX(Background!$D$12:$D$27,MATCH(C568&amp;D568,INDEX(Background!$A$12:$A$27,0)&amp;INDEX(Background!$B$12:$B$27,0),0))</f>
        <v>#VALUE!</v>
      </c>
      <c r="I568" s="17" t="e">
        <f t="shared" si="32"/>
        <v>#VALUE!</v>
      </c>
    </row>
    <row r="569" spans="1:9">
      <c r="A569" s="4" t="s">
        <v>757</v>
      </c>
      <c r="B569" s="4">
        <v>71</v>
      </c>
      <c r="C569" s="4" t="s">
        <v>73</v>
      </c>
      <c r="D569" s="4" t="s">
        <v>72</v>
      </c>
      <c r="E569" s="4" t="s">
        <v>788</v>
      </c>
      <c r="F569" s="4" t="str">
        <f t="shared" si="31"/>
        <v>71|A|U</v>
      </c>
      <c r="G569" s="14">
        <f>INDEX('Transition Stepwise'!$J$2:$J$1137,MATCH(F569,'Transition Stepwise'!$E$2:$E$1137,0))</f>
        <v>0.1111111111111111</v>
      </c>
      <c r="H569" s="14" t="e">
        <f>INDEX(Background!$D$12:$D$27,MATCH(C569&amp;D569,INDEX(Background!$A$12:$A$27,0)&amp;INDEX(Background!$B$12:$B$27,0),0))</f>
        <v>#VALUE!</v>
      </c>
      <c r="I569" s="17" t="e">
        <f t="shared" si="32"/>
        <v>#VALUE!</v>
      </c>
    </row>
    <row r="570" spans="1:9">
      <c r="A570" s="4" t="s">
        <v>759</v>
      </c>
      <c r="B570" s="4">
        <v>1</v>
      </c>
      <c r="C570" s="4" t="s">
        <v>70</v>
      </c>
      <c r="D570" s="4" t="s">
        <v>71</v>
      </c>
      <c r="E570" s="4" t="s">
        <v>788</v>
      </c>
      <c r="F570" s="4" t="str">
        <f t="shared" si="31"/>
        <v>1|G|C</v>
      </c>
      <c r="G570" s="14">
        <f>INDEX('Transition Stepwise'!$J$2:$J$1137,MATCH(F570,'Transition Stepwise'!$E$2:$E$1137,0))</f>
        <v>0.44230769230769229</v>
      </c>
      <c r="H570" s="14" t="e">
        <f>INDEX(Background!$D$12:$D$27,MATCH(C570&amp;D570,INDEX(Background!$A$12:$A$27,0)&amp;INDEX(Background!$B$12:$B$27,0),0))</f>
        <v>#VALUE!</v>
      </c>
      <c r="I570" s="17" t="e">
        <f t="shared" si="32"/>
        <v>#VALUE!</v>
      </c>
    </row>
    <row r="571" spans="1:9">
      <c r="A571" s="4" t="s">
        <v>759</v>
      </c>
      <c r="B571" s="4">
        <v>2</v>
      </c>
      <c r="C571" s="4" t="s">
        <v>71</v>
      </c>
      <c r="D571" s="4" t="s">
        <v>71</v>
      </c>
      <c r="E571" s="4" t="s">
        <v>788</v>
      </c>
      <c r="F571" s="4" t="str">
        <f t="shared" si="31"/>
        <v>2|C|C</v>
      </c>
      <c r="G571" s="14">
        <f>INDEX('Transition Stepwise'!$J$2:$J$1137,MATCH(F571,'Transition Stepwise'!$E$2:$E$1137,0))</f>
        <v>0.52325581395348841</v>
      </c>
      <c r="H571" s="14" t="e">
        <f>INDEX(Background!$D$12:$D$27,MATCH(C571&amp;D571,INDEX(Background!$A$12:$A$27,0)&amp;INDEX(Background!$B$12:$B$27,0),0))</f>
        <v>#VALUE!</v>
      </c>
      <c r="I571" s="17" t="e">
        <f t="shared" si="32"/>
        <v>#VALUE!</v>
      </c>
    </row>
    <row r="572" spans="1:9">
      <c r="A572" s="4" t="s">
        <v>759</v>
      </c>
      <c r="B572" s="4">
        <v>3</v>
      </c>
      <c r="C572" s="4" t="s">
        <v>71</v>
      </c>
      <c r="D572" s="4" t="s">
        <v>71</v>
      </c>
      <c r="E572" s="4" t="s">
        <v>788</v>
      </c>
      <c r="F572" s="4" t="str">
        <f t="shared" si="31"/>
        <v>3|C|C</v>
      </c>
      <c r="G572" s="14">
        <f>INDEX('Transition Stepwise'!$J$2:$J$1137,MATCH(F572,'Transition Stepwise'!$E$2:$E$1137,0))</f>
        <v>0.2839506172839506</v>
      </c>
      <c r="H572" s="14" t="e">
        <f>INDEX(Background!$D$12:$D$27,MATCH(C572&amp;D572,INDEX(Background!$A$12:$A$27,0)&amp;INDEX(Background!$B$12:$B$27,0),0))</f>
        <v>#VALUE!</v>
      </c>
      <c r="I572" s="17" t="e">
        <f t="shared" si="32"/>
        <v>#VALUE!</v>
      </c>
    </row>
    <row r="573" spans="1:9">
      <c r="A573" s="4" t="s">
        <v>759</v>
      </c>
      <c r="B573" s="4">
        <v>4</v>
      </c>
      <c r="C573" s="4" t="s">
        <v>71</v>
      </c>
      <c r="D573" s="4" t="s">
        <v>70</v>
      </c>
      <c r="E573" s="4" t="s">
        <v>788</v>
      </c>
      <c r="F573" s="4" t="str">
        <f t="shared" si="31"/>
        <v>4|C|G</v>
      </c>
      <c r="G573" s="14">
        <f>INDEX('Transition Stepwise'!$J$2:$J$1137,MATCH(F573,'Transition Stepwise'!$E$2:$E$1137,0))</f>
        <v>0.2153846153846154</v>
      </c>
      <c r="H573" s="14" t="e">
        <f>INDEX(Background!$D$12:$D$27,MATCH(C573&amp;D573,INDEX(Background!$A$12:$A$27,0)&amp;INDEX(Background!$B$12:$B$27,0),0))</f>
        <v>#VALUE!</v>
      </c>
      <c r="I573" s="17" t="e">
        <f t="shared" si="32"/>
        <v>#VALUE!</v>
      </c>
    </row>
    <row r="574" spans="1:9">
      <c r="A574" s="4" t="s">
        <v>759</v>
      </c>
      <c r="B574" s="4">
        <v>5</v>
      </c>
      <c r="C574" s="4" t="s">
        <v>70</v>
      </c>
      <c r="D574" s="4" t="s">
        <v>70</v>
      </c>
      <c r="E574" s="4" t="s">
        <v>788</v>
      </c>
      <c r="F574" s="4" t="str">
        <f t="shared" si="31"/>
        <v>5|G|G</v>
      </c>
      <c r="G574" s="14">
        <f>INDEX('Transition Stepwise'!$J$2:$J$1137,MATCH(F574,'Transition Stepwise'!$E$2:$E$1137,0))</f>
        <v>0.30136986301369861</v>
      </c>
      <c r="H574" s="14" t="e">
        <f>INDEX(Background!$D$12:$D$27,MATCH(C574&amp;D574,INDEX(Background!$A$12:$A$27,0)&amp;INDEX(Background!$B$12:$B$27,0),0))</f>
        <v>#VALUE!</v>
      </c>
      <c r="I574" s="17" t="e">
        <f t="shared" si="32"/>
        <v>#VALUE!</v>
      </c>
    </row>
    <row r="575" spans="1:9">
      <c r="A575" s="4" t="s">
        <v>759</v>
      </c>
      <c r="B575" s="4">
        <v>6</v>
      </c>
      <c r="C575" s="4" t="s">
        <v>70</v>
      </c>
      <c r="D575" s="4" t="s">
        <v>73</v>
      </c>
      <c r="E575" s="4" t="s">
        <v>788</v>
      </c>
      <c r="F575" s="4" t="str">
        <f t="shared" si="31"/>
        <v>6|G|A</v>
      </c>
      <c r="G575" s="14">
        <f>INDEX('Transition Stepwise'!$J$2:$J$1137,MATCH(F575,'Transition Stepwise'!$E$2:$E$1137,0))</f>
        <v>0.23076923076923078</v>
      </c>
      <c r="H575" s="14" t="e">
        <f>INDEX(Background!$D$12:$D$27,MATCH(C575&amp;D575,INDEX(Background!$A$12:$A$27,0)&amp;INDEX(Background!$B$12:$B$27,0),0))</f>
        <v>#VALUE!</v>
      </c>
      <c r="I575" s="17" t="e">
        <f t="shared" si="32"/>
        <v>#VALUE!</v>
      </c>
    </row>
    <row r="576" spans="1:9">
      <c r="A576" s="4" t="s">
        <v>759</v>
      </c>
      <c r="B576" s="4">
        <v>7</v>
      </c>
      <c r="C576" s="4" t="s">
        <v>73</v>
      </c>
      <c r="D576" s="4" t="s">
        <v>72</v>
      </c>
      <c r="E576" s="4" t="s">
        <v>788</v>
      </c>
      <c r="F576" s="4" t="str">
        <f t="shared" si="31"/>
        <v>7|A|U</v>
      </c>
      <c r="G576" s="14">
        <f>INDEX('Transition Stepwise'!$J$2:$J$1137,MATCH(F576,'Transition Stepwise'!$E$2:$E$1137,0))</f>
        <v>0.92307692307692313</v>
      </c>
      <c r="H576" s="14" t="e">
        <f>INDEX(Background!$D$12:$D$27,MATCH(C576&amp;D576,INDEX(Background!$A$12:$A$27,0)&amp;INDEX(Background!$B$12:$B$27,0),0))</f>
        <v>#VALUE!</v>
      </c>
      <c r="I576" s="17" t="e">
        <f t="shared" si="32"/>
        <v>#VALUE!</v>
      </c>
    </row>
    <row r="577" spans="1:9">
      <c r="A577" s="4" t="s">
        <v>759</v>
      </c>
      <c r="B577" s="4">
        <v>8</v>
      </c>
      <c r="C577" s="4" t="s">
        <v>72</v>
      </c>
      <c r="D577" s="4" t="s">
        <v>73</v>
      </c>
      <c r="E577" s="4" t="s">
        <v>788</v>
      </c>
      <c r="F577" s="4" t="str">
        <f t="shared" ref="F577:F613" si="33">B577&amp;"|"&amp;C577&amp;"|"&amp;D577</f>
        <v>8|U|A</v>
      </c>
      <c r="G577" s="14">
        <f>INDEX('Transition Stepwise'!$J$2:$J$1137,MATCH(F577,'Transition Stepwise'!$E$2:$E$1137,0))</f>
        <v>0.65174129353233834</v>
      </c>
      <c r="H577" s="14" t="e">
        <f>INDEX(Background!$D$12:$D$27,MATCH(C577&amp;D577,INDEX(Background!$A$12:$A$27,0)&amp;INDEX(Background!$B$12:$B$27,0),0))</f>
        <v>#VALUE!</v>
      </c>
      <c r="I577" s="17" t="e">
        <f t="shared" ref="I577:I608" si="34">LN(G577/H577)</f>
        <v>#VALUE!</v>
      </c>
    </row>
    <row r="578" spans="1:9">
      <c r="A578" s="4" t="s">
        <v>759</v>
      </c>
      <c r="B578" s="4">
        <v>9</v>
      </c>
      <c r="C578" s="4" t="s">
        <v>73</v>
      </c>
      <c r="D578" s="4" t="s">
        <v>70</v>
      </c>
      <c r="E578" s="4" t="s">
        <v>788</v>
      </c>
      <c r="F578" s="4" t="str">
        <f t="shared" si="33"/>
        <v>9|A|G</v>
      </c>
      <c r="G578" s="14">
        <f>INDEX('Transition Stepwise'!$J$2:$J$1137,MATCH(F578,'Transition Stepwise'!$E$2:$E$1137,0))</f>
        <v>0.96296296296296291</v>
      </c>
      <c r="H578" s="14" t="e">
        <f>INDEX(Background!$D$12:$D$27,MATCH(C578&amp;D578,INDEX(Background!$A$12:$A$27,0)&amp;INDEX(Background!$B$12:$B$27,0),0))</f>
        <v>#VALUE!</v>
      </c>
      <c r="I578" s="17" t="e">
        <f t="shared" si="34"/>
        <v>#VALUE!</v>
      </c>
    </row>
    <row r="579" spans="1:9">
      <c r="A579" s="4" t="s">
        <v>759</v>
      </c>
      <c r="B579" s="4">
        <v>10</v>
      </c>
      <c r="C579" s="4" t="s">
        <v>70</v>
      </c>
      <c r="D579" s="4" t="s">
        <v>71</v>
      </c>
      <c r="E579" s="4" t="s">
        <v>788</v>
      </c>
      <c r="F579" s="4" t="str">
        <f t="shared" si="33"/>
        <v>10|G|C</v>
      </c>
      <c r="G579" s="14">
        <f>INDEX('Transition Stepwise'!$J$2:$J$1137,MATCH(F579,'Transition Stepwise'!$E$2:$E$1137,0))</f>
        <v>0.72448979591836737</v>
      </c>
      <c r="H579" s="14" t="e">
        <f>INDEX(Background!$D$12:$D$27,MATCH(C579&amp;D579,INDEX(Background!$A$12:$A$27,0)&amp;INDEX(Background!$B$12:$B$27,0),0))</f>
        <v>#VALUE!</v>
      </c>
      <c r="I579" s="17" t="e">
        <f t="shared" si="34"/>
        <v>#VALUE!</v>
      </c>
    </row>
    <row r="580" spans="1:9">
      <c r="A580" s="4" t="s">
        <v>759</v>
      </c>
      <c r="B580" s="4">
        <v>11</v>
      </c>
      <c r="C580" s="4" t="s">
        <v>71</v>
      </c>
      <c r="D580" s="4" t="s">
        <v>71</v>
      </c>
      <c r="E580" s="4" t="s">
        <v>788</v>
      </c>
      <c r="F580" s="4" t="str">
        <f t="shared" si="33"/>
        <v>11|C|C</v>
      </c>
      <c r="G580" s="14">
        <f>INDEX('Transition Stepwise'!$J$2:$J$1137,MATCH(F580,'Transition Stepwise'!$E$2:$E$1137,0))</f>
        <v>0.11920529801324503</v>
      </c>
      <c r="H580" s="14" t="e">
        <f>INDEX(Background!$D$12:$D$27,MATCH(C580&amp;D580,INDEX(Background!$A$12:$A$27,0)&amp;INDEX(Background!$B$12:$B$27,0),0))</f>
        <v>#VALUE!</v>
      </c>
      <c r="I580" s="17" t="e">
        <f t="shared" si="34"/>
        <v>#VALUE!</v>
      </c>
    </row>
    <row r="581" spans="1:9">
      <c r="A581" s="4" t="s">
        <v>759</v>
      </c>
      <c r="B581" s="4">
        <v>12</v>
      </c>
      <c r="C581" s="4" t="s">
        <v>71</v>
      </c>
      <c r="D581" s="4" t="s">
        <v>72</v>
      </c>
      <c r="E581" s="4" t="s">
        <v>788</v>
      </c>
      <c r="F581" s="4" t="str">
        <f t="shared" si="33"/>
        <v>12|C|U</v>
      </c>
      <c r="G581" s="14">
        <f>INDEX('Transition Stepwise'!$J$2:$J$1137,MATCH(F581,'Transition Stepwise'!$E$2:$E$1137,0))</f>
        <v>0.36363636363636365</v>
      </c>
      <c r="H581" s="14" t="e">
        <f>INDEX(Background!$D$12:$D$27,MATCH(C581&amp;D581,INDEX(Background!$A$12:$A$27,0)&amp;INDEX(Background!$B$12:$B$27,0),0))</f>
        <v>#VALUE!</v>
      </c>
      <c r="I581" s="17" t="e">
        <f t="shared" si="34"/>
        <v>#VALUE!</v>
      </c>
    </row>
    <row r="582" spans="1:9">
      <c r="A582" s="4" t="s">
        <v>759</v>
      </c>
      <c r="B582" s="4">
        <v>13</v>
      </c>
      <c r="C582" s="4" t="s">
        <v>72</v>
      </c>
      <c r="D582" s="4" t="s">
        <v>73</v>
      </c>
      <c r="E582" s="4" t="s">
        <v>788</v>
      </c>
      <c r="F582" s="4" t="str">
        <f t="shared" si="33"/>
        <v>13|U|A</v>
      </c>
      <c r="G582" s="14">
        <f>INDEX('Transition Stepwise'!$J$2:$J$1137,MATCH(F582,'Transition Stepwise'!$E$2:$E$1137,0))</f>
        <v>0.9285714285714286</v>
      </c>
      <c r="H582" s="14" t="e">
        <f>INDEX(Background!$D$12:$D$27,MATCH(C582&amp;D582,INDEX(Background!$A$12:$A$27,0)&amp;INDEX(Background!$B$12:$B$27,0),0))</f>
        <v>#VALUE!</v>
      </c>
      <c r="I582" s="17" t="e">
        <f t="shared" si="34"/>
        <v>#VALUE!</v>
      </c>
    </row>
    <row r="583" spans="1:9">
      <c r="A583" s="4" t="s">
        <v>759</v>
      </c>
      <c r="B583" s="4">
        <v>14</v>
      </c>
      <c r="C583" s="4" t="s">
        <v>73</v>
      </c>
      <c r="D583" s="4" t="s">
        <v>70</v>
      </c>
      <c r="E583" s="4" t="s">
        <v>788</v>
      </c>
      <c r="F583" s="4" t="str">
        <f t="shared" si="33"/>
        <v>14|A|G</v>
      </c>
      <c r="G583" s="14">
        <f>INDEX('Transition Stepwise'!$J$2:$J$1137,MATCH(F583,'Transition Stepwise'!$E$2:$E$1137,0))</f>
        <v>0.81094527363184077</v>
      </c>
      <c r="H583" s="14" t="e">
        <f>INDEX(Background!$D$12:$D$27,MATCH(C583&amp;D583,INDEX(Background!$A$12:$A$27,0)&amp;INDEX(Background!$B$12:$B$27,0),0))</f>
        <v>#VALUE!</v>
      </c>
      <c r="I583" s="17" t="e">
        <f t="shared" si="34"/>
        <v>#VALUE!</v>
      </c>
    </row>
    <row r="584" spans="1:9">
      <c r="A584" s="4" t="s">
        <v>759</v>
      </c>
      <c r="B584" s="4">
        <v>15</v>
      </c>
      <c r="C584" s="4" t="s">
        <v>70</v>
      </c>
      <c r="D584" s="4" t="s">
        <v>73</v>
      </c>
      <c r="E584" s="4" t="s">
        <v>788</v>
      </c>
      <c r="F584" s="4" t="str">
        <f t="shared" si="33"/>
        <v>15|G|A</v>
      </c>
      <c r="G584" s="14">
        <f>INDEX('Transition Stepwise'!$J$2:$J$1137,MATCH(F584,'Transition Stepwise'!$E$2:$E$1137,0))</f>
        <v>2.5423728813559324E-2</v>
      </c>
      <c r="H584" s="14" t="e">
        <f>INDEX(Background!$D$12:$D$27,MATCH(C584&amp;D584,INDEX(Background!$A$12:$A$27,0)&amp;INDEX(Background!$B$12:$B$27,0),0))</f>
        <v>#VALUE!</v>
      </c>
      <c r="I584" s="17" t="e">
        <f t="shared" si="34"/>
        <v>#VALUE!</v>
      </c>
    </row>
    <row r="585" spans="1:9">
      <c r="A585" s="4" t="s">
        <v>759</v>
      </c>
      <c r="B585" s="4">
        <v>16</v>
      </c>
      <c r="C585" s="4" t="s">
        <v>73</v>
      </c>
      <c r="D585" s="4" t="s">
        <v>72</v>
      </c>
      <c r="E585" s="4" t="s">
        <v>788</v>
      </c>
      <c r="F585" s="4" t="str">
        <f t="shared" si="33"/>
        <v>16|A|U</v>
      </c>
      <c r="G585" s="14">
        <f>INDEX('Transition Stepwise'!$J$2:$J$1137,MATCH(F585,'Transition Stepwise'!$E$2:$E$1137,0))</f>
        <v>0.42857142857142855</v>
      </c>
      <c r="H585" s="14" t="e">
        <f>INDEX(Background!$D$12:$D$27,MATCH(C585&amp;D585,INDEX(Background!$A$12:$A$27,0)&amp;INDEX(Background!$B$12:$B$27,0),0))</f>
        <v>#VALUE!</v>
      </c>
      <c r="I585" s="17" t="e">
        <f t="shared" si="34"/>
        <v>#VALUE!</v>
      </c>
    </row>
    <row r="586" spans="1:9">
      <c r="A586" s="4" t="s">
        <v>759</v>
      </c>
      <c r="B586" s="4">
        <v>17</v>
      </c>
      <c r="C586" s="4" t="s">
        <v>72</v>
      </c>
      <c r="D586" s="4" t="s">
        <v>70</v>
      </c>
      <c r="E586" s="4" t="s">
        <v>788</v>
      </c>
      <c r="F586" s="4" t="str">
        <f t="shared" si="33"/>
        <v>17|U|G</v>
      </c>
      <c r="G586" s="14">
        <f>INDEX('Transition Stepwise'!$J$2:$J$1137,MATCH(F586,'Transition Stepwise'!$E$2:$E$1137,0))</f>
        <v>0.97457627118644063</v>
      </c>
      <c r="H586" s="14" t="e">
        <f>INDEX(Background!$D$12:$D$27,MATCH(C586&amp;D586,INDEX(Background!$A$12:$A$27,0)&amp;INDEX(Background!$B$12:$B$27,0),0))</f>
        <v>#VALUE!</v>
      </c>
      <c r="I586" s="17" t="e">
        <f t="shared" si="34"/>
        <v>#VALUE!</v>
      </c>
    </row>
    <row r="587" spans="1:9">
      <c r="A587" s="4" t="s">
        <v>759</v>
      </c>
      <c r="B587" s="4">
        <v>18</v>
      </c>
      <c r="C587" s="4" t="s">
        <v>70</v>
      </c>
      <c r="D587" s="4" t="s">
        <v>70</v>
      </c>
      <c r="E587" s="4" t="s">
        <v>788</v>
      </c>
      <c r="F587" s="4" t="str">
        <f t="shared" si="33"/>
        <v>18|G|G</v>
      </c>
      <c r="G587" s="14">
        <f>INDEX('Transition Stepwise'!$J$2:$J$1137,MATCH(F587,'Transition Stepwise'!$E$2:$E$1137,0))</f>
        <v>0.97536945812807885</v>
      </c>
      <c r="H587" s="14" t="e">
        <f>INDEX(Background!$D$12:$D$27,MATCH(C587&amp;D587,INDEX(Background!$A$12:$A$27,0)&amp;INDEX(Background!$B$12:$B$27,0),0))</f>
        <v>#VALUE!</v>
      </c>
      <c r="I587" s="17" t="e">
        <f t="shared" si="34"/>
        <v>#VALUE!</v>
      </c>
    </row>
    <row r="588" spans="1:9">
      <c r="A588" s="4" t="s">
        <v>759</v>
      </c>
      <c r="B588" s="4">
        <v>19</v>
      </c>
      <c r="C588" s="4" t="s">
        <v>70</v>
      </c>
      <c r="D588" s="4" t="s">
        <v>72</v>
      </c>
      <c r="E588" s="4" t="s">
        <v>788</v>
      </c>
      <c r="F588" s="4" t="str">
        <f t="shared" si="33"/>
        <v>19|G|U</v>
      </c>
      <c r="G588" s="14">
        <f>INDEX('Transition Stepwise'!$J$2:$J$1137,MATCH(F588,'Transition Stepwise'!$E$2:$E$1137,0))</f>
        <v>0.58706467661691542</v>
      </c>
      <c r="H588" s="14" t="e">
        <f>INDEX(Background!$D$12:$D$27,MATCH(C588&amp;D588,INDEX(Background!$A$12:$A$27,0)&amp;INDEX(Background!$B$12:$B$27,0),0))</f>
        <v>#VALUE!</v>
      </c>
      <c r="I588" s="17" t="e">
        <f t="shared" si="34"/>
        <v>#VALUE!</v>
      </c>
    </row>
    <row r="589" spans="1:9">
      <c r="A589" s="4" t="s">
        <v>759</v>
      </c>
      <c r="B589" s="4">
        <v>20</v>
      </c>
      <c r="C589" s="4" t="s">
        <v>72</v>
      </c>
      <c r="D589" s="4" t="s">
        <v>72</v>
      </c>
      <c r="E589" s="4" t="s">
        <v>788</v>
      </c>
      <c r="F589" s="4" t="str">
        <f t="shared" si="33"/>
        <v>20|U|U</v>
      </c>
      <c r="G589" s="14">
        <f>INDEX('Transition Stepwise'!$J$2:$J$1137,MATCH(F589,'Transition Stepwise'!$E$2:$E$1137,0))</f>
        <v>4.878048780487805E-2</v>
      </c>
      <c r="H589" s="14" t="e">
        <f>INDEX(Background!$D$12:$D$27,MATCH(C589&amp;D589,INDEX(Background!$A$12:$A$27,0)&amp;INDEX(Background!$B$12:$B$27,0),0))</f>
        <v>#VALUE!</v>
      </c>
      <c r="I589" s="17" t="e">
        <f t="shared" si="34"/>
        <v>#VALUE!</v>
      </c>
    </row>
    <row r="590" spans="1:9">
      <c r="A590" s="4" t="s">
        <v>759</v>
      </c>
      <c r="B590" s="4">
        <v>21</v>
      </c>
      <c r="C590" s="4" t="s">
        <v>72</v>
      </c>
      <c r="D590" s="4" t="s">
        <v>70</v>
      </c>
      <c r="E590" s="4" t="s">
        <v>788</v>
      </c>
      <c r="F590" s="4" t="str">
        <f t="shared" si="33"/>
        <v>21|U|G</v>
      </c>
      <c r="G590" s="14">
        <f>INDEX('Transition Stepwise'!$J$2:$J$1137,MATCH(F590,'Transition Stepwise'!$E$2:$E$1137,0))</f>
        <v>0.35714285714285715</v>
      </c>
      <c r="H590" s="14" t="e">
        <f>INDEX(Background!$D$12:$D$27,MATCH(C590&amp;D590,INDEX(Background!$A$12:$A$27,0)&amp;INDEX(Background!$B$12:$B$27,0),0))</f>
        <v>#VALUE!</v>
      </c>
      <c r="I590" s="17" t="e">
        <f t="shared" si="34"/>
        <v>#VALUE!</v>
      </c>
    </row>
    <row r="591" spans="1:9">
      <c r="A591" s="4" t="s">
        <v>759</v>
      </c>
      <c r="B591" s="4">
        <v>22</v>
      </c>
      <c r="C591" s="4" t="s">
        <v>70</v>
      </c>
      <c r="D591" s="4" t="s">
        <v>70</v>
      </c>
      <c r="E591" s="4" t="s">
        <v>788</v>
      </c>
      <c r="F591" s="4" t="str">
        <f t="shared" si="33"/>
        <v>22|G|G</v>
      </c>
      <c r="G591" s="14">
        <f>INDEX('Transition Stepwise'!$J$2:$J$1137,MATCH(F591,'Transition Stepwise'!$E$2:$E$1137,0))</f>
        <v>4.0268456375838924E-2</v>
      </c>
      <c r="H591" s="14" t="e">
        <f>INDEX(Background!$D$12:$D$27,MATCH(C591&amp;D591,INDEX(Background!$A$12:$A$27,0)&amp;INDEX(Background!$B$12:$B$27,0),0))</f>
        <v>#VALUE!</v>
      </c>
      <c r="I591" s="17" t="e">
        <f t="shared" si="34"/>
        <v>#VALUE!</v>
      </c>
    </row>
    <row r="592" spans="1:9">
      <c r="A592" s="4" t="s">
        <v>759</v>
      </c>
      <c r="B592" s="4">
        <v>23</v>
      </c>
      <c r="C592" s="4" t="s">
        <v>70</v>
      </c>
      <c r="D592" s="4" t="s">
        <v>70</v>
      </c>
      <c r="E592" s="4" t="s">
        <v>788</v>
      </c>
      <c r="F592" s="4" t="str">
        <f t="shared" si="33"/>
        <v>23|G|G</v>
      </c>
      <c r="G592" s="14">
        <f>INDEX('Transition Stepwise'!$J$2:$J$1137,MATCH(F592,'Transition Stepwise'!$E$2:$E$1137,0))</f>
        <v>0.60606060606060608</v>
      </c>
      <c r="H592" s="14" t="e">
        <f>INDEX(Background!$D$12:$D$27,MATCH(C592&amp;D592,INDEX(Background!$A$12:$A$27,0)&amp;INDEX(Background!$B$12:$B$27,0),0))</f>
        <v>#VALUE!</v>
      </c>
      <c r="I592" s="17" t="e">
        <f t="shared" si="34"/>
        <v>#VALUE!</v>
      </c>
    </row>
    <row r="593" spans="1:9">
      <c r="A593" s="4" t="s">
        <v>759</v>
      </c>
      <c r="B593" s="4">
        <v>24</v>
      </c>
      <c r="C593" s="4" t="s">
        <v>70</v>
      </c>
      <c r="D593" s="4" t="s">
        <v>70</v>
      </c>
      <c r="E593" s="4" t="s">
        <v>788</v>
      </c>
      <c r="F593" s="4" t="str">
        <f t="shared" si="33"/>
        <v>24|G|G</v>
      </c>
      <c r="G593" s="14">
        <f>INDEX('Transition Stepwise'!$J$2:$J$1137,MATCH(F593,'Transition Stepwise'!$E$2:$E$1137,0))</f>
        <v>4.5454545454545456E-2</v>
      </c>
      <c r="H593" s="14" t="e">
        <f>INDEX(Background!$D$12:$D$27,MATCH(C593&amp;D593,INDEX(Background!$A$12:$A$27,0)&amp;INDEX(Background!$B$12:$B$27,0),0))</f>
        <v>#VALUE!</v>
      </c>
      <c r="I593" s="17" t="e">
        <f t="shared" si="34"/>
        <v>#VALUE!</v>
      </c>
    </row>
    <row r="594" spans="1:9">
      <c r="A594" s="4" t="s">
        <v>759</v>
      </c>
      <c r="B594" s="4">
        <v>25</v>
      </c>
      <c r="C594" s="4" t="s">
        <v>70</v>
      </c>
      <c r="D594" s="4" t="s">
        <v>71</v>
      </c>
      <c r="E594" s="4" t="s">
        <v>788</v>
      </c>
      <c r="F594" s="4" t="str">
        <f t="shared" si="33"/>
        <v>25|G|C</v>
      </c>
      <c r="G594" s="14">
        <f>INDEX('Transition Stepwise'!$J$2:$J$1137,MATCH(F594,'Transition Stepwise'!$E$2:$E$1137,0))</f>
        <v>9.0909090909090912E-2</v>
      </c>
      <c r="H594" s="14" t="e">
        <f>INDEX(Background!$D$12:$D$27,MATCH(C594&amp;D594,INDEX(Background!$A$12:$A$27,0)&amp;INDEX(Background!$B$12:$B$27,0),0))</f>
        <v>#VALUE!</v>
      </c>
      <c r="I594" s="17" t="e">
        <f t="shared" si="34"/>
        <v>#VALUE!</v>
      </c>
    </row>
    <row r="595" spans="1:9">
      <c r="A595" s="4" t="s">
        <v>759</v>
      </c>
      <c r="B595" s="4">
        <v>26</v>
      </c>
      <c r="C595" s="4" t="s">
        <v>71</v>
      </c>
      <c r="D595" s="4" t="s">
        <v>70</v>
      </c>
      <c r="E595" s="4" t="s">
        <v>788</v>
      </c>
      <c r="F595" s="4" t="str">
        <f t="shared" si="33"/>
        <v>26|C|G</v>
      </c>
      <c r="G595" s="14">
        <f>INDEX('Transition Stepwise'!$J$2:$J$1137,MATCH(F595,'Transition Stepwise'!$E$2:$E$1137,0))</f>
        <v>0.22222222222222221</v>
      </c>
      <c r="H595" s="14" t="e">
        <f>INDEX(Background!$D$12:$D$27,MATCH(C595&amp;D595,INDEX(Background!$A$12:$A$27,0)&amp;INDEX(Background!$B$12:$B$27,0),0))</f>
        <v>#VALUE!</v>
      </c>
      <c r="I595" s="17" t="e">
        <f t="shared" si="34"/>
        <v>#VALUE!</v>
      </c>
    </row>
    <row r="596" spans="1:9">
      <c r="A596" s="4" t="s">
        <v>759</v>
      </c>
      <c r="B596" s="4">
        <v>27</v>
      </c>
      <c r="C596" s="4" t="s">
        <v>70</v>
      </c>
      <c r="D596" s="4" t="s">
        <v>71</v>
      </c>
      <c r="E596" s="4" t="s">
        <v>788</v>
      </c>
      <c r="F596" s="4" t="str">
        <f t="shared" si="33"/>
        <v>27|G|C</v>
      </c>
      <c r="G596" s="14">
        <f>INDEX('Transition Stepwise'!$J$2:$J$1137,MATCH(F596,'Transition Stepwise'!$E$2:$E$1137,0))</f>
        <v>0.7142857142857143</v>
      </c>
      <c r="H596" s="14" t="e">
        <f>INDEX(Background!$D$12:$D$27,MATCH(C596&amp;D596,INDEX(Background!$A$12:$A$27,0)&amp;INDEX(Background!$B$12:$B$27,0),0))</f>
        <v>#VALUE!</v>
      </c>
      <c r="I596" s="17" t="e">
        <f t="shared" si="34"/>
        <v>#VALUE!</v>
      </c>
    </row>
    <row r="597" spans="1:9">
      <c r="A597" s="4" t="s">
        <v>759</v>
      </c>
      <c r="B597" s="4">
        <v>28</v>
      </c>
      <c r="C597" s="4" t="s">
        <v>71</v>
      </c>
      <c r="D597" s="4" t="s">
        <v>71</v>
      </c>
      <c r="E597" s="4" t="s">
        <v>788</v>
      </c>
      <c r="F597" s="4" t="str">
        <f t="shared" si="33"/>
        <v>28|C|C</v>
      </c>
      <c r="G597" s="14">
        <f>INDEX('Transition Stepwise'!$J$2:$J$1137,MATCH(F597,'Transition Stepwise'!$E$2:$E$1137,0))</f>
        <v>8.4112149532710276E-2</v>
      </c>
      <c r="H597" s="14" t="e">
        <f>INDEX(Background!$D$12:$D$27,MATCH(C597&amp;D597,INDEX(Background!$A$12:$A$27,0)&amp;INDEX(Background!$B$12:$B$27,0),0))</f>
        <v>#VALUE!</v>
      </c>
      <c r="I597" s="17" t="e">
        <f t="shared" si="34"/>
        <v>#VALUE!</v>
      </c>
    </row>
    <row r="598" spans="1:9">
      <c r="A598" s="4" t="s">
        <v>759</v>
      </c>
      <c r="B598" s="4">
        <v>29</v>
      </c>
      <c r="C598" s="4" t="s">
        <v>71</v>
      </c>
      <c r="D598" s="4" t="s">
        <v>73</v>
      </c>
      <c r="E598" s="4" t="s">
        <v>788</v>
      </c>
      <c r="F598" s="4" t="str">
        <f t="shared" si="33"/>
        <v>29|C|A</v>
      </c>
      <c r="G598" s="14">
        <f>INDEX('Transition Stepwise'!$J$2:$J$1137,MATCH(F598,'Transition Stepwise'!$E$2:$E$1137,0))</f>
        <v>2.5000000000000001E-2</v>
      </c>
      <c r="H598" s="14" t="e">
        <f>INDEX(Background!$D$12:$D$27,MATCH(C598&amp;D598,INDEX(Background!$A$12:$A$27,0)&amp;INDEX(Background!$B$12:$B$27,0),0))</f>
        <v>#VALUE!</v>
      </c>
      <c r="I598" s="17" t="e">
        <f t="shared" si="34"/>
        <v>#VALUE!</v>
      </c>
    </row>
    <row r="599" spans="1:9">
      <c r="A599" s="4" t="s">
        <v>759</v>
      </c>
      <c r="B599" s="4">
        <v>30</v>
      </c>
      <c r="C599" s="4" t="s">
        <v>73</v>
      </c>
      <c r="D599" s="4" t="s">
        <v>70</v>
      </c>
      <c r="E599" s="4" t="s">
        <v>788</v>
      </c>
      <c r="F599" s="4" t="str">
        <f t="shared" si="33"/>
        <v>30|A|G</v>
      </c>
      <c r="G599" s="14">
        <f>INDEX('Transition Stepwise'!$J$2:$J$1137,MATCH(F599,'Transition Stepwise'!$E$2:$E$1137,0))</f>
        <v>0.25</v>
      </c>
      <c r="H599" s="14" t="e">
        <f>INDEX(Background!$D$12:$D$27,MATCH(C599&amp;D599,INDEX(Background!$A$12:$A$27,0)&amp;INDEX(Background!$B$12:$B$27,0),0))</f>
        <v>#VALUE!</v>
      </c>
      <c r="I599" s="17" t="e">
        <f t="shared" si="34"/>
        <v>#VALUE!</v>
      </c>
    </row>
    <row r="600" spans="1:9">
      <c r="A600" s="4" t="s">
        <v>759</v>
      </c>
      <c r="B600" s="4">
        <v>31</v>
      </c>
      <c r="C600" s="4" t="s">
        <v>70</v>
      </c>
      <c r="D600" s="4" t="s">
        <v>73</v>
      </c>
      <c r="E600" s="4" t="s">
        <v>788</v>
      </c>
      <c r="F600" s="4" t="str">
        <f t="shared" si="33"/>
        <v>31|G|A</v>
      </c>
      <c r="G600" s="14">
        <f>INDEX('Transition Stepwise'!$J$2:$J$1137,MATCH(F600,'Transition Stepwise'!$E$2:$E$1137,0))</f>
        <v>1.6949152542372881E-2</v>
      </c>
      <c r="H600" s="14" t="e">
        <f>INDEX(Background!$D$12:$D$27,MATCH(C600&amp;D600,INDEX(Background!$A$12:$A$27,0)&amp;INDEX(Background!$B$12:$B$27,0),0))</f>
        <v>#VALUE!</v>
      </c>
      <c r="I600" s="17" t="e">
        <f t="shared" si="34"/>
        <v>#VALUE!</v>
      </c>
    </row>
    <row r="601" spans="1:9">
      <c r="A601" s="4" t="s">
        <v>759</v>
      </c>
      <c r="B601" s="4">
        <v>32</v>
      </c>
      <c r="C601" s="4" t="s">
        <v>73</v>
      </c>
      <c r="D601" s="4" t="s">
        <v>71</v>
      </c>
      <c r="E601" s="4" t="s">
        <v>788</v>
      </c>
      <c r="F601" s="4" t="str">
        <f t="shared" si="33"/>
        <v>32|A|C</v>
      </c>
      <c r="G601" s="14">
        <f>INDEX('Transition Stepwise'!$J$2:$J$1137,MATCH(F601,'Transition Stepwise'!$E$2:$E$1137,0))</f>
        <v>0.1</v>
      </c>
      <c r="H601" s="14" t="e">
        <f>INDEX(Background!$D$12:$D$27,MATCH(C601&amp;D601,INDEX(Background!$A$12:$A$27,0)&amp;INDEX(Background!$B$12:$B$27,0),0))</f>
        <v>#VALUE!</v>
      </c>
      <c r="I601" s="17" t="e">
        <f t="shared" si="34"/>
        <v>#VALUE!</v>
      </c>
    </row>
    <row r="602" spans="1:9">
      <c r="A602" s="4" t="s">
        <v>759</v>
      </c>
      <c r="B602" s="4">
        <v>33</v>
      </c>
      <c r="C602" s="4" t="s">
        <v>71</v>
      </c>
      <c r="D602" s="4" t="s">
        <v>72</v>
      </c>
      <c r="E602" s="4" t="s">
        <v>788</v>
      </c>
      <c r="F602" s="4" t="str">
        <f t="shared" si="33"/>
        <v>33|C|U</v>
      </c>
      <c r="G602" s="14">
        <f>INDEX('Transition Stepwise'!$J$2:$J$1137,MATCH(F602,'Transition Stepwise'!$E$2:$E$1137,0))</f>
        <v>0.2</v>
      </c>
      <c r="H602" s="14" t="e">
        <f>INDEX(Background!$D$12:$D$27,MATCH(C602&amp;D602,INDEX(Background!$A$12:$A$27,0)&amp;INDEX(Background!$B$12:$B$27,0),0))</f>
        <v>#VALUE!</v>
      </c>
      <c r="I602" s="17" t="e">
        <f t="shared" si="34"/>
        <v>#VALUE!</v>
      </c>
    </row>
    <row r="603" spans="1:9">
      <c r="A603" s="4" t="s">
        <v>759</v>
      </c>
      <c r="B603" s="4">
        <v>34</v>
      </c>
      <c r="C603" s="4" t="s">
        <v>72</v>
      </c>
      <c r="D603" s="4" t="s">
        <v>71</v>
      </c>
      <c r="E603" s="4" t="s">
        <v>788</v>
      </c>
      <c r="F603" s="4" t="str">
        <f t="shared" si="33"/>
        <v>34|U|C</v>
      </c>
      <c r="G603" s="14">
        <f>INDEX('Transition Stepwise'!$J$2:$J$1137,MATCH(F603,'Transition Stepwise'!$E$2:$E$1137,0))</f>
        <v>0.22580645161290322</v>
      </c>
      <c r="H603" s="14" t="e">
        <f>INDEX(Background!$D$12:$D$27,MATCH(C603&amp;D603,INDEX(Background!$A$12:$A$27,0)&amp;INDEX(Background!$B$12:$B$27,0),0))</f>
        <v>#VALUE!</v>
      </c>
      <c r="I603" s="17" t="e">
        <f t="shared" si="34"/>
        <v>#VALUE!</v>
      </c>
    </row>
    <row r="604" spans="1:9">
      <c r="A604" s="4" t="s">
        <v>759</v>
      </c>
      <c r="B604" s="4">
        <v>35</v>
      </c>
      <c r="C604" s="4" t="s">
        <v>71</v>
      </c>
      <c r="D604" s="4" t="s">
        <v>73</v>
      </c>
      <c r="E604" s="4" t="s">
        <v>788</v>
      </c>
      <c r="F604" s="4" t="str">
        <f t="shared" si="33"/>
        <v>35|C|A</v>
      </c>
      <c r="G604" s="14">
        <f>INDEX('Transition Stepwise'!$J$2:$J$1137,MATCH(F604,'Transition Stepwise'!$E$2:$E$1137,0))</f>
        <v>0.42</v>
      </c>
      <c r="H604" s="14" t="e">
        <f>INDEX(Background!$D$12:$D$27,MATCH(C604&amp;D604,INDEX(Background!$A$12:$A$27,0)&amp;INDEX(Background!$B$12:$B$27,0),0))</f>
        <v>#VALUE!</v>
      </c>
      <c r="I604" s="17" t="e">
        <f t="shared" si="34"/>
        <v>#VALUE!</v>
      </c>
    </row>
    <row r="605" spans="1:9">
      <c r="A605" s="4" t="s">
        <v>759</v>
      </c>
      <c r="B605" s="4">
        <v>36</v>
      </c>
      <c r="C605" s="4" t="s">
        <v>73</v>
      </c>
      <c r="D605" s="4" t="s">
        <v>72</v>
      </c>
      <c r="E605" s="4" t="s">
        <v>788</v>
      </c>
      <c r="F605" s="4" t="str">
        <f t="shared" si="33"/>
        <v>36|A|U</v>
      </c>
      <c r="G605" s="14">
        <f>INDEX('Transition Stepwise'!$J$2:$J$1137,MATCH(F605,'Transition Stepwise'!$E$2:$E$1137,0))</f>
        <v>2.1276595744680851E-2</v>
      </c>
      <c r="H605" s="14" t="e">
        <f>INDEX(Background!$D$12:$D$27,MATCH(C605&amp;D605,INDEX(Background!$A$12:$A$27,0)&amp;INDEX(Background!$B$12:$B$27,0),0))</f>
        <v>#VALUE!</v>
      </c>
      <c r="I605" s="17" t="e">
        <f t="shared" si="34"/>
        <v>#VALUE!</v>
      </c>
    </row>
    <row r="606" spans="1:9">
      <c r="A606" s="4" t="s">
        <v>759</v>
      </c>
      <c r="B606" s="4">
        <v>37</v>
      </c>
      <c r="C606" s="4" t="s">
        <v>72</v>
      </c>
      <c r="D606" s="4" t="s">
        <v>72</v>
      </c>
      <c r="E606" s="4" t="s">
        <v>788</v>
      </c>
      <c r="F606" s="4" t="str">
        <f t="shared" si="33"/>
        <v>37|U|U</v>
      </c>
      <c r="G606" s="14">
        <f>INDEX('Transition Stepwise'!$J$2:$J$1137,MATCH(F606,'Transition Stepwise'!$E$2:$E$1137,0))</f>
        <v>0.25</v>
      </c>
      <c r="H606" s="14" t="e">
        <f>INDEX(Background!$D$12:$D$27,MATCH(C606&amp;D606,INDEX(Background!$A$12:$A$27,0)&amp;INDEX(Background!$B$12:$B$27,0),0))</f>
        <v>#VALUE!</v>
      </c>
      <c r="I606" s="17" t="e">
        <f t="shared" si="34"/>
        <v>#VALUE!</v>
      </c>
    </row>
    <row r="607" spans="1:9">
      <c r="A607" s="4" t="s">
        <v>759</v>
      </c>
      <c r="B607" s="4">
        <v>38</v>
      </c>
      <c r="C607" s="4" t="s">
        <v>72</v>
      </c>
      <c r="D607" s="4" t="s">
        <v>71</v>
      </c>
      <c r="E607" s="4" t="s">
        <v>788</v>
      </c>
      <c r="F607" s="4" t="str">
        <f t="shared" si="33"/>
        <v>38|U|C</v>
      </c>
      <c r="G607" s="14">
        <f>INDEX('Transition Stepwise'!$J$2:$J$1137,MATCH(F607,'Transition Stepwise'!$E$2:$E$1137,0))</f>
        <v>0.18518518518518517</v>
      </c>
      <c r="H607" s="14" t="e">
        <f>INDEX(Background!$D$12:$D$27,MATCH(C607&amp;D607,INDEX(Background!$A$12:$A$27,0)&amp;INDEX(Background!$B$12:$B$27,0),0))</f>
        <v>#VALUE!</v>
      </c>
      <c r="I607" s="17" t="e">
        <f t="shared" si="34"/>
        <v>#VALUE!</v>
      </c>
    </row>
    <row r="608" spans="1:9">
      <c r="A608" s="4" t="s">
        <v>759</v>
      </c>
      <c r="B608" s="4">
        <v>39</v>
      </c>
      <c r="C608" s="4" t="s">
        <v>71</v>
      </c>
      <c r="D608" s="4" t="s">
        <v>72</v>
      </c>
      <c r="E608" s="4" t="s">
        <v>788</v>
      </c>
      <c r="F608" s="4" t="str">
        <f t="shared" si="33"/>
        <v>39|C|U</v>
      </c>
      <c r="G608" s="14">
        <f>INDEX('Transition Stepwise'!$J$2:$J$1137,MATCH(F608,'Transition Stepwise'!$E$2:$E$1137,0))</f>
        <v>1.8181818181818181E-2</v>
      </c>
      <c r="H608" s="14" t="e">
        <f>INDEX(Background!$D$12:$D$27,MATCH(C608&amp;D608,INDEX(Background!$A$12:$A$27,0)&amp;INDEX(Background!$B$12:$B$27,0),0))</f>
        <v>#VALUE!</v>
      </c>
      <c r="I608" s="17" t="e">
        <f t="shared" si="34"/>
        <v>#VALUE!</v>
      </c>
    </row>
    <row r="609" spans="1:9">
      <c r="A609" s="4" t="s">
        <v>759</v>
      </c>
      <c r="B609" s="4">
        <v>40</v>
      </c>
      <c r="C609" s="4" t="s">
        <v>72</v>
      </c>
      <c r="D609" s="4" t="s">
        <v>70</v>
      </c>
      <c r="E609" s="4" t="s">
        <v>788</v>
      </c>
      <c r="F609" s="4" t="str">
        <f t="shared" si="33"/>
        <v>40|U|G</v>
      </c>
      <c r="G609" s="14">
        <f>INDEX('Transition Stepwise'!$J$2:$J$1137,MATCH(F609,'Transition Stepwise'!$E$2:$E$1137,0))</f>
        <v>0.25</v>
      </c>
      <c r="H609" s="14" t="e">
        <f>INDEX(Background!$D$12:$D$27,MATCH(C609&amp;D609,INDEX(Background!$A$12:$A$27,0)&amp;INDEX(Background!$B$12:$B$27,0),0))</f>
        <v>#VALUE!</v>
      </c>
      <c r="I609" s="17" t="e">
        <f t="shared" ref="I609:I640" si="35">LN(G609/H609)</f>
        <v>#VALUE!</v>
      </c>
    </row>
    <row r="610" spans="1:9">
      <c r="A610" s="4" t="s">
        <v>759</v>
      </c>
      <c r="B610" s="4">
        <v>41</v>
      </c>
      <c r="C610" s="4" t="s">
        <v>70</v>
      </c>
      <c r="D610" s="4" t="s">
        <v>70</v>
      </c>
      <c r="E610" s="4" t="s">
        <v>788</v>
      </c>
      <c r="F610" s="4" t="str">
        <f t="shared" si="33"/>
        <v>41|G|G</v>
      </c>
      <c r="G610" s="14">
        <f>INDEX('Transition Stepwise'!$J$2:$J$1137,MATCH(F610,'Transition Stepwise'!$E$2:$E$1137,0))</f>
        <v>0.27500000000000002</v>
      </c>
      <c r="H610" s="14" t="e">
        <f>INDEX(Background!$D$12:$D$27,MATCH(C610&amp;D610,INDEX(Background!$A$12:$A$27,0)&amp;INDEX(Background!$B$12:$B$27,0),0))</f>
        <v>#VALUE!</v>
      </c>
      <c r="I610" s="17" t="e">
        <f t="shared" si="35"/>
        <v>#VALUE!</v>
      </c>
    </row>
    <row r="611" spans="1:9">
      <c r="A611" s="4" t="s">
        <v>759</v>
      </c>
      <c r="B611" s="4">
        <v>42</v>
      </c>
      <c r="C611" s="4" t="s">
        <v>70</v>
      </c>
      <c r="D611" s="4" t="s">
        <v>73</v>
      </c>
      <c r="E611" s="4" t="s">
        <v>788</v>
      </c>
      <c r="F611" s="4" t="str">
        <f t="shared" si="33"/>
        <v>42|G|A</v>
      </c>
      <c r="G611" s="14">
        <f>INDEX('Transition Stepwise'!$J$2:$J$1137,MATCH(F611,'Transition Stepwise'!$E$2:$E$1137,0))</f>
        <v>0.23853211009174313</v>
      </c>
      <c r="H611" s="14" t="e">
        <f>INDEX(Background!$D$12:$D$27,MATCH(C611&amp;D611,INDEX(Background!$A$12:$A$27,0)&amp;INDEX(Background!$B$12:$B$27,0),0))</f>
        <v>#VALUE!</v>
      </c>
      <c r="I611" s="17" t="e">
        <f t="shared" si="35"/>
        <v>#VALUE!</v>
      </c>
    </row>
    <row r="612" spans="1:9">
      <c r="A612" s="4" t="s">
        <v>759</v>
      </c>
      <c r="B612" s="4">
        <v>43</v>
      </c>
      <c r="C612" s="4" t="s">
        <v>73</v>
      </c>
      <c r="D612" s="4" t="s">
        <v>70</v>
      </c>
      <c r="E612" s="4" t="s">
        <v>788</v>
      </c>
      <c r="F612" s="4" t="str">
        <f t="shared" si="33"/>
        <v>43|A|G</v>
      </c>
      <c r="G612" s="14">
        <f>INDEX('Transition Stepwise'!$J$2:$J$1137,MATCH(F612,'Transition Stepwise'!$E$2:$E$1137,0))</f>
        <v>0.2857142857142857</v>
      </c>
      <c r="H612" s="14" t="e">
        <f>INDEX(Background!$D$12:$D$27,MATCH(C612&amp;D612,INDEX(Background!$A$12:$A$27,0)&amp;INDEX(Background!$B$12:$B$27,0),0))</f>
        <v>#VALUE!</v>
      </c>
      <c r="I612" s="17" t="e">
        <f t="shared" si="35"/>
        <v>#VALUE!</v>
      </c>
    </row>
    <row r="613" spans="1:9">
      <c r="A613" s="4" t="s">
        <v>759</v>
      </c>
      <c r="B613" s="4">
        <v>44</v>
      </c>
      <c r="C613" s="4" t="s">
        <v>70</v>
      </c>
      <c r="D613" s="4" t="s">
        <v>70</v>
      </c>
      <c r="E613" s="4" t="s">
        <v>788</v>
      </c>
      <c r="F613" s="4" t="str">
        <f t="shared" si="33"/>
        <v>44|G|G</v>
      </c>
      <c r="G613" s="14">
        <f>INDEX('Transition Stepwise'!$J$2:$J$1137,MATCH(F613,'Transition Stepwise'!$E$2:$E$1137,0))</f>
        <v>0.66</v>
      </c>
      <c r="H613" s="14" t="e">
        <f>INDEX(Background!$D$12:$D$27,MATCH(C613&amp;D613,INDEX(Background!$A$12:$A$27,0)&amp;INDEX(Background!$B$12:$B$27,0),0))</f>
        <v>#VALUE!</v>
      </c>
      <c r="I613" s="17" t="e">
        <f t="shared" si="35"/>
        <v>#VALUE!</v>
      </c>
    </row>
    <row r="614" spans="1:9">
      <c r="A614" s="4" t="s">
        <v>759</v>
      </c>
      <c r="B614" s="4">
        <v>45</v>
      </c>
      <c r="C614" s="4" t="s">
        <v>70</v>
      </c>
      <c r="D614" s="4" t="s">
        <v>77</v>
      </c>
      <c r="E614" s="10" t="s">
        <v>789</v>
      </c>
      <c r="F614" s="4"/>
      <c r="G614" s="4"/>
      <c r="H614" s="4"/>
      <c r="I614" s="4"/>
    </row>
    <row r="615" spans="1:9">
      <c r="A615" s="4" t="s">
        <v>759</v>
      </c>
      <c r="B615" s="4">
        <v>46</v>
      </c>
      <c r="C615" s="4" t="s">
        <v>77</v>
      </c>
      <c r="D615" s="4" t="s">
        <v>72</v>
      </c>
      <c r="E615" s="10" t="s">
        <v>789</v>
      </c>
      <c r="F615" s="4"/>
      <c r="G615" s="4"/>
      <c r="H615" s="4"/>
      <c r="I615" s="4"/>
    </row>
    <row r="616" spans="1:9">
      <c r="A616" s="4" t="s">
        <v>759</v>
      </c>
      <c r="B616" s="4">
        <v>47</v>
      </c>
      <c r="C616" s="4" t="s">
        <v>72</v>
      </c>
      <c r="D616" s="4" t="s">
        <v>71</v>
      </c>
      <c r="E616" s="4" t="s">
        <v>788</v>
      </c>
      <c r="F616" s="4" t="str">
        <f t="shared" ref="F616:F654" si="36">B616&amp;"|"&amp;C616&amp;"|"&amp;D616</f>
        <v>47|U|C</v>
      </c>
      <c r="G616" s="14">
        <f>INDEX('Transition Stepwise'!$J$2:$J$1137,MATCH(F616,'Transition Stepwise'!$E$2:$E$1137,0))</f>
        <v>0.85611510791366907</v>
      </c>
      <c r="H616" s="14" t="e">
        <f>INDEX(Background!$D$12:$D$27,MATCH(C616&amp;D616,INDEX(Background!$A$12:$A$27,0)&amp;INDEX(Background!$B$12:$B$27,0),0))</f>
        <v>#VALUE!</v>
      </c>
      <c r="I616" s="17" t="e">
        <f t="shared" ref="I616:I654" si="37">LN(G616/H616)</f>
        <v>#VALUE!</v>
      </c>
    </row>
    <row r="617" spans="1:9">
      <c r="A617" s="4" t="s">
        <v>759</v>
      </c>
      <c r="B617" s="4">
        <v>48</v>
      </c>
      <c r="C617" s="4" t="s">
        <v>71</v>
      </c>
      <c r="D617" s="4" t="s">
        <v>70</v>
      </c>
      <c r="E617" s="4" t="s">
        <v>788</v>
      </c>
      <c r="F617" s="4" t="str">
        <f t="shared" si="36"/>
        <v>48|C|G</v>
      </c>
      <c r="G617" s="14">
        <f>INDEX('Transition Stepwise'!$J$2:$J$1137,MATCH(F617,'Transition Stepwise'!$E$2:$E$1137,0))</f>
        <v>0.5</v>
      </c>
      <c r="H617" s="14" t="e">
        <f>INDEX(Background!$D$12:$D$27,MATCH(C617&amp;D617,INDEX(Background!$A$12:$A$27,0)&amp;INDEX(Background!$B$12:$B$27,0),0))</f>
        <v>#VALUE!</v>
      </c>
      <c r="I617" s="17" t="e">
        <f t="shared" si="37"/>
        <v>#VALUE!</v>
      </c>
    </row>
    <row r="618" spans="1:9">
      <c r="A618" s="4" t="s">
        <v>759</v>
      </c>
      <c r="B618" s="4">
        <v>49</v>
      </c>
      <c r="C618" s="4" t="s">
        <v>70</v>
      </c>
      <c r="D618" s="4" t="s">
        <v>71</v>
      </c>
      <c r="E618" s="4" t="s">
        <v>788</v>
      </c>
      <c r="F618" s="4" t="str">
        <f t="shared" si="36"/>
        <v>49|G|C</v>
      </c>
      <c r="G618" s="14">
        <f>INDEX('Transition Stepwise'!$J$2:$J$1137,MATCH(F618,'Transition Stepwise'!$E$2:$E$1137,0))</f>
        <v>0.32380952380952382</v>
      </c>
      <c r="H618" s="14" t="e">
        <f>INDEX(Background!$D$12:$D$27,MATCH(C618&amp;D618,INDEX(Background!$A$12:$A$27,0)&amp;INDEX(Background!$B$12:$B$27,0),0))</f>
        <v>#VALUE!</v>
      </c>
      <c r="I618" s="17" t="e">
        <f t="shared" si="37"/>
        <v>#VALUE!</v>
      </c>
    </row>
    <row r="619" spans="1:9">
      <c r="A619" s="4" t="s">
        <v>759</v>
      </c>
      <c r="B619" s="4">
        <v>50</v>
      </c>
      <c r="C619" s="4" t="s">
        <v>71</v>
      </c>
      <c r="D619" s="4" t="s">
        <v>70</v>
      </c>
      <c r="E619" s="4" t="s">
        <v>788</v>
      </c>
      <c r="F619" s="4" t="str">
        <f t="shared" si="36"/>
        <v>50|C|G</v>
      </c>
      <c r="G619" s="14">
        <f>INDEX('Transition Stepwise'!$J$2:$J$1137,MATCH(F619,'Transition Stepwise'!$E$2:$E$1137,0))</f>
        <v>0.42857142857142855</v>
      </c>
      <c r="H619" s="14" t="e">
        <f>INDEX(Background!$D$12:$D$27,MATCH(C619&amp;D619,INDEX(Background!$A$12:$A$27,0)&amp;INDEX(Background!$B$12:$B$27,0),0))</f>
        <v>#VALUE!</v>
      </c>
      <c r="I619" s="17" t="e">
        <f t="shared" si="37"/>
        <v>#VALUE!</v>
      </c>
    </row>
    <row r="620" spans="1:9">
      <c r="A620" s="4" t="s">
        <v>759</v>
      </c>
      <c r="B620" s="4">
        <v>51</v>
      </c>
      <c r="C620" s="4" t="s">
        <v>70</v>
      </c>
      <c r="D620" s="4" t="s">
        <v>72</v>
      </c>
      <c r="E620" s="4" t="s">
        <v>788</v>
      </c>
      <c r="F620" s="4" t="str">
        <f t="shared" si="36"/>
        <v>51|G|U</v>
      </c>
      <c r="G620" s="14">
        <f>INDEX('Transition Stepwise'!$J$2:$J$1137,MATCH(F620,'Transition Stepwise'!$E$2:$E$1137,0))</f>
        <v>3.8834951456310676E-2</v>
      </c>
      <c r="H620" s="14" t="e">
        <f>INDEX(Background!$D$12:$D$27,MATCH(C620&amp;D620,INDEX(Background!$A$12:$A$27,0)&amp;INDEX(Background!$B$12:$B$27,0),0))</f>
        <v>#VALUE!</v>
      </c>
      <c r="I620" s="17" t="e">
        <f t="shared" si="37"/>
        <v>#VALUE!</v>
      </c>
    </row>
    <row r="621" spans="1:9">
      <c r="A621" s="4" t="s">
        <v>759</v>
      </c>
      <c r="B621" s="4">
        <v>52</v>
      </c>
      <c r="C621" s="4" t="s">
        <v>72</v>
      </c>
      <c r="D621" s="4" t="s">
        <v>70</v>
      </c>
      <c r="E621" s="4" t="s">
        <v>788</v>
      </c>
      <c r="F621" s="4" t="str">
        <f t="shared" si="36"/>
        <v>52|U|G</v>
      </c>
      <c r="G621" s="14">
        <f>INDEX('Transition Stepwise'!$J$2:$J$1137,MATCH(F621,'Transition Stepwise'!$E$2:$E$1137,0))</f>
        <v>0.5</v>
      </c>
      <c r="H621" s="14" t="e">
        <f>INDEX(Background!$D$12:$D$27,MATCH(C621&amp;D621,INDEX(Background!$A$12:$A$27,0)&amp;INDEX(Background!$B$12:$B$27,0),0))</f>
        <v>#VALUE!</v>
      </c>
      <c r="I621" s="17" t="e">
        <f t="shared" si="37"/>
        <v>#VALUE!</v>
      </c>
    </row>
    <row r="622" spans="1:9">
      <c r="A622" s="4" t="s">
        <v>759</v>
      </c>
      <c r="B622" s="4">
        <v>53</v>
      </c>
      <c r="C622" s="4" t="s">
        <v>70</v>
      </c>
      <c r="D622" s="4" t="s">
        <v>72</v>
      </c>
      <c r="E622" s="4" t="s">
        <v>788</v>
      </c>
      <c r="F622" s="4" t="str">
        <f t="shared" si="36"/>
        <v>53|G|U</v>
      </c>
      <c r="G622" s="14">
        <f>INDEX('Transition Stepwise'!$J$2:$J$1137,MATCH(F622,'Transition Stepwise'!$E$2:$E$1137,0))</f>
        <v>0.97499999999999998</v>
      </c>
      <c r="H622" s="14" t="e">
        <f>INDEX(Background!$D$12:$D$27,MATCH(C622&amp;D622,INDEX(Background!$A$12:$A$27,0)&amp;INDEX(Background!$B$12:$B$27,0),0))</f>
        <v>#VALUE!</v>
      </c>
      <c r="I622" s="17" t="e">
        <f t="shared" si="37"/>
        <v>#VALUE!</v>
      </c>
    </row>
    <row r="623" spans="1:9">
      <c r="A623" s="4" t="s">
        <v>759</v>
      </c>
      <c r="B623" s="4">
        <v>54</v>
      </c>
      <c r="C623" s="4" t="s">
        <v>72</v>
      </c>
      <c r="D623" s="4" t="s">
        <v>72</v>
      </c>
      <c r="E623" s="4" t="s">
        <v>788</v>
      </c>
      <c r="F623" s="4" t="str">
        <f t="shared" si="36"/>
        <v>54|U|U</v>
      </c>
      <c r="G623" s="14">
        <f>INDEX('Transition Stepwise'!$J$2:$J$1137,MATCH(F623,'Transition Stepwise'!$E$2:$E$1137,0))</f>
        <v>0.97029702970297027</v>
      </c>
      <c r="H623" s="14" t="e">
        <f>INDEX(Background!$D$12:$D$27,MATCH(C623&amp;D623,INDEX(Background!$A$12:$A$27,0)&amp;INDEX(Background!$B$12:$B$27,0),0))</f>
        <v>#VALUE!</v>
      </c>
      <c r="I623" s="17" t="e">
        <f t="shared" si="37"/>
        <v>#VALUE!</v>
      </c>
    </row>
    <row r="624" spans="1:9">
      <c r="A624" s="4" t="s">
        <v>759</v>
      </c>
      <c r="B624" s="4">
        <v>55</v>
      </c>
      <c r="C624" s="4" t="s">
        <v>72</v>
      </c>
      <c r="D624" s="4" t="s">
        <v>71</v>
      </c>
      <c r="E624" s="4" t="s">
        <v>788</v>
      </c>
      <c r="F624" s="4" t="str">
        <f t="shared" si="36"/>
        <v>55|U|C</v>
      </c>
      <c r="G624" s="14">
        <f>INDEX('Transition Stepwise'!$J$2:$J$1137,MATCH(F624,'Transition Stepwise'!$E$2:$E$1137,0))</f>
        <v>0.97512437810945274</v>
      </c>
      <c r="H624" s="14" t="e">
        <f>INDEX(Background!$D$12:$D$27,MATCH(C624&amp;D624,INDEX(Background!$A$12:$A$27,0)&amp;INDEX(Background!$B$12:$B$27,0),0))</f>
        <v>#VALUE!</v>
      </c>
      <c r="I624" s="17" t="e">
        <f t="shared" si="37"/>
        <v>#VALUE!</v>
      </c>
    </row>
    <row r="625" spans="1:9">
      <c r="A625" s="4" t="s">
        <v>759</v>
      </c>
      <c r="B625" s="4">
        <v>56</v>
      </c>
      <c r="C625" s="4" t="s">
        <v>71</v>
      </c>
      <c r="D625" s="4" t="s">
        <v>70</v>
      </c>
      <c r="E625" s="4" t="s">
        <v>788</v>
      </c>
      <c r="F625" s="4" t="str">
        <f t="shared" si="36"/>
        <v>56|C|G</v>
      </c>
      <c r="G625" s="14">
        <f>INDEX('Transition Stepwise'!$J$2:$J$1137,MATCH(F625,'Transition Stepwise'!$E$2:$E$1137,0))</f>
        <v>0.60499999999999998</v>
      </c>
      <c r="H625" s="14" t="e">
        <f>INDEX(Background!$D$12:$D$27,MATCH(C625&amp;D625,INDEX(Background!$A$12:$A$27,0)&amp;INDEX(Background!$B$12:$B$27,0),0))</f>
        <v>#VALUE!</v>
      </c>
      <c r="I625" s="17" t="e">
        <f t="shared" si="37"/>
        <v>#VALUE!</v>
      </c>
    </row>
    <row r="626" spans="1:9">
      <c r="A626" s="4" t="s">
        <v>759</v>
      </c>
      <c r="B626" s="4">
        <v>57</v>
      </c>
      <c r="C626" s="4" t="s">
        <v>70</v>
      </c>
      <c r="D626" s="4" t="s">
        <v>73</v>
      </c>
      <c r="E626" s="4" t="s">
        <v>788</v>
      </c>
      <c r="F626" s="4" t="str">
        <f t="shared" si="36"/>
        <v>57|G|A</v>
      </c>
      <c r="G626" s="14">
        <f>INDEX('Transition Stepwise'!$J$2:$J$1137,MATCH(F626,'Transition Stepwise'!$E$2:$E$1137,0))</f>
        <v>0.97599999999999998</v>
      </c>
      <c r="H626" s="14" t="e">
        <f>INDEX(Background!$D$12:$D$27,MATCH(C626&amp;D626,INDEX(Background!$A$12:$A$27,0)&amp;INDEX(Background!$B$12:$B$27,0),0))</f>
        <v>#VALUE!</v>
      </c>
      <c r="I626" s="17" t="e">
        <f t="shared" si="37"/>
        <v>#VALUE!</v>
      </c>
    </row>
    <row r="627" spans="1:9">
      <c r="A627" s="4" t="s">
        <v>759</v>
      </c>
      <c r="B627" s="4">
        <v>58</v>
      </c>
      <c r="C627" s="4" t="s">
        <v>73</v>
      </c>
      <c r="D627" s="4" t="s">
        <v>70</v>
      </c>
      <c r="E627" s="4" t="s">
        <v>788</v>
      </c>
      <c r="F627" s="4" t="str">
        <f t="shared" si="36"/>
        <v>58|A|G</v>
      </c>
      <c r="G627" s="14">
        <f>INDEX('Transition Stepwise'!$J$2:$J$1137,MATCH(F627,'Transition Stepwise'!$E$2:$E$1137,0))</f>
        <v>0.23762376237623761</v>
      </c>
      <c r="H627" s="14" t="e">
        <f>INDEX(Background!$D$12:$D$27,MATCH(C627&amp;D627,INDEX(Background!$A$12:$A$27,0)&amp;INDEX(Background!$B$12:$B$27,0),0))</f>
        <v>#VALUE!</v>
      </c>
      <c r="I627" s="17" t="e">
        <f t="shared" si="37"/>
        <v>#VALUE!</v>
      </c>
    </row>
    <row r="628" spans="1:9">
      <c r="A628" s="4" t="s">
        <v>759</v>
      </c>
      <c r="B628" s="4">
        <v>59</v>
      </c>
      <c r="C628" s="4" t="s">
        <v>70</v>
      </c>
      <c r="D628" s="4" t="s">
        <v>72</v>
      </c>
      <c r="E628" s="4" t="s">
        <v>788</v>
      </c>
      <c r="F628" s="4" t="str">
        <f t="shared" si="36"/>
        <v>59|G|U</v>
      </c>
      <c r="G628" s="14">
        <f>INDEX('Transition Stepwise'!$J$2:$J$1137,MATCH(F628,'Transition Stepwise'!$E$2:$E$1137,0))</f>
        <v>0.82352941176470584</v>
      </c>
      <c r="H628" s="14" t="e">
        <f>INDEX(Background!$D$12:$D$27,MATCH(C628&amp;D628,INDEX(Background!$A$12:$A$27,0)&amp;INDEX(Background!$B$12:$B$27,0),0))</f>
        <v>#VALUE!</v>
      </c>
      <c r="I628" s="17" t="e">
        <f t="shared" si="37"/>
        <v>#VALUE!</v>
      </c>
    </row>
    <row r="629" spans="1:9">
      <c r="A629" s="4" t="s">
        <v>759</v>
      </c>
      <c r="B629" s="4">
        <v>60</v>
      </c>
      <c r="C629" s="4" t="s">
        <v>72</v>
      </c>
      <c r="D629" s="4" t="s">
        <v>71</v>
      </c>
      <c r="E629" s="4" t="s">
        <v>788</v>
      </c>
      <c r="F629" s="4" t="str">
        <f t="shared" si="36"/>
        <v>60|U|C</v>
      </c>
      <c r="G629" s="14">
        <f>INDEX('Transition Stepwise'!$J$2:$J$1137,MATCH(F629,'Transition Stepwise'!$E$2:$E$1137,0))</f>
        <v>0.97515527950310554</v>
      </c>
      <c r="H629" s="14" t="e">
        <f>INDEX(Background!$D$12:$D$27,MATCH(C629&amp;D629,INDEX(Background!$A$12:$A$27,0)&amp;INDEX(Background!$B$12:$B$27,0),0))</f>
        <v>#VALUE!</v>
      </c>
      <c r="I629" s="17" t="e">
        <f t="shared" si="37"/>
        <v>#VALUE!</v>
      </c>
    </row>
    <row r="630" spans="1:9">
      <c r="A630" s="4" t="s">
        <v>759</v>
      </c>
      <c r="B630" s="4">
        <v>61</v>
      </c>
      <c r="C630" s="4" t="s">
        <v>71</v>
      </c>
      <c r="D630" s="4" t="s">
        <v>73</v>
      </c>
      <c r="E630" s="4" t="s">
        <v>788</v>
      </c>
      <c r="F630" s="4" t="str">
        <f t="shared" si="36"/>
        <v>61|C|A</v>
      </c>
      <c r="G630" s="14">
        <f>INDEX('Transition Stepwise'!$J$2:$J$1137,MATCH(F630,'Transition Stepwise'!$E$2:$E$1137,0))</f>
        <v>1.9801980198019802E-2</v>
      </c>
      <c r="H630" s="14" t="e">
        <f>INDEX(Background!$D$12:$D$27,MATCH(C630&amp;D630,INDEX(Background!$A$12:$A$27,0)&amp;INDEX(Background!$B$12:$B$27,0),0))</f>
        <v>#VALUE!</v>
      </c>
      <c r="I630" s="17" t="e">
        <f t="shared" si="37"/>
        <v>#VALUE!</v>
      </c>
    </row>
    <row r="631" spans="1:9">
      <c r="A631" s="4" t="s">
        <v>759</v>
      </c>
      <c r="B631" s="4">
        <v>62</v>
      </c>
      <c r="C631" s="4" t="s">
        <v>73</v>
      </c>
      <c r="D631" s="4" t="s">
        <v>71</v>
      </c>
      <c r="E631" s="4" t="s">
        <v>788</v>
      </c>
      <c r="F631" s="4" t="str">
        <f t="shared" si="36"/>
        <v>62|A|C</v>
      </c>
      <c r="G631" s="14">
        <f>INDEX('Transition Stepwise'!$J$2:$J$1137,MATCH(F631,'Transition Stepwise'!$E$2:$E$1137,0))</f>
        <v>0.5714285714285714</v>
      </c>
      <c r="H631" s="14" t="e">
        <f>INDEX(Background!$D$12:$D$27,MATCH(C631&amp;D631,INDEX(Background!$A$12:$A$27,0)&amp;INDEX(Background!$B$12:$B$27,0),0))</f>
        <v>#VALUE!</v>
      </c>
      <c r="I631" s="17" t="e">
        <f t="shared" si="37"/>
        <v>#VALUE!</v>
      </c>
    </row>
    <row r="632" spans="1:9">
      <c r="A632" s="4" t="s">
        <v>759</v>
      </c>
      <c r="B632" s="4">
        <v>63</v>
      </c>
      <c r="C632" s="4" t="s">
        <v>71</v>
      </c>
      <c r="D632" s="4" t="s">
        <v>70</v>
      </c>
      <c r="E632" s="4" t="s">
        <v>788</v>
      </c>
      <c r="F632" s="4" t="str">
        <f t="shared" si="36"/>
        <v>63|C|G</v>
      </c>
      <c r="G632" s="14">
        <f>INDEX('Transition Stepwise'!$J$2:$J$1137,MATCH(F632,'Transition Stepwise'!$E$2:$E$1137,0))</f>
        <v>0.39603960396039606</v>
      </c>
      <c r="H632" s="14" t="e">
        <f>INDEX(Background!$D$12:$D$27,MATCH(C632&amp;D632,INDEX(Background!$A$12:$A$27,0)&amp;INDEX(Background!$B$12:$B$27,0),0))</f>
        <v>#VALUE!</v>
      </c>
      <c r="I632" s="17" t="e">
        <f t="shared" si="37"/>
        <v>#VALUE!</v>
      </c>
    </row>
    <row r="633" spans="1:9">
      <c r="A633" s="4" t="s">
        <v>759</v>
      </c>
      <c r="B633" s="4">
        <v>64</v>
      </c>
      <c r="C633" s="4" t="s">
        <v>70</v>
      </c>
      <c r="D633" s="4" t="s">
        <v>71</v>
      </c>
      <c r="E633" s="4" t="s">
        <v>788</v>
      </c>
      <c r="F633" s="4" t="str">
        <f t="shared" si="36"/>
        <v>64|G|C</v>
      </c>
      <c r="G633" s="14">
        <f>INDEX('Transition Stepwise'!$J$2:$J$1137,MATCH(F633,'Transition Stepwise'!$E$2:$E$1137,0))</f>
        <v>0.23958333333333334</v>
      </c>
      <c r="H633" s="14" t="e">
        <f>INDEX(Background!$D$12:$D$27,MATCH(C633&amp;D633,INDEX(Background!$A$12:$A$27,0)&amp;INDEX(Background!$B$12:$B$27,0),0))</f>
        <v>#VALUE!</v>
      </c>
      <c r="I633" s="17" t="e">
        <f t="shared" si="37"/>
        <v>#VALUE!</v>
      </c>
    </row>
    <row r="634" spans="1:9">
      <c r="A634" s="4" t="s">
        <v>759</v>
      </c>
      <c r="B634" s="4">
        <v>65</v>
      </c>
      <c r="C634" s="4" t="s">
        <v>71</v>
      </c>
      <c r="D634" s="4" t="s">
        <v>72</v>
      </c>
      <c r="E634" s="4" t="s">
        <v>788</v>
      </c>
      <c r="F634" s="4" t="str">
        <f t="shared" si="36"/>
        <v>65|C|U</v>
      </c>
      <c r="G634" s="14">
        <f>INDEX('Transition Stepwise'!$J$2:$J$1137,MATCH(F634,'Transition Stepwise'!$E$2:$E$1137,0))</f>
        <v>0.22388059701492538</v>
      </c>
      <c r="H634" s="14" t="e">
        <f>INDEX(Background!$D$12:$D$27,MATCH(C634&amp;D634,INDEX(Background!$A$12:$A$27,0)&amp;INDEX(Background!$B$12:$B$27,0),0))</f>
        <v>#VALUE!</v>
      </c>
      <c r="I634" s="17" t="e">
        <f t="shared" si="37"/>
        <v>#VALUE!</v>
      </c>
    </row>
    <row r="635" spans="1:9">
      <c r="A635" s="4" t="s">
        <v>759</v>
      </c>
      <c r="B635" s="4">
        <v>66</v>
      </c>
      <c r="C635" s="4" t="s">
        <v>72</v>
      </c>
      <c r="D635" s="4" t="s">
        <v>71</v>
      </c>
      <c r="E635" s="4" t="s">
        <v>788</v>
      </c>
      <c r="F635" s="4" t="str">
        <f t="shared" si="36"/>
        <v>66|U|C</v>
      </c>
      <c r="G635" s="14">
        <f>INDEX('Transition Stepwise'!$J$2:$J$1137,MATCH(F635,'Transition Stepwise'!$E$2:$E$1137,0))</f>
        <v>0.20370370370370369</v>
      </c>
      <c r="H635" s="14" t="e">
        <f>INDEX(Background!$D$12:$D$27,MATCH(C635&amp;D635,INDEX(Background!$A$12:$A$27,0)&amp;INDEX(Background!$B$12:$B$27,0),0))</f>
        <v>#VALUE!</v>
      </c>
      <c r="I635" s="17" t="e">
        <f t="shared" si="37"/>
        <v>#VALUE!</v>
      </c>
    </row>
    <row r="636" spans="1:9">
      <c r="A636" s="4" t="s">
        <v>759</v>
      </c>
      <c r="B636" s="4">
        <v>67</v>
      </c>
      <c r="C636" s="4" t="s">
        <v>71</v>
      </c>
      <c r="D636" s="4" t="s">
        <v>71</v>
      </c>
      <c r="E636" s="4" t="s">
        <v>788</v>
      </c>
      <c r="F636" s="4" t="str">
        <f t="shared" si="36"/>
        <v>67|C|C</v>
      </c>
      <c r="G636" s="14">
        <f>INDEX('Transition Stepwise'!$J$2:$J$1137,MATCH(F636,'Transition Stepwise'!$E$2:$E$1137,0))</f>
        <v>0.32653061224489793</v>
      </c>
      <c r="H636" s="14" t="e">
        <f>INDEX(Background!$D$12:$D$27,MATCH(C636&amp;D636,INDEX(Background!$A$12:$A$27,0)&amp;INDEX(Background!$B$12:$B$27,0),0))</f>
        <v>#VALUE!</v>
      </c>
      <c r="I636" s="17" t="e">
        <f t="shared" si="37"/>
        <v>#VALUE!</v>
      </c>
    </row>
    <row r="637" spans="1:9">
      <c r="A637" s="4" t="s">
        <v>759</v>
      </c>
      <c r="B637" s="4">
        <v>68</v>
      </c>
      <c r="C637" s="4" t="s">
        <v>71</v>
      </c>
      <c r="D637" s="4" t="s">
        <v>70</v>
      </c>
      <c r="E637" s="4" t="s">
        <v>788</v>
      </c>
      <c r="F637" s="4" t="str">
        <f t="shared" si="36"/>
        <v>68|C|G</v>
      </c>
      <c r="G637" s="14">
        <f>INDEX('Transition Stepwise'!$J$2:$J$1137,MATCH(F637,'Transition Stepwise'!$E$2:$E$1137,0))</f>
        <v>0.15151515151515152</v>
      </c>
      <c r="H637" s="14" t="e">
        <f>INDEX(Background!$D$12:$D$27,MATCH(C637&amp;D637,INDEX(Background!$A$12:$A$27,0)&amp;INDEX(Background!$B$12:$B$27,0),0))</f>
        <v>#VALUE!</v>
      </c>
      <c r="I637" s="17" t="e">
        <f t="shared" si="37"/>
        <v>#VALUE!</v>
      </c>
    </row>
    <row r="638" spans="1:9">
      <c r="A638" s="4" t="s">
        <v>759</v>
      </c>
      <c r="B638" s="4">
        <v>69</v>
      </c>
      <c r="C638" s="4" t="s">
        <v>70</v>
      </c>
      <c r="D638" s="4" t="s">
        <v>70</v>
      </c>
      <c r="E638" s="4" t="s">
        <v>788</v>
      </c>
      <c r="F638" s="4" t="str">
        <f t="shared" si="36"/>
        <v>69|G|G</v>
      </c>
      <c r="G638" s="14">
        <f>INDEX('Transition Stepwise'!$J$2:$J$1137,MATCH(F638,'Transition Stepwise'!$E$2:$E$1137,0))</f>
        <v>0.40540540540540543</v>
      </c>
      <c r="H638" s="14" t="e">
        <f>INDEX(Background!$D$12:$D$27,MATCH(C638&amp;D638,INDEX(Background!$A$12:$A$27,0)&amp;INDEX(Background!$B$12:$B$27,0),0))</f>
        <v>#VALUE!</v>
      </c>
      <c r="I638" s="17" t="e">
        <f t="shared" si="37"/>
        <v>#VALUE!</v>
      </c>
    </row>
    <row r="639" spans="1:9">
      <c r="A639" s="4" t="s">
        <v>759</v>
      </c>
      <c r="B639" s="4">
        <v>70</v>
      </c>
      <c r="C639" s="4" t="s">
        <v>70</v>
      </c>
      <c r="D639" s="4" t="s">
        <v>70</v>
      </c>
      <c r="E639" s="4" t="s">
        <v>788</v>
      </c>
      <c r="F639" s="4" t="str">
        <f t="shared" si="36"/>
        <v>70|G|G</v>
      </c>
      <c r="G639" s="14">
        <f>INDEX('Transition Stepwise'!$J$2:$J$1137,MATCH(F639,'Transition Stepwise'!$E$2:$E$1137,0))</f>
        <v>0.569620253164557</v>
      </c>
      <c r="H639" s="14" t="e">
        <f>INDEX(Background!$D$12:$D$27,MATCH(C639&amp;D639,INDEX(Background!$A$12:$A$27,0)&amp;INDEX(Background!$B$12:$B$27,0),0))</f>
        <v>#VALUE!</v>
      </c>
      <c r="I639" s="17" t="e">
        <f t="shared" si="37"/>
        <v>#VALUE!</v>
      </c>
    </row>
    <row r="640" spans="1:9">
      <c r="A640" s="4" t="s">
        <v>759</v>
      </c>
      <c r="B640" s="4">
        <v>71</v>
      </c>
      <c r="C640" s="4" t="s">
        <v>70</v>
      </c>
      <c r="D640" s="4" t="s">
        <v>71</v>
      </c>
      <c r="E640" s="4" t="s">
        <v>788</v>
      </c>
      <c r="F640" s="4" t="str">
        <f t="shared" si="36"/>
        <v>71|G|C</v>
      </c>
      <c r="G640" s="14">
        <f>INDEX('Transition Stepwise'!$J$2:$J$1137,MATCH(F640,'Transition Stepwise'!$E$2:$E$1137,0))</f>
        <v>0.77906976744186052</v>
      </c>
      <c r="H640" s="14" t="e">
        <f>INDEX(Background!$D$12:$D$27,MATCH(C640&amp;D640,INDEX(Background!$A$12:$A$27,0)&amp;INDEX(Background!$B$12:$B$27,0),0))</f>
        <v>#VALUE!</v>
      </c>
      <c r="I640" s="17" t="e">
        <f t="shared" si="37"/>
        <v>#VALUE!</v>
      </c>
    </row>
    <row r="641" spans="1:9">
      <c r="A641" s="4" t="s">
        <v>760</v>
      </c>
      <c r="B641" s="4">
        <v>1</v>
      </c>
      <c r="C641" s="4" t="s">
        <v>72</v>
      </c>
      <c r="D641" s="4" t="s">
        <v>73</v>
      </c>
      <c r="E641" s="4" t="s">
        <v>788</v>
      </c>
      <c r="F641" s="4" t="str">
        <f t="shared" si="36"/>
        <v>1|U|A</v>
      </c>
      <c r="G641" s="14">
        <f>INDEX('Transition Stepwise'!$J$2:$J$1137,MATCH(F641,'Transition Stepwise'!$E$2:$E$1137,0))</f>
        <v>5.8823529411764705E-2</v>
      </c>
      <c r="H641" s="14" t="e">
        <f>INDEX(Background!$D$12:$D$27,MATCH(C641&amp;D641,INDEX(Background!$A$12:$A$27,0)&amp;INDEX(Background!$B$12:$B$27,0),0))</f>
        <v>#VALUE!</v>
      </c>
      <c r="I641" s="17" t="e">
        <f t="shared" si="37"/>
        <v>#VALUE!</v>
      </c>
    </row>
    <row r="642" spans="1:9">
      <c r="A642" s="4" t="s">
        <v>760</v>
      </c>
      <c r="B642" s="4">
        <v>2</v>
      </c>
      <c r="C642" s="4" t="s">
        <v>73</v>
      </c>
      <c r="D642" s="4" t="s">
        <v>73</v>
      </c>
      <c r="E642" s="4" t="s">
        <v>788</v>
      </c>
      <c r="F642" s="4" t="str">
        <f t="shared" si="36"/>
        <v>2|A|A</v>
      </c>
      <c r="G642" s="14">
        <f>INDEX('Transition Stepwise'!$J$2:$J$1137,MATCH(F642,'Transition Stepwise'!$E$2:$E$1137,0))</f>
        <v>0.1</v>
      </c>
      <c r="H642" s="14" t="e">
        <f>INDEX(Background!$D$12:$D$27,MATCH(C642&amp;D642,INDEX(Background!$A$12:$A$27,0)&amp;INDEX(Background!$B$12:$B$27,0),0))</f>
        <v>#VALUE!</v>
      </c>
      <c r="I642" s="17" t="e">
        <f t="shared" si="37"/>
        <v>#VALUE!</v>
      </c>
    </row>
    <row r="643" spans="1:9">
      <c r="A643" s="4" t="s">
        <v>760</v>
      </c>
      <c r="B643" s="4">
        <v>3</v>
      </c>
      <c r="C643" s="4" t="s">
        <v>73</v>
      </c>
      <c r="D643" s="4" t="s">
        <v>72</v>
      </c>
      <c r="E643" s="4" t="s">
        <v>788</v>
      </c>
      <c r="F643" s="4" t="str">
        <f t="shared" si="36"/>
        <v>3|A|U</v>
      </c>
      <c r="G643" s="14">
        <f>INDEX('Transition Stepwise'!$J$2:$J$1137,MATCH(F643,'Transition Stepwise'!$E$2:$E$1137,0))</f>
        <v>5.5555555555555552E-2</v>
      </c>
      <c r="H643" s="14" t="e">
        <f>INDEX(Background!$D$12:$D$27,MATCH(C643&amp;D643,INDEX(Background!$A$12:$A$27,0)&amp;INDEX(Background!$B$12:$B$27,0),0))</f>
        <v>#VALUE!</v>
      </c>
      <c r="I643" s="17" t="e">
        <f t="shared" si="37"/>
        <v>#VALUE!</v>
      </c>
    </row>
    <row r="644" spans="1:9">
      <c r="A644" s="4" t="s">
        <v>760</v>
      </c>
      <c r="B644" s="4">
        <v>4</v>
      </c>
      <c r="C644" s="4" t="s">
        <v>72</v>
      </c>
      <c r="D644" s="4" t="s">
        <v>73</v>
      </c>
      <c r="E644" s="4" t="s">
        <v>788</v>
      </c>
      <c r="F644" s="4" t="str">
        <f t="shared" si="36"/>
        <v>4|U|A</v>
      </c>
      <c r="G644" s="14">
        <f>INDEX('Transition Stepwise'!$J$2:$J$1137,MATCH(F644,'Transition Stepwise'!$E$2:$E$1137,0))</f>
        <v>0.10526315789473684</v>
      </c>
      <c r="H644" s="14" t="e">
        <f>INDEX(Background!$D$12:$D$27,MATCH(C644&amp;D644,INDEX(Background!$A$12:$A$27,0)&amp;INDEX(Background!$B$12:$B$27,0),0))</f>
        <v>#VALUE!</v>
      </c>
      <c r="I644" s="17" t="e">
        <f t="shared" si="37"/>
        <v>#VALUE!</v>
      </c>
    </row>
    <row r="645" spans="1:9">
      <c r="A645" s="4" t="s">
        <v>760</v>
      </c>
      <c r="B645" s="4">
        <v>5</v>
      </c>
      <c r="C645" s="4" t="s">
        <v>73</v>
      </c>
      <c r="D645" s="4" t="s">
        <v>73</v>
      </c>
      <c r="E645" s="4" t="s">
        <v>788</v>
      </c>
      <c r="F645" s="4" t="str">
        <f t="shared" si="36"/>
        <v>5|A|A</v>
      </c>
      <c r="G645" s="14">
        <f>INDEX('Transition Stepwise'!$J$2:$J$1137,MATCH(F645,'Transition Stepwise'!$E$2:$E$1137,0))</f>
        <v>0.2</v>
      </c>
      <c r="H645" s="14" t="e">
        <f>INDEX(Background!$D$12:$D$27,MATCH(C645&amp;D645,INDEX(Background!$A$12:$A$27,0)&amp;INDEX(Background!$B$12:$B$27,0),0))</f>
        <v>#VALUE!</v>
      </c>
      <c r="I645" s="17" t="e">
        <f t="shared" si="37"/>
        <v>#VALUE!</v>
      </c>
    </row>
    <row r="646" spans="1:9">
      <c r="A646" s="4" t="s">
        <v>760</v>
      </c>
      <c r="B646" s="4">
        <v>6</v>
      </c>
      <c r="C646" s="4" t="s">
        <v>73</v>
      </c>
      <c r="D646" s="4" t="s">
        <v>71</v>
      </c>
      <c r="E646" s="4" t="s">
        <v>788</v>
      </c>
      <c r="F646" s="4" t="str">
        <f t="shared" si="36"/>
        <v>6|A|C</v>
      </c>
      <c r="G646" s="14">
        <f>INDEX('Transition Stepwise'!$J$2:$J$1137,MATCH(F646,'Transition Stepwise'!$E$2:$E$1137,0))</f>
        <v>5.2631578947368418E-2</v>
      </c>
      <c r="H646" s="14" t="e">
        <f>INDEX(Background!$D$12:$D$27,MATCH(C646&amp;D646,INDEX(Background!$A$12:$A$27,0)&amp;INDEX(Background!$B$12:$B$27,0),0))</f>
        <v>#VALUE!</v>
      </c>
      <c r="I646" s="17" t="e">
        <f t="shared" si="37"/>
        <v>#VALUE!</v>
      </c>
    </row>
    <row r="647" spans="1:9">
      <c r="A647" s="4" t="s">
        <v>760</v>
      </c>
      <c r="B647" s="4">
        <v>7</v>
      </c>
      <c r="C647" s="4" t="s">
        <v>71</v>
      </c>
      <c r="D647" s="4" t="s">
        <v>72</v>
      </c>
      <c r="E647" s="4" t="s">
        <v>788</v>
      </c>
      <c r="F647" s="4" t="str">
        <f t="shared" si="36"/>
        <v>7|C|U</v>
      </c>
      <c r="G647" s="14">
        <f>INDEX('Transition Stepwise'!$J$2:$J$1137,MATCH(F647,'Transition Stepwise'!$E$2:$E$1137,0))</f>
        <v>0.5714285714285714</v>
      </c>
      <c r="H647" s="14" t="e">
        <f>INDEX(Background!$D$12:$D$27,MATCH(C647&amp;D647,INDEX(Background!$A$12:$A$27,0)&amp;INDEX(Background!$B$12:$B$27,0),0))</f>
        <v>#VALUE!</v>
      </c>
      <c r="I647" s="17" t="e">
        <f t="shared" si="37"/>
        <v>#VALUE!</v>
      </c>
    </row>
    <row r="648" spans="1:9">
      <c r="A648" s="4" t="s">
        <v>760</v>
      </c>
      <c r="B648" s="4">
        <v>8</v>
      </c>
      <c r="C648" s="4" t="s">
        <v>72</v>
      </c>
      <c r="D648" s="4" t="s">
        <v>70</v>
      </c>
      <c r="E648" s="4" t="s">
        <v>788</v>
      </c>
      <c r="F648" s="4" t="str">
        <f t="shared" si="36"/>
        <v>8|U|G</v>
      </c>
      <c r="G648" s="14">
        <f>INDEX('Transition Stepwise'!$J$2:$J$1137,MATCH(F648,'Transition Stepwise'!$E$2:$E$1137,0))</f>
        <v>0.30845771144278605</v>
      </c>
      <c r="H648" s="14" t="e">
        <f>INDEX(Background!$D$12:$D$27,MATCH(C648&amp;D648,INDEX(Background!$A$12:$A$27,0)&amp;INDEX(Background!$B$12:$B$27,0),0))</f>
        <v>#VALUE!</v>
      </c>
      <c r="I648" s="17" t="e">
        <f t="shared" si="37"/>
        <v>#VALUE!</v>
      </c>
    </row>
    <row r="649" spans="1:9">
      <c r="A649" s="4" t="s">
        <v>760</v>
      </c>
      <c r="B649" s="4">
        <v>9</v>
      </c>
      <c r="C649" s="4" t="s">
        <v>70</v>
      </c>
      <c r="D649" s="4" t="s">
        <v>70</v>
      </c>
      <c r="E649" s="4" t="s">
        <v>788</v>
      </c>
      <c r="F649" s="4" t="str">
        <f t="shared" si="36"/>
        <v>9|G|G</v>
      </c>
      <c r="G649" s="14">
        <f>INDEX('Transition Stepwise'!$J$2:$J$1137,MATCH(F649,'Transition Stepwise'!$E$2:$E$1137,0))</f>
        <v>0.86153846153846159</v>
      </c>
      <c r="H649" s="14" t="e">
        <f>INDEX(Background!$D$12:$D$27,MATCH(C649&amp;D649,INDEX(Background!$A$12:$A$27,0)&amp;INDEX(Background!$B$12:$B$27,0),0))</f>
        <v>#VALUE!</v>
      </c>
      <c r="I649" s="17" t="e">
        <f t="shared" si="37"/>
        <v>#VALUE!</v>
      </c>
    </row>
    <row r="650" spans="1:9">
      <c r="A650" s="4" t="s">
        <v>760</v>
      </c>
      <c r="B650" s="4">
        <v>10</v>
      </c>
      <c r="C650" s="4" t="s">
        <v>70</v>
      </c>
      <c r="D650" s="4" t="s">
        <v>70</v>
      </c>
      <c r="E650" s="4" t="s">
        <v>788</v>
      </c>
      <c r="F650" s="4" t="str">
        <f t="shared" si="36"/>
        <v>10|G|G</v>
      </c>
      <c r="G650" s="14">
        <f>INDEX('Transition Stepwise'!$J$2:$J$1137,MATCH(F650,'Transition Stepwise'!$E$2:$E$1137,0))</f>
        <v>3.0612244897959183E-2</v>
      </c>
      <c r="H650" s="14" t="e">
        <f>INDEX(Background!$D$12:$D$27,MATCH(C650&amp;D650,INDEX(Background!$A$12:$A$27,0)&amp;INDEX(Background!$B$12:$B$27,0),0))</f>
        <v>#VALUE!</v>
      </c>
      <c r="I650" s="17" t="e">
        <f t="shared" si="37"/>
        <v>#VALUE!</v>
      </c>
    </row>
    <row r="651" spans="1:9">
      <c r="A651" s="4" t="s">
        <v>760</v>
      </c>
      <c r="B651" s="4">
        <v>11</v>
      </c>
      <c r="C651" s="4" t="s">
        <v>70</v>
      </c>
      <c r="D651" s="4" t="s">
        <v>70</v>
      </c>
      <c r="E651" s="4" t="s">
        <v>788</v>
      </c>
      <c r="F651" s="4" t="str">
        <f t="shared" si="36"/>
        <v>11|G|G</v>
      </c>
      <c r="G651" s="14">
        <f>INDEX('Transition Stepwise'!$J$2:$J$1137,MATCH(F651,'Transition Stepwise'!$E$2:$E$1137,0))</f>
        <v>0.4</v>
      </c>
      <c r="H651" s="14" t="e">
        <f>INDEX(Background!$D$12:$D$27,MATCH(C651&amp;D651,INDEX(Background!$A$12:$A$27,0)&amp;INDEX(Background!$B$12:$B$27,0),0))</f>
        <v>#VALUE!</v>
      </c>
      <c r="I651" s="17" t="e">
        <f t="shared" si="37"/>
        <v>#VALUE!</v>
      </c>
    </row>
    <row r="652" spans="1:9">
      <c r="A652" s="4" t="s">
        <v>760</v>
      </c>
      <c r="B652" s="4">
        <v>12</v>
      </c>
      <c r="C652" s="4" t="s">
        <v>70</v>
      </c>
      <c r="D652" s="4" t="s">
        <v>71</v>
      </c>
      <c r="E652" s="4" t="s">
        <v>788</v>
      </c>
      <c r="F652" s="4" t="str">
        <f t="shared" si="36"/>
        <v>12|G|C</v>
      </c>
      <c r="G652" s="14">
        <f>INDEX('Transition Stepwise'!$J$2:$J$1137,MATCH(F652,'Transition Stepwise'!$E$2:$E$1137,0))</f>
        <v>0.47619047619047616</v>
      </c>
      <c r="H652" s="14" t="e">
        <f>INDEX(Background!$D$12:$D$27,MATCH(C652&amp;D652,INDEX(Background!$A$12:$A$27,0)&amp;INDEX(Background!$B$12:$B$27,0),0))</f>
        <v>#VALUE!</v>
      </c>
      <c r="I652" s="17" t="e">
        <f t="shared" si="37"/>
        <v>#VALUE!</v>
      </c>
    </row>
    <row r="653" spans="1:9">
      <c r="A653" s="4" t="s">
        <v>760</v>
      </c>
      <c r="B653" s="4">
        <v>13</v>
      </c>
      <c r="C653" s="4" t="s">
        <v>71</v>
      </c>
      <c r="D653" s="4" t="s">
        <v>70</v>
      </c>
      <c r="E653" s="4" t="s">
        <v>788</v>
      </c>
      <c r="F653" s="4" t="str">
        <f t="shared" si="36"/>
        <v>13|C|G</v>
      </c>
      <c r="G653" s="14">
        <f>INDEX('Transition Stepwise'!$J$2:$J$1137,MATCH(F653,'Transition Stepwise'!$E$2:$E$1137,0))</f>
        <v>7.462686567164179E-3</v>
      </c>
      <c r="H653" s="14" t="e">
        <f>INDEX(Background!$D$12:$D$27,MATCH(C653&amp;D653,INDEX(Background!$A$12:$A$27,0)&amp;INDEX(Background!$B$12:$B$27,0),0))</f>
        <v>#VALUE!</v>
      </c>
      <c r="I653" s="17" t="e">
        <f t="shared" si="37"/>
        <v>#VALUE!</v>
      </c>
    </row>
    <row r="654" spans="1:9">
      <c r="A654" s="4" t="s">
        <v>760</v>
      </c>
      <c r="B654" s="4">
        <v>14</v>
      </c>
      <c r="C654" s="4" t="s">
        <v>70</v>
      </c>
      <c r="D654" s="4" t="s">
        <v>73</v>
      </c>
      <c r="E654" s="4" t="s">
        <v>788</v>
      </c>
      <c r="F654" s="4" t="str">
        <f t="shared" si="36"/>
        <v>14|G|A</v>
      </c>
      <c r="G654" s="14">
        <f>INDEX('Transition Stepwise'!$J$2:$J$1137,MATCH(F654,'Transition Stepwise'!$E$2:$E$1137,0))</f>
        <v>0.2</v>
      </c>
      <c r="H654" s="14" t="e">
        <f>INDEX(Background!$D$12:$D$27,MATCH(C654&amp;D654,INDEX(Background!$A$12:$A$27,0)&amp;INDEX(Background!$B$12:$B$27,0),0))</f>
        <v>#VALUE!</v>
      </c>
      <c r="I654" s="17" t="e">
        <f t="shared" si="37"/>
        <v>#VALUE!</v>
      </c>
    </row>
    <row r="655" spans="1:9">
      <c r="A655" s="4" t="s">
        <v>760</v>
      </c>
      <c r="B655" s="4">
        <v>15</v>
      </c>
      <c r="C655" s="4" t="s">
        <v>73</v>
      </c>
      <c r="D655" s="4" t="s">
        <v>77</v>
      </c>
      <c r="E655" s="10" t="s">
        <v>789</v>
      </c>
      <c r="F655" s="4"/>
      <c r="G655" s="4"/>
      <c r="H655" s="4"/>
      <c r="I655" s="4"/>
    </row>
    <row r="656" spans="1:9">
      <c r="A656" s="4" t="s">
        <v>760</v>
      </c>
      <c r="B656" s="4">
        <v>16</v>
      </c>
      <c r="C656" s="4" t="s">
        <v>77</v>
      </c>
      <c r="D656" s="4" t="s">
        <v>73</v>
      </c>
      <c r="E656" s="10" t="s">
        <v>789</v>
      </c>
      <c r="F656" s="4"/>
      <c r="G656" s="4"/>
      <c r="H656" s="4"/>
      <c r="I656" s="4"/>
    </row>
    <row r="657" spans="1:9">
      <c r="A657" s="4" t="s">
        <v>760</v>
      </c>
      <c r="B657" s="4">
        <v>17</v>
      </c>
      <c r="C657" s="4" t="s">
        <v>73</v>
      </c>
      <c r="D657" s="4" t="s">
        <v>70</v>
      </c>
      <c r="E657" s="4" t="s">
        <v>788</v>
      </c>
      <c r="F657" s="4" t="str">
        <f t="shared" ref="F657:F688" si="38">B657&amp;"|"&amp;C657&amp;"|"&amp;D657</f>
        <v>17|A|G</v>
      </c>
      <c r="G657" s="14">
        <f>INDEX('Transition Stepwise'!$J$2:$J$1137,MATCH(F657,'Transition Stepwise'!$E$2:$E$1137,0))</f>
        <v>0.75</v>
      </c>
      <c r="H657" s="14" t="e">
        <f>INDEX(Background!$D$12:$D$27,MATCH(C657&amp;D657,INDEX(Background!$A$12:$A$27,0)&amp;INDEX(Background!$B$12:$B$27,0),0))</f>
        <v>#VALUE!</v>
      </c>
      <c r="I657" s="17" t="e">
        <f t="shared" ref="I657:I688" si="39">LN(G657/H657)</f>
        <v>#VALUE!</v>
      </c>
    </row>
    <row r="658" spans="1:9">
      <c r="A658" s="4" t="s">
        <v>760</v>
      </c>
      <c r="B658" s="4">
        <v>18</v>
      </c>
      <c r="C658" s="4" t="s">
        <v>70</v>
      </c>
      <c r="D658" s="4" t="s">
        <v>70</v>
      </c>
      <c r="E658" s="4" t="s">
        <v>788</v>
      </c>
      <c r="F658" s="4" t="str">
        <f t="shared" si="38"/>
        <v>18|G|G</v>
      </c>
      <c r="G658" s="14">
        <f>INDEX('Transition Stepwise'!$J$2:$J$1137,MATCH(F658,'Transition Stepwise'!$E$2:$E$1137,0))</f>
        <v>0.97536945812807885</v>
      </c>
      <c r="H658" s="14" t="e">
        <f>INDEX(Background!$D$12:$D$27,MATCH(C658&amp;D658,INDEX(Background!$A$12:$A$27,0)&amp;INDEX(Background!$B$12:$B$27,0),0))</f>
        <v>#VALUE!</v>
      </c>
      <c r="I658" s="17" t="e">
        <f t="shared" si="39"/>
        <v>#VALUE!</v>
      </c>
    </row>
    <row r="659" spans="1:9">
      <c r="A659" s="4" t="s">
        <v>760</v>
      </c>
      <c r="B659" s="4">
        <v>19</v>
      </c>
      <c r="C659" s="4" t="s">
        <v>70</v>
      </c>
      <c r="D659" s="4" t="s">
        <v>72</v>
      </c>
      <c r="E659" s="4" t="s">
        <v>788</v>
      </c>
      <c r="F659" s="4" t="str">
        <f t="shared" si="38"/>
        <v>19|G|U</v>
      </c>
      <c r="G659" s="14">
        <f>INDEX('Transition Stepwise'!$J$2:$J$1137,MATCH(F659,'Transition Stepwise'!$E$2:$E$1137,0))</f>
        <v>0.58706467661691542</v>
      </c>
      <c r="H659" s="14" t="e">
        <f>INDEX(Background!$D$12:$D$27,MATCH(C659&amp;D659,INDEX(Background!$A$12:$A$27,0)&amp;INDEX(Background!$B$12:$B$27,0),0))</f>
        <v>#VALUE!</v>
      </c>
      <c r="I659" s="17" t="e">
        <f t="shared" si="39"/>
        <v>#VALUE!</v>
      </c>
    </row>
    <row r="660" spans="1:9">
      <c r="A660" s="4" t="s">
        <v>760</v>
      </c>
      <c r="B660" s="4">
        <v>20</v>
      </c>
      <c r="C660" s="4" t="s">
        <v>72</v>
      </c>
      <c r="D660" s="4" t="s">
        <v>71</v>
      </c>
      <c r="E660" s="4" t="s">
        <v>788</v>
      </c>
      <c r="F660" s="4" t="str">
        <f t="shared" si="38"/>
        <v>20|U|C</v>
      </c>
      <c r="G660" s="14">
        <f>INDEX('Transition Stepwise'!$J$2:$J$1137,MATCH(F660,'Transition Stepwise'!$E$2:$E$1137,0))</f>
        <v>1.6260162601626018E-2</v>
      </c>
      <c r="H660" s="14" t="e">
        <f>INDEX(Background!$D$12:$D$27,MATCH(C660&amp;D660,INDEX(Background!$A$12:$A$27,0)&amp;INDEX(Background!$B$12:$B$27,0),0))</f>
        <v>#VALUE!</v>
      </c>
      <c r="I660" s="17" t="e">
        <f t="shared" si="39"/>
        <v>#VALUE!</v>
      </c>
    </row>
    <row r="661" spans="1:9">
      <c r="A661" s="4" t="s">
        <v>760</v>
      </c>
      <c r="B661" s="4">
        <v>21</v>
      </c>
      <c r="C661" s="4" t="s">
        <v>71</v>
      </c>
      <c r="D661" s="4" t="s">
        <v>70</v>
      </c>
      <c r="E661" s="4" t="s">
        <v>788</v>
      </c>
      <c r="F661" s="4" t="str">
        <f t="shared" si="38"/>
        <v>21|C|G</v>
      </c>
      <c r="G661" s="14">
        <f>INDEX('Transition Stepwise'!$J$2:$J$1137,MATCH(F661,'Transition Stepwise'!$E$2:$E$1137,0))</f>
        <v>0.25</v>
      </c>
      <c r="H661" s="14" t="e">
        <f>INDEX(Background!$D$12:$D$27,MATCH(C661&amp;D661,INDEX(Background!$A$12:$A$27,0)&amp;INDEX(Background!$B$12:$B$27,0),0))</f>
        <v>#VALUE!</v>
      </c>
      <c r="I661" s="17" t="e">
        <f t="shared" si="39"/>
        <v>#VALUE!</v>
      </c>
    </row>
    <row r="662" spans="1:9">
      <c r="A662" s="4" t="s">
        <v>760</v>
      </c>
      <c r="B662" s="4">
        <v>22</v>
      </c>
      <c r="C662" s="4" t="s">
        <v>70</v>
      </c>
      <c r="D662" s="4" t="s">
        <v>71</v>
      </c>
      <c r="E662" s="4" t="s">
        <v>788</v>
      </c>
      <c r="F662" s="4" t="str">
        <f t="shared" si="38"/>
        <v>22|G|C</v>
      </c>
      <c r="G662" s="14">
        <f>INDEX('Transition Stepwise'!$J$2:$J$1137,MATCH(F662,'Transition Stepwise'!$E$2:$E$1137,0))</f>
        <v>0.15436241610738255</v>
      </c>
      <c r="H662" s="14" t="e">
        <f>INDEX(Background!$D$12:$D$27,MATCH(C662&amp;D662,INDEX(Background!$A$12:$A$27,0)&amp;INDEX(Background!$B$12:$B$27,0),0))</f>
        <v>#VALUE!</v>
      </c>
      <c r="I662" s="17" t="e">
        <f t="shared" si="39"/>
        <v>#VALUE!</v>
      </c>
    </row>
    <row r="663" spans="1:9">
      <c r="A663" s="4" t="s">
        <v>760</v>
      </c>
      <c r="B663" s="4">
        <v>23</v>
      </c>
      <c r="C663" s="4" t="s">
        <v>71</v>
      </c>
      <c r="D663" s="4" t="s">
        <v>71</v>
      </c>
      <c r="E663" s="4" t="s">
        <v>788</v>
      </c>
      <c r="F663" s="4" t="str">
        <f t="shared" si="38"/>
        <v>23|C|C</v>
      </c>
      <c r="G663" s="14">
        <f>INDEX('Transition Stepwise'!$J$2:$J$1137,MATCH(F663,'Transition Stepwise'!$E$2:$E$1137,0))</f>
        <v>9.5238095238095233E-2</v>
      </c>
      <c r="H663" s="14" t="e">
        <f>INDEX(Background!$D$12:$D$27,MATCH(C663&amp;D663,INDEX(Background!$A$12:$A$27,0)&amp;INDEX(Background!$B$12:$B$27,0),0))</f>
        <v>#VALUE!</v>
      </c>
      <c r="I663" s="17" t="e">
        <f t="shared" si="39"/>
        <v>#VALUE!</v>
      </c>
    </row>
    <row r="664" spans="1:9">
      <c r="A664" s="4" t="s">
        <v>760</v>
      </c>
      <c r="B664" s="4">
        <v>24</v>
      </c>
      <c r="C664" s="4" t="s">
        <v>71</v>
      </c>
      <c r="D664" s="4" t="s">
        <v>72</v>
      </c>
      <c r="E664" s="4" t="s">
        <v>788</v>
      </c>
      <c r="F664" s="4" t="str">
        <f t="shared" si="38"/>
        <v>24|C|U</v>
      </c>
      <c r="G664" s="14">
        <f>INDEX('Transition Stepwise'!$J$2:$J$1137,MATCH(F664,'Transition Stepwise'!$E$2:$E$1137,0))</f>
        <v>0.2</v>
      </c>
      <c r="H664" s="14" t="e">
        <f>INDEX(Background!$D$12:$D$27,MATCH(C664&amp;D664,INDEX(Background!$A$12:$A$27,0)&amp;INDEX(Background!$B$12:$B$27,0),0))</f>
        <v>#VALUE!</v>
      </c>
      <c r="I664" s="17" t="e">
        <f t="shared" si="39"/>
        <v>#VALUE!</v>
      </c>
    </row>
    <row r="665" spans="1:9">
      <c r="A665" s="4" t="s">
        <v>760</v>
      </c>
      <c r="B665" s="4">
        <v>25</v>
      </c>
      <c r="C665" s="4" t="s">
        <v>72</v>
      </c>
      <c r="D665" s="4" t="s">
        <v>70</v>
      </c>
      <c r="E665" s="4" t="s">
        <v>788</v>
      </c>
      <c r="F665" s="4" t="str">
        <f t="shared" si="38"/>
        <v>25|U|G</v>
      </c>
      <c r="G665" s="14">
        <f>INDEX('Transition Stepwise'!$J$2:$J$1137,MATCH(F665,'Transition Stepwise'!$E$2:$E$1137,0))</f>
        <v>0.5</v>
      </c>
      <c r="H665" s="14" t="e">
        <f>INDEX(Background!$D$12:$D$27,MATCH(C665&amp;D665,INDEX(Background!$A$12:$A$27,0)&amp;INDEX(Background!$B$12:$B$27,0),0))</f>
        <v>#VALUE!</v>
      </c>
      <c r="I665" s="17" t="e">
        <f t="shared" si="39"/>
        <v>#VALUE!</v>
      </c>
    </row>
    <row r="666" spans="1:9">
      <c r="A666" s="4" t="s">
        <v>760</v>
      </c>
      <c r="B666" s="4">
        <v>26</v>
      </c>
      <c r="C666" s="4" t="s">
        <v>70</v>
      </c>
      <c r="D666" s="4" t="s">
        <v>71</v>
      </c>
      <c r="E666" s="4" t="s">
        <v>788</v>
      </c>
      <c r="F666" s="4" t="str">
        <f t="shared" si="38"/>
        <v>26|G|C</v>
      </c>
      <c r="G666" s="14">
        <f>INDEX('Transition Stepwise'!$J$2:$J$1137,MATCH(F666,'Transition Stepwise'!$E$2:$E$1137,0))</f>
        <v>0.52884615384615385</v>
      </c>
      <c r="H666" s="14" t="e">
        <f>INDEX(Background!$D$12:$D$27,MATCH(C666&amp;D666,INDEX(Background!$A$12:$A$27,0)&amp;INDEX(Background!$B$12:$B$27,0),0))</f>
        <v>#VALUE!</v>
      </c>
      <c r="I666" s="17" t="e">
        <f t="shared" si="39"/>
        <v>#VALUE!</v>
      </c>
    </row>
    <row r="667" spans="1:9">
      <c r="A667" s="4" t="s">
        <v>760</v>
      </c>
      <c r="B667" s="4">
        <v>27</v>
      </c>
      <c r="C667" s="4" t="s">
        <v>71</v>
      </c>
      <c r="D667" s="4" t="s">
        <v>72</v>
      </c>
      <c r="E667" s="4" t="s">
        <v>788</v>
      </c>
      <c r="F667" s="4" t="str">
        <f t="shared" si="38"/>
        <v>27|C|U</v>
      </c>
      <c r="G667" s="14">
        <f>INDEX('Transition Stepwise'!$J$2:$J$1137,MATCH(F667,'Transition Stepwise'!$E$2:$E$1137,0))</f>
        <v>0.29896907216494845</v>
      </c>
      <c r="H667" s="14" t="e">
        <f>INDEX(Background!$D$12:$D$27,MATCH(C667&amp;D667,INDEX(Background!$A$12:$A$27,0)&amp;INDEX(Background!$B$12:$B$27,0),0))</f>
        <v>#VALUE!</v>
      </c>
      <c r="I667" s="17" t="e">
        <f t="shared" si="39"/>
        <v>#VALUE!</v>
      </c>
    </row>
    <row r="668" spans="1:9">
      <c r="A668" s="4" t="s">
        <v>760</v>
      </c>
      <c r="B668" s="4">
        <v>28</v>
      </c>
      <c r="C668" s="4" t="s">
        <v>72</v>
      </c>
      <c r="D668" s="4" t="s">
        <v>73</v>
      </c>
      <c r="E668" s="4" t="s">
        <v>788</v>
      </c>
      <c r="F668" s="4" t="str">
        <f t="shared" si="38"/>
        <v>28|U|A</v>
      </c>
      <c r="G668" s="14">
        <f>INDEX('Transition Stepwise'!$J$2:$J$1137,MATCH(F668,'Transition Stepwise'!$E$2:$E$1137,0))</f>
        <v>0.14545454545454545</v>
      </c>
      <c r="H668" s="14" t="e">
        <f>INDEX(Background!$D$12:$D$27,MATCH(C668&amp;D668,INDEX(Background!$A$12:$A$27,0)&amp;INDEX(Background!$B$12:$B$27,0),0))</f>
        <v>#VALUE!</v>
      </c>
      <c r="I668" s="17" t="e">
        <f t="shared" si="39"/>
        <v>#VALUE!</v>
      </c>
    </row>
    <row r="669" spans="1:9">
      <c r="A669" s="4" t="s">
        <v>760</v>
      </c>
      <c r="B669" s="4">
        <v>29</v>
      </c>
      <c r="C669" s="4" t="s">
        <v>73</v>
      </c>
      <c r="D669" s="4" t="s">
        <v>70</v>
      </c>
      <c r="E669" s="4" t="s">
        <v>788</v>
      </c>
      <c r="F669" s="4" t="str">
        <f t="shared" si="38"/>
        <v>29|A|G</v>
      </c>
      <c r="G669" s="14">
        <f>INDEX('Transition Stepwise'!$J$2:$J$1137,MATCH(F669,'Transition Stepwise'!$E$2:$E$1137,0))</f>
        <v>0.69444444444444442</v>
      </c>
      <c r="H669" s="14" t="e">
        <f>INDEX(Background!$D$12:$D$27,MATCH(C669&amp;D669,INDEX(Background!$A$12:$A$27,0)&amp;INDEX(Background!$B$12:$B$27,0),0))</f>
        <v>#VALUE!</v>
      </c>
      <c r="I669" s="17" t="e">
        <f t="shared" si="39"/>
        <v>#VALUE!</v>
      </c>
    </row>
    <row r="670" spans="1:9">
      <c r="A670" s="4" t="s">
        <v>760</v>
      </c>
      <c r="B670" s="4">
        <v>30</v>
      </c>
      <c r="C670" s="4" t="s">
        <v>70</v>
      </c>
      <c r="D670" s="4" t="s">
        <v>70</v>
      </c>
      <c r="E670" s="4" t="s">
        <v>788</v>
      </c>
      <c r="F670" s="4" t="str">
        <f t="shared" si="38"/>
        <v>30|G|G</v>
      </c>
      <c r="G670" s="14">
        <f>INDEX('Transition Stepwise'!$J$2:$J$1137,MATCH(F670,'Transition Stepwise'!$E$2:$E$1137,0))</f>
        <v>0.27272727272727271</v>
      </c>
      <c r="H670" s="14" t="e">
        <f>INDEX(Background!$D$12:$D$27,MATCH(C670&amp;D670,INDEX(Background!$A$12:$A$27,0)&amp;INDEX(Background!$B$12:$B$27,0),0))</f>
        <v>#VALUE!</v>
      </c>
      <c r="I670" s="17" t="e">
        <f t="shared" si="39"/>
        <v>#VALUE!</v>
      </c>
    </row>
    <row r="671" spans="1:9">
      <c r="A671" s="4" t="s">
        <v>760</v>
      </c>
      <c r="B671" s="4">
        <v>31</v>
      </c>
      <c r="C671" s="4" t="s">
        <v>70</v>
      </c>
      <c r="D671" s="4" t="s">
        <v>73</v>
      </c>
      <c r="E671" s="4" t="s">
        <v>788</v>
      </c>
      <c r="F671" s="4" t="str">
        <f t="shared" si="38"/>
        <v>31|G|A</v>
      </c>
      <c r="G671" s="14">
        <f>INDEX('Transition Stepwise'!$J$2:$J$1137,MATCH(F671,'Transition Stepwise'!$E$2:$E$1137,0))</f>
        <v>1.6949152542372881E-2</v>
      </c>
      <c r="H671" s="14" t="e">
        <f>INDEX(Background!$D$12:$D$27,MATCH(C671&amp;D671,INDEX(Background!$A$12:$A$27,0)&amp;INDEX(Background!$B$12:$B$27,0),0))</f>
        <v>#VALUE!</v>
      </c>
      <c r="I671" s="17" t="e">
        <f t="shared" si="39"/>
        <v>#VALUE!</v>
      </c>
    </row>
    <row r="672" spans="1:9">
      <c r="A672" s="4" t="s">
        <v>760</v>
      </c>
      <c r="B672" s="4">
        <v>32</v>
      </c>
      <c r="C672" s="4" t="s">
        <v>73</v>
      </c>
      <c r="D672" s="4" t="s">
        <v>71</v>
      </c>
      <c r="E672" s="4" t="s">
        <v>788</v>
      </c>
      <c r="F672" s="4" t="str">
        <f t="shared" si="38"/>
        <v>32|A|C</v>
      </c>
      <c r="G672" s="14">
        <f>INDEX('Transition Stepwise'!$J$2:$J$1137,MATCH(F672,'Transition Stepwise'!$E$2:$E$1137,0))</f>
        <v>0.1</v>
      </c>
      <c r="H672" s="14" t="e">
        <f>INDEX(Background!$D$12:$D$27,MATCH(C672&amp;D672,INDEX(Background!$A$12:$A$27,0)&amp;INDEX(Background!$B$12:$B$27,0),0))</f>
        <v>#VALUE!</v>
      </c>
      <c r="I672" s="17" t="e">
        <f t="shared" si="39"/>
        <v>#VALUE!</v>
      </c>
    </row>
    <row r="673" spans="1:9">
      <c r="A673" s="4" t="s">
        <v>760</v>
      </c>
      <c r="B673" s="4">
        <v>33</v>
      </c>
      <c r="C673" s="4" t="s">
        <v>71</v>
      </c>
      <c r="D673" s="4" t="s">
        <v>72</v>
      </c>
      <c r="E673" s="4" t="s">
        <v>788</v>
      </c>
      <c r="F673" s="4" t="str">
        <f t="shared" si="38"/>
        <v>33|C|U</v>
      </c>
      <c r="G673" s="14">
        <f>INDEX('Transition Stepwise'!$J$2:$J$1137,MATCH(F673,'Transition Stepwise'!$E$2:$E$1137,0))</f>
        <v>0.2</v>
      </c>
      <c r="H673" s="14" t="e">
        <f>INDEX(Background!$D$12:$D$27,MATCH(C673&amp;D673,INDEX(Background!$A$12:$A$27,0)&amp;INDEX(Background!$B$12:$B$27,0),0))</f>
        <v>#VALUE!</v>
      </c>
      <c r="I673" s="17" t="e">
        <f t="shared" si="39"/>
        <v>#VALUE!</v>
      </c>
    </row>
    <row r="674" spans="1:9">
      <c r="A674" s="4" t="s">
        <v>760</v>
      </c>
      <c r="B674" s="4">
        <v>34</v>
      </c>
      <c r="C674" s="4" t="s">
        <v>72</v>
      </c>
      <c r="D674" s="4" t="s">
        <v>72</v>
      </c>
      <c r="E674" s="4" t="s">
        <v>788</v>
      </c>
      <c r="F674" s="4" t="str">
        <f t="shared" si="38"/>
        <v>34|U|U</v>
      </c>
      <c r="G674" s="14">
        <f>INDEX('Transition Stepwise'!$J$2:$J$1137,MATCH(F674,'Transition Stepwise'!$E$2:$E$1137,0))</f>
        <v>0.17741935483870969</v>
      </c>
      <c r="H674" s="14" t="e">
        <f>INDEX(Background!$D$12:$D$27,MATCH(C674&amp;D674,INDEX(Background!$A$12:$A$27,0)&amp;INDEX(Background!$B$12:$B$27,0),0))</f>
        <v>#VALUE!</v>
      </c>
      <c r="I674" s="17" t="e">
        <f t="shared" si="39"/>
        <v>#VALUE!</v>
      </c>
    </row>
    <row r="675" spans="1:9">
      <c r="A675" s="4" t="s">
        <v>760</v>
      </c>
      <c r="B675" s="4">
        <v>35</v>
      </c>
      <c r="C675" s="4" t="s">
        <v>72</v>
      </c>
      <c r="D675" s="4" t="s">
        <v>73</v>
      </c>
      <c r="E675" s="4" t="s">
        <v>788</v>
      </c>
      <c r="F675" s="4" t="str">
        <f t="shared" si="38"/>
        <v>35|U|A</v>
      </c>
      <c r="G675" s="14">
        <f>INDEX('Transition Stepwise'!$J$2:$J$1137,MATCH(F675,'Transition Stepwise'!$E$2:$E$1137,0))</f>
        <v>0.17777777777777778</v>
      </c>
      <c r="H675" s="14" t="e">
        <f>INDEX(Background!$D$12:$D$27,MATCH(C675&amp;D675,INDEX(Background!$A$12:$A$27,0)&amp;INDEX(Background!$B$12:$B$27,0),0))</f>
        <v>#VALUE!</v>
      </c>
      <c r="I675" s="17" t="e">
        <f t="shared" si="39"/>
        <v>#VALUE!</v>
      </c>
    </row>
    <row r="676" spans="1:9">
      <c r="A676" s="4" t="s">
        <v>760</v>
      </c>
      <c r="B676" s="4">
        <v>36</v>
      </c>
      <c r="C676" s="4" t="s">
        <v>73</v>
      </c>
      <c r="D676" s="4" t="s">
        <v>73</v>
      </c>
      <c r="E676" s="4" t="s">
        <v>788</v>
      </c>
      <c r="F676" s="4" t="str">
        <f t="shared" si="38"/>
        <v>36|A|A</v>
      </c>
      <c r="G676" s="14">
        <f>INDEX('Transition Stepwise'!$J$2:$J$1137,MATCH(F676,'Transition Stepwise'!$E$2:$E$1137,0))</f>
        <v>0.55319148936170215</v>
      </c>
      <c r="H676" s="14" t="e">
        <f>INDEX(Background!$D$12:$D$27,MATCH(C676&amp;D676,INDEX(Background!$A$12:$A$27,0)&amp;INDEX(Background!$B$12:$B$27,0),0))</f>
        <v>#VALUE!</v>
      </c>
      <c r="I676" s="17" t="e">
        <f t="shared" si="39"/>
        <v>#VALUE!</v>
      </c>
    </row>
    <row r="677" spans="1:9">
      <c r="A677" s="4" t="s">
        <v>760</v>
      </c>
      <c r="B677" s="4">
        <v>37</v>
      </c>
      <c r="C677" s="4" t="s">
        <v>73</v>
      </c>
      <c r="D677" s="4" t="s">
        <v>72</v>
      </c>
      <c r="E677" s="4" t="s">
        <v>788</v>
      </c>
      <c r="F677" s="4" t="str">
        <f t="shared" si="38"/>
        <v>37|A|U</v>
      </c>
      <c r="G677" s="14">
        <f>INDEX('Transition Stepwise'!$J$2:$J$1137,MATCH(F677,'Transition Stepwise'!$E$2:$E$1137,0))</f>
        <v>9.6774193548387094E-2</v>
      </c>
      <c r="H677" s="14" t="e">
        <f>INDEX(Background!$D$12:$D$27,MATCH(C677&amp;D677,INDEX(Background!$A$12:$A$27,0)&amp;INDEX(Background!$B$12:$B$27,0),0))</f>
        <v>#VALUE!</v>
      </c>
      <c r="I677" s="17" t="e">
        <f t="shared" si="39"/>
        <v>#VALUE!</v>
      </c>
    </row>
    <row r="678" spans="1:9">
      <c r="A678" s="4" t="s">
        <v>760</v>
      </c>
      <c r="B678" s="4">
        <v>38</v>
      </c>
      <c r="C678" s="4" t="s">
        <v>72</v>
      </c>
      <c r="D678" s="4" t="s">
        <v>72</v>
      </c>
      <c r="E678" s="4" t="s">
        <v>788</v>
      </c>
      <c r="F678" s="4" t="str">
        <f t="shared" si="38"/>
        <v>38|U|U</v>
      </c>
      <c r="G678" s="14">
        <f>INDEX('Transition Stepwise'!$J$2:$J$1137,MATCH(F678,'Transition Stepwise'!$E$2:$E$1137,0))</f>
        <v>0.14814814814814814</v>
      </c>
      <c r="H678" s="14" t="e">
        <f>INDEX(Background!$D$12:$D$27,MATCH(C678&amp;D678,INDEX(Background!$A$12:$A$27,0)&amp;INDEX(Background!$B$12:$B$27,0),0))</f>
        <v>#VALUE!</v>
      </c>
      <c r="I678" s="17" t="e">
        <f t="shared" si="39"/>
        <v>#VALUE!</v>
      </c>
    </row>
    <row r="679" spans="1:9">
      <c r="A679" s="4" t="s">
        <v>760</v>
      </c>
      <c r="B679" s="4">
        <v>39</v>
      </c>
      <c r="C679" s="4" t="s">
        <v>72</v>
      </c>
      <c r="D679" s="4" t="s">
        <v>72</v>
      </c>
      <c r="E679" s="4" t="s">
        <v>788</v>
      </c>
      <c r="F679" s="4" t="str">
        <f t="shared" si="38"/>
        <v>39|U|U</v>
      </c>
      <c r="G679" s="14">
        <f>INDEX('Transition Stepwise'!$J$2:$J$1137,MATCH(F679,'Transition Stepwise'!$E$2:$E$1137,0))</f>
        <v>3.1746031746031744E-2</v>
      </c>
      <c r="H679" s="14" t="e">
        <f>INDEX(Background!$D$12:$D$27,MATCH(C679&amp;D679,INDEX(Background!$A$12:$A$27,0)&amp;INDEX(Background!$B$12:$B$27,0),0))</f>
        <v>#VALUE!</v>
      </c>
      <c r="I679" s="17" t="e">
        <f t="shared" si="39"/>
        <v>#VALUE!</v>
      </c>
    </row>
    <row r="680" spans="1:9">
      <c r="A680" s="4" t="s">
        <v>760</v>
      </c>
      <c r="B680" s="4">
        <v>40</v>
      </c>
      <c r="C680" s="4" t="s">
        <v>72</v>
      </c>
      <c r="D680" s="4" t="s">
        <v>72</v>
      </c>
      <c r="E680" s="4" t="s">
        <v>788</v>
      </c>
      <c r="F680" s="4" t="str">
        <f t="shared" si="38"/>
        <v>40|U|U</v>
      </c>
      <c r="G680" s="14">
        <f>INDEX('Transition Stepwise'!$J$2:$J$1137,MATCH(F680,'Transition Stepwise'!$E$2:$E$1137,0))</f>
        <v>8.3333333333333329E-2</v>
      </c>
      <c r="H680" s="14" t="e">
        <f>INDEX(Background!$D$12:$D$27,MATCH(C680&amp;D680,INDEX(Background!$A$12:$A$27,0)&amp;INDEX(Background!$B$12:$B$27,0),0))</f>
        <v>#VALUE!</v>
      </c>
      <c r="I680" s="17" t="e">
        <f t="shared" si="39"/>
        <v>#VALUE!</v>
      </c>
    </row>
    <row r="681" spans="1:9">
      <c r="A681" s="4" t="s">
        <v>760</v>
      </c>
      <c r="B681" s="4">
        <v>41</v>
      </c>
      <c r="C681" s="4" t="s">
        <v>72</v>
      </c>
      <c r="D681" s="4" t="s">
        <v>70</v>
      </c>
      <c r="E681" s="4" t="s">
        <v>788</v>
      </c>
      <c r="F681" s="4" t="str">
        <f t="shared" si="38"/>
        <v>41|U|G</v>
      </c>
      <c r="G681" s="14">
        <f>INDEX('Transition Stepwise'!$J$2:$J$1137,MATCH(F681,'Transition Stepwise'!$E$2:$E$1137,0))</f>
        <v>0.51351351351351349</v>
      </c>
      <c r="H681" s="14" t="e">
        <f>INDEX(Background!$D$12:$D$27,MATCH(C681&amp;D681,INDEX(Background!$A$12:$A$27,0)&amp;INDEX(Background!$B$12:$B$27,0),0))</f>
        <v>#VALUE!</v>
      </c>
      <c r="I681" s="17" t="e">
        <f t="shared" si="39"/>
        <v>#VALUE!</v>
      </c>
    </row>
    <row r="682" spans="1:9">
      <c r="A682" s="4" t="s">
        <v>760</v>
      </c>
      <c r="B682" s="4">
        <v>42</v>
      </c>
      <c r="C682" s="4" t="s">
        <v>70</v>
      </c>
      <c r="D682" s="4" t="s">
        <v>70</v>
      </c>
      <c r="E682" s="4" t="s">
        <v>788</v>
      </c>
      <c r="F682" s="4" t="str">
        <f t="shared" si="38"/>
        <v>42|G|G</v>
      </c>
      <c r="G682" s="14">
        <f>INDEX('Transition Stepwise'!$J$2:$J$1137,MATCH(F682,'Transition Stepwise'!$E$2:$E$1137,0))</f>
        <v>0.39449541284403672</v>
      </c>
      <c r="H682" s="14" t="e">
        <f>INDEX(Background!$D$12:$D$27,MATCH(C682&amp;D682,INDEX(Background!$A$12:$A$27,0)&amp;INDEX(Background!$B$12:$B$27,0),0))</f>
        <v>#VALUE!</v>
      </c>
      <c r="I682" s="17" t="e">
        <f t="shared" si="39"/>
        <v>#VALUE!</v>
      </c>
    </row>
    <row r="683" spans="1:9">
      <c r="A683" s="4" t="s">
        <v>760</v>
      </c>
      <c r="B683" s="4">
        <v>43</v>
      </c>
      <c r="C683" s="4" t="s">
        <v>70</v>
      </c>
      <c r="D683" s="4" t="s">
        <v>72</v>
      </c>
      <c r="E683" s="4" t="s">
        <v>788</v>
      </c>
      <c r="F683" s="4" t="str">
        <f t="shared" si="38"/>
        <v>43|G|U</v>
      </c>
      <c r="G683" s="14">
        <f>INDEX('Transition Stepwise'!$J$2:$J$1137,MATCH(F683,'Transition Stepwise'!$E$2:$E$1137,0))</f>
        <v>0.13461538461538461</v>
      </c>
      <c r="H683" s="14" t="e">
        <f>INDEX(Background!$D$12:$D$27,MATCH(C683&amp;D683,INDEX(Background!$A$12:$A$27,0)&amp;INDEX(Background!$B$12:$B$27,0),0))</f>
        <v>#VALUE!</v>
      </c>
      <c r="I683" s="17" t="e">
        <f t="shared" si="39"/>
        <v>#VALUE!</v>
      </c>
    </row>
    <row r="684" spans="1:9">
      <c r="A684" s="4" t="s">
        <v>760</v>
      </c>
      <c r="B684" s="4">
        <v>44</v>
      </c>
      <c r="C684" s="4" t="s">
        <v>72</v>
      </c>
      <c r="D684" s="4" t="s">
        <v>70</v>
      </c>
      <c r="E684" s="4" t="s">
        <v>788</v>
      </c>
      <c r="F684" s="4" t="str">
        <f t="shared" si="38"/>
        <v>44|U|G</v>
      </c>
      <c r="G684" s="14">
        <f>INDEX('Transition Stepwise'!$J$2:$J$1137,MATCH(F684,'Transition Stepwise'!$E$2:$E$1137,0))</f>
        <v>0.59259259259259256</v>
      </c>
      <c r="H684" s="14" t="e">
        <f>INDEX(Background!$D$12:$D$27,MATCH(C684&amp;D684,INDEX(Background!$A$12:$A$27,0)&amp;INDEX(Background!$B$12:$B$27,0),0))</f>
        <v>#VALUE!</v>
      </c>
      <c r="I684" s="17" t="e">
        <f t="shared" si="39"/>
        <v>#VALUE!</v>
      </c>
    </row>
    <row r="685" spans="1:9">
      <c r="A685" s="4" t="s">
        <v>760</v>
      </c>
      <c r="B685" s="4">
        <v>45</v>
      </c>
      <c r="C685" s="4" t="s">
        <v>70</v>
      </c>
      <c r="D685" s="4" t="s">
        <v>71</v>
      </c>
      <c r="E685" s="4" t="s">
        <v>788</v>
      </c>
      <c r="F685" s="4" t="str">
        <f t="shared" si="38"/>
        <v>45|G|C</v>
      </c>
      <c r="G685" s="14">
        <f>INDEX('Transition Stepwise'!$J$2:$J$1137,MATCH(F685,'Transition Stepwise'!$E$2:$E$1137,0))</f>
        <v>2.1739130434782608E-2</v>
      </c>
      <c r="H685" s="14" t="e">
        <f>INDEX(Background!$D$12:$D$27,MATCH(C685&amp;D685,INDEX(Background!$A$12:$A$27,0)&amp;INDEX(Background!$B$12:$B$27,0),0))</f>
        <v>#VALUE!</v>
      </c>
      <c r="I685" s="17" t="e">
        <f t="shared" si="39"/>
        <v>#VALUE!</v>
      </c>
    </row>
    <row r="686" spans="1:9">
      <c r="A686" s="4" t="s">
        <v>760</v>
      </c>
      <c r="B686" s="4">
        <v>46</v>
      </c>
      <c r="C686" s="4" t="s">
        <v>71</v>
      </c>
      <c r="D686" s="4" t="s">
        <v>73</v>
      </c>
      <c r="E686" s="4" t="s">
        <v>788</v>
      </c>
      <c r="F686" s="4" t="str">
        <f t="shared" si="38"/>
        <v>46|C|A</v>
      </c>
      <c r="G686" s="14">
        <f>INDEX('Transition Stepwise'!$J$2:$J$1137,MATCH(F686,'Transition Stepwise'!$E$2:$E$1137,0))</f>
        <v>0.25</v>
      </c>
      <c r="H686" s="14" t="e">
        <f>INDEX(Background!$D$12:$D$27,MATCH(C686&amp;D686,INDEX(Background!$A$12:$A$27,0)&amp;INDEX(Background!$B$12:$B$27,0),0))</f>
        <v>#VALUE!</v>
      </c>
      <c r="I686" s="17" t="e">
        <f t="shared" si="39"/>
        <v>#VALUE!</v>
      </c>
    </row>
    <row r="687" spans="1:9">
      <c r="A687" s="4" t="s">
        <v>760</v>
      </c>
      <c r="B687" s="4">
        <v>47</v>
      </c>
      <c r="C687" s="4" t="s">
        <v>73</v>
      </c>
      <c r="D687" s="4" t="s">
        <v>72</v>
      </c>
      <c r="E687" s="4" t="s">
        <v>788</v>
      </c>
      <c r="F687" s="4" t="str">
        <f t="shared" si="38"/>
        <v>47|A|U</v>
      </c>
      <c r="G687" s="14">
        <f>INDEX('Transition Stepwise'!$J$2:$J$1137,MATCH(F687,'Transition Stepwise'!$E$2:$E$1137,0))</f>
        <v>0.16666666666666666</v>
      </c>
      <c r="H687" s="14" t="e">
        <f>INDEX(Background!$D$12:$D$27,MATCH(C687&amp;D687,INDEX(Background!$A$12:$A$27,0)&amp;INDEX(Background!$B$12:$B$27,0),0))</f>
        <v>#VALUE!</v>
      </c>
      <c r="I687" s="17" t="e">
        <f t="shared" si="39"/>
        <v>#VALUE!</v>
      </c>
    </row>
    <row r="688" spans="1:9">
      <c r="A688" s="4" t="s">
        <v>760</v>
      </c>
      <c r="B688" s="4">
        <v>48</v>
      </c>
      <c r="C688" s="4" t="s">
        <v>72</v>
      </c>
      <c r="D688" s="4" t="s">
        <v>70</v>
      </c>
      <c r="E688" s="4" t="s">
        <v>788</v>
      </c>
      <c r="F688" s="4" t="str">
        <f t="shared" si="38"/>
        <v>48|U|G</v>
      </c>
      <c r="G688" s="14">
        <f>INDEX('Transition Stepwise'!$J$2:$J$1137,MATCH(F688,'Transition Stepwise'!$E$2:$E$1137,0))</f>
        <v>0.51515151515151514</v>
      </c>
      <c r="H688" s="14" t="e">
        <f>INDEX(Background!$D$12:$D$27,MATCH(C688&amp;D688,INDEX(Background!$A$12:$A$27,0)&amp;INDEX(Background!$B$12:$B$27,0),0))</f>
        <v>#VALUE!</v>
      </c>
      <c r="I688" s="17" t="e">
        <f t="shared" si="39"/>
        <v>#VALUE!</v>
      </c>
    </row>
    <row r="689" spans="1:9">
      <c r="A689" s="4" t="s">
        <v>760</v>
      </c>
      <c r="B689" s="4">
        <v>49</v>
      </c>
      <c r="C689" s="4" t="s">
        <v>70</v>
      </c>
      <c r="D689" s="4" t="s">
        <v>73</v>
      </c>
      <c r="E689" s="4" t="s">
        <v>788</v>
      </c>
      <c r="F689" s="4" t="str">
        <f t="shared" ref="F689:F720" si="40">B689&amp;"|"&amp;C689&amp;"|"&amp;D689</f>
        <v>49|G|A</v>
      </c>
      <c r="G689" s="14">
        <f>INDEX('Transition Stepwise'!$J$2:$J$1137,MATCH(F689,'Transition Stepwise'!$E$2:$E$1137,0))</f>
        <v>0.16190476190476191</v>
      </c>
      <c r="H689" s="14" t="e">
        <f>INDEX(Background!$D$12:$D$27,MATCH(C689&amp;D689,INDEX(Background!$A$12:$A$27,0)&amp;INDEX(Background!$B$12:$B$27,0),0))</f>
        <v>#VALUE!</v>
      </c>
      <c r="I689" s="17" t="e">
        <f t="shared" ref="I689:I720" si="41">LN(G689/H689)</f>
        <v>#VALUE!</v>
      </c>
    </row>
    <row r="690" spans="1:9">
      <c r="A690" s="4" t="s">
        <v>760</v>
      </c>
      <c r="B690" s="4">
        <v>50</v>
      </c>
      <c r="C690" s="4" t="s">
        <v>73</v>
      </c>
      <c r="D690" s="4" t="s">
        <v>71</v>
      </c>
      <c r="E690" s="4" t="s">
        <v>788</v>
      </c>
      <c r="F690" s="4" t="str">
        <f t="shared" si="40"/>
        <v>50|A|C</v>
      </c>
      <c r="G690" s="14">
        <f>INDEX('Transition Stepwise'!$J$2:$J$1137,MATCH(F690,'Transition Stepwise'!$E$2:$E$1137,0))</f>
        <v>0.1111111111111111</v>
      </c>
      <c r="H690" s="14" t="e">
        <f>INDEX(Background!$D$12:$D$27,MATCH(C690&amp;D690,INDEX(Background!$A$12:$A$27,0)&amp;INDEX(Background!$B$12:$B$27,0),0))</f>
        <v>#VALUE!</v>
      </c>
      <c r="I690" s="17" t="e">
        <f t="shared" si="41"/>
        <v>#VALUE!</v>
      </c>
    </row>
    <row r="691" spans="1:9">
      <c r="A691" s="4" t="s">
        <v>760</v>
      </c>
      <c r="B691" s="4">
        <v>51</v>
      </c>
      <c r="C691" s="4" t="s">
        <v>71</v>
      </c>
      <c r="D691" s="4" t="s">
        <v>70</v>
      </c>
      <c r="E691" s="4" t="s">
        <v>788</v>
      </c>
      <c r="F691" s="4" t="str">
        <f t="shared" si="40"/>
        <v>51|C|G</v>
      </c>
      <c r="G691" s="14">
        <f>INDEX('Transition Stepwise'!$J$2:$J$1137,MATCH(F691,'Transition Stepwise'!$E$2:$E$1137,0))</f>
        <v>0.73333333333333328</v>
      </c>
      <c r="H691" s="14" t="e">
        <f>INDEX(Background!$D$12:$D$27,MATCH(C691&amp;D691,INDEX(Background!$A$12:$A$27,0)&amp;INDEX(Background!$B$12:$B$27,0),0))</f>
        <v>#VALUE!</v>
      </c>
      <c r="I691" s="17" t="e">
        <f t="shared" si="41"/>
        <v>#VALUE!</v>
      </c>
    </row>
    <row r="692" spans="1:9">
      <c r="A692" s="4" t="s">
        <v>760</v>
      </c>
      <c r="B692" s="4">
        <v>52</v>
      </c>
      <c r="C692" s="4" t="s">
        <v>70</v>
      </c>
      <c r="D692" s="4" t="s">
        <v>70</v>
      </c>
      <c r="E692" s="4" t="s">
        <v>788</v>
      </c>
      <c r="F692" s="4" t="str">
        <f t="shared" si="40"/>
        <v>52|G|G</v>
      </c>
      <c r="G692" s="14">
        <f>INDEX('Transition Stepwise'!$J$2:$J$1137,MATCH(F692,'Transition Stepwise'!$E$2:$E$1137,0))</f>
        <v>0.96511627906976749</v>
      </c>
      <c r="H692" s="14" t="e">
        <f>INDEX(Background!$D$12:$D$27,MATCH(C692&amp;D692,INDEX(Background!$A$12:$A$27,0)&amp;INDEX(Background!$B$12:$B$27,0),0))</f>
        <v>#VALUE!</v>
      </c>
      <c r="I692" s="17" t="e">
        <f t="shared" si="41"/>
        <v>#VALUE!</v>
      </c>
    </row>
    <row r="693" spans="1:9">
      <c r="A693" s="4" t="s">
        <v>760</v>
      </c>
      <c r="B693" s="4">
        <v>53</v>
      </c>
      <c r="C693" s="4" t="s">
        <v>70</v>
      </c>
      <c r="D693" s="4" t="s">
        <v>72</v>
      </c>
      <c r="E693" s="4" t="s">
        <v>788</v>
      </c>
      <c r="F693" s="4" t="str">
        <f t="shared" si="40"/>
        <v>53|G|U</v>
      </c>
      <c r="G693" s="14">
        <f>INDEX('Transition Stepwise'!$J$2:$J$1137,MATCH(F693,'Transition Stepwise'!$E$2:$E$1137,0))</f>
        <v>0.97499999999999998</v>
      </c>
      <c r="H693" s="14" t="e">
        <f>INDEX(Background!$D$12:$D$27,MATCH(C693&amp;D693,INDEX(Background!$A$12:$A$27,0)&amp;INDEX(Background!$B$12:$B$27,0),0))</f>
        <v>#VALUE!</v>
      </c>
      <c r="I693" s="17" t="e">
        <f t="shared" si="41"/>
        <v>#VALUE!</v>
      </c>
    </row>
    <row r="694" spans="1:9">
      <c r="A694" s="4" t="s">
        <v>760</v>
      </c>
      <c r="B694" s="4">
        <v>54</v>
      </c>
      <c r="C694" s="4" t="s">
        <v>72</v>
      </c>
      <c r="D694" s="4" t="s">
        <v>71</v>
      </c>
      <c r="E694" s="4" t="s">
        <v>788</v>
      </c>
      <c r="F694" s="4" t="str">
        <f t="shared" si="40"/>
        <v>54|U|C</v>
      </c>
      <c r="G694" s="14">
        <f>INDEX('Transition Stepwise'!$J$2:$J$1137,MATCH(F694,'Transition Stepwise'!$E$2:$E$1137,0))</f>
        <v>9.9009900990099011E-3</v>
      </c>
      <c r="H694" s="14" t="e">
        <f>INDEX(Background!$D$12:$D$27,MATCH(C694&amp;D694,INDEX(Background!$A$12:$A$27,0)&amp;INDEX(Background!$B$12:$B$27,0),0))</f>
        <v>#VALUE!</v>
      </c>
      <c r="I694" s="17" t="e">
        <f t="shared" si="41"/>
        <v>#VALUE!</v>
      </c>
    </row>
    <row r="695" spans="1:9">
      <c r="A695" s="4" t="s">
        <v>760</v>
      </c>
      <c r="B695" s="4">
        <v>55</v>
      </c>
      <c r="C695" s="4" t="s">
        <v>71</v>
      </c>
      <c r="D695" s="4" t="s">
        <v>71</v>
      </c>
      <c r="E695" s="4" t="s">
        <v>788</v>
      </c>
      <c r="F695" s="4" t="str">
        <f t="shared" si="40"/>
        <v>55|C|C</v>
      </c>
      <c r="G695" s="14">
        <f>INDEX('Transition Stepwise'!$J$2:$J$1137,MATCH(F695,'Transition Stepwise'!$E$2:$E$1137,0))</f>
        <v>0.2</v>
      </c>
      <c r="H695" s="14" t="e">
        <f>INDEX(Background!$D$12:$D$27,MATCH(C695&amp;D695,INDEX(Background!$A$12:$A$27,0)&amp;INDEX(Background!$B$12:$B$27,0),0))</f>
        <v>#VALUE!</v>
      </c>
      <c r="I695" s="17" t="e">
        <f t="shared" si="41"/>
        <v>#VALUE!</v>
      </c>
    </row>
    <row r="696" spans="1:9">
      <c r="A696" s="4" t="s">
        <v>760</v>
      </c>
      <c r="B696" s="4">
        <v>56</v>
      </c>
      <c r="C696" s="4" t="s">
        <v>71</v>
      </c>
      <c r="D696" s="4" t="s">
        <v>72</v>
      </c>
      <c r="E696" s="4" t="s">
        <v>788</v>
      </c>
      <c r="F696" s="4" t="str">
        <f t="shared" si="40"/>
        <v>56|C|U</v>
      </c>
      <c r="G696" s="14">
        <f>INDEX('Transition Stepwise'!$J$2:$J$1137,MATCH(F696,'Transition Stepwise'!$E$2:$E$1137,0))</f>
        <v>5.0000000000000001E-3</v>
      </c>
      <c r="H696" s="14" t="e">
        <f>INDEX(Background!$D$12:$D$27,MATCH(C696&amp;D696,INDEX(Background!$A$12:$A$27,0)&amp;INDEX(Background!$B$12:$B$27,0),0))</f>
        <v>#VALUE!</v>
      </c>
      <c r="I696" s="17" t="e">
        <f t="shared" si="41"/>
        <v>#VALUE!</v>
      </c>
    </row>
    <row r="697" spans="1:9">
      <c r="A697" s="4" t="s">
        <v>760</v>
      </c>
      <c r="B697" s="4">
        <v>57</v>
      </c>
      <c r="C697" s="4" t="s">
        <v>72</v>
      </c>
      <c r="D697" s="4" t="s">
        <v>73</v>
      </c>
      <c r="E697" s="4" t="s">
        <v>788</v>
      </c>
      <c r="F697" s="4" t="str">
        <f t="shared" si="40"/>
        <v>57|U|A</v>
      </c>
      <c r="G697" s="14">
        <f>INDEX('Transition Stepwise'!$J$2:$J$1137,MATCH(F697,'Transition Stepwise'!$E$2:$E$1137,0))</f>
        <v>0.2</v>
      </c>
      <c r="H697" s="14" t="e">
        <f>INDEX(Background!$D$12:$D$27,MATCH(C697&amp;D697,INDEX(Background!$A$12:$A$27,0)&amp;INDEX(Background!$B$12:$B$27,0),0))</f>
        <v>#VALUE!</v>
      </c>
      <c r="I697" s="17" t="e">
        <f t="shared" si="41"/>
        <v>#VALUE!</v>
      </c>
    </row>
    <row r="698" spans="1:9">
      <c r="A698" s="4" t="s">
        <v>760</v>
      </c>
      <c r="B698" s="4">
        <v>58</v>
      </c>
      <c r="C698" s="4" t="s">
        <v>73</v>
      </c>
      <c r="D698" s="4" t="s">
        <v>72</v>
      </c>
      <c r="E698" s="4" t="s">
        <v>788</v>
      </c>
      <c r="F698" s="4" t="str">
        <f t="shared" si="40"/>
        <v>58|A|U</v>
      </c>
      <c r="G698" s="14">
        <f>INDEX('Transition Stepwise'!$J$2:$J$1137,MATCH(F698,'Transition Stepwise'!$E$2:$E$1137,0))</f>
        <v>0.25247524752475248</v>
      </c>
      <c r="H698" s="14" t="e">
        <f>INDEX(Background!$D$12:$D$27,MATCH(C698&amp;D698,INDEX(Background!$A$12:$A$27,0)&amp;INDEX(Background!$B$12:$B$27,0),0))</f>
        <v>#VALUE!</v>
      </c>
      <c r="I698" s="17" t="e">
        <f t="shared" si="41"/>
        <v>#VALUE!</v>
      </c>
    </row>
    <row r="699" spans="1:9">
      <c r="A699" s="4" t="s">
        <v>760</v>
      </c>
      <c r="B699" s="4">
        <v>59</v>
      </c>
      <c r="C699" s="4" t="s">
        <v>72</v>
      </c>
      <c r="D699" s="4" t="s">
        <v>70</v>
      </c>
      <c r="E699" s="4" t="s">
        <v>788</v>
      </c>
      <c r="F699" s="4" t="str">
        <f t="shared" si="40"/>
        <v>59|U|G</v>
      </c>
      <c r="G699" s="14">
        <f>INDEX('Transition Stepwise'!$J$2:$J$1137,MATCH(F699,'Transition Stepwise'!$E$2:$E$1137,0))</f>
        <v>1.8518518518518517E-2</v>
      </c>
      <c r="H699" s="14" t="e">
        <f>INDEX(Background!$D$12:$D$27,MATCH(C699&amp;D699,INDEX(Background!$A$12:$A$27,0)&amp;INDEX(Background!$B$12:$B$27,0),0))</f>
        <v>#VALUE!</v>
      </c>
      <c r="I699" s="17" t="e">
        <f t="shared" si="41"/>
        <v>#VALUE!</v>
      </c>
    </row>
    <row r="700" spans="1:9">
      <c r="A700" s="4" t="s">
        <v>760</v>
      </c>
      <c r="B700" s="4">
        <v>60</v>
      </c>
      <c r="C700" s="4" t="s">
        <v>70</v>
      </c>
      <c r="D700" s="4" t="s">
        <v>71</v>
      </c>
      <c r="E700" s="4" t="s">
        <v>788</v>
      </c>
      <c r="F700" s="4" t="str">
        <f t="shared" si="40"/>
        <v>60|G|C</v>
      </c>
      <c r="G700" s="14">
        <f>INDEX('Transition Stepwise'!$J$2:$J$1137,MATCH(F700,'Transition Stepwise'!$E$2:$E$1137,0))</f>
        <v>0.33333333333333331</v>
      </c>
      <c r="H700" s="14" t="e">
        <f>INDEX(Background!$D$12:$D$27,MATCH(C700&amp;D700,INDEX(Background!$A$12:$A$27,0)&amp;INDEX(Background!$B$12:$B$27,0),0))</f>
        <v>#VALUE!</v>
      </c>
      <c r="I700" s="17" t="e">
        <f t="shared" si="41"/>
        <v>#VALUE!</v>
      </c>
    </row>
    <row r="701" spans="1:9">
      <c r="A701" s="4" t="s">
        <v>760</v>
      </c>
      <c r="B701" s="4">
        <v>61</v>
      </c>
      <c r="C701" s="4" t="s">
        <v>71</v>
      </c>
      <c r="D701" s="4" t="s">
        <v>73</v>
      </c>
      <c r="E701" s="4" t="s">
        <v>788</v>
      </c>
      <c r="F701" s="4" t="str">
        <f t="shared" si="40"/>
        <v>61|C|A</v>
      </c>
      <c r="G701" s="14">
        <f>INDEX('Transition Stepwise'!$J$2:$J$1137,MATCH(F701,'Transition Stepwise'!$E$2:$E$1137,0))</f>
        <v>1.9801980198019802E-2</v>
      </c>
      <c r="H701" s="14" t="e">
        <f>INDEX(Background!$D$12:$D$27,MATCH(C701&amp;D701,INDEX(Background!$A$12:$A$27,0)&amp;INDEX(Background!$B$12:$B$27,0),0))</f>
        <v>#VALUE!</v>
      </c>
      <c r="I701" s="17" t="e">
        <f t="shared" si="41"/>
        <v>#VALUE!</v>
      </c>
    </row>
    <row r="702" spans="1:9">
      <c r="A702" s="4" t="s">
        <v>760</v>
      </c>
      <c r="B702" s="4">
        <v>62</v>
      </c>
      <c r="C702" s="4" t="s">
        <v>73</v>
      </c>
      <c r="D702" s="4" t="s">
        <v>70</v>
      </c>
      <c r="E702" s="4" t="s">
        <v>788</v>
      </c>
      <c r="F702" s="4" t="str">
        <f t="shared" si="40"/>
        <v>62|A|G</v>
      </c>
      <c r="G702" s="14">
        <f>INDEX('Transition Stepwise'!$J$2:$J$1137,MATCH(F702,'Transition Stepwise'!$E$2:$E$1137,0))</f>
        <v>0.14285714285714285</v>
      </c>
      <c r="H702" s="14" t="e">
        <f>INDEX(Background!$D$12:$D$27,MATCH(C702&amp;D702,INDEX(Background!$A$12:$A$27,0)&amp;INDEX(Background!$B$12:$B$27,0),0))</f>
        <v>#VALUE!</v>
      </c>
      <c r="I702" s="17" t="e">
        <f t="shared" si="41"/>
        <v>#VALUE!</v>
      </c>
    </row>
    <row r="703" spans="1:9">
      <c r="A703" s="4" t="s">
        <v>760</v>
      </c>
      <c r="B703" s="4">
        <v>63</v>
      </c>
      <c r="C703" s="4" t="s">
        <v>70</v>
      </c>
      <c r="D703" s="4" t="s">
        <v>72</v>
      </c>
      <c r="E703" s="4" t="s">
        <v>788</v>
      </c>
      <c r="F703" s="4" t="str">
        <f t="shared" si="40"/>
        <v>63|G|U</v>
      </c>
      <c r="G703" s="14">
        <f>INDEX('Transition Stepwise'!$J$2:$J$1137,MATCH(F703,'Transition Stepwise'!$E$2:$E$1137,0))</f>
        <v>0.11538461538461539</v>
      </c>
      <c r="H703" s="14" t="e">
        <f>INDEX(Background!$D$12:$D$27,MATCH(C703&amp;D703,INDEX(Background!$A$12:$A$27,0)&amp;INDEX(Background!$B$12:$B$27,0),0))</f>
        <v>#VALUE!</v>
      </c>
      <c r="I703" s="17" t="e">
        <f t="shared" si="41"/>
        <v>#VALUE!</v>
      </c>
    </row>
    <row r="704" spans="1:9">
      <c r="A704" s="4" t="s">
        <v>760</v>
      </c>
      <c r="B704" s="4">
        <v>64</v>
      </c>
      <c r="C704" s="4" t="s">
        <v>72</v>
      </c>
      <c r="D704" s="4" t="s">
        <v>72</v>
      </c>
      <c r="E704" s="4" t="s">
        <v>788</v>
      </c>
      <c r="F704" s="4" t="str">
        <f t="shared" si="40"/>
        <v>64|U|U</v>
      </c>
      <c r="G704" s="14">
        <f>INDEX('Transition Stepwise'!$J$2:$J$1137,MATCH(F704,'Transition Stepwise'!$E$2:$E$1137,0))</f>
        <v>0.29729729729729731</v>
      </c>
      <c r="H704" s="14" t="e">
        <f>INDEX(Background!$D$12:$D$27,MATCH(C704&amp;D704,INDEX(Background!$A$12:$A$27,0)&amp;INDEX(Background!$B$12:$B$27,0),0))</f>
        <v>#VALUE!</v>
      </c>
      <c r="I704" s="17" t="e">
        <f t="shared" si="41"/>
        <v>#VALUE!</v>
      </c>
    </row>
    <row r="705" spans="1:9">
      <c r="A705" s="4" t="s">
        <v>760</v>
      </c>
      <c r="B705" s="4">
        <v>65</v>
      </c>
      <c r="C705" s="4" t="s">
        <v>72</v>
      </c>
      <c r="D705" s="4" t="s">
        <v>73</v>
      </c>
      <c r="E705" s="4" t="s">
        <v>788</v>
      </c>
      <c r="F705" s="4" t="str">
        <f t="shared" si="40"/>
        <v>65|U|A</v>
      </c>
      <c r="G705" s="14">
        <f>INDEX('Transition Stepwise'!$J$2:$J$1137,MATCH(F705,'Transition Stepwise'!$E$2:$E$1137,0))</f>
        <v>0.3108108108108108</v>
      </c>
      <c r="H705" s="14" t="e">
        <f>INDEX(Background!$D$12:$D$27,MATCH(C705&amp;D705,INDEX(Background!$A$12:$A$27,0)&amp;INDEX(Background!$B$12:$B$27,0),0))</f>
        <v>#VALUE!</v>
      </c>
      <c r="I705" s="17" t="e">
        <f t="shared" si="41"/>
        <v>#VALUE!</v>
      </c>
    </row>
    <row r="706" spans="1:9">
      <c r="A706" s="4" t="s">
        <v>760</v>
      </c>
      <c r="B706" s="4">
        <v>66</v>
      </c>
      <c r="C706" s="4" t="s">
        <v>73</v>
      </c>
      <c r="D706" s="4" t="s">
        <v>72</v>
      </c>
      <c r="E706" s="4" t="s">
        <v>788</v>
      </c>
      <c r="F706" s="4" t="str">
        <f t="shared" si="40"/>
        <v>66|A|U</v>
      </c>
      <c r="G706" s="14">
        <f>INDEX('Transition Stepwise'!$J$2:$J$1137,MATCH(F706,'Transition Stepwise'!$E$2:$E$1137,0))</f>
        <v>0.25531914893617019</v>
      </c>
      <c r="H706" s="14" t="e">
        <f>INDEX(Background!$D$12:$D$27,MATCH(C706&amp;D706,INDEX(Background!$A$12:$A$27,0)&amp;INDEX(Background!$B$12:$B$27,0),0))</f>
        <v>#VALUE!</v>
      </c>
      <c r="I706" s="17" t="e">
        <f t="shared" si="41"/>
        <v>#VALUE!</v>
      </c>
    </row>
    <row r="707" spans="1:9">
      <c r="A707" s="4" t="s">
        <v>760</v>
      </c>
      <c r="B707" s="4">
        <v>67</v>
      </c>
      <c r="C707" s="4" t="s">
        <v>72</v>
      </c>
      <c r="D707" s="4" t="s">
        <v>72</v>
      </c>
      <c r="E707" s="4" t="s">
        <v>788</v>
      </c>
      <c r="F707" s="4" t="str">
        <f t="shared" si="40"/>
        <v>67|U|U</v>
      </c>
      <c r="G707" s="14">
        <f>INDEX('Transition Stepwise'!$J$2:$J$1137,MATCH(F707,'Transition Stepwise'!$E$2:$E$1137,0))</f>
        <v>0.23809523809523808</v>
      </c>
      <c r="H707" s="14" t="e">
        <f>INDEX(Background!$D$12:$D$27,MATCH(C707&amp;D707,INDEX(Background!$A$12:$A$27,0)&amp;INDEX(Background!$B$12:$B$27,0),0))</f>
        <v>#VALUE!</v>
      </c>
      <c r="I707" s="17" t="e">
        <f t="shared" si="41"/>
        <v>#VALUE!</v>
      </c>
    </row>
    <row r="708" spans="1:9">
      <c r="A708" s="4" t="s">
        <v>760</v>
      </c>
      <c r="B708" s="4">
        <v>68</v>
      </c>
      <c r="C708" s="4" t="s">
        <v>72</v>
      </c>
      <c r="D708" s="4" t="s">
        <v>73</v>
      </c>
      <c r="E708" s="4" t="s">
        <v>788</v>
      </c>
      <c r="F708" s="4" t="str">
        <f t="shared" si="40"/>
        <v>68|U|A</v>
      </c>
      <c r="G708" s="14">
        <f>INDEX('Transition Stepwise'!$J$2:$J$1137,MATCH(F708,'Transition Stepwise'!$E$2:$E$1137,0))</f>
        <v>0.125</v>
      </c>
      <c r="H708" s="14" t="e">
        <f>INDEX(Background!$D$12:$D$27,MATCH(C708&amp;D708,INDEX(Background!$A$12:$A$27,0)&amp;INDEX(Background!$B$12:$B$27,0),0))</f>
        <v>#VALUE!</v>
      </c>
      <c r="I708" s="17" t="e">
        <f t="shared" si="41"/>
        <v>#VALUE!</v>
      </c>
    </row>
    <row r="709" spans="1:9">
      <c r="A709" s="4" t="s">
        <v>760</v>
      </c>
      <c r="B709" s="4">
        <v>69</v>
      </c>
      <c r="C709" s="4" t="s">
        <v>73</v>
      </c>
      <c r="D709" s="4" t="s">
        <v>72</v>
      </c>
      <c r="E709" s="4" t="s">
        <v>788</v>
      </c>
      <c r="F709" s="4" t="str">
        <f t="shared" si="40"/>
        <v>69|A|U</v>
      </c>
      <c r="G709" s="14">
        <f>INDEX('Transition Stepwise'!$J$2:$J$1137,MATCH(F709,'Transition Stepwise'!$E$2:$E$1137,0))</f>
        <v>3.4482758620689655E-2</v>
      </c>
      <c r="H709" s="14" t="e">
        <f>INDEX(Background!$D$12:$D$27,MATCH(C709&amp;D709,INDEX(Background!$A$12:$A$27,0)&amp;INDEX(Background!$B$12:$B$27,0),0))</f>
        <v>#VALUE!</v>
      </c>
      <c r="I709" s="17" t="e">
        <f t="shared" si="41"/>
        <v>#VALUE!</v>
      </c>
    </row>
    <row r="710" spans="1:9">
      <c r="A710" s="4" t="s">
        <v>760</v>
      </c>
      <c r="B710" s="4">
        <v>70</v>
      </c>
      <c r="C710" s="4" t="s">
        <v>72</v>
      </c>
      <c r="D710" s="4" t="s">
        <v>72</v>
      </c>
      <c r="E710" s="4" t="s">
        <v>788</v>
      </c>
      <c r="F710" s="4" t="str">
        <f t="shared" si="40"/>
        <v>70|U|U</v>
      </c>
      <c r="G710" s="14">
        <f>INDEX('Transition Stepwise'!$J$2:$J$1137,MATCH(F710,'Transition Stepwise'!$E$2:$E$1137,0))</f>
        <v>2.9411764705882353E-2</v>
      </c>
      <c r="H710" s="14" t="e">
        <f>INDEX(Background!$D$12:$D$27,MATCH(C710&amp;D710,INDEX(Background!$A$12:$A$27,0)&amp;INDEX(Background!$B$12:$B$27,0),0))</f>
        <v>#VALUE!</v>
      </c>
      <c r="I710" s="17" t="e">
        <f t="shared" si="41"/>
        <v>#VALUE!</v>
      </c>
    </row>
    <row r="711" spans="1:9">
      <c r="A711" s="4" t="s">
        <v>760</v>
      </c>
      <c r="B711" s="4">
        <v>71</v>
      </c>
      <c r="C711" s="4" t="s">
        <v>72</v>
      </c>
      <c r="D711" s="4" t="s">
        <v>70</v>
      </c>
      <c r="E711" s="4" t="s">
        <v>788</v>
      </c>
      <c r="F711" s="4" t="str">
        <f t="shared" si="40"/>
        <v>71|U|G</v>
      </c>
      <c r="G711" s="14">
        <f>INDEX('Transition Stepwise'!$J$2:$J$1137,MATCH(F711,'Transition Stepwise'!$E$2:$E$1137,0))</f>
        <v>7.6923076923076927E-2</v>
      </c>
      <c r="H711" s="14" t="e">
        <f>INDEX(Background!$D$12:$D$27,MATCH(C711&amp;D711,INDEX(Background!$A$12:$A$27,0)&amp;INDEX(Background!$B$12:$B$27,0),0))</f>
        <v>#VALUE!</v>
      </c>
      <c r="I711" s="17" t="e">
        <f t="shared" si="41"/>
        <v>#VALUE!</v>
      </c>
    </row>
    <row r="712" spans="1:9">
      <c r="A712" s="4" t="s">
        <v>762</v>
      </c>
      <c r="B712" s="4">
        <v>1</v>
      </c>
      <c r="C712" s="4" t="s">
        <v>73</v>
      </c>
      <c r="D712" s="4" t="s">
        <v>72</v>
      </c>
      <c r="E712" s="4" t="s">
        <v>788</v>
      </c>
      <c r="F712" s="4" t="str">
        <f t="shared" si="40"/>
        <v>1|A|U</v>
      </c>
      <c r="G712" s="14">
        <f>INDEX('Transition Stepwise'!$J$2:$J$1137,MATCH(F712,'Transition Stepwise'!$E$2:$E$1137,0))</f>
        <v>5.8823529411764705E-2</v>
      </c>
      <c r="H712" s="14" t="e">
        <f>INDEX(Background!$D$12:$D$27,MATCH(C712&amp;D712,INDEX(Background!$A$12:$A$27,0)&amp;INDEX(Background!$B$12:$B$27,0),0))</f>
        <v>#VALUE!</v>
      </c>
      <c r="I712" s="17" t="e">
        <f t="shared" si="41"/>
        <v>#VALUE!</v>
      </c>
    </row>
    <row r="713" spans="1:9">
      <c r="A713" s="4" t="s">
        <v>762</v>
      </c>
      <c r="B713" s="4">
        <v>2</v>
      </c>
      <c r="C713" s="4" t="s">
        <v>72</v>
      </c>
      <c r="D713" s="4" t="s">
        <v>72</v>
      </c>
      <c r="E713" s="4" t="s">
        <v>788</v>
      </c>
      <c r="F713" s="4" t="str">
        <f t="shared" si="40"/>
        <v>2|U|U</v>
      </c>
      <c r="G713" s="14">
        <f>INDEX('Transition Stepwise'!$J$2:$J$1137,MATCH(F713,'Transition Stepwise'!$E$2:$E$1137,0))</f>
        <v>0.2</v>
      </c>
      <c r="H713" s="14" t="e">
        <f>INDEX(Background!$D$12:$D$27,MATCH(C713&amp;D713,INDEX(Background!$A$12:$A$27,0)&amp;INDEX(Background!$B$12:$B$27,0),0))</f>
        <v>#VALUE!</v>
      </c>
      <c r="I713" s="17" t="e">
        <f t="shared" si="41"/>
        <v>#VALUE!</v>
      </c>
    </row>
    <row r="714" spans="1:9">
      <c r="A714" s="4" t="s">
        <v>762</v>
      </c>
      <c r="B714" s="4">
        <v>3</v>
      </c>
      <c r="C714" s="4" t="s">
        <v>72</v>
      </c>
      <c r="D714" s="4" t="s">
        <v>71</v>
      </c>
      <c r="E714" s="4" t="s">
        <v>788</v>
      </c>
      <c r="F714" s="4" t="str">
        <f t="shared" si="40"/>
        <v>3|U|C</v>
      </c>
      <c r="G714" s="14">
        <f>INDEX('Transition Stepwise'!$J$2:$J$1137,MATCH(F714,'Transition Stepwise'!$E$2:$E$1137,0))</f>
        <v>0.33333333333333331</v>
      </c>
      <c r="H714" s="14" t="e">
        <f>INDEX(Background!$D$12:$D$27,MATCH(C714&amp;D714,INDEX(Background!$A$12:$A$27,0)&amp;INDEX(Background!$B$12:$B$27,0),0))</f>
        <v>#VALUE!</v>
      </c>
      <c r="I714" s="17" t="e">
        <f t="shared" si="41"/>
        <v>#VALUE!</v>
      </c>
    </row>
    <row r="715" spans="1:9">
      <c r="A715" s="4" t="s">
        <v>762</v>
      </c>
      <c r="B715" s="4">
        <v>4</v>
      </c>
      <c r="C715" s="4" t="s">
        <v>71</v>
      </c>
      <c r="D715" s="4" t="s">
        <v>72</v>
      </c>
      <c r="E715" s="4" t="s">
        <v>788</v>
      </c>
      <c r="F715" s="4" t="str">
        <f t="shared" si="40"/>
        <v>4|C|U</v>
      </c>
      <c r="G715" s="14">
        <f>INDEX('Transition Stepwise'!$J$2:$J$1137,MATCH(F715,'Transition Stepwise'!$E$2:$E$1137,0))</f>
        <v>0.12307692307692308</v>
      </c>
      <c r="H715" s="14" t="e">
        <f>INDEX(Background!$D$12:$D$27,MATCH(C715&amp;D715,INDEX(Background!$A$12:$A$27,0)&amp;INDEX(Background!$B$12:$B$27,0),0))</f>
        <v>#VALUE!</v>
      </c>
      <c r="I715" s="17" t="e">
        <f t="shared" si="41"/>
        <v>#VALUE!</v>
      </c>
    </row>
    <row r="716" spans="1:9">
      <c r="A716" s="4" t="s">
        <v>762</v>
      </c>
      <c r="B716" s="4">
        <v>5</v>
      </c>
      <c r="C716" s="4" t="s">
        <v>72</v>
      </c>
      <c r="D716" s="4" t="s">
        <v>72</v>
      </c>
      <c r="E716" s="4" t="s">
        <v>788</v>
      </c>
      <c r="F716" s="4" t="str">
        <f t="shared" si="40"/>
        <v>5|U|U</v>
      </c>
      <c r="G716" s="14">
        <f>INDEX('Transition Stepwise'!$J$2:$J$1137,MATCH(F716,'Transition Stepwise'!$E$2:$E$1137,0))</f>
        <v>0.24</v>
      </c>
      <c r="H716" s="14" t="e">
        <f>INDEX(Background!$D$12:$D$27,MATCH(C716&amp;D716,INDEX(Background!$A$12:$A$27,0)&amp;INDEX(Background!$B$12:$B$27,0),0))</f>
        <v>#VALUE!</v>
      </c>
      <c r="I716" s="17" t="e">
        <f t="shared" si="41"/>
        <v>#VALUE!</v>
      </c>
    </row>
    <row r="717" spans="1:9">
      <c r="A717" s="4" t="s">
        <v>762</v>
      </c>
      <c r="B717" s="4">
        <v>6</v>
      </c>
      <c r="C717" s="4" t="s">
        <v>72</v>
      </c>
      <c r="D717" s="4" t="s">
        <v>73</v>
      </c>
      <c r="E717" s="4" t="s">
        <v>788</v>
      </c>
      <c r="F717" s="4" t="str">
        <f t="shared" si="40"/>
        <v>6|U|A</v>
      </c>
      <c r="G717" s="14">
        <f>INDEX('Transition Stepwise'!$J$2:$J$1137,MATCH(F717,'Transition Stepwise'!$E$2:$E$1137,0))</f>
        <v>0.36842105263157893</v>
      </c>
      <c r="H717" s="14" t="e">
        <f>INDEX(Background!$D$12:$D$27,MATCH(C717&amp;D717,INDEX(Background!$A$12:$A$27,0)&amp;INDEX(Background!$B$12:$B$27,0),0))</f>
        <v>#VALUE!</v>
      </c>
      <c r="I717" s="17" t="e">
        <f t="shared" si="41"/>
        <v>#VALUE!</v>
      </c>
    </row>
    <row r="718" spans="1:9">
      <c r="A718" s="4" t="s">
        <v>762</v>
      </c>
      <c r="B718" s="4">
        <v>7</v>
      </c>
      <c r="C718" s="4" t="s">
        <v>73</v>
      </c>
      <c r="D718" s="4" t="s">
        <v>72</v>
      </c>
      <c r="E718" s="4" t="s">
        <v>788</v>
      </c>
      <c r="F718" s="4" t="str">
        <f t="shared" si="40"/>
        <v>7|A|U</v>
      </c>
      <c r="G718" s="14">
        <f>INDEX('Transition Stepwise'!$J$2:$J$1137,MATCH(F718,'Transition Stepwise'!$E$2:$E$1137,0))</f>
        <v>0.92307692307692313</v>
      </c>
      <c r="H718" s="14" t="e">
        <f>INDEX(Background!$D$12:$D$27,MATCH(C718&amp;D718,INDEX(Background!$A$12:$A$27,0)&amp;INDEX(Background!$B$12:$B$27,0),0))</f>
        <v>#VALUE!</v>
      </c>
      <c r="I718" s="17" t="e">
        <f t="shared" si="41"/>
        <v>#VALUE!</v>
      </c>
    </row>
    <row r="719" spans="1:9">
      <c r="A719" s="4" t="s">
        <v>762</v>
      </c>
      <c r="B719" s="4">
        <v>8</v>
      </c>
      <c r="C719" s="4" t="s">
        <v>72</v>
      </c>
      <c r="D719" s="4" t="s">
        <v>73</v>
      </c>
      <c r="E719" s="4" t="s">
        <v>788</v>
      </c>
      <c r="F719" s="4" t="str">
        <f t="shared" si="40"/>
        <v>8|U|A</v>
      </c>
      <c r="G719" s="14">
        <f>INDEX('Transition Stepwise'!$J$2:$J$1137,MATCH(F719,'Transition Stepwise'!$E$2:$E$1137,0))</f>
        <v>0.65174129353233834</v>
      </c>
      <c r="H719" s="14" t="e">
        <f>INDEX(Background!$D$12:$D$27,MATCH(C719&amp;D719,INDEX(Background!$A$12:$A$27,0)&amp;INDEX(Background!$B$12:$B$27,0),0))</f>
        <v>#VALUE!</v>
      </c>
      <c r="I719" s="17" t="e">
        <f t="shared" si="41"/>
        <v>#VALUE!</v>
      </c>
    </row>
    <row r="720" spans="1:9">
      <c r="A720" s="4" t="s">
        <v>762</v>
      </c>
      <c r="B720" s="4">
        <v>9</v>
      </c>
      <c r="C720" s="4" t="s">
        <v>73</v>
      </c>
      <c r="D720" s="4" t="s">
        <v>72</v>
      </c>
      <c r="E720" s="4" t="s">
        <v>788</v>
      </c>
      <c r="F720" s="4" t="str">
        <f t="shared" si="40"/>
        <v>9|A|U</v>
      </c>
      <c r="G720" s="14">
        <f>INDEX('Transition Stepwise'!$J$2:$J$1137,MATCH(F720,'Transition Stepwise'!$E$2:$E$1137,0))</f>
        <v>7.4074074074074077E-3</v>
      </c>
      <c r="H720" s="14" t="e">
        <f>INDEX(Background!$D$12:$D$27,MATCH(C720&amp;D720,INDEX(Background!$A$12:$A$27,0)&amp;INDEX(Background!$B$12:$B$27,0),0))</f>
        <v>#VALUE!</v>
      </c>
      <c r="I720" s="17" t="e">
        <f t="shared" si="41"/>
        <v>#VALUE!</v>
      </c>
    </row>
    <row r="721" spans="1:9">
      <c r="A721" s="4" t="s">
        <v>762</v>
      </c>
      <c r="B721" s="4">
        <v>10</v>
      </c>
      <c r="C721" s="4" t="s">
        <v>72</v>
      </c>
      <c r="D721" s="4" t="s">
        <v>73</v>
      </c>
      <c r="E721" s="4" t="s">
        <v>788</v>
      </c>
      <c r="F721" s="4" t="str">
        <f t="shared" ref="F721:F752" si="42">B721&amp;"|"&amp;C721&amp;"|"&amp;D721</f>
        <v>10|U|A</v>
      </c>
      <c r="G721" s="14">
        <f>INDEX('Transition Stepwise'!$J$2:$J$1137,MATCH(F721,'Transition Stepwise'!$E$2:$E$1137,0))</f>
        <v>0.25</v>
      </c>
      <c r="H721" s="14" t="e">
        <f>INDEX(Background!$D$12:$D$27,MATCH(C721&amp;D721,INDEX(Background!$A$12:$A$27,0)&amp;INDEX(Background!$B$12:$B$27,0),0))</f>
        <v>#VALUE!</v>
      </c>
      <c r="I721" s="17" t="e">
        <f t="shared" ref="I721:I752" si="43">LN(G721/H721)</f>
        <v>#VALUE!</v>
      </c>
    </row>
    <row r="722" spans="1:9">
      <c r="A722" s="4" t="s">
        <v>762</v>
      </c>
      <c r="B722" s="4">
        <v>11</v>
      </c>
      <c r="C722" s="4" t="s">
        <v>73</v>
      </c>
      <c r="D722" s="4" t="s">
        <v>70</v>
      </c>
      <c r="E722" s="4" t="s">
        <v>788</v>
      </c>
      <c r="F722" s="4" t="str">
        <f t="shared" si="42"/>
        <v>11|A|G</v>
      </c>
      <c r="G722" s="14">
        <f>INDEX('Transition Stepwise'!$J$2:$J$1137,MATCH(F722,'Transition Stepwise'!$E$2:$E$1137,0))</f>
        <v>0.45454545454545453</v>
      </c>
      <c r="H722" s="14" t="e">
        <f>INDEX(Background!$D$12:$D$27,MATCH(C722&amp;D722,INDEX(Background!$A$12:$A$27,0)&amp;INDEX(Background!$B$12:$B$27,0),0))</f>
        <v>#VALUE!</v>
      </c>
      <c r="I722" s="17" t="e">
        <f t="shared" si="43"/>
        <v>#VALUE!</v>
      </c>
    </row>
    <row r="723" spans="1:9">
      <c r="A723" s="4" t="s">
        <v>762</v>
      </c>
      <c r="B723" s="4">
        <v>12</v>
      </c>
      <c r="C723" s="4" t="s">
        <v>70</v>
      </c>
      <c r="D723" s="4" t="s">
        <v>72</v>
      </c>
      <c r="E723" s="4" t="s">
        <v>788</v>
      </c>
      <c r="F723" s="4" t="str">
        <f t="shared" si="42"/>
        <v>12|G|U</v>
      </c>
      <c r="G723" s="14">
        <f>INDEX('Transition Stepwise'!$J$2:$J$1137,MATCH(F723,'Transition Stepwise'!$E$2:$E$1137,0))</f>
        <v>0.23809523809523808</v>
      </c>
      <c r="H723" s="14" t="e">
        <f>INDEX(Background!$D$12:$D$27,MATCH(C723&amp;D723,INDEX(Background!$A$12:$A$27,0)&amp;INDEX(Background!$B$12:$B$27,0),0))</f>
        <v>#VALUE!</v>
      </c>
      <c r="I723" s="17" t="e">
        <f t="shared" si="43"/>
        <v>#VALUE!</v>
      </c>
    </row>
    <row r="724" spans="1:9">
      <c r="A724" s="4" t="s">
        <v>762</v>
      </c>
      <c r="B724" s="4">
        <v>13</v>
      </c>
      <c r="C724" s="4" t="s">
        <v>72</v>
      </c>
      <c r="D724" s="4" t="s">
        <v>72</v>
      </c>
      <c r="E724" s="4" t="s">
        <v>788</v>
      </c>
      <c r="F724" s="4" t="str">
        <f t="shared" si="42"/>
        <v>13|U|U</v>
      </c>
      <c r="G724" s="14">
        <f>INDEX('Transition Stepwise'!$J$2:$J$1137,MATCH(F724,'Transition Stepwise'!$E$2:$E$1137,0))</f>
        <v>2.3809523809523808E-2</v>
      </c>
      <c r="H724" s="14" t="e">
        <f>INDEX(Background!$D$12:$D$27,MATCH(C724&amp;D724,INDEX(Background!$A$12:$A$27,0)&amp;INDEX(Background!$B$12:$B$27,0),0))</f>
        <v>#VALUE!</v>
      </c>
      <c r="I724" s="17" t="e">
        <f t="shared" si="43"/>
        <v>#VALUE!</v>
      </c>
    </row>
    <row r="725" spans="1:9">
      <c r="A725" s="4" t="s">
        <v>762</v>
      </c>
      <c r="B725" s="4">
        <v>14</v>
      </c>
      <c r="C725" s="4" t="s">
        <v>72</v>
      </c>
      <c r="D725" s="4" t="s">
        <v>70</v>
      </c>
      <c r="E725" s="4" t="s">
        <v>788</v>
      </c>
      <c r="F725" s="4" t="str">
        <f t="shared" si="42"/>
        <v>14|U|G</v>
      </c>
      <c r="G725" s="14">
        <f>INDEX('Transition Stepwise'!$J$2:$J$1137,MATCH(F725,'Transition Stepwise'!$E$2:$E$1137,0))</f>
        <v>0.25</v>
      </c>
      <c r="H725" s="14" t="e">
        <f>INDEX(Background!$D$12:$D$27,MATCH(C725&amp;D725,INDEX(Background!$A$12:$A$27,0)&amp;INDEX(Background!$B$12:$B$27,0),0))</f>
        <v>#VALUE!</v>
      </c>
      <c r="I725" s="17" t="e">
        <f t="shared" si="43"/>
        <v>#VALUE!</v>
      </c>
    </row>
    <row r="726" spans="1:9">
      <c r="A726" s="4" t="s">
        <v>762</v>
      </c>
      <c r="B726" s="4">
        <v>15</v>
      </c>
      <c r="C726" s="4" t="s">
        <v>70</v>
      </c>
      <c r="D726" s="4" t="s">
        <v>72</v>
      </c>
      <c r="E726" s="4" t="s">
        <v>788</v>
      </c>
      <c r="F726" s="4" t="str">
        <f t="shared" si="42"/>
        <v>15|G|U</v>
      </c>
      <c r="G726" s="14">
        <f>INDEX('Transition Stepwise'!$J$2:$J$1137,MATCH(F726,'Transition Stepwise'!$E$2:$E$1137,0))</f>
        <v>0.5423728813559322</v>
      </c>
      <c r="H726" s="14" t="e">
        <f>INDEX(Background!$D$12:$D$27,MATCH(C726&amp;D726,INDEX(Background!$A$12:$A$27,0)&amp;INDEX(Background!$B$12:$B$27,0),0))</f>
        <v>#VALUE!</v>
      </c>
      <c r="I726" s="17" t="e">
        <f t="shared" si="43"/>
        <v>#VALUE!</v>
      </c>
    </row>
    <row r="727" spans="1:9">
      <c r="A727" s="4" t="s">
        <v>762</v>
      </c>
      <c r="B727" s="4">
        <v>16</v>
      </c>
      <c r="C727" s="4" t="s">
        <v>72</v>
      </c>
      <c r="D727" s="4" t="s">
        <v>73</v>
      </c>
      <c r="E727" s="4" t="s">
        <v>788</v>
      </c>
      <c r="F727" s="4" t="str">
        <f t="shared" si="42"/>
        <v>16|U|A</v>
      </c>
      <c r="G727" s="14">
        <f>INDEX('Transition Stepwise'!$J$2:$J$1137,MATCH(F727,'Transition Stepwise'!$E$2:$E$1137,0))</f>
        <v>9.7560975609756101E-2</v>
      </c>
      <c r="H727" s="14" t="e">
        <f>INDEX(Background!$D$12:$D$27,MATCH(C727&amp;D727,INDEX(Background!$A$12:$A$27,0)&amp;INDEX(Background!$B$12:$B$27,0),0))</f>
        <v>#VALUE!</v>
      </c>
      <c r="I727" s="17" t="e">
        <f t="shared" si="43"/>
        <v>#VALUE!</v>
      </c>
    </row>
    <row r="728" spans="1:9">
      <c r="A728" s="4" t="s">
        <v>762</v>
      </c>
      <c r="B728" s="4">
        <v>17</v>
      </c>
      <c r="C728" s="4" t="s">
        <v>73</v>
      </c>
      <c r="D728" s="4" t="s">
        <v>70</v>
      </c>
      <c r="E728" s="4" t="s">
        <v>788</v>
      </c>
      <c r="F728" s="4" t="str">
        <f t="shared" si="42"/>
        <v>17|A|G</v>
      </c>
      <c r="G728" s="14">
        <f>INDEX('Transition Stepwise'!$J$2:$J$1137,MATCH(F728,'Transition Stepwise'!$E$2:$E$1137,0))</f>
        <v>0.75</v>
      </c>
      <c r="H728" s="14" t="e">
        <f>INDEX(Background!$D$12:$D$27,MATCH(C728&amp;D728,INDEX(Background!$A$12:$A$27,0)&amp;INDEX(Background!$B$12:$B$27,0),0))</f>
        <v>#VALUE!</v>
      </c>
      <c r="I728" s="17" t="e">
        <f t="shared" si="43"/>
        <v>#VALUE!</v>
      </c>
    </row>
    <row r="729" spans="1:9">
      <c r="A729" s="4" t="s">
        <v>762</v>
      </c>
      <c r="B729" s="4">
        <v>18</v>
      </c>
      <c r="C729" s="4" t="s">
        <v>70</v>
      </c>
      <c r="D729" s="4" t="s">
        <v>70</v>
      </c>
      <c r="E729" s="4" t="s">
        <v>788</v>
      </c>
      <c r="F729" s="4" t="str">
        <f t="shared" si="42"/>
        <v>18|G|G</v>
      </c>
      <c r="G729" s="14">
        <f>INDEX('Transition Stepwise'!$J$2:$J$1137,MATCH(F729,'Transition Stepwise'!$E$2:$E$1137,0))</f>
        <v>0.97536945812807885</v>
      </c>
      <c r="H729" s="14" t="e">
        <f>INDEX(Background!$D$12:$D$27,MATCH(C729&amp;D729,INDEX(Background!$A$12:$A$27,0)&amp;INDEX(Background!$B$12:$B$27,0),0))</f>
        <v>#VALUE!</v>
      </c>
      <c r="I729" s="17" t="e">
        <f t="shared" si="43"/>
        <v>#VALUE!</v>
      </c>
    </row>
    <row r="730" spans="1:9">
      <c r="A730" s="4" t="s">
        <v>762</v>
      </c>
      <c r="B730" s="4">
        <v>19</v>
      </c>
      <c r="C730" s="4" t="s">
        <v>70</v>
      </c>
      <c r="D730" s="4" t="s">
        <v>72</v>
      </c>
      <c r="E730" s="4" t="s">
        <v>788</v>
      </c>
      <c r="F730" s="4" t="str">
        <f t="shared" si="42"/>
        <v>19|G|U</v>
      </c>
      <c r="G730" s="14">
        <f>INDEX('Transition Stepwise'!$J$2:$J$1137,MATCH(F730,'Transition Stepwise'!$E$2:$E$1137,0))</f>
        <v>0.58706467661691542</v>
      </c>
      <c r="H730" s="14" t="e">
        <f>INDEX(Background!$D$12:$D$27,MATCH(C730&amp;D730,INDEX(Background!$A$12:$A$27,0)&amp;INDEX(Background!$B$12:$B$27,0),0))</f>
        <v>#VALUE!</v>
      </c>
      <c r="I730" s="17" t="e">
        <f t="shared" si="43"/>
        <v>#VALUE!</v>
      </c>
    </row>
    <row r="731" spans="1:9">
      <c r="A731" s="4" t="s">
        <v>762</v>
      </c>
      <c r="B731" s="4">
        <v>20</v>
      </c>
      <c r="C731" s="4" t="s">
        <v>72</v>
      </c>
      <c r="D731" s="4" t="s">
        <v>73</v>
      </c>
      <c r="E731" s="4" t="s">
        <v>788</v>
      </c>
      <c r="F731" s="4" t="str">
        <f t="shared" si="42"/>
        <v>20|U|A</v>
      </c>
      <c r="G731" s="14">
        <f>INDEX('Transition Stepwise'!$J$2:$J$1137,MATCH(F731,'Transition Stepwise'!$E$2:$E$1137,0))</f>
        <v>0.90243902439024393</v>
      </c>
      <c r="H731" s="14" t="e">
        <f>INDEX(Background!$D$12:$D$27,MATCH(C731&amp;D731,INDEX(Background!$A$12:$A$27,0)&amp;INDEX(Background!$B$12:$B$27,0),0))</f>
        <v>#VALUE!</v>
      </c>
      <c r="I731" s="17" t="e">
        <f t="shared" si="43"/>
        <v>#VALUE!</v>
      </c>
    </row>
    <row r="732" spans="1:9">
      <c r="A732" s="4" t="s">
        <v>762</v>
      </c>
      <c r="B732" s="4">
        <v>21</v>
      </c>
      <c r="C732" s="4" t="s">
        <v>73</v>
      </c>
      <c r="D732" s="4" t="s">
        <v>73</v>
      </c>
      <c r="E732" s="4" t="s">
        <v>788</v>
      </c>
      <c r="F732" s="4" t="str">
        <f t="shared" si="42"/>
        <v>21|A|A</v>
      </c>
      <c r="G732" s="14">
        <f>INDEX('Transition Stepwise'!$J$2:$J$1137,MATCH(F732,'Transition Stepwise'!$E$2:$E$1137,0))</f>
        <v>0.15846994535519127</v>
      </c>
      <c r="H732" s="14" t="e">
        <f>INDEX(Background!$D$12:$D$27,MATCH(C732&amp;D732,INDEX(Background!$A$12:$A$27,0)&amp;INDEX(Background!$B$12:$B$27,0),0))</f>
        <v>#VALUE!</v>
      </c>
      <c r="I732" s="17" t="e">
        <f t="shared" si="43"/>
        <v>#VALUE!</v>
      </c>
    </row>
    <row r="733" spans="1:9">
      <c r="A733" s="4" t="s">
        <v>762</v>
      </c>
      <c r="B733" s="4">
        <v>22</v>
      </c>
      <c r="C733" s="4" t="s">
        <v>73</v>
      </c>
      <c r="D733" s="4" t="s">
        <v>72</v>
      </c>
      <c r="E733" s="4" t="s">
        <v>788</v>
      </c>
      <c r="F733" s="4" t="str">
        <f t="shared" si="42"/>
        <v>22|A|U</v>
      </c>
      <c r="G733" s="14">
        <f>INDEX('Transition Stepwise'!$J$2:$J$1137,MATCH(F733,'Transition Stepwise'!$E$2:$E$1137,0))</f>
        <v>8.8888888888888892E-2</v>
      </c>
      <c r="H733" s="14" t="e">
        <f>INDEX(Background!$D$12:$D$27,MATCH(C733&amp;D733,INDEX(Background!$A$12:$A$27,0)&amp;INDEX(Background!$B$12:$B$27,0),0))</f>
        <v>#VALUE!</v>
      </c>
      <c r="I733" s="17" t="e">
        <f t="shared" si="43"/>
        <v>#VALUE!</v>
      </c>
    </row>
    <row r="734" spans="1:9">
      <c r="A734" s="4" t="s">
        <v>762</v>
      </c>
      <c r="B734" s="4">
        <v>23</v>
      </c>
      <c r="C734" s="4" t="s">
        <v>72</v>
      </c>
      <c r="D734" s="4" t="s">
        <v>72</v>
      </c>
      <c r="E734" s="4" t="s">
        <v>788</v>
      </c>
      <c r="F734" s="4" t="str">
        <f t="shared" si="42"/>
        <v>23|U|U</v>
      </c>
      <c r="G734" s="14">
        <f>INDEX('Transition Stepwise'!$J$2:$J$1137,MATCH(F734,'Transition Stepwise'!$E$2:$E$1137,0))</f>
        <v>6.25E-2</v>
      </c>
      <c r="H734" s="14" t="e">
        <f>INDEX(Background!$D$12:$D$27,MATCH(C734&amp;D734,INDEX(Background!$A$12:$A$27,0)&amp;INDEX(Background!$B$12:$B$27,0),0))</f>
        <v>#VALUE!</v>
      </c>
      <c r="I734" s="17" t="e">
        <f t="shared" si="43"/>
        <v>#VALUE!</v>
      </c>
    </row>
    <row r="735" spans="1:9">
      <c r="A735" s="4" t="s">
        <v>762</v>
      </c>
      <c r="B735" s="4">
        <v>24</v>
      </c>
      <c r="C735" s="4" t="s">
        <v>72</v>
      </c>
      <c r="D735" s="4" t="s">
        <v>73</v>
      </c>
      <c r="E735" s="4" t="s">
        <v>788</v>
      </c>
      <c r="F735" s="4" t="str">
        <f t="shared" si="42"/>
        <v>24|U|A</v>
      </c>
      <c r="G735" s="14">
        <f>INDEX('Transition Stepwise'!$J$2:$J$1137,MATCH(F735,'Transition Stepwise'!$E$2:$E$1137,0))</f>
        <v>9.0909090909090912E-2</v>
      </c>
      <c r="H735" s="14" t="e">
        <f>INDEX(Background!$D$12:$D$27,MATCH(C735&amp;D735,INDEX(Background!$A$12:$A$27,0)&amp;INDEX(Background!$B$12:$B$27,0),0))</f>
        <v>#VALUE!</v>
      </c>
      <c r="I735" s="17" t="e">
        <f t="shared" si="43"/>
        <v>#VALUE!</v>
      </c>
    </row>
    <row r="736" spans="1:9">
      <c r="A736" s="4" t="s">
        <v>762</v>
      </c>
      <c r="B736" s="4">
        <v>25</v>
      </c>
      <c r="C736" s="4" t="s">
        <v>73</v>
      </c>
      <c r="D736" s="4" t="s">
        <v>72</v>
      </c>
      <c r="E736" s="4" t="s">
        <v>788</v>
      </c>
      <c r="F736" s="4" t="str">
        <f t="shared" si="42"/>
        <v>25|A|U</v>
      </c>
      <c r="G736" s="14">
        <f>INDEX('Transition Stepwise'!$J$2:$J$1137,MATCH(F736,'Transition Stepwise'!$E$2:$E$1137,0))</f>
        <v>0.2</v>
      </c>
      <c r="H736" s="14" t="e">
        <f>INDEX(Background!$D$12:$D$27,MATCH(C736&amp;D736,INDEX(Background!$A$12:$A$27,0)&amp;INDEX(Background!$B$12:$B$27,0),0))</f>
        <v>#VALUE!</v>
      </c>
      <c r="I736" s="17" t="e">
        <f t="shared" si="43"/>
        <v>#VALUE!</v>
      </c>
    </row>
    <row r="737" spans="1:9">
      <c r="A737" s="4" t="s">
        <v>762</v>
      </c>
      <c r="B737" s="4">
        <v>26</v>
      </c>
      <c r="C737" s="4" t="s">
        <v>72</v>
      </c>
      <c r="D737" s="4" t="s">
        <v>70</v>
      </c>
      <c r="E737" s="4" t="s">
        <v>788</v>
      </c>
      <c r="F737" s="4" t="str">
        <f t="shared" si="42"/>
        <v>26|U|G</v>
      </c>
      <c r="G737" s="14">
        <f>INDEX('Transition Stepwise'!$J$2:$J$1137,MATCH(F737,'Transition Stepwise'!$E$2:$E$1137,0))</f>
        <v>0.13333333333333333</v>
      </c>
      <c r="H737" s="14" t="e">
        <f>INDEX(Background!$D$12:$D$27,MATCH(C737&amp;D737,INDEX(Background!$A$12:$A$27,0)&amp;INDEX(Background!$B$12:$B$27,0),0))</f>
        <v>#VALUE!</v>
      </c>
      <c r="I737" s="17" t="e">
        <f t="shared" si="43"/>
        <v>#VALUE!</v>
      </c>
    </row>
    <row r="738" spans="1:9">
      <c r="A738" s="4" t="s">
        <v>762</v>
      </c>
      <c r="B738" s="4">
        <v>27</v>
      </c>
      <c r="C738" s="4" t="s">
        <v>70</v>
      </c>
      <c r="D738" s="4" t="s">
        <v>73</v>
      </c>
      <c r="E738" s="4" t="s">
        <v>788</v>
      </c>
      <c r="F738" s="4" t="str">
        <f t="shared" si="42"/>
        <v>27|G|A</v>
      </c>
      <c r="G738" s="14">
        <f>INDEX('Transition Stepwise'!$J$2:$J$1137,MATCH(F738,'Transition Stepwise'!$E$2:$E$1137,0))</f>
        <v>0.14285714285714285</v>
      </c>
      <c r="H738" s="14" t="e">
        <f>INDEX(Background!$D$12:$D$27,MATCH(C738&amp;D738,INDEX(Background!$A$12:$A$27,0)&amp;INDEX(Background!$B$12:$B$27,0),0))</f>
        <v>#VALUE!</v>
      </c>
      <c r="I738" s="17" t="e">
        <f t="shared" si="43"/>
        <v>#VALUE!</v>
      </c>
    </row>
    <row r="739" spans="1:9">
      <c r="A739" s="4" t="s">
        <v>762</v>
      </c>
      <c r="B739" s="4">
        <v>28</v>
      </c>
      <c r="C739" s="4" t="s">
        <v>73</v>
      </c>
      <c r="D739" s="4" t="s">
        <v>72</v>
      </c>
      <c r="E739" s="4" t="s">
        <v>788</v>
      </c>
      <c r="F739" s="4" t="str">
        <f t="shared" si="42"/>
        <v>28|A|U</v>
      </c>
      <c r="G739" s="14">
        <f>INDEX('Transition Stepwise'!$J$2:$J$1137,MATCH(F739,'Transition Stepwise'!$E$2:$E$1137,0))</f>
        <v>0.39285714285714285</v>
      </c>
      <c r="H739" s="14" t="e">
        <f>INDEX(Background!$D$12:$D$27,MATCH(C739&amp;D739,INDEX(Background!$A$12:$A$27,0)&amp;INDEX(Background!$B$12:$B$27,0),0))</f>
        <v>#VALUE!</v>
      </c>
      <c r="I739" s="17" t="e">
        <f t="shared" si="43"/>
        <v>#VALUE!</v>
      </c>
    </row>
    <row r="740" spans="1:9">
      <c r="A740" s="4" t="s">
        <v>762</v>
      </c>
      <c r="B740" s="4">
        <v>29</v>
      </c>
      <c r="C740" s="4" t="s">
        <v>72</v>
      </c>
      <c r="D740" s="4" t="s">
        <v>72</v>
      </c>
      <c r="E740" s="4" t="s">
        <v>788</v>
      </c>
      <c r="F740" s="4" t="str">
        <f t="shared" si="42"/>
        <v>29|U|U</v>
      </c>
      <c r="G740" s="14">
        <f>INDEX('Transition Stepwise'!$J$2:$J$1137,MATCH(F740,'Transition Stepwise'!$E$2:$E$1137,0))</f>
        <v>1.6949152542372881E-2</v>
      </c>
      <c r="H740" s="14" t="e">
        <f>INDEX(Background!$D$12:$D$27,MATCH(C740&amp;D740,INDEX(Background!$A$12:$A$27,0)&amp;INDEX(Background!$B$12:$B$27,0),0))</f>
        <v>#VALUE!</v>
      </c>
      <c r="I740" s="17" t="e">
        <f t="shared" si="43"/>
        <v>#VALUE!</v>
      </c>
    </row>
    <row r="741" spans="1:9">
      <c r="A741" s="4" t="s">
        <v>762</v>
      </c>
      <c r="B741" s="4">
        <v>30</v>
      </c>
      <c r="C741" s="4" t="s">
        <v>72</v>
      </c>
      <c r="D741" s="4" t="s">
        <v>72</v>
      </c>
      <c r="E741" s="4" t="s">
        <v>788</v>
      </c>
      <c r="F741" s="4" t="str">
        <f t="shared" si="42"/>
        <v>30|U|U</v>
      </c>
      <c r="G741" s="14">
        <f>INDEX('Transition Stepwise'!$J$2:$J$1137,MATCH(F741,'Transition Stepwise'!$E$2:$E$1137,0))</f>
        <v>9.0909090909090912E-2</v>
      </c>
      <c r="H741" s="14" t="e">
        <f>INDEX(Background!$D$12:$D$27,MATCH(C741&amp;D741,INDEX(Background!$A$12:$A$27,0)&amp;INDEX(Background!$B$12:$B$27,0),0))</f>
        <v>#VALUE!</v>
      </c>
      <c r="I741" s="17" t="e">
        <f t="shared" si="43"/>
        <v>#VALUE!</v>
      </c>
    </row>
    <row r="742" spans="1:9">
      <c r="A742" s="4" t="s">
        <v>762</v>
      </c>
      <c r="B742" s="4">
        <v>31</v>
      </c>
      <c r="C742" s="4" t="s">
        <v>72</v>
      </c>
      <c r="D742" s="4" t="s">
        <v>72</v>
      </c>
      <c r="E742" s="4" t="s">
        <v>788</v>
      </c>
      <c r="F742" s="4" t="str">
        <f t="shared" si="42"/>
        <v>31|U|U</v>
      </c>
      <c r="G742" s="14">
        <f>INDEX('Transition Stepwise'!$J$2:$J$1137,MATCH(F742,'Transition Stepwise'!$E$2:$E$1137,0))</f>
        <v>0.13043478260869565</v>
      </c>
      <c r="H742" s="14" t="e">
        <f>INDEX(Background!$D$12:$D$27,MATCH(C742&amp;D742,INDEX(Background!$A$12:$A$27,0)&amp;INDEX(Background!$B$12:$B$27,0),0))</f>
        <v>#VALUE!</v>
      </c>
      <c r="I742" s="17" t="e">
        <f t="shared" si="43"/>
        <v>#VALUE!</v>
      </c>
    </row>
    <row r="743" spans="1:9">
      <c r="A743" s="4" t="s">
        <v>762</v>
      </c>
      <c r="B743" s="4">
        <v>32</v>
      </c>
      <c r="C743" s="4" t="s">
        <v>72</v>
      </c>
      <c r="D743" s="4" t="s">
        <v>72</v>
      </c>
      <c r="E743" s="4" t="s">
        <v>788</v>
      </c>
      <c r="F743" s="4" t="str">
        <f t="shared" si="42"/>
        <v>32|U|U</v>
      </c>
      <c r="G743" s="14">
        <f>INDEX('Transition Stepwise'!$J$2:$J$1137,MATCH(F743,'Transition Stepwise'!$E$2:$E$1137,0))</f>
        <v>0.93650793650793651</v>
      </c>
      <c r="H743" s="14" t="e">
        <f>INDEX(Background!$D$12:$D$27,MATCH(C743&amp;D743,INDEX(Background!$A$12:$A$27,0)&amp;INDEX(Background!$B$12:$B$27,0),0))</f>
        <v>#VALUE!</v>
      </c>
      <c r="I743" s="17" t="e">
        <f t="shared" si="43"/>
        <v>#VALUE!</v>
      </c>
    </row>
    <row r="744" spans="1:9">
      <c r="A744" s="4" t="s">
        <v>762</v>
      </c>
      <c r="B744" s="4">
        <v>33</v>
      </c>
      <c r="C744" s="4" t="s">
        <v>72</v>
      </c>
      <c r="D744" s="4" t="s">
        <v>72</v>
      </c>
      <c r="E744" s="4" t="s">
        <v>788</v>
      </c>
      <c r="F744" s="4" t="str">
        <f t="shared" si="42"/>
        <v>33|U|U</v>
      </c>
      <c r="G744" s="14">
        <f>INDEX('Transition Stepwise'!$J$2:$J$1137,MATCH(F744,'Transition Stepwise'!$E$2:$E$1137,0))</f>
        <v>0.29207920792079206</v>
      </c>
      <c r="H744" s="14" t="e">
        <f>INDEX(Background!$D$12:$D$27,MATCH(C744&amp;D744,INDEX(Background!$A$12:$A$27,0)&amp;INDEX(Background!$B$12:$B$27,0),0))</f>
        <v>#VALUE!</v>
      </c>
      <c r="I744" s="17" t="e">
        <f t="shared" si="43"/>
        <v>#VALUE!</v>
      </c>
    </row>
    <row r="745" spans="1:9">
      <c r="A745" s="4" t="s">
        <v>762</v>
      </c>
      <c r="B745" s="4">
        <v>34</v>
      </c>
      <c r="C745" s="4" t="s">
        <v>72</v>
      </c>
      <c r="D745" s="4" t="s">
        <v>72</v>
      </c>
      <c r="E745" s="4" t="s">
        <v>788</v>
      </c>
      <c r="F745" s="4" t="str">
        <f t="shared" si="42"/>
        <v>34|U|U</v>
      </c>
      <c r="G745" s="14">
        <f>INDEX('Transition Stepwise'!$J$2:$J$1137,MATCH(F745,'Transition Stepwise'!$E$2:$E$1137,0))</f>
        <v>0.17741935483870969</v>
      </c>
      <c r="H745" s="14" t="e">
        <f>INDEX(Background!$D$12:$D$27,MATCH(C745&amp;D745,INDEX(Background!$A$12:$A$27,0)&amp;INDEX(Background!$B$12:$B$27,0),0))</f>
        <v>#VALUE!</v>
      </c>
      <c r="I745" s="17" t="e">
        <f t="shared" si="43"/>
        <v>#VALUE!</v>
      </c>
    </row>
    <row r="746" spans="1:9">
      <c r="A746" s="4" t="s">
        <v>762</v>
      </c>
      <c r="B746" s="4">
        <v>35</v>
      </c>
      <c r="C746" s="4" t="s">
        <v>72</v>
      </c>
      <c r="D746" s="4" t="s">
        <v>73</v>
      </c>
      <c r="E746" s="4" t="s">
        <v>788</v>
      </c>
      <c r="F746" s="4" t="str">
        <f t="shared" si="42"/>
        <v>35|U|A</v>
      </c>
      <c r="G746" s="14">
        <f>INDEX('Transition Stepwise'!$J$2:$J$1137,MATCH(F746,'Transition Stepwise'!$E$2:$E$1137,0))</f>
        <v>0.17777777777777778</v>
      </c>
      <c r="H746" s="14" t="e">
        <f>INDEX(Background!$D$12:$D$27,MATCH(C746&amp;D746,INDEX(Background!$A$12:$A$27,0)&amp;INDEX(Background!$B$12:$B$27,0),0))</f>
        <v>#VALUE!</v>
      </c>
      <c r="I746" s="17" t="e">
        <f t="shared" si="43"/>
        <v>#VALUE!</v>
      </c>
    </row>
    <row r="747" spans="1:9">
      <c r="A747" s="4" t="s">
        <v>762</v>
      </c>
      <c r="B747" s="4">
        <v>36</v>
      </c>
      <c r="C747" s="4" t="s">
        <v>73</v>
      </c>
      <c r="D747" s="4" t="s">
        <v>71</v>
      </c>
      <c r="E747" s="4" t="s">
        <v>788</v>
      </c>
      <c r="F747" s="4" t="str">
        <f t="shared" si="42"/>
        <v>36|A|C</v>
      </c>
      <c r="G747" s="14">
        <f>INDEX('Transition Stepwise'!$J$2:$J$1137,MATCH(F747,'Transition Stepwise'!$E$2:$E$1137,0))</f>
        <v>4.2553191489361701E-2</v>
      </c>
      <c r="H747" s="14" t="e">
        <f>INDEX(Background!$D$12:$D$27,MATCH(C747&amp;D747,INDEX(Background!$A$12:$A$27,0)&amp;INDEX(Background!$B$12:$B$27,0),0))</f>
        <v>#VALUE!</v>
      </c>
      <c r="I747" s="17" t="e">
        <f t="shared" si="43"/>
        <v>#VALUE!</v>
      </c>
    </row>
    <row r="748" spans="1:9">
      <c r="A748" s="4" t="s">
        <v>762</v>
      </c>
      <c r="B748" s="4">
        <v>37</v>
      </c>
      <c r="C748" s="4" t="s">
        <v>71</v>
      </c>
      <c r="D748" s="4" t="s">
        <v>73</v>
      </c>
      <c r="E748" s="4" t="s">
        <v>788</v>
      </c>
      <c r="F748" s="4" t="str">
        <f t="shared" si="42"/>
        <v>37|C|A</v>
      </c>
      <c r="G748" s="14">
        <f>INDEX('Transition Stepwise'!$J$2:$J$1137,MATCH(F748,'Transition Stepwise'!$E$2:$E$1137,0))</f>
        <v>0.4</v>
      </c>
      <c r="H748" s="14" t="e">
        <f>INDEX(Background!$D$12:$D$27,MATCH(C748&amp;D748,INDEX(Background!$A$12:$A$27,0)&amp;INDEX(Background!$B$12:$B$27,0),0))</f>
        <v>#VALUE!</v>
      </c>
      <c r="I748" s="17" t="e">
        <f t="shared" si="43"/>
        <v>#VALUE!</v>
      </c>
    </row>
    <row r="749" spans="1:9">
      <c r="A749" s="4" t="s">
        <v>762</v>
      </c>
      <c r="B749" s="4">
        <v>38</v>
      </c>
      <c r="C749" s="4" t="s">
        <v>73</v>
      </c>
      <c r="D749" s="4" t="s">
        <v>73</v>
      </c>
      <c r="E749" s="4" t="s">
        <v>788</v>
      </c>
      <c r="F749" s="4" t="str">
        <f t="shared" si="42"/>
        <v>38|A|A</v>
      </c>
      <c r="G749" s="14">
        <f>INDEX('Transition Stepwise'!$J$2:$J$1137,MATCH(F749,'Transition Stepwise'!$E$2:$E$1137,0))</f>
        <v>0.11258278145695365</v>
      </c>
      <c r="H749" s="14" t="e">
        <f>INDEX(Background!$D$12:$D$27,MATCH(C749&amp;D749,INDEX(Background!$A$12:$A$27,0)&amp;INDEX(Background!$B$12:$B$27,0),0))</f>
        <v>#VALUE!</v>
      </c>
      <c r="I749" s="17" t="e">
        <f t="shared" si="43"/>
        <v>#VALUE!</v>
      </c>
    </row>
    <row r="750" spans="1:9">
      <c r="A750" s="4" t="s">
        <v>762</v>
      </c>
      <c r="B750" s="4">
        <v>39</v>
      </c>
      <c r="C750" s="4" t="s">
        <v>73</v>
      </c>
      <c r="D750" s="4" t="s">
        <v>73</v>
      </c>
      <c r="E750" s="4" t="s">
        <v>788</v>
      </c>
      <c r="F750" s="4" t="str">
        <f t="shared" si="42"/>
        <v>39|A|A</v>
      </c>
      <c r="G750" s="14">
        <f>INDEX('Transition Stepwise'!$J$2:$J$1137,MATCH(F750,'Transition Stepwise'!$E$2:$E$1137,0))</f>
        <v>4.5454545454545456E-2</v>
      </c>
      <c r="H750" s="14" t="e">
        <f>INDEX(Background!$D$12:$D$27,MATCH(C750&amp;D750,INDEX(Background!$A$12:$A$27,0)&amp;INDEX(Background!$B$12:$B$27,0),0))</f>
        <v>#VALUE!</v>
      </c>
      <c r="I750" s="17" t="e">
        <f t="shared" si="43"/>
        <v>#VALUE!</v>
      </c>
    </row>
    <row r="751" spans="1:9">
      <c r="A751" s="4" t="s">
        <v>762</v>
      </c>
      <c r="B751" s="4">
        <v>40</v>
      </c>
      <c r="C751" s="4" t="s">
        <v>73</v>
      </c>
      <c r="D751" s="4" t="s">
        <v>71</v>
      </c>
      <c r="E751" s="4" t="s">
        <v>788</v>
      </c>
      <c r="F751" s="4" t="str">
        <f t="shared" si="42"/>
        <v>40|A|C</v>
      </c>
      <c r="G751" s="14">
        <f>INDEX('Transition Stepwise'!$J$2:$J$1137,MATCH(F751,'Transition Stepwise'!$E$2:$E$1137,0))</f>
        <v>0.4</v>
      </c>
      <c r="H751" s="14" t="e">
        <f>INDEX(Background!$D$12:$D$27,MATCH(C751&amp;D751,INDEX(Background!$A$12:$A$27,0)&amp;INDEX(Background!$B$12:$B$27,0),0))</f>
        <v>#VALUE!</v>
      </c>
      <c r="I751" s="17" t="e">
        <f t="shared" si="43"/>
        <v>#VALUE!</v>
      </c>
    </row>
    <row r="752" spans="1:9">
      <c r="A752" s="4" t="s">
        <v>762</v>
      </c>
      <c r="B752" s="4">
        <v>41</v>
      </c>
      <c r="C752" s="4" t="s">
        <v>71</v>
      </c>
      <c r="D752" s="4" t="s">
        <v>72</v>
      </c>
      <c r="E752" s="4" t="s">
        <v>788</v>
      </c>
      <c r="F752" s="4" t="str">
        <f t="shared" si="42"/>
        <v>41|C|U</v>
      </c>
      <c r="G752" s="14">
        <f>INDEX('Transition Stepwise'!$J$2:$J$1137,MATCH(F752,'Transition Stepwise'!$E$2:$E$1137,0))</f>
        <v>6.1728395061728392E-2</v>
      </c>
      <c r="H752" s="14" t="e">
        <f>INDEX(Background!$D$12:$D$27,MATCH(C752&amp;D752,INDEX(Background!$A$12:$A$27,0)&amp;INDEX(Background!$B$12:$B$27,0),0))</f>
        <v>#VALUE!</v>
      </c>
      <c r="I752" s="17" t="e">
        <f t="shared" si="43"/>
        <v>#VALUE!</v>
      </c>
    </row>
    <row r="753" spans="1:9">
      <c r="A753" s="4" t="s">
        <v>762</v>
      </c>
      <c r="B753" s="4">
        <v>42</v>
      </c>
      <c r="C753" s="4" t="s">
        <v>72</v>
      </c>
      <c r="D753" s="4" t="s">
        <v>71</v>
      </c>
      <c r="E753" s="4" t="s">
        <v>788</v>
      </c>
      <c r="F753" s="4" t="str">
        <f t="shared" ref="F753:F784" si="44">B753&amp;"|"&amp;C753&amp;"|"&amp;D753</f>
        <v>42|U|C</v>
      </c>
      <c r="G753" s="14">
        <f>INDEX('Transition Stepwise'!$J$2:$J$1137,MATCH(F753,'Transition Stepwise'!$E$2:$E$1137,0))</f>
        <v>0.13333333333333333</v>
      </c>
      <c r="H753" s="14" t="e">
        <f>INDEX(Background!$D$12:$D$27,MATCH(C753&amp;D753,INDEX(Background!$A$12:$A$27,0)&amp;INDEX(Background!$B$12:$B$27,0),0))</f>
        <v>#VALUE!</v>
      </c>
      <c r="I753" s="17" t="e">
        <f t="shared" ref="I753:I784" si="45">LN(G753/H753)</f>
        <v>#VALUE!</v>
      </c>
    </row>
    <row r="754" spans="1:9">
      <c r="A754" s="4" t="s">
        <v>762</v>
      </c>
      <c r="B754" s="4">
        <v>43</v>
      </c>
      <c r="C754" s="4" t="s">
        <v>71</v>
      </c>
      <c r="D754" s="4" t="s">
        <v>73</v>
      </c>
      <c r="E754" s="4" t="s">
        <v>788</v>
      </c>
      <c r="F754" s="4" t="str">
        <f t="shared" si="44"/>
        <v>43|C|A</v>
      </c>
      <c r="G754" s="14">
        <f>INDEX('Transition Stepwise'!$J$2:$J$1137,MATCH(F754,'Transition Stepwise'!$E$2:$E$1137,0))</f>
        <v>0.37037037037037035</v>
      </c>
      <c r="H754" s="14" t="e">
        <f>INDEX(Background!$D$12:$D$27,MATCH(C754&amp;D754,INDEX(Background!$A$12:$A$27,0)&amp;INDEX(Background!$B$12:$B$27,0),0))</f>
        <v>#VALUE!</v>
      </c>
      <c r="I754" s="17" t="e">
        <f t="shared" si="45"/>
        <v>#VALUE!</v>
      </c>
    </row>
    <row r="755" spans="1:9">
      <c r="A755" s="4" t="s">
        <v>762</v>
      </c>
      <c r="B755" s="4">
        <v>44</v>
      </c>
      <c r="C755" s="4" t="s">
        <v>73</v>
      </c>
      <c r="D755" s="4" t="s">
        <v>70</v>
      </c>
      <c r="E755" s="4" t="s">
        <v>788</v>
      </c>
      <c r="F755" s="4" t="str">
        <f t="shared" si="44"/>
        <v>44|A|G</v>
      </c>
      <c r="G755" s="14">
        <f>INDEX('Transition Stepwise'!$J$2:$J$1137,MATCH(F755,'Transition Stepwise'!$E$2:$E$1137,0))</f>
        <v>0.85436893203883491</v>
      </c>
      <c r="H755" s="14" t="e">
        <f>INDEX(Background!$D$12:$D$27,MATCH(C755&amp;D755,INDEX(Background!$A$12:$A$27,0)&amp;INDEX(Background!$B$12:$B$27,0),0))</f>
        <v>#VALUE!</v>
      </c>
      <c r="I755" s="17" t="e">
        <f t="shared" si="45"/>
        <v>#VALUE!</v>
      </c>
    </row>
    <row r="756" spans="1:9">
      <c r="A756" s="4" t="s">
        <v>762</v>
      </c>
      <c r="B756" s="4">
        <v>45</v>
      </c>
      <c r="C756" s="4" t="s">
        <v>70</v>
      </c>
      <c r="D756" s="4" t="s">
        <v>70</v>
      </c>
      <c r="E756" s="4" t="s">
        <v>788</v>
      </c>
      <c r="F756" s="4" t="str">
        <f t="shared" si="44"/>
        <v>45|G|G</v>
      </c>
      <c r="G756" s="14">
        <f>INDEX('Transition Stepwise'!$J$2:$J$1137,MATCH(F756,'Transition Stepwise'!$E$2:$E$1137,0))</f>
        <v>0.82608695652173914</v>
      </c>
      <c r="H756" s="14" t="e">
        <f>INDEX(Background!$D$12:$D$27,MATCH(C756&amp;D756,INDEX(Background!$A$12:$A$27,0)&amp;INDEX(Background!$B$12:$B$27,0),0))</f>
        <v>#VALUE!</v>
      </c>
      <c r="I756" s="17" t="e">
        <f t="shared" si="45"/>
        <v>#VALUE!</v>
      </c>
    </row>
    <row r="757" spans="1:9">
      <c r="A757" s="4" t="s">
        <v>762</v>
      </c>
      <c r="B757" s="4">
        <v>46</v>
      </c>
      <c r="C757" s="4" t="s">
        <v>70</v>
      </c>
      <c r="D757" s="4" t="s">
        <v>73</v>
      </c>
      <c r="E757" s="4" t="s">
        <v>788</v>
      </c>
      <c r="F757" s="4" t="str">
        <f t="shared" si="44"/>
        <v>46|G|A</v>
      </c>
      <c r="G757" s="14">
        <f>INDEX('Transition Stepwise'!$J$2:$J$1137,MATCH(F757,'Transition Stepwise'!$E$2:$E$1137,0))</f>
        <v>7.0921985815602835E-3</v>
      </c>
      <c r="H757" s="14" t="e">
        <f>INDEX(Background!$D$12:$D$27,MATCH(C757&amp;D757,INDEX(Background!$A$12:$A$27,0)&amp;INDEX(Background!$B$12:$B$27,0),0))</f>
        <v>#VALUE!</v>
      </c>
      <c r="I757" s="17" t="e">
        <f t="shared" si="45"/>
        <v>#VALUE!</v>
      </c>
    </row>
    <row r="758" spans="1:9">
      <c r="A758" s="4" t="s">
        <v>762</v>
      </c>
      <c r="B758" s="4">
        <v>47</v>
      </c>
      <c r="C758" s="4" t="s">
        <v>73</v>
      </c>
      <c r="D758" s="4" t="s">
        <v>71</v>
      </c>
      <c r="E758" s="4" t="s">
        <v>788</v>
      </c>
      <c r="F758" s="4" t="str">
        <f t="shared" si="44"/>
        <v>47|A|C</v>
      </c>
      <c r="G758" s="14">
        <f>INDEX('Transition Stepwise'!$J$2:$J$1137,MATCH(F758,'Transition Stepwise'!$E$2:$E$1137,0))</f>
        <v>0.7</v>
      </c>
      <c r="H758" s="14" t="e">
        <f>INDEX(Background!$D$12:$D$27,MATCH(C758&amp;D758,INDEX(Background!$A$12:$A$27,0)&amp;INDEX(Background!$B$12:$B$27,0),0))</f>
        <v>#VALUE!</v>
      </c>
      <c r="I758" s="17" t="e">
        <f t="shared" si="45"/>
        <v>#VALUE!</v>
      </c>
    </row>
    <row r="759" spans="1:9">
      <c r="A759" s="4" t="s">
        <v>762</v>
      </c>
      <c r="B759" s="4">
        <v>48</v>
      </c>
      <c r="C759" s="4" t="s">
        <v>71</v>
      </c>
      <c r="D759" s="4" t="s">
        <v>72</v>
      </c>
      <c r="E759" s="4" t="s">
        <v>788</v>
      </c>
      <c r="F759" s="4" t="str">
        <f t="shared" si="44"/>
        <v>48|C|U</v>
      </c>
      <c r="G759" s="14">
        <f>INDEX('Transition Stepwise'!$J$2:$J$1137,MATCH(F759,'Transition Stepwise'!$E$2:$E$1137,0))</f>
        <v>5.8139534883720929E-2</v>
      </c>
      <c r="H759" s="14" t="e">
        <f>INDEX(Background!$D$12:$D$27,MATCH(C759&amp;D759,INDEX(Background!$A$12:$A$27,0)&amp;INDEX(Background!$B$12:$B$27,0),0))</f>
        <v>#VALUE!</v>
      </c>
      <c r="I759" s="17" t="e">
        <f t="shared" si="45"/>
        <v>#VALUE!</v>
      </c>
    </row>
    <row r="760" spans="1:9">
      <c r="A760" s="4" t="s">
        <v>762</v>
      </c>
      <c r="B760" s="4">
        <v>49</v>
      </c>
      <c r="C760" s="4" t="s">
        <v>72</v>
      </c>
      <c r="D760" s="4" t="s">
        <v>71</v>
      </c>
      <c r="E760" s="4" t="s">
        <v>788</v>
      </c>
      <c r="F760" s="4" t="str">
        <f t="shared" si="44"/>
        <v>49|U|C</v>
      </c>
      <c r="G760" s="14">
        <f>INDEX('Transition Stepwise'!$J$2:$J$1137,MATCH(F760,'Transition Stepwise'!$E$2:$E$1137,0))</f>
        <v>0.4</v>
      </c>
      <c r="H760" s="14" t="e">
        <f>INDEX(Background!$D$12:$D$27,MATCH(C760&amp;D760,INDEX(Background!$A$12:$A$27,0)&amp;INDEX(Background!$B$12:$B$27,0),0))</f>
        <v>#VALUE!</v>
      </c>
      <c r="I760" s="17" t="e">
        <f t="shared" si="45"/>
        <v>#VALUE!</v>
      </c>
    </row>
    <row r="761" spans="1:9">
      <c r="A761" s="4" t="s">
        <v>762</v>
      </c>
      <c r="B761" s="4">
        <v>50</v>
      </c>
      <c r="C761" s="4" t="s">
        <v>71</v>
      </c>
      <c r="D761" s="4" t="s">
        <v>73</v>
      </c>
      <c r="E761" s="4" t="s">
        <v>788</v>
      </c>
      <c r="F761" s="4" t="str">
        <f t="shared" si="44"/>
        <v>50|C|A</v>
      </c>
      <c r="G761" s="14">
        <f>INDEX('Transition Stepwise'!$J$2:$J$1137,MATCH(F761,'Transition Stepwise'!$E$2:$E$1137,0))</f>
        <v>0.18681318681318682</v>
      </c>
      <c r="H761" s="14" t="e">
        <f>INDEX(Background!$D$12:$D$27,MATCH(C761&amp;D761,INDEX(Background!$A$12:$A$27,0)&amp;INDEX(Background!$B$12:$B$27,0),0))</f>
        <v>#VALUE!</v>
      </c>
      <c r="I761" s="17" t="e">
        <f t="shared" si="45"/>
        <v>#VALUE!</v>
      </c>
    </row>
    <row r="762" spans="1:9">
      <c r="A762" s="4" t="s">
        <v>762</v>
      </c>
      <c r="B762" s="4">
        <v>51</v>
      </c>
      <c r="C762" s="4" t="s">
        <v>73</v>
      </c>
      <c r="D762" s="4" t="s">
        <v>70</v>
      </c>
      <c r="E762" s="4" t="s">
        <v>788</v>
      </c>
      <c r="F762" s="4" t="str">
        <f t="shared" si="44"/>
        <v>51|A|G</v>
      </c>
      <c r="G762" s="14">
        <f>INDEX('Transition Stepwise'!$J$2:$J$1137,MATCH(F762,'Transition Stepwise'!$E$2:$E$1137,0))</f>
        <v>0.875</v>
      </c>
      <c r="H762" s="14" t="e">
        <f>INDEX(Background!$D$12:$D$27,MATCH(C762&amp;D762,INDEX(Background!$A$12:$A$27,0)&amp;INDEX(Background!$B$12:$B$27,0),0))</f>
        <v>#VALUE!</v>
      </c>
      <c r="I762" s="17" t="e">
        <f t="shared" si="45"/>
        <v>#VALUE!</v>
      </c>
    </row>
    <row r="763" spans="1:9">
      <c r="A763" s="4" t="s">
        <v>762</v>
      </c>
      <c r="B763" s="4">
        <v>52</v>
      </c>
      <c r="C763" s="4" t="s">
        <v>70</v>
      </c>
      <c r="D763" s="4" t="s">
        <v>70</v>
      </c>
      <c r="E763" s="4" t="s">
        <v>788</v>
      </c>
      <c r="F763" s="4" t="str">
        <f t="shared" si="44"/>
        <v>52|G|G</v>
      </c>
      <c r="G763" s="14">
        <f>INDEX('Transition Stepwise'!$J$2:$J$1137,MATCH(F763,'Transition Stepwise'!$E$2:$E$1137,0))</f>
        <v>0.96511627906976749</v>
      </c>
      <c r="H763" s="14" t="e">
        <f>INDEX(Background!$D$12:$D$27,MATCH(C763&amp;D763,INDEX(Background!$A$12:$A$27,0)&amp;INDEX(Background!$B$12:$B$27,0),0))</f>
        <v>#VALUE!</v>
      </c>
      <c r="I763" s="17" t="e">
        <f t="shared" si="45"/>
        <v>#VALUE!</v>
      </c>
    </row>
    <row r="764" spans="1:9">
      <c r="A764" s="4" t="s">
        <v>762</v>
      </c>
      <c r="B764" s="4">
        <v>53</v>
      </c>
      <c r="C764" s="4" t="s">
        <v>70</v>
      </c>
      <c r="D764" s="4" t="s">
        <v>73</v>
      </c>
      <c r="E764" s="4" t="s">
        <v>788</v>
      </c>
      <c r="F764" s="4" t="str">
        <f t="shared" si="44"/>
        <v>53|G|A</v>
      </c>
      <c r="G764" s="14">
        <f>INDEX('Transition Stepwise'!$J$2:$J$1137,MATCH(F764,'Transition Stepwise'!$E$2:$E$1137,0))</f>
        <v>1.4999999999999999E-2</v>
      </c>
      <c r="H764" s="14" t="e">
        <f>INDEX(Background!$D$12:$D$27,MATCH(C764&amp;D764,INDEX(Background!$A$12:$A$27,0)&amp;INDEX(Background!$B$12:$B$27,0),0))</f>
        <v>#VALUE!</v>
      </c>
      <c r="I764" s="17" t="e">
        <f t="shared" si="45"/>
        <v>#VALUE!</v>
      </c>
    </row>
    <row r="765" spans="1:9">
      <c r="A765" s="4" t="s">
        <v>762</v>
      </c>
      <c r="B765" s="4">
        <v>54</v>
      </c>
      <c r="C765" s="4" t="s">
        <v>73</v>
      </c>
      <c r="D765" s="4" t="s">
        <v>72</v>
      </c>
      <c r="E765" s="4" t="s">
        <v>788</v>
      </c>
      <c r="F765" s="4" t="str">
        <f t="shared" si="44"/>
        <v>54|A|U</v>
      </c>
      <c r="G765" s="14">
        <f>INDEX('Transition Stepwise'!$J$2:$J$1137,MATCH(F765,'Transition Stepwise'!$E$2:$E$1137,0))</f>
        <v>0.5</v>
      </c>
      <c r="H765" s="14" t="e">
        <f>INDEX(Background!$D$12:$D$27,MATCH(C765&amp;D765,INDEX(Background!$A$12:$A$27,0)&amp;INDEX(Background!$B$12:$B$27,0),0))</f>
        <v>#VALUE!</v>
      </c>
      <c r="I765" s="17" t="e">
        <f t="shared" si="45"/>
        <v>#VALUE!</v>
      </c>
    </row>
    <row r="766" spans="1:9">
      <c r="A766" s="4" t="s">
        <v>762</v>
      </c>
      <c r="B766" s="4">
        <v>55</v>
      </c>
      <c r="C766" s="4" t="s">
        <v>72</v>
      </c>
      <c r="D766" s="4" t="s">
        <v>71</v>
      </c>
      <c r="E766" s="4" t="s">
        <v>788</v>
      </c>
      <c r="F766" s="4" t="str">
        <f t="shared" si="44"/>
        <v>55|U|C</v>
      </c>
      <c r="G766" s="14">
        <f>INDEX('Transition Stepwise'!$J$2:$J$1137,MATCH(F766,'Transition Stepwise'!$E$2:$E$1137,0))</f>
        <v>0.97512437810945274</v>
      </c>
      <c r="H766" s="14" t="e">
        <f>INDEX(Background!$D$12:$D$27,MATCH(C766&amp;D766,INDEX(Background!$A$12:$A$27,0)&amp;INDEX(Background!$B$12:$B$27,0),0))</f>
        <v>#VALUE!</v>
      </c>
      <c r="I766" s="17" t="e">
        <f t="shared" si="45"/>
        <v>#VALUE!</v>
      </c>
    </row>
    <row r="767" spans="1:9">
      <c r="A767" s="4" t="s">
        <v>762</v>
      </c>
      <c r="B767" s="4">
        <v>56</v>
      </c>
      <c r="C767" s="4" t="s">
        <v>71</v>
      </c>
      <c r="D767" s="4" t="s">
        <v>73</v>
      </c>
      <c r="E767" s="4" t="s">
        <v>788</v>
      </c>
      <c r="F767" s="4" t="str">
        <f t="shared" si="44"/>
        <v>56|C|A</v>
      </c>
      <c r="G767" s="14">
        <f>INDEX('Transition Stepwise'!$J$2:$J$1137,MATCH(F767,'Transition Stepwise'!$E$2:$E$1137,0))</f>
        <v>0.38500000000000001</v>
      </c>
      <c r="H767" s="14" t="e">
        <f>INDEX(Background!$D$12:$D$27,MATCH(C767&amp;D767,INDEX(Background!$A$12:$A$27,0)&amp;INDEX(Background!$B$12:$B$27,0),0))</f>
        <v>#VALUE!</v>
      </c>
      <c r="I767" s="17" t="e">
        <f t="shared" si="45"/>
        <v>#VALUE!</v>
      </c>
    </row>
    <row r="768" spans="1:9">
      <c r="A768" s="4" t="s">
        <v>762</v>
      </c>
      <c r="B768" s="4">
        <v>57</v>
      </c>
      <c r="C768" s="4" t="s">
        <v>73</v>
      </c>
      <c r="D768" s="4" t="s">
        <v>72</v>
      </c>
      <c r="E768" s="4" t="s">
        <v>788</v>
      </c>
      <c r="F768" s="4" t="str">
        <f t="shared" si="44"/>
        <v>57|A|U</v>
      </c>
      <c r="G768" s="14">
        <f>INDEX('Transition Stepwise'!$J$2:$J$1137,MATCH(F768,'Transition Stepwise'!$E$2:$E$1137,0))</f>
        <v>2.4691358024691357E-2</v>
      </c>
      <c r="H768" s="14" t="e">
        <f>INDEX(Background!$D$12:$D$27,MATCH(C768&amp;D768,INDEX(Background!$A$12:$A$27,0)&amp;INDEX(Background!$B$12:$B$27,0),0))</f>
        <v>#VALUE!</v>
      </c>
      <c r="I768" s="17" t="e">
        <f t="shared" si="45"/>
        <v>#VALUE!</v>
      </c>
    </row>
    <row r="769" spans="1:9">
      <c r="A769" s="4" t="s">
        <v>762</v>
      </c>
      <c r="B769" s="4">
        <v>58</v>
      </c>
      <c r="C769" s="4" t="s">
        <v>72</v>
      </c>
      <c r="D769" s="4" t="s">
        <v>73</v>
      </c>
      <c r="E769" s="4" t="s">
        <v>788</v>
      </c>
      <c r="F769" s="4" t="str">
        <f t="shared" si="44"/>
        <v>58|U|A</v>
      </c>
      <c r="G769" s="14">
        <f>INDEX('Transition Stepwise'!$J$2:$J$1137,MATCH(F769,'Transition Stepwise'!$E$2:$E$1137,0))</f>
        <v>0.2</v>
      </c>
      <c r="H769" s="14" t="e">
        <f>INDEX(Background!$D$12:$D$27,MATCH(C769&amp;D769,INDEX(Background!$A$12:$A$27,0)&amp;INDEX(Background!$B$12:$B$27,0),0))</f>
        <v>#VALUE!</v>
      </c>
      <c r="I769" s="17" t="e">
        <f t="shared" si="45"/>
        <v>#VALUE!</v>
      </c>
    </row>
    <row r="770" spans="1:9">
      <c r="A770" s="4" t="s">
        <v>762</v>
      </c>
      <c r="B770" s="4">
        <v>59</v>
      </c>
      <c r="C770" s="4" t="s">
        <v>73</v>
      </c>
      <c r="D770" s="4" t="s">
        <v>72</v>
      </c>
      <c r="E770" s="4" t="s">
        <v>788</v>
      </c>
      <c r="F770" s="4" t="str">
        <f t="shared" si="44"/>
        <v>59|A|U</v>
      </c>
      <c r="G770" s="14">
        <f>INDEX('Transition Stepwise'!$J$2:$J$1137,MATCH(F770,'Transition Stepwise'!$E$2:$E$1137,0))</f>
        <v>0.85263157894736841</v>
      </c>
      <c r="H770" s="14" t="e">
        <f>INDEX(Background!$D$12:$D$27,MATCH(C770&amp;D770,INDEX(Background!$A$12:$A$27,0)&amp;INDEX(Background!$B$12:$B$27,0),0))</f>
        <v>#VALUE!</v>
      </c>
      <c r="I770" s="17" t="e">
        <f t="shared" si="45"/>
        <v>#VALUE!</v>
      </c>
    </row>
    <row r="771" spans="1:9">
      <c r="A771" s="4" t="s">
        <v>762</v>
      </c>
      <c r="B771" s="4">
        <v>60</v>
      </c>
      <c r="C771" s="4" t="s">
        <v>72</v>
      </c>
      <c r="D771" s="4" t="s">
        <v>71</v>
      </c>
      <c r="E771" s="4" t="s">
        <v>788</v>
      </c>
      <c r="F771" s="4" t="str">
        <f t="shared" si="44"/>
        <v>60|U|C</v>
      </c>
      <c r="G771" s="14">
        <f>INDEX('Transition Stepwise'!$J$2:$J$1137,MATCH(F771,'Transition Stepwise'!$E$2:$E$1137,0))</f>
        <v>0.97515527950310554</v>
      </c>
      <c r="H771" s="14" t="e">
        <f>INDEX(Background!$D$12:$D$27,MATCH(C771&amp;D771,INDEX(Background!$A$12:$A$27,0)&amp;INDEX(Background!$B$12:$B$27,0),0))</f>
        <v>#VALUE!</v>
      </c>
      <c r="I771" s="17" t="e">
        <f t="shared" si="45"/>
        <v>#VALUE!</v>
      </c>
    </row>
    <row r="772" spans="1:9">
      <c r="A772" s="4" t="s">
        <v>762</v>
      </c>
      <c r="B772" s="4">
        <v>61</v>
      </c>
      <c r="C772" s="4" t="s">
        <v>71</v>
      </c>
      <c r="D772" s="4" t="s">
        <v>72</v>
      </c>
      <c r="E772" s="4" t="s">
        <v>788</v>
      </c>
      <c r="F772" s="4" t="str">
        <f t="shared" si="44"/>
        <v>61|C|U</v>
      </c>
      <c r="G772" s="14">
        <f>INDEX('Transition Stepwise'!$J$2:$J$1137,MATCH(F772,'Transition Stepwise'!$E$2:$E$1137,0))</f>
        <v>0.12871287128712872</v>
      </c>
      <c r="H772" s="14" t="e">
        <f>INDEX(Background!$D$12:$D$27,MATCH(C772&amp;D772,INDEX(Background!$A$12:$A$27,0)&amp;INDEX(Background!$B$12:$B$27,0),0))</f>
        <v>#VALUE!</v>
      </c>
      <c r="I772" s="17" t="e">
        <f t="shared" si="45"/>
        <v>#VALUE!</v>
      </c>
    </row>
    <row r="773" spans="1:9">
      <c r="A773" s="4" t="s">
        <v>762</v>
      </c>
      <c r="B773" s="4">
        <v>62</v>
      </c>
      <c r="C773" s="4" t="s">
        <v>72</v>
      </c>
      <c r="D773" s="4" t="s">
        <v>72</v>
      </c>
      <c r="E773" s="4" t="s">
        <v>788</v>
      </c>
      <c r="F773" s="4" t="str">
        <f t="shared" si="44"/>
        <v>62|U|U</v>
      </c>
      <c r="G773" s="14">
        <f>INDEX('Transition Stepwise'!$J$2:$J$1137,MATCH(F773,'Transition Stepwise'!$E$2:$E$1137,0))</f>
        <v>0.1</v>
      </c>
      <c r="H773" s="14" t="e">
        <f>INDEX(Background!$D$12:$D$27,MATCH(C773&amp;D773,INDEX(Background!$A$12:$A$27,0)&amp;INDEX(Background!$B$12:$B$27,0),0))</f>
        <v>#VALUE!</v>
      </c>
      <c r="I773" s="17" t="e">
        <f t="shared" si="45"/>
        <v>#VALUE!</v>
      </c>
    </row>
    <row r="774" spans="1:9">
      <c r="A774" s="4" t="s">
        <v>762</v>
      </c>
      <c r="B774" s="4">
        <v>63</v>
      </c>
      <c r="C774" s="4" t="s">
        <v>72</v>
      </c>
      <c r="D774" s="4" t="s">
        <v>70</v>
      </c>
      <c r="E774" s="4" t="s">
        <v>788</v>
      </c>
      <c r="F774" s="4" t="str">
        <f t="shared" si="44"/>
        <v>63|U|G</v>
      </c>
      <c r="G774" s="14">
        <f>INDEX('Transition Stepwise'!$J$2:$J$1137,MATCH(F774,'Transition Stepwise'!$E$2:$E$1137,0))</f>
        <v>0.52777777777777779</v>
      </c>
      <c r="H774" s="14" t="e">
        <f>INDEX(Background!$D$12:$D$27,MATCH(C774&amp;D774,INDEX(Background!$A$12:$A$27,0)&amp;INDEX(Background!$B$12:$B$27,0),0))</f>
        <v>#VALUE!</v>
      </c>
      <c r="I774" s="17" t="e">
        <f t="shared" si="45"/>
        <v>#VALUE!</v>
      </c>
    </row>
    <row r="775" spans="1:9">
      <c r="A775" s="4" t="s">
        <v>762</v>
      </c>
      <c r="B775" s="4">
        <v>64</v>
      </c>
      <c r="C775" s="4" t="s">
        <v>70</v>
      </c>
      <c r="D775" s="4" t="s">
        <v>73</v>
      </c>
      <c r="E775" s="4" t="s">
        <v>788</v>
      </c>
      <c r="F775" s="4" t="str">
        <f t="shared" si="44"/>
        <v>64|G|A</v>
      </c>
      <c r="G775" s="14">
        <f>INDEX('Transition Stepwise'!$J$2:$J$1137,MATCH(F775,'Transition Stepwise'!$E$2:$E$1137,0))</f>
        <v>3.125E-2</v>
      </c>
      <c r="H775" s="14" t="e">
        <f>INDEX(Background!$D$12:$D$27,MATCH(C775&amp;D775,INDEX(Background!$A$12:$A$27,0)&amp;INDEX(Background!$B$12:$B$27,0),0))</f>
        <v>#VALUE!</v>
      </c>
      <c r="I775" s="17" t="e">
        <f t="shared" si="45"/>
        <v>#VALUE!</v>
      </c>
    </row>
    <row r="776" spans="1:9">
      <c r="A776" s="4" t="s">
        <v>762</v>
      </c>
      <c r="B776" s="4">
        <v>65</v>
      </c>
      <c r="C776" s="4" t="s">
        <v>73</v>
      </c>
      <c r="D776" s="4" t="s">
        <v>72</v>
      </c>
      <c r="E776" s="4" t="s">
        <v>788</v>
      </c>
      <c r="F776" s="4" t="str">
        <f t="shared" si="44"/>
        <v>65|A|U</v>
      </c>
      <c r="G776" s="14">
        <f>INDEX('Transition Stepwise'!$J$2:$J$1137,MATCH(F776,'Transition Stepwise'!$E$2:$E$1137,0))</f>
        <v>0.53846153846153844</v>
      </c>
      <c r="H776" s="14" t="e">
        <f>INDEX(Background!$D$12:$D$27,MATCH(C776&amp;D776,INDEX(Background!$A$12:$A$27,0)&amp;INDEX(Background!$B$12:$B$27,0),0))</f>
        <v>#VALUE!</v>
      </c>
      <c r="I776" s="17" t="e">
        <f t="shared" si="45"/>
        <v>#VALUE!</v>
      </c>
    </row>
    <row r="777" spans="1:9">
      <c r="A777" s="4" t="s">
        <v>762</v>
      </c>
      <c r="B777" s="4">
        <v>66</v>
      </c>
      <c r="C777" s="4" t="s">
        <v>72</v>
      </c>
      <c r="D777" s="4" t="s">
        <v>70</v>
      </c>
      <c r="E777" s="4" t="s">
        <v>788</v>
      </c>
      <c r="F777" s="4" t="str">
        <f t="shared" si="44"/>
        <v>66|U|G</v>
      </c>
      <c r="G777" s="14">
        <f>INDEX('Transition Stepwise'!$J$2:$J$1137,MATCH(F777,'Transition Stepwise'!$E$2:$E$1137,0))</f>
        <v>0.20370370370370369</v>
      </c>
      <c r="H777" s="14" t="e">
        <f>INDEX(Background!$D$12:$D$27,MATCH(C777&amp;D777,INDEX(Background!$A$12:$A$27,0)&amp;INDEX(Background!$B$12:$B$27,0),0))</f>
        <v>#VALUE!</v>
      </c>
      <c r="I777" s="17" t="e">
        <f t="shared" si="45"/>
        <v>#VALUE!</v>
      </c>
    </row>
    <row r="778" spans="1:9">
      <c r="A778" s="4" t="s">
        <v>762</v>
      </c>
      <c r="B778" s="4">
        <v>67</v>
      </c>
      <c r="C778" s="4" t="s">
        <v>70</v>
      </c>
      <c r="D778" s="4" t="s">
        <v>73</v>
      </c>
      <c r="E778" s="4" t="s">
        <v>788</v>
      </c>
      <c r="F778" s="4" t="str">
        <f t="shared" si="44"/>
        <v>67|G|A</v>
      </c>
      <c r="G778" s="14">
        <f>INDEX('Transition Stepwise'!$J$2:$J$1137,MATCH(F778,'Transition Stepwise'!$E$2:$E$1137,0))</f>
        <v>7.5949367088607597E-2</v>
      </c>
      <c r="H778" s="14" t="e">
        <f>INDEX(Background!$D$12:$D$27,MATCH(C778&amp;D778,INDEX(Background!$A$12:$A$27,0)&amp;INDEX(Background!$B$12:$B$27,0),0))</f>
        <v>#VALUE!</v>
      </c>
      <c r="I778" s="17" t="e">
        <f t="shared" si="45"/>
        <v>#VALUE!</v>
      </c>
    </row>
    <row r="779" spans="1:9">
      <c r="A779" s="4" t="s">
        <v>762</v>
      </c>
      <c r="B779" s="4">
        <v>68</v>
      </c>
      <c r="C779" s="4" t="s">
        <v>73</v>
      </c>
      <c r="D779" s="4" t="s">
        <v>70</v>
      </c>
      <c r="E779" s="4" t="s">
        <v>788</v>
      </c>
      <c r="F779" s="4" t="str">
        <f t="shared" si="44"/>
        <v>68|A|G</v>
      </c>
      <c r="G779" s="14">
        <f>INDEX('Transition Stepwise'!$J$2:$J$1137,MATCH(F779,'Transition Stepwise'!$E$2:$E$1137,0))</f>
        <v>0.36842105263157893</v>
      </c>
      <c r="H779" s="14" t="e">
        <f>INDEX(Background!$D$12:$D$27,MATCH(C779&amp;D779,INDEX(Background!$A$12:$A$27,0)&amp;INDEX(Background!$B$12:$B$27,0),0))</f>
        <v>#VALUE!</v>
      </c>
      <c r="I779" s="17" t="e">
        <f t="shared" si="45"/>
        <v>#VALUE!</v>
      </c>
    </row>
    <row r="780" spans="1:9">
      <c r="A780" s="4" t="s">
        <v>762</v>
      </c>
      <c r="B780" s="4">
        <v>69</v>
      </c>
      <c r="C780" s="4" t="s">
        <v>70</v>
      </c>
      <c r="D780" s="4" t="s">
        <v>70</v>
      </c>
      <c r="E780" s="4" t="s">
        <v>788</v>
      </c>
      <c r="F780" s="4" t="str">
        <f t="shared" si="44"/>
        <v>69|G|G</v>
      </c>
      <c r="G780" s="14">
        <f>INDEX('Transition Stepwise'!$J$2:$J$1137,MATCH(F780,'Transition Stepwise'!$E$2:$E$1137,0))</f>
        <v>0.40540540540540543</v>
      </c>
      <c r="H780" s="14" t="e">
        <f>INDEX(Background!$D$12:$D$27,MATCH(C780&amp;D780,INDEX(Background!$A$12:$A$27,0)&amp;INDEX(Background!$B$12:$B$27,0),0))</f>
        <v>#VALUE!</v>
      </c>
      <c r="I780" s="17" t="e">
        <f t="shared" si="45"/>
        <v>#VALUE!</v>
      </c>
    </row>
    <row r="781" spans="1:9">
      <c r="A781" s="4" t="s">
        <v>762</v>
      </c>
      <c r="B781" s="4">
        <v>70</v>
      </c>
      <c r="C781" s="4" t="s">
        <v>70</v>
      </c>
      <c r="D781" s="4" t="s">
        <v>73</v>
      </c>
      <c r="E781" s="4" t="s">
        <v>788</v>
      </c>
      <c r="F781" s="4" t="str">
        <f t="shared" si="44"/>
        <v>70|G|A</v>
      </c>
      <c r="G781" s="14">
        <f>INDEX('Transition Stepwise'!$J$2:$J$1137,MATCH(F781,'Transition Stepwise'!$E$2:$E$1137,0))</f>
        <v>5.0632911392405063E-2</v>
      </c>
      <c r="H781" s="14" t="e">
        <f>INDEX(Background!$D$12:$D$27,MATCH(C781&amp;D781,INDEX(Background!$A$12:$A$27,0)&amp;INDEX(Background!$B$12:$B$27,0),0))</f>
        <v>#VALUE!</v>
      </c>
      <c r="I781" s="17" t="e">
        <f t="shared" si="45"/>
        <v>#VALUE!</v>
      </c>
    </row>
    <row r="782" spans="1:9">
      <c r="A782" s="4" t="s">
        <v>762</v>
      </c>
      <c r="B782" s="4">
        <v>71</v>
      </c>
      <c r="C782" s="4" t="s">
        <v>73</v>
      </c>
      <c r="D782" s="4" t="s">
        <v>72</v>
      </c>
      <c r="E782" s="4" t="s">
        <v>788</v>
      </c>
      <c r="F782" s="4" t="str">
        <f t="shared" si="44"/>
        <v>71|A|U</v>
      </c>
      <c r="G782" s="14">
        <f>INDEX('Transition Stepwise'!$J$2:$J$1137,MATCH(F782,'Transition Stepwise'!$E$2:$E$1137,0))</f>
        <v>0.1111111111111111</v>
      </c>
      <c r="H782" s="14" t="e">
        <f>INDEX(Background!$D$12:$D$27,MATCH(C782&amp;D782,INDEX(Background!$A$12:$A$27,0)&amp;INDEX(Background!$B$12:$B$27,0),0))</f>
        <v>#VALUE!</v>
      </c>
      <c r="I782" s="17" t="e">
        <f t="shared" si="45"/>
        <v>#VALUE!</v>
      </c>
    </row>
    <row r="783" spans="1:9">
      <c r="A783" s="4" t="s">
        <v>763</v>
      </c>
      <c r="B783" s="4">
        <v>1</v>
      </c>
      <c r="C783" s="4" t="s">
        <v>70</v>
      </c>
      <c r="D783" s="4" t="s">
        <v>73</v>
      </c>
      <c r="E783" s="4" t="s">
        <v>788</v>
      </c>
      <c r="F783" s="4" t="str">
        <f t="shared" si="44"/>
        <v>1|G|A</v>
      </c>
      <c r="G783" s="14">
        <f>INDEX('Transition Stepwise'!$J$2:$J$1137,MATCH(F783,'Transition Stepwise'!$E$2:$E$1137,0))</f>
        <v>4.4871794871794872E-2</v>
      </c>
      <c r="H783" s="14" t="e">
        <f>INDEX(Background!$D$12:$D$27,MATCH(C783&amp;D783,INDEX(Background!$A$12:$A$27,0)&amp;INDEX(Background!$B$12:$B$27,0),0))</f>
        <v>#VALUE!</v>
      </c>
      <c r="I783" s="17" t="e">
        <f t="shared" si="45"/>
        <v>#VALUE!</v>
      </c>
    </row>
    <row r="784" spans="1:9">
      <c r="A784" s="4" t="s">
        <v>763</v>
      </c>
      <c r="B784" s="4">
        <v>2</v>
      </c>
      <c r="C784" s="4" t="s">
        <v>73</v>
      </c>
      <c r="D784" s="4" t="s">
        <v>70</v>
      </c>
      <c r="E784" s="4" t="s">
        <v>788</v>
      </c>
      <c r="F784" s="4" t="str">
        <f t="shared" si="44"/>
        <v>2|A|G</v>
      </c>
      <c r="G784" s="14">
        <f>INDEX('Transition Stepwise'!$J$2:$J$1137,MATCH(F784,'Transition Stepwise'!$E$2:$E$1137,0))</f>
        <v>0.2</v>
      </c>
      <c r="H784" s="14" t="e">
        <f>INDEX(Background!$D$12:$D$27,MATCH(C784&amp;D784,INDEX(Background!$A$12:$A$27,0)&amp;INDEX(Background!$B$12:$B$27,0),0))</f>
        <v>#VALUE!</v>
      </c>
      <c r="I784" s="17" t="e">
        <f t="shared" si="45"/>
        <v>#VALUE!</v>
      </c>
    </row>
    <row r="785" spans="1:9">
      <c r="A785" s="4" t="s">
        <v>763</v>
      </c>
      <c r="B785" s="4">
        <v>3</v>
      </c>
      <c r="C785" s="4" t="s">
        <v>70</v>
      </c>
      <c r="D785" s="4" t="s">
        <v>72</v>
      </c>
      <c r="E785" s="4" t="s">
        <v>788</v>
      </c>
      <c r="F785" s="4" t="str">
        <f t="shared" ref="F785:F796" si="46">B785&amp;"|"&amp;C785&amp;"|"&amp;D785</f>
        <v>3|G|U</v>
      </c>
      <c r="G785" s="14">
        <f>INDEX('Transition Stepwise'!$J$2:$J$1137,MATCH(F785,'Transition Stepwise'!$E$2:$E$1137,0))</f>
        <v>0.13333333333333333</v>
      </c>
      <c r="H785" s="14" t="e">
        <f>INDEX(Background!$D$12:$D$27,MATCH(C785&amp;D785,INDEX(Background!$A$12:$A$27,0)&amp;INDEX(Background!$B$12:$B$27,0),0))</f>
        <v>#VALUE!</v>
      </c>
      <c r="I785" s="17" t="e">
        <f t="shared" ref="I785:I816" si="47">LN(G785/H785)</f>
        <v>#VALUE!</v>
      </c>
    </row>
    <row r="786" spans="1:9">
      <c r="A786" s="4" t="s">
        <v>763</v>
      </c>
      <c r="B786" s="4">
        <v>4</v>
      </c>
      <c r="C786" s="4" t="s">
        <v>72</v>
      </c>
      <c r="D786" s="4" t="s">
        <v>72</v>
      </c>
      <c r="E786" s="4" t="s">
        <v>788</v>
      </c>
      <c r="F786" s="4" t="str">
        <f t="shared" si="46"/>
        <v>4|U|U</v>
      </c>
      <c r="G786" s="14">
        <f>INDEX('Transition Stepwise'!$J$2:$J$1137,MATCH(F786,'Transition Stepwise'!$E$2:$E$1137,0))</f>
        <v>0.21052631578947367</v>
      </c>
      <c r="H786" s="14" t="e">
        <f>INDEX(Background!$D$12:$D$27,MATCH(C786&amp;D786,INDEX(Background!$A$12:$A$27,0)&amp;INDEX(Background!$B$12:$B$27,0),0))</f>
        <v>#VALUE!</v>
      </c>
      <c r="I786" s="17" t="e">
        <f t="shared" si="47"/>
        <v>#VALUE!</v>
      </c>
    </row>
    <row r="787" spans="1:9">
      <c r="A787" s="4" t="s">
        <v>763</v>
      </c>
      <c r="B787" s="4">
        <v>5</v>
      </c>
      <c r="C787" s="4" t="s">
        <v>72</v>
      </c>
      <c r="D787" s="4" t="s">
        <v>70</v>
      </c>
      <c r="E787" s="4" t="s">
        <v>788</v>
      </c>
      <c r="F787" s="4" t="str">
        <f t="shared" si="46"/>
        <v>5|U|G</v>
      </c>
      <c r="G787" s="14">
        <f>INDEX('Transition Stepwise'!$J$2:$J$1137,MATCH(F787,'Transition Stepwise'!$E$2:$E$1137,0))</f>
        <v>0.36</v>
      </c>
      <c r="H787" s="14" t="e">
        <f>INDEX(Background!$D$12:$D$27,MATCH(C787&amp;D787,INDEX(Background!$A$12:$A$27,0)&amp;INDEX(Background!$B$12:$B$27,0),0))</f>
        <v>#VALUE!</v>
      </c>
      <c r="I787" s="17" t="e">
        <f t="shared" si="47"/>
        <v>#VALUE!</v>
      </c>
    </row>
    <row r="788" spans="1:9">
      <c r="A788" s="4" t="s">
        <v>763</v>
      </c>
      <c r="B788" s="4">
        <v>6</v>
      </c>
      <c r="C788" s="4" t="s">
        <v>70</v>
      </c>
      <c r="D788" s="4" t="s">
        <v>73</v>
      </c>
      <c r="E788" s="4" t="s">
        <v>788</v>
      </c>
      <c r="F788" s="4" t="str">
        <f t="shared" si="46"/>
        <v>6|G|A</v>
      </c>
      <c r="G788" s="14">
        <f>INDEX('Transition Stepwise'!$J$2:$J$1137,MATCH(F788,'Transition Stepwise'!$E$2:$E$1137,0))</f>
        <v>0.23076923076923078</v>
      </c>
      <c r="H788" s="14" t="e">
        <f>INDEX(Background!$D$12:$D$27,MATCH(C788&amp;D788,INDEX(Background!$A$12:$A$27,0)&amp;INDEX(Background!$B$12:$B$27,0),0))</f>
        <v>#VALUE!</v>
      </c>
      <c r="I788" s="17" t="e">
        <f t="shared" si="47"/>
        <v>#VALUE!</v>
      </c>
    </row>
    <row r="789" spans="1:9">
      <c r="A789" s="4" t="s">
        <v>763</v>
      </c>
      <c r="B789" s="4">
        <v>7</v>
      </c>
      <c r="C789" s="4" t="s">
        <v>73</v>
      </c>
      <c r="D789" s="4" t="s">
        <v>72</v>
      </c>
      <c r="E789" s="4" t="s">
        <v>788</v>
      </c>
      <c r="F789" s="4" t="str">
        <f t="shared" si="46"/>
        <v>7|A|U</v>
      </c>
      <c r="G789" s="14">
        <f>INDEX('Transition Stepwise'!$J$2:$J$1137,MATCH(F789,'Transition Stepwise'!$E$2:$E$1137,0))</f>
        <v>0.92307692307692313</v>
      </c>
      <c r="H789" s="14" t="e">
        <f>INDEX(Background!$D$12:$D$27,MATCH(C789&amp;D789,INDEX(Background!$A$12:$A$27,0)&amp;INDEX(Background!$B$12:$B$27,0),0))</f>
        <v>#VALUE!</v>
      </c>
      <c r="I789" s="17" t="e">
        <f t="shared" si="47"/>
        <v>#VALUE!</v>
      </c>
    </row>
    <row r="790" spans="1:9">
      <c r="A790" s="4" t="s">
        <v>763</v>
      </c>
      <c r="B790" s="4">
        <v>8</v>
      </c>
      <c r="C790" s="4" t="s">
        <v>72</v>
      </c>
      <c r="D790" s="4" t="s">
        <v>70</v>
      </c>
      <c r="E790" s="4" t="s">
        <v>788</v>
      </c>
      <c r="F790" s="4" t="str">
        <f t="shared" si="46"/>
        <v>8|U|G</v>
      </c>
      <c r="G790" s="14">
        <f>INDEX('Transition Stepwise'!$J$2:$J$1137,MATCH(F790,'Transition Stepwise'!$E$2:$E$1137,0))</f>
        <v>0.30845771144278605</v>
      </c>
      <c r="H790" s="14" t="e">
        <f>INDEX(Background!$D$12:$D$27,MATCH(C790&amp;D790,INDEX(Background!$A$12:$A$27,0)&amp;INDEX(Background!$B$12:$B$27,0),0))</f>
        <v>#VALUE!</v>
      </c>
      <c r="I790" s="17" t="e">
        <f t="shared" si="47"/>
        <v>#VALUE!</v>
      </c>
    </row>
    <row r="791" spans="1:9">
      <c r="A791" s="4" t="s">
        <v>763</v>
      </c>
      <c r="B791" s="4">
        <v>9</v>
      </c>
      <c r="C791" s="4" t="s">
        <v>70</v>
      </c>
      <c r="D791" s="4" t="s">
        <v>72</v>
      </c>
      <c r="E791" s="4" t="s">
        <v>788</v>
      </c>
      <c r="F791" s="4" t="str">
        <f t="shared" si="46"/>
        <v>9|G|U</v>
      </c>
      <c r="G791" s="14">
        <f>INDEX('Transition Stepwise'!$J$2:$J$1137,MATCH(F791,'Transition Stepwise'!$E$2:$E$1137,0))</f>
        <v>1.5384615384615385E-2</v>
      </c>
      <c r="H791" s="14" t="e">
        <f>INDEX(Background!$D$12:$D$27,MATCH(C791&amp;D791,INDEX(Background!$A$12:$A$27,0)&amp;INDEX(Background!$B$12:$B$27,0),0))</f>
        <v>#VALUE!</v>
      </c>
      <c r="I791" s="17" t="e">
        <f t="shared" si="47"/>
        <v>#VALUE!</v>
      </c>
    </row>
    <row r="792" spans="1:9">
      <c r="A792" s="4" t="s">
        <v>763</v>
      </c>
      <c r="B792" s="4">
        <v>10</v>
      </c>
      <c r="C792" s="4" t="s">
        <v>72</v>
      </c>
      <c r="D792" s="4" t="s">
        <v>73</v>
      </c>
      <c r="E792" s="4" t="s">
        <v>788</v>
      </c>
      <c r="F792" s="4" t="str">
        <f t="shared" si="46"/>
        <v>10|U|A</v>
      </c>
      <c r="G792" s="14">
        <f>INDEX('Transition Stepwise'!$J$2:$J$1137,MATCH(F792,'Transition Stepwise'!$E$2:$E$1137,0))</f>
        <v>0.25</v>
      </c>
      <c r="H792" s="14" t="e">
        <f>INDEX(Background!$D$12:$D$27,MATCH(C792&amp;D792,INDEX(Background!$A$12:$A$27,0)&amp;INDEX(Background!$B$12:$B$27,0),0))</f>
        <v>#VALUE!</v>
      </c>
      <c r="I792" s="17" t="e">
        <f t="shared" si="47"/>
        <v>#VALUE!</v>
      </c>
    </row>
    <row r="793" spans="1:9">
      <c r="A793" s="4" t="s">
        <v>763</v>
      </c>
      <c r="B793" s="4">
        <v>11</v>
      </c>
      <c r="C793" s="4" t="s">
        <v>73</v>
      </c>
      <c r="D793" s="4" t="s">
        <v>72</v>
      </c>
      <c r="E793" s="4" t="s">
        <v>788</v>
      </c>
      <c r="F793" s="4" t="str">
        <f t="shared" si="46"/>
        <v>11|A|U</v>
      </c>
      <c r="G793" s="14">
        <f>INDEX('Transition Stepwise'!$J$2:$J$1137,MATCH(F793,'Transition Stepwise'!$E$2:$E$1137,0))</f>
        <v>0.36363636363636365</v>
      </c>
      <c r="H793" s="14" t="e">
        <f>INDEX(Background!$D$12:$D$27,MATCH(C793&amp;D793,INDEX(Background!$A$12:$A$27,0)&amp;INDEX(Background!$B$12:$B$27,0),0))</f>
        <v>#VALUE!</v>
      </c>
      <c r="I793" s="17" t="e">
        <f t="shared" si="47"/>
        <v>#VALUE!</v>
      </c>
    </row>
    <row r="794" spans="1:9">
      <c r="A794" s="4" t="s">
        <v>763</v>
      </c>
      <c r="B794" s="4">
        <v>12</v>
      </c>
      <c r="C794" s="4" t="s">
        <v>72</v>
      </c>
      <c r="D794" s="4" t="s">
        <v>70</v>
      </c>
      <c r="E794" s="4" t="s">
        <v>788</v>
      </c>
      <c r="F794" s="4" t="str">
        <f t="shared" si="46"/>
        <v>12|U|G</v>
      </c>
      <c r="G794" s="14">
        <f>INDEX('Transition Stepwise'!$J$2:$J$1137,MATCH(F794,'Transition Stepwise'!$E$2:$E$1137,0))</f>
        <v>1.6129032258064516E-2</v>
      </c>
      <c r="H794" s="14" t="e">
        <f>INDEX(Background!$D$12:$D$27,MATCH(C794&amp;D794,INDEX(Background!$A$12:$A$27,0)&amp;INDEX(Background!$B$12:$B$27,0),0))</f>
        <v>#VALUE!</v>
      </c>
      <c r="I794" s="17" t="e">
        <f t="shared" si="47"/>
        <v>#VALUE!</v>
      </c>
    </row>
    <row r="795" spans="1:9">
      <c r="A795" s="4" t="s">
        <v>763</v>
      </c>
      <c r="B795" s="4">
        <v>13</v>
      </c>
      <c r="C795" s="4" t="s">
        <v>70</v>
      </c>
      <c r="D795" s="4" t="s">
        <v>73</v>
      </c>
      <c r="E795" s="4" t="s">
        <v>788</v>
      </c>
      <c r="F795" s="4" t="str">
        <f t="shared" si="46"/>
        <v>13|G|A</v>
      </c>
      <c r="G795" s="14">
        <f>INDEX('Transition Stepwise'!$J$2:$J$1137,MATCH(F795,'Transition Stepwise'!$E$2:$E$1137,0))</f>
        <v>0.86956521739130432</v>
      </c>
      <c r="H795" s="14" t="e">
        <f>INDEX(Background!$D$12:$D$27,MATCH(C795&amp;D795,INDEX(Background!$A$12:$A$27,0)&amp;INDEX(Background!$B$12:$B$27,0),0))</f>
        <v>#VALUE!</v>
      </c>
      <c r="I795" s="17" t="e">
        <f t="shared" si="47"/>
        <v>#VALUE!</v>
      </c>
    </row>
    <row r="796" spans="1:9">
      <c r="A796" s="4" t="s">
        <v>763</v>
      </c>
      <c r="B796" s="4">
        <v>14</v>
      </c>
      <c r="C796" s="4" t="s">
        <v>73</v>
      </c>
      <c r="D796" s="4" t="s">
        <v>73</v>
      </c>
      <c r="E796" s="4" t="s">
        <v>788</v>
      </c>
      <c r="F796" s="4" t="str">
        <f t="shared" si="46"/>
        <v>14|A|A</v>
      </c>
      <c r="G796" s="14">
        <f>INDEX('Transition Stepwise'!$J$2:$J$1137,MATCH(F796,'Transition Stepwise'!$E$2:$E$1137,0))</f>
        <v>0.16417910447761194</v>
      </c>
      <c r="H796" s="14" t="e">
        <f>INDEX(Background!$D$12:$D$27,MATCH(C796&amp;D796,INDEX(Background!$A$12:$A$27,0)&amp;INDEX(Background!$B$12:$B$27,0),0))</f>
        <v>#VALUE!</v>
      </c>
      <c r="I796" s="17" t="e">
        <f t="shared" si="47"/>
        <v>#VALUE!</v>
      </c>
    </row>
    <row r="797" spans="1:9">
      <c r="A797" s="4" t="s">
        <v>763</v>
      </c>
      <c r="B797" s="4">
        <v>15</v>
      </c>
      <c r="C797" s="4" t="s">
        <v>73</v>
      </c>
      <c r="D797" s="4" t="s">
        <v>77</v>
      </c>
      <c r="E797" s="10" t="s">
        <v>789</v>
      </c>
      <c r="F797" s="4"/>
      <c r="G797" s="4"/>
      <c r="H797" s="4"/>
      <c r="I797" s="4"/>
    </row>
    <row r="798" spans="1:9">
      <c r="A798" s="4" t="s">
        <v>763</v>
      </c>
      <c r="B798" s="4">
        <v>16</v>
      </c>
      <c r="C798" s="4" t="s">
        <v>77</v>
      </c>
      <c r="D798" s="4" t="s">
        <v>73</v>
      </c>
      <c r="E798" s="10" t="s">
        <v>789</v>
      </c>
      <c r="F798" s="4"/>
      <c r="G798" s="4"/>
      <c r="H798" s="4"/>
      <c r="I798" s="4"/>
    </row>
    <row r="799" spans="1:9">
      <c r="A799" s="4" t="s">
        <v>763</v>
      </c>
      <c r="B799" s="4">
        <v>17</v>
      </c>
      <c r="C799" s="4" t="s">
        <v>73</v>
      </c>
      <c r="D799" s="4" t="s">
        <v>70</v>
      </c>
      <c r="E799" s="4" t="s">
        <v>788</v>
      </c>
      <c r="F799" s="4" t="str">
        <f t="shared" ref="F799:F830" si="48">B799&amp;"|"&amp;C799&amp;"|"&amp;D799</f>
        <v>17|A|G</v>
      </c>
      <c r="G799" s="14">
        <f>INDEX('Transition Stepwise'!$J$2:$J$1137,MATCH(F799,'Transition Stepwise'!$E$2:$E$1137,0))</f>
        <v>0.75</v>
      </c>
      <c r="H799" s="14" t="e">
        <f>INDEX(Background!$D$12:$D$27,MATCH(C799&amp;D799,INDEX(Background!$A$12:$A$27,0)&amp;INDEX(Background!$B$12:$B$27,0),0))</f>
        <v>#VALUE!</v>
      </c>
      <c r="I799" s="17" t="e">
        <f t="shared" ref="I799:I830" si="49">LN(G799/H799)</f>
        <v>#VALUE!</v>
      </c>
    </row>
    <row r="800" spans="1:9">
      <c r="A800" s="4" t="s">
        <v>763</v>
      </c>
      <c r="B800" s="4">
        <v>18</v>
      </c>
      <c r="C800" s="4" t="s">
        <v>70</v>
      </c>
      <c r="D800" s="4" t="s">
        <v>70</v>
      </c>
      <c r="E800" s="4" t="s">
        <v>788</v>
      </c>
      <c r="F800" s="4" t="str">
        <f t="shared" si="48"/>
        <v>18|G|G</v>
      </c>
      <c r="G800" s="14">
        <f>INDEX('Transition Stepwise'!$J$2:$J$1137,MATCH(F800,'Transition Stepwise'!$E$2:$E$1137,0))</f>
        <v>0.97536945812807885</v>
      </c>
      <c r="H800" s="14" t="e">
        <f>INDEX(Background!$D$12:$D$27,MATCH(C800&amp;D800,INDEX(Background!$A$12:$A$27,0)&amp;INDEX(Background!$B$12:$B$27,0),0))</f>
        <v>#VALUE!</v>
      </c>
      <c r="I800" s="17" t="e">
        <f t="shared" si="49"/>
        <v>#VALUE!</v>
      </c>
    </row>
    <row r="801" spans="1:9">
      <c r="A801" s="4" t="s">
        <v>763</v>
      </c>
      <c r="B801" s="4">
        <v>19</v>
      </c>
      <c r="C801" s="4" t="s">
        <v>70</v>
      </c>
      <c r="D801" s="4" t="s">
        <v>73</v>
      </c>
      <c r="E801" s="4" t="s">
        <v>788</v>
      </c>
      <c r="F801" s="4" t="str">
        <f t="shared" si="48"/>
        <v>19|G|A</v>
      </c>
      <c r="G801" s="14">
        <f>INDEX('Transition Stepwise'!$J$2:$J$1137,MATCH(F801,'Transition Stepwise'!$E$2:$E$1137,0))</f>
        <v>8.9552238805970144E-2</v>
      </c>
      <c r="H801" s="14" t="e">
        <f>INDEX(Background!$D$12:$D$27,MATCH(C801&amp;D801,INDEX(Background!$A$12:$A$27,0)&amp;INDEX(Background!$B$12:$B$27,0),0))</f>
        <v>#VALUE!</v>
      </c>
      <c r="I801" s="17" t="e">
        <f t="shared" si="49"/>
        <v>#VALUE!</v>
      </c>
    </row>
    <row r="802" spans="1:9">
      <c r="A802" s="4" t="s">
        <v>763</v>
      </c>
      <c r="B802" s="4">
        <v>20</v>
      </c>
      <c r="C802" s="4" t="s">
        <v>73</v>
      </c>
      <c r="D802" s="4" t="s">
        <v>73</v>
      </c>
      <c r="E802" s="4" t="s">
        <v>788</v>
      </c>
      <c r="F802" s="4" t="str">
        <f t="shared" si="48"/>
        <v>20|A|A</v>
      </c>
      <c r="G802" s="14">
        <f>INDEX('Transition Stepwise'!$J$2:$J$1137,MATCH(F802,'Transition Stepwise'!$E$2:$E$1137,0))</f>
        <v>0.80952380952380953</v>
      </c>
      <c r="H802" s="14" t="e">
        <f>INDEX(Background!$D$12:$D$27,MATCH(C802&amp;D802,INDEX(Background!$A$12:$A$27,0)&amp;INDEX(Background!$B$12:$B$27,0),0))</f>
        <v>#VALUE!</v>
      </c>
      <c r="I802" s="17" t="e">
        <f t="shared" si="49"/>
        <v>#VALUE!</v>
      </c>
    </row>
    <row r="803" spans="1:9">
      <c r="A803" s="4" t="s">
        <v>763</v>
      </c>
      <c r="B803" s="4">
        <v>21</v>
      </c>
      <c r="C803" s="4" t="s">
        <v>73</v>
      </c>
      <c r="D803" s="4" t="s">
        <v>72</v>
      </c>
      <c r="E803" s="4" t="s">
        <v>788</v>
      </c>
      <c r="F803" s="4" t="str">
        <f t="shared" si="48"/>
        <v>21|A|U</v>
      </c>
      <c r="G803" s="14">
        <f>INDEX('Transition Stepwise'!$J$2:$J$1137,MATCH(F803,'Transition Stepwise'!$E$2:$E$1137,0))</f>
        <v>6.5573770491803282E-2</v>
      </c>
      <c r="H803" s="14" t="e">
        <f>INDEX(Background!$D$12:$D$27,MATCH(C803&amp;D803,INDEX(Background!$A$12:$A$27,0)&amp;INDEX(Background!$B$12:$B$27,0),0))</f>
        <v>#VALUE!</v>
      </c>
      <c r="I803" s="17" t="e">
        <f t="shared" si="49"/>
        <v>#VALUE!</v>
      </c>
    </row>
    <row r="804" spans="1:9">
      <c r="A804" s="4" t="s">
        <v>763</v>
      </c>
      <c r="B804" s="4">
        <v>22</v>
      </c>
      <c r="C804" s="4" t="s">
        <v>72</v>
      </c>
      <c r="D804" s="4" t="s">
        <v>73</v>
      </c>
      <c r="E804" s="4" t="s">
        <v>788</v>
      </c>
      <c r="F804" s="4" t="str">
        <f t="shared" si="48"/>
        <v>22|U|A</v>
      </c>
      <c r="G804" s="14">
        <f>INDEX('Transition Stepwise'!$J$2:$J$1137,MATCH(F804,'Transition Stepwise'!$E$2:$E$1137,0))</f>
        <v>0.1111111111111111</v>
      </c>
      <c r="H804" s="14" t="e">
        <f>INDEX(Background!$D$12:$D$27,MATCH(C804&amp;D804,INDEX(Background!$A$12:$A$27,0)&amp;INDEX(Background!$B$12:$B$27,0),0))</f>
        <v>#VALUE!</v>
      </c>
      <c r="I804" s="17" t="e">
        <f t="shared" si="49"/>
        <v>#VALUE!</v>
      </c>
    </row>
    <row r="805" spans="1:9">
      <c r="A805" s="4" t="s">
        <v>763</v>
      </c>
      <c r="B805" s="4">
        <v>23</v>
      </c>
      <c r="C805" s="4" t="s">
        <v>73</v>
      </c>
      <c r="D805" s="4" t="s">
        <v>72</v>
      </c>
      <c r="E805" s="4" t="s">
        <v>788</v>
      </c>
      <c r="F805" s="4" t="str">
        <f t="shared" si="48"/>
        <v>23|A|U</v>
      </c>
      <c r="G805" s="14">
        <f>INDEX('Transition Stepwise'!$J$2:$J$1137,MATCH(F805,'Transition Stepwise'!$E$2:$E$1137,0))</f>
        <v>3.2000000000000001E-2</v>
      </c>
      <c r="H805" s="14" t="e">
        <f>INDEX(Background!$D$12:$D$27,MATCH(C805&amp;D805,INDEX(Background!$A$12:$A$27,0)&amp;INDEX(Background!$B$12:$B$27,0),0))</f>
        <v>#VALUE!</v>
      </c>
      <c r="I805" s="17" t="e">
        <f t="shared" si="49"/>
        <v>#VALUE!</v>
      </c>
    </row>
    <row r="806" spans="1:9">
      <c r="A806" s="4" t="s">
        <v>763</v>
      </c>
      <c r="B806" s="4">
        <v>24</v>
      </c>
      <c r="C806" s="4" t="s">
        <v>72</v>
      </c>
      <c r="D806" s="4" t="s">
        <v>73</v>
      </c>
      <c r="E806" s="4" t="s">
        <v>788</v>
      </c>
      <c r="F806" s="4" t="str">
        <f t="shared" si="48"/>
        <v>24|U|A</v>
      </c>
      <c r="G806" s="14">
        <f>INDEX('Transition Stepwise'!$J$2:$J$1137,MATCH(F806,'Transition Stepwise'!$E$2:$E$1137,0))</f>
        <v>9.0909090909090912E-2</v>
      </c>
      <c r="H806" s="14" t="e">
        <f>INDEX(Background!$D$12:$D$27,MATCH(C806&amp;D806,INDEX(Background!$A$12:$A$27,0)&amp;INDEX(Background!$B$12:$B$27,0),0))</f>
        <v>#VALUE!</v>
      </c>
      <c r="I806" s="17" t="e">
        <f t="shared" si="49"/>
        <v>#VALUE!</v>
      </c>
    </row>
    <row r="807" spans="1:9">
      <c r="A807" s="4" t="s">
        <v>763</v>
      </c>
      <c r="B807" s="4">
        <v>25</v>
      </c>
      <c r="C807" s="4" t="s">
        <v>73</v>
      </c>
      <c r="D807" s="4" t="s">
        <v>72</v>
      </c>
      <c r="E807" s="4" t="s">
        <v>788</v>
      </c>
      <c r="F807" s="4" t="str">
        <f t="shared" si="48"/>
        <v>25|A|U</v>
      </c>
      <c r="G807" s="14">
        <f>INDEX('Transition Stepwise'!$J$2:$J$1137,MATCH(F807,'Transition Stepwise'!$E$2:$E$1137,0))</f>
        <v>0.2</v>
      </c>
      <c r="H807" s="14" t="e">
        <f>INDEX(Background!$D$12:$D$27,MATCH(C807&amp;D807,INDEX(Background!$A$12:$A$27,0)&amp;INDEX(Background!$B$12:$B$27,0),0))</f>
        <v>#VALUE!</v>
      </c>
      <c r="I807" s="17" t="e">
        <f t="shared" si="49"/>
        <v>#VALUE!</v>
      </c>
    </row>
    <row r="808" spans="1:9">
      <c r="A808" s="4" t="s">
        <v>763</v>
      </c>
      <c r="B808" s="4">
        <v>26</v>
      </c>
      <c r="C808" s="4" t="s">
        <v>72</v>
      </c>
      <c r="D808" s="4" t="s">
        <v>70</v>
      </c>
      <c r="E808" s="4" t="s">
        <v>788</v>
      </c>
      <c r="F808" s="4" t="str">
        <f t="shared" si="48"/>
        <v>26|U|G</v>
      </c>
      <c r="G808" s="14">
        <f>INDEX('Transition Stepwise'!$J$2:$J$1137,MATCH(F808,'Transition Stepwise'!$E$2:$E$1137,0))</f>
        <v>0.13333333333333333</v>
      </c>
      <c r="H808" s="14" t="e">
        <f>INDEX(Background!$D$12:$D$27,MATCH(C808&amp;D808,INDEX(Background!$A$12:$A$27,0)&amp;INDEX(Background!$B$12:$B$27,0),0))</f>
        <v>#VALUE!</v>
      </c>
      <c r="I808" s="17" t="e">
        <f t="shared" si="49"/>
        <v>#VALUE!</v>
      </c>
    </row>
    <row r="809" spans="1:9">
      <c r="A809" s="4" t="s">
        <v>763</v>
      </c>
      <c r="B809" s="4">
        <v>27</v>
      </c>
      <c r="C809" s="4" t="s">
        <v>70</v>
      </c>
      <c r="D809" s="4" t="s">
        <v>72</v>
      </c>
      <c r="E809" s="4" t="s">
        <v>788</v>
      </c>
      <c r="F809" s="4" t="str">
        <f t="shared" si="48"/>
        <v>27|G|U</v>
      </c>
      <c r="G809" s="14">
        <f>INDEX('Transition Stepwise'!$J$2:$J$1137,MATCH(F809,'Transition Stepwise'!$E$2:$E$1137,0))</f>
        <v>2.8571428571428571E-2</v>
      </c>
      <c r="H809" s="14" t="e">
        <f>INDEX(Background!$D$12:$D$27,MATCH(C809&amp;D809,INDEX(Background!$A$12:$A$27,0)&amp;INDEX(Background!$B$12:$B$27,0),0))</f>
        <v>#VALUE!</v>
      </c>
      <c r="I809" s="17" t="e">
        <f t="shared" si="49"/>
        <v>#VALUE!</v>
      </c>
    </row>
    <row r="810" spans="1:9">
      <c r="A810" s="4" t="s">
        <v>763</v>
      </c>
      <c r="B810" s="4">
        <v>28</v>
      </c>
      <c r="C810" s="4" t="s">
        <v>72</v>
      </c>
      <c r="D810" s="4" t="s">
        <v>70</v>
      </c>
      <c r="E810" s="4" t="s">
        <v>788</v>
      </c>
      <c r="F810" s="4" t="str">
        <f t="shared" si="48"/>
        <v>28|U|G</v>
      </c>
      <c r="G810" s="14">
        <f>INDEX('Transition Stepwise'!$J$2:$J$1137,MATCH(F810,'Transition Stepwise'!$E$2:$E$1137,0))</f>
        <v>0.30909090909090908</v>
      </c>
      <c r="H810" s="14" t="e">
        <f>INDEX(Background!$D$12:$D$27,MATCH(C810&amp;D810,INDEX(Background!$A$12:$A$27,0)&amp;INDEX(Background!$B$12:$B$27,0),0))</f>
        <v>#VALUE!</v>
      </c>
      <c r="I810" s="17" t="e">
        <f t="shared" si="49"/>
        <v>#VALUE!</v>
      </c>
    </row>
    <row r="811" spans="1:9">
      <c r="A811" s="4" t="s">
        <v>763</v>
      </c>
      <c r="B811" s="4">
        <v>29</v>
      </c>
      <c r="C811" s="4" t="s">
        <v>70</v>
      </c>
      <c r="D811" s="4" t="s">
        <v>70</v>
      </c>
      <c r="E811" s="4" t="s">
        <v>788</v>
      </c>
      <c r="F811" s="4" t="str">
        <f t="shared" si="48"/>
        <v>29|G|G</v>
      </c>
      <c r="G811" s="14">
        <f>INDEX('Transition Stepwise'!$J$2:$J$1137,MATCH(F811,'Transition Stepwise'!$E$2:$E$1137,0))</f>
        <v>0.76543209876543206</v>
      </c>
      <c r="H811" s="14" t="e">
        <f>INDEX(Background!$D$12:$D$27,MATCH(C811&amp;D811,INDEX(Background!$A$12:$A$27,0)&amp;INDEX(Background!$B$12:$B$27,0),0))</f>
        <v>#VALUE!</v>
      </c>
      <c r="I811" s="17" t="e">
        <f t="shared" si="49"/>
        <v>#VALUE!</v>
      </c>
    </row>
    <row r="812" spans="1:9">
      <c r="A812" s="4" t="s">
        <v>763</v>
      </c>
      <c r="B812" s="4">
        <v>30</v>
      </c>
      <c r="C812" s="4" t="s">
        <v>70</v>
      </c>
      <c r="D812" s="4" t="s">
        <v>73</v>
      </c>
      <c r="E812" s="4" t="s">
        <v>788</v>
      </c>
      <c r="F812" s="4" t="str">
        <f t="shared" si="48"/>
        <v>30|G|A</v>
      </c>
      <c r="G812" s="14">
        <f>INDEX('Transition Stepwise'!$J$2:$J$1137,MATCH(F812,'Transition Stepwise'!$E$2:$E$1137,0))</f>
        <v>0.32467532467532467</v>
      </c>
      <c r="H812" s="14" t="e">
        <f>INDEX(Background!$D$12:$D$27,MATCH(C812&amp;D812,INDEX(Background!$A$12:$A$27,0)&amp;INDEX(Background!$B$12:$B$27,0),0))</f>
        <v>#VALUE!</v>
      </c>
      <c r="I812" s="17" t="e">
        <f t="shared" si="49"/>
        <v>#VALUE!</v>
      </c>
    </row>
    <row r="813" spans="1:9">
      <c r="A813" s="4" t="s">
        <v>763</v>
      </c>
      <c r="B813" s="4">
        <v>31</v>
      </c>
      <c r="C813" s="4" t="s">
        <v>73</v>
      </c>
      <c r="D813" s="4" t="s">
        <v>71</v>
      </c>
      <c r="E813" s="4" t="s">
        <v>788</v>
      </c>
      <c r="F813" s="4" t="str">
        <f t="shared" si="48"/>
        <v>31|A|C</v>
      </c>
      <c r="G813" s="14">
        <f>INDEX('Transition Stepwise'!$J$2:$J$1137,MATCH(F813,'Transition Stepwise'!$E$2:$E$1137,0))</f>
        <v>0.82758620689655171</v>
      </c>
      <c r="H813" s="14" t="e">
        <f>INDEX(Background!$D$12:$D$27,MATCH(C813&amp;D813,INDEX(Background!$A$12:$A$27,0)&amp;INDEX(Background!$B$12:$B$27,0),0))</f>
        <v>#VALUE!</v>
      </c>
      <c r="I813" s="17" t="e">
        <f t="shared" si="49"/>
        <v>#VALUE!</v>
      </c>
    </row>
    <row r="814" spans="1:9">
      <c r="A814" s="4" t="s">
        <v>763</v>
      </c>
      <c r="B814" s="4">
        <v>32</v>
      </c>
      <c r="C814" s="4" t="s">
        <v>71</v>
      </c>
      <c r="D814" s="4" t="s">
        <v>72</v>
      </c>
      <c r="E814" s="4" t="s">
        <v>788</v>
      </c>
      <c r="F814" s="4" t="str">
        <f t="shared" si="48"/>
        <v>32|C|U</v>
      </c>
      <c r="G814" s="14">
        <f>INDEX('Transition Stepwise'!$J$2:$J$1137,MATCH(F814,'Transition Stepwise'!$E$2:$E$1137,0))</f>
        <v>0.97122302158273377</v>
      </c>
      <c r="H814" s="14" t="e">
        <f>INDEX(Background!$D$12:$D$27,MATCH(C814&amp;D814,INDEX(Background!$A$12:$A$27,0)&amp;INDEX(Background!$B$12:$B$27,0),0))</f>
        <v>#VALUE!</v>
      </c>
      <c r="I814" s="17" t="e">
        <f t="shared" si="49"/>
        <v>#VALUE!</v>
      </c>
    </row>
    <row r="815" spans="1:9">
      <c r="A815" s="4" t="s">
        <v>763</v>
      </c>
      <c r="B815" s="4">
        <v>33</v>
      </c>
      <c r="C815" s="4" t="s">
        <v>72</v>
      </c>
      <c r="D815" s="4" t="s">
        <v>72</v>
      </c>
      <c r="E815" s="4" t="s">
        <v>788</v>
      </c>
      <c r="F815" s="4" t="str">
        <f t="shared" si="48"/>
        <v>33|U|U</v>
      </c>
      <c r="G815" s="14">
        <f>INDEX('Transition Stepwise'!$J$2:$J$1137,MATCH(F815,'Transition Stepwise'!$E$2:$E$1137,0))</f>
        <v>0.29207920792079206</v>
      </c>
      <c r="H815" s="14" t="e">
        <f>INDEX(Background!$D$12:$D$27,MATCH(C815&amp;D815,INDEX(Background!$A$12:$A$27,0)&amp;INDEX(Background!$B$12:$B$27,0),0))</f>
        <v>#VALUE!</v>
      </c>
      <c r="I815" s="17" t="e">
        <f t="shared" si="49"/>
        <v>#VALUE!</v>
      </c>
    </row>
    <row r="816" spans="1:9">
      <c r="A816" s="4" t="s">
        <v>763</v>
      </c>
      <c r="B816" s="4">
        <v>34</v>
      </c>
      <c r="C816" s="4" t="s">
        <v>72</v>
      </c>
      <c r="D816" s="4" t="s">
        <v>72</v>
      </c>
      <c r="E816" s="4" t="s">
        <v>788</v>
      </c>
      <c r="F816" s="4" t="str">
        <f t="shared" si="48"/>
        <v>34|U|U</v>
      </c>
      <c r="G816" s="14">
        <f>INDEX('Transition Stepwise'!$J$2:$J$1137,MATCH(F816,'Transition Stepwise'!$E$2:$E$1137,0))</f>
        <v>0.17741935483870969</v>
      </c>
      <c r="H816" s="14" t="e">
        <f>INDEX(Background!$D$12:$D$27,MATCH(C816&amp;D816,INDEX(Background!$A$12:$A$27,0)&amp;INDEX(Background!$B$12:$B$27,0),0))</f>
        <v>#VALUE!</v>
      </c>
      <c r="I816" s="17" t="e">
        <f t="shared" si="49"/>
        <v>#VALUE!</v>
      </c>
    </row>
    <row r="817" spans="1:9">
      <c r="A817" s="4" t="s">
        <v>763</v>
      </c>
      <c r="B817" s="4">
        <v>35</v>
      </c>
      <c r="C817" s="4" t="s">
        <v>72</v>
      </c>
      <c r="D817" s="4" t="s">
        <v>73</v>
      </c>
      <c r="E817" s="4" t="s">
        <v>788</v>
      </c>
      <c r="F817" s="4" t="str">
        <f t="shared" si="48"/>
        <v>35|U|A</v>
      </c>
      <c r="G817" s="14">
        <f>INDEX('Transition Stepwise'!$J$2:$J$1137,MATCH(F817,'Transition Stepwise'!$E$2:$E$1137,0))</f>
        <v>0.17777777777777778</v>
      </c>
      <c r="H817" s="14" t="e">
        <f>INDEX(Background!$D$12:$D$27,MATCH(C817&amp;D817,INDEX(Background!$A$12:$A$27,0)&amp;INDEX(Background!$B$12:$B$27,0),0))</f>
        <v>#VALUE!</v>
      </c>
      <c r="I817" s="17" t="e">
        <f t="shared" si="49"/>
        <v>#VALUE!</v>
      </c>
    </row>
    <row r="818" spans="1:9">
      <c r="A818" s="4" t="s">
        <v>763</v>
      </c>
      <c r="B818" s="4">
        <v>36</v>
      </c>
      <c r="C818" s="4" t="s">
        <v>73</v>
      </c>
      <c r="D818" s="4" t="s">
        <v>71</v>
      </c>
      <c r="E818" s="4" t="s">
        <v>788</v>
      </c>
      <c r="F818" s="4" t="str">
        <f t="shared" si="48"/>
        <v>36|A|C</v>
      </c>
      <c r="G818" s="14">
        <f>INDEX('Transition Stepwise'!$J$2:$J$1137,MATCH(F818,'Transition Stepwise'!$E$2:$E$1137,0))</f>
        <v>4.2553191489361701E-2</v>
      </c>
      <c r="H818" s="14" t="e">
        <f>INDEX(Background!$D$12:$D$27,MATCH(C818&amp;D818,INDEX(Background!$A$12:$A$27,0)&amp;INDEX(Background!$B$12:$B$27,0),0))</f>
        <v>#VALUE!</v>
      </c>
      <c r="I818" s="17" t="e">
        <f t="shared" si="49"/>
        <v>#VALUE!</v>
      </c>
    </row>
    <row r="819" spans="1:9">
      <c r="A819" s="4" t="s">
        <v>763</v>
      </c>
      <c r="B819" s="4">
        <v>37</v>
      </c>
      <c r="C819" s="4" t="s">
        <v>71</v>
      </c>
      <c r="D819" s="4" t="s">
        <v>70</v>
      </c>
      <c r="E819" s="4" t="s">
        <v>788</v>
      </c>
      <c r="F819" s="4" t="str">
        <f t="shared" si="48"/>
        <v>37|C|G</v>
      </c>
      <c r="G819" s="14">
        <f>INDEX('Transition Stepwise'!$J$2:$J$1137,MATCH(F819,'Transition Stepwise'!$E$2:$E$1137,0))</f>
        <v>0.2</v>
      </c>
      <c r="H819" s="14" t="e">
        <f>INDEX(Background!$D$12:$D$27,MATCH(C819&amp;D819,INDEX(Background!$A$12:$A$27,0)&amp;INDEX(Background!$B$12:$B$27,0),0))</f>
        <v>#VALUE!</v>
      </c>
      <c r="I819" s="17" t="e">
        <f t="shared" si="49"/>
        <v>#VALUE!</v>
      </c>
    </row>
    <row r="820" spans="1:9">
      <c r="A820" s="4" t="s">
        <v>763</v>
      </c>
      <c r="B820" s="4">
        <v>38</v>
      </c>
      <c r="C820" s="4" t="s">
        <v>70</v>
      </c>
      <c r="D820" s="4" t="s">
        <v>72</v>
      </c>
      <c r="E820" s="4" t="s">
        <v>788</v>
      </c>
      <c r="F820" s="4" t="str">
        <f t="shared" si="48"/>
        <v>38|G|U</v>
      </c>
      <c r="G820" s="14">
        <f>INDEX('Transition Stepwise'!$J$2:$J$1137,MATCH(F820,'Transition Stepwise'!$E$2:$E$1137,0))</f>
        <v>0.4</v>
      </c>
      <c r="H820" s="14" t="e">
        <f>INDEX(Background!$D$12:$D$27,MATCH(C820&amp;D820,INDEX(Background!$A$12:$A$27,0)&amp;INDEX(Background!$B$12:$B$27,0),0))</f>
        <v>#VALUE!</v>
      </c>
      <c r="I820" s="17" t="e">
        <f t="shared" si="49"/>
        <v>#VALUE!</v>
      </c>
    </row>
    <row r="821" spans="1:9">
      <c r="A821" s="4" t="s">
        <v>763</v>
      </c>
      <c r="B821" s="4">
        <v>39</v>
      </c>
      <c r="C821" s="4" t="s">
        <v>72</v>
      </c>
      <c r="D821" s="4" t="s">
        <v>72</v>
      </c>
      <c r="E821" s="4" t="s">
        <v>788</v>
      </c>
      <c r="F821" s="4" t="str">
        <f t="shared" si="48"/>
        <v>39|U|U</v>
      </c>
      <c r="G821" s="14">
        <f>INDEX('Transition Stepwise'!$J$2:$J$1137,MATCH(F821,'Transition Stepwise'!$E$2:$E$1137,0))</f>
        <v>3.1746031746031744E-2</v>
      </c>
      <c r="H821" s="14" t="e">
        <f>INDEX(Background!$D$12:$D$27,MATCH(C821&amp;D821,INDEX(Background!$A$12:$A$27,0)&amp;INDEX(Background!$B$12:$B$27,0),0))</f>
        <v>#VALUE!</v>
      </c>
      <c r="I821" s="17" t="e">
        <f t="shared" si="49"/>
        <v>#VALUE!</v>
      </c>
    </row>
    <row r="822" spans="1:9">
      <c r="A822" s="4" t="s">
        <v>763</v>
      </c>
      <c r="B822" s="4">
        <v>40</v>
      </c>
      <c r="C822" s="4" t="s">
        <v>72</v>
      </c>
      <c r="D822" s="4" t="s">
        <v>72</v>
      </c>
      <c r="E822" s="4" t="s">
        <v>788</v>
      </c>
      <c r="F822" s="4" t="str">
        <f t="shared" si="48"/>
        <v>40|U|U</v>
      </c>
      <c r="G822" s="14">
        <f>INDEX('Transition Stepwise'!$J$2:$J$1137,MATCH(F822,'Transition Stepwise'!$E$2:$E$1137,0))</f>
        <v>8.3333333333333329E-2</v>
      </c>
      <c r="H822" s="14" t="e">
        <f>INDEX(Background!$D$12:$D$27,MATCH(C822&amp;D822,INDEX(Background!$A$12:$A$27,0)&amp;INDEX(Background!$B$12:$B$27,0),0))</f>
        <v>#VALUE!</v>
      </c>
      <c r="I822" s="17" t="e">
        <f t="shared" si="49"/>
        <v>#VALUE!</v>
      </c>
    </row>
    <row r="823" spans="1:9">
      <c r="A823" s="4" t="s">
        <v>763</v>
      </c>
      <c r="B823" s="4">
        <v>41</v>
      </c>
      <c r="C823" s="4" t="s">
        <v>72</v>
      </c>
      <c r="D823" s="4" t="s">
        <v>73</v>
      </c>
      <c r="E823" s="4" t="s">
        <v>788</v>
      </c>
      <c r="F823" s="4" t="str">
        <f t="shared" si="48"/>
        <v>41|U|A</v>
      </c>
      <c r="G823" s="14">
        <f>INDEX('Transition Stepwise'!$J$2:$J$1137,MATCH(F823,'Transition Stepwise'!$E$2:$E$1137,0))</f>
        <v>0.21621621621621623</v>
      </c>
      <c r="H823" s="14" t="e">
        <f>INDEX(Background!$D$12:$D$27,MATCH(C823&amp;D823,INDEX(Background!$A$12:$A$27,0)&amp;INDEX(Background!$B$12:$B$27,0),0))</f>
        <v>#VALUE!</v>
      </c>
      <c r="I823" s="17" t="e">
        <f t="shared" si="49"/>
        <v>#VALUE!</v>
      </c>
    </row>
    <row r="824" spans="1:9">
      <c r="A824" s="4" t="s">
        <v>763</v>
      </c>
      <c r="B824" s="4">
        <v>42</v>
      </c>
      <c r="C824" s="4" t="s">
        <v>73</v>
      </c>
      <c r="D824" s="4" t="s">
        <v>71</v>
      </c>
      <c r="E824" s="4" t="s">
        <v>788</v>
      </c>
      <c r="F824" s="4" t="str">
        <f t="shared" si="48"/>
        <v>42|A|C</v>
      </c>
      <c r="G824" s="14">
        <f>INDEX('Transition Stepwise'!$J$2:$J$1137,MATCH(F824,'Transition Stepwise'!$E$2:$E$1137,0))</f>
        <v>1.8867924528301886E-2</v>
      </c>
      <c r="H824" s="14" t="e">
        <f>INDEX(Background!$D$12:$D$27,MATCH(C824&amp;D824,INDEX(Background!$A$12:$A$27,0)&amp;INDEX(Background!$B$12:$B$27,0),0))</f>
        <v>#VALUE!</v>
      </c>
      <c r="I824" s="17" t="e">
        <f t="shared" si="49"/>
        <v>#VALUE!</v>
      </c>
    </row>
    <row r="825" spans="1:9">
      <c r="A825" s="4" t="s">
        <v>763</v>
      </c>
      <c r="B825" s="4">
        <v>43</v>
      </c>
      <c r="C825" s="4" t="s">
        <v>71</v>
      </c>
      <c r="D825" s="4" t="s">
        <v>72</v>
      </c>
      <c r="E825" s="4" t="s">
        <v>788</v>
      </c>
      <c r="F825" s="4" t="str">
        <f t="shared" si="48"/>
        <v>43|C|U</v>
      </c>
      <c r="G825" s="14">
        <f>INDEX('Transition Stepwise'!$J$2:$J$1137,MATCH(F825,'Transition Stepwise'!$E$2:$E$1137,0))</f>
        <v>0.14814814814814814</v>
      </c>
      <c r="H825" s="14" t="e">
        <f>INDEX(Background!$D$12:$D$27,MATCH(C825&amp;D825,INDEX(Background!$A$12:$A$27,0)&amp;INDEX(Background!$B$12:$B$27,0),0))</f>
        <v>#VALUE!</v>
      </c>
      <c r="I825" s="17" t="e">
        <f t="shared" si="49"/>
        <v>#VALUE!</v>
      </c>
    </row>
    <row r="826" spans="1:9">
      <c r="A826" s="4" t="s">
        <v>763</v>
      </c>
      <c r="B826" s="4">
        <v>44</v>
      </c>
      <c r="C826" s="4" t="s">
        <v>72</v>
      </c>
      <c r="D826" s="4" t="s">
        <v>71</v>
      </c>
      <c r="E826" s="4" t="s">
        <v>788</v>
      </c>
      <c r="F826" s="4" t="str">
        <f t="shared" si="48"/>
        <v>44|U|C</v>
      </c>
      <c r="G826" s="14">
        <f>INDEX('Transition Stepwise'!$J$2:$J$1137,MATCH(F826,'Transition Stepwise'!$E$2:$E$1137,0))</f>
        <v>7.407407407407407E-2</v>
      </c>
      <c r="H826" s="14" t="e">
        <f>INDEX(Background!$D$12:$D$27,MATCH(C826&amp;D826,INDEX(Background!$A$12:$A$27,0)&amp;INDEX(Background!$B$12:$B$27,0),0))</f>
        <v>#VALUE!</v>
      </c>
      <c r="I826" s="17" t="e">
        <f t="shared" si="49"/>
        <v>#VALUE!</v>
      </c>
    </row>
    <row r="827" spans="1:9">
      <c r="A827" s="4" t="s">
        <v>763</v>
      </c>
      <c r="B827" s="4">
        <v>45</v>
      </c>
      <c r="C827" s="4" t="s">
        <v>71</v>
      </c>
      <c r="D827" s="4" t="s">
        <v>72</v>
      </c>
      <c r="E827" s="4" t="s">
        <v>788</v>
      </c>
      <c r="F827" s="4" t="str">
        <f t="shared" si="48"/>
        <v>45|C|U</v>
      </c>
      <c r="G827" s="14">
        <f>INDEX('Transition Stepwise'!$J$2:$J$1137,MATCH(F827,'Transition Stepwise'!$E$2:$E$1137,0))</f>
        <v>0.22222222222222221</v>
      </c>
      <c r="H827" s="14" t="e">
        <f>INDEX(Background!$D$12:$D$27,MATCH(C827&amp;D827,INDEX(Background!$A$12:$A$27,0)&amp;INDEX(Background!$B$12:$B$27,0),0))</f>
        <v>#VALUE!</v>
      </c>
      <c r="I827" s="17" t="e">
        <f t="shared" si="49"/>
        <v>#VALUE!</v>
      </c>
    </row>
    <row r="828" spans="1:9">
      <c r="A828" s="4" t="s">
        <v>763</v>
      </c>
      <c r="B828" s="4">
        <v>46</v>
      </c>
      <c r="C828" s="4" t="s">
        <v>72</v>
      </c>
      <c r="D828" s="4" t="s">
        <v>72</v>
      </c>
      <c r="E828" s="4" t="s">
        <v>788</v>
      </c>
      <c r="F828" s="4" t="str">
        <f t="shared" si="48"/>
        <v>46|U|U</v>
      </c>
      <c r="G828" s="14">
        <f>INDEX('Transition Stepwise'!$J$2:$J$1137,MATCH(F828,'Transition Stepwise'!$E$2:$E$1137,0))</f>
        <v>0.125</v>
      </c>
      <c r="H828" s="14" t="e">
        <f>INDEX(Background!$D$12:$D$27,MATCH(C828&amp;D828,INDEX(Background!$A$12:$A$27,0)&amp;INDEX(Background!$B$12:$B$27,0),0))</f>
        <v>#VALUE!</v>
      </c>
      <c r="I828" s="17" t="e">
        <f t="shared" si="49"/>
        <v>#VALUE!</v>
      </c>
    </row>
    <row r="829" spans="1:9">
      <c r="A829" s="4" t="s">
        <v>763</v>
      </c>
      <c r="B829" s="4">
        <v>47</v>
      </c>
      <c r="C829" s="4" t="s">
        <v>72</v>
      </c>
      <c r="D829" s="4" t="s">
        <v>72</v>
      </c>
      <c r="E829" s="4" t="s">
        <v>788</v>
      </c>
      <c r="F829" s="4" t="str">
        <f t="shared" si="48"/>
        <v>47|U|U</v>
      </c>
      <c r="G829" s="14">
        <f>INDEX('Transition Stepwise'!$J$2:$J$1137,MATCH(F829,'Transition Stepwise'!$E$2:$E$1137,0))</f>
        <v>0.1223021582733813</v>
      </c>
      <c r="H829" s="14" t="e">
        <f>INDEX(Background!$D$12:$D$27,MATCH(C829&amp;D829,INDEX(Background!$A$12:$A$27,0)&amp;INDEX(Background!$B$12:$B$27,0),0))</f>
        <v>#VALUE!</v>
      </c>
      <c r="I829" s="17" t="e">
        <f t="shared" si="49"/>
        <v>#VALUE!</v>
      </c>
    </row>
    <row r="830" spans="1:9">
      <c r="A830" s="4" t="s">
        <v>763</v>
      </c>
      <c r="B830" s="4">
        <v>48</v>
      </c>
      <c r="C830" s="4" t="s">
        <v>72</v>
      </c>
      <c r="D830" s="4" t="s">
        <v>72</v>
      </c>
      <c r="E830" s="4" t="s">
        <v>788</v>
      </c>
      <c r="F830" s="4" t="str">
        <f t="shared" si="48"/>
        <v>48|U|U</v>
      </c>
      <c r="G830" s="14">
        <f>INDEX('Transition Stepwise'!$J$2:$J$1137,MATCH(F830,'Transition Stepwise'!$E$2:$E$1137,0))</f>
        <v>9.0909090909090912E-2</v>
      </c>
      <c r="H830" s="14" t="e">
        <f>INDEX(Background!$D$12:$D$27,MATCH(C830&amp;D830,INDEX(Background!$A$12:$A$27,0)&amp;INDEX(Background!$B$12:$B$27,0),0))</f>
        <v>#VALUE!</v>
      </c>
      <c r="I830" s="17" t="e">
        <f t="shared" si="49"/>
        <v>#VALUE!</v>
      </c>
    </row>
    <row r="831" spans="1:9">
      <c r="A831" s="4" t="s">
        <v>763</v>
      </c>
      <c r="B831" s="4">
        <v>49</v>
      </c>
      <c r="C831" s="4" t="s">
        <v>72</v>
      </c>
      <c r="D831" s="4" t="s">
        <v>72</v>
      </c>
      <c r="E831" s="4" t="s">
        <v>788</v>
      </c>
      <c r="F831" s="4" t="str">
        <f t="shared" ref="F831:F867" si="50">B831&amp;"|"&amp;C831&amp;"|"&amp;D831</f>
        <v>49|U|U</v>
      </c>
      <c r="G831" s="14">
        <f>INDEX('Transition Stepwise'!$J$2:$J$1137,MATCH(F831,'Transition Stepwise'!$E$2:$E$1137,0))</f>
        <v>6.6666666666666666E-2</v>
      </c>
      <c r="H831" s="14" t="e">
        <f>INDEX(Background!$D$12:$D$27,MATCH(C831&amp;D831,INDEX(Background!$A$12:$A$27,0)&amp;INDEX(Background!$B$12:$B$27,0),0))</f>
        <v>#VALUE!</v>
      </c>
      <c r="I831" s="17" t="e">
        <f t="shared" ref="I831:I862" si="51">LN(G831/H831)</f>
        <v>#VALUE!</v>
      </c>
    </row>
    <row r="832" spans="1:9">
      <c r="A832" s="4" t="s">
        <v>763</v>
      </c>
      <c r="B832" s="4">
        <v>50</v>
      </c>
      <c r="C832" s="4" t="s">
        <v>72</v>
      </c>
      <c r="D832" s="4" t="s">
        <v>72</v>
      </c>
      <c r="E832" s="4" t="s">
        <v>788</v>
      </c>
      <c r="F832" s="4" t="str">
        <f t="shared" si="50"/>
        <v>50|U|U</v>
      </c>
      <c r="G832" s="14">
        <f>INDEX('Transition Stepwise'!$J$2:$J$1137,MATCH(F832,'Transition Stepwise'!$E$2:$E$1137,0))</f>
        <v>0.15</v>
      </c>
      <c r="H832" s="14" t="e">
        <f>INDEX(Background!$D$12:$D$27,MATCH(C832&amp;D832,INDEX(Background!$A$12:$A$27,0)&amp;INDEX(Background!$B$12:$B$27,0),0))</f>
        <v>#VALUE!</v>
      </c>
      <c r="I832" s="17" t="e">
        <f t="shared" si="51"/>
        <v>#VALUE!</v>
      </c>
    </row>
    <row r="833" spans="1:9">
      <c r="A833" s="4" t="s">
        <v>763</v>
      </c>
      <c r="B833" s="4">
        <v>51</v>
      </c>
      <c r="C833" s="4" t="s">
        <v>72</v>
      </c>
      <c r="D833" s="4" t="s">
        <v>72</v>
      </c>
      <c r="E833" s="4" t="s">
        <v>788</v>
      </c>
      <c r="F833" s="4" t="str">
        <f t="shared" si="50"/>
        <v>51|U|U</v>
      </c>
      <c r="G833" s="14">
        <f>INDEX('Transition Stepwise'!$J$2:$J$1137,MATCH(F833,'Transition Stepwise'!$E$2:$E$1137,0))</f>
        <v>5.7142857142857141E-2</v>
      </c>
      <c r="H833" s="14" t="e">
        <f>INDEX(Background!$D$12:$D$27,MATCH(C833&amp;D833,INDEX(Background!$A$12:$A$27,0)&amp;INDEX(Background!$B$12:$B$27,0),0))</f>
        <v>#VALUE!</v>
      </c>
      <c r="I833" s="17" t="e">
        <f t="shared" si="51"/>
        <v>#VALUE!</v>
      </c>
    </row>
    <row r="834" spans="1:9">
      <c r="A834" s="4" t="s">
        <v>763</v>
      </c>
      <c r="B834" s="4">
        <v>52</v>
      </c>
      <c r="C834" s="4" t="s">
        <v>72</v>
      </c>
      <c r="D834" s="4" t="s">
        <v>70</v>
      </c>
      <c r="E834" s="4" t="s">
        <v>788</v>
      </c>
      <c r="F834" s="4" t="str">
        <f t="shared" si="50"/>
        <v>52|U|G</v>
      </c>
      <c r="G834" s="14">
        <f>INDEX('Transition Stepwise'!$J$2:$J$1137,MATCH(F834,'Transition Stepwise'!$E$2:$E$1137,0))</f>
        <v>0.5</v>
      </c>
      <c r="H834" s="14" t="e">
        <f>INDEX(Background!$D$12:$D$27,MATCH(C834&amp;D834,INDEX(Background!$A$12:$A$27,0)&amp;INDEX(Background!$B$12:$B$27,0),0))</f>
        <v>#VALUE!</v>
      </c>
      <c r="I834" s="17" t="e">
        <f t="shared" si="51"/>
        <v>#VALUE!</v>
      </c>
    </row>
    <row r="835" spans="1:9">
      <c r="A835" s="4" t="s">
        <v>763</v>
      </c>
      <c r="B835" s="4">
        <v>53</v>
      </c>
      <c r="C835" s="4" t="s">
        <v>70</v>
      </c>
      <c r="D835" s="4" t="s">
        <v>72</v>
      </c>
      <c r="E835" s="4" t="s">
        <v>788</v>
      </c>
      <c r="F835" s="4" t="str">
        <f t="shared" si="50"/>
        <v>53|G|U</v>
      </c>
      <c r="G835" s="14">
        <f>INDEX('Transition Stepwise'!$J$2:$J$1137,MATCH(F835,'Transition Stepwise'!$E$2:$E$1137,0))</f>
        <v>0.97499999999999998</v>
      </c>
      <c r="H835" s="14" t="e">
        <f>INDEX(Background!$D$12:$D$27,MATCH(C835&amp;D835,INDEX(Background!$A$12:$A$27,0)&amp;INDEX(Background!$B$12:$B$27,0),0))</f>
        <v>#VALUE!</v>
      </c>
      <c r="I835" s="17" t="e">
        <f t="shared" si="51"/>
        <v>#VALUE!</v>
      </c>
    </row>
    <row r="836" spans="1:9">
      <c r="A836" s="4" t="s">
        <v>763</v>
      </c>
      <c r="B836" s="4">
        <v>54</v>
      </c>
      <c r="C836" s="4" t="s">
        <v>72</v>
      </c>
      <c r="D836" s="4" t="s">
        <v>72</v>
      </c>
      <c r="E836" s="4" t="s">
        <v>788</v>
      </c>
      <c r="F836" s="4" t="str">
        <f t="shared" si="50"/>
        <v>54|U|U</v>
      </c>
      <c r="G836" s="14">
        <f>INDEX('Transition Stepwise'!$J$2:$J$1137,MATCH(F836,'Transition Stepwise'!$E$2:$E$1137,0))</f>
        <v>0.97029702970297027</v>
      </c>
      <c r="H836" s="14" t="e">
        <f>INDEX(Background!$D$12:$D$27,MATCH(C836&amp;D836,INDEX(Background!$A$12:$A$27,0)&amp;INDEX(Background!$B$12:$B$27,0),0))</f>
        <v>#VALUE!</v>
      </c>
      <c r="I836" s="17" t="e">
        <f t="shared" si="51"/>
        <v>#VALUE!</v>
      </c>
    </row>
    <row r="837" spans="1:9">
      <c r="A837" s="4" t="s">
        <v>763</v>
      </c>
      <c r="B837" s="4">
        <v>55</v>
      </c>
      <c r="C837" s="4" t="s">
        <v>72</v>
      </c>
      <c r="D837" s="4" t="s">
        <v>71</v>
      </c>
      <c r="E837" s="4" t="s">
        <v>788</v>
      </c>
      <c r="F837" s="4" t="str">
        <f t="shared" si="50"/>
        <v>55|U|C</v>
      </c>
      <c r="G837" s="14">
        <f>INDEX('Transition Stepwise'!$J$2:$J$1137,MATCH(F837,'Transition Stepwise'!$E$2:$E$1137,0))</f>
        <v>0.97512437810945274</v>
      </c>
      <c r="H837" s="14" t="e">
        <f>INDEX(Background!$D$12:$D$27,MATCH(C837&amp;D837,INDEX(Background!$A$12:$A$27,0)&amp;INDEX(Background!$B$12:$B$27,0),0))</f>
        <v>#VALUE!</v>
      </c>
      <c r="I837" s="17" t="e">
        <f t="shared" si="51"/>
        <v>#VALUE!</v>
      </c>
    </row>
    <row r="838" spans="1:9">
      <c r="A838" s="4" t="s">
        <v>763</v>
      </c>
      <c r="B838" s="4">
        <v>56</v>
      </c>
      <c r="C838" s="4" t="s">
        <v>71</v>
      </c>
      <c r="D838" s="4" t="s">
        <v>72</v>
      </c>
      <c r="E838" s="4" t="s">
        <v>788</v>
      </c>
      <c r="F838" s="4" t="str">
        <f t="shared" si="50"/>
        <v>56|C|U</v>
      </c>
      <c r="G838" s="14">
        <f>INDEX('Transition Stepwise'!$J$2:$J$1137,MATCH(F838,'Transition Stepwise'!$E$2:$E$1137,0))</f>
        <v>5.0000000000000001E-3</v>
      </c>
      <c r="H838" s="14" t="e">
        <f>INDEX(Background!$D$12:$D$27,MATCH(C838&amp;D838,INDEX(Background!$A$12:$A$27,0)&amp;INDEX(Background!$B$12:$B$27,0),0))</f>
        <v>#VALUE!</v>
      </c>
      <c r="I838" s="17" t="e">
        <f t="shared" si="51"/>
        <v>#VALUE!</v>
      </c>
    </row>
    <row r="839" spans="1:9">
      <c r="A839" s="4" t="s">
        <v>763</v>
      </c>
      <c r="B839" s="4">
        <v>57</v>
      </c>
      <c r="C839" s="4" t="s">
        <v>72</v>
      </c>
      <c r="D839" s="4" t="s">
        <v>73</v>
      </c>
      <c r="E839" s="4" t="s">
        <v>788</v>
      </c>
      <c r="F839" s="4" t="str">
        <f t="shared" si="50"/>
        <v>57|U|A</v>
      </c>
      <c r="G839" s="14">
        <f>INDEX('Transition Stepwise'!$J$2:$J$1137,MATCH(F839,'Transition Stepwise'!$E$2:$E$1137,0))</f>
        <v>0.2</v>
      </c>
      <c r="H839" s="14" t="e">
        <f>INDEX(Background!$D$12:$D$27,MATCH(C839&amp;D839,INDEX(Background!$A$12:$A$27,0)&amp;INDEX(Background!$B$12:$B$27,0),0))</f>
        <v>#VALUE!</v>
      </c>
      <c r="I839" s="17" t="e">
        <f t="shared" si="51"/>
        <v>#VALUE!</v>
      </c>
    </row>
    <row r="840" spans="1:9">
      <c r="A840" s="4" t="s">
        <v>763</v>
      </c>
      <c r="B840" s="4">
        <v>58</v>
      </c>
      <c r="C840" s="4" t="s">
        <v>73</v>
      </c>
      <c r="D840" s="4" t="s">
        <v>72</v>
      </c>
      <c r="E840" s="4" t="s">
        <v>788</v>
      </c>
      <c r="F840" s="4" t="str">
        <f t="shared" si="50"/>
        <v>58|A|U</v>
      </c>
      <c r="G840" s="14">
        <f>INDEX('Transition Stepwise'!$J$2:$J$1137,MATCH(F840,'Transition Stepwise'!$E$2:$E$1137,0))</f>
        <v>0.25247524752475248</v>
      </c>
      <c r="H840" s="14" t="e">
        <f>INDEX(Background!$D$12:$D$27,MATCH(C840&amp;D840,INDEX(Background!$A$12:$A$27,0)&amp;INDEX(Background!$B$12:$B$27,0),0))</f>
        <v>#VALUE!</v>
      </c>
      <c r="I840" s="17" t="e">
        <f t="shared" si="51"/>
        <v>#VALUE!</v>
      </c>
    </row>
    <row r="841" spans="1:9">
      <c r="A841" s="4" t="s">
        <v>763</v>
      </c>
      <c r="B841" s="4">
        <v>59</v>
      </c>
      <c r="C841" s="4" t="s">
        <v>72</v>
      </c>
      <c r="D841" s="4" t="s">
        <v>71</v>
      </c>
      <c r="E841" s="4" t="s">
        <v>788</v>
      </c>
      <c r="F841" s="4" t="str">
        <f t="shared" si="50"/>
        <v>59|U|C</v>
      </c>
      <c r="G841" s="14">
        <f>INDEX('Transition Stepwise'!$J$2:$J$1137,MATCH(F841,'Transition Stepwise'!$E$2:$E$1137,0))</f>
        <v>0.42592592592592593</v>
      </c>
      <c r="H841" s="14" t="e">
        <f>INDEX(Background!$D$12:$D$27,MATCH(C841&amp;D841,INDEX(Background!$A$12:$A$27,0)&amp;INDEX(Background!$B$12:$B$27,0),0))</f>
        <v>#VALUE!</v>
      </c>
      <c r="I841" s="17" t="e">
        <f t="shared" si="51"/>
        <v>#VALUE!</v>
      </c>
    </row>
    <row r="842" spans="1:9">
      <c r="A842" s="4" t="s">
        <v>763</v>
      </c>
      <c r="B842" s="4">
        <v>60</v>
      </c>
      <c r="C842" s="4" t="s">
        <v>71</v>
      </c>
      <c r="D842" s="4" t="s">
        <v>71</v>
      </c>
      <c r="E842" s="4" t="s">
        <v>788</v>
      </c>
      <c r="F842" s="4" t="str">
        <f t="shared" si="50"/>
        <v>60|C|C</v>
      </c>
      <c r="G842" s="14">
        <f>INDEX('Transition Stepwise'!$J$2:$J$1137,MATCH(F842,'Transition Stepwise'!$E$2:$E$1137,0))</f>
        <v>0.93181818181818177</v>
      </c>
      <c r="H842" s="14" t="e">
        <f>INDEX(Background!$D$12:$D$27,MATCH(C842&amp;D842,INDEX(Background!$A$12:$A$27,0)&amp;INDEX(Background!$B$12:$B$27,0),0))</f>
        <v>#VALUE!</v>
      </c>
      <c r="I842" s="17" t="e">
        <f t="shared" si="51"/>
        <v>#VALUE!</v>
      </c>
    </row>
    <row r="843" spans="1:9">
      <c r="A843" s="4" t="s">
        <v>763</v>
      </c>
      <c r="B843" s="4">
        <v>61</v>
      </c>
      <c r="C843" s="4" t="s">
        <v>71</v>
      </c>
      <c r="D843" s="4" t="s">
        <v>73</v>
      </c>
      <c r="E843" s="4" t="s">
        <v>788</v>
      </c>
      <c r="F843" s="4" t="str">
        <f t="shared" si="50"/>
        <v>61|C|A</v>
      </c>
      <c r="G843" s="14">
        <f>INDEX('Transition Stepwise'!$J$2:$J$1137,MATCH(F843,'Transition Stepwise'!$E$2:$E$1137,0))</f>
        <v>1.9801980198019802E-2</v>
      </c>
      <c r="H843" s="14" t="e">
        <f>INDEX(Background!$D$12:$D$27,MATCH(C843&amp;D843,INDEX(Background!$A$12:$A$27,0)&amp;INDEX(Background!$B$12:$B$27,0),0))</f>
        <v>#VALUE!</v>
      </c>
      <c r="I843" s="17" t="e">
        <f t="shared" si="51"/>
        <v>#VALUE!</v>
      </c>
    </row>
    <row r="844" spans="1:9">
      <c r="A844" s="4" t="s">
        <v>763</v>
      </c>
      <c r="B844" s="4">
        <v>62</v>
      </c>
      <c r="C844" s="4" t="s">
        <v>73</v>
      </c>
      <c r="D844" s="4" t="s">
        <v>70</v>
      </c>
      <c r="E844" s="4" t="s">
        <v>788</v>
      </c>
      <c r="F844" s="4" t="str">
        <f t="shared" si="50"/>
        <v>62|A|G</v>
      </c>
      <c r="G844" s="14">
        <f>INDEX('Transition Stepwise'!$J$2:$J$1137,MATCH(F844,'Transition Stepwise'!$E$2:$E$1137,0))</f>
        <v>0.14285714285714285</v>
      </c>
      <c r="H844" s="14" t="e">
        <f>INDEX(Background!$D$12:$D$27,MATCH(C844&amp;D844,INDEX(Background!$A$12:$A$27,0)&amp;INDEX(Background!$B$12:$B$27,0),0))</f>
        <v>#VALUE!</v>
      </c>
      <c r="I844" s="17" t="e">
        <f t="shared" si="51"/>
        <v>#VALUE!</v>
      </c>
    </row>
    <row r="845" spans="1:9">
      <c r="A845" s="4" t="s">
        <v>763</v>
      </c>
      <c r="B845" s="4">
        <v>63</v>
      </c>
      <c r="C845" s="4" t="s">
        <v>70</v>
      </c>
      <c r="D845" s="4" t="s">
        <v>70</v>
      </c>
      <c r="E845" s="4" t="s">
        <v>788</v>
      </c>
      <c r="F845" s="4" t="str">
        <f t="shared" si="50"/>
        <v>63|G|G</v>
      </c>
      <c r="G845" s="14">
        <f>INDEX('Transition Stepwise'!$J$2:$J$1137,MATCH(F845,'Transition Stepwise'!$E$2:$E$1137,0))</f>
        <v>0.51923076923076927</v>
      </c>
      <c r="H845" s="14" t="e">
        <f>INDEX(Background!$D$12:$D$27,MATCH(C845&amp;D845,INDEX(Background!$A$12:$A$27,0)&amp;INDEX(Background!$B$12:$B$27,0),0))</f>
        <v>#VALUE!</v>
      </c>
      <c r="I845" s="17" t="e">
        <f t="shared" si="51"/>
        <v>#VALUE!</v>
      </c>
    </row>
    <row r="846" spans="1:9">
      <c r="A846" s="4" t="s">
        <v>763</v>
      </c>
      <c r="B846" s="4">
        <v>64</v>
      </c>
      <c r="C846" s="4" t="s">
        <v>70</v>
      </c>
      <c r="D846" s="4" t="s">
        <v>73</v>
      </c>
      <c r="E846" s="4" t="s">
        <v>788</v>
      </c>
      <c r="F846" s="4" t="str">
        <f t="shared" si="50"/>
        <v>64|G|A</v>
      </c>
      <c r="G846" s="14">
        <f>INDEX('Transition Stepwise'!$J$2:$J$1137,MATCH(F846,'Transition Stepwise'!$E$2:$E$1137,0))</f>
        <v>3.125E-2</v>
      </c>
      <c r="H846" s="14" t="e">
        <f>INDEX(Background!$D$12:$D$27,MATCH(C846&amp;D846,INDEX(Background!$A$12:$A$27,0)&amp;INDEX(Background!$B$12:$B$27,0),0))</f>
        <v>#VALUE!</v>
      </c>
      <c r="I846" s="17" t="e">
        <f t="shared" si="51"/>
        <v>#VALUE!</v>
      </c>
    </row>
    <row r="847" spans="1:9">
      <c r="A847" s="4" t="s">
        <v>763</v>
      </c>
      <c r="B847" s="4">
        <v>65</v>
      </c>
      <c r="C847" s="4" t="s">
        <v>73</v>
      </c>
      <c r="D847" s="4" t="s">
        <v>72</v>
      </c>
      <c r="E847" s="4" t="s">
        <v>788</v>
      </c>
      <c r="F847" s="4" t="str">
        <f t="shared" si="50"/>
        <v>65|A|U</v>
      </c>
      <c r="G847" s="14">
        <f>INDEX('Transition Stepwise'!$J$2:$J$1137,MATCH(F847,'Transition Stepwise'!$E$2:$E$1137,0))</f>
        <v>0.53846153846153844</v>
      </c>
      <c r="H847" s="14" t="e">
        <f>INDEX(Background!$D$12:$D$27,MATCH(C847&amp;D847,INDEX(Background!$A$12:$A$27,0)&amp;INDEX(Background!$B$12:$B$27,0),0))</f>
        <v>#VALUE!</v>
      </c>
      <c r="I847" s="17" t="e">
        <f t="shared" si="51"/>
        <v>#VALUE!</v>
      </c>
    </row>
    <row r="848" spans="1:9">
      <c r="A848" s="4" t="s">
        <v>763</v>
      </c>
      <c r="B848" s="4">
        <v>66</v>
      </c>
      <c r="C848" s="4" t="s">
        <v>72</v>
      </c>
      <c r="D848" s="4" t="s">
        <v>71</v>
      </c>
      <c r="E848" s="4" t="s">
        <v>788</v>
      </c>
      <c r="F848" s="4" t="str">
        <f t="shared" si="50"/>
        <v>66|U|C</v>
      </c>
      <c r="G848" s="14">
        <f>INDEX('Transition Stepwise'!$J$2:$J$1137,MATCH(F848,'Transition Stepwise'!$E$2:$E$1137,0))</f>
        <v>0.20370370370370369</v>
      </c>
      <c r="H848" s="14" t="e">
        <f>INDEX(Background!$D$12:$D$27,MATCH(C848&amp;D848,INDEX(Background!$A$12:$A$27,0)&amp;INDEX(Background!$B$12:$B$27,0),0))</f>
        <v>#VALUE!</v>
      </c>
      <c r="I848" s="17" t="e">
        <f t="shared" si="51"/>
        <v>#VALUE!</v>
      </c>
    </row>
    <row r="849" spans="1:9">
      <c r="A849" s="4" t="s">
        <v>763</v>
      </c>
      <c r="B849" s="4">
        <v>67</v>
      </c>
      <c r="C849" s="4" t="s">
        <v>71</v>
      </c>
      <c r="D849" s="4" t="s">
        <v>72</v>
      </c>
      <c r="E849" s="4" t="s">
        <v>788</v>
      </c>
      <c r="F849" s="4" t="str">
        <f t="shared" si="50"/>
        <v>67|C|U</v>
      </c>
      <c r="G849" s="14">
        <f>INDEX('Transition Stepwise'!$J$2:$J$1137,MATCH(F849,'Transition Stepwise'!$E$2:$E$1137,0))</f>
        <v>0.14285714285714285</v>
      </c>
      <c r="H849" s="14" t="e">
        <f>INDEX(Background!$D$12:$D$27,MATCH(C849&amp;D849,INDEX(Background!$A$12:$A$27,0)&amp;INDEX(Background!$B$12:$B$27,0),0))</f>
        <v>#VALUE!</v>
      </c>
      <c r="I849" s="17" t="e">
        <f t="shared" si="51"/>
        <v>#VALUE!</v>
      </c>
    </row>
    <row r="850" spans="1:9">
      <c r="A850" s="4" t="s">
        <v>763</v>
      </c>
      <c r="B850" s="4">
        <v>68</v>
      </c>
      <c r="C850" s="4" t="s">
        <v>72</v>
      </c>
      <c r="D850" s="4" t="s">
        <v>73</v>
      </c>
      <c r="E850" s="4" t="s">
        <v>788</v>
      </c>
      <c r="F850" s="4" t="str">
        <f t="shared" si="50"/>
        <v>68|U|A</v>
      </c>
      <c r="G850" s="14">
        <f>INDEX('Transition Stepwise'!$J$2:$J$1137,MATCH(F850,'Transition Stepwise'!$E$2:$E$1137,0))</f>
        <v>0.125</v>
      </c>
      <c r="H850" s="14" t="e">
        <f>INDEX(Background!$D$12:$D$27,MATCH(C850&amp;D850,INDEX(Background!$A$12:$A$27,0)&amp;INDEX(Background!$B$12:$B$27,0),0))</f>
        <v>#VALUE!</v>
      </c>
      <c r="I850" s="17" t="e">
        <f t="shared" si="51"/>
        <v>#VALUE!</v>
      </c>
    </row>
    <row r="851" spans="1:9">
      <c r="A851" s="4" t="s">
        <v>763</v>
      </c>
      <c r="B851" s="4">
        <v>69</v>
      </c>
      <c r="C851" s="4" t="s">
        <v>73</v>
      </c>
      <c r="D851" s="4" t="s">
        <v>71</v>
      </c>
      <c r="E851" s="4" t="s">
        <v>788</v>
      </c>
      <c r="F851" s="4" t="str">
        <f t="shared" si="50"/>
        <v>69|A|C</v>
      </c>
      <c r="G851" s="14">
        <f>INDEX('Transition Stepwise'!$J$2:$J$1137,MATCH(F851,'Transition Stepwise'!$E$2:$E$1137,0))</f>
        <v>0.37931034482758619</v>
      </c>
      <c r="H851" s="14" t="e">
        <f>INDEX(Background!$D$12:$D$27,MATCH(C851&amp;D851,INDEX(Background!$A$12:$A$27,0)&amp;INDEX(Background!$B$12:$B$27,0),0))</f>
        <v>#VALUE!</v>
      </c>
      <c r="I851" s="17" t="e">
        <f t="shared" si="51"/>
        <v>#VALUE!</v>
      </c>
    </row>
    <row r="852" spans="1:9">
      <c r="A852" s="4" t="s">
        <v>763</v>
      </c>
      <c r="B852" s="4">
        <v>70</v>
      </c>
      <c r="C852" s="4" t="s">
        <v>71</v>
      </c>
      <c r="D852" s="4" t="s">
        <v>72</v>
      </c>
      <c r="E852" s="4" t="s">
        <v>788</v>
      </c>
      <c r="F852" s="4" t="str">
        <f t="shared" si="50"/>
        <v>70|C|U</v>
      </c>
      <c r="G852" s="14">
        <f>INDEX('Transition Stepwise'!$J$2:$J$1137,MATCH(F852,'Transition Stepwise'!$E$2:$E$1137,0))</f>
        <v>2.6315789473684209E-2</v>
      </c>
      <c r="H852" s="14" t="e">
        <f>INDEX(Background!$D$12:$D$27,MATCH(C852&amp;D852,INDEX(Background!$A$12:$A$27,0)&amp;INDEX(Background!$B$12:$B$27,0),0))</f>
        <v>#VALUE!</v>
      </c>
      <c r="I852" s="17" t="e">
        <f t="shared" si="51"/>
        <v>#VALUE!</v>
      </c>
    </row>
    <row r="853" spans="1:9">
      <c r="A853" s="4" t="s">
        <v>763</v>
      </c>
      <c r="B853" s="4">
        <v>71</v>
      </c>
      <c r="C853" s="4" t="s">
        <v>72</v>
      </c>
      <c r="D853" s="4" t="s">
        <v>72</v>
      </c>
      <c r="E853" s="4" t="s">
        <v>788</v>
      </c>
      <c r="F853" s="4" t="str">
        <f t="shared" si="50"/>
        <v>71|U|U</v>
      </c>
      <c r="G853" s="14">
        <f>INDEX('Transition Stepwise'!$J$2:$J$1137,MATCH(F853,'Transition Stepwise'!$E$2:$E$1137,0))</f>
        <v>7.6923076923076927E-2</v>
      </c>
      <c r="H853" s="14" t="e">
        <f>INDEX(Background!$D$12:$D$27,MATCH(C853&amp;D853,INDEX(Background!$A$12:$A$27,0)&amp;INDEX(Background!$B$12:$B$27,0),0))</f>
        <v>#VALUE!</v>
      </c>
      <c r="I853" s="17" t="e">
        <f t="shared" si="51"/>
        <v>#VALUE!</v>
      </c>
    </row>
    <row r="854" spans="1:9">
      <c r="A854" s="4" t="s">
        <v>764</v>
      </c>
      <c r="B854" s="4">
        <v>1</v>
      </c>
      <c r="C854" s="4" t="s">
        <v>72</v>
      </c>
      <c r="D854" s="4" t="s">
        <v>72</v>
      </c>
      <c r="E854" s="4" t="s">
        <v>788</v>
      </c>
      <c r="F854" s="4" t="str">
        <f t="shared" si="50"/>
        <v>1|U|U</v>
      </c>
      <c r="G854" s="14">
        <f>INDEX('Transition Stepwise'!$J$2:$J$1137,MATCH(F854,'Transition Stepwise'!$E$2:$E$1137,0))</f>
        <v>5.8823529411764705E-2</v>
      </c>
      <c r="H854" s="14" t="e">
        <f>INDEX(Background!$D$12:$D$27,MATCH(C854&amp;D854,INDEX(Background!$A$12:$A$27,0)&amp;INDEX(Background!$B$12:$B$27,0),0))</f>
        <v>#VALUE!</v>
      </c>
      <c r="I854" s="17" t="e">
        <f t="shared" si="51"/>
        <v>#VALUE!</v>
      </c>
    </row>
    <row r="855" spans="1:9">
      <c r="A855" s="4" t="s">
        <v>764</v>
      </c>
      <c r="B855" s="4">
        <v>2</v>
      </c>
      <c r="C855" s="4" t="s">
        <v>72</v>
      </c>
      <c r="D855" s="4" t="s">
        <v>72</v>
      </c>
      <c r="E855" s="4" t="s">
        <v>788</v>
      </c>
      <c r="F855" s="4" t="str">
        <f t="shared" si="50"/>
        <v>2|U|U</v>
      </c>
      <c r="G855" s="14">
        <f>INDEX('Transition Stepwise'!$J$2:$J$1137,MATCH(F855,'Transition Stepwise'!$E$2:$E$1137,0))</f>
        <v>0.2</v>
      </c>
      <c r="H855" s="14" t="e">
        <f>INDEX(Background!$D$12:$D$27,MATCH(C855&amp;D855,INDEX(Background!$A$12:$A$27,0)&amp;INDEX(Background!$B$12:$B$27,0),0))</f>
        <v>#VALUE!</v>
      </c>
      <c r="I855" s="17" t="e">
        <f t="shared" si="51"/>
        <v>#VALUE!</v>
      </c>
    </row>
    <row r="856" spans="1:9">
      <c r="A856" s="4" t="s">
        <v>764</v>
      </c>
      <c r="B856" s="4">
        <v>3</v>
      </c>
      <c r="C856" s="4" t="s">
        <v>72</v>
      </c>
      <c r="D856" s="4" t="s">
        <v>73</v>
      </c>
      <c r="E856" s="4" t="s">
        <v>788</v>
      </c>
      <c r="F856" s="4" t="str">
        <f t="shared" si="50"/>
        <v>3|U|A</v>
      </c>
      <c r="G856" s="14">
        <f>INDEX('Transition Stepwise'!$J$2:$J$1137,MATCH(F856,'Transition Stepwise'!$E$2:$E$1137,0))</f>
        <v>3.7037037037037035E-2</v>
      </c>
      <c r="H856" s="14" t="e">
        <f>INDEX(Background!$D$12:$D$27,MATCH(C856&amp;D856,INDEX(Background!$A$12:$A$27,0)&amp;INDEX(Background!$B$12:$B$27,0),0))</f>
        <v>#VALUE!</v>
      </c>
      <c r="I856" s="17" t="e">
        <f t="shared" si="51"/>
        <v>#VALUE!</v>
      </c>
    </row>
    <row r="857" spans="1:9">
      <c r="A857" s="4" t="s">
        <v>764</v>
      </c>
      <c r="B857" s="4">
        <v>4</v>
      </c>
      <c r="C857" s="4" t="s">
        <v>73</v>
      </c>
      <c r="D857" s="4" t="s">
        <v>70</v>
      </c>
      <c r="E857" s="4" t="s">
        <v>788</v>
      </c>
      <c r="F857" s="4" t="str">
        <f t="shared" si="50"/>
        <v>4|A|G</v>
      </c>
      <c r="G857" s="14">
        <f>INDEX('Transition Stepwise'!$J$2:$J$1137,MATCH(F857,'Transition Stepwise'!$E$2:$E$1137,0))</f>
        <v>0.4</v>
      </c>
      <c r="H857" s="14" t="e">
        <f>INDEX(Background!$D$12:$D$27,MATCH(C857&amp;D857,INDEX(Background!$A$12:$A$27,0)&amp;INDEX(Background!$B$12:$B$27,0),0))</f>
        <v>#VALUE!</v>
      </c>
      <c r="I857" s="17" t="e">
        <f t="shared" si="51"/>
        <v>#VALUE!</v>
      </c>
    </row>
    <row r="858" spans="1:9">
      <c r="A858" s="4" t="s">
        <v>764</v>
      </c>
      <c r="B858" s="4">
        <v>5</v>
      </c>
      <c r="C858" s="4" t="s">
        <v>70</v>
      </c>
      <c r="D858" s="4" t="s">
        <v>73</v>
      </c>
      <c r="E858" s="4" t="s">
        <v>788</v>
      </c>
      <c r="F858" s="4" t="str">
        <f t="shared" si="50"/>
        <v>5|G|A</v>
      </c>
      <c r="G858" s="14">
        <f>INDEX('Transition Stepwise'!$J$2:$J$1137,MATCH(F858,'Transition Stepwise'!$E$2:$E$1137,0))</f>
        <v>0.23287671232876711</v>
      </c>
      <c r="H858" s="14" t="e">
        <f>INDEX(Background!$D$12:$D$27,MATCH(C858&amp;D858,INDEX(Background!$A$12:$A$27,0)&amp;INDEX(Background!$B$12:$B$27,0),0))</f>
        <v>#VALUE!</v>
      </c>
      <c r="I858" s="17" t="e">
        <f t="shared" si="51"/>
        <v>#VALUE!</v>
      </c>
    </row>
    <row r="859" spans="1:9">
      <c r="A859" s="4" t="s">
        <v>764</v>
      </c>
      <c r="B859" s="4">
        <v>6</v>
      </c>
      <c r="C859" s="4" t="s">
        <v>73</v>
      </c>
      <c r="D859" s="4" t="s">
        <v>72</v>
      </c>
      <c r="E859" s="4" t="s">
        <v>788</v>
      </c>
      <c r="F859" s="4" t="str">
        <f t="shared" si="50"/>
        <v>6|A|U</v>
      </c>
      <c r="G859" s="14">
        <f>INDEX('Transition Stepwise'!$J$2:$J$1137,MATCH(F859,'Transition Stepwise'!$E$2:$E$1137,0))</f>
        <v>0.28947368421052633</v>
      </c>
      <c r="H859" s="14" t="e">
        <f>INDEX(Background!$D$12:$D$27,MATCH(C859&amp;D859,INDEX(Background!$A$12:$A$27,0)&amp;INDEX(Background!$B$12:$B$27,0),0))</f>
        <v>#VALUE!</v>
      </c>
      <c r="I859" s="17" t="e">
        <f t="shared" si="51"/>
        <v>#VALUE!</v>
      </c>
    </row>
    <row r="860" spans="1:9">
      <c r="A860" s="4" t="s">
        <v>764</v>
      </c>
      <c r="B860" s="4">
        <v>7</v>
      </c>
      <c r="C860" s="4" t="s">
        <v>72</v>
      </c>
      <c r="D860" s="4" t="s">
        <v>72</v>
      </c>
      <c r="E860" s="4" t="s">
        <v>788</v>
      </c>
      <c r="F860" s="4" t="str">
        <f t="shared" si="50"/>
        <v>7|U|U</v>
      </c>
      <c r="G860" s="14">
        <f>INDEX('Transition Stepwise'!$J$2:$J$1137,MATCH(F860,'Transition Stepwise'!$E$2:$E$1137,0))</f>
        <v>0.9375</v>
      </c>
      <c r="H860" s="14" t="e">
        <f>INDEX(Background!$D$12:$D$27,MATCH(C860&amp;D860,INDEX(Background!$A$12:$A$27,0)&amp;INDEX(Background!$B$12:$B$27,0),0))</f>
        <v>#VALUE!</v>
      </c>
      <c r="I860" s="17" t="e">
        <f t="shared" si="51"/>
        <v>#VALUE!</v>
      </c>
    </row>
    <row r="861" spans="1:9">
      <c r="A861" s="4" t="s">
        <v>764</v>
      </c>
      <c r="B861" s="4">
        <v>8</v>
      </c>
      <c r="C861" s="4" t="s">
        <v>72</v>
      </c>
      <c r="D861" s="4" t="s">
        <v>73</v>
      </c>
      <c r="E861" s="4" t="s">
        <v>788</v>
      </c>
      <c r="F861" s="4" t="str">
        <f t="shared" si="50"/>
        <v>8|U|A</v>
      </c>
      <c r="G861" s="14">
        <f>INDEX('Transition Stepwise'!$J$2:$J$1137,MATCH(F861,'Transition Stepwise'!$E$2:$E$1137,0))</f>
        <v>0.65174129353233834</v>
      </c>
      <c r="H861" s="14" t="e">
        <f>INDEX(Background!$D$12:$D$27,MATCH(C861&amp;D861,INDEX(Background!$A$12:$A$27,0)&amp;INDEX(Background!$B$12:$B$27,0),0))</f>
        <v>#VALUE!</v>
      </c>
      <c r="I861" s="17" t="e">
        <f t="shared" si="51"/>
        <v>#VALUE!</v>
      </c>
    </row>
    <row r="862" spans="1:9">
      <c r="A862" s="4" t="s">
        <v>764</v>
      </c>
      <c r="B862" s="4">
        <v>9</v>
      </c>
      <c r="C862" s="4" t="s">
        <v>73</v>
      </c>
      <c r="D862" s="4" t="s">
        <v>72</v>
      </c>
      <c r="E862" s="4" t="s">
        <v>788</v>
      </c>
      <c r="F862" s="4" t="str">
        <f t="shared" si="50"/>
        <v>9|A|U</v>
      </c>
      <c r="G862" s="14">
        <f>INDEX('Transition Stepwise'!$J$2:$J$1137,MATCH(F862,'Transition Stepwise'!$E$2:$E$1137,0))</f>
        <v>7.4074074074074077E-3</v>
      </c>
      <c r="H862" s="14" t="e">
        <f>INDEX(Background!$D$12:$D$27,MATCH(C862&amp;D862,INDEX(Background!$A$12:$A$27,0)&amp;INDEX(Background!$B$12:$B$27,0),0))</f>
        <v>#VALUE!</v>
      </c>
      <c r="I862" s="17" t="e">
        <f t="shared" si="51"/>
        <v>#VALUE!</v>
      </c>
    </row>
    <row r="863" spans="1:9">
      <c r="A863" s="4" t="s">
        <v>764</v>
      </c>
      <c r="B863" s="4">
        <v>10</v>
      </c>
      <c r="C863" s="4" t="s">
        <v>72</v>
      </c>
      <c r="D863" s="4" t="s">
        <v>70</v>
      </c>
      <c r="E863" s="4" t="s">
        <v>788</v>
      </c>
      <c r="F863" s="4" t="str">
        <f t="shared" si="50"/>
        <v>10|U|G</v>
      </c>
      <c r="G863" s="14">
        <f>INDEX('Transition Stepwise'!$J$2:$J$1137,MATCH(F863,'Transition Stepwise'!$E$2:$E$1137,0))</f>
        <v>0.25</v>
      </c>
      <c r="H863" s="14" t="e">
        <f>INDEX(Background!$D$12:$D$27,MATCH(C863&amp;D863,INDEX(Background!$A$12:$A$27,0)&amp;INDEX(Background!$B$12:$B$27,0),0))</f>
        <v>#VALUE!</v>
      </c>
      <c r="I863" s="17" t="e">
        <f t="shared" ref="I863:I894" si="52">LN(G863/H863)</f>
        <v>#VALUE!</v>
      </c>
    </row>
    <row r="864" spans="1:9">
      <c r="A864" s="4" t="s">
        <v>764</v>
      </c>
      <c r="B864" s="4">
        <v>11</v>
      </c>
      <c r="C864" s="4" t="s">
        <v>70</v>
      </c>
      <c r="D864" s="4" t="s">
        <v>72</v>
      </c>
      <c r="E864" s="4" t="s">
        <v>788</v>
      </c>
      <c r="F864" s="4" t="str">
        <f t="shared" si="50"/>
        <v>11|G|U</v>
      </c>
      <c r="G864" s="14">
        <f>INDEX('Transition Stepwise'!$J$2:$J$1137,MATCH(F864,'Transition Stepwise'!$E$2:$E$1137,0))</f>
        <v>0.2</v>
      </c>
      <c r="H864" s="14" t="e">
        <f>INDEX(Background!$D$12:$D$27,MATCH(C864&amp;D864,INDEX(Background!$A$12:$A$27,0)&amp;INDEX(Background!$B$12:$B$27,0),0))</f>
        <v>#VALUE!</v>
      </c>
      <c r="I864" s="17" t="e">
        <f t="shared" si="52"/>
        <v>#VALUE!</v>
      </c>
    </row>
    <row r="865" spans="1:9">
      <c r="A865" s="4" t="s">
        <v>764</v>
      </c>
      <c r="B865" s="4">
        <v>12</v>
      </c>
      <c r="C865" s="4" t="s">
        <v>72</v>
      </c>
      <c r="D865" s="4" t="s">
        <v>70</v>
      </c>
      <c r="E865" s="4" t="s">
        <v>788</v>
      </c>
      <c r="F865" s="4" t="str">
        <f t="shared" si="50"/>
        <v>12|U|G</v>
      </c>
      <c r="G865" s="14">
        <f>INDEX('Transition Stepwise'!$J$2:$J$1137,MATCH(F865,'Transition Stepwise'!$E$2:$E$1137,0))</f>
        <v>1.6129032258064516E-2</v>
      </c>
      <c r="H865" s="14" t="e">
        <f>INDEX(Background!$D$12:$D$27,MATCH(C865&amp;D865,INDEX(Background!$A$12:$A$27,0)&amp;INDEX(Background!$B$12:$B$27,0),0))</f>
        <v>#VALUE!</v>
      </c>
      <c r="I865" s="17" t="e">
        <f t="shared" si="52"/>
        <v>#VALUE!</v>
      </c>
    </row>
    <row r="866" spans="1:9">
      <c r="A866" s="4" t="s">
        <v>764</v>
      </c>
      <c r="B866" s="4">
        <v>13</v>
      </c>
      <c r="C866" s="4" t="s">
        <v>70</v>
      </c>
      <c r="D866" s="4" t="s">
        <v>70</v>
      </c>
      <c r="E866" s="4" t="s">
        <v>788</v>
      </c>
      <c r="F866" s="4" t="str">
        <f t="shared" si="50"/>
        <v>13|G|G</v>
      </c>
      <c r="G866" s="14">
        <f>INDEX('Transition Stepwise'!$J$2:$J$1137,MATCH(F866,'Transition Stepwise'!$E$2:$E$1137,0))</f>
        <v>4.3478260869565216E-2</v>
      </c>
      <c r="H866" s="14" t="e">
        <f>INDEX(Background!$D$12:$D$27,MATCH(C866&amp;D866,INDEX(Background!$A$12:$A$27,0)&amp;INDEX(Background!$B$12:$B$27,0),0))</f>
        <v>#VALUE!</v>
      </c>
      <c r="I866" s="17" t="e">
        <f t="shared" si="52"/>
        <v>#VALUE!</v>
      </c>
    </row>
    <row r="867" spans="1:9">
      <c r="A867" s="4" t="s">
        <v>764</v>
      </c>
      <c r="B867" s="4">
        <v>14</v>
      </c>
      <c r="C867" s="4" t="s">
        <v>70</v>
      </c>
      <c r="D867" s="4" t="s">
        <v>72</v>
      </c>
      <c r="E867" s="4" t="s">
        <v>788</v>
      </c>
      <c r="F867" s="4" t="str">
        <f t="shared" si="50"/>
        <v>14|G|U</v>
      </c>
      <c r="G867" s="14">
        <f>INDEX('Transition Stepwise'!$J$2:$J$1137,MATCH(F867,'Transition Stepwise'!$E$2:$E$1137,0))</f>
        <v>0.2</v>
      </c>
      <c r="H867" s="14" t="e">
        <f>INDEX(Background!$D$12:$D$27,MATCH(C867&amp;D867,INDEX(Background!$A$12:$A$27,0)&amp;INDEX(Background!$B$12:$B$27,0),0))</f>
        <v>#VALUE!</v>
      </c>
      <c r="I867" s="17" t="e">
        <f t="shared" si="52"/>
        <v>#VALUE!</v>
      </c>
    </row>
    <row r="868" spans="1:9">
      <c r="A868" s="4" t="s">
        <v>764</v>
      </c>
      <c r="B868" s="4">
        <v>15</v>
      </c>
      <c r="C868" s="4" t="s">
        <v>72</v>
      </c>
      <c r="D868" s="4" t="s">
        <v>77</v>
      </c>
      <c r="E868" s="10" t="s">
        <v>789</v>
      </c>
      <c r="F868" s="4"/>
      <c r="G868" s="4"/>
      <c r="H868" s="4"/>
      <c r="I868" s="4"/>
    </row>
    <row r="869" spans="1:9">
      <c r="A869" s="4" t="s">
        <v>764</v>
      </c>
      <c r="B869" s="4">
        <v>16</v>
      </c>
      <c r="C869" s="4" t="s">
        <v>77</v>
      </c>
      <c r="D869" s="4" t="s">
        <v>73</v>
      </c>
      <c r="E869" s="10" t="s">
        <v>789</v>
      </c>
      <c r="F869" s="4"/>
      <c r="G869" s="4"/>
      <c r="H869" s="4"/>
      <c r="I869" s="4"/>
    </row>
    <row r="870" spans="1:9">
      <c r="A870" s="4" t="s">
        <v>764</v>
      </c>
      <c r="B870" s="4">
        <v>17</v>
      </c>
      <c r="C870" s="4" t="s">
        <v>73</v>
      </c>
      <c r="D870" s="4" t="s">
        <v>70</v>
      </c>
      <c r="E870" s="4" t="s">
        <v>788</v>
      </c>
      <c r="F870" s="4" t="str">
        <f t="shared" ref="F870:F933" si="53">B870&amp;"|"&amp;C870&amp;"|"&amp;D870</f>
        <v>17|A|G</v>
      </c>
      <c r="G870" s="14">
        <f>INDEX('Transition Stepwise'!$J$2:$J$1137,MATCH(F870,'Transition Stepwise'!$E$2:$E$1137,0))</f>
        <v>0.75</v>
      </c>
      <c r="H870" s="14" t="e">
        <f>INDEX(Background!$D$12:$D$27,MATCH(C870&amp;D870,INDEX(Background!$A$12:$A$27,0)&amp;INDEX(Background!$B$12:$B$27,0),0))</f>
        <v>#VALUE!</v>
      </c>
      <c r="I870" s="17" t="e">
        <f t="shared" ref="I870:I933" si="54">LN(G870/H870)</f>
        <v>#VALUE!</v>
      </c>
    </row>
    <row r="871" spans="1:9">
      <c r="A871" s="4" t="s">
        <v>764</v>
      </c>
      <c r="B871" s="4">
        <v>18</v>
      </c>
      <c r="C871" s="4" t="s">
        <v>70</v>
      </c>
      <c r="D871" s="4" t="s">
        <v>70</v>
      </c>
      <c r="E871" s="4" t="s">
        <v>788</v>
      </c>
      <c r="F871" s="4" t="str">
        <f t="shared" si="53"/>
        <v>18|G|G</v>
      </c>
      <c r="G871" s="14">
        <f>INDEX('Transition Stepwise'!$J$2:$J$1137,MATCH(F871,'Transition Stepwise'!$E$2:$E$1137,0))</f>
        <v>0.97536945812807885</v>
      </c>
      <c r="H871" s="14" t="e">
        <f>INDEX(Background!$D$12:$D$27,MATCH(C871&amp;D871,INDEX(Background!$A$12:$A$27,0)&amp;INDEX(Background!$B$12:$B$27,0),0))</f>
        <v>#VALUE!</v>
      </c>
      <c r="I871" s="17" t="e">
        <f t="shared" si="54"/>
        <v>#VALUE!</v>
      </c>
    </row>
    <row r="872" spans="1:9">
      <c r="A872" s="4" t="s">
        <v>764</v>
      </c>
      <c r="B872" s="4">
        <v>19</v>
      </c>
      <c r="C872" s="4" t="s">
        <v>70</v>
      </c>
      <c r="D872" s="4" t="s">
        <v>72</v>
      </c>
      <c r="E872" s="4" t="s">
        <v>788</v>
      </c>
      <c r="F872" s="4" t="str">
        <f t="shared" si="53"/>
        <v>19|G|U</v>
      </c>
      <c r="G872" s="14">
        <f>INDEX('Transition Stepwise'!$J$2:$J$1137,MATCH(F872,'Transition Stepwise'!$E$2:$E$1137,0))</f>
        <v>0.58706467661691542</v>
      </c>
      <c r="H872" s="14" t="e">
        <f>INDEX(Background!$D$12:$D$27,MATCH(C872&amp;D872,INDEX(Background!$A$12:$A$27,0)&amp;INDEX(Background!$B$12:$B$27,0),0))</f>
        <v>#VALUE!</v>
      </c>
      <c r="I872" s="17" t="e">
        <f t="shared" si="54"/>
        <v>#VALUE!</v>
      </c>
    </row>
    <row r="873" spans="1:9">
      <c r="A873" s="4" t="s">
        <v>764</v>
      </c>
      <c r="B873" s="4">
        <v>20</v>
      </c>
      <c r="C873" s="4" t="s">
        <v>72</v>
      </c>
      <c r="D873" s="4" t="s">
        <v>72</v>
      </c>
      <c r="E873" s="4" t="s">
        <v>788</v>
      </c>
      <c r="F873" s="4" t="str">
        <f t="shared" si="53"/>
        <v>20|U|U</v>
      </c>
      <c r="G873" s="14">
        <f>INDEX('Transition Stepwise'!$J$2:$J$1137,MATCH(F873,'Transition Stepwise'!$E$2:$E$1137,0))</f>
        <v>4.878048780487805E-2</v>
      </c>
      <c r="H873" s="14" t="e">
        <f>INDEX(Background!$D$12:$D$27,MATCH(C873&amp;D873,INDEX(Background!$A$12:$A$27,0)&amp;INDEX(Background!$B$12:$B$27,0),0))</f>
        <v>#VALUE!</v>
      </c>
      <c r="I873" s="17" t="e">
        <f t="shared" si="54"/>
        <v>#VALUE!</v>
      </c>
    </row>
    <row r="874" spans="1:9">
      <c r="A874" s="4" t="s">
        <v>764</v>
      </c>
      <c r="B874" s="4">
        <v>21</v>
      </c>
      <c r="C874" s="4" t="s">
        <v>72</v>
      </c>
      <c r="D874" s="4" t="s">
        <v>70</v>
      </c>
      <c r="E874" s="4" t="s">
        <v>788</v>
      </c>
      <c r="F874" s="4" t="str">
        <f t="shared" si="53"/>
        <v>21|U|G</v>
      </c>
      <c r="G874" s="14">
        <f>INDEX('Transition Stepwise'!$J$2:$J$1137,MATCH(F874,'Transition Stepwise'!$E$2:$E$1137,0))</f>
        <v>0.35714285714285715</v>
      </c>
      <c r="H874" s="14" t="e">
        <f>INDEX(Background!$D$12:$D$27,MATCH(C874&amp;D874,INDEX(Background!$A$12:$A$27,0)&amp;INDEX(Background!$B$12:$B$27,0),0))</f>
        <v>#VALUE!</v>
      </c>
      <c r="I874" s="17" t="e">
        <f t="shared" si="54"/>
        <v>#VALUE!</v>
      </c>
    </row>
    <row r="875" spans="1:9">
      <c r="A875" s="4" t="s">
        <v>764</v>
      </c>
      <c r="B875" s="4">
        <v>22</v>
      </c>
      <c r="C875" s="4" t="s">
        <v>70</v>
      </c>
      <c r="D875" s="4" t="s">
        <v>70</v>
      </c>
      <c r="E875" s="4" t="s">
        <v>788</v>
      </c>
      <c r="F875" s="4" t="str">
        <f t="shared" si="53"/>
        <v>22|G|G</v>
      </c>
      <c r="G875" s="14">
        <f>INDEX('Transition Stepwise'!$J$2:$J$1137,MATCH(F875,'Transition Stepwise'!$E$2:$E$1137,0))</f>
        <v>4.0268456375838924E-2</v>
      </c>
      <c r="H875" s="14" t="e">
        <f>INDEX(Background!$D$12:$D$27,MATCH(C875&amp;D875,INDEX(Background!$A$12:$A$27,0)&amp;INDEX(Background!$B$12:$B$27,0),0))</f>
        <v>#VALUE!</v>
      </c>
      <c r="I875" s="17" t="e">
        <f t="shared" si="54"/>
        <v>#VALUE!</v>
      </c>
    </row>
    <row r="876" spans="1:9">
      <c r="A876" s="4" t="s">
        <v>764</v>
      </c>
      <c r="B876" s="4">
        <v>23</v>
      </c>
      <c r="C876" s="4" t="s">
        <v>70</v>
      </c>
      <c r="D876" s="4" t="s">
        <v>72</v>
      </c>
      <c r="E876" s="4" t="s">
        <v>788</v>
      </c>
      <c r="F876" s="4" t="str">
        <f t="shared" si="53"/>
        <v>23|G|U</v>
      </c>
      <c r="G876" s="14">
        <f>INDEX('Transition Stepwise'!$J$2:$J$1137,MATCH(F876,'Transition Stepwise'!$E$2:$E$1137,0))</f>
        <v>3.0303030303030304E-2</v>
      </c>
      <c r="H876" s="14" t="e">
        <f>INDEX(Background!$D$12:$D$27,MATCH(C876&amp;D876,INDEX(Background!$A$12:$A$27,0)&amp;INDEX(Background!$B$12:$B$27,0),0))</f>
        <v>#VALUE!</v>
      </c>
      <c r="I876" s="17" t="e">
        <f t="shared" si="54"/>
        <v>#VALUE!</v>
      </c>
    </row>
    <row r="877" spans="1:9">
      <c r="A877" s="4" t="s">
        <v>764</v>
      </c>
      <c r="B877" s="4">
        <v>24</v>
      </c>
      <c r="C877" s="4" t="s">
        <v>72</v>
      </c>
      <c r="D877" s="4" t="s">
        <v>70</v>
      </c>
      <c r="E877" s="4" t="s">
        <v>788</v>
      </c>
      <c r="F877" s="4" t="str">
        <f t="shared" si="53"/>
        <v>24|U|G</v>
      </c>
      <c r="G877" s="14">
        <f>INDEX('Transition Stepwise'!$J$2:$J$1137,MATCH(F877,'Transition Stepwise'!$E$2:$E$1137,0))</f>
        <v>9.0909090909090912E-2</v>
      </c>
      <c r="H877" s="14" t="e">
        <f>INDEX(Background!$D$12:$D$27,MATCH(C877&amp;D877,INDEX(Background!$A$12:$A$27,0)&amp;INDEX(Background!$B$12:$B$27,0),0))</f>
        <v>#VALUE!</v>
      </c>
      <c r="I877" s="17" t="e">
        <f t="shared" si="54"/>
        <v>#VALUE!</v>
      </c>
    </row>
    <row r="878" spans="1:9">
      <c r="A878" s="4" t="s">
        <v>764</v>
      </c>
      <c r="B878" s="4">
        <v>25</v>
      </c>
      <c r="C878" s="4" t="s">
        <v>70</v>
      </c>
      <c r="D878" s="4" t="s">
        <v>72</v>
      </c>
      <c r="E878" s="4" t="s">
        <v>788</v>
      </c>
      <c r="F878" s="4" t="str">
        <f t="shared" si="53"/>
        <v>25|G|U</v>
      </c>
      <c r="G878" s="14">
        <f>INDEX('Transition Stepwise'!$J$2:$J$1137,MATCH(F878,'Transition Stepwise'!$E$2:$E$1137,0))</f>
        <v>9.0909090909090912E-2</v>
      </c>
      <c r="H878" s="14" t="e">
        <f>INDEX(Background!$D$12:$D$27,MATCH(C878&amp;D878,INDEX(Background!$A$12:$A$27,0)&amp;INDEX(Background!$B$12:$B$27,0),0))</f>
        <v>#VALUE!</v>
      </c>
      <c r="I878" s="17" t="e">
        <f t="shared" si="54"/>
        <v>#VALUE!</v>
      </c>
    </row>
    <row r="879" spans="1:9">
      <c r="A879" s="4" t="s">
        <v>764</v>
      </c>
      <c r="B879" s="4">
        <v>26</v>
      </c>
      <c r="C879" s="4" t="s">
        <v>72</v>
      </c>
      <c r="D879" s="4" t="s">
        <v>72</v>
      </c>
      <c r="E879" s="4" t="s">
        <v>788</v>
      </c>
      <c r="F879" s="4" t="str">
        <f t="shared" si="53"/>
        <v>26|U|U</v>
      </c>
      <c r="G879" s="14">
        <f>INDEX('Transition Stepwise'!$J$2:$J$1137,MATCH(F879,'Transition Stepwise'!$E$2:$E$1137,0))</f>
        <v>0.26666666666666666</v>
      </c>
      <c r="H879" s="14" t="e">
        <f>INDEX(Background!$D$12:$D$27,MATCH(C879&amp;D879,INDEX(Background!$A$12:$A$27,0)&amp;INDEX(Background!$B$12:$B$27,0),0))</f>
        <v>#VALUE!</v>
      </c>
      <c r="I879" s="17" t="e">
        <f t="shared" si="54"/>
        <v>#VALUE!</v>
      </c>
    </row>
    <row r="880" spans="1:9">
      <c r="A880" s="4" t="s">
        <v>764</v>
      </c>
      <c r="B880" s="4">
        <v>27</v>
      </c>
      <c r="C880" s="4" t="s">
        <v>72</v>
      </c>
      <c r="D880" s="4" t="s">
        <v>70</v>
      </c>
      <c r="E880" s="4" t="s">
        <v>788</v>
      </c>
      <c r="F880" s="4" t="str">
        <f t="shared" si="53"/>
        <v>27|U|G</v>
      </c>
      <c r="G880" s="14">
        <f>INDEX('Transition Stepwise'!$J$2:$J$1137,MATCH(F880,'Transition Stepwise'!$E$2:$E$1137,0))</f>
        <v>0.10714285714285714</v>
      </c>
      <c r="H880" s="14" t="e">
        <f>INDEX(Background!$D$12:$D$27,MATCH(C880&amp;D880,INDEX(Background!$A$12:$A$27,0)&amp;INDEX(Background!$B$12:$B$27,0),0))</f>
        <v>#VALUE!</v>
      </c>
      <c r="I880" s="17" t="e">
        <f t="shared" si="54"/>
        <v>#VALUE!</v>
      </c>
    </row>
    <row r="881" spans="1:9">
      <c r="A881" s="4" t="s">
        <v>764</v>
      </c>
      <c r="B881" s="4">
        <v>28</v>
      </c>
      <c r="C881" s="4" t="s">
        <v>70</v>
      </c>
      <c r="D881" s="4" t="s">
        <v>72</v>
      </c>
      <c r="E881" s="4" t="s">
        <v>788</v>
      </c>
      <c r="F881" s="4" t="str">
        <f t="shared" si="53"/>
        <v>28|G|U</v>
      </c>
      <c r="G881" s="14">
        <f>INDEX('Transition Stepwise'!$J$2:$J$1137,MATCH(F881,'Transition Stepwise'!$E$2:$E$1137,0))</f>
        <v>7.6923076923076927E-2</v>
      </c>
      <c r="H881" s="14" t="e">
        <f>INDEX(Background!$D$12:$D$27,MATCH(C881&amp;D881,INDEX(Background!$A$12:$A$27,0)&amp;INDEX(Background!$B$12:$B$27,0),0))</f>
        <v>#VALUE!</v>
      </c>
      <c r="I881" s="17" t="e">
        <f t="shared" si="54"/>
        <v>#VALUE!</v>
      </c>
    </row>
    <row r="882" spans="1:9">
      <c r="A882" s="4" t="s">
        <v>764</v>
      </c>
      <c r="B882" s="4">
        <v>29</v>
      </c>
      <c r="C882" s="4" t="s">
        <v>72</v>
      </c>
      <c r="D882" s="4" t="s">
        <v>72</v>
      </c>
      <c r="E882" s="4" t="s">
        <v>788</v>
      </c>
      <c r="F882" s="4" t="str">
        <f t="shared" si="53"/>
        <v>29|U|U</v>
      </c>
      <c r="G882" s="14">
        <f>INDEX('Transition Stepwise'!$J$2:$J$1137,MATCH(F882,'Transition Stepwise'!$E$2:$E$1137,0))</f>
        <v>1.6949152542372881E-2</v>
      </c>
      <c r="H882" s="14" t="e">
        <f>INDEX(Background!$D$12:$D$27,MATCH(C882&amp;D882,INDEX(Background!$A$12:$A$27,0)&amp;INDEX(Background!$B$12:$B$27,0),0))</f>
        <v>#VALUE!</v>
      </c>
      <c r="I882" s="17" t="e">
        <f t="shared" si="54"/>
        <v>#VALUE!</v>
      </c>
    </row>
    <row r="883" spans="1:9">
      <c r="A883" s="4" t="s">
        <v>764</v>
      </c>
      <c r="B883" s="4">
        <v>30</v>
      </c>
      <c r="C883" s="4" t="s">
        <v>72</v>
      </c>
      <c r="D883" s="4" t="s">
        <v>72</v>
      </c>
      <c r="E883" s="4" t="s">
        <v>788</v>
      </c>
      <c r="F883" s="4" t="str">
        <f t="shared" si="53"/>
        <v>30|U|U</v>
      </c>
      <c r="G883" s="14">
        <f>INDEX('Transition Stepwise'!$J$2:$J$1137,MATCH(F883,'Transition Stepwise'!$E$2:$E$1137,0))</f>
        <v>9.0909090909090912E-2</v>
      </c>
      <c r="H883" s="14" t="e">
        <f>INDEX(Background!$D$12:$D$27,MATCH(C883&amp;D883,INDEX(Background!$A$12:$A$27,0)&amp;INDEX(Background!$B$12:$B$27,0),0))</f>
        <v>#VALUE!</v>
      </c>
      <c r="I883" s="17" t="e">
        <f t="shared" si="54"/>
        <v>#VALUE!</v>
      </c>
    </row>
    <row r="884" spans="1:9">
      <c r="A884" s="4" t="s">
        <v>764</v>
      </c>
      <c r="B884" s="4">
        <v>31</v>
      </c>
      <c r="C884" s="4" t="s">
        <v>72</v>
      </c>
      <c r="D884" s="4" t="s">
        <v>72</v>
      </c>
      <c r="E884" s="4" t="s">
        <v>788</v>
      </c>
      <c r="F884" s="4" t="str">
        <f t="shared" si="53"/>
        <v>31|U|U</v>
      </c>
      <c r="G884" s="14">
        <f>INDEX('Transition Stepwise'!$J$2:$J$1137,MATCH(F884,'Transition Stepwise'!$E$2:$E$1137,0))</f>
        <v>0.13043478260869565</v>
      </c>
      <c r="H884" s="14" t="e">
        <f>INDEX(Background!$D$12:$D$27,MATCH(C884&amp;D884,INDEX(Background!$A$12:$A$27,0)&amp;INDEX(Background!$B$12:$B$27,0),0))</f>
        <v>#VALUE!</v>
      </c>
      <c r="I884" s="17" t="e">
        <f t="shared" si="54"/>
        <v>#VALUE!</v>
      </c>
    </row>
    <row r="885" spans="1:9">
      <c r="A885" s="4" t="s">
        <v>764</v>
      </c>
      <c r="B885" s="4">
        <v>32</v>
      </c>
      <c r="C885" s="4" t="s">
        <v>72</v>
      </c>
      <c r="D885" s="4" t="s">
        <v>72</v>
      </c>
      <c r="E885" s="4" t="s">
        <v>788</v>
      </c>
      <c r="F885" s="4" t="str">
        <f t="shared" si="53"/>
        <v>32|U|U</v>
      </c>
      <c r="G885" s="14">
        <f>INDEX('Transition Stepwise'!$J$2:$J$1137,MATCH(F885,'Transition Stepwise'!$E$2:$E$1137,0))</f>
        <v>0.93650793650793651</v>
      </c>
      <c r="H885" s="14" t="e">
        <f>INDEX(Background!$D$12:$D$27,MATCH(C885&amp;D885,INDEX(Background!$A$12:$A$27,0)&amp;INDEX(Background!$B$12:$B$27,0),0))</f>
        <v>#VALUE!</v>
      </c>
      <c r="I885" s="17" t="e">
        <f t="shared" si="54"/>
        <v>#VALUE!</v>
      </c>
    </row>
    <row r="886" spans="1:9">
      <c r="A886" s="4" t="s">
        <v>764</v>
      </c>
      <c r="B886" s="4">
        <v>33</v>
      </c>
      <c r="C886" s="4" t="s">
        <v>72</v>
      </c>
      <c r="D886" s="4" t="s">
        <v>71</v>
      </c>
      <c r="E886" s="4" t="s">
        <v>788</v>
      </c>
      <c r="F886" s="4" t="str">
        <f t="shared" si="53"/>
        <v>33|U|C</v>
      </c>
      <c r="G886" s="14">
        <f>INDEX('Transition Stepwise'!$J$2:$J$1137,MATCH(F886,'Transition Stepwise'!$E$2:$E$1137,0))</f>
        <v>0.32178217821782179</v>
      </c>
      <c r="H886" s="14" t="e">
        <f>INDEX(Background!$D$12:$D$27,MATCH(C886&amp;D886,INDEX(Background!$A$12:$A$27,0)&amp;INDEX(Background!$B$12:$B$27,0),0))</f>
        <v>#VALUE!</v>
      </c>
      <c r="I886" s="17" t="e">
        <f t="shared" si="54"/>
        <v>#VALUE!</v>
      </c>
    </row>
    <row r="887" spans="1:9">
      <c r="A887" s="4" t="s">
        <v>764</v>
      </c>
      <c r="B887" s="4">
        <v>34</v>
      </c>
      <c r="C887" s="4" t="s">
        <v>71</v>
      </c>
      <c r="D887" s="4" t="s">
        <v>72</v>
      </c>
      <c r="E887" s="4" t="s">
        <v>788</v>
      </c>
      <c r="F887" s="4" t="str">
        <f t="shared" si="53"/>
        <v>34|C|U</v>
      </c>
      <c r="G887" s="14">
        <f>INDEX('Transition Stepwise'!$J$2:$J$1137,MATCH(F887,'Transition Stepwise'!$E$2:$E$1137,0))</f>
        <v>0.18571428571428572</v>
      </c>
      <c r="H887" s="14" t="e">
        <f>INDEX(Background!$D$12:$D$27,MATCH(C887&amp;D887,INDEX(Background!$A$12:$A$27,0)&amp;INDEX(Background!$B$12:$B$27,0),0))</f>
        <v>#VALUE!</v>
      </c>
      <c r="I887" s="17" t="e">
        <f t="shared" si="54"/>
        <v>#VALUE!</v>
      </c>
    </row>
    <row r="888" spans="1:9">
      <c r="A888" s="4" t="s">
        <v>764</v>
      </c>
      <c r="B888" s="4">
        <v>35</v>
      </c>
      <c r="C888" s="4" t="s">
        <v>72</v>
      </c>
      <c r="D888" s="4" t="s">
        <v>73</v>
      </c>
      <c r="E888" s="4" t="s">
        <v>788</v>
      </c>
      <c r="F888" s="4" t="str">
        <f t="shared" si="53"/>
        <v>35|U|A</v>
      </c>
      <c r="G888" s="14">
        <f>INDEX('Transition Stepwise'!$J$2:$J$1137,MATCH(F888,'Transition Stepwise'!$E$2:$E$1137,0))</f>
        <v>0.17777777777777778</v>
      </c>
      <c r="H888" s="14" t="e">
        <f>INDEX(Background!$D$12:$D$27,MATCH(C888&amp;D888,INDEX(Background!$A$12:$A$27,0)&amp;INDEX(Background!$B$12:$B$27,0),0))</f>
        <v>#VALUE!</v>
      </c>
      <c r="I888" s="17" t="e">
        <f t="shared" si="54"/>
        <v>#VALUE!</v>
      </c>
    </row>
    <row r="889" spans="1:9">
      <c r="A889" s="4" t="s">
        <v>764</v>
      </c>
      <c r="B889" s="4">
        <v>36</v>
      </c>
      <c r="C889" s="4" t="s">
        <v>73</v>
      </c>
      <c r="D889" s="4" t="s">
        <v>73</v>
      </c>
      <c r="E889" s="4" t="s">
        <v>788</v>
      </c>
      <c r="F889" s="4" t="str">
        <f t="shared" si="53"/>
        <v>36|A|A</v>
      </c>
      <c r="G889" s="14">
        <f>INDEX('Transition Stepwise'!$J$2:$J$1137,MATCH(F889,'Transition Stepwise'!$E$2:$E$1137,0))</f>
        <v>0.55319148936170215</v>
      </c>
      <c r="H889" s="14" t="e">
        <f>INDEX(Background!$D$12:$D$27,MATCH(C889&amp;D889,INDEX(Background!$A$12:$A$27,0)&amp;INDEX(Background!$B$12:$B$27,0),0))</f>
        <v>#VALUE!</v>
      </c>
      <c r="I889" s="17" t="e">
        <f t="shared" si="54"/>
        <v>#VALUE!</v>
      </c>
    </row>
    <row r="890" spans="1:9">
      <c r="A890" s="4" t="s">
        <v>764</v>
      </c>
      <c r="B890" s="4">
        <v>37</v>
      </c>
      <c r="C890" s="4" t="s">
        <v>73</v>
      </c>
      <c r="D890" s="4" t="s">
        <v>70</v>
      </c>
      <c r="E890" s="4" t="s">
        <v>788</v>
      </c>
      <c r="F890" s="4" t="str">
        <f t="shared" si="53"/>
        <v>37|A|G</v>
      </c>
      <c r="G890" s="14">
        <f>INDEX('Transition Stepwise'!$J$2:$J$1137,MATCH(F890,'Transition Stepwise'!$E$2:$E$1137,0))</f>
        <v>6.4516129032258064E-3</v>
      </c>
      <c r="H890" s="14" t="e">
        <f>INDEX(Background!$D$12:$D$27,MATCH(C890&amp;D890,INDEX(Background!$A$12:$A$27,0)&amp;INDEX(Background!$B$12:$B$27,0),0))</f>
        <v>#VALUE!</v>
      </c>
      <c r="I890" s="17" t="e">
        <f t="shared" si="54"/>
        <v>#VALUE!</v>
      </c>
    </row>
    <row r="891" spans="1:9">
      <c r="A891" s="4" t="s">
        <v>764</v>
      </c>
      <c r="B891" s="4">
        <v>38</v>
      </c>
      <c r="C891" s="4" t="s">
        <v>70</v>
      </c>
      <c r="D891" s="4" t="s">
        <v>70</v>
      </c>
      <c r="E891" s="4" t="s">
        <v>788</v>
      </c>
      <c r="F891" s="4" t="str">
        <f t="shared" si="53"/>
        <v>38|G|G</v>
      </c>
      <c r="G891" s="14">
        <f>INDEX('Transition Stepwise'!$J$2:$J$1137,MATCH(F891,'Transition Stepwise'!$E$2:$E$1137,0))</f>
        <v>0.2</v>
      </c>
      <c r="H891" s="14" t="e">
        <f>INDEX(Background!$D$12:$D$27,MATCH(C891&amp;D891,INDEX(Background!$A$12:$A$27,0)&amp;INDEX(Background!$B$12:$B$27,0),0))</f>
        <v>#VALUE!</v>
      </c>
      <c r="I891" s="17" t="e">
        <f t="shared" si="54"/>
        <v>#VALUE!</v>
      </c>
    </row>
    <row r="892" spans="1:9">
      <c r="A892" s="4" t="s">
        <v>764</v>
      </c>
      <c r="B892" s="4">
        <v>39</v>
      </c>
      <c r="C892" s="4" t="s">
        <v>70</v>
      </c>
      <c r="D892" s="4" t="s">
        <v>72</v>
      </c>
      <c r="E892" s="4" t="s">
        <v>788</v>
      </c>
      <c r="F892" s="4" t="str">
        <f t="shared" si="53"/>
        <v>39|G|U</v>
      </c>
      <c r="G892" s="14">
        <f>INDEX('Transition Stepwise'!$J$2:$J$1137,MATCH(F892,'Transition Stepwise'!$E$2:$E$1137,0))</f>
        <v>7.8947368421052627E-2</v>
      </c>
      <c r="H892" s="14" t="e">
        <f>INDEX(Background!$D$12:$D$27,MATCH(C892&amp;D892,INDEX(Background!$A$12:$A$27,0)&amp;INDEX(Background!$B$12:$B$27,0),0))</f>
        <v>#VALUE!</v>
      </c>
      <c r="I892" s="17" t="e">
        <f t="shared" si="54"/>
        <v>#VALUE!</v>
      </c>
    </row>
    <row r="893" spans="1:9">
      <c r="A893" s="4" t="s">
        <v>764</v>
      </c>
      <c r="B893" s="4">
        <v>40</v>
      </c>
      <c r="C893" s="4" t="s">
        <v>72</v>
      </c>
      <c r="D893" s="4" t="s">
        <v>73</v>
      </c>
      <c r="E893" s="4" t="s">
        <v>788</v>
      </c>
      <c r="F893" s="4" t="str">
        <f t="shared" si="53"/>
        <v>40|U|A</v>
      </c>
      <c r="G893" s="14">
        <f>INDEX('Transition Stepwise'!$J$2:$J$1137,MATCH(F893,'Transition Stepwise'!$E$2:$E$1137,0))</f>
        <v>0.25</v>
      </c>
      <c r="H893" s="14" t="e">
        <f>INDEX(Background!$D$12:$D$27,MATCH(C893&amp;D893,INDEX(Background!$A$12:$A$27,0)&amp;INDEX(Background!$B$12:$B$27,0),0))</f>
        <v>#VALUE!</v>
      </c>
      <c r="I893" s="17" t="e">
        <f t="shared" si="54"/>
        <v>#VALUE!</v>
      </c>
    </row>
    <row r="894" spans="1:9">
      <c r="A894" s="4" t="s">
        <v>764</v>
      </c>
      <c r="B894" s="4">
        <v>41</v>
      </c>
      <c r="C894" s="4" t="s">
        <v>73</v>
      </c>
      <c r="D894" s="4" t="s">
        <v>71</v>
      </c>
      <c r="E894" s="4" t="s">
        <v>788</v>
      </c>
      <c r="F894" s="4" t="str">
        <f t="shared" si="53"/>
        <v>41|A|C</v>
      </c>
      <c r="G894" s="14">
        <f>INDEX('Transition Stepwise'!$J$2:$J$1137,MATCH(F894,'Transition Stepwise'!$E$2:$E$1137,0))</f>
        <v>3.4482758620689655E-2</v>
      </c>
      <c r="H894" s="14" t="e">
        <f>INDEX(Background!$D$12:$D$27,MATCH(C894&amp;D894,INDEX(Background!$A$12:$A$27,0)&amp;INDEX(Background!$B$12:$B$27,0),0))</f>
        <v>#VALUE!</v>
      </c>
      <c r="I894" s="17" t="e">
        <f t="shared" si="54"/>
        <v>#VALUE!</v>
      </c>
    </row>
    <row r="895" spans="1:9">
      <c r="A895" s="4" t="s">
        <v>764</v>
      </c>
      <c r="B895" s="4">
        <v>42</v>
      </c>
      <c r="C895" s="4" t="s">
        <v>71</v>
      </c>
      <c r="D895" s="4" t="s">
        <v>73</v>
      </c>
      <c r="E895" s="4" t="s">
        <v>788</v>
      </c>
      <c r="F895" s="4" t="str">
        <f t="shared" si="53"/>
        <v>42|C|A</v>
      </c>
      <c r="G895" s="14">
        <f>INDEX('Transition Stepwise'!$J$2:$J$1137,MATCH(F895,'Transition Stepwise'!$E$2:$E$1137,0))</f>
        <v>0.25</v>
      </c>
      <c r="H895" s="14" t="e">
        <f>INDEX(Background!$D$12:$D$27,MATCH(C895&amp;D895,INDEX(Background!$A$12:$A$27,0)&amp;INDEX(Background!$B$12:$B$27,0),0))</f>
        <v>#VALUE!</v>
      </c>
      <c r="I895" s="17" t="e">
        <f t="shared" si="54"/>
        <v>#VALUE!</v>
      </c>
    </row>
    <row r="896" spans="1:9">
      <c r="A896" s="4" t="s">
        <v>764</v>
      </c>
      <c r="B896" s="4">
        <v>43</v>
      </c>
      <c r="C896" s="4" t="s">
        <v>73</v>
      </c>
      <c r="D896" s="4" t="s">
        <v>73</v>
      </c>
      <c r="E896" s="4" t="s">
        <v>788</v>
      </c>
      <c r="F896" s="4" t="str">
        <f t="shared" si="53"/>
        <v>43|A|A</v>
      </c>
      <c r="G896" s="14">
        <f>INDEX('Transition Stepwise'!$J$2:$J$1137,MATCH(F896,'Transition Stepwise'!$E$2:$E$1137,0))</f>
        <v>0.46938775510204084</v>
      </c>
      <c r="H896" s="14" t="e">
        <f>INDEX(Background!$D$12:$D$27,MATCH(C896&amp;D896,INDEX(Background!$A$12:$A$27,0)&amp;INDEX(Background!$B$12:$B$27,0),0))</f>
        <v>#VALUE!</v>
      </c>
      <c r="I896" s="17" t="e">
        <f t="shared" si="54"/>
        <v>#VALUE!</v>
      </c>
    </row>
    <row r="897" spans="1:9">
      <c r="A897" s="4" t="s">
        <v>764</v>
      </c>
      <c r="B897" s="4">
        <v>44</v>
      </c>
      <c r="C897" s="4" t="s">
        <v>73</v>
      </c>
      <c r="D897" s="4" t="s">
        <v>71</v>
      </c>
      <c r="E897" s="4" t="s">
        <v>788</v>
      </c>
      <c r="F897" s="4" t="str">
        <f t="shared" si="53"/>
        <v>44|A|C</v>
      </c>
      <c r="G897" s="14">
        <f>INDEX('Transition Stepwise'!$J$2:$J$1137,MATCH(F897,'Transition Stepwise'!$E$2:$E$1137,0))</f>
        <v>2.9126213592233011E-2</v>
      </c>
      <c r="H897" s="14" t="e">
        <f>INDEX(Background!$D$12:$D$27,MATCH(C897&amp;D897,INDEX(Background!$A$12:$A$27,0)&amp;INDEX(Background!$B$12:$B$27,0),0))</f>
        <v>#VALUE!</v>
      </c>
      <c r="I897" s="17" t="e">
        <f t="shared" si="54"/>
        <v>#VALUE!</v>
      </c>
    </row>
    <row r="898" spans="1:9">
      <c r="A898" s="4" t="s">
        <v>764</v>
      </c>
      <c r="B898" s="4">
        <v>45</v>
      </c>
      <c r="C898" s="4" t="s">
        <v>71</v>
      </c>
      <c r="D898" s="4" t="s">
        <v>72</v>
      </c>
      <c r="E898" s="4" t="s">
        <v>788</v>
      </c>
      <c r="F898" s="4" t="str">
        <f t="shared" si="53"/>
        <v>45|C|U</v>
      </c>
      <c r="G898" s="14">
        <f>INDEX('Transition Stepwise'!$J$2:$J$1137,MATCH(F898,'Transition Stepwise'!$E$2:$E$1137,0))</f>
        <v>0.22222222222222221</v>
      </c>
      <c r="H898" s="14" t="e">
        <f>INDEX(Background!$D$12:$D$27,MATCH(C898&amp;D898,INDEX(Background!$A$12:$A$27,0)&amp;INDEX(Background!$B$12:$B$27,0),0))</f>
        <v>#VALUE!</v>
      </c>
      <c r="I898" s="17" t="e">
        <f t="shared" si="54"/>
        <v>#VALUE!</v>
      </c>
    </row>
    <row r="899" spans="1:9">
      <c r="A899" s="4" t="s">
        <v>764</v>
      </c>
      <c r="B899" s="4">
        <v>46</v>
      </c>
      <c r="C899" s="4" t="s">
        <v>72</v>
      </c>
      <c r="D899" s="4" t="s">
        <v>73</v>
      </c>
      <c r="E899" s="4" t="s">
        <v>788</v>
      </c>
      <c r="F899" s="4" t="str">
        <f t="shared" si="53"/>
        <v>46|U|A</v>
      </c>
      <c r="G899" s="14">
        <f>INDEX('Transition Stepwise'!$J$2:$J$1137,MATCH(F899,'Transition Stepwise'!$E$2:$E$1137,0))</f>
        <v>0.375</v>
      </c>
      <c r="H899" s="14" t="e">
        <f>INDEX(Background!$D$12:$D$27,MATCH(C899&amp;D899,INDEX(Background!$A$12:$A$27,0)&amp;INDEX(Background!$B$12:$B$27,0),0))</f>
        <v>#VALUE!</v>
      </c>
      <c r="I899" s="17" t="e">
        <f t="shared" si="54"/>
        <v>#VALUE!</v>
      </c>
    </row>
    <row r="900" spans="1:9">
      <c r="A900" s="4" t="s">
        <v>764</v>
      </c>
      <c r="B900" s="4">
        <v>47</v>
      </c>
      <c r="C900" s="4" t="s">
        <v>73</v>
      </c>
      <c r="D900" s="4" t="s">
        <v>73</v>
      </c>
      <c r="E900" s="4" t="s">
        <v>788</v>
      </c>
      <c r="F900" s="4" t="str">
        <f t="shared" si="53"/>
        <v>47|A|A</v>
      </c>
      <c r="G900" s="14">
        <f>INDEX('Transition Stepwise'!$J$2:$J$1137,MATCH(F900,'Transition Stepwise'!$E$2:$E$1137,0))</f>
        <v>6.6666666666666666E-2</v>
      </c>
      <c r="H900" s="14" t="e">
        <f>INDEX(Background!$D$12:$D$27,MATCH(C900&amp;D900,INDEX(Background!$A$12:$A$27,0)&amp;INDEX(Background!$B$12:$B$27,0),0))</f>
        <v>#VALUE!</v>
      </c>
      <c r="I900" s="17" t="e">
        <f t="shared" si="54"/>
        <v>#VALUE!</v>
      </c>
    </row>
    <row r="901" spans="1:9">
      <c r="A901" s="4" t="s">
        <v>764</v>
      </c>
      <c r="B901" s="4">
        <v>48</v>
      </c>
      <c r="C901" s="4" t="s">
        <v>73</v>
      </c>
      <c r="D901" s="4" t="s">
        <v>72</v>
      </c>
      <c r="E901" s="4" t="s">
        <v>788</v>
      </c>
      <c r="F901" s="4" t="str">
        <f t="shared" si="53"/>
        <v>48|A|U</v>
      </c>
      <c r="G901" s="14">
        <f>INDEX('Transition Stepwise'!$J$2:$J$1137,MATCH(F901,'Transition Stepwise'!$E$2:$E$1137,0))</f>
        <v>0.2</v>
      </c>
      <c r="H901" s="14" t="e">
        <f>INDEX(Background!$D$12:$D$27,MATCH(C901&amp;D901,INDEX(Background!$A$12:$A$27,0)&amp;INDEX(Background!$B$12:$B$27,0),0))</f>
        <v>#VALUE!</v>
      </c>
      <c r="I901" s="17" t="e">
        <f t="shared" si="54"/>
        <v>#VALUE!</v>
      </c>
    </row>
    <row r="902" spans="1:9">
      <c r="A902" s="4" t="s">
        <v>764</v>
      </c>
      <c r="B902" s="4">
        <v>49</v>
      </c>
      <c r="C902" s="4" t="s">
        <v>72</v>
      </c>
      <c r="D902" s="4" t="s">
        <v>70</v>
      </c>
      <c r="E902" s="4" t="s">
        <v>788</v>
      </c>
      <c r="F902" s="4" t="str">
        <f t="shared" si="53"/>
        <v>49|U|G</v>
      </c>
      <c r="G902" s="14">
        <f>INDEX('Transition Stepwise'!$J$2:$J$1137,MATCH(F902,'Transition Stepwise'!$E$2:$E$1137,0))</f>
        <v>0.33333333333333331</v>
      </c>
      <c r="H902" s="14" t="e">
        <f>INDEX(Background!$D$12:$D$27,MATCH(C902&amp;D902,INDEX(Background!$A$12:$A$27,0)&amp;INDEX(Background!$B$12:$B$27,0),0))</f>
        <v>#VALUE!</v>
      </c>
      <c r="I902" s="17" t="e">
        <f t="shared" si="54"/>
        <v>#VALUE!</v>
      </c>
    </row>
    <row r="903" spans="1:9">
      <c r="A903" s="4" t="s">
        <v>764</v>
      </c>
      <c r="B903" s="4">
        <v>50</v>
      </c>
      <c r="C903" s="4" t="s">
        <v>70</v>
      </c>
      <c r="D903" s="4" t="s">
        <v>73</v>
      </c>
      <c r="E903" s="4" t="s">
        <v>788</v>
      </c>
      <c r="F903" s="4" t="str">
        <f t="shared" si="53"/>
        <v>50|G|A</v>
      </c>
      <c r="G903" s="14">
        <f>INDEX('Transition Stepwise'!$J$2:$J$1137,MATCH(F903,'Transition Stepwise'!$E$2:$E$1137,0))</f>
        <v>8.771929824561403E-2</v>
      </c>
      <c r="H903" s="14" t="e">
        <f>INDEX(Background!$D$12:$D$27,MATCH(C903&amp;D903,INDEX(Background!$A$12:$A$27,0)&amp;INDEX(Background!$B$12:$B$27,0),0))</f>
        <v>#VALUE!</v>
      </c>
      <c r="I903" s="17" t="e">
        <f t="shared" si="54"/>
        <v>#VALUE!</v>
      </c>
    </row>
    <row r="904" spans="1:9">
      <c r="A904" s="4" t="s">
        <v>764</v>
      </c>
      <c r="B904" s="4">
        <v>51</v>
      </c>
      <c r="C904" s="4" t="s">
        <v>73</v>
      </c>
      <c r="D904" s="4" t="s">
        <v>73</v>
      </c>
      <c r="E904" s="4" t="s">
        <v>788</v>
      </c>
      <c r="F904" s="4" t="str">
        <f t="shared" si="53"/>
        <v>51|A|A</v>
      </c>
      <c r="G904" s="14">
        <f>INDEX('Transition Stepwise'!$J$2:$J$1137,MATCH(F904,'Transition Stepwise'!$E$2:$E$1137,0))</f>
        <v>6.25E-2</v>
      </c>
      <c r="H904" s="14" t="e">
        <f>INDEX(Background!$D$12:$D$27,MATCH(C904&amp;D904,INDEX(Background!$A$12:$A$27,0)&amp;INDEX(Background!$B$12:$B$27,0),0))</f>
        <v>#VALUE!</v>
      </c>
      <c r="I904" s="17" t="e">
        <f t="shared" si="54"/>
        <v>#VALUE!</v>
      </c>
    </row>
    <row r="905" spans="1:9">
      <c r="A905" s="4" t="s">
        <v>764</v>
      </c>
      <c r="B905" s="4">
        <v>52</v>
      </c>
      <c r="C905" s="4" t="s">
        <v>73</v>
      </c>
      <c r="D905" s="4" t="s">
        <v>70</v>
      </c>
      <c r="E905" s="4" t="s">
        <v>788</v>
      </c>
      <c r="F905" s="4" t="str">
        <f t="shared" si="53"/>
        <v>52|A|G</v>
      </c>
      <c r="G905" s="14">
        <f>INDEX('Transition Stepwise'!$J$2:$J$1137,MATCH(F905,'Transition Stepwise'!$E$2:$E$1137,0))</f>
        <v>0.9</v>
      </c>
      <c r="H905" s="14" t="e">
        <f>INDEX(Background!$D$12:$D$27,MATCH(C905&amp;D905,INDEX(Background!$A$12:$A$27,0)&amp;INDEX(Background!$B$12:$B$27,0),0))</f>
        <v>#VALUE!</v>
      </c>
      <c r="I905" s="17" t="e">
        <f t="shared" si="54"/>
        <v>#VALUE!</v>
      </c>
    </row>
    <row r="906" spans="1:9">
      <c r="A906" s="4" t="s">
        <v>764</v>
      </c>
      <c r="B906" s="4">
        <v>53</v>
      </c>
      <c r="C906" s="4" t="s">
        <v>70</v>
      </c>
      <c r="D906" s="4" t="s">
        <v>72</v>
      </c>
      <c r="E906" s="4" t="s">
        <v>788</v>
      </c>
      <c r="F906" s="4" t="str">
        <f t="shared" si="53"/>
        <v>53|G|U</v>
      </c>
      <c r="G906" s="14">
        <f>INDEX('Transition Stepwise'!$J$2:$J$1137,MATCH(F906,'Transition Stepwise'!$E$2:$E$1137,0))</f>
        <v>0.97499999999999998</v>
      </c>
      <c r="H906" s="14" t="e">
        <f>INDEX(Background!$D$12:$D$27,MATCH(C906&amp;D906,INDEX(Background!$A$12:$A$27,0)&amp;INDEX(Background!$B$12:$B$27,0),0))</f>
        <v>#VALUE!</v>
      </c>
      <c r="I906" s="17" t="e">
        <f t="shared" si="54"/>
        <v>#VALUE!</v>
      </c>
    </row>
    <row r="907" spans="1:9">
      <c r="A907" s="4" t="s">
        <v>764</v>
      </c>
      <c r="B907" s="4">
        <v>54</v>
      </c>
      <c r="C907" s="4" t="s">
        <v>72</v>
      </c>
      <c r="D907" s="4" t="s">
        <v>72</v>
      </c>
      <c r="E907" s="4" t="s">
        <v>788</v>
      </c>
      <c r="F907" s="4" t="str">
        <f t="shared" si="53"/>
        <v>54|U|U</v>
      </c>
      <c r="G907" s="14">
        <f>INDEX('Transition Stepwise'!$J$2:$J$1137,MATCH(F907,'Transition Stepwise'!$E$2:$E$1137,0))</f>
        <v>0.97029702970297027</v>
      </c>
      <c r="H907" s="14" t="e">
        <f>INDEX(Background!$D$12:$D$27,MATCH(C907&amp;D907,INDEX(Background!$A$12:$A$27,0)&amp;INDEX(Background!$B$12:$B$27,0),0))</f>
        <v>#VALUE!</v>
      </c>
      <c r="I907" s="17" t="e">
        <f t="shared" si="54"/>
        <v>#VALUE!</v>
      </c>
    </row>
    <row r="908" spans="1:9">
      <c r="A908" s="4" t="s">
        <v>764</v>
      </c>
      <c r="B908" s="4">
        <v>55</v>
      </c>
      <c r="C908" s="4" t="s">
        <v>72</v>
      </c>
      <c r="D908" s="4" t="s">
        <v>71</v>
      </c>
      <c r="E908" s="4" t="s">
        <v>788</v>
      </c>
      <c r="F908" s="4" t="str">
        <f t="shared" si="53"/>
        <v>55|U|C</v>
      </c>
      <c r="G908" s="14">
        <f>INDEX('Transition Stepwise'!$J$2:$J$1137,MATCH(F908,'Transition Stepwise'!$E$2:$E$1137,0))</f>
        <v>0.97512437810945274</v>
      </c>
      <c r="H908" s="14" t="e">
        <f>INDEX(Background!$D$12:$D$27,MATCH(C908&amp;D908,INDEX(Background!$A$12:$A$27,0)&amp;INDEX(Background!$B$12:$B$27,0),0))</f>
        <v>#VALUE!</v>
      </c>
      <c r="I908" s="17" t="e">
        <f t="shared" si="54"/>
        <v>#VALUE!</v>
      </c>
    </row>
    <row r="909" spans="1:9">
      <c r="A909" s="4" t="s">
        <v>764</v>
      </c>
      <c r="B909" s="4">
        <v>56</v>
      </c>
      <c r="C909" s="4" t="s">
        <v>71</v>
      </c>
      <c r="D909" s="4" t="s">
        <v>71</v>
      </c>
      <c r="E909" s="4" t="s">
        <v>788</v>
      </c>
      <c r="F909" s="4" t="str">
        <f t="shared" si="53"/>
        <v>56|C|C</v>
      </c>
      <c r="G909" s="14">
        <f>INDEX('Transition Stepwise'!$J$2:$J$1137,MATCH(F909,'Transition Stepwise'!$E$2:$E$1137,0))</f>
        <v>5.0000000000000001E-3</v>
      </c>
      <c r="H909" s="14" t="e">
        <f>INDEX(Background!$D$12:$D$27,MATCH(C909&amp;D909,INDEX(Background!$A$12:$A$27,0)&amp;INDEX(Background!$B$12:$B$27,0),0))</f>
        <v>#VALUE!</v>
      </c>
      <c r="I909" s="17" t="e">
        <f t="shared" si="54"/>
        <v>#VALUE!</v>
      </c>
    </row>
    <row r="910" spans="1:9">
      <c r="A910" s="4" t="s">
        <v>764</v>
      </c>
      <c r="B910" s="4">
        <v>57</v>
      </c>
      <c r="C910" s="4" t="s">
        <v>71</v>
      </c>
      <c r="D910" s="4" t="s">
        <v>71</v>
      </c>
      <c r="E910" s="4" t="s">
        <v>788</v>
      </c>
      <c r="F910" s="4" t="str">
        <f t="shared" si="53"/>
        <v>57|C|C</v>
      </c>
      <c r="G910" s="14">
        <f>INDEX('Transition Stepwise'!$J$2:$J$1137,MATCH(F910,'Transition Stepwise'!$E$2:$E$1137,0))</f>
        <v>0.25</v>
      </c>
      <c r="H910" s="14" t="e">
        <f>INDEX(Background!$D$12:$D$27,MATCH(C910&amp;D910,INDEX(Background!$A$12:$A$27,0)&amp;INDEX(Background!$B$12:$B$27,0),0))</f>
        <v>#VALUE!</v>
      </c>
      <c r="I910" s="17" t="e">
        <f t="shared" si="54"/>
        <v>#VALUE!</v>
      </c>
    </row>
    <row r="911" spans="1:9">
      <c r="A911" s="4" t="s">
        <v>764</v>
      </c>
      <c r="B911" s="4">
        <v>58</v>
      </c>
      <c r="C911" s="4" t="s">
        <v>71</v>
      </c>
      <c r="D911" s="4" t="s">
        <v>72</v>
      </c>
      <c r="E911" s="4" t="s">
        <v>788</v>
      </c>
      <c r="F911" s="4" t="str">
        <f t="shared" si="53"/>
        <v>58|C|U</v>
      </c>
      <c r="G911" s="14">
        <f>INDEX('Transition Stepwise'!$J$2:$J$1137,MATCH(F911,'Transition Stepwise'!$E$2:$E$1137,0))</f>
        <v>0.2</v>
      </c>
      <c r="H911" s="14" t="e">
        <f>INDEX(Background!$D$12:$D$27,MATCH(C911&amp;D911,INDEX(Background!$A$12:$A$27,0)&amp;INDEX(Background!$B$12:$B$27,0),0))</f>
        <v>#VALUE!</v>
      </c>
      <c r="I911" s="17" t="e">
        <f t="shared" si="54"/>
        <v>#VALUE!</v>
      </c>
    </row>
    <row r="912" spans="1:9">
      <c r="A912" s="4" t="s">
        <v>764</v>
      </c>
      <c r="B912" s="4">
        <v>59</v>
      </c>
      <c r="C912" s="4" t="s">
        <v>72</v>
      </c>
      <c r="D912" s="4" t="s">
        <v>72</v>
      </c>
      <c r="E912" s="4" t="s">
        <v>788</v>
      </c>
      <c r="F912" s="4" t="str">
        <f t="shared" si="53"/>
        <v>59|U|U</v>
      </c>
      <c r="G912" s="14">
        <f>INDEX('Transition Stepwise'!$J$2:$J$1137,MATCH(F912,'Transition Stepwise'!$E$2:$E$1137,0))</f>
        <v>0.53703703703703709</v>
      </c>
      <c r="H912" s="14" t="e">
        <f>INDEX(Background!$D$12:$D$27,MATCH(C912&amp;D912,INDEX(Background!$A$12:$A$27,0)&amp;INDEX(Background!$B$12:$B$27,0),0))</f>
        <v>#VALUE!</v>
      </c>
      <c r="I912" s="17" t="e">
        <f t="shared" si="54"/>
        <v>#VALUE!</v>
      </c>
    </row>
    <row r="913" spans="1:9">
      <c r="A913" s="4" t="s">
        <v>764</v>
      </c>
      <c r="B913" s="4">
        <v>60</v>
      </c>
      <c r="C913" s="4" t="s">
        <v>72</v>
      </c>
      <c r="D913" s="4" t="s">
        <v>71</v>
      </c>
      <c r="E913" s="4" t="s">
        <v>788</v>
      </c>
      <c r="F913" s="4" t="str">
        <f t="shared" si="53"/>
        <v>60|U|C</v>
      </c>
      <c r="G913" s="14">
        <f>INDEX('Transition Stepwise'!$J$2:$J$1137,MATCH(F913,'Transition Stepwise'!$E$2:$E$1137,0))</f>
        <v>0.97515527950310554</v>
      </c>
      <c r="H913" s="14" t="e">
        <f>INDEX(Background!$D$12:$D$27,MATCH(C913&amp;D913,INDEX(Background!$A$12:$A$27,0)&amp;INDEX(Background!$B$12:$B$27,0),0))</f>
        <v>#VALUE!</v>
      </c>
      <c r="I913" s="17" t="e">
        <f t="shared" si="54"/>
        <v>#VALUE!</v>
      </c>
    </row>
    <row r="914" spans="1:9">
      <c r="A914" s="4" t="s">
        <v>764</v>
      </c>
      <c r="B914" s="4">
        <v>61</v>
      </c>
      <c r="C914" s="4" t="s">
        <v>71</v>
      </c>
      <c r="D914" s="4" t="s">
        <v>72</v>
      </c>
      <c r="E914" s="4" t="s">
        <v>788</v>
      </c>
      <c r="F914" s="4" t="str">
        <f t="shared" si="53"/>
        <v>61|C|U</v>
      </c>
      <c r="G914" s="14">
        <f>INDEX('Transition Stepwise'!$J$2:$J$1137,MATCH(F914,'Transition Stepwise'!$E$2:$E$1137,0))</f>
        <v>0.12871287128712872</v>
      </c>
      <c r="H914" s="14" t="e">
        <f>INDEX(Background!$D$12:$D$27,MATCH(C914&amp;D914,INDEX(Background!$A$12:$A$27,0)&amp;INDEX(Background!$B$12:$B$27,0),0))</f>
        <v>#VALUE!</v>
      </c>
      <c r="I914" s="17" t="e">
        <f t="shared" si="54"/>
        <v>#VALUE!</v>
      </c>
    </row>
    <row r="915" spans="1:9">
      <c r="A915" s="4" t="s">
        <v>764</v>
      </c>
      <c r="B915" s="4">
        <v>62</v>
      </c>
      <c r="C915" s="4" t="s">
        <v>72</v>
      </c>
      <c r="D915" s="4" t="s">
        <v>72</v>
      </c>
      <c r="E915" s="4" t="s">
        <v>788</v>
      </c>
      <c r="F915" s="4" t="str">
        <f t="shared" si="53"/>
        <v>62|U|U</v>
      </c>
      <c r="G915" s="14">
        <f>INDEX('Transition Stepwise'!$J$2:$J$1137,MATCH(F915,'Transition Stepwise'!$E$2:$E$1137,0))</f>
        <v>0.1</v>
      </c>
      <c r="H915" s="14" t="e">
        <f>INDEX(Background!$D$12:$D$27,MATCH(C915&amp;D915,INDEX(Background!$A$12:$A$27,0)&amp;INDEX(Background!$B$12:$B$27,0),0))</f>
        <v>#VALUE!</v>
      </c>
      <c r="I915" s="17" t="e">
        <f t="shared" si="54"/>
        <v>#VALUE!</v>
      </c>
    </row>
    <row r="916" spans="1:9">
      <c r="A916" s="4" t="s">
        <v>764</v>
      </c>
      <c r="B916" s="4">
        <v>63</v>
      </c>
      <c r="C916" s="4" t="s">
        <v>72</v>
      </c>
      <c r="D916" s="4" t="s">
        <v>71</v>
      </c>
      <c r="E916" s="4" t="s">
        <v>788</v>
      </c>
      <c r="F916" s="4" t="str">
        <f t="shared" si="53"/>
        <v>63|U|C</v>
      </c>
      <c r="G916" s="14">
        <f>INDEX('Transition Stepwise'!$J$2:$J$1137,MATCH(F916,'Transition Stepwise'!$E$2:$E$1137,0))</f>
        <v>0.16666666666666666</v>
      </c>
      <c r="H916" s="14" t="e">
        <f>INDEX(Background!$D$12:$D$27,MATCH(C916&amp;D916,INDEX(Background!$A$12:$A$27,0)&amp;INDEX(Background!$B$12:$B$27,0),0))</f>
        <v>#VALUE!</v>
      </c>
      <c r="I916" s="17" t="e">
        <f t="shared" si="54"/>
        <v>#VALUE!</v>
      </c>
    </row>
    <row r="917" spans="1:9">
      <c r="A917" s="4" t="s">
        <v>764</v>
      </c>
      <c r="B917" s="4">
        <v>64</v>
      </c>
      <c r="C917" s="4" t="s">
        <v>71</v>
      </c>
      <c r="D917" s="4" t="s">
        <v>73</v>
      </c>
      <c r="E917" s="4" t="s">
        <v>788</v>
      </c>
      <c r="F917" s="4" t="str">
        <f t="shared" si="53"/>
        <v>64|C|A</v>
      </c>
      <c r="G917" s="14">
        <f>INDEX('Transition Stepwise'!$J$2:$J$1137,MATCH(F917,'Transition Stepwise'!$E$2:$E$1137,0))</f>
        <v>0.10869565217391304</v>
      </c>
      <c r="H917" s="14" t="e">
        <f>INDEX(Background!$D$12:$D$27,MATCH(C917&amp;D917,INDEX(Background!$A$12:$A$27,0)&amp;INDEX(Background!$B$12:$B$27,0),0))</f>
        <v>#VALUE!</v>
      </c>
      <c r="I917" s="17" t="e">
        <f t="shared" si="54"/>
        <v>#VALUE!</v>
      </c>
    </row>
    <row r="918" spans="1:9">
      <c r="A918" s="4" t="s">
        <v>764</v>
      </c>
      <c r="B918" s="4">
        <v>65</v>
      </c>
      <c r="C918" s="4" t="s">
        <v>73</v>
      </c>
      <c r="D918" s="4" t="s">
        <v>73</v>
      </c>
      <c r="E918" s="4" t="s">
        <v>788</v>
      </c>
      <c r="F918" s="4" t="str">
        <f t="shared" si="53"/>
        <v>65|A|A</v>
      </c>
      <c r="G918" s="14">
        <f>INDEX('Transition Stepwise'!$J$2:$J$1137,MATCH(F918,'Transition Stepwise'!$E$2:$E$1137,0))</f>
        <v>0.15384615384615385</v>
      </c>
      <c r="H918" s="14" t="e">
        <f>INDEX(Background!$D$12:$D$27,MATCH(C918&amp;D918,INDEX(Background!$A$12:$A$27,0)&amp;INDEX(Background!$B$12:$B$27,0),0))</f>
        <v>#VALUE!</v>
      </c>
      <c r="I918" s="17" t="e">
        <f t="shared" si="54"/>
        <v>#VALUE!</v>
      </c>
    </row>
    <row r="919" spans="1:9">
      <c r="A919" s="4" t="s">
        <v>764</v>
      </c>
      <c r="B919" s="4">
        <v>66</v>
      </c>
      <c r="C919" s="4" t="s">
        <v>73</v>
      </c>
      <c r="D919" s="4" t="s">
        <v>72</v>
      </c>
      <c r="E919" s="4" t="s">
        <v>788</v>
      </c>
      <c r="F919" s="4" t="str">
        <f t="shared" si="53"/>
        <v>66|A|U</v>
      </c>
      <c r="G919" s="14">
        <f>INDEX('Transition Stepwise'!$J$2:$J$1137,MATCH(F919,'Transition Stepwise'!$E$2:$E$1137,0))</f>
        <v>0.25531914893617019</v>
      </c>
      <c r="H919" s="14" t="e">
        <f>INDEX(Background!$D$12:$D$27,MATCH(C919&amp;D919,INDEX(Background!$A$12:$A$27,0)&amp;INDEX(Background!$B$12:$B$27,0),0))</f>
        <v>#VALUE!</v>
      </c>
      <c r="I919" s="17" t="e">
        <f t="shared" si="54"/>
        <v>#VALUE!</v>
      </c>
    </row>
    <row r="920" spans="1:9">
      <c r="A920" s="4" t="s">
        <v>764</v>
      </c>
      <c r="B920" s="4">
        <v>67</v>
      </c>
      <c r="C920" s="4" t="s">
        <v>72</v>
      </c>
      <c r="D920" s="4" t="s">
        <v>71</v>
      </c>
      <c r="E920" s="4" t="s">
        <v>788</v>
      </c>
      <c r="F920" s="4" t="str">
        <f t="shared" si="53"/>
        <v>67|U|C</v>
      </c>
      <c r="G920" s="14">
        <f>INDEX('Transition Stepwise'!$J$2:$J$1137,MATCH(F920,'Transition Stepwise'!$E$2:$E$1137,0))</f>
        <v>0.45238095238095238</v>
      </c>
      <c r="H920" s="14" t="e">
        <f>INDEX(Background!$D$12:$D$27,MATCH(C920&amp;D920,INDEX(Background!$A$12:$A$27,0)&amp;INDEX(Background!$B$12:$B$27,0),0))</f>
        <v>#VALUE!</v>
      </c>
      <c r="I920" s="17" t="e">
        <f t="shared" si="54"/>
        <v>#VALUE!</v>
      </c>
    </row>
    <row r="921" spans="1:9">
      <c r="A921" s="4" t="s">
        <v>764</v>
      </c>
      <c r="B921" s="4">
        <v>68</v>
      </c>
      <c r="C921" s="4" t="s">
        <v>71</v>
      </c>
      <c r="D921" s="4" t="s">
        <v>72</v>
      </c>
      <c r="E921" s="4" t="s">
        <v>788</v>
      </c>
      <c r="F921" s="4" t="str">
        <f t="shared" si="53"/>
        <v>68|C|U</v>
      </c>
      <c r="G921" s="14">
        <f>INDEX('Transition Stepwise'!$J$2:$J$1137,MATCH(F921,'Transition Stepwise'!$E$2:$E$1137,0))</f>
        <v>0.12121212121212122</v>
      </c>
      <c r="H921" s="14" t="e">
        <f>INDEX(Background!$D$12:$D$27,MATCH(C921&amp;D921,INDEX(Background!$A$12:$A$27,0)&amp;INDEX(Background!$B$12:$B$27,0),0))</f>
        <v>#VALUE!</v>
      </c>
      <c r="I921" s="17" t="e">
        <f t="shared" si="54"/>
        <v>#VALUE!</v>
      </c>
    </row>
    <row r="922" spans="1:9">
      <c r="A922" s="4" t="s">
        <v>764</v>
      </c>
      <c r="B922" s="4">
        <v>69</v>
      </c>
      <c r="C922" s="4" t="s">
        <v>72</v>
      </c>
      <c r="D922" s="4" t="s">
        <v>70</v>
      </c>
      <c r="E922" s="4" t="s">
        <v>788</v>
      </c>
      <c r="F922" s="4" t="str">
        <f t="shared" si="53"/>
        <v>69|U|G</v>
      </c>
      <c r="G922" s="14">
        <f>INDEX('Transition Stepwise'!$J$2:$J$1137,MATCH(F922,'Transition Stepwise'!$E$2:$E$1137,0))</f>
        <v>0.33333333333333331</v>
      </c>
      <c r="H922" s="14" t="e">
        <f>INDEX(Background!$D$12:$D$27,MATCH(C922&amp;D922,INDEX(Background!$A$12:$A$27,0)&amp;INDEX(Background!$B$12:$B$27,0),0))</f>
        <v>#VALUE!</v>
      </c>
      <c r="I922" s="17" t="e">
        <f t="shared" si="54"/>
        <v>#VALUE!</v>
      </c>
    </row>
    <row r="923" spans="1:9">
      <c r="A923" s="4" t="s">
        <v>764</v>
      </c>
      <c r="B923" s="4">
        <v>70</v>
      </c>
      <c r="C923" s="4" t="s">
        <v>70</v>
      </c>
      <c r="D923" s="4" t="s">
        <v>73</v>
      </c>
      <c r="E923" s="4" t="s">
        <v>788</v>
      </c>
      <c r="F923" s="4" t="str">
        <f t="shared" si="53"/>
        <v>70|G|A</v>
      </c>
      <c r="G923" s="14">
        <f>INDEX('Transition Stepwise'!$J$2:$J$1137,MATCH(F923,'Transition Stepwise'!$E$2:$E$1137,0))</f>
        <v>5.0632911392405063E-2</v>
      </c>
      <c r="H923" s="14" t="e">
        <f>INDEX(Background!$D$12:$D$27,MATCH(C923&amp;D923,INDEX(Background!$A$12:$A$27,0)&amp;INDEX(Background!$B$12:$B$27,0),0))</f>
        <v>#VALUE!</v>
      </c>
      <c r="I923" s="17" t="e">
        <f t="shared" si="54"/>
        <v>#VALUE!</v>
      </c>
    </row>
    <row r="924" spans="1:9">
      <c r="A924" s="4" t="s">
        <v>764</v>
      </c>
      <c r="B924" s="4">
        <v>71</v>
      </c>
      <c r="C924" s="4" t="s">
        <v>73</v>
      </c>
      <c r="D924" s="4" t="s">
        <v>73</v>
      </c>
      <c r="E924" s="4" t="s">
        <v>788</v>
      </c>
      <c r="F924" s="4" t="str">
        <f t="shared" si="53"/>
        <v>71|A|A</v>
      </c>
      <c r="G924" s="14">
        <f>INDEX('Transition Stepwise'!$J$2:$J$1137,MATCH(F924,'Transition Stepwise'!$E$2:$E$1137,0))</f>
        <v>0.1111111111111111</v>
      </c>
      <c r="H924" s="14" t="e">
        <f>INDEX(Background!$D$12:$D$27,MATCH(C924&amp;D924,INDEX(Background!$A$12:$A$27,0)&amp;INDEX(Background!$B$12:$B$27,0),0))</f>
        <v>#VALUE!</v>
      </c>
      <c r="I924" s="17" t="e">
        <f t="shared" si="54"/>
        <v>#VALUE!</v>
      </c>
    </row>
    <row r="925" spans="1:9">
      <c r="A925" s="4" t="s">
        <v>765</v>
      </c>
      <c r="B925" s="4">
        <v>1</v>
      </c>
      <c r="C925" s="4" t="s">
        <v>72</v>
      </c>
      <c r="D925" s="4" t="s">
        <v>72</v>
      </c>
      <c r="E925" s="4" t="s">
        <v>788</v>
      </c>
      <c r="F925" s="4" t="str">
        <f t="shared" si="53"/>
        <v>1|U|U</v>
      </c>
      <c r="G925" s="14">
        <f>INDEX('Transition Stepwise'!$J$2:$J$1137,MATCH(F925,'Transition Stepwise'!$E$2:$E$1137,0))</f>
        <v>5.8823529411764705E-2</v>
      </c>
      <c r="H925" s="14" t="e">
        <f>INDEX(Background!$D$12:$D$27,MATCH(C925&amp;D925,INDEX(Background!$A$12:$A$27,0)&amp;INDEX(Background!$B$12:$B$27,0),0))</f>
        <v>#VALUE!</v>
      </c>
      <c r="I925" s="17" t="e">
        <f t="shared" si="54"/>
        <v>#VALUE!</v>
      </c>
    </row>
    <row r="926" spans="1:9">
      <c r="A926" s="4" t="s">
        <v>765</v>
      </c>
      <c r="B926" s="4">
        <v>2</v>
      </c>
      <c r="C926" s="4" t="s">
        <v>72</v>
      </c>
      <c r="D926" s="4" t="s">
        <v>71</v>
      </c>
      <c r="E926" s="4" t="s">
        <v>788</v>
      </c>
      <c r="F926" s="4" t="str">
        <f t="shared" si="53"/>
        <v>2|U|C</v>
      </c>
      <c r="G926" s="14">
        <f>INDEX('Transition Stepwise'!$J$2:$J$1137,MATCH(F926,'Transition Stepwise'!$E$2:$E$1137,0))</f>
        <v>0.5</v>
      </c>
      <c r="H926" s="14" t="e">
        <f>INDEX(Background!$D$12:$D$27,MATCH(C926&amp;D926,INDEX(Background!$A$12:$A$27,0)&amp;INDEX(Background!$B$12:$B$27,0),0))</f>
        <v>#VALUE!</v>
      </c>
      <c r="I926" s="17" t="e">
        <f t="shared" si="54"/>
        <v>#VALUE!</v>
      </c>
    </row>
    <row r="927" spans="1:9">
      <c r="A927" s="4" t="s">
        <v>765</v>
      </c>
      <c r="B927" s="4">
        <v>3</v>
      </c>
      <c r="C927" s="4" t="s">
        <v>71</v>
      </c>
      <c r="D927" s="4" t="s">
        <v>72</v>
      </c>
      <c r="E927" s="4" t="s">
        <v>788</v>
      </c>
      <c r="F927" s="4" t="str">
        <f t="shared" si="53"/>
        <v>3|C|U</v>
      </c>
      <c r="G927" s="14">
        <f>INDEX('Transition Stepwise'!$J$2:$J$1137,MATCH(F927,'Transition Stepwise'!$E$2:$E$1137,0))</f>
        <v>0.22222222222222221</v>
      </c>
      <c r="H927" s="14" t="e">
        <f>INDEX(Background!$D$12:$D$27,MATCH(C927&amp;D927,INDEX(Background!$A$12:$A$27,0)&amp;INDEX(Background!$B$12:$B$27,0),0))</f>
        <v>#VALUE!</v>
      </c>
      <c r="I927" s="17" t="e">
        <f t="shared" si="54"/>
        <v>#VALUE!</v>
      </c>
    </row>
    <row r="928" spans="1:9">
      <c r="A928" s="4" t="s">
        <v>765</v>
      </c>
      <c r="B928" s="4">
        <v>4</v>
      </c>
      <c r="C928" s="4" t="s">
        <v>72</v>
      </c>
      <c r="D928" s="4" t="s">
        <v>72</v>
      </c>
      <c r="E928" s="4" t="s">
        <v>788</v>
      </c>
      <c r="F928" s="4" t="str">
        <f t="shared" si="53"/>
        <v>4|U|U</v>
      </c>
      <c r="G928" s="14">
        <f>INDEX('Transition Stepwise'!$J$2:$J$1137,MATCH(F928,'Transition Stepwise'!$E$2:$E$1137,0))</f>
        <v>0.21052631578947367</v>
      </c>
      <c r="H928" s="14" t="e">
        <f>INDEX(Background!$D$12:$D$27,MATCH(C928&amp;D928,INDEX(Background!$A$12:$A$27,0)&amp;INDEX(Background!$B$12:$B$27,0),0))</f>
        <v>#VALUE!</v>
      </c>
      <c r="I928" s="17" t="e">
        <f t="shared" si="54"/>
        <v>#VALUE!</v>
      </c>
    </row>
    <row r="929" spans="1:9">
      <c r="A929" s="4" t="s">
        <v>765</v>
      </c>
      <c r="B929" s="4">
        <v>5</v>
      </c>
      <c r="C929" s="4" t="s">
        <v>72</v>
      </c>
      <c r="D929" s="4" t="s">
        <v>73</v>
      </c>
      <c r="E929" s="4" t="s">
        <v>788</v>
      </c>
      <c r="F929" s="4" t="str">
        <f t="shared" si="53"/>
        <v>5|U|A</v>
      </c>
      <c r="G929" s="14">
        <f>INDEX('Transition Stepwise'!$J$2:$J$1137,MATCH(F929,'Transition Stepwise'!$E$2:$E$1137,0))</f>
        <v>0.04</v>
      </c>
      <c r="H929" s="14" t="e">
        <f>INDEX(Background!$D$12:$D$27,MATCH(C929&amp;D929,INDEX(Background!$A$12:$A$27,0)&amp;INDEX(Background!$B$12:$B$27,0),0))</f>
        <v>#VALUE!</v>
      </c>
      <c r="I929" s="17" t="e">
        <f t="shared" si="54"/>
        <v>#VALUE!</v>
      </c>
    </row>
    <row r="930" spans="1:9">
      <c r="A930" s="4" t="s">
        <v>765</v>
      </c>
      <c r="B930" s="4">
        <v>6</v>
      </c>
      <c r="C930" s="4" t="s">
        <v>73</v>
      </c>
      <c r="D930" s="4" t="s">
        <v>72</v>
      </c>
      <c r="E930" s="4" t="s">
        <v>788</v>
      </c>
      <c r="F930" s="4" t="str">
        <f t="shared" si="53"/>
        <v>6|A|U</v>
      </c>
      <c r="G930" s="14">
        <f>INDEX('Transition Stepwise'!$J$2:$J$1137,MATCH(F930,'Transition Stepwise'!$E$2:$E$1137,0))</f>
        <v>0.28947368421052633</v>
      </c>
      <c r="H930" s="14" t="e">
        <f>INDEX(Background!$D$12:$D$27,MATCH(C930&amp;D930,INDEX(Background!$A$12:$A$27,0)&amp;INDEX(Background!$B$12:$B$27,0),0))</f>
        <v>#VALUE!</v>
      </c>
      <c r="I930" s="17" t="e">
        <f t="shared" si="54"/>
        <v>#VALUE!</v>
      </c>
    </row>
    <row r="931" spans="1:9">
      <c r="A931" s="4" t="s">
        <v>765</v>
      </c>
      <c r="B931" s="4">
        <v>7</v>
      </c>
      <c r="C931" s="4" t="s">
        <v>72</v>
      </c>
      <c r="D931" s="4" t="s">
        <v>72</v>
      </c>
      <c r="E931" s="4" t="s">
        <v>788</v>
      </c>
      <c r="F931" s="4" t="str">
        <f t="shared" si="53"/>
        <v>7|U|U</v>
      </c>
      <c r="G931" s="14">
        <f>INDEX('Transition Stepwise'!$J$2:$J$1137,MATCH(F931,'Transition Stepwise'!$E$2:$E$1137,0))</f>
        <v>0.9375</v>
      </c>
      <c r="H931" s="14" t="e">
        <f>INDEX(Background!$D$12:$D$27,MATCH(C931&amp;D931,INDEX(Background!$A$12:$A$27,0)&amp;INDEX(Background!$B$12:$B$27,0),0))</f>
        <v>#VALUE!</v>
      </c>
      <c r="I931" s="17" t="e">
        <f t="shared" si="54"/>
        <v>#VALUE!</v>
      </c>
    </row>
    <row r="932" spans="1:9">
      <c r="A932" s="4" t="s">
        <v>765</v>
      </c>
      <c r="B932" s="4">
        <v>8</v>
      </c>
      <c r="C932" s="4" t="s">
        <v>72</v>
      </c>
      <c r="D932" s="4" t="s">
        <v>71</v>
      </c>
      <c r="E932" s="4" t="s">
        <v>788</v>
      </c>
      <c r="F932" s="4" t="str">
        <f t="shared" si="53"/>
        <v>8|U|C</v>
      </c>
      <c r="G932" s="14">
        <f>INDEX('Transition Stepwise'!$J$2:$J$1137,MATCH(F932,'Transition Stepwise'!$E$2:$E$1137,0))</f>
        <v>3.482587064676617E-2</v>
      </c>
      <c r="H932" s="14" t="e">
        <f>INDEX(Background!$D$12:$D$27,MATCH(C932&amp;D932,INDEX(Background!$A$12:$A$27,0)&amp;INDEX(Background!$B$12:$B$27,0),0))</f>
        <v>#VALUE!</v>
      </c>
      <c r="I932" s="17" t="e">
        <f t="shared" si="54"/>
        <v>#VALUE!</v>
      </c>
    </row>
    <row r="933" spans="1:9">
      <c r="A933" s="4" t="s">
        <v>765</v>
      </c>
      <c r="B933" s="4">
        <v>9</v>
      </c>
      <c r="C933" s="4" t="s">
        <v>71</v>
      </c>
      <c r="D933" s="4" t="s">
        <v>72</v>
      </c>
      <c r="E933" s="4" t="s">
        <v>788</v>
      </c>
      <c r="F933" s="4" t="str">
        <f t="shared" si="53"/>
        <v>9|C|U</v>
      </c>
      <c r="G933" s="14">
        <f>INDEX('Transition Stepwise'!$J$2:$J$1137,MATCH(F933,'Transition Stepwise'!$E$2:$E$1137,0))</f>
        <v>9.0909090909090912E-2</v>
      </c>
      <c r="H933" s="14" t="e">
        <f>INDEX(Background!$D$12:$D$27,MATCH(C933&amp;D933,INDEX(Background!$A$12:$A$27,0)&amp;INDEX(Background!$B$12:$B$27,0),0))</f>
        <v>#VALUE!</v>
      </c>
      <c r="I933" s="17" t="e">
        <f t="shared" si="54"/>
        <v>#VALUE!</v>
      </c>
    </row>
    <row r="934" spans="1:9">
      <c r="A934" s="4" t="s">
        <v>765</v>
      </c>
      <c r="B934" s="4">
        <v>10</v>
      </c>
      <c r="C934" s="4" t="s">
        <v>72</v>
      </c>
      <c r="D934" s="4" t="s">
        <v>72</v>
      </c>
      <c r="E934" s="4" t="s">
        <v>788</v>
      </c>
      <c r="F934" s="4" t="str">
        <f t="shared" ref="F934:F997" si="55">B934&amp;"|"&amp;C934&amp;"|"&amp;D934</f>
        <v>10|U|U</v>
      </c>
      <c r="G934" s="14">
        <f>INDEX('Transition Stepwise'!$J$2:$J$1137,MATCH(F934,'Transition Stepwise'!$E$2:$E$1137,0))</f>
        <v>0.25</v>
      </c>
      <c r="H934" s="14" t="e">
        <f>INDEX(Background!$D$12:$D$27,MATCH(C934&amp;D934,INDEX(Background!$A$12:$A$27,0)&amp;INDEX(Background!$B$12:$B$27,0),0))</f>
        <v>#VALUE!</v>
      </c>
      <c r="I934" s="17" t="e">
        <f t="shared" ref="I934:I997" si="56">LN(G934/H934)</f>
        <v>#VALUE!</v>
      </c>
    </row>
    <row r="935" spans="1:9">
      <c r="A935" s="4" t="s">
        <v>765</v>
      </c>
      <c r="B935" s="4">
        <v>11</v>
      </c>
      <c r="C935" s="4" t="s">
        <v>72</v>
      </c>
      <c r="D935" s="4" t="s">
        <v>70</v>
      </c>
      <c r="E935" s="4" t="s">
        <v>788</v>
      </c>
      <c r="F935" s="4" t="str">
        <f t="shared" si="55"/>
        <v>11|U|G</v>
      </c>
      <c r="G935" s="14">
        <f>INDEX('Transition Stepwise'!$J$2:$J$1137,MATCH(F935,'Transition Stepwise'!$E$2:$E$1137,0))</f>
        <v>0.29545454545454547</v>
      </c>
      <c r="H935" s="14" t="e">
        <f>INDEX(Background!$D$12:$D$27,MATCH(C935&amp;D935,INDEX(Background!$A$12:$A$27,0)&amp;INDEX(Background!$B$12:$B$27,0),0))</f>
        <v>#VALUE!</v>
      </c>
      <c r="I935" s="17" t="e">
        <f t="shared" si="56"/>
        <v>#VALUE!</v>
      </c>
    </row>
    <row r="936" spans="1:9">
      <c r="A936" s="4" t="s">
        <v>765</v>
      </c>
      <c r="B936" s="4">
        <v>12</v>
      </c>
      <c r="C936" s="4" t="s">
        <v>70</v>
      </c>
      <c r="D936" s="4" t="s">
        <v>73</v>
      </c>
      <c r="E936" s="4" t="s">
        <v>788</v>
      </c>
      <c r="F936" s="4" t="str">
        <f t="shared" si="55"/>
        <v>12|G|A</v>
      </c>
      <c r="G936" s="14">
        <f>INDEX('Transition Stepwise'!$J$2:$J$1137,MATCH(F936,'Transition Stepwise'!$E$2:$E$1137,0))</f>
        <v>0.14285714285714285</v>
      </c>
      <c r="H936" s="14" t="e">
        <f>INDEX(Background!$D$12:$D$27,MATCH(C936&amp;D936,INDEX(Background!$A$12:$A$27,0)&amp;INDEX(Background!$B$12:$B$27,0),0))</f>
        <v>#VALUE!</v>
      </c>
      <c r="I936" s="17" t="e">
        <f t="shared" si="56"/>
        <v>#VALUE!</v>
      </c>
    </row>
    <row r="937" spans="1:9">
      <c r="A937" s="4" t="s">
        <v>765</v>
      </c>
      <c r="B937" s="4">
        <v>13</v>
      </c>
      <c r="C937" s="4" t="s">
        <v>73</v>
      </c>
      <c r="D937" s="4" t="s">
        <v>73</v>
      </c>
      <c r="E937" s="4" t="s">
        <v>788</v>
      </c>
      <c r="F937" s="4" t="str">
        <f t="shared" si="55"/>
        <v>13|A|A</v>
      </c>
      <c r="G937" s="14">
        <f>INDEX('Transition Stepwise'!$J$2:$J$1137,MATCH(F937,'Transition Stepwise'!$E$2:$E$1137,0))</f>
        <v>0.76470588235294112</v>
      </c>
      <c r="H937" s="14" t="e">
        <f>INDEX(Background!$D$12:$D$27,MATCH(C937&amp;D937,INDEX(Background!$A$12:$A$27,0)&amp;INDEX(Background!$B$12:$B$27,0),0))</f>
        <v>#VALUE!</v>
      </c>
      <c r="I937" s="17" t="e">
        <f t="shared" si="56"/>
        <v>#VALUE!</v>
      </c>
    </row>
    <row r="938" spans="1:9">
      <c r="A938" s="4" t="s">
        <v>765</v>
      </c>
      <c r="B938" s="4">
        <v>14</v>
      </c>
      <c r="C938" s="4" t="s">
        <v>73</v>
      </c>
      <c r="D938" s="4" t="s">
        <v>73</v>
      </c>
      <c r="E938" s="4" t="s">
        <v>788</v>
      </c>
      <c r="F938" s="4" t="str">
        <f t="shared" si="55"/>
        <v>14|A|A</v>
      </c>
      <c r="G938" s="14">
        <f>INDEX('Transition Stepwise'!$J$2:$J$1137,MATCH(F938,'Transition Stepwise'!$E$2:$E$1137,0))</f>
        <v>0.16417910447761194</v>
      </c>
      <c r="H938" s="14" t="e">
        <f>INDEX(Background!$D$12:$D$27,MATCH(C938&amp;D938,INDEX(Background!$A$12:$A$27,0)&amp;INDEX(Background!$B$12:$B$27,0),0))</f>
        <v>#VALUE!</v>
      </c>
      <c r="I938" s="17" t="e">
        <f t="shared" si="56"/>
        <v>#VALUE!</v>
      </c>
    </row>
    <row r="939" spans="1:9">
      <c r="A939" s="4" t="s">
        <v>765</v>
      </c>
      <c r="B939" s="4">
        <v>15</v>
      </c>
      <c r="C939" s="4" t="s">
        <v>73</v>
      </c>
      <c r="D939" s="4" t="s">
        <v>73</v>
      </c>
      <c r="E939" s="4" t="s">
        <v>788</v>
      </c>
      <c r="F939" s="4" t="str">
        <f t="shared" si="55"/>
        <v>15|A|A</v>
      </c>
      <c r="G939" s="14">
        <f>INDEX('Transition Stepwise'!$J$2:$J$1137,MATCH(F939,'Transition Stepwise'!$E$2:$E$1137,0))</f>
        <v>9.5238095238095233E-2</v>
      </c>
      <c r="H939" s="14" t="e">
        <f>INDEX(Background!$D$12:$D$27,MATCH(C939&amp;D939,INDEX(Background!$A$12:$A$27,0)&amp;INDEX(Background!$B$12:$B$27,0),0))</f>
        <v>#VALUE!</v>
      </c>
      <c r="I939" s="17" t="e">
        <f t="shared" si="56"/>
        <v>#VALUE!</v>
      </c>
    </row>
    <row r="940" spans="1:9">
      <c r="A940" s="4" t="s">
        <v>765</v>
      </c>
      <c r="B940" s="4">
        <v>16</v>
      </c>
      <c r="C940" s="4" t="s">
        <v>73</v>
      </c>
      <c r="D940" s="4" t="s">
        <v>73</v>
      </c>
      <c r="E940" s="4" t="s">
        <v>788</v>
      </c>
      <c r="F940" s="4" t="str">
        <f t="shared" si="55"/>
        <v>16|A|A</v>
      </c>
      <c r="G940" s="14">
        <f>INDEX('Transition Stepwise'!$J$2:$J$1137,MATCH(F940,'Transition Stepwise'!$E$2:$E$1137,0))</f>
        <v>0.14285714285714285</v>
      </c>
      <c r="H940" s="14" t="e">
        <f>INDEX(Background!$D$12:$D$27,MATCH(C940&amp;D940,INDEX(Background!$A$12:$A$27,0)&amp;INDEX(Background!$B$12:$B$27,0),0))</f>
        <v>#VALUE!</v>
      </c>
      <c r="I940" s="17" t="e">
        <f t="shared" si="56"/>
        <v>#VALUE!</v>
      </c>
    </row>
    <row r="941" spans="1:9">
      <c r="A941" s="4" t="s">
        <v>765</v>
      </c>
      <c r="B941" s="4">
        <v>17</v>
      </c>
      <c r="C941" s="4" t="s">
        <v>73</v>
      </c>
      <c r="D941" s="4" t="s">
        <v>70</v>
      </c>
      <c r="E941" s="4" t="s">
        <v>788</v>
      </c>
      <c r="F941" s="4" t="str">
        <f t="shared" si="55"/>
        <v>17|A|G</v>
      </c>
      <c r="G941" s="14">
        <f>INDEX('Transition Stepwise'!$J$2:$J$1137,MATCH(F941,'Transition Stepwise'!$E$2:$E$1137,0))</f>
        <v>0.75</v>
      </c>
      <c r="H941" s="14" t="e">
        <f>INDEX(Background!$D$12:$D$27,MATCH(C941&amp;D941,INDEX(Background!$A$12:$A$27,0)&amp;INDEX(Background!$B$12:$B$27,0),0))</f>
        <v>#VALUE!</v>
      </c>
      <c r="I941" s="17" t="e">
        <f t="shared" si="56"/>
        <v>#VALUE!</v>
      </c>
    </row>
    <row r="942" spans="1:9">
      <c r="A942" s="4" t="s">
        <v>765</v>
      </c>
      <c r="B942" s="4">
        <v>18</v>
      </c>
      <c r="C942" s="4" t="s">
        <v>70</v>
      </c>
      <c r="D942" s="4" t="s">
        <v>70</v>
      </c>
      <c r="E942" s="4" t="s">
        <v>788</v>
      </c>
      <c r="F942" s="4" t="str">
        <f t="shared" si="55"/>
        <v>18|G|G</v>
      </c>
      <c r="G942" s="14">
        <f>INDEX('Transition Stepwise'!$J$2:$J$1137,MATCH(F942,'Transition Stepwise'!$E$2:$E$1137,0))</f>
        <v>0.97536945812807885</v>
      </c>
      <c r="H942" s="14" t="e">
        <f>INDEX(Background!$D$12:$D$27,MATCH(C942&amp;D942,INDEX(Background!$A$12:$A$27,0)&amp;INDEX(Background!$B$12:$B$27,0),0))</f>
        <v>#VALUE!</v>
      </c>
      <c r="I942" s="17" t="e">
        <f t="shared" si="56"/>
        <v>#VALUE!</v>
      </c>
    </row>
    <row r="943" spans="1:9">
      <c r="A943" s="4" t="s">
        <v>765</v>
      </c>
      <c r="B943" s="4">
        <v>19</v>
      </c>
      <c r="C943" s="4" t="s">
        <v>70</v>
      </c>
      <c r="D943" s="4" t="s">
        <v>72</v>
      </c>
      <c r="E943" s="4" t="s">
        <v>788</v>
      </c>
      <c r="F943" s="4" t="str">
        <f t="shared" si="55"/>
        <v>19|G|U</v>
      </c>
      <c r="G943" s="14">
        <f>INDEX('Transition Stepwise'!$J$2:$J$1137,MATCH(F943,'Transition Stepwise'!$E$2:$E$1137,0))</f>
        <v>0.58706467661691542</v>
      </c>
      <c r="H943" s="14" t="e">
        <f>INDEX(Background!$D$12:$D$27,MATCH(C943&amp;D943,INDEX(Background!$A$12:$A$27,0)&amp;INDEX(Background!$B$12:$B$27,0),0))</f>
        <v>#VALUE!</v>
      </c>
      <c r="I943" s="17" t="e">
        <f t="shared" si="56"/>
        <v>#VALUE!</v>
      </c>
    </row>
    <row r="944" spans="1:9">
      <c r="A944" s="4" t="s">
        <v>765</v>
      </c>
      <c r="B944" s="4">
        <v>20</v>
      </c>
      <c r="C944" s="4" t="s">
        <v>72</v>
      </c>
      <c r="D944" s="4" t="s">
        <v>70</v>
      </c>
      <c r="E944" s="4" t="s">
        <v>788</v>
      </c>
      <c r="F944" s="4" t="str">
        <f t="shared" si="55"/>
        <v>20|U|G</v>
      </c>
      <c r="G944" s="14">
        <f>INDEX('Transition Stepwise'!$J$2:$J$1137,MATCH(F944,'Transition Stepwise'!$E$2:$E$1137,0))</f>
        <v>3.2520325203252036E-2</v>
      </c>
      <c r="H944" s="14" t="e">
        <f>INDEX(Background!$D$12:$D$27,MATCH(C944&amp;D944,INDEX(Background!$A$12:$A$27,0)&amp;INDEX(Background!$B$12:$B$27,0),0))</f>
        <v>#VALUE!</v>
      </c>
      <c r="I944" s="17" t="e">
        <f t="shared" si="56"/>
        <v>#VALUE!</v>
      </c>
    </row>
    <row r="945" spans="1:9">
      <c r="A945" s="4" t="s">
        <v>765</v>
      </c>
      <c r="B945" s="4">
        <v>21</v>
      </c>
      <c r="C945" s="4" t="s">
        <v>70</v>
      </c>
      <c r="D945" s="4" t="s">
        <v>72</v>
      </c>
      <c r="E945" s="4" t="s">
        <v>788</v>
      </c>
      <c r="F945" s="4" t="str">
        <f t="shared" si="55"/>
        <v>21|G|U</v>
      </c>
      <c r="G945" s="14">
        <f>INDEX('Transition Stepwise'!$J$2:$J$1137,MATCH(F945,'Transition Stepwise'!$E$2:$E$1137,0))</f>
        <v>9.0909090909090912E-2</v>
      </c>
      <c r="H945" s="14" t="e">
        <f>INDEX(Background!$D$12:$D$27,MATCH(C945&amp;D945,INDEX(Background!$A$12:$A$27,0)&amp;INDEX(Background!$B$12:$B$27,0),0))</f>
        <v>#VALUE!</v>
      </c>
      <c r="I945" s="17" t="e">
        <f t="shared" si="56"/>
        <v>#VALUE!</v>
      </c>
    </row>
    <row r="946" spans="1:9">
      <c r="A946" s="4" t="s">
        <v>765</v>
      </c>
      <c r="B946" s="4">
        <v>22</v>
      </c>
      <c r="C946" s="4" t="s">
        <v>72</v>
      </c>
      <c r="D946" s="4" t="s">
        <v>71</v>
      </c>
      <c r="E946" s="4" t="s">
        <v>788</v>
      </c>
      <c r="F946" s="4" t="str">
        <f t="shared" si="55"/>
        <v>22|U|C</v>
      </c>
      <c r="G946" s="14">
        <f>INDEX('Transition Stepwise'!$J$2:$J$1137,MATCH(F946,'Transition Stepwise'!$E$2:$E$1137,0))</f>
        <v>0.33333333333333331</v>
      </c>
      <c r="H946" s="14" t="e">
        <f>INDEX(Background!$D$12:$D$27,MATCH(C946&amp;D946,INDEX(Background!$A$12:$A$27,0)&amp;INDEX(Background!$B$12:$B$27,0),0))</f>
        <v>#VALUE!</v>
      </c>
      <c r="I946" s="17" t="e">
        <f t="shared" si="56"/>
        <v>#VALUE!</v>
      </c>
    </row>
    <row r="947" spans="1:9">
      <c r="A947" s="4" t="s">
        <v>765</v>
      </c>
      <c r="B947" s="4">
        <v>23</v>
      </c>
      <c r="C947" s="4" t="s">
        <v>71</v>
      </c>
      <c r="D947" s="4" t="s">
        <v>73</v>
      </c>
      <c r="E947" s="4" t="s">
        <v>788</v>
      </c>
      <c r="F947" s="4" t="str">
        <f t="shared" si="55"/>
        <v>23|C|A</v>
      </c>
      <c r="G947" s="14">
        <f>INDEX('Transition Stepwise'!$J$2:$J$1137,MATCH(F947,'Transition Stepwise'!$E$2:$E$1137,0))</f>
        <v>0.2857142857142857</v>
      </c>
      <c r="H947" s="14" t="e">
        <f>INDEX(Background!$D$12:$D$27,MATCH(C947&amp;D947,INDEX(Background!$A$12:$A$27,0)&amp;INDEX(Background!$B$12:$B$27,0),0))</f>
        <v>#VALUE!</v>
      </c>
      <c r="I947" s="17" t="e">
        <f t="shared" si="56"/>
        <v>#VALUE!</v>
      </c>
    </row>
    <row r="948" spans="1:9">
      <c r="A948" s="4" t="s">
        <v>765</v>
      </c>
      <c r="B948" s="4">
        <v>24</v>
      </c>
      <c r="C948" s="4" t="s">
        <v>73</v>
      </c>
      <c r="D948" s="4" t="s">
        <v>70</v>
      </c>
      <c r="E948" s="4" t="s">
        <v>788</v>
      </c>
      <c r="F948" s="4" t="str">
        <f t="shared" si="55"/>
        <v>24|A|G</v>
      </c>
      <c r="G948" s="14">
        <f>INDEX('Transition Stepwise'!$J$2:$J$1137,MATCH(F948,'Transition Stepwise'!$E$2:$E$1137,0))</f>
        <v>2.4390243902439025E-2</v>
      </c>
      <c r="H948" s="14" t="e">
        <f>INDEX(Background!$D$12:$D$27,MATCH(C948&amp;D948,INDEX(Background!$A$12:$A$27,0)&amp;INDEX(Background!$B$12:$B$27,0),0))</f>
        <v>#VALUE!</v>
      </c>
      <c r="I948" s="17" t="e">
        <f t="shared" si="56"/>
        <v>#VALUE!</v>
      </c>
    </row>
    <row r="949" spans="1:9">
      <c r="A949" s="4" t="s">
        <v>765</v>
      </c>
      <c r="B949" s="4">
        <v>25</v>
      </c>
      <c r="C949" s="4" t="s">
        <v>70</v>
      </c>
      <c r="D949" s="4" t="s">
        <v>71</v>
      </c>
      <c r="E949" s="4" t="s">
        <v>788</v>
      </c>
      <c r="F949" s="4" t="str">
        <f t="shared" si="55"/>
        <v>25|G|C</v>
      </c>
      <c r="G949" s="14">
        <f>INDEX('Transition Stepwise'!$J$2:$J$1137,MATCH(F949,'Transition Stepwise'!$E$2:$E$1137,0))</f>
        <v>9.0909090909090912E-2</v>
      </c>
      <c r="H949" s="14" t="e">
        <f>INDEX(Background!$D$12:$D$27,MATCH(C949&amp;D949,INDEX(Background!$A$12:$A$27,0)&amp;INDEX(Background!$B$12:$B$27,0),0))</f>
        <v>#VALUE!</v>
      </c>
      <c r="I949" s="17" t="e">
        <f t="shared" si="56"/>
        <v>#VALUE!</v>
      </c>
    </row>
    <row r="950" spans="1:9">
      <c r="A950" s="4" t="s">
        <v>765</v>
      </c>
      <c r="B950" s="4">
        <v>26</v>
      </c>
      <c r="C950" s="4" t="s">
        <v>71</v>
      </c>
      <c r="D950" s="4" t="s">
        <v>73</v>
      </c>
      <c r="E950" s="4" t="s">
        <v>788</v>
      </c>
      <c r="F950" s="4" t="str">
        <f t="shared" si="55"/>
        <v>26|C|A</v>
      </c>
      <c r="G950" s="14">
        <f>INDEX('Transition Stepwise'!$J$2:$J$1137,MATCH(F950,'Transition Stepwise'!$E$2:$E$1137,0))</f>
        <v>0.1111111111111111</v>
      </c>
      <c r="H950" s="14" t="e">
        <f>INDEX(Background!$D$12:$D$27,MATCH(C950&amp;D950,INDEX(Background!$A$12:$A$27,0)&amp;INDEX(Background!$B$12:$B$27,0),0))</f>
        <v>#VALUE!</v>
      </c>
      <c r="I950" s="17" t="e">
        <f t="shared" si="56"/>
        <v>#VALUE!</v>
      </c>
    </row>
    <row r="951" spans="1:9">
      <c r="A951" s="4" t="s">
        <v>765</v>
      </c>
      <c r="B951" s="4">
        <v>27</v>
      </c>
      <c r="C951" s="4" t="s">
        <v>73</v>
      </c>
      <c r="D951" s="4" t="s">
        <v>72</v>
      </c>
      <c r="E951" s="4" t="s">
        <v>788</v>
      </c>
      <c r="F951" s="4" t="str">
        <f t="shared" si="55"/>
        <v>27|A|U</v>
      </c>
      <c r="G951" s="14">
        <f>INDEX('Transition Stepwise'!$J$2:$J$1137,MATCH(F951,'Transition Stepwise'!$E$2:$E$1137,0))</f>
        <v>0.21428571428571427</v>
      </c>
      <c r="H951" s="14" t="e">
        <f>INDEX(Background!$D$12:$D$27,MATCH(C951&amp;D951,INDEX(Background!$A$12:$A$27,0)&amp;INDEX(Background!$B$12:$B$27,0),0))</f>
        <v>#VALUE!</v>
      </c>
      <c r="I951" s="17" t="e">
        <f t="shared" si="56"/>
        <v>#VALUE!</v>
      </c>
    </row>
    <row r="952" spans="1:9">
      <c r="A952" s="4" t="s">
        <v>765</v>
      </c>
      <c r="B952" s="4">
        <v>28</v>
      </c>
      <c r="C952" s="4" t="s">
        <v>72</v>
      </c>
      <c r="D952" s="4" t="s">
        <v>73</v>
      </c>
      <c r="E952" s="4" t="s">
        <v>788</v>
      </c>
      <c r="F952" s="4" t="str">
        <f t="shared" si="55"/>
        <v>28|U|A</v>
      </c>
      <c r="G952" s="14">
        <f>INDEX('Transition Stepwise'!$J$2:$J$1137,MATCH(F952,'Transition Stepwise'!$E$2:$E$1137,0))</f>
        <v>0.14545454545454545</v>
      </c>
      <c r="H952" s="14" t="e">
        <f>INDEX(Background!$D$12:$D$27,MATCH(C952&amp;D952,INDEX(Background!$A$12:$A$27,0)&amp;INDEX(Background!$B$12:$B$27,0),0))</f>
        <v>#VALUE!</v>
      </c>
      <c r="I952" s="17" t="e">
        <f t="shared" si="56"/>
        <v>#VALUE!</v>
      </c>
    </row>
    <row r="953" spans="1:9">
      <c r="A953" s="4" t="s">
        <v>765</v>
      </c>
      <c r="B953" s="4">
        <v>29</v>
      </c>
      <c r="C953" s="4" t="s">
        <v>73</v>
      </c>
      <c r="D953" s="4" t="s">
        <v>72</v>
      </c>
      <c r="E953" s="4" t="s">
        <v>788</v>
      </c>
      <c r="F953" s="4" t="str">
        <f t="shared" si="55"/>
        <v>29|A|U</v>
      </c>
      <c r="G953" s="14">
        <f>INDEX('Transition Stepwise'!$J$2:$J$1137,MATCH(F953,'Transition Stepwise'!$E$2:$E$1137,0))</f>
        <v>2.7777777777777776E-2</v>
      </c>
      <c r="H953" s="14" t="e">
        <f>INDEX(Background!$D$12:$D$27,MATCH(C953&amp;D953,INDEX(Background!$A$12:$A$27,0)&amp;INDEX(Background!$B$12:$B$27,0),0))</f>
        <v>#VALUE!</v>
      </c>
      <c r="I953" s="17" t="e">
        <f t="shared" si="56"/>
        <v>#VALUE!</v>
      </c>
    </row>
    <row r="954" spans="1:9">
      <c r="A954" s="4" t="s">
        <v>765</v>
      </c>
      <c r="B954" s="4">
        <v>30</v>
      </c>
      <c r="C954" s="4" t="s">
        <v>72</v>
      </c>
      <c r="D954" s="4" t="s">
        <v>72</v>
      </c>
      <c r="E954" s="4" t="s">
        <v>788</v>
      </c>
      <c r="F954" s="4" t="str">
        <f t="shared" si="55"/>
        <v>30|U|U</v>
      </c>
      <c r="G954" s="14">
        <f>INDEX('Transition Stepwise'!$J$2:$J$1137,MATCH(F954,'Transition Stepwise'!$E$2:$E$1137,0))</f>
        <v>9.0909090909090912E-2</v>
      </c>
      <c r="H954" s="14" t="e">
        <f>INDEX(Background!$D$12:$D$27,MATCH(C954&amp;D954,INDEX(Background!$A$12:$A$27,0)&amp;INDEX(Background!$B$12:$B$27,0),0))</f>
        <v>#VALUE!</v>
      </c>
      <c r="I954" s="17" t="e">
        <f t="shared" si="56"/>
        <v>#VALUE!</v>
      </c>
    </row>
    <row r="955" spans="1:9">
      <c r="A955" s="4" t="s">
        <v>765</v>
      </c>
      <c r="B955" s="4">
        <v>31</v>
      </c>
      <c r="C955" s="4" t="s">
        <v>72</v>
      </c>
      <c r="D955" s="4" t="s">
        <v>70</v>
      </c>
      <c r="E955" s="4" t="s">
        <v>788</v>
      </c>
      <c r="F955" s="4" t="str">
        <f t="shared" si="55"/>
        <v>31|U|G</v>
      </c>
      <c r="G955" s="14">
        <f>INDEX('Transition Stepwise'!$J$2:$J$1137,MATCH(F955,'Transition Stepwise'!$E$2:$E$1137,0))</f>
        <v>4.3478260869565216E-2</v>
      </c>
      <c r="H955" s="14" t="e">
        <f>INDEX(Background!$D$12:$D$27,MATCH(C955&amp;D955,INDEX(Background!$A$12:$A$27,0)&amp;INDEX(Background!$B$12:$B$27,0),0))</f>
        <v>#VALUE!</v>
      </c>
      <c r="I955" s="17" t="e">
        <f t="shared" si="56"/>
        <v>#VALUE!</v>
      </c>
    </row>
    <row r="956" spans="1:9">
      <c r="A956" s="4" t="s">
        <v>765</v>
      </c>
      <c r="B956" s="4">
        <v>32</v>
      </c>
      <c r="C956" s="4" t="s">
        <v>70</v>
      </c>
      <c r="D956" s="4" t="s">
        <v>72</v>
      </c>
      <c r="E956" s="4" t="s">
        <v>788</v>
      </c>
      <c r="F956" s="4" t="str">
        <f t="shared" si="55"/>
        <v>32|G|U</v>
      </c>
      <c r="G956" s="14">
        <f>INDEX('Transition Stepwise'!$J$2:$J$1137,MATCH(F956,'Transition Stepwise'!$E$2:$E$1137,0))</f>
        <v>0.25</v>
      </c>
      <c r="H956" s="14" t="e">
        <f>INDEX(Background!$D$12:$D$27,MATCH(C956&amp;D956,INDEX(Background!$A$12:$A$27,0)&amp;INDEX(Background!$B$12:$B$27,0),0))</f>
        <v>#VALUE!</v>
      </c>
      <c r="I956" s="17" t="e">
        <f t="shared" si="56"/>
        <v>#VALUE!</v>
      </c>
    </row>
    <row r="957" spans="1:9">
      <c r="A957" s="4" t="s">
        <v>765</v>
      </c>
      <c r="B957" s="4">
        <v>33</v>
      </c>
      <c r="C957" s="4" t="s">
        <v>72</v>
      </c>
      <c r="D957" s="4" t="s">
        <v>72</v>
      </c>
      <c r="E957" s="4" t="s">
        <v>788</v>
      </c>
      <c r="F957" s="4" t="str">
        <f t="shared" si="55"/>
        <v>33|U|U</v>
      </c>
      <c r="G957" s="14">
        <f>INDEX('Transition Stepwise'!$J$2:$J$1137,MATCH(F957,'Transition Stepwise'!$E$2:$E$1137,0))</f>
        <v>0.29207920792079206</v>
      </c>
      <c r="H957" s="14" t="e">
        <f>INDEX(Background!$D$12:$D$27,MATCH(C957&amp;D957,INDEX(Background!$A$12:$A$27,0)&amp;INDEX(Background!$B$12:$B$27,0),0))</f>
        <v>#VALUE!</v>
      </c>
      <c r="I957" s="17" t="e">
        <f t="shared" si="56"/>
        <v>#VALUE!</v>
      </c>
    </row>
    <row r="958" spans="1:9">
      <c r="A958" s="4" t="s">
        <v>765</v>
      </c>
      <c r="B958" s="4">
        <v>34</v>
      </c>
      <c r="C958" s="4" t="s">
        <v>72</v>
      </c>
      <c r="D958" s="4" t="s">
        <v>72</v>
      </c>
      <c r="E958" s="4" t="s">
        <v>788</v>
      </c>
      <c r="F958" s="4" t="str">
        <f t="shared" si="55"/>
        <v>34|U|U</v>
      </c>
      <c r="G958" s="14">
        <f>INDEX('Transition Stepwise'!$J$2:$J$1137,MATCH(F958,'Transition Stepwise'!$E$2:$E$1137,0))</f>
        <v>0.17741935483870969</v>
      </c>
      <c r="H958" s="14" t="e">
        <f>INDEX(Background!$D$12:$D$27,MATCH(C958&amp;D958,INDEX(Background!$A$12:$A$27,0)&amp;INDEX(Background!$B$12:$B$27,0),0))</f>
        <v>#VALUE!</v>
      </c>
      <c r="I958" s="17" t="e">
        <f t="shared" si="56"/>
        <v>#VALUE!</v>
      </c>
    </row>
    <row r="959" spans="1:9">
      <c r="A959" s="4" t="s">
        <v>765</v>
      </c>
      <c r="B959" s="4">
        <v>35</v>
      </c>
      <c r="C959" s="4" t="s">
        <v>72</v>
      </c>
      <c r="D959" s="4" t="s">
        <v>73</v>
      </c>
      <c r="E959" s="4" t="s">
        <v>788</v>
      </c>
      <c r="F959" s="4" t="str">
        <f t="shared" si="55"/>
        <v>35|U|A</v>
      </c>
      <c r="G959" s="14">
        <f>INDEX('Transition Stepwise'!$J$2:$J$1137,MATCH(F959,'Transition Stepwise'!$E$2:$E$1137,0))</f>
        <v>0.17777777777777778</v>
      </c>
      <c r="H959" s="14" t="e">
        <f>INDEX(Background!$D$12:$D$27,MATCH(C959&amp;D959,INDEX(Background!$A$12:$A$27,0)&amp;INDEX(Background!$B$12:$B$27,0),0))</f>
        <v>#VALUE!</v>
      </c>
      <c r="I959" s="17" t="e">
        <f t="shared" si="56"/>
        <v>#VALUE!</v>
      </c>
    </row>
    <row r="960" spans="1:9">
      <c r="A960" s="4" t="s">
        <v>765</v>
      </c>
      <c r="B960" s="4">
        <v>36</v>
      </c>
      <c r="C960" s="4" t="s">
        <v>73</v>
      </c>
      <c r="D960" s="4" t="s">
        <v>73</v>
      </c>
      <c r="E960" s="4" t="s">
        <v>788</v>
      </c>
      <c r="F960" s="4" t="str">
        <f t="shared" si="55"/>
        <v>36|A|A</v>
      </c>
      <c r="G960" s="14">
        <f>INDEX('Transition Stepwise'!$J$2:$J$1137,MATCH(F960,'Transition Stepwise'!$E$2:$E$1137,0))</f>
        <v>0.55319148936170215</v>
      </c>
      <c r="H960" s="14" t="e">
        <f>INDEX(Background!$D$12:$D$27,MATCH(C960&amp;D960,INDEX(Background!$A$12:$A$27,0)&amp;INDEX(Background!$B$12:$B$27,0),0))</f>
        <v>#VALUE!</v>
      </c>
      <c r="I960" s="17" t="e">
        <f t="shared" si="56"/>
        <v>#VALUE!</v>
      </c>
    </row>
    <row r="961" spans="1:9">
      <c r="A961" s="4" t="s">
        <v>765</v>
      </c>
      <c r="B961" s="4">
        <v>37</v>
      </c>
      <c r="C961" s="4" t="s">
        <v>73</v>
      </c>
      <c r="D961" s="4" t="s">
        <v>71</v>
      </c>
      <c r="E961" s="4" t="s">
        <v>788</v>
      </c>
      <c r="F961" s="4" t="str">
        <f t="shared" si="55"/>
        <v>37|A|C</v>
      </c>
      <c r="G961" s="14">
        <f>INDEX('Transition Stepwise'!$J$2:$J$1137,MATCH(F961,'Transition Stepwise'!$E$2:$E$1137,0))</f>
        <v>0.14838709677419354</v>
      </c>
      <c r="H961" s="14" t="e">
        <f>INDEX(Background!$D$12:$D$27,MATCH(C961&amp;D961,INDEX(Background!$A$12:$A$27,0)&amp;INDEX(Background!$B$12:$B$27,0),0))</f>
        <v>#VALUE!</v>
      </c>
      <c r="I961" s="17" t="e">
        <f t="shared" si="56"/>
        <v>#VALUE!</v>
      </c>
    </row>
    <row r="962" spans="1:9">
      <c r="A962" s="4" t="s">
        <v>765</v>
      </c>
      <c r="B962" s="4">
        <v>38</v>
      </c>
      <c r="C962" s="4" t="s">
        <v>71</v>
      </c>
      <c r="D962" s="4" t="s">
        <v>73</v>
      </c>
      <c r="E962" s="4" t="s">
        <v>788</v>
      </c>
      <c r="F962" s="4" t="str">
        <f t="shared" si="55"/>
        <v>38|C|A</v>
      </c>
      <c r="G962" s="14">
        <f>INDEX('Transition Stepwise'!$J$2:$J$1137,MATCH(F962,'Transition Stepwise'!$E$2:$E$1137,0))</f>
        <v>3.0303030303030304E-2</v>
      </c>
      <c r="H962" s="14" t="e">
        <f>INDEX(Background!$D$12:$D$27,MATCH(C962&amp;D962,INDEX(Background!$A$12:$A$27,0)&amp;INDEX(Background!$B$12:$B$27,0),0))</f>
        <v>#VALUE!</v>
      </c>
      <c r="I962" s="17" t="e">
        <f t="shared" si="56"/>
        <v>#VALUE!</v>
      </c>
    </row>
    <row r="963" spans="1:9">
      <c r="A963" s="4" t="s">
        <v>765</v>
      </c>
      <c r="B963" s="4">
        <v>39</v>
      </c>
      <c r="C963" s="4" t="s">
        <v>73</v>
      </c>
      <c r="D963" s="4" t="s">
        <v>70</v>
      </c>
      <c r="E963" s="4" t="s">
        <v>788</v>
      </c>
      <c r="F963" s="4" t="str">
        <f t="shared" si="55"/>
        <v>39|A|G</v>
      </c>
      <c r="G963" s="14">
        <f>INDEX('Transition Stepwise'!$J$2:$J$1137,MATCH(F963,'Transition Stepwise'!$E$2:$E$1137,0))</f>
        <v>0.13636363636363635</v>
      </c>
      <c r="H963" s="14" t="e">
        <f>INDEX(Background!$D$12:$D$27,MATCH(C963&amp;D963,INDEX(Background!$A$12:$A$27,0)&amp;INDEX(Background!$B$12:$B$27,0),0))</f>
        <v>#VALUE!</v>
      </c>
      <c r="I963" s="17" t="e">
        <f t="shared" si="56"/>
        <v>#VALUE!</v>
      </c>
    </row>
    <row r="964" spans="1:9">
      <c r="A964" s="4" t="s">
        <v>765</v>
      </c>
      <c r="B964" s="4">
        <v>40</v>
      </c>
      <c r="C964" s="4" t="s">
        <v>70</v>
      </c>
      <c r="D964" s="4" t="s">
        <v>72</v>
      </c>
      <c r="E964" s="4" t="s">
        <v>788</v>
      </c>
      <c r="F964" s="4" t="str">
        <f t="shared" si="55"/>
        <v>40|G|U</v>
      </c>
      <c r="G964" s="14">
        <f>INDEX('Transition Stepwise'!$J$2:$J$1137,MATCH(F964,'Transition Stepwise'!$E$2:$E$1137,0))</f>
        <v>0.17307692307692307</v>
      </c>
      <c r="H964" s="14" t="e">
        <f>INDEX(Background!$D$12:$D$27,MATCH(C964&amp;D964,INDEX(Background!$A$12:$A$27,0)&amp;INDEX(Background!$B$12:$B$27,0),0))</f>
        <v>#VALUE!</v>
      </c>
      <c r="I964" s="17" t="e">
        <f t="shared" si="56"/>
        <v>#VALUE!</v>
      </c>
    </row>
    <row r="965" spans="1:9">
      <c r="A965" s="4" t="s">
        <v>765</v>
      </c>
      <c r="B965" s="4">
        <v>41</v>
      </c>
      <c r="C965" s="4" t="s">
        <v>72</v>
      </c>
      <c r="D965" s="4" t="s">
        <v>70</v>
      </c>
      <c r="E965" s="4" t="s">
        <v>788</v>
      </c>
      <c r="F965" s="4" t="str">
        <f t="shared" si="55"/>
        <v>41|U|G</v>
      </c>
      <c r="G965" s="14">
        <f>INDEX('Transition Stepwise'!$J$2:$J$1137,MATCH(F965,'Transition Stepwise'!$E$2:$E$1137,0))</f>
        <v>0.51351351351351349</v>
      </c>
      <c r="H965" s="14" t="e">
        <f>INDEX(Background!$D$12:$D$27,MATCH(C965&amp;D965,INDEX(Background!$A$12:$A$27,0)&amp;INDEX(Background!$B$12:$B$27,0),0))</f>
        <v>#VALUE!</v>
      </c>
      <c r="I965" s="17" t="e">
        <f t="shared" si="56"/>
        <v>#VALUE!</v>
      </c>
    </row>
    <row r="966" spans="1:9">
      <c r="A966" s="4" t="s">
        <v>765</v>
      </c>
      <c r="B966" s="4">
        <v>42</v>
      </c>
      <c r="C966" s="4" t="s">
        <v>70</v>
      </c>
      <c r="D966" s="4" t="s">
        <v>72</v>
      </c>
      <c r="E966" s="4" t="s">
        <v>788</v>
      </c>
      <c r="F966" s="4" t="str">
        <f t="shared" si="55"/>
        <v>42|G|U</v>
      </c>
      <c r="G966" s="14">
        <f>INDEX('Transition Stepwise'!$J$2:$J$1137,MATCH(F966,'Transition Stepwise'!$E$2:$E$1137,0))</f>
        <v>0.19266055045871561</v>
      </c>
      <c r="H966" s="14" t="e">
        <f>INDEX(Background!$D$12:$D$27,MATCH(C966&amp;D966,INDEX(Background!$A$12:$A$27,0)&amp;INDEX(Background!$B$12:$B$27,0),0))</f>
        <v>#VALUE!</v>
      </c>
      <c r="I966" s="17" t="e">
        <f t="shared" si="56"/>
        <v>#VALUE!</v>
      </c>
    </row>
    <row r="967" spans="1:9">
      <c r="A967" s="4" t="s">
        <v>765</v>
      </c>
      <c r="B967" s="4">
        <v>43</v>
      </c>
      <c r="C967" s="4" t="s">
        <v>72</v>
      </c>
      <c r="D967" s="4" t="s">
        <v>73</v>
      </c>
      <c r="E967" s="4" t="s">
        <v>788</v>
      </c>
      <c r="F967" s="4" t="str">
        <f t="shared" si="55"/>
        <v>43|U|A</v>
      </c>
      <c r="G967" s="14">
        <f>INDEX('Transition Stepwise'!$J$2:$J$1137,MATCH(F967,'Transition Stepwise'!$E$2:$E$1137,0))</f>
        <v>0.44444444444444442</v>
      </c>
      <c r="H967" s="14" t="e">
        <f>INDEX(Background!$D$12:$D$27,MATCH(C967&amp;D967,INDEX(Background!$A$12:$A$27,0)&amp;INDEX(Background!$B$12:$B$27,0),0))</f>
        <v>#VALUE!</v>
      </c>
      <c r="I967" s="17" t="e">
        <f t="shared" si="56"/>
        <v>#VALUE!</v>
      </c>
    </row>
    <row r="968" spans="1:9">
      <c r="A968" s="4" t="s">
        <v>765</v>
      </c>
      <c r="B968" s="4">
        <v>44</v>
      </c>
      <c r="C968" s="4" t="s">
        <v>73</v>
      </c>
      <c r="D968" s="4" t="s">
        <v>70</v>
      </c>
      <c r="E968" s="4" t="s">
        <v>788</v>
      </c>
      <c r="F968" s="4" t="str">
        <f t="shared" si="55"/>
        <v>44|A|G</v>
      </c>
      <c r="G968" s="14">
        <f>INDEX('Transition Stepwise'!$J$2:$J$1137,MATCH(F968,'Transition Stepwise'!$E$2:$E$1137,0))</f>
        <v>0.85436893203883491</v>
      </c>
      <c r="H968" s="14" t="e">
        <f>INDEX(Background!$D$12:$D$27,MATCH(C968&amp;D968,INDEX(Background!$A$12:$A$27,0)&amp;INDEX(Background!$B$12:$B$27,0),0))</f>
        <v>#VALUE!</v>
      </c>
      <c r="I968" s="17" t="e">
        <f t="shared" si="56"/>
        <v>#VALUE!</v>
      </c>
    </row>
    <row r="969" spans="1:9">
      <c r="A969" s="4" t="s">
        <v>765</v>
      </c>
      <c r="B969" s="4">
        <v>45</v>
      </c>
      <c r="C969" s="4" t="s">
        <v>70</v>
      </c>
      <c r="D969" s="4" t="s">
        <v>73</v>
      </c>
      <c r="E969" s="4" t="s">
        <v>788</v>
      </c>
      <c r="F969" s="4" t="str">
        <f t="shared" si="55"/>
        <v>45|G|A</v>
      </c>
      <c r="G969" s="14">
        <f>INDEX('Transition Stepwise'!$J$2:$J$1137,MATCH(F969,'Transition Stepwise'!$E$2:$E$1137,0))</f>
        <v>0.11594202898550725</v>
      </c>
      <c r="H969" s="14" t="e">
        <f>INDEX(Background!$D$12:$D$27,MATCH(C969&amp;D969,INDEX(Background!$A$12:$A$27,0)&amp;INDEX(Background!$B$12:$B$27,0),0))</f>
        <v>#VALUE!</v>
      </c>
      <c r="I969" s="17" t="e">
        <f t="shared" si="56"/>
        <v>#VALUE!</v>
      </c>
    </row>
    <row r="970" spans="1:9">
      <c r="A970" s="4" t="s">
        <v>765</v>
      </c>
      <c r="B970" s="4">
        <v>46</v>
      </c>
      <c r="C970" s="4" t="s">
        <v>73</v>
      </c>
      <c r="D970" s="4" t="s">
        <v>73</v>
      </c>
      <c r="E970" s="4" t="s">
        <v>788</v>
      </c>
      <c r="F970" s="4" t="str">
        <f t="shared" si="55"/>
        <v>46|A|A</v>
      </c>
      <c r="G970" s="14">
        <f>INDEX('Transition Stepwise'!$J$2:$J$1137,MATCH(F970,'Transition Stepwise'!$E$2:$E$1137,0))</f>
        <v>0.05</v>
      </c>
      <c r="H970" s="14" t="e">
        <f>INDEX(Background!$D$12:$D$27,MATCH(C970&amp;D970,INDEX(Background!$A$12:$A$27,0)&amp;INDEX(Background!$B$12:$B$27,0),0))</f>
        <v>#VALUE!</v>
      </c>
      <c r="I970" s="17" t="e">
        <f t="shared" si="56"/>
        <v>#VALUE!</v>
      </c>
    </row>
    <row r="971" spans="1:9">
      <c r="A971" s="4" t="s">
        <v>765</v>
      </c>
      <c r="B971" s="4">
        <v>47</v>
      </c>
      <c r="C971" s="4" t="s">
        <v>73</v>
      </c>
      <c r="D971" s="4" t="s">
        <v>72</v>
      </c>
      <c r="E971" s="4" t="s">
        <v>788</v>
      </c>
      <c r="F971" s="4" t="str">
        <f t="shared" si="55"/>
        <v>47|A|U</v>
      </c>
      <c r="G971" s="14">
        <f>INDEX('Transition Stepwise'!$J$2:$J$1137,MATCH(F971,'Transition Stepwise'!$E$2:$E$1137,0))</f>
        <v>0.16666666666666666</v>
      </c>
      <c r="H971" s="14" t="e">
        <f>INDEX(Background!$D$12:$D$27,MATCH(C971&amp;D971,INDEX(Background!$A$12:$A$27,0)&amp;INDEX(Background!$B$12:$B$27,0),0))</f>
        <v>#VALUE!</v>
      </c>
      <c r="I971" s="17" t="e">
        <f t="shared" si="56"/>
        <v>#VALUE!</v>
      </c>
    </row>
    <row r="972" spans="1:9">
      <c r="A972" s="4" t="s">
        <v>765</v>
      </c>
      <c r="B972" s="4">
        <v>48</v>
      </c>
      <c r="C972" s="4" t="s">
        <v>72</v>
      </c>
      <c r="D972" s="4" t="s">
        <v>73</v>
      </c>
      <c r="E972" s="4" t="s">
        <v>788</v>
      </c>
      <c r="F972" s="4" t="str">
        <f t="shared" si="55"/>
        <v>48|U|A</v>
      </c>
      <c r="G972" s="14">
        <f>INDEX('Transition Stepwise'!$J$2:$J$1137,MATCH(F972,'Transition Stepwise'!$E$2:$E$1137,0))</f>
        <v>0.24242424242424243</v>
      </c>
      <c r="H972" s="14" t="e">
        <f>INDEX(Background!$D$12:$D$27,MATCH(C972&amp;D972,INDEX(Background!$A$12:$A$27,0)&amp;INDEX(Background!$B$12:$B$27,0),0))</f>
        <v>#VALUE!</v>
      </c>
      <c r="I972" s="17" t="e">
        <f t="shared" si="56"/>
        <v>#VALUE!</v>
      </c>
    </row>
    <row r="973" spans="1:9">
      <c r="A973" s="4" t="s">
        <v>765</v>
      </c>
      <c r="B973" s="4">
        <v>49</v>
      </c>
      <c r="C973" s="4" t="s">
        <v>73</v>
      </c>
      <c r="D973" s="4" t="s">
        <v>73</v>
      </c>
      <c r="E973" s="4" t="s">
        <v>788</v>
      </c>
      <c r="F973" s="4" t="str">
        <f t="shared" si="55"/>
        <v>49|A|A</v>
      </c>
      <c r="G973" s="14">
        <f>INDEX('Transition Stepwise'!$J$2:$J$1137,MATCH(F973,'Transition Stepwise'!$E$2:$E$1137,0))</f>
        <v>8.5714285714285715E-2</v>
      </c>
      <c r="H973" s="14" t="e">
        <f>INDEX(Background!$D$12:$D$27,MATCH(C973&amp;D973,INDEX(Background!$A$12:$A$27,0)&amp;INDEX(Background!$B$12:$B$27,0),0))</f>
        <v>#VALUE!</v>
      </c>
      <c r="I973" s="17" t="e">
        <f t="shared" si="56"/>
        <v>#VALUE!</v>
      </c>
    </row>
    <row r="974" spans="1:9">
      <c r="A974" s="4" t="s">
        <v>765</v>
      </c>
      <c r="B974" s="4">
        <v>50</v>
      </c>
      <c r="C974" s="4" t="s">
        <v>73</v>
      </c>
      <c r="D974" s="4" t="s">
        <v>72</v>
      </c>
      <c r="E974" s="4" t="s">
        <v>788</v>
      </c>
      <c r="F974" s="4" t="str">
        <f t="shared" si="55"/>
        <v>50|A|U</v>
      </c>
      <c r="G974" s="14">
        <f>INDEX('Transition Stepwise'!$J$2:$J$1137,MATCH(F974,'Transition Stepwise'!$E$2:$E$1137,0))</f>
        <v>0.1111111111111111</v>
      </c>
      <c r="H974" s="14" t="e">
        <f>INDEX(Background!$D$12:$D$27,MATCH(C974&amp;D974,INDEX(Background!$A$12:$A$27,0)&amp;INDEX(Background!$B$12:$B$27,0),0))</f>
        <v>#VALUE!</v>
      </c>
      <c r="I974" s="17" t="e">
        <f t="shared" si="56"/>
        <v>#VALUE!</v>
      </c>
    </row>
    <row r="975" spans="1:9">
      <c r="A975" s="4" t="s">
        <v>765</v>
      </c>
      <c r="B975" s="4">
        <v>51</v>
      </c>
      <c r="C975" s="4" t="s">
        <v>72</v>
      </c>
      <c r="D975" s="4" t="s">
        <v>72</v>
      </c>
      <c r="E975" s="4" t="s">
        <v>788</v>
      </c>
      <c r="F975" s="4" t="str">
        <f t="shared" si="55"/>
        <v>51|U|U</v>
      </c>
      <c r="G975" s="14">
        <f>INDEX('Transition Stepwise'!$J$2:$J$1137,MATCH(F975,'Transition Stepwise'!$E$2:$E$1137,0))</f>
        <v>5.7142857142857141E-2</v>
      </c>
      <c r="H975" s="14" t="e">
        <f>INDEX(Background!$D$12:$D$27,MATCH(C975&amp;D975,INDEX(Background!$A$12:$A$27,0)&amp;INDEX(Background!$B$12:$B$27,0),0))</f>
        <v>#VALUE!</v>
      </c>
      <c r="I975" s="17" t="e">
        <f t="shared" si="56"/>
        <v>#VALUE!</v>
      </c>
    </row>
    <row r="976" spans="1:9">
      <c r="A976" s="4" t="s">
        <v>765</v>
      </c>
      <c r="B976" s="4">
        <v>52</v>
      </c>
      <c r="C976" s="4" t="s">
        <v>72</v>
      </c>
      <c r="D976" s="4" t="s">
        <v>70</v>
      </c>
      <c r="E976" s="4" t="s">
        <v>788</v>
      </c>
      <c r="F976" s="4" t="str">
        <f t="shared" si="55"/>
        <v>52|U|G</v>
      </c>
      <c r="G976" s="14">
        <f>INDEX('Transition Stepwise'!$J$2:$J$1137,MATCH(F976,'Transition Stepwise'!$E$2:$E$1137,0))</f>
        <v>0.5</v>
      </c>
      <c r="H976" s="14" t="e">
        <f>INDEX(Background!$D$12:$D$27,MATCH(C976&amp;D976,INDEX(Background!$A$12:$A$27,0)&amp;INDEX(Background!$B$12:$B$27,0),0))</f>
        <v>#VALUE!</v>
      </c>
      <c r="I976" s="17" t="e">
        <f t="shared" si="56"/>
        <v>#VALUE!</v>
      </c>
    </row>
    <row r="977" spans="1:9">
      <c r="A977" s="4" t="s">
        <v>765</v>
      </c>
      <c r="B977" s="4">
        <v>53</v>
      </c>
      <c r="C977" s="4" t="s">
        <v>70</v>
      </c>
      <c r="D977" s="4" t="s">
        <v>72</v>
      </c>
      <c r="E977" s="4" t="s">
        <v>788</v>
      </c>
      <c r="F977" s="4" t="str">
        <f t="shared" si="55"/>
        <v>53|G|U</v>
      </c>
      <c r="G977" s="14">
        <f>INDEX('Transition Stepwise'!$J$2:$J$1137,MATCH(F977,'Transition Stepwise'!$E$2:$E$1137,0))</f>
        <v>0.97499999999999998</v>
      </c>
      <c r="H977" s="14" t="e">
        <f>INDEX(Background!$D$12:$D$27,MATCH(C977&amp;D977,INDEX(Background!$A$12:$A$27,0)&amp;INDEX(Background!$B$12:$B$27,0),0))</f>
        <v>#VALUE!</v>
      </c>
      <c r="I977" s="17" t="e">
        <f t="shared" si="56"/>
        <v>#VALUE!</v>
      </c>
    </row>
    <row r="978" spans="1:9">
      <c r="A978" s="4" t="s">
        <v>765</v>
      </c>
      <c r="B978" s="4">
        <v>54</v>
      </c>
      <c r="C978" s="4" t="s">
        <v>72</v>
      </c>
      <c r="D978" s="4" t="s">
        <v>72</v>
      </c>
      <c r="E978" s="4" t="s">
        <v>788</v>
      </c>
      <c r="F978" s="4" t="str">
        <f t="shared" si="55"/>
        <v>54|U|U</v>
      </c>
      <c r="G978" s="14">
        <f>INDEX('Transition Stepwise'!$J$2:$J$1137,MATCH(F978,'Transition Stepwise'!$E$2:$E$1137,0))</f>
        <v>0.97029702970297027</v>
      </c>
      <c r="H978" s="14" t="e">
        <f>INDEX(Background!$D$12:$D$27,MATCH(C978&amp;D978,INDEX(Background!$A$12:$A$27,0)&amp;INDEX(Background!$B$12:$B$27,0),0))</f>
        <v>#VALUE!</v>
      </c>
      <c r="I978" s="17" t="e">
        <f t="shared" si="56"/>
        <v>#VALUE!</v>
      </c>
    </row>
    <row r="979" spans="1:9">
      <c r="A979" s="4" t="s">
        <v>765</v>
      </c>
      <c r="B979" s="4">
        <v>55</v>
      </c>
      <c r="C979" s="4" t="s">
        <v>72</v>
      </c>
      <c r="D979" s="4" t="s">
        <v>71</v>
      </c>
      <c r="E979" s="4" t="s">
        <v>788</v>
      </c>
      <c r="F979" s="4" t="str">
        <f t="shared" si="55"/>
        <v>55|U|C</v>
      </c>
      <c r="G979" s="14">
        <f>INDEX('Transition Stepwise'!$J$2:$J$1137,MATCH(F979,'Transition Stepwise'!$E$2:$E$1137,0))</f>
        <v>0.97512437810945274</v>
      </c>
      <c r="H979" s="14" t="e">
        <f>INDEX(Background!$D$12:$D$27,MATCH(C979&amp;D979,INDEX(Background!$A$12:$A$27,0)&amp;INDEX(Background!$B$12:$B$27,0),0))</f>
        <v>#VALUE!</v>
      </c>
      <c r="I979" s="17" t="e">
        <f t="shared" si="56"/>
        <v>#VALUE!</v>
      </c>
    </row>
    <row r="980" spans="1:9">
      <c r="A980" s="4" t="s">
        <v>765</v>
      </c>
      <c r="B980" s="4">
        <v>56</v>
      </c>
      <c r="C980" s="4" t="s">
        <v>71</v>
      </c>
      <c r="D980" s="4" t="s">
        <v>70</v>
      </c>
      <c r="E980" s="4" t="s">
        <v>788</v>
      </c>
      <c r="F980" s="4" t="str">
        <f t="shared" si="55"/>
        <v>56|C|G</v>
      </c>
      <c r="G980" s="14">
        <f>INDEX('Transition Stepwise'!$J$2:$J$1137,MATCH(F980,'Transition Stepwise'!$E$2:$E$1137,0))</f>
        <v>0.60499999999999998</v>
      </c>
      <c r="H980" s="14" t="e">
        <f>INDEX(Background!$D$12:$D$27,MATCH(C980&amp;D980,INDEX(Background!$A$12:$A$27,0)&amp;INDEX(Background!$B$12:$B$27,0),0))</f>
        <v>#VALUE!</v>
      </c>
      <c r="I980" s="17" t="e">
        <f t="shared" si="56"/>
        <v>#VALUE!</v>
      </c>
    </row>
    <row r="981" spans="1:9">
      <c r="A981" s="4" t="s">
        <v>765</v>
      </c>
      <c r="B981" s="4">
        <v>57</v>
      </c>
      <c r="C981" s="4" t="s">
        <v>70</v>
      </c>
      <c r="D981" s="4" t="s">
        <v>70</v>
      </c>
      <c r="E981" s="4" t="s">
        <v>788</v>
      </c>
      <c r="F981" s="4" t="str">
        <f t="shared" si="55"/>
        <v>57|G|G</v>
      </c>
      <c r="G981" s="14">
        <f>INDEX('Transition Stepwise'!$J$2:$J$1137,MATCH(F981,'Transition Stepwise'!$E$2:$E$1137,0))</f>
        <v>8.0000000000000002E-3</v>
      </c>
      <c r="H981" s="14" t="e">
        <f>INDEX(Background!$D$12:$D$27,MATCH(C981&amp;D981,INDEX(Background!$A$12:$A$27,0)&amp;INDEX(Background!$B$12:$B$27,0),0))</f>
        <v>#VALUE!</v>
      </c>
      <c r="I981" s="17" t="e">
        <f t="shared" si="56"/>
        <v>#VALUE!</v>
      </c>
    </row>
    <row r="982" spans="1:9">
      <c r="A982" s="4" t="s">
        <v>765</v>
      </c>
      <c r="B982" s="4">
        <v>58</v>
      </c>
      <c r="C982" s="4" t="s">
        <v>70</v>
      </c>
      <c r="D982" s="4" t="s">
        <v>73</v>
      </c>
      <c r="E982" s="4" t="s">
        <v>788</v>
      </c>
      <c r="F982" s="4" t="str">
        <f t="shared" si="55"/>
        <v>58|G|A</v>
      </c>
      <c r="G982" s="14">
        <f>INDEX('Transition Stepwise'!$J$2:$J$1137,MATCH(F982,'Transition Stepwise'!$E$2:$E$1137,0))</f>
        <v>0.25</v>
      </c>
      <c r="H982" s="14" t="e">
        <f>INDEX(Background!$D$12:$D$27,MATCH(C982&amp;D982,INDEX(Background!$A$12:$A$27,0)&amp;INDEX(Background!$B$12:$B$27,0),0))</f>
        <v>#VALUE!</v>
      </c>
      <c r="I982" s="17" t="e">
        <f t="shared" si="56"/>
        <v>#VALUE!</v>
      </c>
    </row>
    <row r="983" spans="1:9">
      <c r="A983" s="4" t="s">
        <v>765</v>
      </c>
      <c r="B983" s="4">
        <v>59</v>
      </c>
      <c r="C983" s="4" t="s">
        <v>73</v>
      </c>
      <c r="D983" s="4" t="s">
        <v>73</v>
      </c>
      <c r="E983" s="4" t="s">
        <v>788</v>
      </c>
      <c r="F983" s="4" t="str">
        <f t="shared" si="55"/>
        <v>59|A|A</v>
      </c>
      <c r="G983" s="14">
        <f>INDEX('Transition Stepwise'!$J$2:$J$1137,MATCH(F983,'Transition Stepwise'!$E$2:$E$1137,0))</f>
        <v>2.1052631578947368E-2</v>
      </c>
      <c r="H983" s="14" t="e">
        <f>INDEX(Background!$D$12:$D$27,MATCH(C983&amp;D983,INDEX(Background!$A$12:$A$27,0)&amp;INDEX(Background!$B$12:$B$27,0),0))</f>
        <v>#VALUE!</v>
      </c>
      <c r="I983" s="17" t="e">
        <f t="shared" si="56"/>
        <v>#VALUE!</v>
      </c>
    </row>
    <row r="984" spans="1:9">
      <c r="A984" s="4" t="s">
        <v>765</v>
      </c>
      <c r="B984" s="4">
        <v>60</v>
      </c>
      <c r="C984" s="4" t="s">
        <v>73</v>
      </c>
      <c r="D984" s="4" t="s">
        <v>71</v>
      </c>
      <c r="E984" s="4" t="s">
        <v>788</v>
      </c>
      <c r="F984" s="4" t="str">
        <f t="shared" si="55"/>
        <v>60|A|C</v>
      </c>
      <c r="G984" s="14">
        <f>INDEX('Transition Stepwise'!$J$2:$J$1137,MATCH(F984,'Transition Stepwise'!$E$2:$E$1137,0))</f>
        <v>0.4</v>
      </c>
      <c r="H984" s="14" t="e">
        <f>INDEX(Background!$D$12:$D$27,MATCH(C984&amp;D984,INDEX(Background!$A$12:$A$27,0)&amp;INDEX(Background!$B$12:$B$27,0),0))</f>
        <v>#VALUE!</v>
      </c>
      <c r="I984" s="17" t="e">
        <f t="shared" si="56"/>
        <v>#VALUE!</v>
      </c>
    </row>
    <row r="985" spans="1:9">
      <c r="A985" s="4" t="s">
        <v>765</v>
      </c>
      <c r="B985" s="4">
        <v>61</v>
      </c>
      <c r="C985" s="4" t="s">
        <v>71</v>
      </c>
      <c r="D985" s="4" t="s">
        <v>73</v>
      </c>
      <c r="E985" s="4" t="s">
        <v>788</v>
      </c>
      <c r="F985" s="4" t="str">
        <f t="shared" si="55"/>
        <v>61|C|A</v>
      </c>
      <c r="G985" s="14">
        <f>INDEX('Transition Stepwise'!$J$2:$J$1137,MATCH(F985,'Transition Stepwise'!$E$2:$E$1137,0))</f>
        <v>1.9801980198019802E-2</v>
      </c>
      <c r="H985" s="14" t="e">
        <f>INDEX(Background!$D$12:$D$27,MATCH(C985&amp;D985,INDEX(Background!$A$12:$A$27,0)&amp;INDEX(Background!$B$12:$B$27,0),0))</f>
        <v>#VALUE!</v>
      </c>
      <c r="I985" s="17" t="e">
        <f t="shared" si="56"/>
        <v>#VALUE!</v>
      </c>
    </row>
    <row r="986" spans="1:9">
      <c r="A986" s="4" t="s">
        <v>765</v>
      </c>
      <c r="B986" s="4">
        <v>62</v>
      </c>
      <c r="C986" s="4" t="s">
        <v>73</v>
      </c>
      <c r="D986" s="4" t="s">
        <v>70</v>
      </c>
      <c r="E986" s="4" t="s">
        <v>788</v>
      </c>
      <c r="F986" s="4" t="str">
        <f t="shared" si="55"/>
        <v>62|A|G</v>
      </c>
      <c r="G986" s="14">
        <f>INDEX('Transition Stepwise'!$J$2:$J$1137,MATCH(F986,'Transition Stepwise'!$E$2:$E$1137,0))</f>
        <v>0.14285714285714285</v>
      </c>
      <c r="H986" s="14" t="e">
        <f>INDEX(Background!$D$12:$D$27,MATCH(C986&amp;D986,INDEX(Background!$A$12:$A$27,0)&amp;INDEX(Background!$B$12:$B$27,0),0))</f>
        <v>#VALUE!</v>
      </c>
      <c r="I986" s="17" t="e">
        <f t="shared" si="56"/>
        <v>#VALUE!</v>
      </c>
    </row>
    <row r="987" spans="1:9">
      <c r="A987" s="4" t="s">
        <v>765</v>
      </c>
      <c r="B987" s="4">
        <v>63</v>
      </c>
      <c r="C987" s="4" t="s">
        <v>70</v>
      </c>
      <c r="D987" s="4" t="s">
        <v>72</v>
      </c>
      <c r="E987" s="4" t="s">
        <v>788</v>
      </c>
      <c r="F987" s="4" t="str">
        <f t="shared" si="55"/>
        <v>63|G|U</v>
      </c>
      <c r="G987" s="14">
        <f>INDEX('Transition Stepwise'!$J$2:$J$1137,MATCH(F987,'Transition Stepwise'!$E$2:$E$1137,0))</f>
        <v>0.11538461538461539</v>
      </c>
      <c r="H987" s="14" t="e">
        <f>INDEX(Background!$D$12:$D$27,MATCH(C987&amp;D987,INDEX(Background!$A$12:$A$27,0)&amp;INDEX(Background!$B$12:$B$27,0),0))</f>
        <v>#VALUE!</v>
      </c>
      <c r="I987" s="17" t="e">
        <f t="shared" si="56"/>
        <v>#VALUE!</v>
      </c>
    </row>
    <row r="988" spans="1:9">
      <c r="A988" s="4" t="s">
        <v>765</v>
      </c>
      <c r="B988" s="4">
        <v>64</v>
      </c>
      <c r="C988" s="4" t="s">
        <v>72</v>
      </c>
      <c r="D988" s="4" t="s">
        <v>72</v>
      </c>
      <c r="E988" s="4" t="s">
        <v>788</v>
      </c>
      <c r="F988" s="4" t="str">
        <f t="shared" si="55"/>
        <v>64|U|U</v>
      </c>
      <c r="G988" s="14">
        <f>INDEX('Transition Stepwise'!$J$2:$J$1137,MATCH(F988,'Transition Stepwise'!$E$2:$E$1137,0))</f>
        <v>0.29729729729729731</v>
      </c>
      <c r="H988" s="14" t="e">
        <f>INDEX(Background!$D$12:$D$27,MATCH(C988&amp;D988,INDEX(Background!$A$12:$A$27,0)&amp;INDEX(Background!$B$12:$B$27,0),0))</f>
        <v>#VALUE!</v>
      </c>
      <c r="I988" s="17" t="e">
        <f t="shared" si="56"/>
        <v>#VALUE!</v>
      </c>
    </row>
    <row r="989" spans="1:9">
      <c r="A989" s="4" t="s">
        <v>765</v>
      </c>
      <c r="B989" s="4">
        <v>65</v>
      </c>
      <c r="C989" s="4" t="s">
        <v>72</v>
      </c>
      <c r="D989" s="4" t="s">
        <v>73</v>
      </c>
      <c r="E989" s="4" t="s">
        <v>788</v>
      </c>
      <c r="F989" s="4" t="str">
        <f t="shared" si="55"/>
        <v>65|U|A</v>
      </c>
      <c r="G989" s="14">
        <f>INDEX('Transition Stepwise'!$J$2:$J$1137,MATCH(F989,'Transition Stepwise'!$E$2:$E$1137,0))</f>
        <v>0.3108108108108108</v>
      </c>
      <c r="H989" s="14" t="e">
        <f>INDEX(Background!$D$12:$D$27,MATCH(C989&amp;D989,INDEX(Background!$A$12:$A$27,0)&amp;INDEX(Background!$B$12:$B$27,0),0))</f>
        <v>#VALUE!</v>
      </c>
      <c r="I989" s="17" t="e">
        <f t="shared" si="56"/>
        <v>#VALUE!</v>
      </c>
    </row>
    <row r="990" spans="1:9">
      <c r="A990" s="4" t="s">
        <v>765</v>
      </c>
      <c r="B990" s="4">
        <v>66</v>
      </c>
      <c r="C990" s="4" t="s">
        <v>73</v>
      </c>
      <c r="D990" s="4" t="s">
        <v>72</v>
      </c>
      <c r="E990" s="4" t="s">
        <v>788</v>
      </c>
      <c r="F990" s="4" t="str">
        <f t="shared" si="55"/>
        <v>66|A|U</v>
      </c>
      <c r="G990" s="14">
        <f>INDEX('Transition Stepwise'!$J$2:$J$1137,MATCH(F990,'Transition Stepwise'!$E$2:$E$1137,0))</f>
        <v>0.25531914893617019</v>
      </c>
      <c r="H990" s="14" t="e">
        <f>INDEX(Background!$D$12:$D$27,MATCH(C990&amp;D990,INDEX(Background!$A$12:$A$27,0)&amp;INDEX(Background!$B$12:$B$27,0),0))</f>
        <v>#VALUE!</v>
      </c>
      <c r="I990" s="17" t="e">
        <f t="shared" si="56"/>
        <v>#VALUE!</v>
      </c>
    </row>
    <row r="991" spans="1:9">
      <c r="A991" s="4" t="s">
        <v>765</v>
      </c>
      <c r="B991" s="4">
        <v>67</v>
      </c>
      <c r="C991" s="4" t="s">
        <v>72</v>
      </c>
      <c r="D991" s="4" t="s">
        <v>70</v>
      </c>
      <c r="E991" s="4" t="s">
        <v>788</v>
      </c>
      <c r="F991" s="4" t="str">
        <f t="shared" si="55"/>
        <v>67|U|G</v>
      </c>
      <c r="G991" s="14">
        <f>INDEX('Transition Stepwise'!$J$2:$J$1137,MATCH(F991,'Transition Stepwise'!$E$2:$E$1137,0))</f>
        <v>0.2857142857142857</v>
      </c>
      <c r="H991" s="14" t="e">
        <f>INDEX(Background!$D$12:$D$27,MATCH(C991&amp;D991,INDEX(Background!$A$12:$A$27,0)&amp;INDEX(Background!$B$12:$B$27,0),0))</f>
        <v>#VALUE!</v>
      </c>
      <c r="I991" s="17" t="e">
        <f t="shared" si="56"/>
        <v>#VALUE!</v>
      </c>
    </row>
    <row r="992" spans="1:9">
      <c r="A992" s="4" t="s">
        <v>765</v>
      </c>
      <c r="B992" s="4">
        <v>68</v>
      </c>
      <c r="C992" s="4" t="s">
        <v>70</v>
      </c>
      <c r="D992" s="4" t="s">
        <v>73</v>
      </c>
      <c r="E992" s="4" t="s">
        <v>788</v>
      </c>
      <c r="F992" s="4" t="str">
        <f t="shared" si="55"/>
        <v>68|G|A</v>
      </c>
      <c r="G992" s="14">
        <f>INDEX('Transition Stepwise'!$J$2:$J$1137,MATCH(F992,'Transition Stepwise'!$E$2:$E$1137,0))</f>
        <v>0.15384615384615385</v>
      </c>
      <c r="H992" s="14" t="e">
        <f>INDEX(Background!$D$12:$D$27,MATCH(C992&amp;D992,INDEX(Background!$A$12:$A$27,0)&amp;INDEX(Background!$B$12:$B$27,0),0))</f>
        <v>#VALUE!</v>
      </c>
      <c r="I992" s="17" t="e">
        <f t="shared" si="56"/>
        <v>#VALUE!</v>
      </c>
    </row>
    <row r="993" spans="1:9">
      <c r="A993" s="4" t="s">
        <v>765</v>
      </c>
      <c r="B993" s="4">
        <v>69</v>
      </c>
      <c r="C993" s="4" t="s">
        <v>73</v>
      </c>
      <c r="D993" s="4" t="s">
        <v>70</v>
      </c>
      <c r="E993" s="4" t="s">
        <v>788</v>
      </c>
      <c r="F993" s="4" t="str">
        <f t="shared" si="55"/>
        <v>69|A|G</v>
      </c>
      <c r="G993" s="14">
        <f>INDEX('Transition Stepwise'!$J$2:$J$1137,MATCH(F993,'Transition Stepwise'!$E$2:$E$1137,0))</f>
        <v>0.37931034482758619</v>
      </c>
      <c r="H993" s="14" t="e">
        <f>INDEX(Background!$D$12:$D$27,MATCH(C993&amp;D993,INDEX(Background!$A$12:$A$27,0)&amp;INDEX(Background!$B$12:$B$27,0),0))</f>
        <v>#VALUE!</v>
      </c>
      <c r="I993" s="17" t="e">
        <f t="shared" si="56"/>
        <v>#VALUE!</v>
      </c>
    </row>
    <row r="994" spans="1:9">
      <c r="A994" s="4" t="s">
        <v>765</v>
      </c>
      <c r="B994" s="4">
        <v>70</v>
      </c>
      <c r="C994" s="4" t="s">
        <v>70</v>
      </c>
      <c r="D994" s="4" t="s">
        <v>72</v>
      </c>
      <c r="E994" s="4" t="s">
        <v>788</v>
      </c>
      <c r="F994" s="4" t="str">
        <f t="shared" si="55"/>
        <v>70|G|U</v>
      </c>
      <c r="G994" s="14">
        <f>INDEX('Transition Stepwise'!$J$2:$J$1137,MATCH(F994,'Transition Stepwise'!$E$2:$E$1137,0))</f>
        <v>8.8607594936708861E-2</v>
      </c>
      <c r="H994" s="14" t="e">
        <f>INDEX(Background!$D$12:$D$27,MATCH(C994&amp;D994,INDEX(Background!$A$12:$A$27,0)&amp;INDEX(Background!$B$12:$B$27,0),0))</f>
        <v>#VALUE!</v>
      </c>
      <c r="I994" s="17" t="e">
        <f t="shared" si="56"/>
        <v>#VALUE!</v>
      </c>
    </row>
    <row r="995" spans="1:9">
      <c r="A995" s="4" t="s">
        <v>765</v>
      </c>
      <c r="B995" s="4">
        <v>71</v>
      </c>
      <c r="C995" s="4" t="s">
        <v>72</v>
      </c>
      <c r="D995" s="4" t="s">
        <v>73</v>
      </c>
      <c r="E995" s="4" t="s">
        <v>788</v>
      </c>
      <c r="F995" s="4" t="str">
        <f t="shared" si="55"/>
        <v>71|U|A</v>
      </c>
      <c r="G995" s="14">
        <f>INDEX('Transition Stepwise'!$J$2:$J$1137,MATCH(F995,'Transition Stepwise'!$E$2:$E$1137,0))</f>
        <v>7.6923076923076927E-2</v>
      </c>
      <c r="H995" s="14" t="e">
        <f>INDEX(Background!$D$12:$D$27,MATCH(C995&amp;D995,INDEX(Background!$A$12:$A$27,0)&amp;INDEX(Background!$B$12:$B$27,0),0))</f>
        <v>#VALUE!</v>
      </c>
      <c r="I995" s="17" t="e">
        <f t="shared" si="56"/>
        <v>#VALUE!</v>
      </c>
    </row>
    <row r="996" spans="1:9">
      <c r="A996" s="4" t="s">
        <v>766</v>
      </c>
      <c r="B996" s="4">
        <v>1</v>
      </c>
      <c r="C996" s="4" t="s">
        <v>71</v>
      </c>
      <c r="D996" s="4" t="s">
        <v>72</v>
      </c>
      <c r="E996" s="4" t="s">
        <v>788</v>
      </c>
      <c r="F996" s="4" t="str">
        <f t="shared" si="55"/>
        <v>1|C|U</v>
      </c>
      <c r="G996" s="14">
        <f>INDEX('Transition Stepwise'!$J$2:$J$1137,MATCH(F996,'Transition Stepwise'!$E$2:$E$1137,0))</f>
        <v>7.6923076923076927E-2</v>
      </c>
      <c r="H996" s="14" t="e">
        <f>INDEX(Background!$D$12:$D$27,MATCH(C996&amp;D996,INDEX(Background!$A$12:$A$27,0)&amp;INDEX(Background!$B$12:$B$27,0),0))</f>
        <v>#VALUE!</v>
      </c>
      <c r="I996" s="17" t="e">
        <f t="shared" si="56"/>
        <v>#VALUE!</v>
      </c>
    </row>
    <row r="997" spans="1:9">
      <c r="A997" s="4" t="s">
        <v>766</v>
      </c>
      <c r="B997" s="4">
        <v>2</v>
      </c>
      <c r="C997" s="4" t="s">
        <v>72</v>
      </c>
      <c r="D997" s="4" t="s">
        <v>73</v>
      </c>
      <c r="E997" s="4" t="s">
        <v>788</v>
      </c>
      <c r="F997" s="4" t="str">
        <f t="shared" si="55"/>
        <v>2|U|A</v>
      </c>
      <c r="G997" s="14">
        <f>INDEX('Transition Stepwise'!$J$2:$J$1137,MATCH(F997,'Transition Stepwise'!$E$2:$E$1137,0))</f>
        <v>0.1</v>
      </c>
      <c r="H997" s="14" t="e">
        <f>INDEX(Background!$D$12:$D$27,MATCH(C997&amp;D997,INDEX(Background!$A$12:$A$27,0)&amp;INDEX(Background!$B$12:$B$27,0),0))</f>
        <v>#VALUE!</v>
      </c>
      <c r="I997" s="17" t="e">
        <f t="shared" si="56"/>
        <v>#VALUE!</v>
      </c>
    </row>
    <row r="998" spans="1:9">
      <c r="A998" s="4" t="s">
        <v>766</v>
      </c>
      <c r="B998" s="4">
        <v>3</v>
      </c>
      <c r="C998" s="4" t="s">
        <v>73</v>
      </c>
      <c r="D998" s="4" t="s">
        <v>70</v>
      </c>
      <c r="E998" s="4" t="s">
        <v>788</v>
      </c>
      <c r="F998" s="4" t="str">
        <f t="shared" ref="F998:F1061" si="57">B998&amp;"|"&amp;C998&amp;"|"&amp;D998</f>
        <v>3|A|G</v>
      </c>
      <c r="G998" s="14">
        <f>INDEX('Transition Stepwise'!$J$2:$J$1137,MATCH(F998,'Transition Stepwise'!$E$2:$E$1137,0))</f>
        <v>0.55555555555555558</v>
      </c>
      <c r="H998" s="14" t="e">
        <f>INDEX(Background!$D$12:$D$27,MATCH(C998&amp;D998,INDEX(Background!$A$12:$A$27,0)&amp;INDEX(Background!$B$12:$B$27,0),0))</f>
        <v>#VALUE!</v>
      </c>
      <c r="I998" s="17" t="e">
        <f t="shared" ref="I998:I1061" si="58">LN(G998/H998)</f>
        <v>#VALUE!</v>
      </c>
    </row>
    <row r="999" spans="1:9">
      <c r="A999" s="4" t="s">
        <v>766</v>
      </c>
      <c r="B999" s="4">
        <v>4</v>
      </c>
      <c r="C999" s="4" t="s">
        <v>70</v>
      </c>
      <c r="D999" s="4" t="s">
        <v>72</v>
      </c>
      <c r="E999" s="4" t="s">
        <v>788</v>
      </c>
      <c r="F999" s="4" t="str">
        <f t="shared" si="57"/>
        <v>4|G|U</v>
      </c>
      <c r="G999" s="14">
        <f>INDEX('Transition Stepwise'!$J$2:$J$1137,MATCH(F999,'Transition Stepwise'!$E$2:$E$1137,0))</f>
        <v>7.5268817204301078E-2</v>
      </c>
      <c r="H999" s="14" t="e">
        <f>INDEX(Background!$D$12:$D$27,MATCH(C999&amp;D999,INDEX(Background!$A$12:$A$27,0)&amp;INDEX(Background!$B$12:$B$27,0),0))</f>
        <v>#VALUE!</v>
      </c>
      <c r="I999" s="17" t="e">
        <f t="shared" si="58"/>
        <v>#VALUE!</v>
      </c>
    </row>
    <row r="1000" spans="1:9">
      <c r="A1000" s="4" t="s">
        <v>766</v>
      </c>
      <c r="B1000" s="4">
        <v>5</v>
      </c>
      <c r="C1000" s="4" t="s">
        <v>72</v>
      </c>
      <c r="D1000" s="4" t="s">
        <v>71</v>
      </c>
      <c r="E1000" s="4" t="s">
        <v>788</v>
      </c>
      <c r="F1000" s="4" t="str">
        <f t="shared" si="57"/>
        <v>5|U|C</v>
      </c>
      <c r="G1000" s="14">
        <f>INDEX('Transition Stepwise'!$J$2:$J$1137,MATCH(F1000,'Transition Stepwise'!$E$2:$E$1137,0))</f>
        <v>0.36</v>
      </c>
      <c r="H1000" s="14" t="e">
        <f>INDEX(Background!$D$12:$D$27,MATCH(C1000&amp;D1000,INDEX(Background!$A$12:$A$27,0)&amp;INDEX(Background!$B$12:$B$27,0),0))</f>
        <v>#VALUE!</v>
      </c>
      <c r="I1000" s="17" t="e">
        <f t="shared" si="58"/>
        <v>#VALUE!</v>
      </c>
    </row>
    <row r="1001" spans="1:9">
      <c r="A1001" s="4" t="s">
        <v>766</v>
      </c>
      <c r="B1001" s="4">
        <v>6</v>
      </c>
      <c r="C1001" s="4" t="s">
        <v>71</v>
      </c>
      <c r="D1001" s="4" t="s">
        <v>73</v>
      </c>
      <c r="E1001" s="4" t="s">
        <v>788</v>
      </c>
      <c r="F1001" s="4" t="str">
        <f t="shared" si="57"/>
        <v>6|C|A</v>
      </c>
      <c r="G1001" s="14">
        <f>INDEX('Transition Stepwise'!$J$2:$J$1137,MATCH(F1001,'Transition Stepwise'!$E$2:$E$1137,0))</f>
        <v>0.13043478260869565</v>
      </c>
      <c r="H1001" s="14" t="e">
        <f>INDEX(Background!$D$12:$D$27,MATCH(C1001&amp;D1001,INDEX(Background!$A$12:$A$27,0)&amp;INDEX(Background!$B$12:$B$27,0),0))</f>
        <v>#VALUE!</v>
      </c>
      <c r="I1001" s="17" t="e">
        <f t="shared" si="58"/>
        <v>#VALUE!</v>
      </c>
    </row>
    <row r="1002" spans="1:9">
      <c r="A1002" s="4" t="s">
        <v>766</v>
      </c>
      <c r="B1002" s="4">
        <v>7</v>
      </c>
      <c r="C1002" s="4" t="s">
        <v>73</v>
      </c>
      <c r="D1002" s="4" t="s">
        <v>72</v>
      </c>
      <c r="E1002" s="4" t="s">
        <v>788</v>
      </c>
      <c r="F1002" s="4" t="str">
        <f t="shared" si="57"/>
        <v>7|A|U</v>
      </c>
      <c r="G1002" s="14">
        <f>INDEX('Transition Stepwise'!$J$2:$J$1137,MATCH(F1002,'Transition Stepwise'!$E$2:$E$1137,0))</f>
        <v>0.92307692307692313</v>
      </c>
      <c r="H1002" s="14" t="e">
        <f>INDEX(Background!$D$12:$D$27,MATCH(C1002&amp;D1002,INDEX(Background!$A$12:$A$27,0)&amp;INDEX(Background!$B$12:$B$27,0),0))</f>
        <v>#VALUE!</v>
      </c>
      <c r="I1002" s="17" t="e">
        <f t="shared" si="58"/>
        <v>#VALUE!</v>
      </c>
    </row>
    <row r="1003" spans="1:9">
      <c r="A1003" s="4" t="s">
        <v>766</v>
      </c>
      <c r="B1003" s="4">
        <v>8</v>
      </c>
      <c r="C1003" s="4" t="s">
        <v>72</v>
      </c>
      <c r="D1003" s="4" t="s">
        <v>70</v>
      </c>
      <c r="E1003" s="4" t="s">
        <v>788</v>
      </c>
      <c r="F1003" s="4" t="str">
        <f t="shared" si="57"/>
        <v>8|U|G</v>
      </c>
      <c r="G1003" s="14">
        <f>INDEX('Transition Stepwise'!$J$2:$J$1137,MATCH(F1003,'Transition Stepwise'!$E$2:$E$1137,0))</f>
        <v>0.30845771144278605</v>
      </c>
      <c r="H1003" s="14" t="e">
        <f>INDEX(Background!$D$12:$D$27,MATCH(C1003&amp;D1003,INDEX(Background!$A$12:$A$27,0)&amp;INDEX(Background!$B$12:$B$27,0),0))</f>
        <v>#VALUE!</v>
      </c>
      <c r="I1003" s="17" t="e">
        <f t="shared" si="58"/>
        <v>#VALUE!</v>
      </c>
    </row>
    <row r="1004" spans="1:9">
      <c r="A1004" s="4" t="s">
        <v>766</v>
      </c>
      <c r="B1004" s="4">
        <v>9</v>
      </c>
      <c r="C1004" s="4" t="s">
        <v>70</v>
      </c>
      <c r="D1004" s="4" t="s">
        <v>73</v>
      </c>
      <c r="E1004" s="4" t="s">
        <v>788</v>
      </c>
      <c r="F1004" s="4" t="str">
        <f t="shared" si="57"/>
        <v>9|G|A</v>
      </c>
      <c r="G1004" s="14">
        <f>INDEX('Transition Stepwise'!$J$2:$J$1137,MATCH(F1004,'Transition Stepwise'!$E$2:$E$1137,0))</f>
        <v>1.5384615384615385E-2</v>
      </c>
      <c r="H1004" s="14" t="e">
        <f>INDEX(Background!$D$12:$D$27,MATCH(C1004&amp;D1004,INDEX(Background!$A$12:$A$27,0)&amp;INDEX(Background!$B$12:$B$27,0),0))</f>
        <v>#VALUE!</v>
      </c>
      <c r="I1004" s="17" t="e">
        <f t="shared" si="58"/>
        <v>#VALUE!</v>
      </c>
    </row>
    <row r="1005" spans="1:9">
      <c r="A1005" s="4" t="s">
        <v>766</v>
      </c>
      <c r="B1005" s="4">
        <v>10</v>
      </c>
      <c r="C1005" s="4" t="s">
        <v>73</v>
      </c>
      <c r="D1005" s="4" t="s">
        <v>72</v>
      </c>
      <c r="E1005" s="4" t="s">
        <v>788</v>
      </c>
      <c r="F1005" s="4" t="str">
        <f t="shared" si="57"/>
        <v>10|A|U</v>
      </c>
      <c r="G1005" s="14">
        <f>INDEX('Transition Stepwise'!$J$2:$J$1137,MATCH(F1005,'Transition Stepwise'!$E$2:$E$1137,0))</f>
        <v>0.25</v>
      </c>
      <c r="H1005" s="14" t="e">
        <f>INDEX(Background!$D$12:$D$27,MATCH(C1005&amp;D1005,INDEX(Background!$A$12:$A$27,0)&amp;INDEX(Background!$B$12:$B$27,0),0))</f>
        <v>#VALUE!</v>
      </c>
      <c r="I1005" s="17" t="e">
        <f t="shared" si="58"/>
        <v>#VALUE!</v>
      </c>
    </row>
    <row r="1006" spans="1:9">
      <c r="A1006" s="4" t="s">
        <v>766</v>
      </c>
      <c r="B1006" s="4">
        <v>11</v>
      </c>
      <c r="C1006" s="4" t="s">
        <v>72</v>
      </c>
      <c r="D1006" s="4" t="s">
        <v>71</v>
      </c>
      <c r="E1006" s="4" t="s">
        <v>788</v>
      </c>
      <c r="F1006" s="4" t="str">
        <f t="shared" si="57"/>
        <v>11|U|C</v>
      </c>
      <c r="G1006" s="14">
        <f>INDEX('Transition Stepwise'!$J$2:$J$1137,MATCH(F1006,'Transition Stepwise'!$E$2:$E$1137,0))</f>
        <v>0.29545454545454547</v>
      </c>
      <c r="H1006" s="14" t="e">
        <f>INDEX(Background!$D$12:$D$27,MATCH(C1006&amp;D1006,INDEX(Background!$A$12:$A$27,0)&amp;INDEX(Background!$B$12:$B$27,0),0))</f>
        <v>#VALUE!</v>
      </c>
      <c r="I1006" s="17" t="e">
        <f t="shared" si="58"/>
        <v>#VALUE!</v>
      </c>
    </row>
    <row r="1007" spans="1:9">
      <c r="A1007" s="4" t="s">
        <v>766</v>
      </c>
      <c r="B1007" s="4">
        <v>12</v>
      </c>
      <c r="C1007" s="4" t="s">
        <v>71</v>
      </c>
      <c r="D1007" s="4" t="s">
        <v>72</v>
      </c>
      <c r="E1007" s="4" t="s">
        <v>788</v>
      </c>
      <c r="F1007" s="4" t="str">
        <f t="shared" si="57"/>
        <v>12|C|U</v>
      </c>
      <c r="G1007" s="14">
        <f>INDEX('Transition Stepwise'!$J$2:$J$1137,MATCH(F1007,'Transition Stepwise'!$E$2:$E$1137,0))</f>
        <v>0.36363636363636365</v>
      </c>
      <c r="H1007" s="14" t="e">
        <f>INDEX(Background!$D$12:$D$27,MATCH(C1007&amp;D1007,INDEX(Background!$A$12:$A$27,0)&amp;INDEX(Background!$B$12:$B$27,0),0))</f>
        <v>#VALUE!</v>
      </c>
      <c r="I1007" s="17" t="e">
        <f t="shared" si="58"/>
        <v>#VALUE!</v>
      </c>
    </row>
    <row r="1008" spans="1:9">
      <c r="A1008" s="4" t="s">
        <v>766</v>
      </c>
      <c r="B1008" s="4">
        <v>13</v>
      </c>
      <c r="C1008" s="4" t="s">
        <v>72</v>
      </c>
      <c r="D1008" s="4" t="s">
        <v>70</v>
      </c>
      <c r="E1008" s="4" t="s">
        <v>788</v>
      </c>
      <c r="F1008" s="4" t="str">
        <f t="shared" si="57"/>
        <v>13|U|G</v>
      </c>
      <c r="G1008" s="14">
        <f>INDEX('Transition Stepwise'!$J$2:$J$1137,MATCH(F1008,'Transition Stepwise'!$E$2:$E$1137,0))</f>
        <v>2.3809523809523808E-2</v>
      </c>
      <c r="H1008" s="14" t="e">
        <f>INDEX(Background!$D$12:$D$27,MATCH(C1008&amp;D1008,INDEX(Background!$A$12:$A$27,0)&amp;INDEX(Background!$B$12:$B$27,0),0))</f>
        <v>#VALUE!</v>
      </c>
      <c r="I1008" s="17" t="e">
        <f t="shared" si="58"/>
        <v>#VALUE!</v>
      </c>
    </row>
    <row r="1009" spans="1:9">
      <c r="A1009" s="4" t="s">
        <v>766</v>
      </c>
      <c r="B1009" s="4">
        <v>14</v>
      </c>
      <c r="C1009" s="4" t="s">
        <v>70</v>
      </c>
      <c r="D1009" s="4" t="s">
        <v>72</v>
      </c>
      <c r="E1009" s="4" t="s">
        <v>788</v>
      </c>
      <c r="F1009" s="4" t="str">
        <f t="shared" si="57"/>
        <v>14|G|U</v>
      </c>
      <c r="G1009" s="14">
        <f>INDEX('Transition Stepwise'!$J$2:$J$1137,MATCH(F1009,'Transition Stepwise'!$E$2:$E$1137,0))</f>
        <v>0.2</v>
      </c>
      <c r="H1009" s="14" t="e">
        <f>INDEX(Background!$D$12:$D$27,MATCH(C1009&amp;D1009,INDEX(Background!$A$12:$A$27,0)&amp;INDEX(Background!$B$12:$B$27,0),0))</f>
        <v>#VALUE!</v>
      </c>
      <c r="I1009" s="17" t="e">
        <f t="shared" si="58"/>
        <v>#VALUE!</v>
      </c>
    </row>
    <row r="1010" spans="1:9">
      <c r="A1010" s="4" t="s">
        <v>766</v>
      </c>
      <c r="B1010" s="4">
        <v>15</v>
      </c>
      <c r="C1010" s="4" t="s">
        <v>72</v>
      </c>
      <c r="D1010" s="4" t="s">
        <v>73</v>
      </c>
      <c r="E1010" s="4" t="s">
        <v>788</v>
      </c>
      <c r="F1010" s="4" t="str">
        <f t="shared" si="57"/>
        <v>15|U|A</v>
      </c>
      <c r="G1010" s="14">
        <f>INDEX('Transition Stepwise'!$J$2:$J$1137,MATCH(F1010,'Transition Stepwise'!$E$2:$E$1137,0))</f>
        <v>0.2</v>
      </c>
      <c r="H1010" s="14" t="e">
        <f>INDEX(Background!$D$12:$D$27,MATCH(C1010&amp;D1010,INDEX(Background!$A$12:$A$27,0)&amp;INDEX(Background!$B$12:$B$27,0),0))</f>
        <v>#VALUE!</v>
      </c>
      <c r="I1010" s="17" t="e">
        <f t="shared" si="58"/>
        <v>#VALUE!</v>
      </c>
    </row>
    <row r="1011" spans="1:9">
      <c r="A1011" s="4" t="s">
        <v>766</v>
      </c>
      <c r="B1011" s="4">
        <v>16</v>
      </c>
      <c r="C1011" s="4" t="s">
        <v>73</v>
      </c>
      <c r="D1011" s="4" t="s">
        <v>73</v>
      </c>
      <c r="E1011" s="4" t="s">
        <v>788</v>
      </c>
      <c r="F1011" s="4" t="str">
        <f t="shared" si="57"/>
        <v>16|A|A</v>
      </c>
      <c r="G1011" s="14">
        <f>INDEX('Transition Stepwise'!$J$2:$J$1137,MATCH(F1011,'Transition Stepwise'!$E$2:$E$1137,0))</f>
        <v>0.14285714285714285</v>
      </c>
      <c r="H1011" s="14" t="e">
        <f>INDEX(Background!$D$12:$D$27,MATCH(C1011&amp;D1011,INDEX(Background!$A$12:$A$27,0)&amp;INDEX(Background!$B$12:$B$27,0),0))</f>
        <v>#VALUE!</v>
      </c>
      <c r="I1011" s="17" t="e">
        <f t="shared" si="58"/>
        <v>#VALUE!</v>
      </c>
    </row>
    <row r="1012" spans="1:9">
      <c r="A1012" s="4" t="s">
        <v>766</v>
      </c>
      <c r="B1012" s="4">
        <v>17</v>
      </c>
      <c r="C1012" s="4" t="s">
        <v>73</v>
      </c>
      <c r="D1012" s="4" t="s">
        <v>70</v>
      </c>
      <c r="E1012" s="4" t="s">
        <v>788</v>
      </c>
      <c r="F1012" s="4" t="str">
        <f t="shared" si="57"/>
        <v>17|A|G</v>
      </c>
      <c r="G1012" s="14">
        <f>INDEX('Transition Stepwise'!$J$2:$J$1137,MATCH(F1012,'Transition Stepwise'!$E$2:$E$1137,0))</f>
        <v>0.75</v>
      </c>
      <c r="H1012" s="14" t="e">
        <f>INDEX(Background!$D$12:$D$27,MATCH(C1012&amp;D1012,INDEX(Background!$A$12:$A$27,0)&amp;INDEX(Background!$B$12:$B$27,0),0))</f>
        <v>#VALUE!</v>
      </c>
      <c r="I1012" s="17" t="e">
        <f t="shared" si="58"/>
        <v>#VALUE!</v>
      </c>
    </row>
    <row r="1013" spans="1:9">
      <c r="A1013" s="4" t="s">
        <v>766</v>
      </c>
      <c r="B1013" s="4">
        <v>18</v>
      </c>
      <c r="C1013" s="4" t="s">
        <v>70</v>
      </c>
      <c r="D1013" s="4" t="s">
        <v>70</v>
      </c>
      <c r="E1013" s="4" t="s">
        <v>788</v>
      </c>
      <c r="F1013" s="4" t="str">
        <f t="shared" si="57"/>
        <v>18|G|G</v>
      </c>
      <c r="G1013" s="14">
        <f>INDEX('Transition Stepwise'!$J$2:$J$1137,MATCH(F1013,'Transition Stepwise'!$E$2:$E$1137,0))</f>
        <v>0.97536945812807885</v>
      </c>
      <c r="H1013" s="14" t="e">
        <f>INDEX(Background!$D$12:$D$27,MATCH(C1013&amp;D1013,INDEX(Background!$A$12:$A$27,0)&amp;INDEX(Background!$B$12:$B$27,0),0))</f>
        <v>#VALUE!</v>
      </c>
      <c r="I1013" s="17" t="e">
        <f t="shared" si="58"/>
        <v>#VALUE!</v>
      </c>
    </row>
    <row r="1014" spans="1:9">
      <c r="A1014" s="4" t="s">
        <v>766</v>
      </c>
      <c r="B1014" s="4">
        <v>19</v>
      </c>
      <c r="C1014" s="4" t="s">
        <v>70</v>
      </c>
      <c r="D1014" s="4" t="s">
        <v>71</v>
      </c>
      <c r="E1014" s="4" t="s">
        <v>788</v>
      </c>
      <c r="F1014" s="4" t="str">
        <f t="shared" si="57"/>
        <v>19|G|C</v>
      </c>
      <c r="G1014" s="14">
        <f>INDEX('Transition Stepwise'!$J$2:$J$1137,MATCH(F1014,'Transition Stepwise'!$E$2:$E$1137,0))</f>
        <v>0.22885572139303484</v>
      </c>
      <c r="H1014" s="14" t="e">
        <f>INDEX(Background!$D$12:$D$27,MATCH(C1014&amp;D1014,INDEX(Background!$A$12:$A$27,0)&amp;INDEX(Background!$B$12:$B$27,0),0))</f>
        <v>#VALUE!</v>
      </c>
      <c r="I1014" s="17" t="e">
        <f t="shared" si="58"/>
        <v>#VALUE!</v>
      </c>
    </row>
    <row r="1015" spans="1:9">
      <c r="A1015" s="4" t="s">
        <v>766</v>
      </c>
      <c r="B1015" s="4">
        <v>20</v>
      </c>
      <c r="C1015" s="4" t="s">
        <v>71</v>
      </c>
      <c r="D1015" s="4" t="s">
        <v>73</v>
      </c>
      <c r="E1015" s="4" t="s">
        <v>788</v>
      </c>
      <c r="F1015" s="4" t="str">
        <f t="shared" si="57"/>
        <v>20|C|A</v>
      </c>
      <c r="G1015" s="14">
        <f>INDEX('Transition Stepwise'!$J$2:$J$1137,MATCH(F1015,'Transition Stepwise'!$E$2:$E$1137,0))</f>
        <v>0.7142857142857143</v>
      </c>
      <c r="H1015" s="14" t="e">
        <f>INDEX(Background!$D$12:$D$27,MATCH(C1015&amp;D1015,INDEX(Background!$A$12:$A$27,0)&amp;INDEX(Background!$B$12:$B$27,0),0))</f>
        <v>#VALUE!</v>
      </c>
      <c r="I1015" s="17" t="e">
        <f t="shared" si="58"/>
        <v>#VALUE!</v>
      </c>
    </row>
    <row r="1016" spans="1:9">
      <c r="A1016" s="4" t="s">
        <v>766</v>
      </c>
      <c r="B1016" s="4">
        <v>21</v>
      </c>
      <c r="C1016" s="4" t="s">
        <v>73</v>
      </c>
      <c r="D1016" s="4" t="s">
        <v>73</v>
      </c>
      <c r="E1016" s="4" t="s">
        <v>788</v>
      </c>
      <c r="F1016" s="4" t="str">
        <f t="shared" si="57"/>
        <v>21|A|A</v>
      </c>
      <c r="G1016" s="14">
        <f>INDEX('Transition Stepwise'!$J$2:$J$1137,MATCH(F1016,'Transition Stepwise'!$E$2:$E$1137,0))</f>
        <v>0.15846994535519127</v>
      </c>
      <c r="H1016" s="14" t="e">
        <f>INDEX(Background!$D$12:$D$27,MATCH(C1016&amp;D1016,INDEX(Background!$A$12:$A$27,0)&amp;INDEX(Background!$B$12:$B$27,0),0))</f>
        <v>#VALUE!</v>
      </c>
      <c r="I1016" s="17" t="e">
        <f t="shared" si="58"/>
        <v>#VALUE!</v>
      </c>
    </row>
    <row r="1017" spans="1:9">
      <c r="A1017" s="4" t="s">
        <v>766</v>
      </c>
      <c r="B1017" s="4">
        <v>22</v>
      </c>
      <c r="C1017" s="4" t="s">
        <v>73</v>
      </c>
      <c r="D1017" s="4" t="s">
        <v>70</v>
      </c>
      <c r="E1017" s="4" t="s">
        <v>788</v>
      </c>
      <c r="F1017" s="4" t="str">
        <f t="shared" si="57"/>
        <v>22|A|G</v>
      </c>
      <c r="G1017" s="14">
        <f>INDEX('Transition Stepwise'!$J$2:$J$1137,MATCH(F1017,'Transition Stepwise'!$E$2:$E$1137,0))</f>
        <v>0.48888888888888887</v>
      </c>
      <c r="H1017" s="14" t="e">
        <f>INDEX(Background!$D$12:$D$27,MATCH(C1017&amp;D1017,INDEX(Background!$A$12:$A$27,0)&amp;INDEX(Background!$B$12:$B$27,0),0))</f>
        <v>#VALUE!</v>
      </c>
      <c r="I1017" s="17" t="e">
        <f t="shared" si="58"/>
        <v>#VALUE!</v>
      </c>
    </row>
    <row r="1018" spans="1:9">
      <c r="A1018" s="4" t="s">
        <v>766</v>
      </c>
      <c r="B1018" s="4">
        <v>23</v>
      </c>
      <c r="C1018" s="4" t="s">
        <v>70</v>
      </c>
      <c r="D1018" s="4" t="s">
        <v>73</v>
      </c>
      <c r="E1018" s="4" t="s">
        <v>788</v>
      </c>
      <c r="F1018" s="4" t="str">
        <f t="shared" si="57"/>
        <v>23|G|A</v>
      </c>
      <c r="G1018" s="14">
        <f>INDEX('Transition Stepwise'!$J$2:$J$1137,MATCH(F1018,'Transition Stepwise'!$E$2:$E$1137,0))</f>
        <v>0.33333333333333331</v>
      </c>
      <c r="H1018" s="14" t="e">
        <f>INDEX(Background!$D$12:$D$27,MATCH(C1018&amp;D1018,INDEX(Background!$A$12:$A$27,0)&amp;INDEX(Background!$B$12:$B$27,0),0))</f>
        <v>#VALUE!</v>
      </c>
      <c r="I1018" s="17" t="e">
        <f t="shared" si="58"/>
        <v>#VALUE!</v>
      </c>
    </row>
    <row r="1019" spans="1:9">
      <c r="A1019" s="4" t="s">
        <v>766</v>
      </c>
      <c r="B1019" s="4">
        <v>24</v>
      </c>
      <c r="C1019" s="4" t="s">
        <v>73</v>
      </c>
      <c r="D1019" s="4" t="s">
        <v>72</v>
      </c>
      <c r="E1019" s="4" t="s">
        <v>788</v>
      </c>
      <c r="F1019" s="4" t="str">
        <f t="shared" si="57"/>
        <v>24|A|U</v>
      </c>
      <c r="G1019" s="14">
        <f>INDEX('Transition Stepwise'!$J$2:$J$1137,MATCH(F1019,'Transition Stepwise'!$E$2:$E$1137,0))</f>
        <v>0.26829268292682928</v>
      </c>
      <c r="H1019" s="14" t="e">
        <f>INDEX(Background!$D$12:$D$27,MATCH(C1019&amp;D1019,INDEX(Background!$A$12:$A$27,0)&amp;INDEX(Background!$B$12:$B$27,0),0))</f>
        <v>#VALUE!</v>
      </c>
      <c r="I1019" s="17" t="e">
        <f t="shared" si="58"/>
        <v>#VALUE!</v>
      </c>
    </row>
    <row r="1020" spans="1:9">
      <c r="A1020" s="4" t="s">
        <v>766</v>
      </c>
      <c r="B1020" s="4">
        <v>25</v>
      </c>
      <c r="C1020" s="4" t="s">
        <v>72</v>
      </c>
      <c r="D1020" s="4" t="s">
        <v>73</v>
      </c>
      <c r="E1020" s="4" t="s">
        <v>788</v>
      </c>
      <c r="F1020" s="4" t="str">
        <f t="shared" si="57"/>
        <v>25|U|A</v>
      </c>
      <c r="G1020" s="14">
        <f>INDEX('Transition Stepwise'!$J$2:$J$1137,MATCH(F1020,'Transition Stepwise'!$E$2:$E$1137,0))</f>
        <v>0.16666666666666666</v>
      </c>
      <c r="H1020" s="14" t="e">
        <f>INDEX(Background!$D$12:$D$27,MATCH(C1020&amp;D1020,INDEX(Background!$A$12:$A$27,0)&amp;INDEX(Background!$B$12:$B$27,0),0))</f>
        <v>#VALUE!</v>
      </c>
      <c r="I1020" s="17" t="e">
        <f t="shared" si="58"/>
        <v>#VALUE!</v>
      </c>
    </row>
    <row r="1021" spans="1:9">
      <c r="A1021" s="4" t="s">
        <v>766</v>
      </c>
      <c r="B1021" s="4">
        <v>26</v>
      </c>
      <c r="C1021" s="4" t="s">
        <v>73</v>
      </c>
      <c r="D1021" s="4" t="s">
        <v>72</v>
      </c>
      <c r="E1021" s="4" t="s">
        <v>788</v>
      </c>
      <c r="F1021" s="4" t="str">
        <f t="shared" si="57"/>
        <v>26|A|U</v>
      </c>
      <c r="G1021" s="14">
        <f>INDEX('Transition Stepwise'!$J$2:$J$1137,MATCH(F1021,'Transition Stepwise'!$E$2:$E$1137,0))</f>
        <v>0.29545454545454547</v>
      </c>
      <c r="H1021" s="14" t="e">
        <f>INDEX(Background!$D$12:$D$27,MATCH(C1021&amp;D1021,INDEX(Background!$A$12:$A$27,0)&amp;INDEX(Background!$B$12:$B$27,0),0))</f>
        <v>#VALUE!</v>
      </c>
      <c r="I1021" s="17" t="e">
        <f t="shared" si="58"/>
        <v>#VALUE!</v>
      </c>
    </row>
    <row r="1022" spans="1:9">
      <c r="A1022" s="4" t="s">
        <v>766</v>
      </c>
      <c r="B1022" s="4">
        <v>27</v>
      </c>
      <c r="C1022" s="4" t="s">
        <v>72</v>
      </c>
      <c r="D1022" s="4" t="s">
        <v>72</v>
      </c>
      <c r="E1022" s="4" t="s">
        <v>788</v>
      </c>
      <c r="F1022" s="4" t="str">
        <f t="shared" si="57"/>
        <v>27|U|U</v>
      </c>
      <c r="G1022" s="14">
        <f>INDEX('Transition Stepwise'!$J$2:$J$1137,MATCH(F1022,'Transition Stepwise'!$E$2:$E$1137,0))</f>
        <v>0.3392857142857143</v>
      </c>
      <c r="H1022" s="14" t="e">
        <f>INDEX(Background!$D$12:$D$27,MATCH(C1022&amp;D1022,INDEX(Background!$A$12:$A$27,0)&amp;INDEX(Background!$B$12:$B$27,0),0))</f>
        <v>#VALUE!</v>
      </c>
      <c r="I1022" s="17" t="e">
        <f t="shared" si="58"/>
        <v>#VALUE!</v>
      </c>
    </row>
    <row r="1023" spans="1:9">
      <c r="A1023" s="4" t="s">
        <v>766</v>
      </c>
      <c r="B1023" s="4">
        <v>28</v>
      </c>
      <c r="C1023" s="4" t="s">
        <v>72</v>
      </c>
      <c r="D1023" s="4" t="s">
        <v>72</v>
      </c>
      <c r="E1023" s="4" t="s">
        <v>788</v>
      </c>
      <c r="F1023" s="4" t="str">
        <f t="shared" si="57"/>
        <v>28|U|U</v>
      </c>
      <c r="G1023" s="14">
        <f>INDEX('Transition Stepwise'!$J$2:$J$1137,MATCH(F1023,'Transition Stepwise'!$E$2:$E$1137,0))</f>
        <v>0.27272727272727271</v>
      </c>
      <c r="H1023" s="14" t="e">
        <f>INDEX(Background!$D$12:$D$27,MATCH(C1023&amp;D1023,INDEX(Background!$A$12:$A$27,0)&amp;INDEX(Background!$B$12:$B$27,0),0))</f>
        <v>#VALUE!</v>
      </c>
      <c r="I1023" s="17" t="e">
        <f t="shared" si="58"/>
        <v>#VALUE!</v>
      </c>
    </row>
    <row r="1024" spans="1:9">
      <c r="A1024" s="4" t="s">
        <v>766</v>
      </c>
      <c r="B1024" s="4">
        <v>29</v>
      </c>
      <c r="C1024" s="4" t="s">
        <v>72</v>
      </c>
      <c r="D1024" s="4" t="s">
        <v>73</v>
      </c>
      <c r="E1024" s="4" t="s">
        <v>788</v>
      </c>
      <c r="F1024" s="4" t="str">
        <f t="shared" si="57"/>
        <v>29|U|A</v>
      </c>
      <c r="G1024" s="14">
        <f>INDEX('Transition Stepwise'!$J$2:$J$1137,MATCH(F1024,'Transition Stepwise'!$E$2:$E$1137,0))</f>
        <v>1.6949152542372881E-2</v>
      </c>
      <c r="H1024" s="14" t="e">
        <f>INDEX(Background!$D$12:$D$27,MATCH(C1024&amp;D1024,INDEX(Background!$A$12:$A$27,0)&amp;INDEX(Background!$B$12:$B$27,0),0))</f>
        <v>#VALUE!</v>
      </c>
      <c r="I1024" s="17" t="e">
        <f t="shared" si="58"/>
        <v>#VALUE!</v>
      </c>
    </row>
    <row r="1025" spans="1:9">
      <c r="A1025" s="4" t="s">
        <v>766</v>
      </c>
      <c r="B1025" s="4">
        <v>30</v>
      </c>
      <c r="C1025" s="4" t="s">
        <v>73</v>
      </c>
      <c r="D1025" s="4" t="s">
        <v>72</v>
      </c>
      <c r="E1025" s="4" t="s">
        <v>788</v>
      </c>
      <c r="F1025" s="4" t="str">
        <f t="shared" si="57"/>
        <v>30|A|U</v>
      </c>
      <c r="G1025" s="14">
        <f>INDEX('Transition Stepwise'!$J$2:$J$1137,MATCH(F1025,'Transition Stepwise'!$E$2:$E$1137,0))</f>
        <v>0.25</v>
      </c>
      <c r="H1025" s="14" t="e">
        <f>INDEX(Background!$D$12:$D$27,MATCH(C1025&amp;D1025,INDEX(Background!$A$12:$A$27,0)&amp;INDEX(Background!$B$12:$B$27,0),0))</f>
        <v>#VALUE!</v>
      </c>
      <c r="I1025" s="17" t="e">
        <f t="shared" si="58"/>
        <v>#VALUE!</v>
      </c>
    </row>
    <row r="1026" spans="1:9">
      <c r="A1026" s="4" t="s">
        <v>766</v>
      </c>
      <c r="B1026" s="4">
        <v>31</v>
      </c>
      <c r="C1026" s="4" t="s">
        <v>72</v>
      </c>
      <c r="D1026" s="4" t="s">
        <v>73</v>
      </c>
      <c r="E1026" s="4" t="s">
        <v>788</v>
      </c>
      <c r="F1026" s="4" t="str">
        <f t="shared" si="57"/>
        <v>31|U|A</v>
      </c>
      <c r="G1026" s="14">
        <f>INDEX('Transition Stepwise'!$J$2:$J$1137,MATCH(F1026,'Transition Stepwise'!$E$2:$E$1137,0))</f>
        <v>4.3478260869565216E-2</v>
      </c>
      <c r="H1026" s="14" t="e">
        <f>INDEX(Background!$D$12:$D$27,MATCH(C1026&amp;D1026,INDEX(Background!$A$12:$A$27,0)&amp;INDEX(Background!$B$12:$B$27,0),0))</f>
        <v>#VALUE!</v>
      </c>
      <c r="I1026" s="17" t="e">
        <f t="shared" si="58"/>
        <v>#VALUE!</v>
      </c>
    </row>
    <row r="1027" spans="1:9">
      <c r="A1027" s="4" t="s">
        <v>766</v>
      </c>
      <c r="B1027" s="4">
        <v>32</v>
      </c>
      <c r="C1027" s="4" t="s">
        <v>73</v>
      </c>
      <c r="D1027" s="4" t="s">
        <v>71</v>
      </c>
      <c r="E1027" s="4" t="s">
        <v>788</v>
      </c>
      <c r="F1027" s="4" t="str">
        <f t="shared" si="57"/>
        <v>32|A|C</v>
      </c>
      <c r="G1027" s="14">
        <f>INDEX('Transition Stepwise'!$J$2:$J$1137,MATCH(F1027,'Transition Stepwise'!$E$2:$E$1137,0))</f>
        <v>0.1</v>
      </c>
      <c r="H1027" s="14" t="e">
        <f>INDEX(Background!$D$12:$D$27,MATCH(C1027&amp;D1027,INDEX(Background!$A$12:$A$27,0)&amp;INDEX(Background!$B$12:$B$27,0),0))</f>
        <v>#VALUE!</v>
      </c>
      <c r="I1027" s="17" t="e">
        <f t="shared" si="58"/>
        <v>#VALUE!</v>
      </c>
    </row>
    <row r="1028" spans="1:9">
      <c r="A1028" s="4" t="s">
        <v>766</v>
      </c>
      <c r="B1028" s="4">
        <v>33</v>
      </c>
      <c r="C1028" s="4" t="s">
        <v>71</v>
      </c>
      <c r="D1028" s="4" t="s">
        <v>71</v>
      </c>
      <c r="E1028" s="4" t="s">
        <v>788</v>
      </c>
      <c r="F1028" s="4" t="str">
        <f t="shared" si="57"/>
        <v>33|C|C</v>
      </c>
      <c r="G1028" s="14">
        <f>INDEX('Transition Stepwise'!$J$2:$J$1137,MATCH(F1028,'Transition Stepwise'!$E$2:$E$1137,0))</f>
        <v>0.4</v>
      </c>
      <c r="H1028" s="14" t="e">
        <f>INDEX(Background!$D$12:$D$27,MATCH(C1028&amp;D1028,INDEX(Background!$A$12:$A$27,0)&amp;INDEX(Background!$B$12:$B$27,0),0))</f>
        <v>#VALUE!</v>
      </c>
      <c r="I1028" s="17" t="e">
        <f t="shared" si="58"/>
        <v>#VALUE!</v>
      </c>
    </row>
    <row r="1029" spans="1:9">
      <c r="A1029" s="4" t="s">
        <v>766</v>
      </c>
      <c r="B1029" s="4">
        <v>34</v>
      </c>
      <c r="C1029" s="4" t="s">
        <v>71</v>
      </c>
      <c r="D1029" s="4" t="s">
        <v>72</v>
      </c>
      <c r="E1029" s="4" t="s">
        <v>788</v>
      </c>
      <c r="F1029" s="4" t="str">
        <f t="shared" si="57"/>
        <v>34|C|U</v>
      </c>
      <c r="G1029" s="14">
        <f>INDEX('Transition Stepwise'!$J$2:$J$1137,MATCH(F1029,'Transition Stepwise'!$E$2:$E$1137,0))</f>
        <v>0.18571428571428572</v>
      </c>
      <c r="H1029" s="14" t="e">
        <f>INDEX(Background!$D$12:$D$27,MATCH(C1029&amp;D1029,INDEX(Background!$A$12:$A$27,0)&amp;INDEX(Background!$B$12:$B$27,0),0))</f>
        <v>#VALUE!</v>
      </c>
      <c r="I1029" s="17" t="e">
        <f t="shared" si="58"/>
        <v>#VALUE!</v>
      </c>
    </row>
    <row r="1030" spans="1:9">
      <c r="A1030" s="4" t="s">
        <v>766</v>
      </c>
      <c r="B1030" s="4">
        <v>35</v>
      </c>
      <c r="C1030" s="4" t="s">
        <v>72</v>
      </c>
      <c r="D1030" s="4" t="s">
        <v>73</v>
      </c>
      <c r="E1030" s="4" t="s">
        <v>788</v>
      </c>
      <c r="F1030" s="4" t="str">
        <f t="shared" si="57"/>
        <v>35|U|A</v>
      </c>
      <c r="G1030" s="14">
        <f>INDEX('Transition Stepwise'!$J$2:$J$1137,MATCH(F1030,'Transition Stepwise'!$E$2:$E$1137,0))</f>
        <v>0.17777777777777778</v>
      </c>
      <c r="H1030" s="14" t="e">
        <f>INDEX(Background!$D$12:$D$27,MATCH(C1030&amp;D1030,INDEX(Background!$A$12:$A$27,0)&amp;INDEX(Background!$B$12:$B$27,0),0))</f>
        <v>#VALUE!</v>
      </c>
      <c r="I1030" s="17" t="e">
        <f t="shared" si="58"/>
        <v>#VALUE!</v>
      </c>
    </row>
    <row r="1031" spans="1:9">
      <c r="A1031" s="4" t="s">
        <v>766</v>
      </c>
      <c r="B1031" s="4">
        <v>36</v>
      </c>
      <c r="C1031" s="4" t="s">
        <v>73</v>
      </c>
      <c r="D1031" s="4" t="s">
        <v>70</v>
      </c>
      <c r="E1031" s="4" t="s">
        <v>788</v>
      </c>
      <c r="F1031" s="4" t="str">
        <f t="shared" si="57"/>
        <v>36|A|G</v>
      </c>
      <c r="G1031" s="14">
        <f>INDEX('Transition Stepwise'!$J$2:$J$1137,MATCH(F1031,'Transition Stepwise'!$E$2:$E$1137,0))</f>
        <v>0.38297872340425532</v>
      </c>
      <c r="H1031" s="14" t="e">
        <f>INDEX(Background!$D$12:$D$27,MATCH(C1031&amp;D1031,INDEX(Background!$A$12:$A$27,0)&amp;INDEX(Background!$B$12:$B$27,0),0))</f>
        <v>#VALUE!</v>
      </c>
      <c r="I1031" s="17" t="e">
        <f t="shared" si="58"/>
        <v>#VALUE!</v>
      </c>
    </row>
    <row r="1032" spans="1:9">
      <c r="A1032" s="4" t="s">
        <v>766</v>
      </c>
      <c r="B1032" s="4">
        <v>37</v>
      </c>
      <c r="C1032" s="4" t="s">
        <v>70</v>
      </c>
      <c r="D1032" s="4" t="s">
        <v>72</v>
      </c>
      <c r="E1032" s="4" t="s">
        <v>788</v>
      </c>
      <c r="F1032" s="4" t="str">
        <f t="shared" si="57"/>
        <v>37|G|U</v>
      </c>
      <c r="G1032" s="14">
        <f>INDEX('Transition Stepwise'!$J$2:$J$1137,MATCH(F1032,'Transition Stepwise'!$E$2:$E$1137,0))</f>
        <v>0.19230769230769232</v>
      </c>
      <c r="H1032" s="14" t="e">
        <f>INDEX(Background!$D$12:$D$27,MATCH(C1032&amp;D1032,INDEX(Background!$A$12:$A$27,0)&amp;INDEX(Background!$B$12:$B$27,0),0))</f>
        <v>#VALUE!</v>
      </c>
      <c r="I1032" s="17" t="e">
        <f t="shared" si="58"/>
        <v>#VALUE!</v>
      </c>
    </row>
    <row r="1033" spans="1:9">
      <c r="A1033" s="4" t="s">
        <v>766</v>
      </c>
      <c r="B1033" s="4">
        <v>38</v>
      </c>
      <c r="C1033" s="4" t="s">
        <v>72</v>
      </c>
      <c r="D1033" s="4" t="s">
        <v>70</v>
      </c>
      <c r="E1033" s="4" t="s">
        <v>788</v>
      </c>
      <c r="F1033" s="4" t="str">
        <f t="shared" si="57"/>
        <v>38|U|G</v>
      </c>
      <c r="G1033" s="14">
        <f>INDEX('Transition Stepwise'!$J$2:$J$1137,MATCH(F1033,'Transition Stepwise'!$E$2:$E$1137,0))</f>
        <v>0.55555555555555558</v>
      </c>
      <c r="H1033" s="14" t="e">
        <f>INDEX(Background!$D$12:$D$27,MATCH(C1033&amp;D1033,INDEX(Background!$A$12:$A$27,0)&amp;INDEX(Background!$B$12:$B$27,0),0))</f>
        <v>#VALUE!</v>
      </c>
      <c r="I1033" s="17" t="e">
        <f t="shared" si="58"/>
        <v>#VALUE!</v>
      </c>
    </row>
    <row r="1034" spans="1:9">
      <c r="A1034" s="4" t="s">
        <v>766</v>
      </c>
      <c r="B1034" s="4">
        <v>39</v>
      </c>
      <c r="C1034" s="4" t="s">
        <v>70</v>
      </c>
      <c r="D1034" s="4" t="s">
        <v>72</v>
      </c>
      <c r="E1034" s="4" t="s">
        <v>788</v>
      </c>
      <c r="F1034" s="4" t="str">
        <f t="shared" si="57"/>
        <v>39|G|U</v>
      </c>
      <c r="G1034" s="14">
        <f>INDEX('Transition Stepwise'!$J$2:$J$1137,MATCH(F1034,'Transition Stepwise'!$E$2:$E$1137,0))</f>
        <v>7.8947368421052627E-2</v>
      </c>
      <c r="H1034" s="14" t="e">
        <f>INDEX(Background!$D$12:$D$27,MATCH(C1034&amp;D1034,INDEX(Background!$A$12:$A$27,0)&amp;INDEX(Background!$B$12:$B$27,0),0))</f>
        <v>#VALUE!</v>
      </c>
      <c r="I1034" s="17" t="e">
        <f t="shared" si="58"/>
        <v>#VALUE!</v>
      </c>
    </row>
    <row r="1035" spans="1:9">
      <c r="A1035" s="4" t="s">
        <v>766</v>
      </c>
      <c r="B1035" s="4">
        <v>40</v>
      </c>
      <c r="C1035" s="4" t="s">
        <v>72</v>
      </c>
      <c r="D1035" s="4" t="s">
        <v>73</v>
      </c>
      <c r="E1035" s="4" t="s">
        <v>788</v>
      </c>
      <c r="F1035" s="4" t="str">
        <f t="shared" si="57"/>
        <v>40|U|A</v>
      </c>
      <c r="G1035" s="14">
        <f>INDEX('Transition Stepwise'!$J$2:$J$1137,MATCH(F1035,'Transition Stepwise'!$E$2:$E$1137,0))</f>
        <v>0.25</v>
      </c>
      <c r="H1035" s="14" t="e">
        <f>INDEX(Background!$D$12:$D$27,MATCH(C1035&amp;D1035,INDEX(Background!$A$12:$A$27,0)&amp;INDEX(Background!$B$12:$B$27,0),0))</f>
        <v>#VALUE!</v>
      </c>
      <c r="I1035" s="17" t="e">
        <f t="shared" si="58"/>
        <v>#VALUE!</v>
      </c>
    </row>
    <row r="1036" spans="1:9">
      <c r="A1036" s="4" t="s">
        <v>766</v>
      </c>
      <c r="B1036" s="4">
        <v>41</v>
      </c>
      <c r="C1036" s="4" t="s">
        <v>73</v>
      </c>
      <c r="D1036" s="4" t="s">
        <v>72</v>
      </c>
      <c r="E1036" s="4" t="s">
        <v>788</v>
      </c>
      <c r="F1036" s="4" t="str">
        <f t="shared" si="57"/>
        <v>41|A|U</v>
      </c>
      <c r="G1036" s="14">
        <f>INDEX('Transition Stepwise'!$J$2:$J$1137,MATCH(F1036,'Transition Stepwise'!$E$2:$E$1137,0))</f>
        <v>0.17241379310344829</v>
      </c>
      <c r="H1036" s="14" t="e">
        <f>INDEX(Background!$D$12:$D$27,MATCH(C1036&amp;D1036,INDEX(Background!$A$12:$A$27,0)&amp;INDEX(Background!$B$12:$B$27,0),0))</f>
        <v>#VALUE!</v>
      </c>
      <c r="I1036" s="17" t="e">
        <f t="shared" si="58"/>
        <v>#VALUE!</v>
      </c>
    </row>
    <row r="1037" spans="1:9">
      <c r="A1037" s="4" t="s">
        <v>766</v>
      </c>
      <c r="B1037" s="4">
        <v>42</v>
      </c>
      <c r="C1037" s="4" t="s">
        <v>72</v>
      </c>
      <c r="D1037" s="4" t="s">
        <v>73</v>
      </c>
      <c r="E1037" s="4" t="s">
        <v>788</v>
      </c>
      <c r="F1037" s="4" t="str">
        <f t="shared" si="57"/>
        <v>42|U|A</v>
      </c>
      <c r="G1037" s="14">
        <f>INDEX('Transition Stepwise'!$J$2:$J$1137,MATCH(F1037,'Transition Stepwise'!$E$2:$E$1137,0))</f>
        <v>0.1</v>
      </c>
      <c r="H1037" s="14" t="e">
        <f>INDEX(Background!$D$12:$D$27,MATCH(C1037&amp;D1037,INDEX(Background!$A$12:$A$27,0)&amp;INDEX(Background!$B$12:$B$27,0),0))</f>
        <v>#VALUE!</v>
      </c>
      <c r="I1037" s="17" t="e">
        <f t="shared" si="58"/>
        <v>#VALUE!</v>
      </c>
    </row>
    <row r="1038" spans="1:9">
      <c r="A1038" s="4" t="s">
        <v>766</v>
      </c>
      <c r="B1038" s="4">
        <v>43</v>
      </c>
      <c r="C1038" s="4" t="s">
        <v>73</v>
      </c>
      <c r="D1038" s="4" t="s">
        <v>70</v>
      </c>
      <c r="E1038" s="4" t="s">
        <v>788</v>
      </c>
      <c r="F1038" s="4" t="str">
        <f t="shared" si="57"/>
        <v>43|A|G</v>
      </c>
      <c r="G1038" s="14">
        <f>INDEX('Transition Stepwise'!$J$2:$J$1137,MATCH(F1038,'Transition Stepwise'!$E$2:$E$1137,0))</f>
        <v>0.2857142857142857</v>
      </c>
      <c r="H1038" s="14" t="e">
        <f>INDEX(Background!$D$12:$D$27,MATCH(C1038&amp;D1038,INDEX(Background!$A$12:$A$27,0)&amp;INDEX(Background!$B$12:$B$27,0),0))</f>
        <v>#VALUE!</v>
      </c>
      <c r="I1038" s="17" t="e">
        <f t="shared" si="58"/>
        <v>#VALUE!</v>
      </c>
    </row>
    <row r="1039" spans="1:9">
      <c r="A1039" s="4" t="s">
        <v>766</v>
      </c>
      <c r="B1039" s="4">
        <v>44</v>
      </c>
      <c r="C1039" s="4" t="s">
        <v>70</v>
      </c>
      <c r="D1039" s="4" t="s">
        <v>73</v>
      </c>
      <c r="E1039" s="4" t="s">
        <v>788</v>
      </c>
      <c r="F1039" s="4" t="str">
        <f t="shared" si="57"/>
        <v>44|G|A</v>
      </c>
      <c r="G1039" s="14">
        <f>INDEX('Transition Stepwise'!$J$2:$J$1137,MATCH(F1039,'Transition Stepwise'!$E$2:$E$1137,0))</f>
        <v>0.14000000000000001</v>
      </c>
      <c r="H1039" s="14" t="e">
        <f>INDEX(Background!$D$12:$D$27,MATCH(C1039&amp;D1039,INDEX(Background!$A$12:$A$27,0)&amp;INDEX(Background!$B$12:$B$27,0),0))</f>
        <v>#VALUE!</v>
      </c>
      <c r="I1039" s="17" t="e">
        <f t="shared" si="58"/>
        <v>#VALUE!</v>
      </c>
    </row>
    <row r="1040" spans="1:9">
      <c r="A1040" s="4" t="s">
        <v>766</v>
      </c>
      <c r="B1040" s="4">
        <v>45</v>
      </c>
      <c r="C1040" s="4" t="s">
        <v>73</v>
      </c>
      <c r="D1040" s="4" t="s">
        <v>73</v>
      </c>
      <c r="E1040" s="4" t="s">
        <v>788</v>
      </c>
      <c r="F1040" s="4" t="str">
        <f t="shared" si="57"/>
        <v>45|A|A</v>
      </c>
      <c r="G1040" s="14">
        <f>INDEX('Transition Stepwise'!$J$2:$J$1137,MATCH(F1040,'Transition Stepwise'!$E$2:$E$1137,0))</f>
        <v>7.6923076923076927E-2</v>
      </c>
      <c r="H1040" s="14" t="e">
        <f>INDEX(Background!$D$12:$D$27,MATCH(C1040&amp;D1040,INDEX(Background!$A$12:$A$27,0)&amp;INDEX(Background!$B$12:$B$27,0),0))</f>
        <v>#VALUE!</v>
      </c>
      <c r="I1040" s="17" t="e">
        <f t="shared" si="58"/>
        <v>#VALUE!</v>
      </c>
    </row>
    <row r="1041" spans="1:9">
      <c r="A1041" s="4" t="s">
        <v>766</v>
      </c>
      <c r="B1041" s="4">
        <v>46</v>
      </c>
      <c r="C1041" s="4" t="s">
        <v>73</v>
      </c>
      <c r="D1041" s="4" t="s">
        <v>70</v>
      </c>
      <c r="E1041" s="4" t="s">
        <v>788</v>
      </c>
      <c r="F1041" s="4" t="str">
        <f t="shared" si="57"/>
        <v>46|A|G</v>
      </c>
      <c r="G1041" s="14">
        <f>INDEX('Transition Stepwise'!$J$2:$J$1137,MATCH(F1041,'Transition Stepwise'!$E$2:$E$1137,0))</f>
        <v>0.1</v>
      </c>
      <c r="H1041" s="14" t="e">
        <f>INDEX(Background!$D$12:$D$27,MATCH(C1041&amp;D1041,INDEX(Background!$A$12:$A$27,0)&amp;INDEX(Background!$B$12:$B$27,0),0))</f>
        <v>#VALUE!</v>
      </c>
      <c r="I1041" s="17" t="e">
        <f t="shared" si="58"/>
        <v>#VALUE!</v>
      </c>
    </row>
    <row r="1042" spans="1:9">
      <c r="A1042" s="4" t="s">
        <v>766</v>
      </c>
      <c r="B1042" s="4">
        <v>47</v>
      </c>
      <c r="C1042" s="4" t="s">
        <v>70</v>
      </c>
      <c r="D1042" s="4" t="s">
        <v>73</v>
      </c>
      <c r="E1042" s="4" t="s">
        <v>788</v>
      </c>
      <c r="F1042" s="4" t="str">
        <f t="shared" si="57"/>
        <v>47|G|A</v>
      </c>
      <c r="G1042" s="14">
        <f>INDEX('Transition Stepwise'!$J$2:$J$1137,MATCH(F1042,'Transition Stepwise'!$E$2:$E$1137,0))</f>
        <v>0.05</v>
      </c>
      <c r="H1042" s="14" t="e">
        <f>INDEX(Background!$D$12:$D$27,MATCH(C1042&amp;D1042,INDEX(Background!$A$12:$A$27,0)&amp;INDEX(Background!$B$12:$B$27,0),0))</f>
        <v>#VALUE!</v>
      </c>
      <c r="I1042" s="17" t="e">
        <f t="shared" si="58"/>
        <v>#VALUE!</v>
      </c>
    </row>
    <row r="1043" spans="1:9">
      <c r="A1043" s="4" t="s">
        <v>766</v>
      </c>
      <c r="B1043" s="4">
        <v>48</v>
      </c>
      <c r="C1043" s="4" t="s">
        <v>73</v>
      </c>
      <c r="D1043" s="4" t="s">
        <v>73</v>
      </c>
      <c r="E1043" s="4" t="s">
        <v>788</v>
      </c>
      <c r="F1043" s="4" t="str">
        <f t="shared" si="57"/>
        <v>48|A|A</v>
      </c>
      <c r="G1043" s="14">
        <f>INDEX('Transition Stepwise'!$J$2:$J$1137,MATCH(F1043,'Transition Stepwise'!$E$2:$E$1137,0))</f>
        <v>0.4</v>
      </c>
      <c r="H1043" s="14" t="e">
        <f>INDEX(Background!$D$12:$D$27,MATCH(C1043&amp;D1043,INDEX(Background!$A$12:$A$27,0)&amp;INDEX(Background!$B$12:$B$27,0),0))</f>
        <v>#VALUE!</v>
      </c>
      <c r="I1043" s="17" t="e">
        <f t="shared" si="58"/>
        <v>#VALUE!</v>
      </c>
    </row>
    <row r="1044" spans="1:9">
      <c r="A1044" s="4" t="s">
        <v>766</v>
      </c>
      <c r="B1044" s="4">
        <v>49</v>
      </c>
      <c r="C1044" s="4" t="s">
        <v>73</v>
      </c>
      <c r="D1044" s="4" t="s">
        <v>70</v>
      </c>
      <c r="E1044" s="4" t="s">
        <v>788</v>
      </c>
      <c r="F1044" s="4" t="str">
        <f t="shared" si="57"/>
        <v>49|A|G</v>
      </c>
      <c r="G1044" s="14">
        <f>INDEX('Transition Stepwise'!$J$2:$J$1137,MATCH(F1044,'Transition Stepwise'!$E$2:$E$1137,0))</f>
        <v>0.25714285714285712</v>
      </c>
      <c r="H1044" s="14" t="e">
        <f>INDEX(Background!$D$12:$D$27,MATCH(C1044&amp;D1044,INDEX(Background!$A$12:$A$27,0)&amp;INDEX(Background!$B$12:$B$27,0),0))</f>
        <v>#VALUE!</v>
      </c>
      <c r="I1044" s="17" t="e">
        <f t="shared" si="58"/>
        <v>#VALUE!</v>
      </c>
    </row>
    <row r="1045" spans="1:9">
      <c r="A1045" s="4" t="s">
        <v>766</v>
      </c>
      <c r="B1045" s="4">
        <v>50</v>
      </c>
      <c r="C1045" s="4" t="s">
        <v>70</v>
      </c>
      <c r="D1045" s="4" t="s">
        <v>73</v>
      </c>
      <c r="E1045" s="4" t="s">
        <v>788</v>
      </c>
      <c r="F1045" s="4" t="str">
        <f t="shared" si="57"/>
        <v>50|G|A</v>
      </c>
      <c r="G1045" s="14">
        <f>INDEX('Transition Stepwise'!$J$2:$J$1137,MATCH(F1045,'Transition Stepwise'!$E$2:$E$1137,0))</f>
        <v>8.771929824561403E-2</v>
      </c>
      <c r="H1045" s="14" t="e">
        <f>INDEX(Background!$D$12:$D$27,MATCH(C1045&amp;D1045,INDEX(Background!$A$12:$A$27,0)&amp;INDEX(Background!$B$12:$B$27,0),0))</f>
        <v>#VALUE!</v>
      </c>
      <c r="I1045" s="17" t="e">
        <f t="shared" si="58"/>
        <v>#VALUE!</v>
      </c>
    </row>
    <row r="1046" spans="1:9">
      <c r="A1046" s="4" t="s">
        <v>766</v>
      </c>
      <c r="B1046" s="4">
        <v>51</v>
      </c>
      <c r="C1046" s="4" t="s">
        <v>73</v>
      </c>
      <c r="D1046" s="4" t="s">
        <v>73</v>
      </c>
      <c r="E1046" s="4" t="s">
        <v>788</v>
      </c>
      <c r="F1046" s="4" t="str">
        <f t="shared" si="57"/>
        <v>51|A|A</v>
      </c>
      <c r="G1046" s="14">
        <f>INDEX('Transition Stepwise'!$J$2:$J$1137,MATCH(F1046,'Transition Stepwise'!$E$2:$E$1137,0))</f>
        <v>6.25E-2</v>
      </c>
      <c r="H1046" s="14" t="e">
        <f>INDEX(Background!$D$12:$D$27,MATCH(C1046&amp;D1046,INDEX(Background!$A$12:$A$27,0)&amp;INDEX(Background!$B$12:$B$27,0),0))</f>
        <v>#VALUE!</v>
      </c>
      <c r="I1046" s="17" t="e">
        <f t="shared" si="58"/>
        <v>#VALUE!</v>
      </c>
    </row>
    <row r="1047" spans="1:9">
      <c r="A1047" s="4" t="s">
        <v>766</v>
      </c>
      <c r="B1047" s="4">
        <v>52</v>
      </c>
      <c r="C1047" s="4" t="s">
        <v>73</v>
      </c>
      <c r="D1047" s="4" t="s">
        <v>70</v>
      </c>
      <c r="E1047" s="4" t="s">
        <v>788</v>
      </c>
      <c r="F1047" s="4" t="str">
        <f t="shared" si="57"/>
        <v>52|A|G</v>
      </c>
      <c r="G1047" s="14">
        <f>INDEX('Transition Stepwise'!$J$2:$J$1137,MATCH(F1047,'Transition Stepwise'!$E$2:$E$1137,0))</f>
        <v>0.9</v>
      </c>
      <c r="H1047" s="14" t="e">
        <f>INDEX(Background!$D$12:$D$27,MATCH(C1047&amp;D1047,INDEX(Background!$A$12:$A$27,0)&amp;INDEX(Background!$B$12:$B$27,0),0))</f>
        <v>#VALUE!</v>
      </c>
      <c r="I1047" s="17" t="e">
        <f t="shared" si="58"/>
        <v>#VALUE!</v>
      </c>
    </row>
    <row r="1048" spans="1:9">
      <c r="A1048" s="4" t="s">
        <v>766</v>
      </c>
      <c r="B1048" s="4">
        <v>53</v>
      </c>
      <c r="C1048" s="4" t="s">
        <v>70</v>
      </c>
      <c r="D1048" s="4" t="s">
        <v>72</v>
      </c>
      <c r="E1048" s="4" t="s">
        <v>788</v>
      </c>
      <c r="F1048" s="4" t="str">
        <f t="shared" si="57"/>
        <v>53|G|U</v>
      </c>
      <c r="G1048" s="14">
        <f>INDEX('Transition Stepwise'!$J$2:$J$1137,MATCH(F1048,'Transition Stepwise'!$E$2:$E$1137,0))</f>
        <v>0.97499999999999998</v>
      </c>
      <c r="H1048" s="14" t="e">
        <f>INDEX(Background!$D$12:$D$27,MATCH(C1048&amp;D1048,INDEX(Background!$A$12:$A$27,0)&amp;INDEX(Background!$B$12:$B$27,0),0))</f>
        <v>#VALUE!</v>
      </c>
      <c r="I1048" s="17" t="e">
        <f t="shared" si="58"/>
        <v>#VALUE!</v>
      </c>
    </row>
    <row r="1049" spans="1:9">
      <c r="A1049" s="4" t="s">
        <v>766</v>
      </c>
      <c r="B1049" s="4">
        <v>54</v>
      </c>
      <c r="C1049" s="4" t="s">
        <v>72</v>
      </c>
      <c r="D1049" s="4" t="s">
        <v>71</v>
      </c>
      <c r="E1049" s="4" t="s">
        <v>788</v>
      </c>
      <c r="F1049" s="4" t="str">
        <f t="shared" si="57"/>
        <v>54|U|C</v>
      </c>
      <c r="G1049" s="14">
        <f>INDEX('Transition Stepwise'!$J$2:$J$1137,MATCH(F1049,'Transition Stepwise'!$E$2:$E$1137,0))</f>
        <v>9.9009900990099011E-3</v>
      </c>
      <c r="H1049" s="14" t="e">
        <f>INDEX(Background!$D$12:$D$27,MATCH(C1049&amp;D1049,INDEX(Background!$A$12:$A$27,0)&amp;INDEX(Background!$B$12:$B$27,0),0))</f>
        <v>#VALUE!</v>
      </c>
      <c r="I1049" s="17" t="e">
        <f t="shared" si="58"/>
        <v>#VALUE!</v>
      </c>
    </row>
    <row r="1050" spans="1:9">
      <c r="A1050" s="4" t="s">
        <v>766</v>
      </c>
      <c r="B1050" s="4">
        <v>55</v>
      </c>
      <c r="C1050" s="4" t="s">
        <v>71</v>
      </c>
      <c r="D1050" s="4" t="s">
        <v>71</v>
      </c>
      <c r="E1050" s="4" t="s">
        <v>788</v>
      </c>
      <c r="F1050" s="4" t="str">
        <f t="shared" si="57"/>
        <v>55|C|C</v>
      </c>
      <c r="G1050" s="14">
        <f>INDEX('Transition Stepwise'!$J$2:$J$1137,MATCH(F1050,'Transition Stepwise'!$E$2:$E$1137,0))</f>
        <v>0.2</v>
      </c>
      <c r="H1050" s="14" t="e">
        <f>INDEX(Background!$D$12:$D$27,MATCH(C1050&amp;D1050,INDEX(Background!$A$12:$A$27,0)&amp;INDEX(Background!$B$12:$B$27,0),0))</f>
        <v>#VALUE!</v>
      </c>
      <c r="I1050" s="17" t="e">
        <f t="shared" si="58"/>
        <v>#VALUE!</v>
      </c>
    </row>
    <row r="1051" spans="1:9">
      <c r="A1051" s="4" t="s">
        <v>766</v>
      </c>
      <c r="B1051" s="4">
        <v>56</v>
      </c>
      <c r="C1051" s="4" t="s">
        <v>71</v>
      </c>
      <c r="D1051" s="4" t="s">
        <v>72</v>
      </c>
      <c r="E1051" s="4" t="s">
        <v>788</v>
      </c>
      <c r="F1051" s="4" t="str">
        <f t="shared" si="57"/>
        <v>56|C|U</v>
      </c>
      <c r="G1051" s="14">
        <f>INDEX('Transition Stepwise'!$J$2:$J$1137,MATCH(F1051,'Transition Stepwise'!$E$2:$E$1137,0))</f>
        <v>5.0000000000000001E-3</v>
      </c>
      <c r="H1051" s="14" t="e">
        <f>INDEX(Background!$D$12:$D$27,MATCH(C1051&amp;D1051,INDEX(Background!$A$12:$A$27,0)&amp;INDEX(Background!$B$12:$B$27,0),0))</f>
        <v>#VALUE!</v>
      </c>
      <c r="I1051" s="17" t="e">
        <f t="shared" si="58"/>
        <v>#VALUE!</v>
      </c>
    </row>
    <row r="1052" spans="1:9">
      <c r="A1052" s="4" t="s">
        <v>766</v>
      </c>
      <c r="B1052" s="4">
        <v>57</v>
      </c>
      <c r="C1052" s="4" t="s">
        <v>72</v>
      </c>
      <c r="D1052" s="4" t="s">
        <v>73</v>
      </c>
      <c r="E1052" s="4" t="s">
        <v>788</v>
      </c>
      <c r="F1052" s="4" t="str">
        <f t="shared" si="57"/>
        <v>57|U|A</v>
      </c>
      <c r="G1052" s="14">
        <f>INDEX('Transition Stepwise'!$J$2:$J$1137,MATCH(F1052,'Transition Stepwise'!$E$2:$E$1137,0))</f>
        <v>0.2</v>
      </c>
      <c r="H1052" s="14" t="e">
        <f>INDEX(Background!$D$12:$D$27,MATCH(C1052&amp;D1052,INDEX(Background!$A$12:$A$27,0)&amp;INDEX(Background!$B$12:$B$27,0),0))</f>
        <v>#VALUE!</v>
      </c>
      <c r="I1052" s="17" t="e">
        <f t="shared" si="58"/>
        <v>#VALUE!</v>
      </c>
    </row>
    <row r="1053" spans="1:9">
      <c r="A1053" s="4" t="s">
        <v>766</v>
      </c>
      <c r="B1053" s="4">
        <v>58</v>
      </c>
      <c r="C1053" s="4" t="s">
        <v>73</v>
      </c>
      <c r="D1053" s="4" t="s">
        <v>70</v>
      </c>
      <c r="E1053" s="4" t="s">
        <v>788</v>
      </c>
      <c r="F1053" s="4" t="str">
        <f t="shared" si="57"/>
        <v>58|A|G</v>
      </c>
      <c r="G1053" s="14">
        <f>INDEX('Transition Stepwise'!$J$2:$J$1137,MATCH(F1053,'Transition Stepwise'!$E$2:$E$1137,0))</f>
        <v>0.23762376237623761</v>
      </c>
      <c r="H1053" s="14" t="e">
        <f>INDEX(Background!$D$12:$D$27,MATCH(C1053&amp;D1053,INDEX(Background!$A$12:$A$27,0)&amp;INDEX(Background!$B$12:$B$27,0),0))</f>
        <v>#VALUE!</v>
      </c>
      <c r="I1053" s="17" t="e">
        <f t="shared" si="58"/>
        <v>#VALUE!</v>
      </c>
    </row>
    <row r="1054" spans="1:9">
      <c r="A1054" s="4" t="s">
        <v>766</v>
      </c>
      <c r="B1054" s="4">
        <v>59</v>
      </c>
      <c r="C1054" s="4" t="s">
        <v>70</v>
      </c>
      <c r="D1054" s="4" t="s">
        <v>72</v>
      </c>
      <c r="E1054" s="4" t="s">
        <v>788</v>
      </c>
      <c r="F1054" s="4" t="str">
        <f t="shared" si="57"/>
        <v>59|G|U</v>
      </c>
      <c r="G1054" s="14">
        <f>INDEX('Transition Stepwise'!$J$2:$J$1137,MATCH(F1054,'Transition Stepwise'!$E$2:$E$1137,0))</f>
        <v>0.82352941176470584</v>
      </c>
      <c r="H1054" s="14" t="e">
        <f>INDEX(Background!$D$12:$D$27,MATCH(C1054&amp;D1054,INDEX(Background!$A$12:$A$27,0)&amp;INDEX(Background!$B$12:$B$27,0),0))</f>
        <v>#VALUE!</v>
      </c>
      <c r="I1054" s="17" t="e">
        <f t="shared" si="58"/>
        <v>#VALUE!</v>
      </c>
    </row>
    <row r="1055" spans="1:9">
      <c r="A1055" s="4" t="s">
        <v>766</v>
      </c>
      <c r="B1055" s="4">
        <v>60</v>
      </c>
      <c r="C1055" s="4" t="s">
        <v>72</v>
      </c>
      <c r="D1055" s="4" t="s">
        <v>71</v>
      </c>
      <c r="E1055" s="4" t="s">
        <v>788</v>
      </c>
      <c r="F1055" s="4" t="str">
        <f t="shared" si="57"/>
        <v>60|U|C</v>
      </c>
      <c r="G1055" s="14">
        <f>INDEX('Transition Stepwise'!$J$2:$J$1137,MATCH(F1055,'Transition Stepwise'!$E$2:$E$1137,0))</f>
        <v>0.97515527950310554</v>
      </c>
      <c r="H1055" s="14" t="e">
        <f>INDEX(Background!$D$12:$D$27,MATCH(C1055&amp;D1055,INDEX(Background!$A$12:$A$27,0)&amp;INDEX(Background!$B$12:$B$27,0),0))</f>
        <v>#VALUE!</v>
      </c>
      <c r="I1055" s="17" t="e">
        <f t="shared" si="58"/>
        <v>#VALUE!</v>
      </c>
    </row>
    <row r="1056" spans="1:9">
      <c r="A1056" s="4" t="s">
        <v>766</v>
      </c>
      <c r="B1056" s="4">
        <v>61</v>
      </c>
      <c r="C1056" s="4" t="s">
        <v>71</v>
      </c>
      <c r="D1056" s="4" t="s">
        <v>72</v>
      </c>
      <c r="E1056" s="4" t="s">
        <v>788</v>
      </c>
      <c r="F1056" s="4" t="str">
        <f t="shared" si="57"/>
        <v>61|C|U</v>
      </c>
      <c r="G1056" s="14">
        <f>INDEX('Transition Stepwise'!$J$2:$J$1137,MATCH(F1056,'Transition Stepwise'!$E$2:$E$1137,0))</f>
        <v>0.12871287128712872</v>
      </c>
      <c r="H1056" s="14" t="e">
        <f>INDEX(Background!$D$12:$D$27,MATCH(C1056&amp;D1056,INDEX(Background!$A$12:$A$27,0)&amp;INDEX(Background!$B$12:$B$27,0),0))</f>
        <v>#VALUE!</v>
      </c>
      <c r="I1056" s="17" t="e">
        <f t="shared" si="58"/>
        <v>#VALUE!</v>
      </c>
    </row>
    <row r="1057" spans="1:9">
      <c r="A1057" s="4" t="s">
        <v>766</v>
      </c>
      <c r="B1057" s="4">
        <v>62</v>
      </c>
      <c r="C1057" s="4" t="s">
        <v>72</v>
      </c>
      <c r="D1057" s="4" t="s">
        <v>72</v>
      </c>
      <c r="E1057" s="4" t="s">
        <v>788</v>
      </c>
      <c r="F1057" s="4" t="str">
        <f t="shared" si="57"/>
        <v>62|U|U</v>
      </c>
      <c r="G1057" s="14">
        <f>INDEX('Transition Stepwise'!$J$2:$J$1137,MATCH(F1057,'Transition Stepwise'!$E$2:$E$1137,0))</f>
        <v>0.1</v>
      </c>
      <c r="H1057" s="14" t="e">
        <f>INDEX(Background!$D$12:$D$27,MATCH(C1057&amp;D1057,INDEX(Background!$A$12:$A$27,0)&amp;INDEX(Background!$B$12:$B$27,0),0))</f>
        <v>#VALUE!</v>
      </c>
      <c r="I1057" s="17" t="e">
        <f t="shared" si="58"/>
        <v>#VALUE!</v>
      </c>
    </row>
    <row r="1058" spans="1:9">
      <c r="A1058" s="4" t="s">
        <v>766</v>
      </c>
      <c r="B1058" s="4">
        <v>63</v>
      </c>
      <c r="C1058" s="4" t="s">
        <v>72</v>
      </c>
      <c r="D1058" s="4" t="s">
        <v>72</v>
      </c>
      <c r="E1058" s="4" t="s">
        <v>788</v>
      </c>
      <c r="F1058" s="4" t="str">
        <f t="shared" si="57"/>
        <v>63|U|U</v>
      </c>
      <c r="G1058" s="14">
        <f>INDEX('Transition Stepwise'!$J$2:$J$1137,MATCH(F1058,'Transition Stepwise'!$E$2:$E$1137,0))</f>
        <v>0.1388888888888889</v>
      </c>
      <c r="H1058" s="14" t="e">
        <f>INDEX(Background!$D$12:$D$27,MATCH(C1058&amp;D1058,INDEX(Background!$A$12:$A$27,0)&amp;INDEX(Background!$B$12:$B$27,0),0))</f>
        <v>#VALUE!</v>
      </c>
      <c r="I1058" s="17" t="e">
        <f t="shared" si="58"/>
        <v>#VALUE!</v>
      </c>
    </row>
    <row r="1059" spans="1:9">
      <c r="A1059" s="4" t="s">
        <v>766</v>
      </c>
      <c r="B1059" s="4">
        <v>64</v>
      </c>
      <c r="C1059" s="4" t="s">
        <v>72</v>
      </c>
      <c r="D1059" s="4" t="s">
        <v>72</v>
      </c>
      <c r="E1059" s="4" t="s">
        <v>788</v>
      </c>
      <c r="F1059" s="4" t="str">
        <f t="shared" si="57"/>
        <v>64|U|U</v>
      </c>
      <c r="G1059" s="14">
        <f>INDEX('Transition Stepwise'!$J$2:$J$1137,MATCH(F1059,'Transition Stepwise'!$E$2:$E$1137,0))</f>
        <v>0.29729729729729731</v>
      </c>
      <c r="H1059" s="14" t="e">
        <f>INDEX(Background!$D$12:$D$27,MATCH(C1059&amp;D1059,INDEX(Background!$A$12:$A$27,0)&amp;INDEX(Background!$B$12:$B$27,0),0))</f>
        <v>#VALUE!</v>
      </c>
      <c r="I1059" s="17" t="e">
        <f t="shared" si="58"/>
        <v>#VALUE!</v>
      </c>
    </row>
    <row r="1060" spans="1:9">
      <c r="A1060" s="4" t="s">
        <v>766</v>
      </c>
      <c r="B1060" s="4">
        <v>65</v>
      </c>
      <c r="C1060" s="4" t="s">
        <v>72</v>
      </c>
      <c r="D1060" s="4" t="s">
        <v>72</v>
      </c>
      <c r="E1060" s="4" t="s">
        <v>788</v>
      </c>
      <c r="F1060" s="4" t="str">
        <f t="shared" si="57"/>
        <v>65|U|U</v>
      </c>
      <c r="G1060" s="14">
        <f>INDEX('Transition Stepwise'!$J$2:$J$1137,MATCH(F1060,'Transition Stepwise'!$E$2:$E$1137,0))</f>
        <v>0.1891891891891892</v>
      </c>
      <c r="H1060" s="14" t="e">
        <f>INDEX(Background!$D$12:$D$27,MATCH(C1060&amp;D1060,INDEX(Background!$A$12:$A$27,0)&amp;INDEX(Background!$B$12:$B$27,0),0))</f>
        <v>#VALUE!</v>
      </c>
      <c r="I1060" s="17" t="e">
        <f t="shared" si="58"/>
        <v>#VALUE!</v>
      </c>
    </row>
    <row r="1061" spans="1:9">
      <c r="A1061" s="4" t="s">
        <v>766</v>
      </c>
      <c r="B1061" s="4">
        <v>66</v>
      </c>
      <c r="C1061" s="4" t="s">
        <v>72</v>
      </c>
      <c r="D1061" s="4" t="s">
        <v>71</v>
      </c>
      <c r="E1061" s="4" t="s">
        <v>788</v>
      </c>
      <c r="F1061" s="4" t="str">
        <f t="shared" si="57"/>
        <v>66|U|C</v>
      </c>
      <c r="G1061" s="14">
        <f>INDEX('Transition Stepwise'!$J$2:$J$1137,MATCH(F1061,'Transition Stepwise'!$E$2:$E$1137,0))</f>
        <v>0.20370370370370369</v>
      </c>
      <c r="H1061" s="14" t="e">
        <f>INDEX(Background!$D$12:$D$27,MATCH(C1061&amp;D1061,INDEX(Background!$A$12:$A$27,0)&amp;INDEX(Background!$B$12:$B$27,0),0))</f>
        <v>#VALUE!</v>
      </c>
      <c r="I1061" s="17" t="e">
        <f t="shared" si="58"/>
        <v>#VALUE!</v>
      </c>
    </row>
    <row r="1062" spans="1:9">
      <c r="A1062" s="4" t="s">
        <v>766</v>
      </c>
      <c r="B1062" s="4">
        <v>67</v>
      </c>
      <c r="C1062" s="4" t="s">
        <v>71</v>
      </c>
      <c r="D1062" s="4" t="s">
        <v>73</v>
      </c>
      <c r="E1062" s="4" t="s">
        <v>788</v>
      </c>
      <c r="F1062" s="4" t="str">
        <f t="shared" ref="F1062:F1125" si="59">B1062&amp;"|"&amp;C1062&amp;"|"&amp;D1062</f>
        <v>67|C|A</v>
      </c>
      <c r="G1062" s="14">
        <f>INDEX('Transition Stepwise'!$J$2:$J$1137,MATCH(F1062,'Transition Stepwise'!$E$2:$E$1137,0))</f>
        <v>0.16326530612244897</v>
      </c>
      <c r="H1062" s="14" t="e">
        <f>INDEX(Background!$D$12:$D$27,MATCH(C1062&amp;D1062,INDEX(Background!$A$12:$A$27,0)&amp;INDEX(Background!$B$12:$B$27,0),0))</f>
        <v>#VALUE!</v>
      </c>
      <c r="I1062" s="17" t="e">
        <f t="shared" ref="I1062:I1125" si="60">LN(G1062/H1062)</f>
        <v>#VALUE!</v>
      </c>
    </row>
    <row r="1063" spans="1:9">
      <c r="A1063" s="4" t="s">
        <v>766</v>
      </c>
      <c r="B1063" s="4">
        <v>68</v>
      </c>
      <c r="C1063" s="4" t="s">
        <v>73</v>
      </c>
      <c r="D1063" s="4" t="s">
        <v>72</v>
      </c>
      <c r="E1063" s="4" t="s">
        <v>788</v>
      </c>
      <c r="F1063" s="4" t="str">
        <f t="shared" si="59"/>
        <v>68|A|U</v>
      </c>
      <c r="G1063" s="14">
        <f>INDEX('Transition Stepwise'!$J$2:$J$1137,MATCH(F1063,'Transition Stepwise'!$E$2:$E$1137,0))</f>
        <v>0.10526315789473684</v>
      </c>
      <c r="H1063" s="14" t="e">
        <f>INDEX(Background!$D$12:$D$27,MATCH(C1063&amp;D1063,INDEX(Background!$A$12:$A$27,0)&amp;INDEX(Background!$B$12:$B$27,0),0))</f>
        <v>#VALUE!</v>
      </c>
      <c r="I1063" s="17" t="e">
        <f t="shared" si="60"/>
        <v>#VALUE!</v>
      </c>
    </row>
    <row r="1064" spans="1:9">
      <c r="A1064" s="4" t="s">
        <v>766</v>
      </c>
      <c r="B1064" s="4">
        <v>69</v>
      </c>
      <c r="C1064" s="4" t="s">
        <v>72</v>
      </c>
      <c r="D1064" s="4" t="s">
        <v>72</v>
      </c>
      <c r="E1064" s="4" t="s">
        <v>788</v>
      </c>
      <c r="F1064" s="4" t="str">
        <f t="shared" si="59"/>
        <v>69|U|U</v>
      </c>
      <c r="G1064" s="14">
        <f>INDEX('Transition Stepwise'!$J$2:$J$1137,MATCH(F1064,'Transition Stepwise'!$E$2:$E$1137,0))</f>
        <v>0.14285714285714285</v>
      </c>
      <c r="H1064" s="14" t="e">
        <f>INDEX(Background!$D$12:$D$27,MATCH(C1064&amp;D1064,INDEX(Background!$A$12:$A$27,0)&amp;INDEX(Background!$B$12:$B$27,0),0))</f>
        <v>#VALUE!</v>
      </c>
      <c r="I1064" s="17" t="e">
        <f t="shared" si="60"/>
        <v>#VALUE!</v>
      </c>
    </row>
    <row r="1065" spans="1:9">
      <c r="A1065" s="4" t="s">
        <v>766</v>
      </c>
      <c r="B1065" s="4">
        <v>70</v>
      </c>
      <c r="C1065" s="4" t="s">
        <v>72</v>
      </c>
      <c r="D1065" s="4" t="s">
        <v>73</v>
      </c>
      <c r="E1065" s="4" t="s">
        <v>788</v>
      </c>
      <c r="F1065" s="4" t="str">
        <f t="shared" si="59"/>
        <v>70|U|A</v>
      </c>
      <c r="G1065" s="14">
        <f>INDEX('Transition Stepwise'!$J$2:$J$1137,MATCH(F1065,'Transition Stepwise'!$E$2:$E$1137,0))</f>
        <v>2.9411764705882353E-2</v>
      </c>
      <c r="H1065" s="14" t="e">
        <f>INDEX(Background!$D$12:$D$27,MATCH(C1065&amp;D1065,INDEX(Background!$A$12:$A$27,0)&amp;INDEX(Background!$B$12:$B$27,0),0))</f>
        <v>#VALUE!</v>
      </c>
      <c r="I1065" s="17" t="e">
        <f t="shared" si="60"/>
        <v>#VALUE!</v>
      </c>
    </row>
    <row r="1066" spans="1:9">
      <c r="A1066" s="4" t="s">
        <v>766</v>
      </c>
      <c r="B1066" s="4">
        <v>71</v>
      </c>
      <c r="C1066" s="4" t="s">
        <v>73</v>
      </c>
      <c r="D1066" s="4" t="s">
        <v>70</v>
      </c>
      <c r="E1066" s="4" t="s">
        <v>788</v>
      </c>
      <c r="F1066" s="4" t="str">
        <f t="shared" si="59"/>
        <v>71|A|G</v>
      </c>
      <c r="G1066" s="14">
        <f>INDEX('Transition Stepwise'!$J$2:$J$1137,MATCH(F1066,'Transition Stepwise'!$E$2:$E$1137,0))</f>
        <v>0.22222222222222221</v>
      </c>
      <c r="H1066" s="14" t="e">
        <f>INDEX(Background!$D$12:$D$27,MATCH(C1066&amp;D1066,INDEX(Background!$A$12:$A$27,0)&amp;INDEX(Background!$B$12:$B$27,0),0))</f>
        <v>#VALUE!</v>
      </c>
      <c r="I1066" s="17" t="e">
        <f t="shared" si="60"/>
        <v>#VALUE!</v>
      </c>
    </row>
    <row r="1067" spans="1:9">
      <c r="A1067" s="4" t="s">
        <v>767</v>
      </c>
      <c r="B1067" s="4">
        <v>1</v>
      </c>
      <c r="C1067" s="4" t="s">
        <v>72</v>
      </c>
      <c r="D1067" s="4" t="s">
        <v>72</v>
      </c>
      <c r="E1067" s="4" t="s">
        <v>788</v>
      </c>
      <c r="F1067" s="4" t="str">
        <f t="shared" si="59"/>
        <v>1|U|U</v>
      </c>
      <c r="G1067" s="14">
        <f>INDEX('Transition Stepwise'!$J$2:$J$1137,MATCH(F1067,'Transition Stepwise'!$E$2:$E$1137,0))</f>
        <v>5.8823529411764705E-2</v>
      </c>
      <c r="H1067" s="14" t="e">
        <f>INDEX(Background!$D$12:$D$27,MATCH(C1067&amp;D1067,INDEX(Background!$A$12:$A$27,0)&amp;INDEX(Background!$B$12:$B$27,0),0))</f>
        <v>#VALUE!</v>
      </c>
      <c r="I1067" s="17" t="e">
        <f t="shared" si="60"/>
        <v>#VALUE!</v>
      </c>
    </row>
    <row r="1068" spans="1:9">
      <c r="A1068" s="4" t="s">
        <v>767</v>
      </c>
      <c r="B1068" s="4">
        <v>2</v>
      </c>
      <c r="C1068" s="4" t="s">
        <v>72</v>
      </c>
      <c r="D1068" s="4" t="s">
        <v>72</v>
      </c>
      <c r="E1068" s="4" t="s">
        <v>788</v>
      </c>
      <c r="F1068" s="4" t="str">
        <f t="shared" si="59"/>
        <v>2|U|U</v>
      </c>
      <c r="G1068" s="14">
        <f>INDEX('Transition Stepwise'!$J$2:$J$1137,MATCH(F1068,'Transition Stepwise'!$E$2:$E$1137,0))</f>
        <v>0.2</v>
      </c>
      <c r="H1068" s="14" t="e">
        <f>INDEX(Background!$D$12:$D$27,MATCH(C1068&amp;D1068,INDEX(Background!$A$12:$A$27,0)&amp;INDEX(Background!$B$12:$B$27,0),0))</f>
        <v>#VALUE!</v>
      </c>
      <c r="I1068" s="17" t="e">
        <f t="shared" si="60"/>
        <v>#VALUE!</v>
      </c>
    </row>
    <row r="1069" spans="1:9">
      <c r="A1069" s="4" t="s">
        <v>767</v>
      </c>
      <c r="B1069" s="4">
        <v>3</v>
      </c>
      <c r="C1069" s="4" t="s">
        <v>72</v>
      </c>
      <c r="D1069" s="4" t="s">
        <v>73</v>
      </c>
      <c r="E1069" s="4" t="s">
        <v>788</v>
      </c>
      <c r="F1069" s="4" t="str">
        <f t="shared" si="59"/>
        <v>3|U|A</v>
      </c>
      <c r="G1069" s="14">
        <f>INDEX('Transition Stepwise'!$J$2:$J$1137,MATCH(F1069,'Transition Stepwise'!$E$2:$E$1137,0))</f>
        <v>3.7037037037037035E-2</v>
      </c>
      <c r="H1069" s="14" t="e">
        <f>INDEX(Background!$D$12:$D$27,MATCH(C1069&amp;D1069,INDEX(Background!$A$12:$A$27,0)&amp;INDEX(Background!$B$12:$B$27,0),0))</f>
        <v>#VALUE!</v>
      </c>
      <c r="I1069" s="17" t="e">
        <f t="shared" si="60"/>
        <v>#VALUE!</v>
      </c>
    </row>
    <row r="1070" spans="1:9">
      <c r="A1070" s="4" t="s">
        <v>767</v>
      </c>
      <c r="B1070" s="4">
        <v>4</v>
      </c>
      <c r="C1070" s="4" t="s">
        <v>73</v>
      </c>
      <c r="D1070" s="4" t="s">
        <v>73</v>
      </c>
      <c r="E1070" s="4" t="s">
        <v>788</v>
      </c>
      <c r="F1070" s="4" t="str">
        <f t="shared" si="59"/>
        <v>4|A|A</v>
      </c>
      <c r="G1070" s="14">
        <f>INDEX('Transition Stepwise'!$J$2:$J$1137,MATCH(F1070,'Transition Stepwise'!$E$2:$E$1137,0))</f>
        <v>0.3</v>
      </c>
      <c r="H1070" s="14" t="e">
        <f>INDEX(Background!$D$12:$D$27,MATCH(C1070&amp;D1070,INDEX(Background!$A$12:$A$27,0)&amp;INDEX(Background!$B$12:$B$27,0),0))</f>
        <v>#VALUE!</v>
      </c>
      <c r="I1070" s="17" t="e">
        <f t="shared" si="60"/>
        <v>#VALUE!</v>
      </c>
    </row>
    <row r="1071" spans="1:9">
      <c r="A1071" s="4" t="s">
        <v>767</v>
      </c>
      <c r="B1071" s="4">
        <v>5</v>
      </c>
      <c r="C1071" s="4" t="s">
        <v>73</v>
      </c>
      <c r="D1071" s="4" t="s">
        <v>72</v>
      </c>
      <c r="E1071" s="4" t="s">
        <v>788</v>
      </c>
      <c r="F1071" s="4" t="str">
        <f t="shared" si="59"/>
        <v>5|A|U</v>
      </c>
      <c r="G1071" s="14">
        <f>INDEX('Transition Stepwise'!$J$2:$J$1137,MATCH(F1071,'Transition Stepwise'!$E$2:$E$1137,0))</f>
        <v>0.37142857142857144</v>
      </c>
      <c r="H1071" s="14" t="e">
        <f>INDEX(Background!$D$12:$D$27,MATCH(C1071&amp;D1071,INDEX(Background!$A$12:$A$27,0)&amp;INDEX(Background!$B$12:$B$27,0),0))</f>
        <v>#VALUE!</v>
      </c>
      <c r="I1071" s="17" t="e">
        <f t="shared" si="60"/>
        <v>#VALUE!</v>
      </c>
    </row>
    <row r="1072" spans="1:9">
      <c r="A1072" s="4" t="s">
        <v>767</v>
      </c>
      <c r="B1072" s="4">
        <v>6</v>
      </c>
      <c r="C1072" s="4" t="s">
        <v>72</v>
      </c>
      <c r="D1072" s="4" t="s">
        <v>70</v>
      </c>
      <c r="E1072" s="4" t="s">
        <v>788</v>
      </c>
      <c r="F1072" s="4" t="str">
        <f t="shared" si="59"/>
        <v>6|U|G</v>
      </c>
      <c r="G1072" s="14">
        <f>INDEX('Transition Stepwise'!$J$2:$J$1137,MATCH(F1072,'Transition Stepwise'!$E$2:$E$1137,0))</f>
        <v>0.52631578947368418</v>
      </c>
      <c r="H1072" s="14" t="e">
        <f>INDEX(Background!$D$12:$D$27,MATCH(C1072&amp;D1072,INDEX(Background!$A$12:$A$27,0)&amp;INDEX(Background!$B$12:$B$27,0),0))</f>
        <v>#VALUE!</v>
      </c>
      <c r="I1072" s="17" t="e">
        <f t="shared" si="60"/>
        <v>#VALUE!</v>
      </c>
    </row>
    <row r="1073" spans="1:9">
      <c r="A1073" s="4" t="s">
        <v>767</v>
      </c>
      <c r="B1073" s="4">
        <v>7</v>
      </c>
      <c r="C1073" s="4" t="s">
        <v>70</v>
      </c>
      <c r="D1073" s="4" t="s">
        <v>72</v>
      </c>
      <c r="E1073" s="4" t="s">
        <v>788</v>
      </c>
      <c r="F1073" s="4" t="str">
        <f t="shared" si="59"/>
        <v>7|G|U</v>
      </c>
      <c r="G1073" s="14">
        <f>INDEX('Transition Stepwise'!$J$2:$J$1137,MATCH(F1073,'Transition Stepwise'!$E$2:$E$1137,0))</f>
        <v>0.96330275229357798</v>
      </c>
      <c r="H1073" s="14" t="e">
        <f>INDEX(Background!$D$12:$D$27,MATCH(C1073&amp;D1073,INDEX(Background!$A$12:$A$27,0)&amp;INDEX(Background!$B$12:$B$27,0),0))</f>
        <v>#VALUE!</v>
      </c>
      <c r="I1073" s="17" t="e">
        <f t="shared" si="60"/>
        <v>#VALUE!</v>
      </c>
    </row>
    <row r="1074" spans="1:9">
      <c r="A1074" s="4" t="s">
        <v>767</v>
      </c>
      <c r="B1074" s="4">
        <v>8</v>
      </c>
      <c r="C1074" s="4" t="s">
        <v>72</v>
      </c>
      <c r="D1074" s="4" t="s">
        <v>73</v>
      </c>
      <c r="E1074" s="4" t="s">
        <v>788</v>
      </c>
      <c r="F1074" s="4" t="str">
        <f t="shared" si="59"/>
        <v>8|U|A</v>
      </c>
      <c r="G1074" s="14">
        <f>INDEX('Transition Stepwise'!$J$2:$J$1137,MATCH(F1074,'Transition Stepwise'!$E$2:$E$1137,0))</f>
        <v>0.65174129353233834</v>
      </c>
      <c r="H1074" s="14" t="e">
        <f>INDEX(Background!$D$12:$D$27,MATCH(C1074&amp;D1074,INDEX(Background!$A$12:$A$27,0)&amp;INDEX(Background!$B$12:$B$27,0),0))</f>
        <v>#VALUE!</v>
      </c>
      <c r="I1074" s="17" t="e">
        <f t="shared" si="60"/>
        <v>#VALUE!</v>
      </c>
    </row>
    <row r="1075" spans="1:9">
      <c r="A1075" s="4" t="s">
        <v>767</v>
      </c>
      <c r="B1075" s="4">
        <v>9</v>
      </c>
      <c r="C1075" s="4" t="s">
        <v>73</v>
      </c>
      <c r="D1075" s="4" t="s">
        <v>70</v>
      </c>
      <c r="E1075" s="4" t="s">
        <v>788</v>
      </c>
      <c r="F1075" s="4" t="str">
        <f t="shared" si="59"/>
        <v>9|A|G</v>
      </c>
      <c r="G1075" s="14">
        <f>INDEX('Transition Stepwise'!$J$2:$J$1137,MATCH(F1075,'Transition Stepwise'!$E$2:$E$1137,0))</f>
        <v>0.96296296296296291</v>
      </c>
      <c r="H1075" s="14" t="e">
        <f>INDEX(Background!$D$12:$D$27,MATCH(C1075&amp;D1075,INDEX(Background!$A$12:$A$27,0)&amp;INDEX(Background!$B$12:$B$27,0),0))</f>
        <v>#VALUE!</v>
      </c>
      <c r="I1075" s="17" t="e">
        <f t="shared" si="60"/>
        <v>#VALUE!</v>
      </c>
    </row>
    <row r="1076" spans="1:9">
      <c r="A1076" s="4" t="s">
        <v>767</v>
      </c>
      <c r="B1076" s="4">
        <v>10</v>
      </c>
      <c r="C1076" s="4" t="s">
        <v>70</v>
      </c>
      <c r="D1076" s="4" t="s">
        <v>72</v>
      </c>
      <c r="E1076" s="4" t="s">
        <v>788</v>
      </c>
      <c r="F1076" s="4" t="str">
        <f t="shared" si="59"/>
        <v>10|G|U</v>
      </c>
      <c r="G1076" s="14">
        <f>INDEX('Transition Stepwise'!$J$2:$J$1137,MATCH(F1076,'Transition Stepwise'!$E$2:$E$1137,0))</f>
        <v>0.20408163265306123</v>
      </c>
      <c r="H1076" s="14" t="e">
        <f>INDEX(Background!$D$12:$D$27,MATCH(C1076&amp;D1076,INDEX(Background!$A$12:$A$27,0)&amp;INDEX(Background!$B$12:$B$27,0),0))</f>
        <v>#VALUE!</v>
      </c>
      <c r="I1076" s="17" t="e">
        <f t="shared" si="60"/>
        <v>#VALUE!</v>
      </c>
    </row>
    <row r="1077" spans="1:9">
      <c r="A1077" s="4" t="s">
        <v>767</v>
      </c>
      <c r="B1077" s="4">
        <v>11</v>
      </c>
      <c r="C1077" s="4" t="s">
        <v>72</v>
      </c>
      <c r="D1077" s="4" t="s">
        <v>72</v>
      </c>
      <c r="E1077" s="4" t="s">
        <v>788</v>
      </c>
      <c r="F1077" s="4" t="str">
        <f t="shared" si="59"/>
        <v>11|U|U</v>
      </c>
      <c r="G1077" s="14">
        <f>INDEX('Transition Stepwise'!$J$2:$J$1137,MATCH(F1077,'Transition Stepwise'!$E$2:$E$1137,0))</f>
        <v>0.27272727272727271</v>
      </c>
      <c r="H1077" s="14" t="e">
        <f>INDEX(Background!$D$12:$D$27,MATCH(C1077&amp;D1077,INDEX(Background!$A$12:$A$27,0)&amp;INDEX(Background!$B$12:$B$27,0),0))</f>
        <v>#VALUE!</v>
      </c>
      <c r="I1077" s="17" t="e">
        <f t="shared" si="60"/>
        <v>#VALUE!</v>
      </c>
    </row>
    <row r="1078" spans="1:9">
      <c r="A1078" s="4" t="s">
        <v>767</v>
      </c>
      <c r="B1078" s="4">
        <v>12</v>
      </c>
      <c r="C1078" s="4" t="s">
        <v>72</v>
      </c>
      <c r="D1078" s="4" t="s">
        <v>72</v>
      </c>
      <c r="E1078" s="4" t="s">
        <v>788</v>
      </c>
      <c r="F1078" s="4" t="str">
        <f t="shared" si="59"/>
        <v>12|U|U</v>
      </c>
      <c r="G1078" s="14">
        <f>INDEX('Transition Stepwise'!$J$2:$J$1137,MATCH(F1078,'Transition Stepwise'!$E$2:$E$1137,0))</f>
        <v>9.6774193548387094E-2</v>
      </c>
      <c r="H1078" s="14" t="e">
        <f>INDEX(Background!$D$12:$D$27,MATCH(C1078&amp;D1078,INDEX(Background!$A$12:$A$27,0)&amp;INDEX(Background!$B$12:$B$27,0),0))</f>
        <v>#VALUE!</v>
      </c>
      <c r="I1078" s="17" t="e">
        <f t="shared" si="60"/>
        <v>#VALUE!</v>
      </c>
    </row>
    <row r="1079" spans="1:9">
      <c r="A1079" s="4" t="s">
        <v>767</v>
      </c>
      <c r="B1079" s="4">
        <v>13</v>
      </c>
      <c r="C1079" s="4" t="s">
        <v>72</v>
      </c>
      <c r="D1079" s="4" t="s">
        <v>73</v>
      </c>
      <c r="E1079" s="4" t="s">
        <v>788</v>
      </c>
      <c r="F1079" s="4" t="str">
        <f t="shared" si="59"/>
        <v>13|U|A</v>
      </c>
      <c r="G1079" s="14">
        <f>INDEX('Transition Stepwise'!$J$2:$J$1137,MATCH(F1079,'Transition Stepwise'!$E$2:$E$1137,0))</f>
        <v>0.9285714285714286</v>
      </c>
      <c r="H1079" s="14" t="e">
        <f>INDEX(Background!$D$12:$D$27,MATCH(C1079&amp;D1079,INDEX(Background!$A$12:$A$27,0)&amp;INDEX(Background!$B$12:$B$27,0),0))</f>
        <v>#VALUE!</v>
      </c>
      <c r="I1079" s="17" t="e">
        <f t="shared" si="60"/>
        <v>#VALUE!</v>
      </c>
    </row>
    <row r="1080" spans="1:9">
      <c r="A1080" s="4" t="s">
        <v>767</v>
      </c>
      <c r="B1080" s="4">
        <v>14</v>
      </c>
      <c r="C1080" s="4" t="s">
        <v>73</v>
      </c>
      <c r="D1080" s="4" t="s">
        <v>72</v>
      </c>
      <c r="E1080" s="4" t="s">
        <v>788</v>
      </c>
      <c r="F1080" s="4" t="str">
        <f t="shared" si="59"/>
        <v>14|A|U</v>
      </c>
      <c r="G1080" s="14">
        <f>INDEX('Transition Stepwise'!$J$2:$J$1137,MATCH(F1080,'Transition Stepwise'!$E$2:$E$1137,0))</f>
        <v>1.4925373134328358E-2</v>
      </c>
      <c r="H1080" s="14" t="e">
        <f>INDEX(Background!$D$12:$D$27,MATCH(C1080&amp;D1080,INDEX(Background!$A$12:$A$27,0)&amp;INDEX(Background!$B$12:$B$27,0),0))</f>
        <v>#VALUE!</v>
      </c>
      <c r="I1080" s="17" t="e">
        <f t="shared" si="60"/>
        <v>#VALUE!</v>
      </c>
    </row>
    <row r="1081" spans="1:9">
      <c r="A1081" s="4" t="s">
        <v>767</v>
      </c>
      <c r="B1081" s="4">
        <v>15</v>
      </c>
      <c r="C1081" s="4" t="s">
        <v>72</v>
      </c>
      <c r="D1081" s="4" t="s">
        <v>73</v>
      </c>
      <c r="E1081" s="4" t="s">
        <v>788</v>
      </c>
      <c r="F1081" s="4" t="str">
        <f t="shared" si="59"/>
        <v>15|U|A</v>
      </c>
      <c r="G1081" s="14">
        <f>INDEX('Transition Stepwise'!$J$2:$J$1137,MATCH(F1081,'Transition Stepwise'!$E$2:$E$1137,0))</f>
        <v>0.2</v>
      </c>
      <c r="H1081" s="14" t="e">
        <f>INDEX(Background!$D$12:$D$27,MATCH(C1081&amp;D1081,INDEX(Background!$A$12:$A$27,0)&amp;INDEX(Background!$B$12:$B$27,0),0))</f>
        <v>#VALUE!</v>
      </c>
      <c r="I1081" s="17" t="e">
        <f t="shared" si="60"/>
        <v>#VALUE!</v>
      </c>
    </row>
    <row r="1082" spans="1:9">
      <c r="A1082" s="4" t="s">
        <v>767</v>
      </c>
      <c r="B1082" s="4">
        <v>16</v>
      </c>
      <c r="C1082" s="4" t="s">
        <v>73</v>
      </c>
      <c r="D1082" s="4" t="s">
        <v>73</v>
      </c>
      <c r="E1082" s="4" t="s">
        <v>788</v>
      </c>
      <c r="F1082" s="4" t="str">
        <f t="shared" si="59"/>
        <v>16|A|A</v>
      </c>
      <c r="G1082" s="14">
        <f>INDEX('Transition Stepwise'!$J$2:$J$1137,MATCH(F1082,'Transition Stepwise'!$E$2:$E$1137,0))</f>
        <v>0.14285714285714285</v>
      </c>
      <c r="H1082" s="14" t="e">
        <f>INDEX(Background!$D$12:$D$27,MATCH(C1082&amp;D1082,INDEX(Background!$A$12:$A$27,0)&amp;INDEX(Background!$B$12:$B$27,0),0))</f>
        <v>#VALUE!</v>
      </c>
      <c r="I1082" s="17" t="e">
        <f t="shared" si="60"/>
        <v>#VALUE!</v>
      </c>
    </row>
    <row r="1083" spans="1:9">
      <c r="A1083" s="4" t="s">
        <v>767</v>
      </c>
      <c r="B1083" s="4">
        <v>17</v>
      </c>
      <c r="C1083" s="4" t="s">
        <v>73</v>
      </c>
      <c r="D1083" s="4" t="s">
        <v>70</v>
      </c>
      <c r="E1083" s="4" t="s">
        <v>788</v>
      </c>
      <c r="F1083" s="4" t="str">
        <f t="shared" si="59"/>
        <v>17|A|G</v>
      </c>
      <c r="G1083" s="14">
        <f>INDEX('Transition Stepwise'!$J$2:$J$1137,MATCH(F1083,'Transition Stepwise'!$E$2:$E$1137,0))</f>
        <v>0.75</v>
      </c>
      <c r="H1083" s="14" t="e">
        <f>INDEX(Background!$D$12:$D$27,MATCH(C1083&amp;D1083,INDEX(Background!$A$12:$A$27,0)&amp;INDEX(Background!$B$12:$B$27,0),0))</f>
        <v>#VALUE!</v>
      </c>
      <c r="I1083" s="17" t="e">
        <f t="shared" si="60"/>
        <v>#VALUE!</v>
      </c>
    </row>
    <row r="1084" spans="1:9">
      <c r="A1084" s="4" t="s">
        <v>767</v>
      </c>
      <c r="B1084" s="4">
        <v>18</v>
      </c>
      <c r="C1084" s="4" t="s">
        <v>70</v>
      </c>
      <c r="D1084" s="4" t="s">
        <v>70</v>
      </c>
      <c r="E1084" s="4" t="s">
        <v>788</v>
      </c>
      <c r="F1084" s="4" t="str">
        <f t="shared" si="59"/>
        <v>18|G|G</v>
      </c>
      <c r="G1084" s="14">
        <f>INDEX('Transition Stepwise'!$J$2:$J$1137,MATCH(F1084,'Transition Stepwise'!$E$2:$E$1137,0))</f>
        <v>0.97536945812807885</v>
      </c>
      <c r="H1084" s="14" t="e">
        <f>INDEX(Background!$D$12:$D$27,MATCH(C1084&amp;D1084,INDEX(Background!$A$12:$A$27,0)&amp;INDEX(Background!$B$12:$B$27,0),0))</f>
        <v>#VALUE!</v>
      </c>
      <c r="I1084" s="17" t="e">
        <f t="shared" si="60"/>
        <v>#VALUE!</v>
      </c>
    </row>
    <row r="1085" spans="1:9">
      <c r="A1085" s="4" t="s">
        <v>767</v>
      </c>
      <c r="B1085" s="4">
        <v>19</v>
      </c>
      <c r="C1085" s="4" t="s">
        <v>70</v>
      </c>
      <c r="D1085" s="4" t="s">
        <v>70</v>
      </c>
      <c r="E1085" s="4" t="s">
        <v>788</v>
      </c>
      <c r="F1085" s="4" t="str">
        <f t="shared" si="59"/>
        <v>19|G|G</v>
      </c>
      <c r="G1085" s="14">
        <f>INDEX('Transition Stepwise'!$J$2:$J$1137,MATCH(F1085,'Transition Stepwise'!$E$2:$E$1137,0))</f>
        <v>9.4527363184079602E-2</v>
      </c>
      <c r="H1085" s="14" t="e">
        <f>INDEX(Background!$D$12:$D$27,MATCH(C1085&amp;D1085,INDEX(Background!$A$12:$A$27,0)&amp;INDEX(Background!$B$12:$B$27,0),0))</f>
        <v>#VALUE!</v>
      </c>
      <c r="I1085" s="17" t="e">
        <f t="shared" si="60"/>
        <v>#VALUE!</v>
      </c>
    </row>
    <row r="1086" spans="1:9">
      <c r="A1086" s="4" t="s">
        <v>767</v>
      </c>
      <c r="B1086" s="4">
        <v>20</v>
      </c>
      <c r="C1086" s="4" t="s">
        <v>70</v>
      </c>
      <c r="D1086" s="4" t="s">
        <v>72</v>
      </c>
      <c r="E1086" s="4" t="s">
        <v>788</v>
      </c>
      <c r="F1086" s="4" t="str">
        <f t="shared" si="59"/>
        <v>20|G|U</v>
      </c>
      <c r="G1086" s="14">
        <f>INDEX('Transition Stepwise'!$J$2:$J$1137,MATCH(F1086,'Transition Stepwise'!$E$2:$E$1137,0))</f>
        <v>4.5454545454545456E-2</v>
      </c>
      <c r="H1086" s="14" t="e">
        <f>INDEX(Background!$D$12:$D$27,MATCH(C1086&amp;D1086,INDEX(Background!$A$12:$A$27,0)&amp;INDEX(Background!$B$12:$B$27,0),0))</f>
        <v>#VALUE!</v>
      </c>
      <c r="I1086" s="17" t="e">
        <f t="shared" si="60"/>
        <v>#VALUE!</v>
      </c>
    </row>
    <row r="1087" spans="1:9">
      <c r="A1087" s="4" t="s">
        <v>767</v>
      </c>
      <c r="B1087" s="4">
        <v>21</v>
      </c>
      <c r="C1087" s="4" t="s">
        <v>72</v>
      </c>
      <c r="D1087" s="4" t="s">
        <v>70</v>
      </c>
      <c r="E1087" s="4" t="s">
        <v>788</v>
      </c>
      <c r="F1087" s="4" t="str">
        <f t="shared" si="59"/>
        <v>21|U|G</v>
      </c>
      <c r="G1087" s="14">
        <f>INDEX('Transition Stepwise'!$J$2:$J$1137,MATCH(F1087,'Transition Stepwise'!$E$2:$E$1137,0))</f>
        <v>0.35714285714285715</v>
      </c>
      <c r="H1087" s="14" t="e">
        <f>INDEX(Background!$D$12:$D$27,MATCH(C1087&amp;D1087,INDEX(Background!$A$12:$A$27,0)&amp;INDEX(Background!$B$12:$B$27,0),0))</f>
        <v>#VALUE!</v>
      </c>
      <c r="I1087" s="17" t="e">
        <f t="shared" si="60"/>
        <v>#VALUE!</v>
      </c>
    </row>
    <row r="1088" spans="1:9">
      <c r="A1088" s="4" t="s">
        <v>767</v>
      </c>
      <c r="B1088" s="4">
        <v>22</v>
      </c>
      <c r="C1088" s="4" t="s">
        <v>70</v>
      </c>
      <c r="D1088" s="4" t="s">
        <v>73</v>
      </c>
      <c r="E1088" s="4" t="s">
        <v>788</v>
      </c>
      <c r="F1088" s="4" t="str">
        <f t="shared" si="59"/>
        <v>22|G|A</v>
      </c>
      <c r="G1088" s="14">
        <f>INDEX('Transition Stepwise'!$J$2:$J$1137,MATCH(F1088,'Transition Stepwise'!$E$2:$E$1137,0))</f>
        <v>0.77181208053691275</v>
      </c>
      <c r="H1088" s="14" t="e">
        <f>INDEX(Background!$D$12:$D$27,MATCH(C1088&amp;D1088,INDEX(Background!$A$12:$A$27,0)&amp;INDEX(Background!$B$12:$B$27,0),0))</f>
        <v>#VALUE!</v>
      </c>
      <c r="I1088" s="17" t="e">
        <f t="shared" si="60"/>
        <v>#VALUE!</v>
      </c>
    </row>
    <row r="1089" spans="1:9">
      <c r="A1089" s="4" t="s">
        <v>767</v>
      </c>
      <c r="B1089" s="4">
        <v>23</v>
      </c>
      <c r="C1089" s="4" t="s">
        <v>73</v>
      </c>
      <c r="D1089" s="4" t="s">
        <v>73</v>
      </c>
      <c r="E1089" s="4" t="s">
        <v>788</v>
      </c>
      <c r="F1089" s="4" t="str">
        <f t="shared" si="59"/>
        <v>23|A|A</v>
      </c>
      <c r="G1089" s="14">
        <f>INDEX('Transition Stepwise'!$J$2:$J$1137,MATCH(F1089,'Transition Stepwise'!$E$2:$E$1137,0))</f>
        <v>9.6000000000000002E-2</v>
      </c>
      <c r="H1089" s="14" t="e">
        <f>INDEX(Background!$D$12:$D$27,MATCH(C1089&amp;D1089,INDEX(Background!$A$12:$A$27,0)&amp;INDEX(Background!$B$12:$B$27,0),0))</f>
        <v>#VALUE!</v>
      </c>
      <c r="I1089" s="17" t="e">
        <f t="shared" si="60"/>
        <v>#VALUE!</v>
      </c>
    </row>
    <row r="1090" spans="1:9">
      <c r="A1090" s="4" t="s">
        <v>767</v>
      </c>
      <c r="B1090" s="4">
        <v>24</v>
      </c>
      <c r="C1090" s="4" t="s">
        <v>73</v>
      </c>
      <c r="D1090" s="4" t="s">
        <v>72</v>
      </c>
      <c r="E1090" s="4" t="s">
        <v>788</v>
      </c>
      <c r="F1090" s="4" t="str">
        <f t="shared" si="59"/>
        <v>24|A|U</v>
      </c>
      <c r="G1090" s="14">
        <f>INDEX('Transition Stepwise'!$J$2:$J$1137,MATCH(F1090,'Transition Stepwise'!$E$2:$E$1137,0))</f>
        <v>0.26829268292682928</v>
      </c>
      <c r="H1090" s="14" t="e">
        <f>INDEX(Background!$D$12:$D$27,MATCH(C1090&amp;D1090,INDEX(Background!$A$12:$A$27,0)&amp;INDEX(Background!$B$12:$B$27,0),0))</f>
        <v>#VALUE!</v>
      </c>
      <c r="I1090" s="17" t="e">
        <f t="shared" si="60"/>
        <v>#VALUE!</v>
      </c>
    </row>
    <row r="1091" spans="1:9">
      <c r="A1091" s="4" t="s">
        <v>767</v>
      </c>
      <c r="B1091" s="4">
        <v>25</v>
      </c>
      <c r="C1091" s="4" t="s">
        <v>72</v>
      </c>
      <c r="D1091" s="4" t="s">
        <v>70</v>
      </c>
      <c r="E1091" s="4" t="s">
        <v>788</v>
      </c>
      <c r="F1091" s="4" t="str">
        <f t="shared" si="59"/>
        <v>25|U|G</v>
      </c>
      <c r="G1091" s="14">
        <f>INDEX('Transition Stepwise'!$J$2:$J$1137,MATCH(F1091,'Transition Stepwise'!$E$2:$E$1137,0))</f>
        <v>0.5</v>
      </c>
      <c r="H1091" s="14" t="e">
        <f>INDEX(Background!$D$12:$D$27,MATCH(C1091&amp;D1091,INDEX(Background!$A$12:$A$27,0)&amp;INDEX(Background!$B$12:$B$27,0),0))</f>
        <v>#VALUE!</v>
      </c>
      <c r="I1091" s="17" t="e">
        <f t="shared" si="60"/>
        <v>#VALUE!</v>
      </c>
    </row>
    <row r="1092" spans="1:9">
      <c r="A1092" s="4" t="s">
        <v>767</v>
      </c>
      <c r="B1092" s="4">
        <v>26</v>
      </c>
      <c r="C1092" s="4" t="s">
        <v>70</v>
      </c>
      <c r="D1092" s="4" t="s">
        <v>72</v>
      </c>
      <c r="E1092" s="4" t="s">
        <v>788</v>
      </c>
      <c r="F1092" s="4" t="str">
        <f t="shared" si="59"/>
        <v>26|G|U</v>
      </c>
      <c r="G1092" s="14">
        <f>INDEX('Transition Stepwise'!$J$2:$J$1137,MATCH(F1092,'Transition Stepwise'!$E$2:$E$1137,0))</f>
        <v>0.22115384615384615</v>
      </c>
      <c r="H1092" s="14" t="e">
        <f>INDEX(Background!$D$12:$D$27,MATCH(C1092&amp;D1092,INDEX(Background!$A$12:$A$27,0)&amp;INDEX(Background!$B$12:$B$27,0),0))</f>
        <v>#VALUE!</v>
      </c>
      <c r="I1092" s="17" t="e">
        <f t="shared" si="60"/>
        <v>#VALUE!</v>
      </c>
    </row>
    <row r="1093" spans="1:9">
      <c r="A1093" s="4" t="s">
        <v>767</v>
      </c>
      <c r="B1093" s="4">
        <v>27</v>
      </c>
      <c r="C1093" s="4" t="s">
        <v>72</v>
      </c>
      <c r="D1093" s="4" t="s">
        <v>72</v>
      </c>
      <c r="E1093" s="4" t="s">
        <v>788</v>
      </c>
      <c r="F1093" s="4" t="str">
        <f t="shared" si="59"/>
        <v>27|U|U</v>
      </c>
      <c r="G1093" s="14">
        <f>INDEX('Transition Stepwise'!$J$2:$J$1137,MATCH(F1093,'Transition Stepwise'!$E$2:$E$1137,0))</f>
        <v>0.3392857142857143</v>
      </c>
      <c r="H1093" s="14" t="e">
        <f>INDEX(Background!$D$12:$D$27,MATCH(C1093&amp;D1093,INDEX(Background!$A$12:$A$27,0)&amp;INDEX(Background!$B$12:$B$27,0),0))</f>
        <v>#VALUE!</v>
      </c>
      <c r="I1093" s="17" t="e">
        <f t="shared" si="60"/>
        <v>#VALUE!</v>
      </c>
    </row>
    <row r="1094" spans="1:9">
      <c r="A1094" s="4" t="s">
        <v>767</v>
      </c>
      <c r="B1094" s="4">
        <v>28</v>
      </c>
      <c r="C1094" s="4" t="s">
        <v>72</v>
      </c>
      <c r="D1094" s="4" t="s">
        <v>72</v>
      </c>
      <c r="E1094" s="4" t="s">
        <v>788</v>
      </c>
      <c r="F1094" s="4" t="str">
        <f t="shared" si="59"/>
        <v>28|U|U</v>
      </c>
      <c r="G1094" s="14">
        <f>INDEX('Transition Stepwise'!$J$2:$J$1137,MATCH(F1094,'Transition Stepwise'!$E$2:$E$1137,0))</f>
        <v>0.27272727272727271</v>
      </c>
      <c r="H1094" s="14" t="e">
        <f>INDEX(Background!$D$12:$D$27,MATCH(C1094&amp;D1094,INDEX(Background!$A$12:$A$27,0)&amp;INDEX(Background!$B$12:$B$27,0),0))</f>
        <v>#VALUE!</v>
      </c>
      <c r="I1094" s="17" t="e">
        <f t="shared" si="60"/>
        <v>#VALUE!</v>
      </c>
    </row>
    <row r="1095" spans="1:9">
      <c r="A1095" s="4" t="s">
        <v>767</v>
      </c>
      <c r="B1095" s="4">
        <v>29</v>
      </c>
      <c r="C1095" s="4" t="s">
        <v>72</v>
      </c>
      <c r="D1095" s="4" t="s">
        <v>72</v>
      </c>
      <c r="E1095" s="4" t="s">
        <v>788</v>
      </c>
      <c r="F1095" s="4" t="str">
        <f t="shared" si="59"/>
        <v>29|U|U</v>
      </c>
      <c r="G1095" s="14">
        <f>INDEX('Transition Stepwise'!$J$2:$J$1137,MATCH(F1095,'Transition Stepwise'!$E$2:$E$1137,0))</f>
        <v>1.6949152542372881E-2</v>
      </c>
      <c r="H1095" s="14" t="e">
        <f>INDEX(Background!$D$12:$D$27,MATCH(C1095&amp;D1095,INDEX(Background!$A$12:$A$27,0)&amp;INDEX(Background!$B$12:$B$27,0),0))</f>
        <v>#VALUE!</v>
      </c>
      <c r="I1095" s="17" t="e">
        <f t="shared" si="60"/>
        <v>#VALUE!</v>
      </c>
    </row>
    <row r="1096" spans="1:9">
      <c r="A1096" s="4" t="s">
        <v>767</v>
      </c>
      <c r="B1096" s="4">
        <v>30</v>
      </c>
      <c r="C1096" s="4" t="s">
        <v>72</v>
      </c>
      <c r="D1096" s="4" t="s">
        <v>73</v>
      </c>
      <c r="E1096" s="4" t="s">
        <v>788</v>
      </c>
      <c r="F1096" s="4" t="str">
        <f t="shared" si="59"/>
        <v>30|U|A</v>
      </c>
      <c r="G1096" s="14">
        <f>INDEX('Transition Stepwise'!$J$2:$J$1137,MATCH(F1096,'Transition Stepwise'!$E$2:$E$1137,0))</f>
        <v>0.27272727272727271</v>
      </c>
      <c r="H1096" s="14" t="e">
        <f>INDEX(Background!$D$12:$D$27,MATCH(C1096&amp;D1096,INDEX(Background!$A$12:$A$27,0)&amp;INDEX(Background!$B$12:$B$27,0),0))</f>
        <v>#VALUE!</v>
      </c>
      <c r="I1096" s="17" t="e">
        <f t="shared" si="60"/>
        <v>#VALUE!</v>
      </c>
    </row>
    <row r="1097" spans="1:9">
      <c r="A1097" s="4" t="s">
        <v>767</v>
      </c>
      <c r="B1097" s="4">
        <v>31</v>
      </c>
      <c r="C1097" s="4" t="s">
        <v>73</v>
      </c>
      <c r="D1097" s="4" t="s">
        <v>72</v>
      </c>
      <c r="E1097" s="4" t="s">
        <v>788</v>
      </c>
      <c r="F1097" s="4" t="str">
        <f t="shared" si="59"/>
        <v>31|A|U</v>
      </c>
      <c r="G1097" s="14">
        <f>INDEX('Transition Stepwise'!$J$2:$J$1137,MATCH(F1097,'Transition Stepwise'!$E$2:$E$1137,0))</f>
        <v>0.13793103448275862</v>
      </c>
      <c r="H1097" s="14" t="e">
        <f>INDEX(Background!$D$12:$D$27,MATCH(C1097&amp;D1097,INDEX(Background!$A$12:$A$27,0)&amp;INDEX(Background!$B$12:$B$27,0),0))</f>
        <v>#VALUE!</v>
      </c>
      <c r="I1097" s="17" t="e">
        <f t="shared" si="60"/>
        <v>#VALUE!</v>
      </c>
    </row>
    <row r="1098" spans="1:9">
      <c r="A1098" s="4" t="s">
        <v>767</v>
      </c>
      <c r="B1098" s="4">
        <v>32</v>
      </c>
      <c r="C1098" s="4" t="s">
        <v>72</v>
      </c>
      <c r="D1098" s="4" t="s">
        <v>72</v>
      </c>
      <c r="E1098" s="4" t="s">
        <v>788</v>
      </c>
      <c r="F1098" s="4" t="str">
        <f t="shared" si="59"/>
        <v>32|U|U</v>
      </c>
      <c r="G1098" s="14">
        <f>INDEX('Transition Stepwise'!$J$2:$J$1137,MATCH(F1098,'Transition Stepwise'!$E$2:$E$1137,0))</f>
        <v>0.93650793650793651</v>
      </c>
      <c r="H1098" s="14" t="e">
        <f>INDEX(Background!$D$12:$D$27,MATCH(C1098&amp;D1098,INDEX(Background!$A$12:$A$27,0)&amp;INDEX(Background!$B$12:$B$27,0),0))</f>
        <v>#VALUE!</v>
      </c>
      <c r="I1098" s="17" t="e">
        <f t="shared" si="60"/>
        <v>#VALUE!</v>
      </c>
    </row>
    <row r="1099" spans="1:9">
      <c r="A1099" s="4" t="s">
        <v>767</v>
      </c>
      <c r="B1099" s="4">
        <v>33</v>
      </c>
      <c r="C1099" s="4" t="s">
        <v>72</v>
      </c>
      <c r="D1099" s="4" t="s">
        <v>72</v>
      </c>
      <c r="E1099" s="4" t="s">
        <v>788</v>
      </c>
      <c r="F1099" s="4" t="str">
        <f t="shared" si="59"/>
        <v>33|U|U</v>
      </c>
      <c r="G1099" s="14">
        <f>INDEX('Transition Stepwise'!$J$2:$J$1137,MATCH(F1099,'Transition Stepwise'!$E$2:$E$1137,0))</f>
        <v>0.29207920792079206</v>
      </c>
      <c r="H1099" s="14" t="e">
        <f>INDEX(Background!$D$12:$D$27,MATCH(C1099&amp;D1099,INDEX(Background!$A$12:$A$27,0)&amp;INDEX(Background!$B$12:$B$27,0),0))</f>
        <v>#VALUE!</v>
      </c>
      <c r="I1099" s="17" t="e">
        <f t="shared" si="60"/>
        <v>#VALUE!</v>
      </c>
    </row>
    <row r="1100" spans="1:9">
      <c r="A1100" s="4" t="s">
        <v>767</v>
      </c>
      <c r="B1100" s="4">
        <v>34</v>
      </c>
      <c r="C1100" s="4" t="s">
        <v>72</v>
      </c>
      <c r="D1100" s="4" t="s">
        <v>72</v>
      </c>
      <c r="E1100" s="4" t="s">
        <v>788</v>
      </c>
      <c r="F1100" s="4" t="str">
        <f t="shared" si="59"/>
        <v>34|U|U</v>
      </c>
      <c r="G1100" s="14">
        <f>INDEX('Transition Stepwise'!$J$2:$J$1137,MATCH(F1100,'Transition Stepwise'!$E$2:$E$1137,0))</f>
        <v>0.17741935483870969</v>
      </c>
      <c r="H1100" s="14" t="e">
        <f>INDEX(Background!$D$12:$D$27,MATCH(C1100&amp;D1100,INDEX(Background!$A$12:$A$27,0)&amp;INDEX(Background!$B$12:$B$27,0),0))</f>
        <v>#VALUE!</v>
      </c>
      <c r="I1100" s="17" t="e">
        <f t="shared" si="60"/>
        <v>#VALUE!</v>
      </c>
    </row>
    <row r="1101" spans="1:9">
      <c r="A1101" s="4" t="s">
        <v>767</v>
      </c>
      <c r="B1101" s="4">
        <v>35</v>
      </c>
      <c r="C1101" s="4" t="s">
        <v>72</v>
      </c>
      <c r="D1101" s="4" t="s">
        <v>73</v>
      </c>
      <c r="E1101" s="4" t="s">
        <v>788</v>
      </c>
      <c r="F1101" s="4" t="str">
        <f t="shared" si="59"/>
        <v>35|U|A</v>
      </c>
      <c r="G1101" s="14">
        <f>INDEX('Transition Stepwise'!$J$2:$J$1137,MATCH(F1101,'Transition Stepwise'!$E$2:$E$1137,0))</f>
        <v>0.17777777777777778</v>
      </c>
      <c r="H1101" s="14" t="e">
        <f>INDEX(Background!$D$12:$D$27,MATCH(C1101&amp;D1101,INDEX(Background!$A$12:$A$27,0)&amp;INDEX(Background!$B$12:$B$27,0),0))</f>
        <v>#VALUE!</v>
      </c>
      <c r="I1101" s="17" t="e">
        <f t="shared" si="60"/>
        <v>#VALUE!</v>
      </c>
    </row>
    <row r="1102" spans="1:9">
      <c r="A1102" s="4" t="s">
        <v>767</v>
      </c>
      <c r="B1102" s="4">
        <v>36</v>
      </c>
      <c r="C1102" s="4" t="s">
        <v>73</v>
      </c>
      <c r="D1102" s="4" t="s">
        <v>70</v>
      </c>
      <c r="E1102" s="4" t="s">
        <v>788</v>
      </c>
      <c r="F1102" s="4" t="str">
        <f t="shared" si="59"/>
        <v>36|A|G</v>
      </c>
      <c r="G1102" s="14">
        <f>INDEX('Transition Stepwise'!$J$2:$J$1137,MATCH(F1102,'Transition Stepwise'!$E$2:$E$1137,0))</f>
        <v>0.38297872340425532</v>
      </c>
      <c r="H1102" s="14" t="e">
        <f>INDEX(Background!$D$12:$D$27,MATCH(C1102&amp;D1102,INDEX(Background!$A$12:$A$27,0)&amp;INDEX(Background!$B$12:$B$27,0),0))</f>
        <v>#VALUE!</v>
      </c>
      <c r="I1102" s="17" t="e">
        <f t="shared" si="60"/>
        <v>#VALUE!</v>
      </c>
    </row>
    <row r="1103" spans="1:9">
      <c r="A1103" s="4" t="s">
        <v>767</v>
      </c>
      <c r="B1103" s="4">
        <v>37</v>
      </c>
      <c r="C1103" s="4" t="s">
        <v>70</v>
      </c>
      <c r="D1103" s="4" t="s">
        <v>73</v>
      </c>
      <c r="E1103" s="4" t="s">
        <v>788</v>
      </c>
      <c r="F1103" s="4" t="str">
        <f t="shared" si="59"/>
        <v>37|G|A</v>
      </c>
      <c r="G1103" s="14">
        <f>INDEX('Transition Stepwise'!$J$2:$J$1137,MATCH(F1103,'Transition Stepwise'!$E$2:$E$1137,0))</f>
        <v>0.61538461538461542</v>
      </c>
      <c r="H1103" s="14" t="e">
        <f>INDEX(Background!$D$12:$D$27,MATCH(C1103&amp;D1103,INDEX(Background!$A$12:$A$27,0)&amp;INDEX(Background!$B$12:$B$27,0),0))</f>
        <v>#VALUE!</v>
      </c>
      <c r="I1103" s="17" t="e">
        <f t="shared" si="60"/>
        <v>#VALUE!</v>
      </c>
    </row>
    <row r="1104" spans="1:9">
      <c r="A1104" s="4" t="s">
        <v>767</v>
      </c>
      <c r="B1104" s="4">
        <v>38</v>
      </c>
      <c r="C1104" s="4" t="s">
        <v>73</v>
      </c>
      <c r="D1104" s="4" t="s">
        <v>72</v>
      </c>
      <c r="E1104" s="4" t="s">
        <v>788</v>
      </c>
      <c r="F1104" s="4" t="str">
        <f t="shared" si="59"/>
        <v>38|A|U</v>
      </c>
      <c r="G1104" s="14">
        <f>INDEX('Transition Stepwise'!$J$2:$J$1137,MATCH(F1104,'Transition Stepwise'!$E$2:$E$1137,0))</f>
        <v>0.33774834437086093</v>
      </c>
      <c r="H1104" s="14" t="e">
        <f>INDEX(Background!$D$12:$D$27,MATCH(C1104&amp;D1104,INDEX(Background!$A$12:$A$27,0)&amp;INDEX(Background!$B$12:$B$27,0),0))</f>
        <v>#VALUE!</v>
      </c>
      <c r="I1104" s="17" t="e">
        <f t="shared" si="60"/>
        <v>#VALUE!</v>
      </c>
    </row>
    <row r="1105" spans="1:9">
      <c r="A1105" s="4" t="s">
        <v>767</v>
      </c>
      <c r="B1105" s="4">
        <v>39</v>
      </c>
      <c r="C1105" s="4" t="s">
        <v>72</v>
      </c>
      <c r="D1105" s="4" t="s">
        <v>73</v>
      </c>
      <c r="E1105" s="4" t="s">
        <v>788</v>
      </c>
      <c r="F1105" s="4" t="str">
        <f t="shared" si="59"/>
        <v>39|U|A</v>
      </c>
      <c r="G1105" s="14">
        <f>INDEX('Transition Stepwise'!$J$2:$J$1137,MATCH(F1105,'Transition Stepwise'!$E$2:$E$1137,0))</f>
        <v>3.1746031746031744E-2</v>
      </c>
      <c r="H1105" s="14" t="e">
        <f>INDEX(Background!$D$12:$D$27,MATCH(C1105&amp;D1105,INDEX(Background!$A$12:$A$27,0)&amp;INDEX(Background!$B$12:$B$27,0),0))</f>
        <v>#VALUE!</v>
      </c>
      <c r="I1105" s="17" t="e">
        <f t="shared" si="60"/>
        <v>#VALUE!</v>
      </c>
    </row>
    <row r="1106" spans="1:9">
      <c r="A1106" s="4" t="s">
        <v>767</v>
      </c>
      <c r="B1106" s="4">
        <v>40</v>
      </c>
      <c r="C1106" s="4" t="s">
        <v>73</v>
      </c>
      <c r="D1106" s="4" t="s">
        <v>73</v>
      </c>
      <c r="E1106" s="4" t="s">
        <v>788</v>
      </c>
      <c r="F1106" s="4" t="str">
        <f t="shared" si="59"/>
        <v>40|A|A</v>
      </c>
      <c r="G1106" s="14">
        <f>INDEX('Transition Stepwise'!$J$2:$J$1137,MATCH(F1106,'Transition Stepwise'!$E$2:$E$1137,0))</f>
        <v>0.2</v>
      </c>
      <c r="H1106" s="14" t="e">
        <f>INDEX(Background!$D$12:$D$27,MATCH(C1106&amp;D1106,INDEX(Background!$A$12:$A$27,0)&amp;INDEX(Background!$B$12:$B$27,0),0))</f>
        <v>#VALUE!</v>
      </c>
      <c r="I1106" s="17" t="e">
        <f t="shared" si="60"/>
        <v>#VALUE!</v>
      </c>
    </row>
    <row r="1107" spans="1:9">
      <c r="A1107" s="4" t="s">
        <v>767</v>
      </c>
      <c r="B1107" s="4">
        <v>41</v>
      </c>
      <c r="C1107" s="4" t="s">
        <v>73</v>
      </c>
      <c r="D1107" s="4" t="s">
        <v>73</v>
      </c>
      <c r="E1107" s="4" t="s">
        <v>788</v>
      </c>
      <c r="F1107" s="4" t="str">
        <f t="shared" si="59"/>
        <v>41|A|A</v>
      </c>
      <c r="G1107" s="14">
        <f>INDEX('Transition Stepwise'!$J$2:$J$1137,MATCH(F1107,'Transition Stepwise'!$E$2:$E$1137,0))</f>
        <v>0.25862068965517243</v>
      </c>
      <c r="H1107" s="14" t="e">
        <f>INDEX(Background!$D$12:$D$27,MATCH(C1107&amp;D1107,INDEX(Background!$A$12:$A$27,0)&amp;INDEX(Background!$B$12:$B$27,0),0))</f>
        <v>#VALUE!</v>
      </c>
      <c r="I1107" s="17" t="e">
        <f t="shared" si="60"/>
        <v>#VALUE!</v>
      </c>
    </row>
    <row r="1108" spans="1:9">
      <c r="A1108" s="4" t="s">
        <v>767</v>
      </c>
      <c r="B1108" s="4">
        <v>42</v>
      </c>
      <c r="C1108" s="4" t="s">
        <v>73</v>
      </c>
      <c r="D1108" s="4" t="s">
        <v>71</v>
      </c>
      <c r="E1108" s="4" t="s">
        <v>788</v>
      </c>
      <c r="F1108" s="4" t="str">
        <f t="shared" si="59"/>
        <v>42|A|C</v>
      </c>
      <c r="G1108" s="14">
        <f>INDEX('Transition Stepwise'!$J$2:$J$1137,MATCH(F1108,'Transition Stepwise'!$E$2:$E$1137,0))</f>
        <v>1.8867924528301886E-2</v>
      </c>
      <c r="H1108" s="14" t="e">
        <f>INDEX(Background!$D$12:$D$27,MATCH(C1108&amp;D1108,INDEX(Background!$A$12:$A$27,0)&amp;INDEX(Background!$B$12:$B$27,0),0))</f>
        <v>#VALUE!</v>
      </c>
      <c r="I1108" s="17" t="e">
        <f t="shared" si="60"/>
        <v>#VALUE!</v>
      </c>
    </row>
    <row r="1109" spans="1:9">
      <c r="A1109" s="4" t="s">
        <v>767</v>
      </c>
      <c r="B1109" s="4">
        <v>43</v>
      </c>
      <c r="C1109" s="4" t="s">
        <v>71</v>
      </c>
      <c r="D1109" s="4" t="s">
        <v>72</v>
      </c>
      <c r="E1109" s="4" t="s">
        <v>788</v>
      </c>
      <c r="F1109" s="4" t="str">
        <f t="shared" si="59"/>
        <v>43|C|U</v>
      </c>
      <c r="G1109" s="14">
        <f>INDEX('Transition Stepwise'!$J$2:$J$1137,MATCH(F1109,'Transition Stepwise'!$E$2:$E$1137,0))</f>
        <v>0.14814814814814814</v>
      </c>
      <c r="H1109" s="14" t="e">
        <f>INDEX(Background!$D$12:$D$27,MATCH(C1109&amp;D1109,INDEX(Background!$A$12:$A$27,0)&amp;INDEX(Background!$B$12:$B$27,0),0))</f>
        <v>#VALUE!</v>
      </c>
      <c r="I1109" s="17" t="e">
        <f t="shared" si="60"/>
        <v>#VALUE!</v>
      </c>
    </row>
    <row r="1110" spans="1:9">
      <c r="A1110" s="4" t="s">
        <v>767</v>
      </c>
      <c r="B1110" s="4">
        <v>44</v>
      </c>
      <c r="C1110" s="4" t="s">
        <v>72</v>
      </c>
      <c r="D1110" s="4" t="s">
        <v>71</v>
      </c>
      <c r="E1110" s="4" t="s">
        <v>788</v>
      </c>
      <c r="F1110" s="4" t="str">
        <f t="shared" si="59"/>
        <v>44|U|C</v>
      </c>
      <c r="G1110" s="14">
        <f>INDEX('Transition Stepwise'!$J$2:$J$1137,MATCH(F1110,'Transition Stepwise'!$E$2:$E$1137,0))</f>
        <v>7.407407407407407E-2</v>
      </c>
      <c r="H1110" s="14" t="e">
        <f>INDEX(Background!$D$12:$D$27,MATCH(C1110&amp;D1110,INDEX(Background!$A$12:$A$27,0)&amp;INDEX(Background!$B$12:$B$27,0),0))</f>
        <v>#VALUE!</v>
      </c>
      <c r="I1110" s="17" t="e">
        <f t="shared" si="60"/>
        <v>#VALUE!</v>
      </c>
    </row>
    <row r="1111" spans="1:9">
      <c r="A1111" s="4" t="s">
        <v>767</v>
      </c>
      <c r="B1111" s="4">
        <v>45</v>
      </c>
      <c r="C1111" s="4" t="s">
        <v>71</v>
      </c>
      <c r="D1111" s="4" t="s">
        <v>73</v>
      </c>
      <c r="E1111" s="4" t="s">
        <v>788</v>
      </c>
      <c r="F1111" s="4" t="str">
        <f t="shared" si="59"/>
        <v>45|C|A</v>
      </c>
      <c r="G1111" s="14">
        <f>INDEX('Transition Stepwise'!$J$2:$J$1137,MATCH(F1111,'Transition Stepwise'!$E$2:$E$1137,0))</f>
        <v>0.1111111111111111</v>
      </c>
      <c r="H1111" s="14" t="e">
        <f>INDEX(Background!$D$12:$D$27,MATCH(C1111&amp;D1111,INDEX(Background!$A$12:$A$27,0)&amp;INDEX(Background!$B$12:$B$27,0),0))</f>
        <v>#VALUE!</v>
      </c>
      <c r="I1111" s="17" t="e">
        <f t="shared" si="60"/>
        <v>#VALUE!</v>
      </c>
    </row>
    <row r="1112" spans="1:9">
      <c r="A1112" s="4" t="s">
        <v>767</v>
      </c>
      <c r="B1112" s="4">
        <v>46</v>
      </c>
      <c r="C1112" s="4" t="s">
        <v>73</v>
      </c>
      <c r="D1112" s="4" t="s">
        <v>71</v>
      </c>
      <c r="E1112" s="4" t="s">
        <v>788</v>
      </c>
      <c r="F1112" s="4" t="str">
        <f t="shared" si="59"/>
        <v>46|A|C</v>
      </c>
      <c r="G1112" s="14">
        <f>INDEX('Transition Stepwise'!$J$2:$J$1137,MATCH(F1112,'Transition Stepwise'!$E$2:$E$1137,0))</f>
        <v>0.2</v>
      </c>
      <c r="H1112" s="14" t="e">
        <f>INDEX(Background!$D$12:$D$27,MATCH(C1112&amp;D1112,INDEX(Background!$A$12:$A$27,0)&amp;INDEX(Background!$B$12:$B$27,0),0))</f>
        <v>#VALUE!</v>
      </c>
      <c r="I1112" s="17" t="e">
        <f t="shared" si="60"/>
        <v>#VALUE!</v>
      </c>
    </row>
    <row r="1113" spans="1:9">
      <c r="A1113" s="4" t="s">
        <v>767</v>
      </c>
      <c r="B1113" s="4">
        <v>47</v>
      </c>
      <c r="C1113" s="4" t="s">
        <v>71</v>
      </c>
      <c r="D1113" s="4" t="s">
        <v>70</v>
      </c>
      <c r="E1113" s="4" t="s">
        <v>788</v>
      </c>
      <c r="F1113" s="4" t="str">
        <f t="shared" si="59"/>
        <v>47|C|G</v>
      </c>
      <c r="G1113" s="14">
        <f>INDEX('Transition Stepwise'!$J$2:$J$1137,MATCH(F1113,'Transition Stepwise'!$E$2:$E$1137,0))</f>
        <v>3.7037037037037035E-2</v>
      </c>
      <c r="H1113" s="14" t="e">
        <f>INDEX(Background!$D$12:$D$27,MATCH(C1113&amp;D1113,INDEX(Background!$A$12:$A$27,0)&amp;INDEX(Background!$B$12:$B$27,0),0))</f>
        <v>#VALUE!</v>
      </c>
      <c r="I1113" s="17" t="e">
        <f t="shared" si="60"/>
        <v>#VALUE!</v>
      </c>
    </row>
    <row r="1114" spans="1:9">
      <c r="A1114" s="4" t="s">
        <v>767</v>
      </c>
      <c r="B1114" s="4">
        <v>48</v>
      </c>
      <c r="C1114" s="4" t="s">
        <v>70</v>
      </c>
      <c r="D1114" s="4" t="s">
        <v>71</v>
      </c>
      <c r="E1114" s="4" t="s">
        <v>788</v>
      </c>
      <c r="F1114" s="4" t="str">
        <f t="shared" si="59"/>
        <v>48|G|C</v>
      </c>
      <c r="G1114" s="14">
        <f>INDEX('Transition Stepwise'!$J$2:$J$1137,MATCH(F1114,'Transition Stepwise'!$E$2:$E$1137,0))</f>
        <v>0.5</v>
      </c>
      <c r="H1114" s="14" t="e">
        <f>INDEX(Background!$D$12:$D$27,MATCH(C1114&amp;D1114,INDEX(Background!$A$12:$A$27,0)&amp;INDEX(Background!$B$12:$B$27,0),0))</f>
        <v>#VALUE!</v>
      </c>
      <c r="I1114" s="17" t="e">
        <f t="shared" si="60"/>
        <v>#VALUE!</v>
      </c>
    </row>
    <row r="1115" spans="1:9">
      <c r="A1115" s="4" t="s">
        <v>767</v>
      </c>
      <c r="B1115" s="4">
        <v>49</v>
      </c>
      <c r="C1115" s="4" t="s">
        <v>71</v>
      </c>
      <c r="D1115" s="4" t="s">
        <v>73</v>
      </c>
      <c r="E1115" s="4" t="s">
        <v>788</v>
      </c>
      <c r="F1115" s="4" t="str">
        <f t="shared" si="59"/>
        <v>49|C|A</v>
      </c>
      <c r="G1115" s="14">
        <f>INDEX('Transition Stepwise'!$J$2:$J$1137,MATCH(F1115,'Transition Stepwise'!$E$2:$E$1137,0))</f>
        <v>6.5573770491803282E-2</v>
      </c>
      <c r="H1115" s="14" t="e">
        <f>INDEX(Background!$D$12:$D$27,MATCH(C1115&amp;D1115,INDEX(Background!$A$12:$A$27,0)&amp;INDEX(Background!$B$12:$B$27,0),0))</f>
        <v>#VALUE!</v>
      </c>
      <c r="I1115" s="17" t="e">
        <f t="shared" si="60"/>
        <v>#VALUE!</v>
      </c>
    </row>
    <row r="1116" spans="1:9">
      <c r="A1116" s="4" t="s">
        <v>767</v>
      </c>
      <c r="B1116" s="4">
        <v>50</v>
      </c>
      <c r="C1116" s="4" t="s">
        <v>73</v>
      </c>
      <c r="D1116" s="4" t="s">
        <v>72</v>
      </c>
      <c r="E1116" s="4" t="s">
        <v>788</v>
      </c>
      <c r="F1116" s="4" t="str">
        <f t="shared" si="59"/>
        <v>50|A|U</v>
      </c>
      <c r="G1116" s="14">
        <f>INDEX('Transition Stepwise'!$J$2:$J$1137,MATCH(F1116,'Transition Stepwise'!$E$2:$E$1137,0))</f>
        <v>0.1111111111111111</v>
      </c>
      <c r="H1116" s="14" t="e">
        <f>INDEX(Background!$D$12:$D$27,MATCH(C1116&amp;D1116,INDEX(Background!$A$12:$A$27,0)&amp;INDEX(Background!$B$12:$B$27,0),0))</f>
        <v>#VALUE!</v>
      </c>
      <c r="I1116" s="17" t="e">
        <f t="shared" si="60"/>
        <v>#VALUE!</v>
      </c>
    </row>
    <row r="1117" spans="1:9">
      <c r="A1117" s="4" t="s">
        <v>767</v>
      </c>
      <c r="B1117" s="4">
        <v>51</v>
      </c>
      <c r="C1117" s="4" t="s">
        <v>72</v>
      </c>
      <c r="D1117" s="4" t="s">
        <v>72</v>
      </c>
      <c r="E1117" s="4" t="s">
        <v>788</v>
      </c>
      <c r="F1117" s="4" t="str">
        <f t="shared" si="59"/>
        <v>51|U|U</v>
      </c>
      <c r="G1117" s="14">
        <f>INDEX('Transition Stepwise'!$J$2:$J$1137,MATCH(F1117,'Transition Stepwise'!$E$2:$E$1137,0))</f>
        <v>5.7142857142857141E-2</v>
      </c>
      <c r="H1117" s="14" t="e">
        <f>INDEX(Background!$D$12:$D$27,MATCH(C1117&amp;D1117,INDEX(Background!$A$12:$A$27,0)&amp;INDEX(Background!$B$12:$B$27,0),0))</f>
        <v>#VALUE!</v>
      </c>
      <c r="I1117" s="17" t="e">
        <f t="shared" si="60"/>
        <v>#VALUE!</v>
      </c>
    </row>
    <row r="1118" spans="1:9">
      <c r="A1118" s="4" t="s">
        <v>767</v>
      </c>
      <c r="B1118" s="4">
        <v>52</v>
      </c>
      <c r="C1118" s="4" t="s">
        <v>72</v>
      </c>
      <c r="D1118" s="4" t="s">
        <v>70</v>
      </c>
      <c r="E1118" s="4" t="s">
        <v>788</v>
      </c>
      <c r="F1118" s="4" t="str">
        <f t="shared" si="59"/>
        <v>52|U|G</v>
      </c>
      <c r="G1118" s="14">
        <f>INDEX('Transition Stepwise'!$J$2:$J$1137,MATCH(F1118,'Transition Stepwise'!$E$2:$E$1137,0))</f>
        <v>0.5</v>
      </c>
      <c r="H1118" s="14" t="e">
        <f>INDEX(Background!$D$12:$D$27,MATCH(C1118&amp;D1118,INDEX(Background!$A$12:$A$27,0)&amp;INDEX(Background!$B$12:$B$27,0),0))</f>
        <v>#VALUE!</v>
      </c>
      <c r="I1118" s="17" t="e">
        <f t="shared" si="60"/>
        <v>#VALUE!</v>
      </c>
    </row>
    <row r="1119" spans="1:9">
      <c r="A1119" s="4" t="s">
        <v>767</v>
      </c>
      <c r="B1119" s="4">
        <v>53</v>
      </c>
      <c r="C1119" s="4" t="s">
        <v>70</v>
      </c>
      <c r="D1119" s="4" t="s">
        <v>72</v>
      </c>
      <c r="E1119" s="4" t="s">
        <v>788</v>
      </c>
      <c r="F1119" s="4" t="str">
        <f t="shared" si="59"/>
        <v>53|G|U</v>
      </c>
      <c r="G1119" s="14">
        <f>INDEX('Transition Stepwise'!$J$2:$J$1137,MATCH(F1119,'Transition Stepwise'!$E$2:$E$1137,0))</f>
        <v>0.97499999999999998</v>
      </c>
      <c r="H1119" s="14" t="e">
        <f>INDEX(Background!$D$12:$D$27,MATCH(C1119&amp;D1119,INDEX(Background!$A$12:$A$27,0)&amp;INDEX(Background!$B$12:$B$27,0),0))</f>
        <v>#VALUE!</v>
      </c>
      <c r="I1119" s="17" t="e">
        <f t="shared" si="60"/>
        <v>#VALUE!</v>
      </c>
    </row>
    <row r="1120" spans="1:9">
      <c r="A1120" s="4" t="s">
        <v>767</v>
      </c>
      <c r="B1120" s="4">
        <v>54</v>
      </c>
      <c r="C1120" s="4" t="s">
        <v>72</v>
      </c>
      <c r="D1120" s="4" t="s">
        <v>72</v>
      </c>
      <c r="E1120" s="4" t="s">
        <v>788</v>
      </c>
      <c r="F1120" s="4" t="str">
        <f t="shared" si="59"/>
        <v>54|U|U</v>
      </c>
      <c r="G1120" s="14">
        <f>INDEX('Transition Stepwise'!$J$2:$J$1137,MATCH(F1120,'Transition Stepwise'!$E$2:$E$1137,0))</f>
        <v>0.97029702970297027</v>
      </c>
      <c r="H1120" s="14" t="e">
        <f>INDEX(Background!$D$12:$D$27,MATCH(C1120&amp;D1120,INDEX(Background!$A$12:$A$27,0)&amp;INDEX(Background!$B$12:$B$27,0),0))</f>
        <v>#VALUE!</v>
      </c>
      <c r="I1120" s="17" t="e">
        <f t="shared" si="60"/>
        <v>#VALUE!</v>
      </c>
    </row>
    <row r="1121" spans="1:9">
      <c r="A1121" s="4" t="s">
        <v>767</v>
      </c>
      <c r="B1121" s="4">
        <v>55</v>
      </c>
      <c r="C1121" s="4" t="s">
        <v>72</v>
      </c>
      <c r="D1121" s="4" t="s">
        <v>71</v>
      </c>
      <c r="E1121" s="4" t="s">
        <v>788</v>
      </c>
      <c r="F1121" s="4" t="str">
        <f t="shared" si="59"/>
        <v>55|U|C</v>
      </c>
      <c r="G1121" s="14">
        <f>INDEX('Transition Stepwise'!$J$2:$J$1137,MATCH(F1121,'Transition Stepwise'!$E$2:$E$1137,0))</f>
        <v>0.97512437810945274</v>
      </c>
      <c r="H1121" s="14" t="e">
        <f>INDEX(Background!$D$12:$D$27,MATCH(C1121&amp;D1121,INDEX(Background!$A$12:$A$27,0)&amp;INDEX(Background!$B$12:$B$27,0),0))</f>
        <v>#VALUE!</v>
      </c>
      <c r="I1121" s="17" t="e">
        <f t="shared" si="60"/>
        <v>#VALUE!</v>
      </c>
    </row>
    <row r="1122" spans="1:9">
      <c r="A1122" s="4" t="s">
        <v>767</v>
      </c>
      <c r="B1122" s="4">
        <v>56</v>
      </c>
      <c r="C1122" s="4" t="s">
        <v>71</v>
      </c>
      <c r="D1122" s="4" t="s">
        <v>72</v>
      </c>
      <c r="E1122" s="4" t="s">
        <v>788</v>
      </c>
      <c r="F1122" s="4" t="str">
        <f t="shared" si="59"/>
        <v>56|C|U</v>
      </c>
      <c r="G1122" s="14">
        <f>INDEX('Transition Stepwise'!$J$2:$J$1137,MATCH(F1122,'Transition Stepwise'!$E$2:$E$1137,0))</f>
        <v>5.0000000000000001E-3</v>
      </c>
      <c r="H1122" s="14" t="e">
        <f>INDEX(Background!$D$12:$D$27,MATCH(C1122&amp;D1122,INDEX(Background!$A$12:$A$27,0)&amp;INDEX(Background!$B$12:$B$27,0),0))</f>
        <v>#VALUE!</v>
      </c>
      <c r="I1122" s="17" t="e">
        <f t="shared" si="60"/>
        <v>#VALUE!</v>
      </c>
    </row>
    <row r="1123" spans="1:9">
      <c r="A1123" s="4" t="s">
        <v>767</v>
      </c>
      <c r="B1123" s="4">
        <v>57</v>
      </c>
      <c r="C1123" s="4" t="s">
        <v>72</v>
      </c>
      <c r="D1123" s="4" t="s">
        <v>73</v>
      </c>
      <c r="E1123" s="4" t="s">
        <v>788</v>
      </c>
      <c r="F1123" s="4" t="str">
        <f t="shared" si="59"/>
        <v>57|U|A</v>
      </c>
      <c r="G1123" s="14">
        <f>INDEX('Transition Stepwise'!$J$2:$J$1137,MATCH(F1123,'Transition Stepwise'!$E$2:$E$1137,0))</f>
        <v>0.2</v>
      </c>
      <c r="H1123" s="14" t="e">
        <f>INDEX(Background!$D$12:$D$27,MATCH(C1123&amp;D1123,INDEX(Background!$A$12:$A$27,0)&amp;INDEX(Background!$B$12:$B$27,0),0))</f>
        <v>#VALUE!</v>
      </c>
      <c r="I1123" s="17" t="e">
        <f t="shared" si="60"/>
        <v>#VALUE!</v>
      </c>
    </row>
    <row r="1124" spans="1:9">
      <c r="A1124" s="4" t="s">
        <v>767</v>
      </c>
      <c r="B1124" s="4">
        <v>58</v>
      </c>
      <c r="C1124" s="4" t="s">
        <v>73</v>
      </c>
      <c r="D1124" s="4" t="s">
        <v>73</v>
      </c>
      <c r="E1124" s="4" t="s">
        <v>788</v>
      </c>
      <c r="F1124" s="4" t="str">
        <f t="shared" si="59"/>
        <v>58|A|A</v>
      </c>
      <c r="G1124" s="14">
        <f>INDEX('Transition Stepwise'!$J$2:$J$1137,MATCH(F1124,'Transition Stepwise'!$E$2:$E$1137,0))</f>
        <v>0.45544554455445546</v>
      </c>
      <c r="H1124" s="14" t="e">
        <f>INDEX(Background!$D$12:$D$27,MATCH(C1124&amp;D1124,INDEX(Background!$A$12:$A$27,0)&amp;INDEX(Background!$B$12:$B$27,0),0))</f>
        <v>#VALUE!</v>
      </c>
      <c r="I1124" s="17" t="e">
        <f t="shared" si="60"/>
        <v>#VALUE!</v>
      </c>
    </row>
    <row r="1125" spans="1:9">
      <c r="A1125" s="4" t="s">
        <v>767</v>
      </c>
      <c r="B1125" s="4">
        <v>59</v>
      </c>
      <c r="C1125" s="4" t="s">
        <v>73</v>
      </c>
      <c r="D1125" s="4" t="s">
        <v>70</v>
      </c>
      <c r="E1125" s="4" t="s">
        <v>788</v>
      </c>
      <c r="F1125" s="4" t="str">
        <f t="shared" si="59"/>
        <v>59|A|G</v>
      </c>
      <c r="G1125" s="14">
        <f>INDEX('Transition Stepwise'!$J$2:$J$1137,MATCH(F1125,'Transition Stepwise'!$E$2:$E$1137,0))</f>
        <v>2.1052631578947368E-2</v>
      </c>
      <c r="H1125" s="14" t="e">
        <f>INDEX(Background!$D$12:$D$27,MATCH(C1125&amp;D1125,INDEX(Background!$A$12:$A$27,0)&amp;INDEX(Background!$B$12:$B$27,0),0))</f>
        <v>#VALUE!</v>
      </c>
      <c r="I1125" s="17" t="e">
        <f t="shared" si="60"/>
        <v>#VALUE!</v>
      </c>
    </row>
    <row r="1126" spans="1:9">
      <c r="A1126" s="4" t="s">
        <v>767</v>
      </c>
      <c r="B1126" s="4">
        <v>60</v>
      </c>
      <c r="C1126" s="4" t="s">
        <v>70</v>
      </c>
      <c r="D1126" s="4" t="s">
        <v>71</v>
      </c>
      <c r="E1126" s="4" t="s">
        <v>788</v>
      </c>
      <c r="F1126" s="4" t="str">
        <f t="shared" ref="F1126:F1181" si="61">B1126&amp;"|"&amp;C1126&amp;"|"&amp;D1126</f>
        <v>60|G|C</v>
      </c>
      <c r="G1126" s="14">
        <f>INDEX('Transition Stepwise'!$J$2:$J$1137,MATCH(F1126,'Transition Stepwise'!$E$2:$E$1137,0))</f>
        <v>0.33333333333333331</v>
      </c>
      <c r="H1126" s="14" t="e">
        <f>INDEX(Background!$D$12:$D$27,MATCH(C1126&amp;D1126,INDEX(Background!$A$12:$A$27,0)&amp;INDEX(Background!$B$12:$B$27,0),0))</f>
        <v>#VALUE!</v>
      </c>
      <c r="I1126" s="17" t="e">
        <f t="shared" ref="I1126:I1189" si="62">LN(G1126/H1126)</f>
        <v>#VALUE!</v>
      </c>
    </row>
    <row r="1127" spans="1:9">
      <c r="A1127" s="4" t="s">
        <v>767</v>
      </c>
      <c r="B1127" s="4">
        <v>61</v>
      </c>
      <c r="C1127" s="4" t="s">
        <v>71</v>
      </c>
      <c r="D1127" s="4" t="s">
        <v>70</v>
      </c>
      <c r="E1127" s="4" t="s">
        <v>788</v>
      </c>
      <c r="F1127" s="4" t="str">
        <f t="shared" si="61"/>
        <v>61|C|G</v>
      </c>
      <c r="G1127" s="14">
        <f>INDEX('Transition Stepwise'!$J$2:$J$1137,MATCH(F1127,'Transition Stepwise'!$E$2:$E$1137,0))</f>
        <v>1.4851485148514851E-2</v>
      </c>
      <c r="H1127" s="14" t="e">
        <f>INDEX(Background!$D$12:$D$27,MATCH(C1127&amp;D1127,INDEX(Background!$A$12:$A$27,0)&amp;INDEX(Background!$B$12:$B$27,0),0))</f>
        <v>#VALUE!</v>
      </c>
      <c r="I1127" s="17" t="e">
        <f t="shared" si="62"/>
        <v>#VALUE!</v>
      </c>
    </row>
    <row r="1128" spans="1:9">
      <c r="A1128" s="4" t="s">
        <v>767</v>
      </c>
      <c r="B1128" s="4">
        <v>62</v>
      </c>
      <c r="C1128" s="4" t="s">
        <v>70</v>
      </c>
      <c r="D1128" s="4" t="s">
        <v>73</v>
      </c>
      <c r="E1128" s="4" t="s">
        <v>788</v>
      </c>
      <c r="F1128" s="4" t="str">
        <f t="shared" si="61"/>
        <v>62|G|A</v>
      </c>
      <c r="G1128" s="14">
        <f>INDEX('Transition Stepwise'!$J$2:$J$1137,MATCH(F1128,'Transition Stepwise'!$E$2:$E$1137,0))</f>
        <v>0.16666666666666666</v>
      </c>
      <c r="H1128" s="14" t="e">
        <f>INDEX(Background!$D$12:$D$27,MATCH(C1128&amp;D1128,INDEX(Background!$A$12:$A$27,0)&amp;INDEX(Background!$B$12:$B$27,0),0))</f>
        <v>#VALUE!</v>
      </c>
      <c r="I1128" s="17" t="e">
        <f t="shared" si="62"/>
        <v>#VALUE!</v>
      </c>
    </row>
    <row r="1129" spans="1:9">
      <c r="A1129" s="4" t="s">
        <v>767</v>
      </c>
      <c r="B1129" s="4">
        <v>63</v>
      </c>
      <c r="C1129" s="4" t="s">
        <v>73</v>
      </c>
      <c r="D1129" s="4" t="s">
        <v>71</v>
      </c>
      <c r="E1129" s="4" t="s">
        <v>788</v>
      </c>
      <c r="F1129" s="4" t="str">
        <f t="shared" si="61"/>
        <v>63|A|C</v>
      </c>
      <c r="G1129" s="14">
        <f>INDEX('Transition Stepwise'!$J$2:$J$1137,MATCH(F1129,'Transition Stepwise'!$E$2:$E$1137,0))</f>
        <v>0.29629629629629628</v>
      </c>
      <c r="H1129" s="14" t="e">
        <f>INDEX(Background!$D$12:$D$27,MATCH(C1129&amp;D1129,INDEX(Background!$A$12:$A$27,0)&amp;INDEX(Background!$B$12:$B$27,0),0))</f>
        <v>#VALUE!</v>
      </c>
      <c r="I1129" s="17" t="e">
        <f t="shared" si="62"/>
        <v>#VALUE!</v>
      </c>
    </row>
    <row r="1130" spans="1:9">
      <c r="A1130" s="4" t="s">
        <v>767</v>
      </c>
      <c r="B1130" s="4">
        <v>64</v>
      </c>
      <c r="C1130" s="4" t="s">
        <v>71</v>
      </c>
      <c r="D1130" s="4" t="s">
        <v>70</v>
      </c>
      <c r="E1130" s="4" t="s">
        <v>788</v>
      </c>
      <c r="F1130" s="4" t="str">
        <f t="shared" si="61"/>
        <v>64|C|G</v>
      </c>
      <c r="G1130" s="14">
        <f>INDEX('Transition Stepwise'!$J$2:$J$1137,MATCH(F1130,'Transition Stepwise'!$E$2:$E$1137,0))</f>
        <v>0.2608695652173913</v>
      </c>
      <c r="H1130" s="14" t="e">
        <f>INDEX(Background!$D$12:$D$27,MATCH(C1130&amp;D1130,INDEX(Background!$A$12:$A$27,0)&amp;INDEX(Background!$B$12:$B$27,0),0))</f>
        <v>#VALUE!</v>
      </c>
      <c r="I1130" s="17" t="e">
        <f t="shared" si="62"/>
        <v>#VALUE!</v>
      </c>
    </row>
    <row r="1131" spans="1:9">
      <c r="A1131" s="4" t="s">
        <v>767</v>
      </c>
      <c r="B1131" s="4">
        <v>65</v>
      </c>
      <c r="C1131" s="4" t="s">
        <v>70</v>
      </c>
      <c r="D1131" s="4" t="s">
        <v>71</v>
      </c>
      <c r="E1131" s="4" t="s">
        <v>788</v>
      </c>
      <c r="F1131" s="4" t="str">
        <f t="shared" si="61"/>
        <v>65|G|C</v>
      </c>
      <c r="G1131" s="14">
        <f>INDEX('Transition Stepwise'!$J$2:$J$1137,MATCH(F1131,'Transition Stepwise'!$E$2:$E$1137,0))</f>
        <v>0.50819672131147542</v>
      </c>
      <c r="H1131" s="14" t="e">
        <f>INDEX(Background!$D$12:$D$27,MATCH(C1131&amp;D1131,INDEX(Background!$A$12:$A$27,0)&amp;INDEX(Background!$B$12:$B$27,0),0))</f>
        <v>#VALUE!</v>
      </c>
      <c r="I1131" s="17" t="e">
        <f t="shared" si="62"/>
        <v>#VALUE!</v>
      </c>
    </row>
    <row r="1132" spans="1:9">
      <c r="A1132" s="4" t="s">
        <v>767</v>
      </c>
      <c r="B1132" s="4">
        <v>66</v>
      </c>
      <c r="C1132" s="4" t="s">
        <v>71</v>
      </c>
      <c r="D1132" s="4" t="s">
        <v>73</v>
      </c>
      <c r="E1132" s="4" t="s">
        <v>788</v>
      </c>
      <c r="F1132" s="4" t="str">
        <f t="shared" si="61"/>
        <v>66|C|A</v>
      </c>
      <c r="G1132" s="14">
        <f>INDEX('Transition Stepwise'!$J$2:$J$1137,MATCH(F1132,'Transition Stepwise'!$E$2:$E$1137,0))</f>
        <v>0.1834862385321101</v>
      </c>
      <c r="H1132" s="14" t="e">
        <f>INDEX(Background!$D$12:$D$27,MATCH(C1132&amp;D1132,INDEX(Background!$A$12:$A$27,0)&amp;INDEX(Background!$B$12:$B$27,0),0))</f>
        <v>#VALUE!</v>
      </c>
      <c r="I1132" s="17" t="e">
        <f t="shared" si="62"/>
        <v>#VALUE!</v>
      </c>
    </row>
    <row r="1133" spans="1:9">
      <c r="A1133" s="4" t="s">
        <v>767</v>
      </c>
      <c r="B1133" s="4">
        <v>67</v>
      </c>
      <c r="C1133" s="4" t="s">
        <v>73</v>
      </c>
      <c r="D1133" s="4" t="s">
        <v>72</v>
      </c>
      <c r="E1133" s="4" t="s">
        <v>788</v>
      </c>
      <c r="F1133" s="4" t="str">
        <f t="shared" si="61"/>
        <v>67|A|U</v>
      </c>
      <c r="G1133" s="14">
        <f>INDEX('Transition Stepwise'!$J$2:$J$1137,MATCH(F1133,'Transition Stepwise'!$E$2:$E$1137,0))</f>
        <v>0.2608695652173913</v>
      </c>
      <c r="H1133" s="14" t="e">
        <f>INDEX(Background!$D$12:$D$27,MATCH(C1133&amp;D1133,INDEX(Background!$A$12:$A$27,0)&amp;INDEX(Background!$B$12:$B$27,0),0))</f>
        <v>#VALUE!</v>
      </c>
      <c r="I1133" s="17" t="e">
        <f t="shared" si="62"/>
        <v>#VALUE!</v>
      </c>
    </row>
    <row r="1134" spans="1:9">
      <c r="A1134" s="4" t="s">
        <v>767</v>
      </c>
      <c r="B1134" s="4">
        <v>68</v>
      </c>
      <c r="C1134" s="4" t="s">
        <v>72</v>
      </c>
      <c r="D1134" s="4" t="s">
        <v>72</v>
      </c>
      <c r="E1134" s="4" t="s">
        <v>788</v>
      </c>
      <c r="F1134" s="4" t="str">
        <f t="shared" si="61"/>
        <v>68|U|U</v>
      </c>
      <c r="G1134" s="14">
        <f>INDEX('Transition Stepwise'!$J$2:$J$1137,MATCH(F1134,'Transition Stepwise'!$E$2:$E$1137,0))</f>
        <v>0.17499999999999999</v>
      </c>
      <c r="H1134" s="14" t="e">
        <f>INDEX(Background!$D$12:$D$27,MATCH(C1134&amp;D1134,INDEX(Background!$A$12:$A$27,0)&amp;INDEX(Background!$B$12:$B$27,0),0))</f>
        <v>#VALUE!</v>
      </c>
      <c r="I1134" s="17" t="e">
        <f t="shared" si="62"/>
        <v>#VALUE!</v>
      </c>
    </row>
    <row r="1135" spans="1:9">
      <c r="A1135" s="4" t="s">
        <v>767</v>
      </c>
      <c r="B1135" s="4">
        <v>69</v>
      </c>
      <c r="C1135" s="4" t="s">
        <v>72</v>
      </c>
      <c r="D1135" s="4" t="s">
        <v>73</v>
      </c>
      <c r="E1135" s="4" t="s">
        <v>788</v>
      </c>
      <c r="F1135" s="4" t="str">
        <f t="shared" si="61"/>
        <v>69|U|A</v>
      </c>
      <c r="G1135" s="14">
        <f>INDEX('Transition Stepwise'!$J$2:$J$1137,MATCH(F1135,'Transition Stepwise'!$E$2:$E$1137,0))</f>
        <v>4.7619047619047616E-2</v>
      </c>
      <c r="H1135" s="14" t="e">
        <f>INDEX(Background!$D$12:$D$27,MATCH(C1135&amp;D1135,INDEX(Background!$A$12:$A$27,0)&amp;INDEX(Background!$B$12:$B$27,0),0))</f>
        <v>#VALUE!</v>
      </c>
      <c r="I1135" s="17" t="e">
        <f t="shared" si="62"/>
        <v>#VALUE!</v>
      </c>
    </row>
    <row r="1136" spans="1:9">
      <c r="A1136" s="4" t="s">
        <v>767</v>
      </c>
      <c r="B1136" s="4">
        <v>70</v>
      </c>
      <c r="C1136" s="4" t="s">
        <v>73</v>
      </c>
      <c r="D1136" s="4" t="s">
        <v>70</v>
      </c>
      <c r="E1136" s="4" t="s">
        <v>788</v>
      </c>
      <c r="F1136" s="4" t="str">
        <f t="shared" si="61"/>
        <v>70|A|G</v>
      </c>
      <c r="G1136" s="14">
        <f>INDEX('Transition Stepwise'!$J$2:$J$1137,MATCH(F1136,'Transition Stepwise'!$E$2:$E$1137,0))</f>
        <v>0.55555555555555558</v>
      </c>
      <c r="H1136" s="14" t="e">
        <f>INDEX(Background!$D$12:$D$27,MATCH(C1136&amp;D1136,INDEX(Background!$A$12:$A$27,0)&amp;INDEX(Background!$B$12:$B$27,0),0))</f>
        <v>#VALUE!</v>
      </c>
      <c r="I1136" s="17" t="e">
        <f t="shared" si="62"/>
        <v>#VALUE!</v>
      </c>
    </row>
    <row r="1137" spans="1:9">
      <c r="A1137" s="4" t="s">
        <v>767</v>
      </c>
      <c r="B1137" s="4">
        <v>71</v>
      </c>
      <c r="C1137" s="4" t="s">
        <v>70</v>
      </c>
      <c r="D1137" s="4" t="s">
        <v>73</v>
      </c>
      <c r="E1137" s="4" t="s">
        <v>788</v>
      </c>
      <c r="F1137" s="4" t="str">
        <f t="shared" si="61"/>
        <v>71|G|A</v>
      </c>
      <c r="G1137" s="14">
        <f>INDEX('Transition Stepwise'!$J$2:$J$1137,MATCH(F1137,'Transition Stepwise'!$E$2:$E$1137,0))</f>
        <v>0.11627906976744186</v>
      </c>
      <c r="H1137" s="14" t="e">
        <f>INDEX(Background!$D$12:$D$27,MATCH(C1137&amp;D1137,INDEX(Background!$A$12:$A$27,0)&amp;INDEX(Background!$B$12:$B$27,0),0))</f>
        <v>#VALUE!</v>
      </c>
      <c r="I1137" s="17" t="e">
        <f t="shared" si="62"/>
        <v>#VALUE!</v>
      </c>
    </row>
    <row r="1138" spans="1:9">
      <c r="A1138" s="4" t="s">
        <v>768</v>
      </c>
      <c r="B1138" s="4">
        <v>1</v>
      </c>
      <c r="C1138" s="4" t="s">
        <v>73</v>
      </c>
      <c r="D1138" s="4" t="s">
        <v>72</v>
      </c>
      <c r="E1138" s="4" t="s">
        <v>788</v>
      </c>
      <c r="F1138" s="4" t="str">
        <f t="shared" si="61"/>
        <v>1|A|U</v>
      </c>
      <c r="G1138" s="14">
        <f>INDEX('Transition Stepwise'!$J$2:$J$1137,MATCH(F1138,'Transition Stepwise'!$E$2:$E$1137,0))</f>
        <v>5.8823529411764705E-2</v>
      </c>
      <c r="H1138" s="14" t="e">
        <f>INDEX(Background!$D$12:$D$27,MATCH(C1138&amp;D1138,INDEX(Background!$A$12:$A$27,0)&amp;INDEX(Background!$B$12:$B$27,0),0))</f>
        <v>#VALUE!</v>
      </c>
      <c r="I1138" s="17" t="e">
        <f t="shared" si="62"/>
        <v>#VALUE!</v>
      </c>
    </row>
    <row r="1139" spans="1:9">
      <c r="A1139" s="4" t="s">
        <v>768</v>
      </c>
      <c r="B1139" s="4">
        <v>2</v>
      </c>
      <c r="C1139" s="4" t="s">
        <v>72</v>
      </c>
      <c r="D1139" s="4" t="s">
        <v>73</v>
      </c>
      <c r="E1139" s="4" t="s">
        <v>788</v>
      </c>
      <c r="F1139" s="4" t="str">
        <f t="shared" si="61"/>
        <v>2|U|A</v>
      </c>
      <c r="G1139" s="14">
        <f>INDEX('Transition Stepwise'!$J$2:$J$1137,MATCH(F1139,'Transition Stepwise'!$E$2:$E$1137,0))</f>
        <v>0.1</v>
      </c>
      <c r="H1139" s="14" t="e">
        <f>INDEX(Background!$D$12:$D$27,MATCH(C1139&amp;D1139,INDEX(Background!$A$12:$A$27,0)&amp;INDEX(Background!$B$12:$B$27,0),0))</f>
        <v>#VALUE!</v>
      </c>
      <c r="I1139" s="17" t="e">
        <f t="shared" si="62"/>
        <v>#VALUE!</v>
      </c>
    </row>
    <row r="1140" spans="1:9">
      <c r="A1140" s="4" t="s">
        <v>768</v>
      </c>
      <c r="B1140" s="4">
        <v>3</v>
      </c>
      <c r="C1140" s="4" t="s">
        <v>73</v>
      </c>
      <c r="D1140" s="4" t="s">
        <v>72</v>
      </c>
      <c r="E1140" s="4" t="s">
        <v>788</v>
      </c>
      <c r="F1140" s="4" t="str">
        <f t="shared" si="61"/>
        <v>3|A|U</v>
      </c>
      <c r="G1140" s="14">
        <f>INDEX('Transition Stepwise'!$J$2:$J$1137,MATCH(F1140,'Transition Stepwise'!$E$2:$E$1137,0))</f>
        <v>5.5555555555555552E-2</v>
      </c>
      <c r="H1140" s="14" t="e">
        <f>INDEX(Background!$D$12:$D$27,MATCH(C1140&amp;D1140,INDEX(Background!$A$12:$A$27,0)&amp;INDEX(Background!$B$12:$B$27,0),0))</f>
        <v>#VALUE!</v>
      </c>
      <c r="I1140" s="17" t="e">
        <f t="shared" si="62"/>
        <v>#VALUE!</v>
      </c>
    </row>
    <row r="1141" spans="1:9">
      <c r="A1141" s="4" t="s">
        <v>768</v>
      </c>
      <c r="B1141" s="4">
        <v>4</v>
      </c>
      <c r="C1141" s="4" t="s">
        <v>72</v>
      </c>
      <c r="D1141" s="4" t="s">
        <v>73</v>
      </c>
      <c r="E1141" s="4" t="s">
        <v>788</v>
      </c>
      <c r="F1141" s="4" t="str">
        <f t="shared" si="61"/>
        <v>4|U|A</v>
      </c>
      <c r="G1141" s="14">
        <f>INDEX('Transition Stepwise'!$J$2:$J$1137,MATCH(F1141,'Transition Stepwise'!$E$2:$E$1137,0))</f>
        <v>0.10526315789473684</v>
      </c>
      <c r="H1141" s="14" t="e">
        <f>INDEX(Background!$D$12:$D$27,MATCH(C1141&amp;D1141,INDEX(Background!$A$12:$A$27,0)&amp;INDEX(Background!$B$12:$B$27,0),0))</f>
        <v>#VALUE!</v>
      </c>
      <c r="I1141" s="17" t="e">
        <f t="shared" si="62"/>
        <v>#VALUE!</v>
      </c>
    </row>
    <row r="1142" spans="1:9">
      <c r="A1142" s="4" t="s">
        <v>768</v>
      </c>
      <c r="B1142" s="4">
        <v>5</v>
      </c>
      <c r="C1142" s="4" t="s">
        <v>73</v>
      </c>
      <c r="D1142" s="4" t="s">
        <v>73</v>
      </c>
      <c r="E1142" s="4" t="s">
        <v>788</v>
      </c>
      <c r="F1142" s="4" t="str">
        <f t="shared" si="61"/>
        <v>5|A|A</v>
      </c>
      <c r="G1142" s="14">
        <f>INDEX('Transition Stepwise'!$J$2:$J$1137,MATCH(F1142,'Transition Stepwise'!$E$2:$E$1137,0))</f>
        <v>0.2</v>
      </c>
      <c r="H1142" s="14" t="e">
        <f>INDEX(Background!$D$12:$D$27,MATCH(C1142&amp;D1142,INDEX(Background!$A$12:$A$27,0)&amp;INDEX(Background!$B$12:$B$27,0),0))</f>
        <v>#VALUE!</v>
      </c>
      <c r="I1142" s="17" t="e">
        <f t="shared" si="62"/>
        <v>#VALUE!</v>
      </c>
    </row>
    <row r="1143" spans="1:9">
      <c r="A1143" s="4" t="s">
        <v>768</v>
      </c>
      <c r="B1143" s="4">
        <v>6</v>
      </c>
      <c r="C1143" s="4" t="s">
        <v>73</v>
      </c>
      <c r="D1143" s="4" t="s">
        <v>73</v>
      </c>
      <c r="E1143" s="4" t="s">
        <v>788</v>
      </c>
      <c r="F1143" s="4" t="str">
        <f t="shared" si="61"/>
        <v>6|A|A</v>
      </c>
      <c r="G1143" s="14">
        <f>INDEX('Transition Stepwise'!$J$2:$J$1137,MATCH(F1143,'Transition Stepwise'!$E$2:$E$1137,0))</f>
        <v>0.26315789473684209</v>
      </c>
      <c r="H1143" s="14" t="e">
        <f>INDEX(Background!$D$12:$D$27,MATCH(C1143&amp;D1143,INDEX(Background!$A$12:$A$27,0)&amp;INDEX(Background!$B$12:$B$27,0),0))</f>
        <v>#VALUE!</v>
      </c>
      <c r="I1143" s="17" t="e">
        <f t="shared" si="62"/>
        <v>#VALUE!</v>
      </c>
    </row>
    <row r="1144" spans="1:9">
      <c r="A1144" s="4" t="s">
        <v>768</v>
      </c>
      <c r="B1144" s="4">
        <v>7</v>
      </c>
      <c r="C1144" s="4" t="s">
        <v>73</v>
      </c>
      <c r="D1144" s="4" t="s">
        <v>72</v>
      </c>
      <c r="E1144" s="4" t="s">
        <v>788</v>
      </c>
      <c r="F1144" s="4" t="str">
        <f t="shared" si="61"/>
        <v>7|A|U</v>
      </c>
      <c r="G1144" s="14">
        <f>INDEX('Transition Stepwise'!$J$2:$J$1137,MATCH(F1144,'Transition Stepwise'!$E$2:$E$1137,0))</f>
        <v>0.92307692307692313</v>
      </c>
      <c r="H1144" s="14" t="e">
        <f>INDEX(Background!$D$12:$D$27,MATCH(C1144&amp;D1144,INDEX(Background!$A$12:$A$27,0)&amp;INDEX(Background!$B$12:$B$27,0),0))</f>
        <v>#VALUE!</v>
      </c>
      <c r="I1144" s="17" t="e">
        <f t="shared" si="62"/>
        <v>#VALUE!</v>
      </c>
    </row>
    <row r="1145" spans="1:9">
      <c r="A1145" s="4" t="s">
        <v>768</v>
      </c>
      <c r="B1145" s="4">
        <v>8</v>
      </c>
      <c r="C1145" s="4" t="s">
        <v>72</v>
      </c>
      <c r="D1145" s="4" t="s">
        <v>73</v>
      </c>
      <c r="E1145" s="4" t="s">
        <v>788</v>
      </c>
      <c r="F1145" s="4" t="str">
        <f t="shared" si="61"/>
        <v>8|U|A</v>
      </c>
      <c r="G1145" s="14">
        <f>INDEX('Transition Stepwise'!$J$2:$J$1137,MATCH(F1145,'Transition Stepwise'!$E$2:$E$1137,0))</f>
        <v>0.65174129353233834</v>
      </c>
      <c r="H1145" s="14" t="e">
        <f>INDEX(Background!$D$12:$D$27,MATCH(C1145&amp;D1145,INDEX(Background!$A$12:$A$27,0)&amp;INDEX(Background!$B$12:$B$27,0),0))</f>
        <v>#VALUE!</v>
      </c>
      <c r="I1145" s="17" t="e">
        <f t="shared" si="62"/>
        <v>#VALUE!</v>
      </c>
    </row>
    <row r="1146" spans="1:9">
      <c r="A1146" s="4" t="s">
        <v>768</v>
      </c>
      <c r="B1146" s="4">
        <v>9</v>
      </c>
      <c r="C1146" s="4" t="s">
        <v>73</v>
      </c>
      <c r="D1146" s="4" t="s">
        <v>73</v>
      </c>
      <c r="E1146" s="4" t="s">
        <v>788</v>
      </c>
      <c r="F1146" s="4" t="str">
        <f t="shared" si="61"/>
        <v>9|A|A</v>
      </c>
      <c r="G1146" s="14">
        <f>INDEX('Transition Stepwise'!$J$2:$J$1137,MATCH(F1146,'Transition Stepwise'!$E$2:$E$1137,0))</f>
        <v>7.4074074074074077E-3</v>
      </c>
      <c r="H1146" s="14" t="e">
        <f>INDEX(Background!$D$12:$D$27,MATCH(C1146&amp;D1146,INDEX(Background!$A$12:$A$27,0)&amp;INDEX(Background!$B$12:$B$27,0),0))</f>
        <v>#VALUE!</v>
      </c>
      <c r="I1146" s="17" t="e">
        <f t="shared" si="62"/>
        <v>#VALUE!</v>
      </c>
    </row>
    <row r="1147" spans="1:9">
      <c r="A1147" s="4" t="s">
        <v>768</v>
      </c>
      <c r="B1147" s="4">
        <v>10</v>
      </c>
      <c r="C1147" s="4" t="s">
        <v>73</v>
      </c>
      <c r="D1147" s="4" t="s">
        <v>73</v>
      </c>
      <c r="E1147" s="4" t="s">
        <v>788</v>
      </c>
      <c r="F1147" s="4" t="str">
        <f t="shared" si="61"/>
        <v>10|A|A</v>
      </c>
      <c r="G1147" s="14">
        <f>INDEX('Transition Stepwise'!$J$2:$J$1137,MATCH(F1147,'Transition Stepwise'!$E$2:$E$1137,0))</f>
        <v>0.25</v>
      </c>
      <c r="H1147" s="14" t="e">
        <f>INDEX(Background!$D$12:$D$27,MATCH(C1147&amp;D1147,INDEX(Background!$A$12:$A$27,0)&amp;INDEX(Background!$B$12:$B$27,0),0))</f>
        <v>#VALUE!</v>
      </c>
      <c r="I1147" s="17" t="e">
        <f t="shared" si="62"/>
        <v>#VALUE!</v>
      </c>
    </row>
    <row r="1148" spans="1:9">
      <c r="A1148" s="4" t="s">
        <v>768</v>
      </c>
      <c r="B1148" s="4">
        <v>11</v>
      </c>
      <c r="C1148" s="4" t="s">
        <v>73</v>
      </c>
      <c r="D1148" s="4" t="s">
        <v>72</v>
      </c>
      <c r="E1148" s="4" t="s">
        <v>788</v>
      </c>
      <c r="F1148" s="4" t="str">
        <f t="shared" si="61"/>
        <v>11|A|U</v>
      </c>
      <c r="G1148" s="14">
        <f>INDEX('Transition Stepwise'!$J$2:$J$1137,MATCH(F1148,'Transition Stepwise'!$E$2:$E$1137,0))</f>
        <v>0.36363636363636365</v>
      </c>
      <c r="H1148" s="14" t="e">
        <f>INDEX(Background!$D$12:$D$27,MATCH(C1148&amp;D1148,INDEX(Background!$A$12:$A$27,0)&amp;INDEX(Background!$B$12:$B$27,0),0))</f>
        <v>#VALUE!</v>
      </c>
      <c r="I1148" s="17" t="e">
        <f t="shared" si="62"/>
        <v>#VALUE!</v>
      </c>
    </row>
    <row r="1149" spans="1:9">
      <c r="A1149" s="4" t="s">
        <v>768</v>
      </c>
      <c r="B1149" s="4">
        <v>12</v>
      </c>
      <c r="C1149" s="4" t="s">
        <v>72</v>
      </c>
      <c r="D1149" s="4" t="s">
        <v>72</v>
      </c>
      <c r="E1149" s="4" t="s">
        <v>788</v>
      </c>
      <c r="F1149" s="4" t="str">
        <f t="shared" si="61"/>
        <v>12|U|U</v>
      </c>
      <c r="G1149" s="14">
        <f>INDEX('Transition Stepwise'!$J$2:$J$1137,MATCH(F1149,'Transition Stepwise'!$E$2:$E$1137,0))</f>
        <v>9.6774193548387094E-2</v>
      </c>
      <c r="H1149" s="14" t="e">
        <f>INDEX(Background!$D$12:$D$27,MATCH(C1149&amp;D1149,INDEX(Background!$A$12:$A$27,0)&amp;INDEX(Background!$B$12:$B$27,0),0))</f>
        <v>#VALUE!</v>
      </c>
      <c r="I1149" s="17" t="e">
        <f t="shared" si="62"/>
        <v>#VALUE!</v>
      </c>
    </row>
    <row r="1150" spans="1:9">
      <c r="A1150" s="4" t="s">
        <v>768</v>
      </c>
      <c r="B1150" s="4">
        <v>13</v>
      </c>
      <c r="C1150" s="4" t="s">
        <v>72</v>
      </c>
      <c r="D1150" s="4" t="s">
        <v>73</v>
      </c>
      <c r="E1150" s="4" t="s">
        <v>788</v>
      </c>
      <c r="F1150" s="4" t="str">
        <f t="shared" si="61"/>
        <v>13|U|A</v>
      </c>
      <c r="G1150" s="14">
        <f>INDEX('Transition Stepwise'!$J$2:$J$1137,MATCH(F1150,'Transition Stepwise'!$E$2:$E$1137,0))</f>
        <v>0.9285714285714286</v>
      </c>
      <c r="H1150" s="14" t="e">
        <f>INDEX(Background!$D$12:$D$27,MATCH(C1150&amp;D1150,INDEX(Background!$A$12:$A$27,0)&amp;INDEX(Background!$B$12:$B$27,0),0))</f>
        <v>#VALUE!</v>
      </c>
      <c r="I1150" s="17" t="e">
        <f t="shared" si="62"/>
        <v>#VALUE!</v>
      </c>
    </row>
    <row r="1151" spans="1:9">
      <c r="A1151" s="4" t="s">
        <v>768</v>
      </c>
      <c r="B1151" s="4">
        <v>14</v>
      </c>
      <c r="C1151" s="4" t="s">
        <v>73</v>
      </c>
      <c r="D1151" s="4" t="s">
        <v>71</v>
      </c>
      <c r="E1151" s="4" t="s">
        <v>788</v>
      </c>
      <c r="F1151" s="4" t="str">
        <f t="shared" si="61"/>
        <v>14|A|C</v>
      </c>
      <c r="G1151" s="14">
        <f>INDEX('Transition Stepwise'!$J$2:$J$1137,MATCH(F1151,'Transition Stepwise'!$E$2:$E$1137,0))</f>
        <v>9.9502487562189053E-3</v>
      </c>
      <c r="H1151" s="14" t="e">
        <f>INDEX(Background!$D$12:$D$27,MATCH(C1151&amp;D1151,INDEX(Background!$A$12:$A$27,0)&amp;INDEX(Background!$B$12:$B$27,0),0))</f>
        <v>#VALUE!</v>
      </c>
      <c r="I1151" s="17" t="e">
        <f t="shared" si="62"/>
        <v>#VALUE!</v>
      </c>
    </row>
    <row r="1152" spans="1:9">
      <c r="A1152" s="4" t="s">
        <v>768</v>
      </c>
      <c r="B1152" s="4">
        <v>15</v>
      </c>
      <c r="C1152" s="4" t="s">
        <v>71</v>
      </c>
      <c r="D1152" s="4" t="s">
        <v>72</v>
      </c>
      <c r="E1152" s="4" t="s">
        <v>788</v>
      </c>
      <c r="F1152" s="4" t="str">
        <f t="shared" si="61"/>
        <v>15|C|U</v>
      </c>
      <c r="G1152" s="14">
        <f>INDEX('Transition Stepwise'!$J$2:$J$1137,MATCH(F1152,'Transition Stepwise'!$E$2:$E$1137,0))</f>
        <v>0.4</v>
      </c>
      <c r="H1152" s="14" t="e">
        <f>INDEX(Background!$D$12:$D$27,MATCH(C1152&amp;D1152,INDEX(Background!$A$12:$A$27,0)&amp;INDEX(Background!$B$12:$B$27,0),0))</f>
        <v>#VALUE!</v>
      </c>
      <c r="I1152" s="17" t="e">
        <f t="shared" si="62"/>
        <v>#VALUE!</v>
      </c>
    </row>
    <row r="1153" spans="1:9">
      <c r="A1153" s="4" t="s">
        <v>768</v>
      </c>
      <c r="B1153" s="4">
        <v>16</v>
      </c>
      <c r="C1153" s="4" t="s">
        <v>72</v>
      </c>
      <c r="D1153" s="4" t="s">
        <v>71</v>
      </c>
      <c r="E1153" s="4" t="s">
        <v>788</v>
      </c>
      <c r="F1153" s="4" t="str">
        <f t="shared" si="61"/>
        <v>16|U|C</v>
      </c>
      <c r="G1153" s="14">
        <f>INDEX('Transition Stepwise'!$J$2:$J$1137,MATCH(F1153,'Transition Stepwise'!$E$2:$E$1137,0))</f>
        <v>0.26829268292682928</v>
      </c>
      <c r="H1153" s="14" t="e">
        <f>INDEX(Background!$D$12:$D$27,MATCH(C1153&amp;D1153,INDEX(Background!$A$12:$A$27,0)&amp;INDEX(Background!$B$12:$B$27,0),0))</f>
        <v>#VALUE!</v>
      </c>
      <c r="I1153" s="17" t="e">
        <f t="shared" si="62"/>
        <v>#VALUE!</v>
      </c>
    </row>
    <row r="1154" spans="1:9">
      <c r="A1154" s="4" t="s">
        <v>768</v>
      </c>
      <c r="B1154" s="4">
        <v>17</v>
      </c>
      <c r="C1154" s="4" t="s">
        <v>71</v>
      </c>
      <c r="D1154" s="4" t="s">
        <v>70</v>
      </c>
      <c r="E1154" s="4" t="s">
        <v>788</v>
      </c>
      <c r="F1154" s="4" t="str">
        <f t="shared" si="61"/>
        <v>17|C|G</v>
      </c>
      <c r="G1154" s="14">
        <f>INDEX('Transition Stepwise'!$J$2:$J$1137,MATCH(F1154,'Transition Stepwise'!$E$2:$E$1137,0))</f>
        <v>0.95522388059701491</v>
      </c>
      <c r="H1154" s="14" t="e">
        <f>INDEX(Background!$D$12:$D$27,MATCH(C1154&amp;D1154,INDEX(Background!$A$12:$A$27,0)&amp;INDEX(Background!$B$12:$B$27,0),0))</f>
        <v>#VALUE!</v>
      </c>
      <c r="I1154" s="17" t="e">
        <f t="shared" si="62"/>
        <v>#VALUE!</v>
      </c>
    </row>
    <row r="1155" spans="1:9">
      <c r="A1155" s="4" t="s">
        <v>768</v>
      </c>
      <c r="B1155" s="4">
        <v>18</v>
      </c>
      <c r="C1155" s="4" t="s">
        <v>70</v>
      </c>
      <c r="D1155" s="4" t="s">
        <v>70</v>
      </c>
      <c r="E1155" s="4" t="s">
        <v>788</v>
      </c>
      <c r="F1155" s="4" t="str">
        <f t="shared" si="61"/>
        <v>18|G|G</v>
      </c>
      <c r="G1155" s="14">
        <f>INDEX('Transition Stepwise'!$J$2:$J$1137,MATCH(F1155,'Transition Stepwise'!$E$2:$E$1137,0))</f>
        <v>0.97536945812807885</v>
      </c>
      <c r="H1155" s="14" t="e">
        <f>INDEX(Background!$D$12:$D$27,MATCH(C1155&amp;D1155,INDEX(Background!$A$12:$A$27,0)&amp;INDEX(Background!$B$12:$B$27,0),0))</f>
        <v>#VALUE!</v>
      </c>
      <c r="I1155" s="17" t="e">
        <f t="shared" si="62"/>
        <v>#VALUE!</v>
      </c>
    </row>
    <row r="1156" spans="1:9">
      <c r="A1156" s="4" t="s">
        <v>768</v>
      </c>
      <c r="B1156" s="4">
        <v>19</v>
      </c>
      <c r="C1156" s="4" t="s">
        <v>70</v>
      </c>
      <c r="D1156" s="4" t="s">
        <v>73</v>
      </c>
      <c r="E1156" s="4" t="s">
        <v>788</v>
      </c>
      <c r="F1156" s="4" t="str">
        <f t="shared" si="61"/>
        <v>19|G|A</v>
      </c>
      <c r="G1156" s="14">
        <f>INDEX('Transition Stepwise'!$J$2:$J$1137,MATCH(F1156,'Transition Stepwise'!$E$2:$E$1137,0))</f>
        <v>8.9552238805970144E-2</v>
      </c>
      <c r="H1156" s="14" t="e">
        <f>INDEX(Background!$D$12:$D$27,MATCH(C1156&amp;D1156,INDEX(Background!$A$12:$A$27,0)&amp;INDEX(Background!$B$12:$B$27,0),0))</f>
        <v>#VALUE!</v>
      </c>
      <c r="I1156" s="17" t="e">
        <f t="shared" si="62"/>
        <v>#VALUE!</v>
      </c>
    </row>
    <row r="1157" spans="1:9">
      <c r="A1157" s="4" t="s">
        <v>768</v>
      </c>
      <c r="B1157" s="4">
        <v>20</v>
      </c>
      <c r="C1157" s="4" t="s">
        <v>73</v>
      </c>
      <c r="D1157" s="4" t="s">
        <v>73</v>
      </c>
      <c r="E1157" s="4" t="s">
        <v>788</v>
      </c>
      <c r="F1157" s="4" t="str">
        <f t="shared" si="61"/>
        <v>20|A|A</v>
      </c>
      <c r="G1157" s="14">
        <f>INDEX('Transition Stepwise'!$J$2:$J$1137,MATCH(F1157,'Transition Stepwise'!$E$2:$E$1137,0))</f>
        <v>0.80952380952380953</v>
      </c>
      <c r="H1157" s="14" t="e">
        <f>INDEX(Background!$D$12:$D$27,MATCH(C1157&amp;D1157,INDEX(Background!$A$12:$A$27,0)&amp;INDEX(Background!$B$12:$B$27,0),0))</f>
        <v>#VALUE!</v>
      </c>
      <c r="I1157" s="17" t="e">
        <f t="shared" si="62"/>
        <v>#VALUE!</v>
      </c>
    </row>
    <row r="1158" spans="1:9">
      <c r="A1158" s="4" t="s">
        <v>768</v>
      </c>
      <c r="B1158" s="4">
        <v>21</v>
      </c>
      <c r="C1158" s="4" t="s">
        <v>73</v>
      </c>
      <c r="D1158" s="4" t="s">
        <v>70</v>
      </c>
      <c r="E1158" s="4" t="s">
        <v>788</v>
      </c>
      <c r="F1158" s="4" t="str">
        <f t="shared" si="61"/>
        <v>21|A|G</v>
      </c>
      <c r="G1158" s="14">
        <f>INDEX('Transition Stepwise'!$J$2:$J$1137,MATCH(F1158,'Transition Stepwise'!$E$2:$E$1137,0))</f>
        <v>0.77049180327868849</v>
      </c>
      <c r="H1158" s="14" t="e">
        <f>INDEX(Background!$D$12:$D$27,MATCH(C1158&amp;D1158,INDEX(Background!$A$12:$A$27,0)&amp;INDEX(Background!$B$12:$B$27,0),0))</f>
        <v>#VALUE!</v>
      </c>
      <c r="I1158" s="17" t="e">
        <f t="shared" si="62"/>
        <v>#VALUE!</v>
      </c>
    </row>
    <row r="1159" spans="1:9">
      <c r="A1159" s="4" t="s">
        <v>768</v>
      </c>
      <c r="B1159" s="4">
        <v>22</v>
      </c>
      <c r="C1159" s="4" t="s">
        <v>70</v>
      </c>
      <c r="D1159" s="4" t="s">
        <v>70</v>
      </c>
      <c r="E1159" s="4" t="s">
        <v>788</v>
      </c>
      <c r="F1159" s="4" t="str">
        <f t="shared" si="61"/>
        <v>22|G|G</v>
      </c>
      <c r="G1159" s="14">
        <f>INDEX('Transition Stepwise'!$J$2:$J$1137,MATCH(F1159,'Transition Stepwise'!$E$2:$E$1137,0))</f>
        <v>4.0268456375838924E-2</v>
      </c>
      <c r="H1159" s="14" t="e">
        <f>INDEX(Background!$D$12:$D$27,MATCH(C1159&amp;D1159,INDEX(Background!$A$12:$A$27,0)&amp;INDEX(Background!$B$12:$B$27,0),0))</f>
        <v>#VALUE!</v>
      </c>
      <c r="I1159" s="17" t="e">
        <f t="shared" si="62"/>
        <v>#VALUE!</v>
      </c>
    </row>
    <row r="1160" spans="1:9">
      <c r="A1160" s="4" t="s">
        <v>768</v>
      </c>
      <c r="B1160" s="4">
        <v>23</v>
      </c>
      <c r="C1160" s="4" t="s">
        <v>70</v>
      </c>
      <c r="D1160" s="4" t="s">
        <v>70</v>
      </c>
      <c r="E1160" s="4" t="s">
        <v>788</v>
      </c>
      <c r="F1160" s="4" t="str">
        <f t="shared" si="61"/>
        <v>23|G|G</v>
      </c>
      <c r="G1160" s="14">
        <f>INDEX('Transition Stepwise'!$J$2:$J$1137,MATCH(F1160,'Transition Stepwise'!$E$2:$E$1137,0))</f>
        <v>0.60606060606060608</v>
      </c>
      <c r="H1160" s="14" t="e">
        <f>INDEX(Background!$D$12:$D$27,MATCH(C1160&amp;D1160,INDEX(Background!$A$12:$A$27,0)&amp;INDEX(Background!$B$12:$B$27,0),0))</f>
        <v>#VALUE!</v>
      </c>
      <c r="I1160" s="17" t="e">
        <f t="shared" si="62"/>
        <v>#VALUE!</v>
      </c>
    </row>
    <row r="1161" spans="1:9">
      <c r="A1161" s="4" t="s">
        <v>768</v>
      </c>
      <c r="B1161" s="4">
        <v>24</v>
      </c>
      <c r="C1161" s="4" t="s">
        <v>70</v>
      </c>
      <c r="D1161" s="4" t="s">
        <v>72</v>
      </c>
      <c r="E1161" s="4" t="s">
        <v>788</v>
      </c>
      <c r="F1161" s="4" t="str">
        <f t="shared" si="61"/>
        <v>24|G|U</v>
      </c>
      <c r="G1161" s="14">
        <f>INDEX('Transition Stepwise'!$J$2:$J$1137,MATCH(F1161,'Transition Stepwise'!$E$2:$E$1137,0))</f>
        <v>2.5974025974025976E-2</v>
      </c>
      <c r="H1161" s="14" t="e">
        <f>INDEX(Background!$D$12:$D$27,MATCH(C1161&amp;D1161,INDEX(Background!$A$12:$A$27,0)&amp;INDEX(Background!$B$12:$B$27,0),0))</f>
        <v>#VALUE!</v>
      </c>
      <c r="I1161" s="17" t="e">
        <f t="shared" si="62"/>
        <v>#VALUE!</v>
      </c>
    </row>
    <row r="1162" spans="1:9">
      <c r="A1162" s="4" t="s">
        <v>768</v>
      </c>
      <c r="B1162" s="4">
        <v>25</v>
      </c>
      <c r="C1162" s="4" t="s">
        <v>72</v>
      </c>
      <c r="D1162" s="4" t="s">
        <v>72</v>
      </c>
      <c r="E1162" s="4" t="s">
        <v>788</v>
      </c>
      <c r="F1162" s="4" t="str">
        <f t="shared" si="61"/>
        <v>25|U|U</v>
      </c>
      <c r="G1162" s="14">
        <f>INDEX('Transition Stepwise'!$J$2:$J$1137,MATCH(F1162,'Transition Stepwise'!$E$2:$E$1137,0))</f>
        <v>0.16666666666666666</v>
      </c>
      <c r="H1162" s="14" t="e">
        <f>INDEX(Background!$D$12:$D$27,MATCH(C1162&amp;D1162,INDEX(Background!$A$12:$A$27,0)&amp;INDEX(Background!$B$12:$B$27,0),0))</f>
        <v>#VALUE!</v>
      </c>
      <c r="I1162" s="17" t="e">
        <f t="shared" si="62"/>
        <v>#VALUE!</v>
      </c>
    </row>
    <row r="1163" spans="1:9">
      <c r="A1163" s="4" t="s">
        <v>768</v>
      </c>
      <c r="B1163" s="4">
        <v>26</v>
      </c>
      <c r="C1163" s="4" t="s">
        <v>72</v>
      </c>
      <c r="D1163" s="4" t="s">
        <v>73</v>
      </c>
      <c r="E1163" s="4" t="s">
        <v>788</v>
      </c>
      <c r="F1163" s="4" t="str">
        <f t="shared" si="61"/>
        <v>26|U|A</v>
      </c>
      <c r="G1163" s="14">
        <f>INDEX('Transition Stepwise'!$J$2:$J$1137,MATCH(F1163,'Transition Stepwise'!$E$2:$E$1137,0))</f>
        <v>0.13333333333333333</v>
      </c>
      <c r="H1163" s="14" t="e">
        <f>INDEX(Background!$D$12:$D$27,MATCH(C1163&amp;D1163,INDEX(Background!$A$12:$A$27,0)&amp;INDEX(Background!$B$12:$B$27,0),0))</f>
        <v>#VALUE!</v>
      </c>
      <c r="I1163" s="17" t="e">
        <f t="shared" si="62"/>
        <v>#VALUE!</v>
      </c>
    </row>
    <row r="1164" spans="1:9">
      <c r="A1164" s="4" t="s">
        <v>768</v>
      </c>
      <c r="B1164" s="4">
        <v>27</v>
      </c>
      <c r="C1164" s="4" t="s">
        <v>73</v>
      </c>
      <c r="D1164" s="4" t="s">
        <v>72</v>
      </c>
      <c r="E1164" s="4" t="s">
        <v>788</v>
      </c>
      <c r="F1164" s="4" t="str">
        <f t="shared" si="61"/>
        <v>27|A|U</v>
      </c>
      <c r="G1164" s="14">
        <f>INDEX('Transition Stepwise'!$J$2:$J$1137,MATCH(F1164,'Transition Stepwise'!$E$2:$E$1137,0))</f>
        <v>0.21428571428571427</v>
      </c>
      <c r="H1164" s="14" t="e">
        <f>INDEX(Background!$D$12:$D$27,MATCH(C1164&amp;D1164,INDEX(Background!$A$12:$A$27,0)&amp;INDEX(Background!$B$12:$B$27,0),0))</f>
        <v>#VALUE!</v>
      </c>
      <c r="I1164" s="17" t="e">
        <f t="shared" si="62"/>
        <v>#VALUE!</v>
      </c>
    </row>
    <row r="1165" spans="1:9">
      <c r="A1165" s="4" t="s">
        <v>768</v>
      </c>
      <c r="B1165" s="4">
        <v>28</v>
      </c>
      <c r="C1165" s="4" t="s">
        <v>72</v>
      </c>
      <c r="D1165" s="4" t="s">
        <v>73</v>
      </c>
      <c r="E1165" s="4" t="s">
        <v>788</v>
      </c>
      <c r="F1165" s="4" t="str">
        <f t="shared" si="61"/>
        <v>28|U|A</v>
      </c>
      <c r="G1165" s="14">
        <f>INDEX('Transition Stepwise'!$J$2:$J$1137,MATCH(F1165,'Transition Stepwise'!$E$2:$E$1137,0))</f>
        <v>0.14545454545454545</v>
      </c>
      <c r="H1165" s="14" t="e">
        <f>INDEX(Background!$D$12:$D$27,MATCH(C1165&amp;D1165,INDEX(Background!$A$12:$A$27,0)&amp;INDEX(Background!$B$12:$B$27,0),0))</f>
        <v>#VALUE!</v>
      </c>
      <c r="I1165" s="17" t="e">
        <f t="shared" si="62"/>
        <v>#VALUE!</v>
      </c>
    </row>
    <row r="1166" spans="1:9">
      <c r="A1166" s="4" t="s">
        <v>768</v>
      </c>
      <c r="B1166" s="4">
        <v>29</v>
      </c>
      <c r="C1166" s="4" t="s">
        <v>73</v>
      </c>
      <c r="D1166" s="4" t="s">
        <v>72</v>
      </c>
      <c r="E1166" s="4" t="s">
        <v>788</v>
      </c>
      <c r="F1166" s="4" t="str">
        <f t="shared" si="61"/>
        <v>29|A|U</v>
      </c>
      <c r="G1166" s="14">
        <f>INDEX('Transition Stepwise'!$J$2:$J$1137,MATCH(F1166,'Transition Stepwise'!$E$2:$E$1137,0))</f>
        <v>2.7777777777777776E-2</v>
      </c>
      <c r="H1166" s="14" t="e">
        <f>INDEX(Background!$D$12:$D$27,MATCH(C1166&amp;D1166,INDEX(Background!$A$12:$A$27,0)&amp;INDEX(Background!$B$12:$B$27,0),0))</f>
        <v>#VALUE!</v>
      </c>
      <c r="I1166" s="17" t="e">
        <f t="shared" si="62"/>
        <v>#VALUE!</v>
      </c>
    </row>
    <row r="1167" spans="1:9">
      <c r="A1167" s="4" t="s">
        <v>768</v>
      </c>
      <c r="B1167" s="4">
        <v>30</v>
      </c>
      <c r="C1167" s="4" t="s">
        <v>72</v>
      </c>
      <c r="D1167" s="4" t="s">
        <v>72</v>
      </c>
      <c r="E1167" s="4" t="s">
        <v>788</v>
      </c>
      <c r="F1167" s="4" t="str">
        <f t="shared" si="61"/>
        <v>30|U|U</v>
      </c>
      <c r="G1167" s="14">
        <f>INDEX('Transition Stepwise'!$J$2:$J$1137,MATCH(F1167,'Transition Stepwise'!$E$2:$E$1137,0))</f>
        <v>9.0909090909090912E-2</v>
      </c>
      <c r="H1167" s="14" t="e">
        <f>INDEX(Background!$D$12:$D$27,MATCH(C1167&amp;D1167,INDEX(Background!$A$12:$A$27,0)&amp;INDEX(Background!$B$12:$B$27,0),0))</f>
        <v>#VALUE!</v>
      </c>
      <c r="I1167" s="17" t="e">
        <f t="shared" si="62"/>
        <v>#VALUE!</v>
      </c>
    </row>
    <row r="1168" spans="1:9">
      <c r="A1168" s="4" t="s">
        <v>768</v>
      </c>
      <c r="B1168" s="4">
        <v>31</v>
      </c>
      <c r="C1168" s="4" t="s">
        <v>72</v>
      </c>
      <c r="D1168" s="4" t="s">
        <v>73</v>
      </c>
      <c r="E1168" s="4" t="s">
        <v>788</v>
      </c>
      <c r="F1168" s="4" t="str">
        <f t="shared" si="61"/>
        <v>31|U|A</v>
      </c>
      <c r="G1168" s="14">
        <f>INDEX('Transition Stepwise'!$J$2:$J$1137,MATCH(F1168,'Transition Stepwise'!$E$2:$E$1137,0))</f>
        <v>4.3478260869565216E-2</v>
      </c>
      <c r="H1168" s="14" t="e">
        <f>INDEX(Background!$D$12:$D$27,MATCH(C1168&amp;D1168,INDEX(Background!$A$12:$A$27,0)&amp;INDEX(Background!$B$12:$B$27,0),0))</f>
        <v>#VALUE!</v>
      </c>
      <c r="I1168" s="17" t="e">
        <f t="shared" si="62"/>
        <v>#VALUE!</v>
      </c>
    </row>
    <row r="1169" spans="1:9">
      <c r="A1169" s="4" t="s">
        <v>768</v>
      </c>
      <c r="B1169" s="4">
        <v>32</v>
      </c>
      <c r="C1169" s="4" t="s">
        <v>73</v>
      </c>
      <c r="D1169" s="4" t="s">
        <v>72</v>
      </c>
      <c r="E1169" s="4" t="s">
        <v>788</v>
      </c>
      <c r="F1169" s="4" t="str">
        <f t="shared" si="61"/>
        <v>32|A|U</v>
      </c>
      <c r="G1169" s="14">
        <f>INDEX('Transition Stepwise'!$J$2:$J$1137,MATCH(F1169,'Transition Stepwise'!$E$2:$E$1137,0))</f>
        <v>0.7</v>
      </c>
      <c r="H1169" s="14" t="e">
        <f>INDEX(Background!$D$12:$D$27,MATCH(C1169&amp;D1169,INDEX(Background!$A$12:$A$27,0)&amp;INDEX(Background!$B$12:$B$27,0),0))</f>
        <v>#VALUE!</v>
      </c>
      <c r="I1169" s="17" t="e">
        <f t="shared" si="62"/>
        <v>#VALUE!</v>
      </c>
    </row>
    <row r="1170" spans="1:9">
      <c r="A1170" s="4" t="s">
        <v>768</v>
      </c>
      <c r="B1170" s="4">
        <v>33</v>
      </c>
      <c r="C1170" s="4" t="s">
        <v>72</v>
      </c>
      <c r="D1170" s="4" t="s">
        <v>72</v>
      </c>
      <c r="E1170" s="4" t="s">
        <v>788</v>
      </c>
      <c r="F1170" s="4" t="str">
        <f t="shared" si="61"/>
        <v>33|U|U</v>
      </c>
      <c r="G1170" s="14">
        <f>INDEX('Transition Stepwise'!$J$2:$J$1137,MATCH(F1170,'Transition Stepwise'!$E$2:$E$1137,0))</f>
        <v>0.29207920792079206</v>
      </c>
      <c r="H1170" s="14" t="e">
        <f>INDEX(Background!$D$12:$D$27,MATCH(C1170&amp;D1170,INDEX(Background!$A$12:$A$27,0)&amp;INDEX(Background!$B$12:$B$27,0),0))</f>
        <v>#VALUE!</v>
      </c>
      <c r="I1170" s="17" t="e">
        <f t="shared" si="62"/>
        <v>#VALUE!</v>
      </c>
    </row>
    <row r="1171" spans="1:9">
      <c r="A1171" s="4" t="s">
        <v>768</v>
      </c>
      <c r="B1171" s="4">
        <v>34</v>
      </c>
      <c r="C1171" s="4" t="s">
        <v>72</v>
      </c>
      <c r="D1171" s="4" t="s">
        <v>72</v>
      </c>
      <c r="E1171" s="4" t="s">
        <v>788</v>
      </c>
      <c r="F1171" s="4" t="str">
        <f t="shared" si="61"/>
        <v>34|U|U</v>
      </c>
      <c r="G1171" s="14">
        <f>INDEX('Transition Stepwise'!$J$2:$J$1137,MATCH(F1171,'Transition Stepwise'!$E$2:$E$1137,0))</f>
        <v>0.17741935483870969</v>
      </c>
      <c r="H1171" s="14" t="e">
        <f>INDEX(Background!$D$12:$D$27,MATCH(C1171&amp;D1171,INDEX(Background!$A$12:$A$27,0)&amp;INDEX(Background!$B$12:$B$27,0),0))</f>
        <v>#VALUE!</v>
      </c>
      <c r="I1171" s="17" t="e">
        <f t="shared" si="62"/>
        <v>#VALUE!</v>
      </c>
    </row>
    <row r="1172" spans="1:9">
      <c r="A1172" s="4" t="s">
        <v>768</v>
      </c>
      <c r="B1172" s="4">
        <v>35</v>
      </c>
      <c r="C1172" s="4" t="s">
        <v>72</v>
      </c>
      <c r="D1172" s="4" t="s">
        <v>73</v>
      </c>
      <c r="E1172" s="4" t="s">
        <v>788</v>
      </c>
      <c r="F1172" s="4" t="str">
        <f t="shared" si="61"/>
        <v>35|U|A</v>
      </c>
      <c r="G1172" s="14">
        <f>INDEX('Transition Stepwise'!$J$2:$J$1137,MATCH(F1172,'Transition Stepwise'!$E$2:$E$1137,0))</f>
        <v>0.17777777777777778</v>
      </c>
      <c r="H1172" s="14" t="e">
        <f>INDEX(Background!$D$12:$D$27,MATCH(C1172&amp;D1172,INDEX(Background!$A$12:$A$27,0)&amp;INDEX(Background!$B$12:$B$27,0),0))</f>
        <v>#VALUE!</v>
      </c>
      <c r="I1172" s="17" t="e">
        <f t="shared" si="62"/>
        <v>#VALUE!</v>
      </c>
    </row>
    <row r="1173" spans="1:9">
      <c r="A1173" s="4" t="s">
        <v>768</v>
      </c>
      <c r="B1173" s="4">
        <v>36</v>
      </c>
      <c r="C1173" s="4" t="s">
        <v>73</v>
      </c>
      <c r="D1173" s="4" t="s">
        <v>73</v>
      </c>
      <c r="E1173" s="4" t="s">
        <v>788</v>
      </c>
      <c r="F1173" s="4" t="str">
        <f t="shared" si="61"/>
        <v>36|A|A</v>
      </c>
      <c r="G1173" s="14">
        <f>INDEX('Transition Stepwise'!$J$2:$J$1137,MATCH(F1173,'Transition Stepwise'!$E$2:$E$1137,0))</f>
        <v>0.55319148936170215</v>
      </c>
      <c r="H1173" s="14" t="e">
        <f>INDEX(Background!$D$12:$D$27,MATCH(C1173&amp;D1173,INDEX(Background!$A$12:$A$27,0)&amp;INDEX(Background!$B$12:$B$27,0),0))</f>
        <v>#VALUE!</v>
      </c>
      <c r="I1173" s="17" t="e">
        <f t="shared" si="62"/>
        <v>#VALUE!</v>
      </c>
    </row>
    <row r="1174" spans="1:9">
      <c r="A1174" s="4" t="s">
        <v>768</v>
      </c>
      <c r="B1174" s="4">
        <v>37</v>
      </c>
      <c r="C1174" s="4" t="s">
        <v>73</v>
      </c>
      <c r="D1174" s="4" t="s">
        <v>72</v>
      </c>
      <c r="E1174" s="4" t="s">
        <v>788</v>
      </c>
      <c r="F1174" s="4" t="str">
        <f t="shared" si="61"/>
        <v>37|A|U</v>
      </c>
      <c r="G1174" s="14">
        <f>INDEX('Transition Stepwise'!$J$2:$J$1137,MATCH(F1174,'Transition Stepwise'!$E$2:$E$1137,0))</f>
        <v>9.6774193548387094E-2</v>
      </c>
      <c r="H1174" s="14" t="e">
        <f>INDEX(Background!$D$12:$D$27,MATCH(C1174&amp;D1174,INDEX(Background!$A$12:$A$27,0)&amp;INDEX(Background!$B$12:$B$27,0),0))</f>
        <v>#VALUE!</v>
      </c>
      <c r="I1174" s="17" t="e">
        <f t="shared" si="62"/>
        <v>#VALUE!</v>
      </c>
    </row>
    <row r="1175" spans="1:9">
      <c r="A1175" s="4" t="s">
        <v>768</v>
      </c>
      <c r="B1175" s="4">
        <v>38</v>
      </c>
      <c r="C1175" s="4" t="s">
        <v>72</v>
      </c>
      <c r="D1175" s="4" t="s">
        <v>73</v>
      </c>
      <c r="E1175" s="4" t="s">
        <v>788</v>
      </c>
      <c r="F1175" s="4" t="str">
        <f t="shared" si="61"/>
        <v>38|U|A</v>
      </c>
      <c r="G1175" s="14">
        <f>INDEX('Transition Stepwise'!$J$2:$J$1137,MATCH(F1175,'Transition Stepwise'!$E$2:$E$1137,0))</f>
        <v>0.1111111111111111</v>
      </c>
      <c r="H1175" s="14" t="e">
        <f>INDEX(Background!$D$12:$D$27,MATCH(C1175&amp;D1175,INDEX(Background!$A$12:$A$27,0)&amp;INDEX(Background!$B$12:$B$27,0),0))</f>
        <v>#VALUE!</v>
      </c>
      <c r="I1175" s="17" t="e">
        <f t="shared" si="62"/>
        <v>#VALUE!</v>
      </c>
    </row>
    <row r="1176" spans="1:9">
      <c r="A1176" s="4" t="s">
        <v>768</v>
      </c>
      <c r="B1176" s="4">
        <v>39</v>
      </c>
      <c r="C1176" s="4" t="s">
        <v>73</v>
      </c>
      <c r="D1176" s="4" t="s">
        <v>73</v>
      </c>
      <c r="E1176" s="4" t="s">
        <v>788</v>
      </c>
      <c r="F1176" s="4" t="str">
        <f t="shared" si="61"/>
        <v>39|A|A</v>
      </c>
      <c r="G1176" s="14">
        <f>INDEX('Transition Stepwise'!$J$2:$J$1137,MATCH(F1176,'Transition Stepwise'!$E$2:$E$1137,0))</f>
        <v>4.5454545454545456E-2</v>
      </c>
      <c r="H1176" s="14" t="e">
        <f>INDEX(Background!$D$12:$D$27,MATCH(C1176&amp;D1176,INDEX(Background!$A$12:$A$27,0)&amp;INDEX(Background!$B$12:$B$27,0),0))</f>
        <v>#VALUE!</v>
      </c>
      <c r="I1176" s="17" t="e">
        <f t="shared" si="62"/>
        <v>#VALUE!</v>
      </c>
    </row>
    <row r="1177" spans="1:9">
      <c r="A1177" s="4" t="s">
        <v>768</v>
      </c>
      <c r="B1177" s="4">
        <v>40</v>
      </c>
      <c r="C1177" s="4" t="s">
        <v>73</v>
      </c>
      <c r="D1177" s="4" t="s">
        <v>72</v>
      </c>
      <c r="E1177" s="4" t="s">
        <v>788</v>
      </c>
      <c r="F1177" s="4" t="str">
        <f t="shared" si="61"/>
        <v>40|A|U</v>
      </c>
      <c r="G1177" s="14">
        <f>INDEX('Transition Stepwise'!$J$2:$J$1137,MATCH(F1177,'Transition Stepwise'!$E$2:$E$1137,0))</f>
        <v>0.2</v>
      </c>
      <c r="H1177" s="14" t="e">
        <f>INDEX(Background!$D$12:$D$27,MATCH(C1177&amp;D1177,INDEX(Background!$A$12:$A$27,0)&amp;INDEX(Background!$B$12:$B$27,0),0))</f>
        <v>#VALUE!</v>
      </c>
      <c r="I1177" s="17" t="e">
        <f t="shared" si="62"/>
        <v>#VALUE!</v>
      </c>
    </row>
    <row r="1178" spans="1:9">
      <c r="A1178" s="4" t="s">
        <v>768</v>
      </c>
      <c r="B1178" s="4">
        <v>41</v>
      </c>
      <c r="C1178" s="4" t="s">
        <v>72</v>
      </c>
      <c r="D1178" s="4" t="s">
        <v>70</v>
      </c>
      <c r="E1178" s="4" t="s">
        <v>788</v>
      </c>
      <c r="F1178" s="4" t="str">
        <f t="shared" si="61"/>
        <v>41|U|G</v>
      </c>
      <c r="G1178" s="14">
        <f>INDEX('Transition Stepwise'!$J$2:$J$1137,MATCH(F1178,'Transition Stepwise'!$E$2:$E$1137,0))</f>
        <v>0.51351351351351349</v>
      </c>
      <c r="H1178" s="14" t="e">
        <f>INDEX(Background!$D$12:$D$27,MATCH(C1178&amp;D1178,INDEX(Background!$A$12:$A$27,0)&amp;INDEX(Background!$B$12:$B$27,0),0))</f>
        <v>#VALUE!</v>
      </c>
      <c r="I1178" s="17" t="e">
        <f t="shared" si="62"/>
        <v>#VALUE!</v>
      </c>
    </row>
    <row r="1179" spans="1:9">
      <c r="A1179" s="4" t="s">
        <v>768</v>
      </c>
      <c r="B1179" s="4">
        <v>42</v>
      </c>
      <c r="C1179" s="4" t="s">
        <v>70</v>
      </c>
      <c r="D1179" s="4" t="s">
        <v>72</v>
      </c>
      <c r="E1179" s="4" t="s">
        <v>788</v>
      </c>
      <c r="F1179" s="4" t="str">
        <f t="shared" si="61"/>
        <v>42|G|U</v>
      </c>
      <c r="G1179" s="14">
        <f>INDEX('Transition Stepwise'!$J$2:$J$1137,MATCH(F1179,'Transition Stepwise'!$E$2:$E$1137,0))</f>
        <v>0.19266055045871561</v>
      </c>
      <c r="H1179" s="14" t="e">
        <f>INDEX(Background!$D$12:$D$27,MATCH(C1179&amp;D1179,INDEX(Background!$A$12:$A$27,0)&amp;INDEX(Background!$B$12:$B$27,0),0))</f>
        <v>#VALUE!</v>
      </c>
      <c r="I1179" s="17" t="e">
        <f t="shared" si="62"/>
        <v>#VALUE!</v>
      </c>
    </row>
    <row r="1180" spans="1:9">
      <c r="A1180" s="4" t="s">
        <v>768</v>
      </c>
      <c r="B1180" s="4">
        <v>43</v>
      </c>
      <c r="C1180" s="4" t="s">
        <v>72</v>
      </c>
      <c r="D1180" s="4" t="s">
        <v>73</v>
      </c>
      <c r="E1180" s="4" t="s">
        <v>788</v>
      </c>
      <c r="F1180" s="4" t="str">
        <f t="shared" si="61"/>
        <v>43|U|A</v>
      </c>
      <c r="G1180" s="14">
        <f>INDEX('Transition Stepwise'!$J$2:$J$1137,MATCH(F1180,'Transition Stepwise'!$E$2:$E$1137,0))</f>
        <v>0.44444444444444442</v>
      </c>
      <c r="H1180" s="14" t="e">
        <f>INDEX(Background!$D$12:$D$27,MATCH(C1180&amp;D1180,INDEX(Background!$A$12:$A$27,0)&amp;INDEX(Background!$B$12:$B$27,0),0))</f>
        <v>#VALUE!</v>
      </c>
      <c r="I1180" s="17" t="e">
        <f t="shared" si="62"/>
        <v>#VALUE!</v>
      </c>
    </row>
    <row r="1181" spans="1:9">
      <c r="A1181" s="4" t="s">
        <v>768</v>
      </c>
      <c r="B1181" s="4">
        <v>44</v>
      </c>
      <c r="C1181" s="4" t="s">
        <v>73</v>
      </c>
      <c r="D1181" s="4" t="s">
        <v>72</v>
      </c>
      <c r="E1181" s="4" t="s">
        <v>788</v>
      </c>
      <c r="F1181" s="4" t="str">
        <f t="shared" si="61"/>
        <v>44|A|U</v>
      </c>
      <c r="G1181" s="14">
        <f>INDEX('Transition Stepwise'!$J$2:$J$1137,MATCH(F1181,'Transition Stepwise'!$E$2:$E$1137,0))</f>
        <v>9.7087378640776698E-2</v>
      </c>
      <c r="H1181" s="14" t="e">
        <f>INDEX(Background!$D$12:$D$27,MATCH(C1181&amp;D1181,INDEX(Background!$A$12:$A$27,0)&amp;INDEX(Background!$B$12:$B$27,0),0))</f>
        <v>#VALUE!</v>
      </c>
      <c r="I1181" s="17" t="e">
        <f t="shared" si="62"/>
        <v>#VALUE!</v>
      </c>
    </row>
    <row r="1182" spans="1:9">
      <c r="A1182" s="4" t="s">
        <v>768</v>
      </c>
      <c r="B1182" s="4">
        <v>45</v>
      </c>
      <c r="C1182" s="4" t="s">
        <v>72</v>
      </c>
      <c r="D1182" s="4" t="s">
        <v>77</v>
      </c>
      <c r="E1182" s="10" t="s">
        <v>789</v>
      </c>
      <c r="F1182" s="4"/>
      <c r="G1182" s="4"/>
      <c r="H1182" s="4"/>
      <c r="I1182" s="4"/>
    </row>
    <row r="1183" spans="1:9">
      <c r="A1183" s="4" t="s">
        <v>768</v>
      </c>
      <c r="B1183" s="4">
        <v>46</v>
      </c>
      <c r="C1183" s="4" t="s">
        <v>77</v>
      </c>
      <c r="D1183" s="4" t="s">
        <v>70</v>
      </c>
      <c r="E1183" s="10" t="s">
        <v>789</v>
      </c>
      <c r="F1183" s="4"/>
      <c r="G1183" s="4"/>
      <c r="H1183" s="4"/>
      <c r="I1183" s="4"/>
    </row>
    <row r="1184" spans="1:9">
      <c r="A1184" s="4" t="s">
        <v>768</v>
      </c>
      <c r="B1184" s="4">
        <v>47</v>
      </c>
      <c r="C1184" s="4" t="s">
        <v>70</v>
      </c>
      <c r="D1184" s="4" t="s">
        <v>70</v>
      </c>
      <c r="E1184" s="4" t="s">
        <v>788</v>
      </c>
      <c r="F1184" s="4" t="str">
        <f t="shared" ref="F1184:F1215" si="63">B1184&amp;"|"&amp;C1184&amp;"|"&amp;D1184</f>
        <v>47|G|G</v>
      </c>
      <c r="G1184" s="14">
        <f>INDEX('Transition Stepwise'!$J$2:$J$1137,MATCH(F1184,'Transition Stepwise'!$E$2:$E$1137,0))</f>
        <v>0.05</v>
      </c>
      <c r="H1184" s="14" t="e">
        <f>INDEX(Background!$D$12:$D$27,MATCH(C1184&amp;D1184,INDEX(Background!$A$12:$A$27,0)&amp;INDEX(Background!$B$12:$B$27,0),0))</f>
        <v>#VALUE!</v>
      </c>
      <c r="I1184" s="17" t="e">
        <f t="shared" ref="I1184:I1215" si="64">LN(G1184/H1184)</f>
        <v>#VALUE!</v>
      </c>
    </row>
    <row r="1185" spans="1:9">
      <c r="A1185" s="4" t="s">
        <v>768</v>
      </c>
      <c r="B1185" s="4">
        <v>48</v>
      </c>
      <c r="C1185" s="4" t="s">
        <v>70</v>
      </c>
      <c r="D1185" s="4" t="s">
        <v>73</v>
      </c>
      <c r="E1185" s="4" t="s">
        <v>788</v>
      </c>
      <c r="F1185" s="4" t="str">
        <f t="shared" si="63"/>
        <v>48|G|A</v>
      </c>
      <c r="G1185" s="14">
        <f>INDEX('Transition Stepwise'!$J$2:$J$1137,MATCH(F1185,'Transition Stepwise'!$E$2:$E$1137,0))</f>
        <v>0.16666666666666666</v>
      </c>
      <c r="H1185" s="14" t="e">
        <f>INDEX(Background!$D$12:$D$27,MATCH(C1185&amp;D1185,INDEX(Background!$A$12:$A$27,0)&amp;INDEX(Background!$B$12:$B$27,0),0))</f>
        <v>#VALUE!</v>
      </c>
      <c r="I1185" s="17" t="e">
        <f t="shared" si="64"/>
        <v>#VALUE!</v>
      </c>
    </row>
    <row r="1186" spans="1:9">
      <c r="A1186" s="4" t="s">
        <v>768</v>
      </c>
      <c r="B1186" s="4">
        <v>49</v>
      </c>
      <c r="C1186" s="4" t="s">
        <v>73</v>
      </c>
      <c r="D1186" s="4" t="s">
        <v>73</v>
      </c>
      <c r="E1186" s="4" t="s">
        <v>788</v>
      </c>
      <c r="F1186" s="4" t="str">
        <f t="shared" si="63"/>
        <v>49|A|A</v>
      </c>
      <c r="G1186" s="14">
        <f>INDEX('Transition Stepwise'!$J$2:$J$1137,MATCH(F1186,'Transition Stepwise'!$E$2:$E$1137,0))</f>
        <v>8.5714285714285715E-2</v>
      </c>
      <c r="H1186" s="14" t="e">
        <f>INDEX(Background!$D$12:$D$27,MATCH(C1186&amp;D1186,INDEX(Background!$A$12:$A$27,0)&amp;INDEX(Background!$B$12:$B$27,0),0))</f>
        <v>#VALUE!</v>
      </c>
      <c r="I1186" s="17" t="e">
        <f t="shared" si="64"/>
        <v>#VALUE!</v>
      </c>
    </row>
    <row r="1187" spans="1:9">
      <c r="A1187" s="4" t="s">
        <v>768</v>
      </c>
      <c r="B1187" s="4">
        <v>50</v>
      </c>
      <c r="C1187" s="4" t="s">
        <v>73</v>
      </c>
      <c r="D1187" s="4" t="s">
        <v>73</v>
      </c>
      <c r="E1187" s="4" t="s">
        <v>788</v>
      </c>
      <c r="F1187" s="4" t="str">
        <f t="shared" si="63"/>
        <v>50|A|A</v>
      </c>
      <c r="G1187" s="14">
        <f>INDEX('Transition Stepwise'!$J$2:$J$1137,MATCH(F1187,'Transition Stepwise'!$E$2:$E$1137,0))</f>
        <v>0.14814814814814814</v>
      </c>
      <c r="H1187" s="14" t="e">
        <f>INDEX(Background!$D$12:$D$27,MATCH(C1187&amp;D1187,INDEX(Background!$A$12:$A$27,0)&amp;INDEX(Background!$B$12:$B$27,0),0))</f>
        <v>#VALUE!</v>
      </c>
      <c r="I1187" s="17" t="e">
        <f t="shared" si="64"/>
        <v>#VALUE!</v>
      </c>
    </row>
    <row r="1188" spans="1:9">
      <c r="A1188" s="4" t="s">
        <v>768</v>
      </c>
      <c r="B1188" s="4">
        <v>51</v>
      </c>
      <c r="C1188" s="4" t="s">
        <v>73</v>
      </c>
      <c r="D1188" s="4" t="s">
        <v>70</v>
      </c>
      <c r="E1188" s="4" t="s">
        <v>788</v>
      </c>
      <c r="F1188" s="4" t="str">
        <f t="shared" si="63"/>
        <v>51|A|G</v>
      </c>
      <c r="G1188" s="14">
        <f>INDEX('Transition Stepwise'!$J$2:$J$1137,MATCH(F1188,'Transition Stepwise'!$E$2:$E$1137,0))</f>
        <v>0.875</v>
      </c>
      <c r="H1188" s="14" t="e">
        <f>INDEX(Background!$D$12:$D$27,MATCH(C1188&amp;D1188,INDEX(Background!$A$12:$A$27,0)&amp;INDEX(Background!$B$12:$B$27,0),0))</f>
        <v>#VALUE!</v>
      </c>
      <c r="I1188" s="17" t="e">
        <f t="shared" si="64"/>
        <v>#VALUE!</v>
      </c>
    </row>
    <row r="1189" spans="1:9">
      <c r="A1189" s="4" t="s">
        <v>768</v>
      </c>
      <c r="B1189" s="4">
        <v>52</v>
      </c>
      <c r="C1189" s="4" t="s">
        <v>70</v>
      </c>
      <c r="D1189" s="4" t="s">
        <v>70</v>
      </c>
      <c r="E1189" s="4" t="s">
        <v>788</v>
      </c>
      <c r="F1189" s="4" t="str">
        <f t="shared" si="63"/>
        <v>52|G|G</v>
      </c>
      <c r="G1189" s="14">
        <f>INDEX('Transition Stepwise'!$J$2:$J$1137,MATCH(F1189,'Transition Stepwise'!$E$2:$E$1137,0))</f>
        <v>0.96511627906976749</v>
      </c>
      <c r="H1189" s="14" t="e">
        <f>INDEX(Background!$D$12:$D$27,MATCH(C1189&amp;D1189,INDEX(Background!$A$12:$A$27,0)&amp;INDEX(Background!$B$12:$B$27,0),0))</f>
        <v>#VALUE!</v>
      </c>
      <c r="I1189" s="17" t="e">
        <f t="shared" si="64"/>
        <v>#VALUE!</v>
      </c>
    </row>
    <row r="1190" spans="1:9">
      <c r="A1190" s="4" t="s">
        <v>768</v>
      </c>
      <c r="B1190" s="4">
        <v>53</v>
      </c>
      <c r="C1190" s="4" t="s">
        <v>70</v>
      </c>
      <c r="D1190" s="4" t="s">
        <v>73</v>
      </c>
      <c r="E1190" s="4" t="s">
        <v>788</v>
      </c>
      <c r="F1190" s="4" t="str">
        <f t="shared" si="63"/>
        <v>53|G|A</v>
      </c>
      <c r="G1190" s="14">
        <f>INDEX('Transition Stepwise'!$J$2:$J$1137,MATCH(F1190,'Transition Stepwise'!$E$2:$E$1137,0))</f>
        <v>1.4999999999999999E-2</v>
      </c>
      <c r="H1190" s="14" t="e">
        <f>INDEX(Background!$D$12:$D$27,MATCH(C1190&amp;D1190,INDEX(Background!$A$12:$A$27,0)&amp;INDEX(Background!$B$12:$B$27,0),0))</f>
        <v>#VALUE!</v>
      </c>
      <c r="I1190" s="17" t="e">
        <f t="shared" si="64"/>
        <v>#VALUE!</v>
      </c>
    </row>
    <row r="1191" spans="1:9">
      <c r="A1191" s="4" t="s">
        <v>768</v>
      </c>
      <c r="B1191" s="4">
        <v>54</v>
      </c>
      <c r="C1191" s="4" t="s">
        <v>73</v>
      </c>
      <c r="D1191" s="4" t="s">
        <v>72</v>
      </c>
      <c r="E1191" s="4" t="s">
        <v>788</v>
      </c>
      <c r="F1191" s="4" t="str">
        <f t="shared" si="63"/>
        <v>54|A|U</v>
      </c>
      <c r="G1191" s="14">
        <f>INDEX('Transition Stepwise'!$J$2:$J$1137,MATCH(F1191,'Transition Stepwise'!$E$2:$E$1137,0))</f>
        <v>0.5</v>
      </c>
      <c r="H1191" s="14" t="e">
        <f>INDEX(Background!$D$12:$D$27,MATCH(C1191&amp;D1191,INDEX(Background!$A$12:$A$27,0)&amp;INDEX(Background!$B$12:$B$27,0),0))</f>
        <v>#VALUE!</v>
      </c>
      <c r="I1191" s="17" t="e">
        <f t="shared" si="64"/>
        <v>#VALUE!</v>
      </c>
    </row>
    <row r="1192" spans="1:9">
      <c r="A1192" s="4" t="s">
        <v>768</v>
      </c>
      <c r="B1192" s="4">
        <v>55</v>
      </c>
      <c r="C1192" s="4" t="s">
        <v>72</v>
      </c>
      <c r="D1192" s="4" t="s">
        <v>71</v>
      </c>
      <c r="E1192" s="4" t="s">
        <v>788</v>
      </c>
      <c r="F1192" s="4" t="str">
        <f t="shared" si="63"/>
        <v>55|U|C</v>
      </c>
      <c r="G1192" s="14">
        <f>INDEX('Transition Stepwise'!$J$2:$J$1137,MATCH(F1192,'Transition Stepwise'!$E$2:$E$1137,0))</f>
        <v>0.97512437810945274</v>
      </c>
      <c r="H1192" s="14" t="e">
        <f>INDEX(Background!$D$12:$D$27,MATCH(C1192&amp;D1192,INDEX(Background!$A$12:$A$27,0)&amp;INDEX(Background!$B$12:$B$27,0),0))</f>
        <v>#VALUE!</v>
      </c>
      <c r="I1192" s="17" t="e">
        <f t="shared" si="64"/>
        <v>#VALUE!</v>
      </c>
    </row>
    <row r="1193" spans="1:9">
      <c r="A1193" s="4" t="s">
        <v>768</v>
      </c>
      <c r="B1193" s="4">
        <v>56</v>
      </c>
      <c r="C1193" s="4" t="s">
        <v>71</v>
      </c>
      <c r="D1193" s="4" t="s">
        <v>70</v>
      </c>
      <c r="E1193" s="4" t="s">
        <v>788</v>
      </c>
      <c r="F1193" s="4" t="str">
        <f t="shared" si="63"/>
        <v>56|C|G</v>
      </c>
      <c r="G1193" s="14">
        <f>INDEX('Transition Stepwise'!$J$2:$J$1137,MATCH(F1193,'Transition Stepwise'!$E$2:$E$1137,0))</f>
        <v>0.60499999999999998</v>
      </c>
      <c r="H1193" s="14" t="e">
        <f>INDEX(Background!$D$12:$D$27,MATCH(C1193&amp;D1193,INDEX(Background!$A$12:$A$27,0)&amp;INDEX(Background!$B$12:$B$27,0),0))</f>
        <v>#VALUE!</v>
      </c>
      <c r="I1193" s="17" t="e">
        <f t="shared" si="64"/>
        <v>#VALUE!</v>
      </c>
    </row>
    <row r="1194" spans="1:9">
      <c r="A1194" s="4" t="s">
        <v>768</v>
      </c>
      <c r="B1194" s="4">
        <v>57</v>
      </c>
      <c r="C1194" s="4" t="s">
        <v>70</v>
      </c>
      <c r="D1194" s="4" t="s">
        <v>72</v>
      </c>
      <c r="E1194" s="4" t="s">
        <v>788</v>
      </c>
      <c r="F1194" s="4" t="str">
        <f t="shared" si="63"/>
        <v>57|G|U</v>
      </c>
      <c r="G1194" s="14">
        <f>INDEX('Transition Stepwise'!$J$2:$J$1137,MATCH(F1194,'Transition Stepwise'!$E$2:$E$1137,0))</f>
        <v>8.0000000000000002E-3</v>
      </c>
      <c r="H1194" s="14" t="e">
        <f>INDEX(Background!$D$12:$D$27,MATCH(C1194&amp;D1194,INDEX(Background!$A$12:$A$27,0)&amp;INDEX(Background!$B$12:$B$27,0),0))</f>
        <v>#VALUE!</v>
      </c>
      <c r="I1194" s="17" t="e">
        <f t="shared" si="64"/>
        <v>#VALUE!</v>
      </c>
    </row>
    <row r="1195" spans="1:9">
      <c r="A1195" s="4" t="s">
        <v>768</v>
      </c>
      <c r="B1195" s="4">
        <v>58</v>
      </c>
      <c r="C1195" s="4" t="s">
        <v>72</v>
      </c>
      <c r="D1195" s="4" t="s">
        <v>71</v>
      </c>
      <c r="E1195" s="4" t="s">
        <v>788</v>
      </c>
      <c r="F1195" s="4" t="str">
        <f t="shared" si="63"/>
        <v>58|U|C</v>
      </c>
      <c r="G1195" s="14">
        <f>INDEX('Transition Stepwise'!$J$2:$J$1137,MATCH(F1195,'Transition Stepwise'!$E$2:$E$1137,0))</f>
        <v>0.4</v>
      </c>
      <c r="H1195" s="14" t="e">
        <f>INDEX(Background!$D$12:$D$27,MATCH(C1195&amp;D1195,INDEX(Background!$A$12:$A$27,0)&amp;INDEX(Background!$B$12:$B$27,0),0))</f>
        <v>#VALUE!</v>
      </c>
      <c r="I1195" s="17" t="e">
        <f t="shared" si="64"/>
        <v>#VALUE!</v>
      </c>
    </row>
    <row r="1196" spans="1:9">
      <c r="A1196" s="4" t="s">
        <v>768</v>
      </c>
      <c r="B1196" s="4">
        <v>59</v>
      </c>
      <c r="C1196" s="4" t="s">
        <v>71</v>
      </c>
      <c r="D1196" s="4" t="s">
        <v>72</v>
      </c>
      <c r="E1196" s="4" t="s">
        <v>788</v>
      </c>
      <c r="F1196" s="4" t="str">
        <f t="shared" si="63"/>
        <v>59|C|U</v>
      </c>
      <c r="G1196" s="14">
        <f>INDEX('Transition Stepwise'!$J$2:$J$1137,MATCH(F1196,'Transition Stepwise'!$E$2:$E$1137,0))</f>
        <v>0.5625</v>
      </c>
      <c r="H1196" s="14" t="e">
        <f>INDEX(Background!$D$12:$D$27,MATCH(C1196&amp;D1196,INDEX(Background!$A$12:$A$27,0)&amp;INDEX(Background!$B$12:$B$27,0),0))</f>
        <v>#VALUE!</v>
      </c>
      <c r="I1196" s="17" t="e">
        <f t="shared" si="64"/>
        <v>#VALUE!</v>
      </c>
    </row>
    <row r="1197" spans="1:9">
      <c r="A1197" s="4" t="s">
        <v>768</v>
      </c>
      <c r="B1197" s="4">
        <v>60</v>
      </c>
      <c r="C1197" s="4" t="s">
        <v>72</v>
      </c>
      <c r="D1197" s="4" t="s">
        <v>71</v>
      </c>
      <c r="E1197" s="4" t="s">
        <v>788</v>
      </c>
      <c r="F1197" s="4" t="str">
        <f t="shared" si="63"/>
        <v>60|U|C</v>
      </c>
      <c r="G1197" s="14">
        <f>INDEX('Transition Stepwise'!$J$2:$J$1137,MATCH(F1197,'Transition Stepwise'!$E$2:$E$1137,0))</f>
        <v>0.97515527950310554</v>
      </c>
      <c r="H1197" s="14" t="e">
        <f>INDEX(Background!$D$12:$D$27,MATCH(C1197&amp;D1197,INDEX(Background!$A$12:$A$27,0)&amp;INDEX(Background!$B$12:$B$27,0),0))</f>
        <v>#VALUE!</v>
      </c>
      <c r="I1197" s="17" t="e">
        <f t="shared" si="64"/>
        <v>#VALUE!</v>
      </c>
    </row>
    <row r="1198" spans="1:9">
      <c r="A1198" s="4" t="s">
        <v>768</v>
      </c>
      <c r="B1198" s="4">
        <v>61</v>
      </c>
      <c r="C1198" s="4" t="s">
        <v>71</v>
      </c>
      <c r="D1198" s="4" t="s">
        <v>72</v>
      </c>
      <c r="E1198" s="4" t="s">
        <v>788</v>
      </c>
      <c r="F1198" s="4" t="str">
        <f t="shared" si="63"/>
        <v>61|C|U</v>
      </c>
      <c r="G1198" s="14">
        <f>INDEX('Transition Stepwise'!$J$2:$J$1137,MATCH(F1198,'Transition Stepwise'!$E$2:$E$1137,0))</f>
        <v>0.12871287128712872</v>
      </c>
      <c r="H1198" s="14" t="e">
        <f>INDEX(Background!$D$12:$D$27,MATCH(C1198&amp;D1198,INDEX(Background!$A$12:$A$27,0)&amp;INDEX(Background!$B$12:$B$27,0),0))</f>
        <v>#VALUE!</v>
      </c>
      <c r="I1198" s="17" t="e">
        <f t="shared" si="64"/>
        <v>#VALUE!</v>
      </c>
    </row>
    <row r="1199" spans="1:9">
      <c r="A1199" s="4" t="s">
        <v>768</v>
      </c>
      <c r="B1199" s="4">
        <v>62</v>
      </c>
      <c r="C1199" s="4" t="s">
        <v>72</v>
      </c>
      <c r="D1199" s="4" t="s">
        <v>72</v>
      </c>
      <c r="E1199" s="4" t="s">
        <v>788</v>
      </c>
      <c r="F1199" s="4" t="str">
        <f t="shared" si="63"/>
        <v>62|U|U</v>
      </c>
      <c r="G1199" s="14">
        <f>INDEX('Transition Stepwise'!$J$2:$J$1137,MATCH(F1199,'Transition Stepwise'!$E$2:$E$1137,0))</f>
        <v>0.1</v>
      </c>
      <c r="H1199" s="14" t="e">
        <f>INDEX(Background!$D$12:$D$27,MATCH(C1199&amp;D1199,INDEX(Background!$A$12:$A$27,0)&amp;INDEX(Background!$B$12:$B$27,0),0))</f>
        <v>#VALUE!</v>
      </c>
      <c r="I1199" s="17" t="e">
        <f t="shared" si="64"/>
        <v>#VALUE!</v>
      </c>
    </row>
    <row r="1200" spans="1:9">
      <c r="A1200" s="4" t="s">
        <v>768</v>
      </c>
      <c r="B1200" s="4">
        <v>63</v>
      </c>
      <c r="C1200" s="4" t="s">
        <v>72</v>
      </c>
      <c r="D1200" s="4" t="s">
        <v>72</v>
      </c>
      <c r="E1200" s="4" t="s">
        <v>788</v>
      </c>
      <c r="F1200" s="4" t="str">
        <f t="shared" si="63"/>
        <v>63|U|U</v>
      </c>
      <c r="G1200" s="14">
        <f>INDEX('Transition Stepwise'!$J$2:$J$1137,MATCH(F1200,'Transition Stepwise'!$E$2:$E$1137,0))</f>
        <v>0.1388888888888889</v>
      </c>
      <c r="H1200" s="14" t="e">
        <f>INDEX(Background!$D$12:$D$27,MATCH(C1200&amp;D1200,INDEX(Background!$A$12:$A$27,0)&amp;INDEX(Background!$B$12:$B$27,0),0))</f>
        <v>#VALUE!</v>
      </c>
      <c r="I1200" s="17" t="e">
        <f t="shared" si="64"/>
        <v>#VALUE!</v>
      </c>
    </row>
    <row r="1201" spans="1:9">
      <c r="A1201" s="4" t="s">
        <v>768</v>
      </c>
      <c r="B1201" s="4">
        <v>64</v>
      </c>
      <c r="C1201" s="4" t="s">
        <v>72</v>
      </c>
      <c r="D1201" s="4" t="s">
        <v>72</v>
      </c>
      <c r="E1201" s="4" t="s">
        <v>788</v>
      </c>
      <c r="F1201" s="4" t="str">
        <f t="shared" si="63"/>
        <v>64|U|U</v>
      </c>
      <c r="G1201" s="14">
        <f>INDEX('Transition Stepwise'!$J$2:$J$1137,MATCH(F1201,'Transition Stepwise'!$E$2:$E$1137,0))</f>
        <v>0.29729729729729731</v>
      </c>
      <c r="H1201" s="14" t="e">
        <f>INDEX(Background!$D$12:$D$27,MATCH(C1201&amp;D1201,INDEX(Background!$A$12:$A$27,0)&amp;INDEX(Background!$B$12:$B$27,0),0))</f>
        <v>#VALUE!</v>
      </c>
      <c r="I1201" s="17" t="e">
        <f t="shared" si="64"/>
        <v>#VALUE!</v>
      </c>
    </row>
    <row r="1202" spans="1:9">
      <c r="A1202" s="4" t="s">
        <v>768</v>
      </c>
      <c r="B1202" s="4">
        <v>65</v>
      </c>
      <c r="C1202" s="4" t="s">
        <v>72</v>
      </c>
      <c r="D1202" s="4" t="s">
        <v>72</v>
      </c>
      <c r="E1202" s="4" t="s">
        <v>788</v>
      </c>
      <c r="F1202" s="4" t="str">
        <f t="shared" si="63"/>
        <v>65|U|U</v>
      </c>
      <c r="G1202" s="14">
        <f>INDEX('Transition Stepwise'!$J$2:$J$1137,MATCH(F1202,'Transition Stepwise'!$E$2:$E$1137,0))</f>
        <v>0.1891891891891892</v>
      </c>
      <c r="H1202" s="14" t="e">
        <f>INDEX(Background!$D$12:$D$27,MATCH(C1202&amp;D1202,INDEX(Background!$A$12:$A$27,0)&amp;INDEX(Background!$B$12:$B$27,0),0))</f>
        <v>#VALUE!</v>
      </c>
      <c r="I1202" s="17" t="e">
        <f t="shared" si="64"/>
        <v>#VALUE!</v>
      </c>
    </row>
    <row r="1203" spans="1:9">
      <c r="A1203" s="4" t="s">
        <v>768</v>
      </c>
      <c r="B1203" s="4">
        <v>66</v>
      </c>
      <c r="C1203" s="4" t="s">
        <v>72</v>
      </c>
      <c r="D1203" s="4" t="s">
        <v>72</v>
      </c>
      <c r="E1203" s="4" t="s">
        <v>788</v>
      </c>
      <c r="F1203" s="4" t="str">
        <f t="shared" si="63"/>
        <v>66|U|U</v>
      </c>
      <c r="G1203" s="14">
        <f>INDEX('Transition Stepwise'!$J$2:$J$1137,MATCH(F1203,'Transition Stepwise'!$E$2:$E$1137,0))</f>
        <v>0.22222222222222221</v>
      </c>
      <c r="H1203" s="14" t="e">
        <f>INDEX(Background!$D$12:$D$27,MATCH(C1203&amp;D1203,INDEX(Background!$A$12:$A$27,0)&amp;INDEX(Background!$B$12:$B$27,0),0))</f>
        <v>#VALUE!</v>
      </c>
      <c r="I1203" s="17" t="e">
        <f t="shared" si="64"/>
        <v>#VALUE!</v>
      </c>
    </row>
    <row r="1204" spans="1:9">
      <c r="A1204" s="4" t="s">
        <v>768</v>
      </c>
      <c r="B1204" s="4">
        <v>67</v>
      </c>
      <c r="C1204" s="4" t="s">
        <v>72</v>
      </c>
      <c r="D1204" s="4" t="s">
        <v>73</v>
      </c>
      <c r="E1204" s="4" t="s">
        <v>788</v>
      </c>
      <c r="F1204" s="4" t="str">
        <f t="shared" si="63"/>
        <v>67|U|A</v>
      </c>
      <c r="G1204" s="14">
        <f>INDEX('Transition Stepwise'!$J$2:$J$1137,MATCH(F1204,'Transition Stepwise'!$E$2:$E$1137,0))</f>
        <v>2.3809523809523808E-2</v>
      </c>
      <c r="H1204" s="14" t="e">
        <f>INDEX(Background!$D$12:$D$27,MATCH(C1204&amp;D1204,INDEX(Background!$A$12:$A$27,0)&amp;INDEX(Background!$B$12:$B$27,0),0))</f>
        <v>#VALUE!</v>
      </c>
      <c r="I1204" s="17" t="e">
        <f t="shared" si="64"/>
        <v>#VALUE!</v>
      </c>
    </row>
    <row r="1205" spans="1:9">
      <c r="A1205" s="4" t="s">
        <v>768</v>
      </c>
      <c r="B1205" s="4">
        <v>68</v>
      </c>
      <c r="C1205" s="4" t="s">
        <v>73</v>
      </c>
      <c r="D1205" s="4" t="s">
        <v>73</v>
      </c>
      <c r="E1205" s="4" t="s">
        <v>788</v>
      </c>
      <c r="F1205" s="4" t="str">
        <f t="shared" si="63"/>
        <v>68|A|A</v>
      </c>
      <c r="G1205" s="14">
        <f>INDEX('Transition Stepwise'!$J$2:$J$1137,MATCH(F1205,'Transition Stepwise'!$E$2:$E$1137,0))</f>
        <v>0.26315789473684209</v>
      </c>
      <c r="H1205" s="14" t="e">
        <f>INDEX(Background!$D$12:$D$27,MATCH(C1205&amp;D1205,INDEX(Background!$A$12:$A$27,0)&amp;INDEX(Background!$B$12:$B$27,0),0))</f>
        <v>#VALUE!</v>
      </c>
      <c r="I1205" s="17" t="e">
        <f t="shared" si="64"/>
        <v>#VALUE!</v>
      </c>
    </row>
    <row r="1206" spans="1:9">
      <c r="A1206" s="4" t="s">
        <v>768</v>
      </c>
      <c r="B1206" s="4">
        <v>69</v>
      </c>
      <c r="C1206" s="4" t="s">
        <v>73</v>
      </c>
      <c r="D1206" s="4" t="s">
        <v>72</v>
      </c>
      <c r="E1206" s="4" t="s">
        <v>788</v>
      </c>
      <c r="F1206" s="4" t="str">
        <f t="shared" si="63"/>
        <v>69|A|U</v>
      </c>
      <c r="G1206" s="14">
        <f>INDEX('Transition Stepwise'!$J$2:$J$1137,MATCH(F1206,'Transition Stepwise'!$E$2:$E$1137,0))</f>
        <v>3.4482758620689655E-2</v>
      </c>
      <c r="H1206" s="14" t="e">
        <f>INDEX(Background!$D$12:$D$27,MATCH(C1206&amp;D1206,INDEX(Background!$A$12:$A$27,0)&amp;INDEX(Background!$B$12:$B$27,0),0))</f>
        <v>#VALUE!</v>
      </c>
      <c r="I1206" s="17" t="e">
        <f t="shared" si="64"/>
        <v>#VALUE!</v>
      </c>
    </row>
    <row r="1207" spans="1:9">
      <c r="A1207" s="4" t="s">
        <v>768</v>
      </c>
      <c r="B1207" s="4">
        <v>70</v>
      </c>
      <c r="C1207" s="4" t="s">
        <v>72</v>
      </c>
      <c r="D1207" s="4" t="s">
        <v>73</v>
      </c>
      <c r="E1207" s="4" t="s">
        <v>788</v>
      </c>
      <c r="F1207" s="4" t="str">
        <f t="shared" si="63"/>
        <v>70|U|A</v>
      </c>
      <c r="G1207" s="14">
        <f>INDEX('Transition Stepwise'!$J$2:$J$1137,MATCH(F1207,'Transition Stepwise'!$E$2:$E$1137,0))</f>
        <v>2.9411764705882353E-2</v>
      </c>
      <c r="H1207" s="14" t="e">
        <f>INDEX(Background!$D$12:$D$27,MATCH(C1207&amp;D1207,INDEX(Background!$A$12:$A$27,0)&amp;INDEX(Background!$B$12:$B$27,0),0))</f>
        <v>#VALUE!</v>
      </c>
      <c r="I1207" s="17" t="e">
        <f t="shared" si="64"/>
        <v>#VALUE!</v>
      </c>
    </row>
    <row r="1208" spans="1:9">
      <c r="A1208" s="4" t="s">
        <v>768</v>
      </c>
      <c r="B1208" s="4">
        <v>71</v>
      </c>
      <c r="C1208" s="4" t="s">
        <v>73</v>
      </c>
      <c r="D1208" s="4" t="s">
        <v>72</v>
      </c>
      <c r="E1208" s="4" t="s">
        <v>788</v>
      </c>
      <c r="F1208" s="4" t="str">
        <f t="shared" si="63"/>
        <v>71|A|U</v>
      </c>
      <c r="G1208" s="14">
        <f>INDEX('Transition Stepwise'!$J$2:$J$1137,MATCH(F1208,'Transition Stepwise'!$E$2:$E$1137,0))</f>
        <v>0.1111111111111111</v>
      </c>
      <c r="H1208" s="14" t="e">
        <f>INDEX(Background!$D$12:$D$27,MATCH(C1208&amp;D1208,INDEX(Background!$A$12:$A$27,0)&amp;INDEX(Background!$B$12:$B$27,0),0))</f>
        <v>#VALUE!</v>
      </c>
      <c r="I1208" s="17" t="e">
        <f t="shared" si="64"/>
        <v>#VALUE!</v>
      </c>
    </row>
    <row r="1209" spans="1:9">
      <c r="A1209" s="4" t="s">
        <v>769</v>
      </c>
      <c r="B1209" s="4">
        <v>1</v>
      </c>
      <c r="C1209" s="4" t="s">
        <v>71</v>
      </c>
      <c r="D1209" s="4" t="s">
        <v>71</v>
      </c>
      <c r="E1209" s="4" t="s">
        <v>788</v>
      </c>
      <c r="F1209" s="4" t="str">
        <f t="shared" si="63"/>
        <v>1|C|C</v>
      </c>
      <c r="G1209" s="14">
        <f>INDEX('Transition Stepwise'!$J$2:$J$1137,MATCH(F1209,'Transition Stepwise'!$E$2:$E$1137,0))</f>
        <v>0.19230769230769232</v>
      </c>
      <c r="H1209" s="14" t="e">
        <f>INDEX(Background!$D$12:$D$27,MATCH(C1209&amp;D1209,INDEX(Background!$A$12:$A$27,0)&amp;INDEX(Background!$B$12:$B$27,0),0))</f>
        <v>#VALUE!</v>
      </c>
      <c r="I1209" s="17" t="e">
        <f t="shared" si="64"/>
        <v>#VALUE!</v>
      </c>
    </row>
    <row r="1210" spans="1:9">
      <c r="A1210" s="4" t="s">
        <v>769</v>
      </c>
      <c r="B1210" s="4">
        <v>2</v>
      </c>
      <c r="C1210" s="4" t="s">
        <v>71</v>
      </c>
      <c r="D1210" s="4" t="s">
        <v>72</v>
      </c>
      <c r="E1210" s="4" t="s">
        <v>788</v>
      </c>
      <c r="F1210" s="4" t="str">
        <f t="shared" si="63"/>
        <v>2|C|U</v>
      </c>
      <c r="G1210" s="14">
        <f>INDEX('Transition Stepwise'!$J$2:$J$1137,MATCH(F1210,'Transition Stepwise'!$E$2:$E$1137,0))</f>
        <v>0.1744186046511628</v>
      </c>
      <c r="H1210" s="14" t="e">
        <f>INDEX(Background!$D$12:$D$27,MATCH(C1210&amp;D1210,INDEX(Background!$A$12:$A$27,0)&amp;INDEX(Background!$B$12:$B$27,0),0))</f>
        <v>#VALUE!</v>
      </c>
      <c r="I1210" s="17" t="e">
        <f t="shared" si="64"/>
        <v>#VALUE!</v>
      </c>
    </row>
    <row r="1211" spans="1:9">
      <c r="A1211" s="4" t="s">
        <v>769</v>
      </c>
      <c r="B1211" s="4">
        <v>3</v>
      </c>
      <c r="C1211" s="4" t="s">
        <v>72</v>
      </c>
      <c r="D1211" s="4" t="s">
        <v>72</v>
      </c>
      <c r="E1211" s="4" t="s">
        <v>788</v>
      </c>
      <c r="F1211" s="4" t="str">
        <f t="shared" si="63"/>
        <v>3|U|U</v>
      </c>
      <c r="G1211" s="14">
        <f>INDEX('Transition Stepwise'!$J$2:$J$1137,MATCH(F1211,'Transition Stepwise'!$E$2:$E$1137,0))</f>
        <v>0.25925925925925924</v>
      </c>
      <c r="H1211" s="14" t="e">
        <f>INDEX(Background!$D$12:$D$27,MATCH(C1211&amp;D1211,INDEX(Background!$A$12:$A$27,0)&amp;INDEX(Background!$B$12:$B$27,0),0))</f>
        <v>#VALUE!</v>
      </c>
      <c r="I1211" s="17" t="e">
        <f t="shared" si="64"/>
        <v>#VALUE!</v>
      </c>
    </row>
    <row r="1212" spans="1:9">
      <c r="A1212" s="4" t="s">
        <v>769</v>
      </c>
      <c r="B1212" s="4">
        <v>4</v>
      </c>
      <c r="C1212" s="4" t="s">
        <v>72</v>
      </c>
      <c r="D1212" s="4" t="s">
        <v>72</v>
      </c>
      <c r="E1212" s="4" t="s">
        <v>788</v>
      </c>
      <c r="F1212" s="4" t="str">
        <f t="shared" si="63"/>
        <v>4|U|U</v>
      </c>
      <c r="G1212" s="14">
        <f>INDEX('Transition Stepwise'!$J$2:$J$1137,MATCH(F1212,'Transition Stepwise'!$E$2:$E$1137,0))</f>
        <v>0.21052631578947367</v>
      </c>
      <c r="H1212" s="14" t="e">
        <f>INDEX(Background!$D$12:$D$27,MATCH(C1212&amp;D1212,INDEX(Background!$A$12:$A$27,0)&amp;INDEX(Background!$B$12:$B$27,0),0))</f>
        <v>#VALUE!</v>
      </c>
      <c r="I1212" s="17" t="e">
        <f t="shared" si="64"/>
        <v>#VALUE!</v>
      </c>
    </row>
    <row r="1213" spans="1:9">
      <c r="A1213" s="4" t="s">
        <v>769</v>
      </c>
      <c r="B1213" s="4">
        <v>5</v>
      </c>
      <c r="C1213" s="4" t="s">
        <v>72</v>
      </c>
      <c r="D1213" s="4" t="s">
        <v>73</v>
      </c>
      <c r="E1213" s="4" t="s">
        <v>788</v>
      </c>
      <c r="F1213" s="4" t="str">
        <f t="shared" si="63"/>
        <v>5|U|A</v>
      </c>
      <c r="G1213" s="14">
        <f>INDEX('Transition Stepwise'!$J$2:$J$1137,MATCH(F1213,'Transition Stepwise'!$E$2:$E$1137,0))</f>
        <v>0.04</v>
      </c>
      <c r="H1213" s="14" t="e">
        <f>INDEX(Background!$D$12:$D$27,MATCH(C1213&amp;D1213,INDEX(Background!$A$12:$A$27,0)&amp;INDEX(Background!$B$12:$B$27,0),0))</f>
        <v>#VALUE!</v>
      </c>
      <c r="I1213" s="17" t="e">
        <f t="shared" si="64"/>
        <v>#VALUE!</v>
      </c>
    </row>
    <row r="1214" spans="1:9">
      <c r="A1214" s="4" t="s">
        <v>769</v>
      </c>
      <c r="B1214" s="4">
        <v>6</v>
      </c>
      <c r="C1214" s="4" t="s">
        <v>73</v>
      </c>
      <c r="D1214" s="4" t="s">
        <v>72</v>
      </c>
      <c r="E1214" s="4" t="s">
        <v>788</v>
      </c>
      <c r="F1214" s="4" t="str">
        <f t="shared" si="63"/>
        <v>6|A|U</v>
      </c>
      <c r="G1214" s="14">
        <f>INDEX('Transition Stepwise'!$J$2:$J$1137,MATCH(F1214,'Transition Stepwise'!$E$2:$E$1137,0))</f>
        <v>0.28947368421052633</v>
      </c>
      <c r="H1214" s="14" t="e">
        <f>INDEX(Background!$D$12:$D$27,MATCH(C1214&amp;D1214,INDEX(Background!$A$12:$A$27,0)&amp;INDEX(Background!$B$12:$B$27,0),0))</f>
        <v>#VALUE!</v>
      </c>
      <c r="I1214" s="17" t="e">
        <f t="shared" si="64"/>
        <v>#VALUE!</v>
      </c>
    </row>
    <row r="1215" spans="1:9">
      <c r="A1215" s="4" t="s">
        <v>769</v>
      </c>
      <c r="B1215" s="4">
        <v>7</v>
      </c>
      <c r="C1215" s="4" t="s">
        <v>72</v>
      </c>
      <c r="D1215" s="4" t="s">
        <v>72</v>
      </c>
      <c r="E1215" s="4" t="s">
        <v>788</v>
      </c>
      <c r="F1215" s="4" t="str">
        <f t="shared" si="63"/>
        <v>7|U|U</v>
      </c>
      <c r="G1215" s="14">
        <f>INDEX('Transition Stepwise'!$J$2:$J$1137,MATCH(F1215,'Transition Stepwise'!$E$2:$E$1137,0))</f>
        <v>0.9375</v>
      </c>
      <c r="H1215" s="14" t="e">
        <f>INDEX(Background!$D$12:$D$27,MATCH(C1215&amp;D1215,INDEX(Background!$A$12:$A$27,0)&amp;INDEX(Background!$B$12:$B$27,0),0))</f>
        <v>#VALUE!</v>
      </c>
      <c r="I1215" s="17" t="e">
        <f t="shared" si="64"/>
        <v>#VALUE!</v>
      </c>
    </row>
    <row r="1216" spans="1:9">
      <c r="A1216" s="4" t="s">
        <v>769</v>
      </c>
      <c r="B1216" s="4">
        <v>8</v>
      </c>
      <c r="C1216" s="4" t="s">
        <v>72</v>
      </c>
      <c r="D1216" s="4" t="s">
        <v>73</v>
      </c>
      <c r="E1216" s="4" t="s">
        <v>788</v>
      </c>
      <c r="F1216" s="4" t="str">
        <f t="shared" ref="F1216:F1247" si="65">B1216&amp;"|"&amp;C1216&amp;"|"&amp;D1216</f>
        <v>8|U|A</v>
      </c>
      <c r="G1216" s="14">
        <f>INDEX('Transition Stepwise'!$J$2:$J$1137,MATCH(F1216,'Transition Stepwise'!$E$2:$E$1137,0))</f>
        <v>0.65174129353233834</v>
      </c>
      <c r="H1216" s="14" t="e">
        <f>INDEX(Background!$D$12:$D$27,MATCH(C1216&amp;D1216,INDEX(Background!$A$12:$A$27,0)&amp;INDEX(Background!$B$12:$B$27,0),0))</f>
        <v>#VALUE!</v>
      </c>
      <c r="I1216" s="17" t="e">
        <f t="shared" ref="I1216:I1247" si="66">LN(G1216/H1216)</f>
        <v>#VALUE!</v>
      </c>
    </row>
    <row r="1217" spans="1:9">
      <c r="A1217" s="4" t="s">
        <v>769</v>
      </c>
      <c r="B1217" s="4">
        <v>9</v>
      </c>
      <c r="C1217" s="4" t="s">
        <v>73</v>
      </c>
      <c r="D1217" s="4" t="s">
        <v>73</v>
      </c>
      <c r="E1217" s="4" t="s">
        <v>788</v>
      </c>
      <c r="F1217" s="4" t="str">
        <f t="shared" si="65"/>
        <v>9|A|A</v>
      </c>
      <c r="G1217" s="14">
        <f>INDEX('Transition Stepwise'!$J$2:$J$1137,MATCH(F1217,'Transition Stepwise'!$E$2:$E$1137,0))</f>
        <v>7.4074074074074077E-3</v>
      </c>
      <c r="H1217" s="14" t="e">
        <f>INDEX(Background!$D$12:$D$27,MATCH(C1217&amp;D1217,INDEX(Background!$A$12:$A$27,0)&amp;INDEX(Background!$B$12:$B$27,0),0))</f>
        <v>#VALUE!</v>
      </c>
      <c r="I1217" s="17" t="e">
        <f t="shared" si="66"/>
        <v>#VALUE!</v>
      </c>
    </row>
    <row r="1218" spans="1:9">
      <c r="A1218" s="4" t="s">
        <v>769</v>
      </c>
      <c r="B1218" s="4">
        <v>10</v>
      </c>
      <c r="C1218" s="4" t="s">
        <v>73</v>
      </c>
      <c r="D1218" s="4" t="s">
        <v>73</v>
      </c>
      <c r="E1218" s="4" t="s">
        <v>788</v>
      </c>
      <c r="F1218" s="4" t="str">
        <f t="shared" si="65"/>
        <v>10|A|A</v>
      </c>
      <c r="G1218" s="14">
        <f>INDEX('Transition Stepwise'!$J$2:$J$1137,MATCH(F1218,'Transition Stepwise'!$E$2:$E$1137,0))</f>
        <v>0.25</v>
      </c>
      <c r="H1218" s="14" t="e">
        <f>INDEX(Background!$D$12:$D$27,MATCH(C1218&amp;D1218,INDEX(Background!$A$12:$A$27,0)&amp;INDEX(Background!$B$12:$B$27,0),0))</f>
        <v>#VALUE!</v>
      </c>
      <c r="I1218" s="17" t="e">
        <f t="shared" si="66"/>
        <v>#VALUE!</v>
      </c>
    </row>
    <row r="1219" spans="1:9">
      <c r="A1219" s="4" t="s">
        <v>769</v>
      </c>
      <c r="B1219" s="4">
        <v>11</v>
      </c>
      <c r="C1219" s="4" t="s">
        <v>73</v>
      </c>
      <c r="D1219" s="4" t="s">
        <v>70</v>
      </c>
      <c r="E1219" s="4" t="s">
        <v>788</v>
      </c>
      <c r="F1219" s="4" t="str">
        <f t="shared" si="65"/>
        <v>11|A|G</v>
      </c>
      <c r="G1219" s="14">
        <f>INDEX('Transition Stepwise'!$J$2:$J$1137,MATCH(F1219,'Transition Stepwise'!$E$2:$E$1137,0))</f>
        <v>0.45454545454545453</v>
      </c>
      <c r="H1219" s="14" t="e">
        <f>INDEX(Background!$D$12:$D$27,MATCH(C1219&amp;D1219,INDEX(Background!$A$12:$A$27,0)&amp;INDEX(Background!$B$12:$B$27,0),0))</f>
        <v>#VALUE!</v>
      </c>
      <c r="I1219" s="17" t="e">
        <f t="shared" si="66"/>
        <v>#VALUE!</v>
      </c>
    </row>
    <row r="1220" spans="1:9">
      <c r="A1220" s="4" t="s">
        <v>769</v>
      </c>
      <c r="B1220" s="4">
        <v>12</v>
      </c>
      <c r="C1220" s="4" t="s">
        <v>70</v>
      </c>
      <c r="D1220" s="4" t="s">
        <v>70</v>
      </c>
      <c r="E1220" s="4" t="s">
        <v>788</v>
      </c>
      <c r="F1220" s="4" t="str">
        <f t="shared" si="65"/>
        <v>12|G|G</v>
      </c>
      <c r="G1220" s="14">
        <f>INDEX('Transition Stepwise'!$J$2:$J$1137,MATCH(F1220,'Transition Stepwise'!$E$2:$E$1137,0))</f>
        <v>0.14285714285714285</v>
      </c>
      <c r="H1220" s="14" t="e">
        <f>INDEX(Background!$D$12:$D$27,MATCH(C1220&amp;D1220,INDEX(Background!$A$12:$A$27,0)&amp;INDEX(Background!$B$12:$B$27,0),0))</f>
        <v>#VALUE!</v>
      </c>
      <c r="I1220" s="17" t="e">
        <f t="shared" si="66"/>
        <v>#VALUE!</v>
      </c>
    </row>
    <row r="1221" spans="1:9">
      <c r="A1221" s="4" t="s">
        <v>769</v>
      </c>
      <c r="B1221" s="4">
        <v>13</v>
      </c>
      <c r="C1221" s="4" t="s">
        <v>70</v>
      </c>
      <c r="D1221" s="4" t="s">
        <v>72</v>
      </c>
      <c r="E1221" s="4" t="s">
        <v>788</v>
      </c>
      <c r="F1221" s="4" t="str">
        <f t="shared" si="65"/>
        <v>13|G|U</v>
      </c>
      <c r="G1221" s="14">
        <f>INDEX('Transition Stepwise'!$J$2:$J$1137,MATCH(F1221,'Transition Stepwise'!$E$2:$E$1137,0))</f>
        <v>4.3478260869565216E-2</v>
      </c>
      <c r="H1221" s="14" t="e">
        <f>INDEX(Background!$D$12:$D$27,MATCH(C1221&amp;D1221,INDEX(Background!$A$12:$A$27,0)&amp;INDEX(Background!$B$12:$B$27,0),0))</f>
        <v>#VALUE!</v>
      </c>
      <c r="I1221" s="17" t="e">
        <f t="shared" si="66"/>
        <v>#VALUE!</v>
      </c>
    </row>
    <row r="1222" spans="1:9">
      <c r="A1222" s="4" t="s">
        <v>769</v>
      </c>
      <c r="B1222" s="4">
        <v>14</v>
      </c>
      <c r="C1222" s="4" t="s">
        <v>72</v>
      </c>
      <c r="D1222" s="4" t="s">
        <v>72</v>
      </c>
      <c r="E1222" s="4" t="s">
        <v>788</v>
      </c>
      <c r="F1222" s="4" t="str">
        <f t="shared" si="65"/>
        <v>14|U|U</v>
      </c>
      <c r="G1222" s="14">
        <f>INDEX('Transition Stepwise'!$J$2:$J$1137,MATCH(F1222,'Transition Stepwise'!$E$2:$E$1137,0))</f>
        <v>0.25</v>
      </c>
      <c r="H1222" s="14" t="e">
        <f>INDEX(Background!$D$12:$D$27,MATCH(C1222&amp;D1222,INDEX(Background!$A$12:$A$27,0)&amp;INDEX(Background!$B$12:$B$27,0),0))</f>
        <v>#VALUE!</v>
      </c>
      <c r="I1222" s="17" t="e">
        <f t="shared" si="66"/>
        <v>#VALUE!</v>
      </c>
    </row>
    <row r="1223" spans="1:9">
      <c r="A1223" s="4" t="s">
        <v>769</v>
      </c>
      <c r="B1223" s="4">
        <v>15</v>
      </c>
      <c r="C1223" s="4" t="s">
        <v>72</v>
      </c>
      <c r="D1223" s="4" t="s">
        <v>72</v>
      </c>
      <c r="E1223" s="4" t="s">
        <v>788</v>
      </c>
      <c r="F1223" s="4" t="str">
        <f t="shared" si="65"/>
        <v>15|U|U</v>
      </c>
      <c r="G1223" s="14">
        <f>INDEX('Transition Stepwise'!$J$2:$J$1137,MATCH(F1223,'Transition Stepwise'!$E$2:$E$1137,0))</f>
        <v>0.2</v>
      </c>
      <c r="H1223" s="14" t="e">
        <f>INDEX(Background!$D$12:$D$27,MATCH(C1223&amp;D1223,INDEX(Background!$A$12:$A$27,0)&amp;INDEX(Background!$B$12:$B$27,0),0))</f>
        <v>#VALUE!</v>
      </c>
      <c r="I1223" s="17" t="e">
        <f t="shared" si="66"/>
        <v>#VALUE!</v>
      </c>
    </row>
    <row r="1224" spans="1:9">
      <c r="A1224" s="4" t="s">
        <v>769</v>
      </c>
      <c r="B1224" s="4">
        <v>16</v>
      </c>
      <c r="C1224" s="4" t="s">
        <v>72</v>
      </c>
      <c r="D1224" s="4" t="s">
        <v>71</v>
      </c>
      <c r="E1224" s="4" t="s">
        <v>788</v>
      </c>
      <c r="F1224" s="4" t="str">
        <f t="shared" si="65"/>
        <v>16|U|C</v>
      </c>
      <c r="G1224" s="14">
        <f>INDEX('Transition Stepwise'!$J$2:$J$1137,MATCH(F1224,'Transition Stepwise'!$E$2:$E$1137,0))</f>
        <v>0.26829268292682928</v>
      </c>
      <c r="H1224" s="14" t="e">
        <f>INDEX(Background!$D$12:$D$27,MATCH(C1224&amp;D1224,INDEX(Background!$A$12:$A$27,0)&amp;INDEX(Background!$B$12:$B$27,0),0))</f>
        <v>#VALUE!</v>
      </c>
      <c r="I1224" s="17" t="e">
        <f t="shared" si="66"/>
        <v>#VALUE!</v>
      </c>
    </row>
    <row r="1225" spans="1:9">
      <c r="A1225" s="4" t="s">
        <v>769</v>
      </c>
      <c r="B1225" s="4">
        <v>17</v>
      </c>
      <c r="C1225" s="4" t="s">
        <v>71</v>
      </c>
      <c r="D1225" s="4" t="s">
        <v>70</v>
      </c>
      <c r="E1225" s="4" t="s">
        <v>788</v>
      </c>
      <c r="F1225" s="4" t="str">
        <f t="shared" si="65"/>
        <v>17|C|G</v>
      </c>
      <c r="G1225" s="14">
        <f>INDEX('Transition Stepwise'!$J$2:$J$1137,MATCH(F1225,'Transition Stepwise'!$E$2:$E$1137,0))</f>
        <v>0.95522388059701491</v>
      </c>
      <c r="H1225" s="14" t="e">
        <f>INDEX(Background!$D$12:$D$27,MATCH(C1225&amp;D1225,INDEX(Background!$A$12:$A$27,0)&amp;INDEX(Background!$B$12:$B$27,0),0))</f>
        <v>#VALUE!</v>
      </c>
      <c r="I1225" s="17" t="e">
        <f t="shared" si="66"/>
        <v>#VALUE!</v>
      </c>
    </row>
    <row r="1226" spans="1:9">
      <c r="A1226" s="4" t="s">
        <v>769</v>
      </c>
      <c r="B1226" s="4">
        <v>18</v>
      </c>
      <c r="C1226" s="4" t="s">
        <v>70</v>
      </c>
      <c r="D1226" s="4" t="s">
        <v>70</v>
      </c>
      <c r="E1226" s="4" t="s">
        <v>788</v>
      </c>
      <c r="F1226" s="4" t="str">
        <f t="shared" si="65"/>
        <v>18|G|G</v>
      </c>
      <c r="G1226" s="14">
        <f>INDEX('Transition Stepwise'!$J$2:$J$1137,MATCH(F1226,'Transition Stepwise'!$E$2:$E$1137,0))</f>
        <v>0.97536945812807885</v>
      </c>
      <c r="H1226" s="14" t="e">
        <f>INDEX(Background!$D$12:$D$27,MATCH(C1226&amp;D1226,INDEX(Background!$A$12:$A$27,0)&amp;INDEX(Background!$B$12:$B$27,0),0))</f>
        <v>#VALUE!</v>
      </c>
      <c r="I1226" s="17" t="e">
        <f t="shared" si="66"/>
        <v>#VALUE!</v>
      </c>
    </row>
    <row r="1227" spans="1:9">
      <c r="A1227" s="4" t="s">
        <v>769</v>
      </c>
      <c r="B1227" s="4">
        <v>19</v>
      </c>
      <c r="C1227" s="4" t="s">
        <v>70</v>
      </c>
      <c r="D1227" s="4" t="s">
        <v>73</v>
      </c>
      <c r="E1227" s="4" t="s">
        <v>788</v>
      </c>
      <c r="F1227" s="4" t="str">
        <f t="shared" si="65"/>
        <v>19|G|A</v>
      </c>
      <c r="G1227" s="14">
        <f>INDEX('Transition Stepwise'!$J$2:$J$1137,MATCH(F1227,'Transition Stepwise'!$E$2:$E$1137,0))</f>
        <v>8.9552238805970144E-2</v>
      </c>
      <c r="H1227" s="14" t="e">
        <f>INDEX(Background!$D$12:$D$27,MATCH(C1227&amp;D1227,INDEX(Background!$A$12:$A$27,0)&amp;INDEX(Background!$B$12:$B$27,0),0))</f>
        <v>#VALUE!</v>
      </c>
      <c r="I1227" s="17" t="e">
        <f t="shared" si="66"/>
        <v>#VALUE!</v>
      </c>
    </row>
    <row r="1228" spans="1:9">
      <c r="A1228" s="4" t="s">
        <v>769</v>
      </c>
      <c r="B1228" s="4">
        <v>20</v>
      </c>
      <c r="C1228" s="4" t="s">
        <v>73</v>
      </c>
      <c r="D1228" s="4" t="s">
        <v>73</v>
      </c>
      <c r="E1228" s="4" t="s">
        <v>788</v>
      </c>
      <c r="F1228" s="4" t="str">
        <f t="shared" si="65"/>
        <v>20|A|A</v>
      </c>
      <c r="G1228" s="14">
        <f>INDEX('Transition Stepwise'!$J$2:$J$1137,MATCH(F1228,'Transition Stepwise'!$E$2:$E$1137,0))</f>
        <v>0.80952380952380953</v>
      </c>
      <c r="H1228" s="14" t="e">
        <f>INDEX(Background!$D$12:$D$27,MATCH(C1228&amp;D1228,INDEX(Background!$A$12:$A$27,0)&amp;INDEX(Background!$B$12:$B$27,0),0))</f>
        <v>#VALUE!</v>
      </c>
      <c r="I1228" s="17" t="e">
        <f t="shared" si="66"/>
        <v>#VALUE!</v>
      </c>
    </row>
    <row r="1229" spans="1:9">
      <c r="A1229" s="4" t="s">
        <v>769</v>
      </c>
      <c r="B1229" s="4">
        <v>21</v>
      </c>
      <c r="C1229" s="4" t="s">
        <v>73</v>
      </c>
      <c r="D1229" s="4" t="s">
        <v>72</v>
      </c>
      <c r="E1229" s="4" t="s">
        <v>788</v>
      </c>
      <c r="F1229" s="4" t="str">
        <f t="shared" si="65"/>
        <v>21|A|U</v>
      </c>
      <c r="G1229" s="14">
        <f>INDEX('Transition Stepwise'!$J$2:$J$1137,MATCH(F1229,'Transition Stepwise'!$E$2:$E$1137,0))</f>
        <v>6.5573770491803282E-2</v>
      </c>
      <c r="H1229" s="14" t="e">
        <f>INDEX(Background!$D$12:$D$27,MATCH(C1229&amp;D1229,INDEX(Background!$A$12:$A$27,0)&amp;INDEX(Background!$B$12:$B$27,0),0))</f>
        <v>#VALUE!</v>
      </c>
      <c r="I1229" s="17" t="e">
        <f t="shared" si="66"/>
        <v>#VALUE!</v>
      </c>
    </row>
    <row r="1230" spans="1:9">
      <c r="A1230" s="4" t="s">
        <v>769</v>
      </c>
      <c r="B1230" s="4">
        <v>22</v>
      </c>
      <c r="C1230" s="4" t="s">
        <v>72</v>
      </c>
      <c r="D1230" s="4" t="s">
        <v>72</v>
      </c>
      <c r="E1230" s="4" t="s">
        <v>788</v>
      </c>
      <c r="F1230" s="4" t="str">
        <f t="shared" si="65"/>
        <v>22|U|U</v>
      </c>
      <c r="G1230" s="14">
        <f>INDEX('Transition Stepwise'!$J$2:$J$1137,MATCH(F1230,'Transition Stepwise'!$E$2:$E$1137,0))</f>
        <v>0.33333333333333331</v>
      </c>
      <c r="H1230" s="14" t="e">
        <f>INDEX(Background!$D$12:$D$27,MATCH(C1230&amp;D1230,INDEX(Background!$A$12:$A$27,0)&amp;INDEX(Background!$B$12:$B$27,0),0))</f>
        <v>#VALUE!</v>
      </c>
      <c r="I1230" s="17" t="e">
        <f t="shared" si="66"/>
        <v>#VALUE!</v>
      </c>
    </row>
    <row r="1231" spans="1:9">
      <c r="A1231" s="4" t="s">
        <v>769</v>
      </c>
      <c r="B1231" s="4">
        <v>23</v>
      </c>
      <c r="C1231" s="4" t="s">
        <v>72</v>
      </c>
      <c r="D1231" s="4" t="s">
        <v>72</v>
      </c>
      <c r="E1231" s="4" t="s">
        <v>788</v>
      </c>
      <c r="F1231" s="4" t="str">
        <f t="shared" si="65"/>
        <v>23|U|U</v>
      </c>
      <c r="G1231" s="14">
        <f>INDEX('Transition Stepwise'!$J$2:$J$1137,MATCH(F1231,'Transition Stepwise'!$E$2:$E$1137,0))</f>
        <v>6.25E-2</v>
      </c>
      <c r="H1231" s="14" t="e">
        <f>INDEX(Background!$D$12:$D$27,MATCH(C1231&amp;D1231,INDEX(Background!$A$12:$A$27,0)&amp;INDEX(Background!$B$12:$B$27,0),0))</f>
        <v>#VALUE!</v>
      </c>
      <c r="I1231" s="17" t="e">
        <f t="shared" si="66"/>
        <v>#VALUE!</v>
      </c>
    </row>
    <row r="1232" spans="1:9">
      <c r="A1232" s="4" t="s">
        <v>769</v>
      </c>
      <c r="B1232" s="4">
        <v>24</v>
      </c>
      <c r="C1232" s="4" t="s">
        <v>72</v>
      </c>
      <c r="D1232" s="4" t="s">
        <v>71</v>
      </c>
      <c r="E1232" s="4" t="s">
        <v>788</v>
      </c>
      <c r="F1232" s="4" t="str">
        <f t="shared" si="65"/>
        <v>24|U|C</v>
      </c>
      <c r="G1232" s="14">
        <f>INDEX('Transition Stepwise'!$J$2:$J$1137,MATCH(F1232,'Transition Stepwise'!$E$2:$E$1137,0))</f>
        <v>0.72727272727272729</v>
      </c>
      <c r="H1232" s="14" t="e">
        <f>INDEX(Background!$D$12:$D$27,MATCH(C1232&amp;D1232,INDEX(Background!$A$12:$A$27,0)&amp;INDEX(Background!$B$12:$B$27,0),0))</f>
        <v>#VALUE!</v>
      </c>
      <c r="I1232" s="17" t="e">
        <f t="shared" si="66"/>
        <v>#VALUE!</v>
      </c>
    </row>
    <row r="1233" spans="1:9">
      <c r="A1233" s="4" t="s">
        <v>769</v>
      </c>
      <c r="B1233" s="4">
        <v>25</v>
      </c>
      <c r="C1233" s="4" t="s">
        <v>71</v>
      </c>
      <c r="D1233" s="4" t="s">
        <v>72</v>
      </c>
      <c r="E1233" s="4" t="s">
        <v>788</v>
      </c>
      <c r="F1233" s="4" t="str">
        <f t="shared" si="65"/>
        <v>25|C|U</v>
      </c>
      <c r="G1233" s="14">
        <f>INDEX('Transition Stepwise'!$J$2:$J$1137,MATCH(F1233,'Transition Stepwise'!$E$2:$E$1137,0))</f>
        <v>5.4945054945054944E-2</v>
      </c>
      <c r="H1233" s="14" t="e">
        <f>INDEX(Background!$D$12:$D$27,MATCH(C1233&amp;D1233,INDEX(Background!$A$12:$A$27,0)&amp;INDEX(Background!$B$12:$B$27,0),0))</f>
        <v>#VALUE!</v>
      </c>
      <c r="I1233" s="17" t="e">
        <f t="shared" si="66"/>
        <v>#VALUE!</v>
      </c>
    </row>
    <row r="1234" spans="1:9">
      <c r="A1234" s="4" t="s">
        <v>769</v>
      </c>
      <c r="B1234" s="4">
        <v>26</v>
      </c>
      <c r="C1234" s="4" t="s">
        <v>72</v>
      </c>
      <c r="D1234" s="4" t="s">
        <v>72</v>
      </c>
      <c r="E1234" s="4" t="s">
        <v>788</v>
      </c>
      <c r="F1234" s="4" t="str">
        <f t="shared" si="65"/>
        <v>26|U|U</v>
      </c>
      <c r="G1234" s="14">
        <f>INDEX('Transition Stepwise'!$J$2:$J$1137,MATCH(F1234,'Transition Stepwise'!$E$2:$E$1137,0))</f>
        <v>0.26666666666666666</v>
      </c>
      <c r="H1234" s="14" t="e">
        <f>INDEX(Background!$D$12:$D$27,MATCH(C1234&amp;D1234,INDEX(Background!$A$12:$A$27,0)&amp;INDEX(Background!$B$12:$B$27,0),0))</f>
        <v>#VALUE!</v>
      </c>
      <c r="I1234" s="17" t="e">
        <f t="shared" si="66"/>
        <v>#VALUE!</v>
      </c>
    </row>
    <row r="1235" spans="1:9">
      <c r="A1235" s="4" t="s">
        <v>769</v>
      </c>
      <c r="B1235" s="4">
        <v>27</v>
      </c>
      <c r="C1235" s="4" t="s">
        <v>72</v>
      </c>
      <c r="D1235" s="4" t="s">
        <v>73</v>
      </c>
      <c r="E1235" s="4" t="s">
        <v>788</v>
      </c>
      <c r="F1235" s="4" t="str">
        <f t="shared" si="65"/>
        <v>27|U|A</v>
      </c>
      <c r="G1235" s="14">
        <f>INDEX('Transition Stepwise'!$J$2:$J$1137,MATCH(F1235,'Transition Stepwise'!$E$2:$E$1137,0))</f>
        <v>7.1428571428571425E-2</v>
      </c>
      <c r="H1235" s="14" t="e">
        <f>INDEX(Background!$D$12:$D$27,MATCH(C1235&amp;D1235,INDEX(Background!$A$12:$A$27,0)&amp;INDEX(Background!$B$12:$B$27,0),0))</f>
        <v>#VALUE!</v>
      </c>
      <c r="I1235" s="17" t="e">
        <f t="shared" si="66"/>
        <v>#VALUE!</v>
      </c>
    </row>
    <row r="1236" spans="1:9">
      <c r="A1236" s="4" t="s">
        <v>769</v>
      </c>
      <c r="B1236" s="4">
        <v>28</v>
      </c>
      <c r="C1236" s="4" t="s">
        <v>73</v>
      </c>
      <c r="D1236" s="4" t="s">
        <v>73</v>
      </c>
      <c r="E1236" s="4" t="s">
        <v>788</v>
      </c>
      <c r="F1236" s="4" t="str">
        <f t="shared" si="65"/>
        <v>28|A|A</v>
      </c>
      <c r="G1236" s="14">
        <f>INDEX('Transition Stepwise'!$J$2:$J$1137,MATCH(F1236,'Transition Stepwise'!$E$2:$E$1137,0))</f>
        <v>0.14285714285714285</v>
      </c>
      <c r="H1236" s="14" t="e">
        <f>INDEX(Background!$D$12:$D$27,MATCH(C1236&amp;D1236,INDEX(Background!$A$12:$A$27,0)&amp;INDEX(Background!$B$12:$B$27,0),0))</f>
        <v>#VALUE!</v>
      </c>
      <c r="I1236" s="17" t="e">
        <f t="shared" si="66"/>
        <v>#VALUE!</v>
      </c>
    </row>
    <row r="1237" spans="1:9">
      <c r="A1237" s="4" t="s">
        <v>769</v>
      </c>
      <c r="B1237" s="4">
        <v>29</v>
      </c>
      <c r="C1237" s="4" t="s">
        <v>73</v>
      </c>
      <c r="D1237" s="4" t="s">
        <v>72</v>
      </c>
      <c r="E1237" s="4" t="s">
        <v>788</v>
      </c>
      <c r="F1237" s="4" t="str">
        <f t="shared" si="65"/>
        <v>29|A|U</v>
      </c>
      <c r="G1237" s="14">
        <f>INDEX('Transition Stepwise'!$J$2:$J$1137,MATCH(F1237,'Transition Stepwise'!$E$2:$E$1137,0))</f>
        <v>2.7777777777777776E-2</v>
      </c>
      <c r="H1237" s="14" t="e">
        <f>INDEX(Background!$D$12:$D$27,MATCH(C1237&amp;D1237,INDEX(Background!$A$12:$A$27,0)&amp;INDEX(Background!$B$12:$B$27,0),0))</f>
        <v>#VALUE!</v>
      </c>
      <c r="I1237" s="17" t="e">
        <f t="shared" si="66"/>
        <v>#VALUE!</v>
      </c>
    </row>
    <row r="1238" spans="1:9">
      <c r="A1238" s="4" t="s">
        <v>769</v>
      </c>
      <c r="B1238" s="4">
        <v>30</v>
      </c>
      <c r="C1238" s="4" t="s">
        <v>72</v>
      </c>
      <c r="D1238" s="4" t="s">
        <v>73</v>
      </c>
      <c r="E1238" s="4" t="s">
        <v>788</v>
      </c>
      <c r="F1238" s="4" t="str">
        <f t="shared" si="65"/>
        <v>30|U|A</v>
      </c>
      <c r="G1238" s="14">
        <f>INDEX('Transition Stepwise'!$J$2:$J$1137,MATCH(F1238,'Transition Stepwise'!$E$2:$E$1137,0))</f>
        <v>0.27272727272727271</v>
      </c>
      <c r="H1238" s="14" t="e">
        <f>INDEX(Background!$D$12:$D$27,MATCH(C1238&amp;D1238,INDEX(Background!$A$12:$A$27,0)&amp;INDEX(Background!$B$12:$B$27,0),0))</f>
        <v>#VALUE!</v>
      </c>
      <c r="I1238" s="17" t="e">
        <f t="shared" si="66"/>
        <v>#VALUE!</v>
      </c>
    </row>
    <row r="1239" spans="1:9">
      <c r="A1239" s="4" t="s">
        <v>769</v>
      </c>
      <c r="B1239" s="4">
        <v>31</v>
      </c>
      <c r="C1239" s="4" t="s">
        <v>73</v>
      </c>
      <c r="D1239" s="4" t="s">
        <v>72</v>
      </c>
      <c r="E1239" s="4" t="s">
        <v>788</v>
      </c>
      <c r="F1239" s="4" t="str">
        <f t="shared" si="65"/>
        <v>31|A|U</v>
      </c>
      <c r="G1239" s="14">
        <f>INDEX('Transition Stepwise'!$J$2:$J$1137,MATCH(F1239,'Transition Stepwise'!$E$2:$E$1137,0))</f>
        <v>0.13793103448275862</v>
      </c>
      <c r="H1239" s="14" t="e">
        <f>INDEX(Background!$D$12:$D$27,MATCH(C1239&amp;D1239,INDEX(Background!$A$12:$A$27,0)&amp;INDEX(Background!$B$12:$B$27,0),0))</f>
        <v>#VALUE!</v>
      </c>
      <c r="I1239" s="17" t="e">
        <f t="shared" si="66"/>
        <v>#VALUE!</v>
      </c>
    </row>
    <row r="1240" spans="1:9">
      <c r="A1240" s="4" t="s">
        <v>769</v>
      </c>
      <c r="B1240" s="4">
        <v>32</v>
      </c>
      <c r="C1240" s="4" t="s">
        <v>72</v>
      </c>
      <c r="D1240" s="4" t="s">
        <v>72</v>
      </c>
      <c r="E1240" s="4" t="s">
        <v>788</v>
      </c>
      <c r="F1240" s="4" t="str">
        <f t="shared" si="65"/>
        <v>32|U|U</v>
      </c>
      <c r="G1240" s="14">
        <f>INDEX('Transition Stepwise'!$J$2:$J$1137,MATCH(F1240,'Transition Stepwise'!$E$2:$E$1137,0))</f>
        <v>0.93650793650793651</v>
      </c>
      <c r="H1240" s="14" t="e">
        <f>INDEX(Background!$D$12:$D$27,MATCH(C1240&amp;D1240,INDEX(Background!$A$12:$A$27,0)&amp;INDEX(Background!$B$12:$B$27,0),0))</f>
        <v>#VALUE!</v>
      </c>
      <c r="I1240" s="17" t="e">
        <f t="shared" si="66"/>
        <v>#VALUE!</v>
      </c>
    </row>
    <row r="1241" spans="1:9">
      <c r="A1241" s="4" t="s">
        <v>769</v>
      </c>
      <c r="B1241" s="4">
        <v>33</v>
      </c>
      <c r="C1241" s="4" t="s">
        <v>72</v>
      </c>
      <c r="D1241" s="4" t="s">
        <v>71</v>
      </c>
      <c r="E1241" s="4" t="s">
        <v>788</v>
      </c>
      <c r="F1241" s="4" t="str">
        <f t="shared" si="65"/>
        <v>33|U|C</v>
      </c>
      <c r="G1241" s="14">
        <f>INDEX('Transition Stepwise'!$J$2:$J$1137,MATCH(F1241,'Transition Stepwise'!$E$2:$E$1137,0))</f>
        <v>0.32178217821782179</v>
      </c>
      <c r="H1241" s="14" t="e">
        <f>INDEX(Background!$D$12:$D$27,MATCH(C1241&amp;D1241,INDEX(Background!$A$12:$A$27,0)&amp;INDEX(Background!$B$12:$B$27,0),0))</f>
        <v>#VALUE!</v>
      </c>
      <c r="I1241" s="17" t="e">
        <f t="shared" si="66"/>
        <v>#VALUE!</v>
      </c>
    </row>
    <row r="1242" spans="1:9">
      <c r="A1242" s="4" t="s">
        <v>769</v>
      </c>
      <c r="B1242" s="4">
        <v>34</v>
      </c>
      <c r="C1242" s="4" t="s">
        <v>71</v>
      </c>
      <c r="D1242" s="4" t="s">
        <v>72</v>
      </c>
      <c r="E1242" s="4" t="s">
        <v>788</v>
      </c>
      <c r="F1242" s="4" t="str">
        <f t="shared" si="65"/>
        <v>34|C|U</v>
      </c>
      <c r="G1242" s="14">
        <f>INDEX('Transition Stepwise'!$J$2:$J$1137,MATCH(F1242,'Transition Stepwise'!$E$2:$E$1137,0))</f>
        <v>0.18571428571428572</v>
      </c>
      <c r="H1242" s="14" t="e">
        <f>INDEX(Background!$D$12:$D$27,MATCH(C1242&amp;D1242,INDEX(Background!$A$12:$A$27,0)&amp;INDEX(Background!$B$12:$B$27,0),0))</f>
        <v>#VALUE!</v>
      </c>
      <c r="I1242" s="17" t="e">
        <f t="shared" si="66"/>
        <v>#VALUE!</v>
      </c>
    </row>
    <row r="1243" spans="1:9">
      <c r="A1243" s="4" t="s">
        <v>769</v>
      </c>
      <c r="B1243" s="4">
        <v>35</v>
      </c>
      <c r="C1243" s="4" t="s">
        <v>72</v>
      </c>
      <c r="D1243" s="4" t="s">
        <v>73</v>
      </c>
      <c r="E1243" s="4" t="s">
        <v>788</v>
      </c>
      <c r="F1243" s="4" t="str">
        <f t="shared" si="65"/>
        <v>35|U|A</v>
      </c>
      <c r="G1243" s="14">
        <f>INDEX('Transition Stepwise'!$J$2:$J$1137,MATCH(F1243,'Transition Stepwise'!$E$2:$E$1137,0))</f>
        <v>0.17777777777777778</v>
      </c>
      <c r="H1243" s="14" t="e">
        <f>INDEX(Background!$D$12:$D$27,MATCH(C1243&amp;D1243,INDEX(Background!$A$12:$A$27,0)&amp;INDEX(Background!$B$12:$B$27,0),0))</f>
        <v>#VALUE!</v>
      </c>
      <c r="I1243" s="17" t="e">
        <f t="shared" si="66"/>
        <v>#VALUE!</v>
      </c>
    </row>
    <row r="1244" spans="1:9">
      <c r="A1244" s="4" t="s">
        <v>769</v>
      </c>
      <c r="B1244" s="4">
        <v>36</v>
      </c>
      <c r="C1244" s="4" t="s">
        <v>73</v>
      </c>
      <c r="D1244" s="4" t="s">
        <v>73</v>
      </c>
      <c r="E1244" s="4" t="s">
        <v>788</v>
      </c>
      <c r="F1244" s="4" t="str">
        <f t="shared" si="65"/>
        <v>36|A|A</v>
      </c>
      <c r="G1244" s="14">
        <f>INDEX('Transition Stepwise'!$J$2:$J$1137,MATCH(F1244,'Transition Stepwise'!$E$2:$E$1137,0))</f>
        <v>0.55319148936170215</v>
      </c>
      <c r="H1244" s="14" t="e">
        <f>INDEX(Background!$D$12:$D$27,MATCH(C1244&amp;D1244,INDEX(Background!$A$12:$A$27,0)&amp;INDEX(Background!$B$12:$B$27,0),0))</f>
        <v>#VALUE!</v>
      </c>
      <c r="I1244" s="17" t="e">
        <f t="shared" si="66"/>
        <v>#VALUE!</v>
      </c>
    </row>
    <row r="1245" spans="1:9">
      <c r="A1245" s="4" t="s">
        <v>769</v>
      </c>
      <c r="B1245" s="4">
        <v>37</v>
      </c>
      <c r="C1245" s="4" t="s">
        <v>73</v>
      </c>
      <c r="D1245" s="4" t="s">
        <v>73</v>
      </c>
      <c r="E1245" s="4" t="s">
        <v>788</v>
      </c>
      <c r="F1245" s="4" t="str">
        <f t="shared" si="65"/>
        <v>37|A|A</v>
      </c>
      <c r="G1245" s="14">
        <f>INDEX('Transition Stepwise'!$J$2:$J$1137,MATCH(F1245,'Transition Stepwise'!$E$2:$E$1137,0))</f>
        <v>0.74838709677419357</v>
      </c>
      <c r="H1245" s="14" t="e">
        <f>INDEX(Background!$D$12:$D$27,MATCH(C1245&amp;D1245,INDEX(Background!$A$12:$A$27,0)&amp;INDEX(Background!$B$12:$B$27,0),0))</f>
        <v>#VALUE!</v>
      </c>
      <c r="I1245" s="17" t="e">
        <f t="shared" si="66"/>
        <v>#VALUE!</v>
      </c>
    </row>
    <row r="1246" spans="1:9">
      <c r="A1246" s="4" t="s">
        <v>769</v>
      </c>
      <c r="B1246" s="4">
        <v>38</v>
      </c>
      <c r="C1246" s="4" t="s">
        <v>73</v>
      </c>
      <c r="D1246" s="4" t="s">
        <v>73</v>
      </c>
      <c r="E1246" s="4" t="s">
        <v>788</v>
      </c>
      <c r="F1246" s="4" t="str">
        <f t="shared" si="65"/>
        <v>38|A|A</v>
      </c>
      <c r="G1246" s="14">
        <f>INDEX('Transition Stepwise'!$J$2:$J$1137,MATCH(F1246,'Transition Stepwise'!$E$2:$E$1137,0))</f>
        <v>0.11258278145695365</v>
      </c>
      <c r="H1246" s="14" t="e">
        <f>INDEX(Background!$D$12:$D$27,MATCH(C1246&amp;D1246,INDEX(Background!$A$12:$A$27,0)&amp;INDEX(Background!$B$12:$B$27,0),0))</f>
        <v>#VALUE!</v>
      </c>
      <c r="I1246" s="17" t="e">
        <f t="shared" si="66"/>
        <v>#VALUE!</v>
      </c>
    </row>
    <row r="1247" spans="1:9">
      <c r="A1247" s="4" t="s">
        <v>769</v>
      </c>
      <c r="B1247" s="4">
        <v>39</v>
      </c>
      <c r="C1247" s="4" t="s">
        <v>73</v>
      </c>
      <c r="D1247" s="4" t="s">
        <v>73</v>
      </c>
      <c r="E1247" s="4" t="s">
        <v>788</v>
      </c>
      <c r="F1247" s="4" t="str">
        <f t="shared" si="65"/>
        <v>39|A|A</v>
      </c>
      <c r="G1247" s="14">
        <f>INDEX('Transition Stepwise'!$J$2:$J$1137,MATCH(F1247,'Transition Stepwise'!$E$2:$E$1137,0))</f>
        <v>4.5454545454545456E-2</v>
      </c>
      <c r="H1247" s="14" t="e">
        <f>INDEX(Background!$D$12:$D$27,MATCH(C1247&amp;D1247,INDEX(Background!$A$12:$A$27,0)&amp;INDEX(Background!$B$12:$B$27,0),0))</f>
        <v>#VALUE!</v>
      </c>
      <c r="I1247" s="17" t="e">
        <f t="shared" si="66"/>
        <v>#VALUE!</v>
      </c>
    </row>
    <row r="1248" spans="1:9">
      <c r="A1248" s="4" t="s">
        <v>769</v>
      </c>
      <c r="B1248" s="4">
        <v>40</v>
      </c>
      <c r="C1248" s="4" t="s">
        <v>73</v>
      </c>
      <c r="D1248" s="4" t="s">
        <v>72</v>
      </c>
      <c r="E1248" s="4" t="s">
        <v>788</v>
      </c>
      <c r="F1248" s="4" t="str">
        <f t="shared" ref="F1248:F1279" si="67">B1248&amp;"|"&amp;C1248&amp;"|"&amp;D1248</f>
        <v>40|A|U</v>
      </c>
      <c r="G1248" s="14">
        <f>INDEX('Transition Stepwise'!$J$2:$J$1137,MATCH(F1248,'Transition Stepwise'!$E$2:$E$1137,0))</f>
        <v>0.2</v>
      </c>
      <c r="H1248" s="14" t="e">
        <f>INDEX(Background!$D$12:$D$27,MATCH(C1248&amp;D1248,INDEX(Background!$A$12:$A$27,0)&amp;INDEX(Background!$B$12:$B$27,0),0))</f>
        <v>#VALUE!</v>
      </c>
      <c r="I1248" s="17" t="e">
        <f t="shared" ref="I1248:I1279" si="68">LN(G1248/H1248)</f>
        <v>#VALUE!</v>
      </c>
    </row>
    <row r="1249" spans="1:9">
      <c r="A1249" s="4" t="s">
        <v>769</v>
      </c>
      <c r="B1249" s="4">
        <v>41</v>
      </c>
      <c r="C1249" s="4" t="s">
        <v>72</v>
      </c>
      <c r="D1249" s="4" t="s">
        <v>72</v>
      </c>
      <c r="E1249" s="4" t="s">
        <v>788</v>
      </c>
      <c r="F1249" s="4" t="str">
        <f t="shared" si="67"/>
        <v>41|U|U</v>
      </c>
      <c r="G1249" s="14">
        <f>INDEX('Transition Stepwise'!$J$2:$J$1137,MATCH(F1249,'Transition Stepwise'!$E$2:$E$1137,0))</f>
        <v>0.10810810810810811</v>
      </c>
      <c r="H1249" s="14" t="e">
        <f>INDEX(Background!$D$12:$D$27,MATCH(C1249&amp;D1249,INDEX(Background!$A$12:$A$27,0)&amp;INDEX(Background!$B$12:$B$27,0),0))</f>
        <v>#VALUE!</v>
      </c>
      <c r="I1249" s="17" t="e">
        <f t="shared" si="68"/>
        <v>#VALUE!</v>
      </c>
    </row>
    <row r="1250" spans="1:9">
      <c r="A1250" s="4" t="s">
        <v>769</v>
      </c>
      <c r="B1250" s="4">
        <v>42</v>
      </c>
      <c r="C1250" s="4" t="s">
        <v>72</v>
      </c>
      <c r="D1250" s="4" t="s">
        <v>73</v>
      </c>
      <c r="E1250" s="4" t="s">
        <v>788</v>
      </c>
      <c r="F1250" s="4" t="str">
        <f t="shared" si="67"/>
        <v>42|U|A</v>
      </c>
      <c r="G1250" s="14">
        <f>INDEX('Transition Stepwise'!$J$2:$J$1137,MATCH(F1250,'Transition Stepwise'!$E$2:$E$1137,0))</f>
        <v>0.1</v>
      </c>
      <c r="H1250" s="14" t="e">
        <f>INDEX(Background!$D$12:$D$27,MATCH(C1250&amp;D1250,INDEX(Background!$A$12:$A$27,0)&amp;INDEX(Background!$B$12:$B$27,0),0))</f>
        <v>#VALUE!</v>
      </c>
      <c r="I1250" s="17" t="e">
        <f t="shared" si="68"/>
        <v>#VALUE!</v>
      </c>
    </row>
    <row r="1251" spans="1:9">
      <c r="A1251" s="4" t="s">
        <v>769</v>
      </c>
      <c r="B1251" s="4">
        <v>43</v>
      </c>
      <c r="C1251" s="4" t="s">
        <v>73</v>
      </c>
      <c r="D1251" s="4" t="s">
        <v>73</v>
      </c>
      <c r="E1251" s="4" t="s">
        <v>788</v>
      </c>
      <c r="F1251" s="4" t="str">
        <f t="shared" si="67"/>
        <v>43|A|A</v>
      </c>
      <c r="G1251" s="14">
        <f>INDEX('Transition Stepwise'!$J$2:$J$1137,MATCH(F1251,'Transition Stepwise'!$E$2:$E$1137,0))</f>
        <v>0.46938775510204084</v>
      </c>
      <c r="H1251" s="14" t="e">
        <f>INDEX(Background!$D$12:$D$27,MATCH(C1251&amp;D1251,INDEX(Background!$A$12:$A$27,0)&amp;INDEX(Background!$B$12:$B$27,0),0))</f>
        <v>#VALUE!</v>
      </c>
      <c r="I1251" s="17" t="e">
        <f t="shared" si="68"/>
        <v>#VALUE!</v>
      </c>
    </row>
    <row r="1252" spans="1:9">
      <c r="A1252" s="4" t="s">
        <v>769</v>
      </c>
      <c r="B1252" s="4">
        <v>44</v>
      </c>
      <c r="C1252" s="4" t="s">
        <v>73</v>
      </c>
      <c r="D1252" s="4" t="s">
        <v>70</v>
      </c>
      <c r="E1252" s="4" t="s">
        <v>788</v>
      </c>
      <c r="F1252" s="4" t="str">
        <f t="shared" si="67"/>
        <v>44|A|G</v>
      </c>
      <c r="G1252" s="14">
        <f>INDEX('Transition Stepwise'!$J$2:$J$1137,MATCH(F1252,'Transition Stepwise'!$E$2:$E$1137,0))</f>
        <v>0.85436893203883491</v>
      </c>
      <c r="H1252" s="14" t="e">
        <f>INDEX(Background!$D$12:$D$27,MATCH(C1252&amp;D1252,INDEX(Background!$A$12:$A$27,0)&amp;INDEX(Background!$B$12:$B$27,0),0))</f>
        <v>#VALUE!</v>
      </c>
      <c r="I1252" s="17" t="e">
        <f t="shared" si="68"/>
        <v>#VALUE!</v>
      </c>
    </row>
    <row r="1253" spans="1:9">
      <c r="A1253" s="4" t="s">
        <v>769</v>
      </c>
      <c r="B1253" s="4">
        <v>45</v>
      </c>
      <c r="C1253" s="4" t="s">
        <v>70</v>
      </c>
      <c r="D1253" s="4" t="s">
        <v>72</v>
      </c>
      <c r="E1253" s="4" t="s">
        <v>788</v>
      </c>
      <c r="F1253" s="4" t="str">
        <f t="shared" si="67"/>
        <v>45|G|U</v>
      </c>
      <c r="G1253" s="14">
        <f>INDEX('Transition Stepwise'!$J$2:$J$1137,MATCH(F1253,'Transition Stepwise'!$E$2:$E$1137,0))</f>
        <v>3.6231884057971016E-2</v>
      </c>
      <c r="H1253" s="14" t="e">
        <f>INDEX(Background!$D$12:$D$27,MATCH(C1253&amp;D1253,INDEX(Background!$A$12:$A$27,0)&amp;INDEX(Background!$B$12:$B$27,0),0))</f>
        <v>#VALUE!</v>
      </c>
      <c r="I1253" s="17" t="e">
        <f t="shared" si="68"/>
        <v>#VALUE!</v>
      </c>
    </row>
    <row r="1254" spans="1:9">
      <c r="A1254" s="4" t="s">
        <v>769</v>
      </c>
      <c r="B1254" s="4">
        <v>46</v>
      </c>
      <c r="C1254" s="4" t="s">
        <v>72</v>
      </c>
      <c r="D1254" s="4" t="s">
        <v>72</v>
      </c>
      <c r="E1254" s="4" t="s">
        <v>788</v>
      </c>
      <c r="F1254" s="4" t="str">
        <f t="shared" si="67"/>
        <v>46|U|U</v>
      </c>
      <c r="G1254" s="14">
        <f>INDEX('Transition Stepwise'!$J$2:$J$1137,MATCH(F1254,'Transition Stepwise'!$E$2:$E$1137,0))</f>
        <v>0.125</v>
      </c>
      <c r="H1254" s="14" t="e">
        <f>INDEX(Background!$D$12:$D$27,MATCH(C1254&amp;D1254,INDEX(Background!$A$12:$A$27,0)&amp;INDEX(Background!$B$12:$B$27,0),0))</f>
        <v>#VALUE!</v>
      </c>
      <c r="I1254" s="17" t="e">
        <f t="shared" si="68"/>
        <v>#VALUE!</v>
      </c>
    </row>
    <row r="1255" spans="1:9">
      <c r="A1255" s="4" t="s">
        <v>769</v>
      </c>
      <c r="B1255" s="4">
        <v>47</v>
      </c>
      <c r="C1255" s="4" t="s">
        <v>72</v>
      </c>
      <c r="D1255" s="4" t="s">
        <v>70</v>
      </c>
      <c r="E1255" s="4" t="s">
        <v>788</v>
      </c>
      <c r="F1255" s="4" t="str">
        <f t="shared" si="67"/>
        <v>47|U|G</v>
      </c>
      <c r="G1255" s="14">
        <f>INDEX('Transition Stepwise'!$J$2:$J$1137,MATCH(F1255,'Transition Stepwise'!$E$2:$E$1137,0))</f>
        <v>1.4388489208633094E-2</v>
      </c>
      <c r="H1255" s="14" t="e">
        <f>INDEX(Background!$D$12:$D$27,MATCH(C1255&amp;D1255,INDEX(Background!$A$12:$A$27,0)&amp;INDEX(Background!$B$12:$B$27,0),0))</f>
        <v>#VALUE!</v>
      </c>
      <c r="I1255" s="17" t="e">
        <f t="shared" si="68"/>
        <v>#VALUE!</v>
      </c>
    </row>
    <row r="1256" spans="1:9">
      <c r="A1256" s="4" t="s">
        <v>769</v>
      </c>
      <c r="B1256" s="4">
        <v>48</v>
      </c>
      <c r="C1256" s="4" t="s">
        <v>70</v>
      </c>
      <c r="D1256" s="4" t="s">
        <v>72</v>
      </c>
      <c r="E1256" s="4" t="s">
        <v>788</v>
      </c>
      <c r="F1256" s="4" t="str">
        <f t="shared" si="67"/>
        <v>48|G|U</v>
      </c>
      <c r="G1256" s="14">
        <f>INDEX('Transition Stepwise'!$J$2:$J$1137,MATCH(F1256,'Transition Stepwise'!$E$2:$E$1137,0))</f>
        <v>0.16666666666666666</v>
      </c>
      <c r="H1256" s="14" t="e">
        <f>INDEX(Background!$D$12:$D$27,MATCH(C1256&amp;D1256,INDEX(Background!$A$12:$A$27,0)&amp;INDEX(Background!$B$12:$B$27,0),0))</f>
        <v>#VALUE!</v>
      </c>
      <c r="I1256" s="17" t="e">
        <f t="shared" si="68"/>
        <v>#VALUE!</v>
      </c>
    </row>
    <row r="1257" spans="1:9">
      <c r="A1257" s="4" t="s">
        <v>769</v>
      </c>
      <c r="B1257" s="4">
        <v>49</v>
      </c>
      <c r="C1257" s="4" t="s">
        <v>72</v>
      </c>
      <c r="D1257" s="4" t="s">
        <v>72</v>
      </c>
      <c r="E1257" s="4" t="s">
        <v>788</v>
      </c>
      <c r="F1257" s="4" t="str">
        <f t="shared" si="67"/>
        <v>49|U|U</v>
      </c>
      <c r="G1257" s="14">
        <f>INDEX('Transition Stepwise'!$J$2:$J$1137,MATCH(F1257,'Transition Stepwise'!$E$2:$E$1137,0))</f>
        <v>6.6666666666666666E-2</v>
      </c>
      <c r="H1257" s="14" t="e">
        <f>INDEX(Background!$D$12:$D$27,MATCH(C1257&amp;D1257,INDEX(Background!$A$12:$A$27,0)&amp;INDEX(Background!$B$12:$B$27,0),0))</f>
        <v>#VALUE!</v>
      </c>
      <c r="I1257" s="17" t="e">
        <f t="shared" si="68"/>
        <v>#VALUE!</v>
      </c>
    </row>
    <row r="1258" spans="1:9">
      <c r="A1258" s="4" t="s">
        <v>769</v>
      </c>
      <c r="B1258" s="4">
        <v>50</v>
      </c>
      <c r="C1258" s="4" t="s">
        <v>72</v>
      </c>
      <c r="D1258" s="4" t="s">
        <v>72</v>
      </c>
      <c r="E1258" s="4" t="s">
        <v>788</v>
      </c>
      <c r="F1258" s="4" t="str">
        <f t="shared" si="67"/>
        <v>50|U|U</v>
      </c>
      <c r="G1258" s="14">
        <f>INDEX('Transition Stepwise'!$J$2:$J$1137,MATCH(F1258,'Transition Stepwise'!$E$2:$E$1137,0))</f>
        <v>0.15</v>
      </c>
      <c r="H1258" s="14" t="e">
        <f>INDEX(Background!$D$12:$D$27,MATCH(C1258&amp;D1258,INDEX(Background!$A$12:$A$27,0)&amp;INDEX(Background!$B$12:$B$27,0),0))</f>
        <v>#VALUE!</v>
      </c>
      <c r="I1258" s="17" t="e">
        <f t="shared" si="68"/>
        <v>#VALUE!</v>
      </c>
    </row>
    <row r="1259" spans="1:9">
      <c r="A1259" s="4" t="s">
        <v>769</v>
      </c>
      <c r="B1259" s="4">
        <v>51</v>
      </c>
      <c r="C1259" s="4" t="s">
        <v>72</v>
      </c>
      <c r="D1259" s="4" t="s">
        <v>71</v>
      </c>
      <c r="E1259" s="4" t="s">
        <v>788</v>
      </c>
      <c r="F1259" s="4" t="str">
        <f t="shared" si="67"/>
        <v>51|U|C</v>
      </c>
      <c r="G1259" s="14">
        <f>INDEX('Transition Stepwise'!$J$2:$J$1137,MATCH(F1259,'Transition Stepwise'!$E$2:$E$1137,0))</f>
        <v>2.8571428571428571E-2</v>
      </c>
      <c r="H1259" s="14" t="e">
        <f>INDEX(Background!$D$12:$D$27,MATCH(C1259&amp;D1259,INDEX(Background!$A$12:$A$27,0)&amp;INDEX(Background!$B$12:$B$27,0),0))</f>
        <v>#VALUE!</v>
      </c>
      <c r="I1259" s="17" t="e">
        <f t="shared" si="68"/>
        <v>#VALUE!</v>
      </c>
    </row>
    <row r="1260" spans="1:9">
      <c r="A1260" s="4" t="s">
        <v>769</v>
      </c>
      <c r="B1260" s="4">
        <v>52</v>
      </c>
      <c r="C1260" s="4" t="s">
        <v>71</v>
      </c>
      <c r="D1260" s="4" t="s">
        <v>70</v>
      </c>
      <c r="E1260" s="4" t="s">
        <v>788</v>
      </c>
      <c r="F1260" s="4" t="str">
        <f t="shared" si="67"/>
        <v>52|C|G</v>
      </c>
      <c r="G1260" s="14">
        <f>INDEX('Transition Stepwise'!$J$2:$J$1137,MATCH(F1260,'Transition Stepwise'!$E$2:$E$1137,0))</f>
        <v>0.5</v>
      </c>
      <c r="H1260" s="14" t="e">
        <f>INDEX(Background!$D$12:$D$27,MATCH(C1260&amp;D1260,INDEX(Background!$A$12:$A$27,0)&amp;INDEX(Background!$B$12:$B$27,0),0))</f>
        <v>#VALUE!</v>
      </c>
      <c r="I1260" s="17" t="e">
        <f t="shared" si="68"/>
        <v>#VALUE!</v>
      </c>
    </row>
    <row r="1261" spans="1:9">
      <c r="A1261" s="4" t="s">
        <v>769</v>
      </c>
      <c r="B1261" s="4">
        <v>53</v>
      </c>
      <c r="C1261" s="4" t="s">
        <v>70</v>
      </c>
      <c r="D1261" s="4" t="s">
        <v>73</v>
      </c>
      <c r="E1261" s="4" t="s">
        <v>788</v>
      </c>
      <c r="F1261" s="4" t="str">
        <f t="shared" si="67"/>
        <v>53|G|A</v>
      </c>
      <c r="G1261" s="14">
        <f>INDEX('Transition Stepwise'!$J$2:$J$1137,MATCH(F1261,'Transition Stepwise'!$E$2:$E$1137,0))</f>
        <v>1.4999999999999999E-2</v>
      </c>
      <c r="H1261" s="14" t="e">
        <f>INDEX(Background!$D$12:$D$27,MATCH(C1261&amp;D1261,INDEX(Background!$A$12:$A$27,0)&amp;INDEX(Background!$B$12:$B$27,0),0))</f>
        <v>#VALUE!</v>
      </c>
      <c r="I1261" s="17" t="e">
        <f t="shared" si="68"/>
        <v>#VALUE!</v>
      </c>
    </row>
    <row r="1262" spans="1:9">
      <c r="A1262" s="4" t="s">
        <v>769</v>
      </c>
      <c r="B1262" s="4">
        <v>54</v>
      </c>
      <c r="C1262" s="4" t="s">
        <v>73</v>
      </c>
      <c r="D1262" s="4" t="s">
        <v>72</v>
      </c>
      <c r="E1262" s="4" t="s">
        <v>788</v>
      </c>
      <c r="F1262" s="4" t="str">
        <f t="shared" si="67"/>
        <v>54|A|U</v>
      </c>
      <c r="G1262" s="14">
        <f>INDEX('Transition Stepwise'!$J$2:$J$1137,MATCH(F1262,'Transition Stepwise'!$E$2:$E$1137,0))</f>
        <v>0.5</v>
      </c>
      <c r="H1262" s="14" t="e">
        <f>INDEX(Background!$D$12:$D$27,MATCH(C1262&amp;D1262,INDEX(Background!$A$12:$A$27,0)&amp;INDEX(Background!$B$12:$B$27,0),0))</f>
        <v>#VALUE!</v>
      </c>
      <c r="I1262" s="17" t="e">
        <f t="shared" si="68"/>
        <v>#VALUE!</v>
      </c>
    </row>
    <row r="1263" spans="1:9">
      <c r="A1263" s="4" t="s">
        <v>769</v>
      </c>
      <c r="B1263" s="4">
        <v>55</v>
      </c>
      <c r="C1263" s="4" t="s">
        <v>72</v>
      </c>
      <c r="D1263" s="4" t="s">
        <v>71</v>
      </c>
      <c r="E1263" s="4" t="s">
        <v>788</v>
      </c>
      <c r="F1263" s="4" t="str">
        <f t="shared" si="67"/>
        <v>55|U|C</v>
      </c>
      <c r="G1263" s="14">
        <f>INDEX('Transition Stepwise'!$J$2:$J$1137,MATCH(F1263,'Transition Stepwise'!$E$2:$E$1137,0))</f>
        <v>0.97512437810945274</v>
      </c>
      <c r="H1263" s="14" t="e">
        <f>INDEX(Background!$D$12:$D$27,MATCH(C1263&amp;D1263,INDEX(Background!$A$12:$A$27,0)&amp;INDEX(Background!$B$12:$B$27,0),0))</f>
        <v>#VALUE!</v>
      </c>
      <c r="I1263" s="17" t="e">
        <f t="shared" si="68"/>
        <v>#VALUE!</v>
      </c>
    </row>
    <row r="1264" spans="1:9">
      <c r="A1264" s="4" t="s">
        <v>769</v>
      </c>
      <c r="B1264" s="4">
        <v>56</v>
      </c>
      <c r="C1264" s="4" t="s">
        <v>71</v>
      </c>
      <c r="D1264" s="4" t="s">
        <v>70</v>
      </c>
      <c r="E1264" s="4" t="s">
        <v>788</v>
      </c>
      <c r="F1264" s="4" t="str">
        <f t="shared" si="67"/>
        <v>56|C|G</v>
      </c>
      <c r="G1264" s="14">
        <f>INDEX('Transition Stepwise'!$J$2:$J$1137,MATCH(F1264,'Transition Stepwise'!$E$2:$E$1137,0))</f>
        <v>0.60499999999999998</v>
      </c>
      <c r="H1264" s="14" t="e">
        <f>INDEX(Background!$D$12:$D$27,MATCH(C1264&amp;D1264,INDEX(Background!$A$12:$A$27,0)&amp;INDEX(Background!$B$12:$B$27,0),0))</f>
        <v>#VALUE!</v>
      </c>
      <c r="I1264" s="17" t="e">
        <f t="shared" si="68"/>
        <v>#VALUE!</v>
      </c>
    </row>
    <row r="1265" spans="1:9">
      <c r="A1265" s="4" t="s">
        <v>769</v>
      </c>
      <c r="B1265" s="4">
        <v>57</v>
      </c>
      <c r="C1265" s="4" t="s">
        <v>70</v>
      </c>
      <c r="D1265" s="4" t="s">
        <v>72</v>
      </c>
      <c r="E1265" s="4" t="s">
        <v>788</v>
      </c>
      <c r="F1265" s="4" t="str">
        <f t="shared" si="67"/>
        <v>57|G|U</v>
      </c>
      <c r="G1265" s="14">
        <f>INDEX('Transition Stepwise'!$J$2:$J$1137,MATCH(F1265,'Transition Stepwise'!$E$2:$E$1137,0))</f>
        <v>8.0000000000000002E-3</v>
      </c>
      <c r="H1265" s="14" t="e">
        <f>INDEX(Background!$D$12:$D$27,MATCH(C1265&amp;D1265,INDEX(Background!$A$12:$A$27,0)&amp;INDEX(Background!$B$12:$B$27,0),0))</f>
        <v>#VALUE!</v>
      </c>
      <c r="I1265" s="17" t="e">
        <f t="shared" si="68"/>
        <v>#VALUE!</v>
      </c>
    </row>
    <row r="1266" spans="1:9">
      <c r="A1266" s="4" t="s">
        <v>769</v>
      </c>
      <c r="B1266" s="4">
        <v>58</v>
      </c>
      <c r="C1266" s="4" t="s">
        <v>72</v>
      </c>
      <c r="D1266" s="4" t="s">
        <v>72</v>
      </c>
      <c r="E1266" s="4" t="s">
        <v>788</v>
      </c>
      <c r="F1266" s="4" t="str">
        <f t="shared" si="67"/>
        <v>58|U|U</v>
      </c>
      <c r="G1266" s="14">
        <f>INDEX('Transition Stepwise'!$J$2:$J$1137,MATCH(F1266,'Transition Stepwise'!$E$2:$E$1137,0))</f>
        <v>0.2</v>
      </c>
      <c r="H1266" s="14" t="e">
        <f>INDEX(Background!$D$12:$D$27,MATCH(C1266&amp;D1266,INDEX(Background!$A$12:$A$27,0)&amp;INDEX(Background!$B$12:$B$27,0),0))</f>
        <v>#VALUE!</v>
      </c>
      <c r="I1266" s="17" t="e">
        <f t="shared" si="68"/>
        <v>#VALUE!</v>
      </c>
    </row>
    <row r="1267" spans="1:9">
      <c r="A1267" s="4" t="s">
        <v>769</v>
      </c>
      <c r="B1267" s="4">
        <v>59</v>
      </c>
      <c r="C1267" s="4" t="s">
        <v>72</v>
      </c>
      <c r="D1267" s="4" t="s">
        <v>72</v>
      </c>
      <c r="E1267" s="4" t="s">
        <v>788</v>
      </c>
      <c r="F1267" s="4" t="str">
        <f t="shared" si="67"/>
        <v>59|U|U</v>
      </c>
      <c r="G1267" s="14">
        <f>INDEX('Transition Stepwise'!$J$2:$J$1137,MATCH(F1267,'Transition Stepwise'!$E$2:$E$1137,0))</f>
        <v>0.53703703703703709</v>
      </c>
      <c r="H1267" s="14" t="e">
        <f>INDEX(Background!$D$12:$D$27,MATCH(C1267&amp;D1267,INDEX(Background!$A$12:$A$27,0)&amp;INDEX(Background!$B$12:$B$27,0),0))</f>
        <v>#VALUE!</v>
      </c>
      <c r="I1267" s="17" t="e">
        <f t="shared" si="68"/>
        <v>#VALUE!</v>
      </c>
    </row>
    <row r="1268" spans="1:9">
      <c r="A1268" s="4" t="s">
        <v>769</v>
      </c>
      <c r="B1268" s="4">
        <v>60</v>
      </c>
      <c r="C1268" s="4" t="s">
        <v>72</v>
      </c>
      <c r="D1268" s="4" t="s">
        <v>71</v>
      </c>
      <c r="E1268" s="4" t="s">
        <v>788</v>
      </c>
      <c r="F1268" s="4" t="str">
        <f t="shared" si="67"/>
        <v>60|U|C</v>
      </c>
      <c r="G1268" s="14">
        <f>INDEX('Transition Stepwise'!$J$2:$J$1137,MATCH(F1268,'Transition Stepwise'!$E$2:$E$1137,0))</f>
        <v>0.97515527950310554</v>
      </c>
      <c r="H1268" s="14" t="e">
        <f>INDEX(Background!$D$12:$D$27,MATCH(C1268&amp;D1268,INDEX(Background!$A$12:$A$27,0)&amp;INDEX(Background!$B$12:$B$27,0),0))</f>
        <v>#VALUE!</v>
      </c>
      <c r="I1268" s="17" t="e">
        <f t="shared" si="68"/>
        <v>#VALUE!</v>
      </c>
    </row>
    <row r="1269" spans="1:9">
      <c r="A1269" s="4" t="s">
        <v>769</v>
      </c>
      <c r="B1269" s="4">
        <v>61</v>
      </c>
      <c r="C1269" s="4" t="s">
        <v>71</v>
      </c>
      <c r="D1269" s="4" t="s">
        <v>70</v>
      </c>
      <c r="E1269" s="4" t="s">
        <v>788</v>
      </c>
      <c r="F1269" s="4" t="str">
        <f t="shared" si="67"/>
        <v>61|C|G</v>
      </c>
      <c r="G1269" s="14">
        <f>INDEX('Transition Stepwise'!$J$2:$J$1137,MATCH(F1269,'Transition Stepwise'!$E$2:$E$1137,0))</f>
        <v>1.4851485148514851E-2</v>
      </c>
      <c r="H1269" s="14" t="e">
        <f>INDEX(Background!$D$12:$D$27,MATCH(C1269&amp;D1269,INDEX(Background!$A$12:$A$27,0)&amp;INDEX(Background!$B$12:$B$27,0),0))</f>
        <v>#VALUE!</v>
      </c>
      <c r="I1269" s="17" t="e">
        <f t="shared" si="68"/>
        <v>#VALUE!</v>
      </c>
    </row>
    <row r="1270" spans="1:9">
      <c r="A1270" s="4" t="s">
        <v>769</v>
      </c>
      <c r="B1270" s="4">
        <v>62</v>
      </c>
      <c r="C1270" s="4" t="s">
        <v>70</v>
      </c>
      <c r="D1270" s="4" t="s">
        <v>73</v>
      </c>
      <c r="E1270" s="4" t="s">
        <v>788</v>
      </c>
      <c r="F1270" s="4" t="str">
        <f t="shared" si="67"/>
        <v>62|G|A</v>
      </c>
      <c r="G1270" s="14">
        <f>INDEX('Transition Stepwise'!$J$2:$J$1137,MATCH(F1270,'Transition Stepwise'!$E$2:$E$1137,0))</f>
        <v>0.16666666666666666</v>
      </c>
      <c r="H1270" s="14" t="e">
        <f>INDEX(Background!$D$12:$D$27,MATCH(C1270&amp;D1270,INDEX(Background!$A$12:$A$27,0)&amp;INDEX(Background!$B$12:$B$27,0),0))</f>
        <v>#VALUE!</v>
      </c>
      <c r="I1270" s="17" t="e">
        <f t="shared" si="68"/>
        <v>#VALUE!</v>
      </c>
    </row>
    <row r="1271" spans="1:9">
      <c r="A1271" s="4" t="s">
        <v>769</v>
      </c>
      <c r="B1271" s="4">
        <v>63</v>
      </c>
      <c r="C1271" s="4" t="s">
        <v>73</v>
      </c>
      <c r="D1271" s="4" t="s">
        <v>73</v>
      </c>
      <c r="E1271" s="4" t="s">
        <v>788</v>
      </c>
      <c r="F1271" s="4" t="str">
        <f t="shared" si="67"/>
        <v>63|A|A</v>
      </c>
      <c r="G1271" s="14">
        <f>INDEX('Transition Stepwise'!$J$2:$J$1137,MATCH(F1271,'Transition Stepwise'!$E$2:$E$1137,0))</f>
        <v>0.22222222222222221</v>
      </c>
      <c r="H1271" s="14" t="e">
        <f>INDEX(Background!$D$12:$D$27,MATCH(C1271&amp;D1271,INDEX(Background!$A$12:$A$27,0)&amp;INDEX(Background!$B$12:$B$27,0),0))</f>
        <v>#VALUE!</v>
      </c>
      <c r="I1271" s="17" t="e">
        <f t="shared" si="68"/>
        <v>#VALUE!</v>
      </c>
    </row>
    <row r="1272" spans="1:9">
      <c r="A1272" s="4" t="s">
        <v>769</v>
      </c>
      <c r="B1272" s="4">
        <v>64</v>
      </c>
      <c r="C1272" s="4" t="s">
        <v>73</v>
      </c>
      <c r="D1272" s="4" t="s">
        <v>73</v>
      </c>
      <c r="E1272" s="4" t="s">
        <v>788</v>
      </c>
      <c r="F1272" s="4" t="str">
        <f t="shared" si="67"/>
        <v>64|A|A</v>
      </c>
      <c r="G1272" s="14">
        <f>INDEX('Transition Stepwise'!$J$2:$J$1137,MATCH(F1272,'Transition Stepwise'!$E$2:$E$1137,0))</f>
        <v>5.5555555555555552E-2</v>
      </c>
      <c r="H1272" s="14" t="e">
        <f>INDEX(Background!$D$12:$D$27,MATCH(C1272&amp;D1272,INDEX(Background!$A$12:$A$27,0)&amp;INDEX(Background!$B$12:$B$27,0),0))</f>
        <v>#VALUE!</v>
      </c>
      <c r="I1272" s="17" t="e">
        <f t="shared" si="68"/>
        <v>#VALUE!</v>
      </c>
    </row>
    <row r="1273" spans="1:9">
      <c r="A1273" s="4" t="s">
        <v>769</v>
      </c>
      <c r="B1273" s="4">
        <v>65</v>
      </c>
      <c r="C1273" s="4" t="s">
        <v>73</v>
      </c>
      <c r="D1273" s="4" t="s">
        <v>73</v>
      </c>
      <c r="E1273" s="4" t="s">
        <v>788</v>
      </c>
      <c r="F1273" s="4" t="str">
        <f t="shared" si="67"/>
        <v>65|A|A</v>
      </c>
      <c r="G1273" s="14">
        <f>INDEX('Transition Stepwise'!$J$2:$J$1137,MATCH(F1273,'Transition Stepwise'!$E$2:$E$1137,0))</f>
        <v>0.15384615384615385</v>
      </c>
      <c r="H1273" s="14" t="e">
        <f>INDEX(Background!$D$12:$D$27,MATCH(C1273&amp;D1273,INDEX(Background!$A$12:$A$27,0)&amp;INDEX(Background!$B$12:$B$27,0),0))</f>
        <v>#VALUE!</v>
      </c>
      <c r="I1273" s="17" t="e">
        <f t="shared" si="68"/>
        <v>#VALUE!</v>
      </c>
    </row>
    <row r="1274" spans="1:9">
      <c r="A1274" s="4" t="s">
        <v>769</v>
      </c>
      <c r="B1274" s="4">
        <v>66</v>
      </c>
      <c r="C1274" s="4" t="s">
        <v>73</v>
      </c>
      <c r="D1274" s="4" t="s">
        <v>72</v>
      </c>
      <c r="E1274" s="4" t="s">
        <v>788</v>
      </c>
      <c r="F1274" s="4" t="str">
        <f t="shared" si="67"/>
        <v>66|A|U</v>
      </c>
      <c r="G1274" s="14">
        <f>INDEX('Transition Stepwise'!$J$2:$J$1137,MATCH(F1274,'Transition Stepwise'!$E$2:$E$1137,0))</f>
        <v>0.25531914893617019</v>
      </c>
      <c r="H1274" s="14" t="e">
        <f>INDEX(Background!$D$12:$D$27,MATCH(C1274&amp;D1274,INDEX(Background!$A$12:$A$27,0)&amp;INDEX(Background!$B$12:$B$27,0),0))</f>
        <v>#VALUE!</v>
      </c>
      <c r="I1274" s="17" t="e">
        <f t="shared" si="68"/>
        <v>#VALUE!</v>
      </c>
    </row>
    <row r="1275" spans="1:9">
      <c r="A1275" s="4" t="s">
        <v>769</v>
      </c>
      <c r="B1275" s="4">
        <v>67</v>
      </c>
      <c r="C1275" s="4" t="s">
        <v>72</v>
      </c>
      <c r="D1275" s="4" t="s">
        <v>70</v>
      </c>
      <c r="E1275" s="4" t="s">
        <v>788</v>
      </c>
      <c r="F1275" s="4" t="str">
        <f t="shared" si="67"/>
        <v>67|U|G</v>
      </c>
      <c r="G1275" s="14">
        <f>INDEX('Transition Stepwise'!$J$2:$J$1137,MATCH(F1275,'Transition Stepwise'!$E$2:$E$1137,0))</f>
        <v>0.2857142857142857</v>
      </c>
      <c r="H1275" s="14" t="e">
        <f>INDEX(Background!$D$12:$D$27,MATCH(C1275&amp;D1275,INDEX(Background!$A$12:$A$27,0)&amp;INDEX(Background!$B$12:$B$27,0),0))</f>
        <v>#VALUE!</v>
      </c>
      <c r="I1275" s="17" t="e">
        <f t="shared" si="68"/>
        <v>#VALUE!</v>
      </c>
    </row>
    <row r="1276" spans="1:9">
      <c r="A1276" s="4" t="s">
        <v>769</v>
      </c>
      <c r="B1276" s="4">
        <v>68</v>
      </c>
      <c r="C1276" s="4" t="s">
        <v>70</v>
      </c>
      <c r="D1276" s="4" t="s">
        <v>73</v>
      </c>
      <c r="E1276" s="4" t="s">
        <v>788</v>
      </c>
      <c r="F1276" s="4" t="str">
        <f t="shared" si="67"/>
        <v>68|G|A</v>
      </c>
      <c r="G1276" s="14">
        <f>INDEX('Transition Stepwise'!$J$2:$J$1137,MATCH(F1276,'Transition Stepwise'!$E$2:$E$1137,0))</f>
        <v>0.15384615384615385</v>
      </c>
      <c r="H1276" s="14" t="e">
        <f>INDEX(Background!$D$12:$D$27,MATCH(C1276&amp;D1276,INDEX(Background!$A$12:$A$27,0)&amp;INDEX(Background!$B$12:$B$27,0),0))</f>
        <v>#VALUE!</v>
      </c>
      <c r="I1276" s="17" t="e">
        <f t="shared" si="68"/>
        <v>#VALUE!</v>
      </c>
    </row>
    <row r="1277" spans="1:9">
      <c r="A1277" s="4" t="s">
        <v>769</v>
      </c>
      <c r="B1277" s="4">
        <v>69</v>
      </c>
      <c r="C1277" s="4" t="s">
        <v>73</v>
      </c>
      <c r="D1277" s="4" t="s">
        <v>73</v>
      </c>
      <c r="E1277" s="4" t="s">
        <v>788</v>
      </c>
      <c r="F1277" s="4" t="str">
        <f t="shared" si="67"/>
        <v>69|A|A</v>
      </c>
      <c r="G1277" s="14">
        <f>INDEX('Transition Stepwise'!$J$2:$J$1137,MATCH(F1277,'Transition Stepwise'!$E$2:$E$1137,0))</f>
        <v>0.20689655172413793</v>
      </c>
      <c r="H1277" s="14" t="e">
        <f>INDEX(Background!$D$12:$D$27,MATCH(C1277&amp;D1277,INDEX(Background!$A$12:$A$27,0)&amp;INDEX(Background!$B$12:$B$27,0),0))</f>
        <v>#VALUE!</v>
      </c>
      <c r="I1277" s="17" t="e">
        <f t="shared" si="68"/>
        <v>#VALUE!</v>
      </c>
    </row>
    <row r="1278" spans="1:9">
      <c r="A1278" s="4" t="s">
        <v>769</v>
      </c>
      <c r="B1278" s="4">
        <v>70</v>
      </c>
      <c r="C1278" s="4" t="s">
        <v>73</v>
      </c>
      <c r="D1278" s="4" t="s">
        <v>70</v>
      </c>
      <c r="E1278" s="4" t="s">
        <v>788</v>
      </c>
      <c r="F1278" s="4" t="str">
        <f t="shared" si="67"/>
        <v>70|A|G</v>
      </c>
      <c r="G1278" s="14">
        <f>INDEX('Transition Stepwise'!$J$2:$J$1137,MATCH(F1278,'Transition Stepwise'!$E$2:$E$1137,0))</f>
        <v>0.55555555555555558</v>
      </c>
      <c r="H1278" s="14" t="e">
        <f>INDEX(Background!$D$12:$D$27,MATCH(C1278&amp;D1278,INDEX(Background!$A$12:$A$27,0)&amp;INDEX(Background!$B$12:$B$27,0),0))</f>
        <v>#VALUE!</v>
      </c>
      <c r="I1278" s="17" t="e">
        <f t="shared" si="68"/>
        <v>#VALUE!</v>
      </c>
    </row>
    <row r="1279" spans="1:9">
      <c r="A1279" s="4" t="s">
        <v>769</v>
      </c>
      <c r="B1279" s="4">
        <v>71</v>
      </c>
      <c r="C1279" s="4" t="s">
        <v>70</v>
      </c>
      <c r="D1279" s="4" t="s">
        <v>70</v>
      </c>
      <c r="E1279" s="4" t="s">
        <v>788</v>
      </c>
      <c r="F1279" s="4" t="str">
        <f t="shared" si="67"/>
        <v>71|G|G</v>
      </c>
      <c r="G1279" s="14">
        <f>INDEX('Transition Stepwise'!$J$2:$J$1137,MATCH(F1279,'Transition Stepwise'!$E$2:$E$1137,0))</f>
        <v>5.8139534883720929E-2</v>
      </c>
      <c r="H1279" s="14" t="e">
        <f>INDEX(Background!$D$12:$D$27,MATCH(C1279&amp;D1279,INDEX(Background!$A$12:$A$27,0)&amp;INDEX(Background!$B$12:$B$27,0),0))</f>
        <v>#VALUE!</v>
      </c>
      <c r="I1279" s="17" t="e">
        <f t="shared" si="68"/>
        <v>#VALUE!</v>
      </c>
    </row>
    <row r="1280" spans="1:9">
      <c r="A1280" s="4" t="s">
        <v>770</v>
      </c>
      <c r="B1280" s="4">
        <v>1</v>
      </c>
      <c r="C1280" s="4" t="s">
        <v>70</v>
      </c>
      <c r="D1280" s="4" t="s">
        <v>73</v>
      </c>
      <c r="E1280" s="4" t="s">
        <v>788</v>
      </c>
      <c r="F1280" s="4" t="str">
        <f t="shared" ref="F1280:F1311" si="69">B1280&amp;"|"&amp;C1280&amp;"|"&amp;D1280</f>
        <v>1|G|A</v>
      </c>
      <c r="G1280" s="14">
        <f>INDEX('Transition Stepwise'!$J$2:$J$1137,MATCH(F1280,'Transition Stepwise'!$E$2:$E$1137,0))</f>
        <v>4.4871794871794872E-2</v>
      </c>
      <c r="H1280" s="14" t="e">
        <f>INDEX(Background!$D$12:$D$27,MATCH(C1280&amp;D1280,INDEX(Background!$A$12:$A$27,0)&amp;INDEX(Background!$B$12:$B$27,0),0))</f>
        <v>#VALUE!</v>
      </c>
      <c r="I1280" s="17" t="e">
        <f t="shared" ref="I1280:I1311" si="70">LN(G1280/H1280)</f>
        <v>#VALUE!</v>
      </c>
    </row>
    <row r="1281" spans="1:9">
      <c r="A1281" s="4" t="s">
        <v>770</v>
      </c>
      <c r="B1281" s="4">
        <v>2</v>
      </c>
      <c r="C1281" s="4" t="s">
        <v>73</v>
      </c>
      <c r="D1281" s="4" t="s">
        <v>73</v>
      </c>
      <c r="E1281" s="4" t="s">
        <v>788</v>
      </c>
      <c r="F1281" s="4" t="str">
        <f t="shared" si="69"/>
        <v>2|A|A</v>
      </c>
      <c r="G1281" s="14">
        <f>INDEX('Transition Stepwise'!$J$2:$J$1137,MATCH(F1281,'Transition Stepwise'!$E$2:$E$1137,0))</f>
        <v>0.1</v>
      </c>
      <c r="H1281" s="14" t="e">
        <f>INDEX(Background!$D$12:$D$27,MATCH(C1281&amp;D1281,INDEX(Background!$A$12:$A$27,0)&amp;INDEX(Background!$B$12:$B$27,0),0))</f>
        <v>#VALUE!</v>
      </c>
      <c r="I1281" s="17" t="e">
        <f t="shared" si="70"/>
        <v>#VALUE!</v>
      </c>
    </row>
    <row r="1282" spans="1:9">
      <c r="A1282" s="4" t="s">
        <v>770</v>
      </c>
      <c r="B1282" s="4">
        <v>3</v>
      </c>
      <c r="C1282" s="4" t="s">
        <v>73</v>
      </c>
      <c r="D1282" s="4" t="s">
        <v>73</v>
      </c>
      <c r="E1282" s="4" t="s">
        <v>788</v>
      </c>
      <c r="F1282" s="4" t="str">
        <f t="shared" si="69"/>
        <v>3|A|A</v>
      </c>
      <c r="G1282" s="14">
        <f>INDEX('Transition Stepwise'!$J$2:$J$1137,MATCH(F1282,'Transition Stepwise'!$E$2:$E$1137,0))</f>
        <v>0.16666666666666666</v>
      </c>
      <c r="H1282" s="14" t="e">
        <f>INDEX(Background!$D$12:$D$27,MATCH(C1282&amp;D1282,INDEX(Background!$A$12:$A$27,0)&amp;INDEX(Background!$B$12:$B$27,0),0))</f>
        <v>#VALUE!</v>
      </c>
      <c r="I1282" s="17" t="e">
        <f t="shared" si="70"/>
        <v>#VALUE!</v>
      </c>
    </row>
    <row r="1283" spans="1:9">
      <c r="A1283" s="4" t="s">
        <v>770</v>
      </c>
      <c r="B1283" s="4">
        <v>4</v>
      </c>
      <c r="C1283" s="4" t="s">
        <v>73</v>
      </c>
      <c r="D1283" s="4" t="s">
        <v>72</v>
      </c>
      <c r="E1283" s="4" t="s">
        <v>788</v>
      </c>
      <c r="F1283" s="4" t="str">
        <f t="shared" si="69"/>
        <v>4|A|U</v>
      </c>
      <c r="G1283" s="14">
        <f>INDEX('Transition Stepwise'!$J$2:$J$1137,MATCH(F1283,'Transition Stepwise'!$E$2:$E$1137,0))</f>
        <v>0.1</v>
      </c>
      <c r="H1283" s="14" t="e">
        <f>INDEX(Background!$D$12:$D$27,MATCH(C1283&amp;D1283,INDEX(Background!$A$12:$A$27,0)&amp;INDEX(Background!$B$12:$B$27,0),0))</f>
        <v>#VALUE!</v>
      </c>
      <c r="I1283" s="17" t="e">
        <f t="shared" si="70"/>
        <v>#VALUE!</v>
      </c>
    </row>
    <row r="1284" spans="1:9">
      <c r="A1284" s="4" t="s">
        <v>770</v>
      </c>
      <c r="B1284" s="4">
        <v>5</v>
      </c>
      <c r="C1284" s="4" t="s">
        <v>72</v>
      </c>
      <c r="D1284" s="4" t="s">
        <v>72</v>
      </c>
      <c r="E1284" s="4" t="s">
        <v>788</v>
      </c>
      <c r="F1284" s="4" t="str">
        <f t="shared" si="69"/>
        <v>5|U|U</v>
      </c>
      <c r="G1284" s="14">
        <f>INDEX('Transition Stepwise'!$J$2:$J$1137,MATCH(F1284,'Transition Stepwise'!$E$2:$E$1137,0))</f>
        <v>0.24</v>
      </c>
      <c r="H1284" s="14" t="e">
        <f>INDEX(Background!$D$12:$D$27,MATCH(C1284&amp;D1284,INDEX(Background!$A$12:$A$27,0)&amp;INDEX(Background!$B$12:$B$27,0),0))</f>
        <v>#VALUE!</v>
      </c>
      <c r="I1284" s="17" t="e">
        <f t="shared" si="70"/>
        <v>#VALUE!</v>
      </c>
    </row>
    <row r="1285" spans="1:9">
      <c r="A1285" s="4" t="s">
        <v>770</v>
      </c>
      <c r="B1285" s="4">
        <v>6</v>
      </c>
      <c r="C1285" s="4" t="s">
        <v>72</v>
      </c>
      <c r="D1285" s="4" t="s">
        <v>72</v>
      </c>
      <c r="E1285" s="4" t="s">
        <v>788</v>
      </c>
      <c r="F1285" s="4" t="str">
        <f t="shared" si="69"/>
        <v>6|U|U</v>
      </c>
      <c r="G1285" s="14">
        <f>INDEX('Transition Stepwise'!$J$2:$J$1137,MATCH(F1285,'Transition Stepwise'!$E$2:$E$1137,0))</f>
        <v>8.771929824561403E-2</v>
      </c>
      <c r="H1285" s="14" t="e">
        <f>INDEX(Background!$D$12:$D$27,MATCH(C1285&amp;D1285,INDEX(Background!$A$12:$A$27,0)&amp;INDEX(Background!$B$12:$B$27,0),0))</f>
        <v>#VALUE!</v>
      </c>
      <c r="I1285" s="17" t="e">
        <f t="shared" si="70"/>
        <v>#VALUE!</v>
      </c>
    </row>
    <row r="1286" spans="1:9">
      <c r="A1286" s="4" t="s">
        <v>770</v>
      </c>
      <c r="B1286" s="4">
        <v>7</v>
      </c>
      <c r="C1286" s="4" t="s">
        <v>72</v>
      </c>
      <c r="D1286" s="4" t="s">
        <v>72</v>
      </c>
      <c r="E1286" s="4" t="s">
        <v>788</v>
      </c>
      <c r="F1286" s="4" t="str">
        <f t="shared" si="69"/>
        <v>7|U|U</v>
      </c>
      <c r="G1286" s="14">
        <f>INDEX('Transition Stepwise'!$J$2:$J$1137,MATCH(F1286,'Transition Stepwise'!$E$2:$E$1137,0))</f>
        <v>0.9375</v>
      </c>
      <c r="H1286" s="14" t="e">
        <f>INDEX(Background!$D$12:$D$27,MATCH(C1286&amp;D1286,INDEX(Background!$A$12:$A$27,0)&amp;INDEX(Background!$B$12:$B$27,0),0))</f>
        <v>#VALUE!</v>
      </c>
      <c r="I1286" s="17" t="e">
        <f t="shared" si="70"/>
        <v>#VALUE!</v>
      </c>
    </row>
    <row r="1287" spans="1:9">
      <c r="A1287" s="4" t="s">
        <v>770</v>
      </c>
      <c r="B1287" s="4">
        <v>8</v>
      </c>
      <c r="C1287" s="4" t="s">
        <v>72</v>
      </c>
      <c r="D1287" s="4" t="s">
        <v>72</v>
      </c>
      <c r="E1287" s="4" t="s">
        <v>788</v>
      </c>
      <c r="F1287" s="4" t="str">
        <f t="shared" si="69"/>
        <v>8|U|U</v>
      </c>
      <c r="G1287" s="14">
        <f>INDEX('Transition Stepwise'!$J$2:$J$1137,MATCH(F1287,'Transition Stepwise'!$E$2:$E$1137,0))</f>
        <v>4.9751243781094526E-3</v>
      </c>
      <c r="H1287" s="14" t="e">
        <f>INDEX(Background!$D$12:$D$27,MATCH(C1287&amp;D1287,INDEX(Background!$A$12:$A$27,0)&amp;INDEX(Background!$B$12:$B$27,0),0))</f>
        <v>#VALUE!</v>
      </c>
      <c r="I1287" s="17" t="e">
        <f t="shared" si="70"/>
        <v>#VALUE!</v>
      </c>
    </row>
    <row r="1288" spans="1:9">
      <c r="A1288" s="4" t="s">
        <v>770</v>
      </c>
      <c r="B1288" s="4">
        <v>9</v>
      </c>
      <c r="C1288" s="4" t="s">
        <v>72</v>
      </c>
      <c r="D1288" s="4" t="s">
        <v>73</v>
      </c>
      <c r="E1288" s="4" t="s">
        <v>788</v>
      </c>
      <c r="F1288" s="4" t="str">
        <f t="shared" si="69"/>
        <v>9|U|A</v>
      </c>
      <c r="G1288" s="14">
        <f>INDEX('Transition Stepwise'!$J$2:$J$1137,MATCH(F1288,'Transition Stepwise'!$E$2:$E$1137,0))</f>
        <v>0.25</v>
      </c>
      <c r="H1288" s="14" t="e">
        <f>INDEX(Background!$D$12:$D$27,MATCH(C1288&amp;D1288,INDEX(Background!$A$12:$A$27,0)&amp;INDEX(Background!$B$12:$B$27,0),0))</f>
        <v>#VALUE!</v>
      </c>
      <c r="I1288" s="17" t="e">
        <f t="shared" si="70"/>
        <v>#VALUE!</v>
      </c>
    </row>
    <row r="1289" spans="1:9">
      <c r="A1289" s="4" t="s">
        <v>770</v>
      </c>
      <c r="B1289" s="4">
        <v>10</v>
      </c>
      <c r="C1289" s="4" t="s">
        <v>73</v>
      </c>
      <c r="D1289" s="4" t="s">
        <v>72</v>
      </c>
      <c r="E1289" s="4" t="s">
        <v>788</v>
      </c>
      <c r="F1289" s="4" t="str">
        <f t="shared" si="69"/>
        <v>10|A|U</v>
      </c>
      <c r="G1289" s="14">
        <f>INDEX('Transition Stepwise'!$J$2:$J$1137,MATCH(F1289,'Transition Stepwise'!$E$2:$E$1137,0))</f>
        <v>0.25</v>
      </c>
      <c r="H1289" s="14" t="e">
        <f>INDEX(Background!$D$12:$D$27,MATCH(C1289&amp;D1289,INDEX(Background!$A$12:$A$27,0)&amp;INDEX(Background!$B$12:$B$27,0),0))</f>
        <v>#VALUE!</v>
      </c>
      <c r="I1289" s="17" t="e">
        <f t="shared" si="70"/>
        <v>#VALUE!</v>
      </c>
    </row>
    <row r="1290" spans="1:9">
      <c r="A1290" s="4" t="s">
        <v>770</v>
      </c>
      <c r="B1290" s="4">
        <v>11</v>
      </c>
      <c r="C1290" s="4" t="s">
        <v>72</v>
      </c>
      <c r="D1290" s="4" t="s">
        <v>72</v>
      </c>
      <c r="E1290" s="4" t="s">
        <v>788</v>
      </c>
      <c r="F1290" s="4" t="str">
        <f t="shared" si="69"/>
        <v>11|U|U</v>
      </c>
      <c r="G1290" s="14">
        <f>INDEX('Transition Stepwise'!$J$2:$J$1137,MATCH(F1290,'Transition Stepwise'!$E$2:$E$1137,0))</f>
        <v>0.27272727272727271</v>
      </c>
      <c r="H1290" s="14" t="e">
        <f>INDEX(Background!$D$12:$D$27,MATCH(C1290&amp;D1290,INDEX(Background!$A$12:$A$27,0)&amp;INDEX(Background!$B$12:$B$27,0),0))</f>
        <v>#VALUE!</v>
      </c>
      <c r="I1290" s="17" t="e">
        <f t="shared" si="70"/>
        <v>#VALUE!</v>
      </c>
    </row>
    <row r="1291" spans="1:9">
      <c r="A1291" s="4" t="s">
        <v>770</v>
      </c>
      <c r="B1291" s="4">
        <v>12</v>
      </c>
      <c r="C1291" s="4" t="s">
        <v>72</v>
      </c>
      <c r="D1291" s="4" t="s">
        <v>72</v>
      </c>
      <c r="E1291" s="4" t="s">
        <v>788</v>
      </c>
      <c r="F1291" s="4" t="str">
        <f t="shared" si="69"/>
        <v>12|U|U</v>
      </c>
      <c r="G1291" s="14">
        <f>INDEX('Transition Stepwise'!$J$2:$J$1137,MATCH(F1291,'Transition Stepwise'!$E$2:$E$1137,0))</f>
        <v>9.6774193548387094E-2</v>
      </c>
      <c r="H1291" s="14" t="e">
        <f>INDEX(Background!$D$12:$D$27,MATCH(C1291&amp;D1291,INDEX(Background!$A$12:$A$27,0)&amp;INDEX(Background!$B$12:$B$27,0),0))</f>
        <v>#VALUE!</v>
      </c>
      <c r="I1291" s="17" t="e">
        <f t="shared" si="70"/>
        <v>#VALUE!</v>
      </c>
    </row>
    <row r="1292" spans="1:9">
      <c r="A1292" s="4" t="s">
        <v>770</v>
      </c>
      <c r="B1292" s="4">
        <v>13</v>
      </c>
      <c r="C1292" s="4" t="s">
        <v>72</v>
      </c>
      <c r="D1292" s="4" t="s">
        <v>73</v>
      </c>
      <c r="E1292" s="4" t="s">
        <v>788</v>
      </c>
      <c r="F1292" s="4" t="str">
        <f t="shared" si="69"/>
        <v>13|U|A</v>
      </c>
      <c r="G1292" s="14">
        <f>INDEX('Transition Stepwise'!$J$2:$J$1137,MATCH(F1292,'Transition Stepwise'!$E$2:$E$1137,0))</f>
        <v>0.9285714285714286</v>
      </c>
      <c r="H1292" s="14" t="e">
        <f>INDEX(Background!$D$12:$D$27,MATCH(C1292&amp;D1292,INDEX(Background!$A$12:$A$27,0)&amp;INDEX(Background!$B$12:$B$27,0),0))</f>
        <v>#VALUE!</v>
      </c>
      <c r="I1292" s="17" t="e">
        <f t="shared" si="70"/>
        <v>#VALUE!</v>
      </c>
    </row>
    <row r="1293" spans="1:9">
      <c r="A1293" s="4" t="s">
        <v>770</v>
      </c>
      <c r="B1293" s="4">
        <v>14</v>
      </c>
      <c r="C1293" s="4" t="s">
        <v>73</v>
      </c>
      <c r="D1293" s="4" t="s">
        <v>72</v>
      </c>
      <c r="E1293" s="4" t="s">
        <v>788</v>
      </c>
      <c r="F1293" s="4" t="str">
        <f t="shared" si="69"/>
        <v>14|A|U</v>
      </c>
      <c r="G1293" s="14">
        <f>INDEX('Transition Stepwise'!$J$2:$J$1137,MATCH(F1293,'Transition Stepwise'!$E$2:$E$1137,0))</f>
        <v>1.4925373134328358E-2</v>
      </c>
      <c r="H1293" s="14" t="e">
        <f>INDEX(Background!$D$12:$D$27,MATCH(C1293&amp;D1293,INDEX(Background!$A$12:$A$27,0)&amp;INDEX(Background!$B$12:$B$27,0),0))</f>
        <v>#VALUE!</v>
      </c>
      <c r="I1293" s="17" t="e">
        <f t="shared" si="70"/>
        <v>#VALUE!</v>
      </c>
    </row>
    <row r="1294" spans="1:9">
      <c r="A1294" s="4" t="s">
        <v>770</v>
      </c>
      <c r="B1294" s="4">
        <v>15</v>
      </c>
      <c r="C1294" s="4" t="s">
        <v>72</v>
      </c>
      <c r="D1294" s="4" t="s">
        <v>72</v>
      </c>
      <c r="E1294" s="4" t="s">
        <v>788</v>
      </c>
      <c r="F1294" s="4" t="str">
        <f t="shared" si="69"/>
        <v>15|U|U</v>
      </c>
      <c r="G1294" s="14">
        <f>INDEX('Transition Stepwise'!$J$2:$J$1137,MATCH(F1294,'Transition Stepwise'!$E$2:$E$1137,0))</f>
        <v>0.2</v>
      </c>
      <c r="H1294" s="14" t="e">
        <f>INDEX(Background!$D$12:$D$27,MATCH(C1294&amp;D1294,INDEX(Background!$A$12:$A$27,0)&amp;INDEX(Background!$B$12:$B$27,0),0))</f>
        <v>#VALUE!</v>
      </c>
      <c r="I1294" s="17" t="e">
        <f t="shared" si="70"/>
        <v>#VALUE!</v>
      </c>
    </row>
    <row r="1295" spans="1:9">
      <c r="A1295" s="4" t="s">
        <v>770</v>
      </c>
      <c r="B1295" s="4">
        <v>16</v>
      </c>
      <c r="C1295" s="4" t="s">
        <v>72</v>
      </c>
      <c r="D1295" s="4" t="s">
        <v>70</v>
      </c>
      <c r="E1295" s="4" t="s">
        <v>788</v>
      </c>
      <c r="F1295" s="4" t="str">
        <f t="shared" si="69"/>
        <v>16|U|G</v>
      </c>
      <c r="G1295" s="14">
        <f>INDEX('Transition Stepwise'!$J$2:$J$1137,MATCH(F1295,'Transition Stepwise'!$E$2:$E$1137,0))</f>
        <v>2.4390243902439025E-2</v>
      </c>
      <c r="H1295" s="14" t="e">
        <f>INDEX(Background!$D$12:$D$27,MATCH(C1295&amp;D1295,INDEX(Background!$A$12:$A$27,0)&amp;INDEX(Background!$B$12:$B$27,0),0))</f>
        <v>#VALUE!</v>
      </c>
      <c r="I1295" s="17" t="e">
        <f t="shared" si="70"/>
        <v>#VALUE!</v>
      </c>
    </row>
    <row r="1296" spans="1:9">
      <c r="A1296" s="4" t="s">
        <v>770</v>
      </c>
      <c r="B1296" s="4">
        <v>17</v>
      </c>
      <c r="C1296" s="4" t="s">
        <v>70</v>
      </c>
      <c r="D1296" s="4" t="s">
        <v>70</v>
      </c>
      <c r="E1296" s="4" t="s">
        <v>788</v>
      </c>
      <c r="F1296" s="4" t="str">
        <f t="shared" si="69"/>
        <v>17|G|G</v>
      </c>
      <c r="G1296" s="14">
        <f>INDEX('Transition Stepwise'!$J$2:$J$1137,MATCH(F1296,'Transition Stepwise'!$E$2:$E$1137,0))</f>
        <v>0.75</v>
      </c>
      <c r="H1296" s="14" t="e">
        <f>INDEX(Background!$D$12:$D$27,MATCH(C1296&amp;D1296,INDEX(Background!$A$12:$A$27,0)&amp;INDEX(Background!$B$12:$B$27,0),0))</f>
        <v>#VALUE!</v>
      </c>
      <c r="I1296" s="17" t="e">
        <f t="shared" si="70"/>
        <v>#VALUE!</v>
      </c>
    </row>
    <row r="1297" spans="1:9">
      <c r="A1297" s="4" t="s">
        <v>770</v>
      </c>
      <c r="B1297" s="4">
        <v>18</v>
      </c>
      <c r="C1297" s="4" t="s">
        <v>70</v>
      </c>
      <c r="D1297" s="4" t="s">
        <v>70</v>
      </c>
      <c r="E1297" s="4" t="s">
        <v>788</v>
      </c>
      <c r="F1297" s="4" t="str">
        <f t="shared" si="69"/>
        <v>18|G|G</v>
      </c>
      <c r="G1297" s="14">
        <f>INDEX('Transition Stepwise'!$J$2:$J$1137,MATCH(F1297,'Transition Stepwise'!$E$2:$E$1137,0))</f>
        <v>0.97536945812807885</v>
      </c>
      <c r="H1297" s="14" t="e">
        <f>INDEX(Background!$D$12:$D$27,MATCH(C1297&amp;D1297,INDEX(Background!$A$12:$A$27,0)&amp;INDEX(Background!$B$12:$B$27,0),0))</f>
        <v>#VALUE!</v>
      </c>
      <c r="I1297" s="17" t="e">
        <f t="shared" si="70"/>
        <v>#VALUE!</v>
      </c>
    </row>
    <row r="1298" spans="1:9">
      <c r="A1298" s="4" t="s">
        <v>770</v>
      </c>
      <c r="B1298" s="4">
        <v>19</v>
      </c>
      <c r="C1298" s="4" t="s">
        <v>70</v>
      </c>
      <c r="D1298" s="4" t="s">
        <v>73</v>
      </c>
      <c r="E1298" s="4" t="s">
        <v>788</v>
      </c>
      <c r="F1298" s="4" t="str">
        <f t="shared" si="69"/>
        <v>19|G|A</v>
      </c>
      <c r="G1298" s="14">
        <f>INDEX('Transition Stepwise'!$J$2:$J$1137,MATCH(F1298,'Transition Stepwise'!$E$2:$E$1137,0))</f>
        <v>8.9552238805970144E-2</v>
      </c>
      <c r="H1298" s="14" t="e">
        <f>INDEX(Background!$D$12:$D$27,MATCH(C1298&amp;D1298,INDEX(Background!$A$12:$A$27,0)&amp;INDEX(Background!$B$12:$B$27,0),0))</f>
        <v>#VALUE!</v>
      </c>
      <c r="I1298" s="17" t="e">
        <f t="shared" si="70"/>
        <v>#VALUE!</v>
      </c>
    </row>
    <row r="1299" spans="1:9">
      <c r="A1299" s="4" t="s">
        <v>770</v>
      </c>
      <c r="B1299" s="4">
        <v>20</v>
      </c>
      <c r="C1299" s="4" t="s">
        <v>73</v>
      </c>
      <c r="D1299" s="4" t="s">
        <v>71</v>
      </c>
      <c r="E1299" s="4" t="s">
        <v>788</v>
      </c>
      <c r="F1299" s="4" t="str">
        <f t="shared" si="69"/>
        <v>20|A|C</v>
      </c>
      <c r="G1299" s="14">
        <f>INDEX('Transition Stepwise'!$J$2:$J$1137,MATCH(F1299,'Transition Stepwise'!$E$2:$E$1137,0))</f>
        <v>4.7619047619047616E-2</v>
      </c>
      <c r="H1299" s="14" t="e">
        <f>INDEX(Background!$D$12:$D$27,MATCH(C1299&amp;D1299,INDEX(Background!$A$12:$A$27,0)&amp;INDEX(Background!$B$12:$B$27,0),0))</f>
        <v>#VALUE!</v>
      </c>
      <c r="I1299" s="17" t="e">
        <f t="shared" si="70"/>
        <v>#VALUE!</v>
      </c>
    </row>
    <row r="1300" spans="1:9">
      <c r="A1300" s="4" t="s">
        <v>770</v>
      </c>
      <c r="B1300" s="4">
        <v>21</v>
      </c>
      <c r="C1300" s="4" t="s">
        <v>71</v>
      </c>
      <c r="D1300" s="4" t="s">
        <v>73</v>
      </c>
      <c r="E1300" s="4" t="s">
        <v>788</v>
      </c>
      <c r="F1300" s="4" t="str">
        <f t="shared" si="69"/>
        <v>21|C|A</v>
      </c>
      <c r="G1300" s="14">
        <f>INDEX('Transition Stepwise'!$J$2:$J$1137,MATCH(F1300,'Transition Stepwise'!$E$2:$E$1137,0))</f>
        <v>0.5</v>
      </c>
      <c r="H1300" s="14" t="e">
        <f>INDEX(Background!$D$12:$D$27,MATCH(C1300&amp;D1300,INDEX(Background!$A$12:$A$27,0)&amp;INDEX(Background!$B$12:$B$27,0),0))</f>
        <v>#VALUE!</v>
      </c>
      <c r="I1300" s="17" t="e">
        <f t="shared" si="70"/>
        <v>#VALUE!</v>
      </c>
    </row>
    <row r="1301" spans="1:9">
      <c r="A1301" s="4" t="s">
        <v>770</v>
      </c>
      <c r="B1301" s="4">
        <v>22</v>
      </c>
      <c r="C1301" s="4" t="s">
        <v>73</v>
      </c>
      <c r="D1301" s="4" t="s">
        <v>73</v>
      </c>
      <c r="E1301" s="4" t="s">
        <v>788</v>
      </c>
      <c r="F1301" s="4" t="str">
        <f t="shared" si="69"/>
        <v>22|A|A</v>
      </c>
      <c r="G1301" s="14">
        <f>INDEX('Transition Stepwise'!$J$2:$J$1137,MATCH(F1301,'Transition Stepwise'!$E$2:$E$1137,0))</f>
        <v>0.15555555555555556</v>
      </c>
      <c r="H1301" s="14" t="e">
        <f>INDEX(Background!$D$12:$D$27,MATCH(C1301&amp;D1301,INDEX(Background!$A$12:$A$27,0)&amp;INDEX(Background!$B$12:$B$27,0),0))</f>
        <v>#VALUE!</v>
      </c>
      <c r="I1301" s="17" t="e">
        <f t="shared" si="70"/>
        <v>#VALUE!</v>
      </c>
    </row>
    <row r="1302" spans="1:9">
      <c r="A1302" s="4" t="s">
        <v>770</v>
      </c>
      <c r="B1302" s="4">
        <v>23</v>
      </c>
      <c r="C1302" s="4" t="s">
        <v>73</v>
      </c>
      <c r="D1302" s="4" t="s">
        <v>73</v>
      </c>
      <c r="E1302" s="4" t="s">
        <v>788</v>
      </c>
      <c r="F1302" s="4" t="str">
        <f t="shared" si="69"/>
        <v>23|A|A</v>
      </c>
      <c r="G1302" s="14">
        <f>INDEX('Transition Stepwise'!$J$2:$J$1137,MATCH(F1302,'Transition Stepwise'!$E$2:$E$1137,0))</f>
        <v>9.6000000000000002E-2</v>
      </c>
      <c r="H1302" s="14" t="e">
        <f>INDEX(Background!$D$12:$D$27,MATCH(C1302&amp;D1302,INDEX(Background!$A$12:$A$27,0)&amp;INDEX(Background!$B$12:$B$27,0),0))</f>
        <v>#VALUE!</v>
      </c>
      <c r="I1302" s="17" t="e">
        <f t="shared" si="70"/>
        <v>#VALUE!</v>
      </c>
    </row>
    <row r="1303" spans="1:9">
      <c r="A1303" s="4" t="s">
        <v>770</v>
      </c>
      <c r="B1303" s="4">
        <v>24</v>
      </c>
      <c r="C1303" s="4" t="s">
        <v>73</v>
      </c>
      <c r="D1303" s="4" t="s">
        <v>72</v>
      </c>
      <c r="E1303" s="4" t="s">
        <v>788</v>
      </c>
      <c r="F1303" s="4" t="str">
        <f t="shared" si="69"/>
        <v>24|A|U</v>
      </c>
      <c r="G1303" s="14">
        <f>INDEX('Transition Stepwise'!$J$2:$J$1137,MATCH(F1303,'Transition Stepwise'!$E$2:$E$1137,0))</f>
        <v>0.26829268292682928</v>
      </c>
      <c r="H1303" s="14" t="e">
        <f>INDEX(Background!$D$12:$D$27,MATCH(C1303&amp;D1303,INDEX(Background!$A$12:$A$27,0)&amp;INDEX(Background!$B$12:$B$27,0),0))</f>
        <v>#VALUE!</v>
      </c>
      <c r="I1303" s="17" t="e">
        <f t="shared" si="70"/>
        <v>#VALUE!</v>
      </c>
    </row>
    <row r="1304" spans="1:9">
      <c r="A1304" s="4" t="s">
        <v>770</v>
      </c>
      <c r="B1304" s="4">
        <v>25</v>
      </c>
      <c r="C1304" s="4" t="s">
        <v>72</v>
      </c>
      <c r="D1304" s="4" t="s">
        <v>72</v>
      </c>
      <c r="E1304" s="4" t="s">
        <v>788</v>
      </c>
      <c r="F1304" s="4" t="str">
        <f t="shared" si="69"/>
        <v>25|U|U</v>
      </c>
      <c r="G1304" s="14">
        <f>INDEX('Transition Stepwise'!$J$2:$J$1137,MATCH(F1304,'Transition Stepwise'!$E$2:$E$1137,0))</f>
        <v>0.16666666666666666</v>
      </c>
      <c r="H1304" s="14" t="e">
        <f>INDEX(Background!$D$12:$D$27,MATCH(C1304&amp;D1304,INDEX(Background!$A$12:$A$27,0)&amp;INDEX(Background!$B$12:$B$27,0),0))</f>
        <v>#VALUE!</v>
      </c>
      <c r="I1304" s="17" t="e">
        <f t="shared" si="70"/>
        <v>#VALUE!</v>
      </c>
    </row>
    <row r="1305" spans="1:9">
      <c r="A1305" s="4" t="s">
        <v>770</v>
      </c>
      <c r="B1305" s="4">
        <v>26</v>
      </c>
      <c r="C1305" s="4" t="s">
        <v>72</v>
      </c>
      <c r="D1305" s="4" t="s">
        <v>72</v>
      </c>
      <c r="E1305" s="4" t="s">
        <v>788</v>
      </c>
      <c r="F1305" s="4" t="str">
        <f t="shared" si="69"/>
        <v>26|U|U</v>
      </c>
      <c r="G1305" s="14">
        <f>INDEX('Transition Stepwise'!$J$2:$J$1137,MATCH(F1305,'Transition Stepwise'!$E$2:$E$1137,0))</f>
        <v>0.26666666666666666</v>
      </c>
      <c r="H1305" s="14" t="e">
        <f>INDEX(Background!$D$12:$D$27,MATCH(C1305&amp;D1305,INDEX(Background!$A$12:$A$27,0)&amp;INDEX(Background!$B$12:$B$27,0),0))</f>
        <v>#VALUE!</v>
      </c>
      <c r="I1305" s="17" t="e">
        <f t="shared" si="70"/>
        <v>#VALUE!</v>
      </c>
    </row>
    <row r="1306" spans="1:9">
      <c r="A1306" s="4" t="s">
        <v>770</v>
      </c>
      <c r="B1306" s="4">
        <v>27</v>
      </c>
      <c r="C1306" s="4" t="s">
        <v>72</v>
      </c>
      <c r="D1306" s="4" t="s">
        <v>72</v>
      </c>
      <c r="E1306" s="4" t="s">
        <v>788</v>
      </c>
      <c r="F1306" s="4" t="str">
        <f t="shared" si="69"/>
        <v>27|U|U</v>
      </c>
      <c r="G1306" s="14">
        <f>INDEX('Transition Stepwise'!$J$2:$J$1137,MATCH(F1306,'Transition Stepwise'!$E$2:$E$1137,0))</f>
        <v>0.3392857142857143</v>
      </c>
      <c r="H1306" s="14" t="e">
        <f>INDEX(Background!$D$12:$D$27,MATCH(C1306&amp;D1306,INDEX(Background!$A$12:$A$27,0)&amp;INDEX(Background!$B$12:$B$27,0),0))</f>
        <v>#VALUE!</v>
      </c>
      <c r="I1306" s="17" t="e">
        <f t="shared" si="70"/>
        <v>#VALUE!</v>
      </c>
    </row>
    <row r="1307" spans="1:9">
      <c r="A1307" s="4" t="s">
        <v>770</v>
      </c>
      <c r="B1307" s="4">
        <v>28</v>
      </c>
      <c r="C1307" s="4" t="s">
        <v>72</v>
      </c>
      <c r="D1307" s="4" t="s">
        <v>70</v>
      </c>
      <c r="E1307" s="4" t="s">
        <v>788</v>
      </c>
      <c r="F1307" s="4" t="str">
        <f t="shared" si="69"/>
        <v>28|U|G</v>
      </c>
      <c r="G1307" s="14">
        <f>INDEX('Transition Stepwise'!$J$2:$J$1137,MATCH(F1307,'Transition Stepwise'!$E$2:$E$1137,0))</f>
        <v>0.30909090909090908</v>
      </c>
      <c r="H1307" s="14" t="e">
        <f>INDEX(Background!$D$12:$D$27,MATCH(C1307&amp;D1307,INDEX(Background!$A$12:$A$27,0)&amp;INDEX(Background!$B$12:$B$27,0),0))</f>
        <v>#VALUE!</v>
      </c>
      <c r="I1307" s="17" t="e">
        <f t="shared" si="70"/>
        <v>#VALUE!</v>
      </c>
    </row>
    <row r="1308" spans="1:9">
      <c r="A1308" s="4" t="s">
        <v>770</v>
      </c>
      <c r="B1308" s="4">
        <v>29</v>
      </c>
      <c r="C1308" s="4" t="s">
        <v>70</v>
      </c>
      <c r="D1308" s="4" t="s">
        <v>73</v>
      </c>
      <c r="E1308" s="4" t="s">
        <v>788</v>
      </c>
      <c r="F1308" s="4" t="str">
        <f t="shared" si="69"/>
        <v>29|G|A</v>
      </c>
      <c r="G1308" s="14">
        <f>INDEX('Transition Stepwise'!$J$2:$J$1137,MATCH(F1308,'Transition Stepwise'!$E$2:$E$1137,0))</f>
        <v>1.2345679012345678E-2</v>
      </c>
      <c r="H1308" s="14" t="e">
        <f>INDEX(Background!$D$12:$D$27,MATCH(C1308&amp;D1308,INDEX(Background!$A$12:$A$27,0)&amp;INDEX(Background!$B$12:$B$27,0),0))</f>
        <v>#VALUE!</v>
      </c>
      <c r="I1308" s="17" t="e">
        <f t="shared" si="70"/>
        <v>#VALUE!</v>
      </c>
    </row>
    <row r="1309" spans="1:9">
      <c r="A1309" s="4" t="s">
        <v>770</v>
      </c>
      <c r="B1309" s="4">
        <v>30</v>
      </c>
      <c r="C1309" s="4" t="s">
        <v>73</v>
      </c>
      <c r="D1309" s="4" t="s">
        <v>73</v>
      </c>
      <c r="E1309" s="4" t="s">
        <v>788</v>
      </c>
      <c r="F1309" s="4" t="str">
        <f t="shared" si="69"/>
        <v>30|A|A</v>
      </c>
      <c r="G1309" s="14">
        <f>INDEX('Transition Stepwise'!$J$2:$J$1137,MATCH(F1309,'Transition Stepwise'!$E$2:$E$1137,0))</f>
        <v>0.25</v>
      </c>
      <c r="H1309" s="14" t="e">
        <f>INDEX(Background!$D$12:$D$27,MATCH(C1309&amp;D1309,INDEX(Background!$A$12:$A$27,0)&amp;INDEX(Background!$B$12:$B$27,0),0))</f>
        <v>#VALUE!</v>
      </c>
      <c r="I1309" s="17" t="e">
        <f t="shared" si="70"/>
        <v>#VALUE!</v>
      </c>
    </row>
    <row r="1310" spans="1:9">
      <c r="A1310" s="4" t="s">
        <v>770</v>
      </c>
      <c r="B1310" s="4">
        <v>31</v>
      </c>
      <c r="C1310" s="4" t="s">
        <v>73</v>
      </c>
      <c r="D1310" s="4" t="s">
        <v>70</v>
      </c>
      <c r="E1310" s="4" t="s">
        <v>788</v>
      </c>
      <c r="F1310" s="4" t="str">
        <f t="shared" si="69"/>
        <v>31|A|G</v>
      </c>
      <c r="G1310" s="14">
        <f>INDEX('Transition Stepwise'!$J$2:$J$1137,MATCH(F1310,'Transition Stepwise'!$E$2:$E$1137,0))</f>
        <v>1.7241379310344827E-2</v>
      </c>
      <c r="H1310" s="14" t="e">
        <f>INDEX(Background!$D$12:$D$27,MATCH(C1310&amp;D1310,INDEX(Background!$A$12:$A$27,0)&amp;INDEX(Background!$B$12:$B$27,0),0))</f>
        <v>#VALUE!</v>
      </c>
      <c r="I1310" s="17" t="e">
        <f t="shared" si="70"/>
        <v>#VALUE!</v>
      </c>
    </row>
    <row r="1311" spans="1:9">
      <c r="A1311" s="4" t="s">
        <v>770</v>
      </c>
      <c r="B1311" s="4">
        <v>32</v>
      </c>
      <c r="C1311" s="4" t="s">
        <v>70</v>
      </c>
      <c r="D1311" s="4" t="s">
        <v>72</v>
      </c>
      <c r="E1311" s="4" t="s">
        <v>788</v>
      </c>
      <c r="F1311" s="4" t="str">
        <f t="shared" si="69"/>
        <v>32|G|U</v>
      </c>
      <c r="G1311" s="14">
        <f>INDEX('Transition Stepwise'!$J$2:$J$1137,MATCH(F1311,'Transition Stepwise'!$E$2:$E$1137,0))</f>
        <v>0.25</v>
      </c>
      <c r="H1311" s="14" t="e">
        <f>INDEX(Background!$D$12:$D$27,MATCH(C1311&amp;D1311,INDEX(Background!$A$12:$A$27,0)&amp;INDEX(Background!$B$12:$B$27,0),0))</f>
        <v>#VALUE!</v>
      </c>
      <c r="I1311" s="17" t="e">
        <f t="shared" si="70"/>
        <v>#VALUE!</v>
      </c>
    </row>
    <row r="1312" spans="1:9">
      <c r="A1312" s="4" t="s">
        <v>770</v>
      </c>
      <c r="B1312" s="4">
        <v>33</v>
      </c>
      <c r="C1312" s="4" t="s">
        <v>72</v>
      </c>
      <c r="D1312" s="4" t="s">
        <v>72</v>
      </c>
      <c r="E1312" s="4" t="s">
        <v>788</v>
      </c>
      <c r="F1312" s="4" t="str">
        <f t="shared" ref="F1312:F1323" si="71">B1312&amp;"|"&amp;C1312&amp;"|"&amp;D1312</f>
        <v>33|U|U</v>
      </c>
      <c r="G1312" s="14">
        <f>INDEX('Transition Stepwise'!$J$2:$J$1137,MATCH(F1312,'Transition Stepwise'!$E$2:$E$1137,0))</f>
        <v>0.29207920792079206</v>
      </c>
      <c r="H1312" s="14" t="e">
        <f>INDEX(Background!$D$12:$D$27,MATCH(C1312&amp;D1312,INDEX(Background!$A$12:$A$27,0)&amp;INDEX(Background!$B$12:$B$27,0),0))</f>
        <v>#VALUE!</v>
      </c>
      <c r="I1312" s="17" t="e">
        <f t="shared" ref="I1312:I1343" si="72">LN(G1312/H1312)</f>
        <v>#VALUE!</v>
      </c>
    </row>
    <row r="1313" spans="1:9">
      <c r="A1313" s="4" t="s">
        <v>770</v>
      </c>
      <c r="B1313" s="4">
        <v>34</v>
      </c>
      <c r="C1313" s="4" t="s">
        <v>72</v>
      </c>
      <c r="D1313" s="4" t="s">
        <v>72</v>
      </c>
      <c r="E1313" s="4" t="s">
        <v>788</v>
      </c>
      <c r="F1313" s="4" t="str">
        <f t="shared" si="71"/>
        <v>34|U|U</v>
      </c>
      <c r="G1313" s="14">
        <f>INDEX('Transition Stepwise'!$J$2:$J$1137,MATCH(F1313,'Transition Stepwise'!$E$2:$E$1137,0))</f>
        <v>0.17741935483870969</v>
      </c>
      <c r="H1313" s="14" t="e">
        <f>INDEX(Background!$D$12:$D$27,MATCH(C1313&amp;D1313,INDEX(Background!$A$12:$A$27,0)&amp;INDEX(Background!$B$12:$B$27,0),0))</f>
        <v>#VALUE!</v>
      </c>
      <c r="I1313" s="17" t="e">
        <f t="shared" si="72"/>
        <v>#VALUE!</v>
      </c>
    </row>
    <row r="1314" spans="1:9">
      <c r="A1314" s="4" t="s">
        <v>770</v>
      </c>
      <c r="B1314" s="4">
        <v>35</v>
      </c>
      <c r="C1314" s="4" t="s">
        <v>72</v>
      </c>
      <c r="D1314" s="4" t="s">
        <v>73</v>
      </c>
      <c r="E1314" s="4" t="s">
        <v>788</v>
      </c>
      <c r="F1314" s="4" t="str">
        <f t="shared" si="71"/>
        <v>35|U|A</v>
      </c>
      <c r="G1314" s="14">
        <f>INDEX('Transition Stepwise'!$J$2:$J$1137,MATCH(F1314,'Transition Stepwise'!$E$2:$E$1137,0))</f>
        <v>0.17777777777777778</v>
      </c>
      <c r="H1314" s="14" t="e">
        <f>INDEX(Background!$D$12:$D$27,MATCH(C1314&amp;D1314,INDEX(Background!$A$12:$A$27,0)&amp;INDEX(Background!$B$12:$B$27,0),0))</f>
        <v>#VALUE!</v>
      </c>
      <c r="I1314" s="17" t="e">
        <f t="shared" si="72"/>
        <v>#VALUE!</v>
      </c>
    </row>
    <row r="1315" spans="1:9">
      <c r="A1315" s="4" t="s">
        <v>770</v>
      </c>
      <c r="B1315" s="4">
        <v>36</v>
      </c>
      <c r="C1315" s="4" t="s">
        <v>73</v>
      </c>
      <c r="D1315" s="4" t="s">
        <v>73</v>
      </c>
      <c r="E1315" s="4" t="s">
        <v>788</v>
      </c>
      <c r="F1315" s="4" t="str">
        <f t="shared" si="71"/>
        <v>36|A|A</v>
      </c>
      <c r="G1315" s="14">
        <f>INDEX('Transition Stepwise'!$J$2:$J$1137,MATCH(F1315,'Transition Stepwise'!$E$2:$E$1137,0))</f>
        <v>0.55319148936170215</v>
      </c>
      <c r="H1315" s="14" t="e">
        <f>INDEX(Background!$D$12:$D$27,MATCH(C1315&amp;D1315,INDEX(Background!$A$12:$A$27,0)&amp;INDEX(Background!$B$12:$B$27,0),0))</f>
        <v>#VALUE!</v>
      </c>
      <c r="I1315" s="17" t="e">
        <f t="shared" si="72"/>
        <v>#VALUE!</v>
      </c>
    </row>
    <row r="1316" spans="1:9">
      <c r="A1316" s="4" t="s">
        <v>770</v>
      </c>
      <c r="B1316" s="4">
        <v>37</v>
      </c>
      <c r="C1316" s="4" t="s">
        <v>73</v>
      </c>
      <c r="D1316" s="4" t="s">
        <v>71</v>
      </c>
      <c r="E1316" s="4" t="s">
        <v>788</v>
      </c>
      <c r="F1316" s="4" t="str">
        <f t="shared" si="71"/>
        <v>37|A|C</v>
      </c>
      <c r="G1316" s="14">
        <f>INDEX('Transition Stepwise'!$J$2:$J$1137,MATCH(F1316,'Transition Stepwise'!$E$2:$E$1137,0))</f>
        <v>0.14838709677419354</v>
      </c>
      <c r="H1316" s="14" t="e">
        <f>INDEX(Background!$D$12:$D$27,MATCH(C1316&amp;D1316,INDEX(Background!$A$12:$A$27,0)&amp;INDEX(Background!$B$12:$B$27,0),0))</f>
        <v>#VALUE!</v>
      </c>
      <c r="I1316" s="17" t="e">
        <f t="shared" si="72"/>
        <v>#VALUE!</v>
      </c>
    </row>
    <row r="1317" spans="1:9">
      <c r="A1317" s="4" t="s">
        <v>770</v>
      </c>
      <c r="B1317" s="4">
        <v>38</v>
      </c>
      <c r="C1317" s="4" t="s">
        <v>71</v>
      </c>
      <c r="D1317" s="4" t="s">
        <v>71</v>
      </c>
      <c r="E1317" s="4" t="s">
        <v>788</v>
      </c>
      <c r="F1317" s="4" t="str">
        <f t="shared" si="71"/>
        <v>38|C|C</v>
      </c>
      <c r="G1317" s="14">
        <f>INDEX('Transition Stepwise'!$J$2:$J$1137,MATCH(F1317,'Transition Stepwise'!$E$2:$E$1137,0))</f>
        <v>0.27272727272727271</v>
      </c>
      <c r="H1317" s="14" t="e">
        <f>INDEX(Background!$D$12:$D$27,MATCH(C1317&amp;D1317,INDEX(Background!$A$12:$A$27,0)&amp;INDEX(Background!$B$12:$B$27,0),0))</f>
        <v>#VALUE!</v>
      </c>
      <c r="I1317" s="17" t="e">
        <f t="shared" si="72"/>
        <v>#VALUE!</v>
      </c>
    </row>
    <row r="1318" spans="1:9">
      <c r="A1318" s="4" t="s">
        <v>770</v>
      </c>
      <c r="B1318" s="4">
        <v>39</v>
      </c>
      <c r="C1318" s="4" t="s">
        <v>71</v>
      </c>
      <c r="D1318" s="4" t="s">
        <v>72</v>
      </c>
      <c r="E1318" s="4" t="s">
        <v>788</v>
      </c>
      <c r="F1318" s="4" t="str">
        <f t="shared" si="71"/>
        <v>39|C|U</v>
      </c>
      <c r="G1318" s="14">
        <f>INDEX('Transition Stepwise'!$J$2:$J$1137,MATCH(F1318,'Transition Stepwise'!$E$2:$E$1137,0))</f>
        <v>1.8181818181818181E-2</v>
      </c>
      <c r="H1318" s="14" t="e">
        <f>INDEX(Background!$D$12:$D$27,MATCH(C1318&amp;D1318,INDEX(Background!$A$12:$A$27,0)&amp;INDEX(Background!$B$12:$B$27,0),0))</f>
        <v>#VALUE!</v>
      </c>
      <c r="I1318" s="17" t="e">
        <f t="shared" si="72"/>
        <v>#VALUE!</v>
      </c>
    </row>
    <row r="1319" spans="1:9">
      <c r="A1319" s="4" t="s">
        <v>770</v>
      </c>
      <c r="B1319" s="4">
        <v>40</v>
      </c>
      <c r="C1319" s="4" t="s">
        <v>72</v>
      </c>
      <c r="D1319" s="4" t="s">
        <v>72</v>
      </c>
      <c r="E1319" s="4" t="s">
        <v>788</v>
      </c>
      <c r="F1319" s="4" t="str">
        <f t="shared" si="71"/>
        <v>40|U|U</v>
      </c>
      <c r="G1319" s="14">
        <f>INDEX('Transition Stepwise'!$J$2:$J$1137,MATCH(F1319,'Transition Stepwise'!$E$2:$E$1137,0))</f>
        <v>8.3333333333333329E-2</v>
      </c>
      <c r="H1319" s="14" t="e">
        <f>INDEX(Background!$D$12:$D$27,MATCH(C1319&amp;D1319,INDEX(Background!$A$12:$A$27,0)&amp;INDEX(Background!$B$12:$B$27,0),0))</f>
        <v>#VALUE!</v>
      </c>
      <c r="I1319" s="17" t="e">
        <f t="shared" si="72"/>
        <v>#VALUE!</v>
      </c>
    </row>
    <row r="1320" spans="1:9">
      <c r="A1320" s="4" t="s">
        <v>770</v>
      </c>
      <c r="B1320" s="4">
        <v>41</v>
      </c>
      <c r="C1320" s="4" t="s">
        <v>72</v>
      </c>
      <c r="D1320" s="4" t="s">
        <v>73</v>
      </c>
      <c r="E1320" s="4" t="s">
        <v>788</v>
      </c>
      <c r="F1320" s="4" t="str">
        <f t="shared" si="71"/>
        <v>41|U|A</v>
      </c>
      <c r="G1320" s="14">
        <f>INDEX('Transition Stepwise'!$J$2:$J$1137,MATCH(F1320,'Transition Stepwise'!$E$2:$E$1137,0))</f>
        <v>0.21621621621621623</v>
      </c>
      <c r="H1320" s="14" t="e">
        <f>INDEX(Background!$D$12:$D$27,MATCH(C1320&amp;D1320,INDEX(Background!$A$12:$A$27,0)&amp;INDEX(Background!$B$12:$B$27,0),0))</f>
        <v>#VALUE!</v>
      </c>
      <c r="I1320" s="17" t="e">
        <f t="shared" si="72"/>
        <v>#VALUE!</v>
      </c>
    </row>
    <row r="1321" spans="1:9">
      <c r="A1321" s="4" t="s">
        <v>770</v>
      </c>
      <c r="B1321" s="4">
        <v>42</v>
      </c>
      <c r="C1321" s="4" t="s">
        <v>73</v>
      </c>
      <c r="D1321" s="4" t="s">
        <v>73</v>
      </c>
      <c r="E1321" s="4" t="s">
        <v>788</v>
      </c>
      <c r="F1321" s="4" t="str">
        <f t="shared" si="71"/>
        <v>42|A|A</v>
      </c>
      <c r="G1321" s="14">
        <f>INDEX('Transition Stepwise'!$J$2:$J$1137,MATCH(F1321,'Transition Stepwise'!$E$2:$E$1137,0))</f>
        <v>0.26415094339622641</v>
      </c>
      <c r="H1321" s="14" t="e">
        <f>INDEX(Background!$D$12:$D$27,MATCH(C1321&amp;D1321,INDEX(Background!$A$12:$A$27,0)&amp;INDEX(Background!$B$12:$B$27,0),0))</f>
        <v>#VALUE!</v>
      </c>
      <c r="I1321" s="17" t="e">
        <f t="shared" si="72"/>
        <v>#VALUE!</v>
      </c>
    </row>
    <row r="1322" spans="1:9">
      <c r="A1322" s="4" t="s">
        <v>770</v>
      </c>
      <c r="B1322" s="4">
        <v>43</v>
      </c>
      <c r="C1322" s="4" t="s">
        <v>73</v>
      </c>
      <c r="D1322" s="4" t="s">
        <v>73</v>
      </c>
      <c r="E1322" s="4" t="s">
        <v>788</v>
      </c>
      <c r="F1322" s="4" t="str">
        <f t="shared" si="71"/>
        <v>43|A|A</v>
      </c>
      <c r="G1322" s="14">
        <f>INDEX('Transition Stepwise'!$J$2:$J$1137,MATCH(F1322,'Transition Stepwise'!$E$2:$E$1137,0))</f>
        <v>0.46938775510204084</v>
      </c>
      <c r="H1322" s="14" t="e">
        <f>INDEX(Background!$D$12:$D$27,MATCH(C1322&amp;D1322,INDEX(Background!$A$12:$A$27,0)&amp;INDEX(Background!$B$12:$B$27,0),0))</f>
        <v>#VALUE!</v>
      </c>
      <c r="I1322" s="17" t="e">
        <f t="shared" si="72"/>
        <v>#VALUE!</v>
      </c>
    </row>
    <row r="1323" spans="1:9">
      <c r="A1323" s="4" t="s">
        <v>770</v>
      </c>
      <c r="B1323" s="4">
        <v>44</v>
      </c>
      <c r="C1323" s="4" t="s">
        <v>73</v>
      </c>
      <c r="D1323" s="4" t="s">
        <v>73</v>
      </c>
      <c r="E1323" s="4" t="s">
        <v>788</v>
      </c>
      <c r="F1323" s="4" t="str">
        <f t="shared" si="71"/>
        <v>44|A|A</v>
      </c>
      <c r="G1323" s="14">
        <f>INDEX('Transition Stepwise'!$J$2:$J$1137,MATCH(F1323,'Transition Stepwise'!$E$2:$E$1137,0))</f>
        <v>1.9417475728155338E-2</v>
      </c>
      <c r="H1323" s="14" t="e">
        <f>INDEX(Background!$D$12:$D$27,MATCH(C1323&amp;D1323,INDEX(Background!$A$12:$A$27,0)&amp;INDEX(Background!$B$12:$B$27,0),0))</f>
        <v>#VALUE!</v>
      </c>
      <c r="I1323" s="17" t="e">
        <f t="shared" si="72"/>
        <v>#VALUE!</v>
      </c>
    </row>
    <row r="1324" spans="1:9">
      <c r="A1324" s="4" t="s">
        <v>770</v>
      </c>
      <c r="B1324" s="4">
        <v>45</v>
      </c>
      <c r="C1324" s="4" t="s">
        <v>73</v>
      </c>
      <c r="D1324" s="4" t="s">
        <v>77</v>
      </c>
      <c r="E1324" s="10" t="s">
        <v>789</v>
      </c>
      <c r="F1324" s="4"/>
      <c r="G1324" s="4"/>
      <c r="H1324" s="4"/>
      <c r="I1324" s="4"/>
    </row>
    <row r="1325" spans="1:9">
      <c r="A1325" s="4" t="s">
        <v>770</v>
      </c>
      <c r="B1325" s="4">
        <v>46</v>
      </c>
      <c r="C1325" s="4" t="s">
        <v>77</v>
      </c>
      <c r="D1325" s="4" t="s">
        <v>72</v>
      </c>
      <c r="E1325" s="10" t="s">
        <v>789</v>
      </c>
      <c r="F1325" s="4"/>
      <c r="G1325" s="4"/>
      <c r="H1325" s="4"/>
      <c r="I1325" s="4"/>
    </row>
    <row r="1326" spans="1:9">
      <c r="A1326" s="4" t="s">
        <v>770</v>
      </c>
      <c r="B1326" s="4">
        <v>47</v>
      </c>
      <c r="C1326" s="4" t="s">
        <v>72</v>
      </c>
      <c r="D1326" s="4" t="s">
        <v>73</v>
      </c>
      <c r="E1326" s="4" t="s">
        <v>788</v>
      </c>
      <c r="F1326" s="4" t="str">
        <f t="shared" ref="F1326:F1389" si="73">B1326&amp;"|"&amp;C1326&amp;"|"&amp;D1326</f>
        <v>47|U|A</v>
      </c>
      <c r="G1326" s="14">
        <f>INDEX('Transition Stepwise'!$J$2:$J$1137,MATCH(F1326,'Transition Stepwise'!$E$2:$E$1137,0))</f>
        <v>7.1942446043165471E-3</v>
      </c>
      <c r="H1326" s="14" t="e">
        <f>INDEX(Background!$D$12:$D$27,MATCH(C1326&amp;D1326,INDEX(Background!$A$12:$A$27,0)&amp;INDEX(Background!$B$12:$B$27,0),0))</f>
        <v>#VALUE!</v>
      </c>
      <c r="I1326" s="17" t="e">
        <f t="shared" ref="I1326:I1389" si="74">LN(G1326/H1326)</f>
        <v>#VALUE!</v>
      </c>
    </row>
    <row r="1327" spans="1:9">
      <c r="A1327" s="4" t="s">
        <v>770</v>
      </c>
      <c r="B1327" s="4">
        <v>48</v>
      </c>
      <c r="C1327" s="4" t="s">
        <v>73</v>
      </c>
      <c r="D1327" s="4" t="s">
        <v>72</v>
      </c>
      <c r="E1327" s="4" t="s">
        <v>788</v>
      </c>
      <c r="F1327" s="4" t="str">
        <f t="shared" si="73"/>
        <v>48|A|U</v>
      </c>
      <c r="G1327" s="14">
        <f>INDEX('Transition Stepwise'!$J$2:$J$1137,MATCH(F1327,'Transition Stepwise'!$E$2:$E$1137,0))</f>
        <v>0.2</v>
      </c>
      <c r="H1327" s="14" t="e">
        <f>INDEX(Background!$D$12:$D$27,MATCH(C1327&amp;D1327,INDEX(Background!$A$12:$A$27,0)&amp;INDEX(Background!$B$12:$B$27,0),0))</f>
        <v>#VALUE!</v>
      </c>
      <c r="I1327" s="17" t="e">
        <f t="shared" si="74"/>
        <v>#VALUE!</v>
      </c>
    </row>
    <row r="1328" spans="1:9">
      <c r="A1328" s="4" t="s">
        <v>770</v>
      </c>
      <c r="B1328" s="4">
        <v>49</v>
      </c>
      <c r="C1328" s="4" t="s">
        <v>72</v>
      </c>
      <c r="D1328" s="4" t="s">
        <v>72</v>
      </c>
      <c r="E1328" s="4" t="s">
        <v>788</v>
      </c>
      <c r="F1328" s="4" t="str">
        <f t="shared" si="73"/>
        <v>49|U|U</v>
      </c>
      <c r="G1328" s="14">
        <f>INDEX('Transition Stepwise'!$J$2:$J$1137,MATCH(F1328,'Transition Stepwise'!$E$2:$E$1137,0))</f>
        <v>6.6666666666666666E-2</v>
      </c>
      <c r="H1328" s="14" t="e">
        <f>INDEX(Background!$D$12:$D$27,MATCH(C1328&amp;D1328,INDEX(Background!$A$12:$A$27,0)&amp;INDEX(Background!$B$12:$B$27,0),0))</f>
        <v>#VALUE!</v>
      </c>
      <c r="I1328" s="17" t="e">
        <f t="shared" si="74"/>
        <v>#VALUE!</v>
      </c>
    </row>
    <row r="1329" spans="1:9">
      <c r="A1329" s="4" t="s">
        <v>770</v>
      </c>
      <c r="B1329" s="4">
        <v>50</v>
      </c>
      <c r="C1329" s="4" t="s">
        <v>72</v>
      </c>
      <c r="D1329" s="4" t="s">
        <v>73</v>
      </c>
      <c r="E1329" s="4" t="s">
        <v>788</v>
      </c>
      <c r="F1329" s="4" t="str">
        <f t="shared" si="73"/>
        <v>50|U|A</v>
      </c>
      <c r="G1329" s="14">
        <f>INDEX('Transition Stepwise'!$J$2:$J$1137,MATCH(F1329,'Transition Stepwise'!$E$2:$E$1137,0))</f>
        <v>0.15</v>
      </c>
      <c r="H1329" s="14" t="e">
        <f>INDEX(Background!$D$12:$D$27,MATCH(C1329&amp;D1329,INDEX(Background!$A$12:$A$27,0)&amp;INDEX(Background!$B$12:$B$27,0),0))</f>
        <v>#VALUE!</v>
      </c>
      <c r="I1329" s="17" t="e">
        <f t="shared" si="74"/>
        <v>#VALUE!</v>
      </c>
    </row>
    <row r="1330" spans="1:9">
      <c r="A1330" s="4" t="s">
        <v>770</v>
      </c>
      <c r="B1330" s="4">
        <v>51</v>
      </c>
      <c r="C1330" s="4" t="s">
        <v>73</v>
      </c>
      <c r="D1330" s="4" t="s">
        <v>73</v>
      </c>
      <c r="E1330" s="4" t="s">
        <v>788</v>
      </c>
      <c r="F1330" s="4" t="str">
        <f t="shared" si="73"/>
        <v>51|A|A</v>
      </c>
      <c r="G1330" s="14">
        <f>INDEX('Transition Stepwise'!$J$2:$J$1137,MATCH(F1330,'Transition Stepwise'!$E$2:$E$1137,0))</f>
        <v>6.25E-2</v>
      </c>
      <c r="H1330" s="14" t="e">
        <f>INDEX(Background!$D$12:$D$27,MATCH(C1330&amp;D1330,INDEX(Background!$A$12:$A$27,0)&amp;INDEX(Background!$B$12:$B$27,0),0))</f>
        <v>#VALUE!</v>
      </c>
      <c r="I1330" s="17" t="e">
        <f t="shared" si="74"/>
        <v>#VALUE!</v>
      </c>
    </row>
    <row r="1331" spans="1:9">
      <c r="A1331" s="4" t="s">
        <v>770</v>
      </c>
      <c r="B1331" s="4">
        <v>52</v>
      </c>
      <c r="C1331" s="4" t="s">
        <v>73</v>
      </c>
      <c r="D1331" s="4" t="s">
        <v>70</v>
      </c>
      <c r="E1331" s="4" t="s">
        <v>788</v>
      </c>
      <c r="F1331" s="4" t="str">
        <f t="shared" si="73"/>
        <v>52|A|G</v>
      </c>
      <c r="G1331" s="14">
        <f>INDEX('Transition Stepwise'!$J$2:$J$1137,MATCH(F1331,'Transition Stepwise'!$E$2:$E$1137,0))</f>
        <v>0.9</v>
      </c>
      <c r="H1331" s="14" t="e">
        <f>INDEX(Background!$D$12:$D$27,MATCH(C1331&amp;D1331,INDEX(Background!$A$12:$A$27,0)&amp;INDEX(Background!$B$12:$B$27,0),0))</f>
        <v>#VALUE!</v>
      </c>
      <c r="I1331" s="17" t="e">
        <f t="shared" si="74"/>
        <v>#VALUE!</v>
      </c>
    </row>
    <row r="1332" spans="1:9">
      <c r="A1332" s="4" t="s">
        <v>770</v>
      </c>
      <c r="B1332" s="4">
        <v>53</v>
      </c>
      <c r="C1332" s="4" t="s">
        <v>70</v>
      </c>
      <c r="D1332" s="4" t="s">
        <v>73</v>
      </c>
      <c r="E1332" s="4" t="s">
        <v>788</v>
      </c>
      <c r="F1332" s="4" t="str">
        <f t="shared" si="73"/>
        <v>53|G|A</v>
      </c>
      <c r="G1332" s="14">
        <f>INDEX('Transition Stepwise'!$J$2:$J$1137,MATCH(F1332,'Transition Stepwise'!$E$2:$E$1137,0))</f>
        <v>1.4999999999999999E-2</v>
      </c>
      <c r="H1332" s="14" t="e">
        <f>INDEX(Background!$D$12:$D$27,MATCH(C1332&amp;D1332,INDEX(Background!$A$12:$A$27,0)&amp;INDEX(Background!$B$12:$B$27,0),0))</f>
        <v>#VALUE!</v>
      </c>
      <c r="I1332" s="17" t="e">
        <f t="shared" si="74"/>
        <v>#VALUE!</v>
      </c>
    </row>
    <row r="1333" spans="1:9">
      <c r="A1333" s="4" t="s">
        <v>770</v>
      </c>
      <c r="B1333" s="4">
        <v>54</v>
      </c>
      <c r="C1333" s="4" t="s">
        <v>73</v>
      </c>
      <c r="D1333" s="4" t="s">
        <v>72</v>
      </c>
      <c r="E1333" s="4" t="s">
        <v>788</v>
      </c>
      <c r="F1333" s="4" t="str">
        <f t="shared" si="73"/>
        <v>54|A|U</v>
      </c>
      <c r="G1333" s="14">
        <f>INDEX('Transition Stepwise'!$J$2:$J$1137,MATCH(F1333,'Transition Stepwise'!$E$2:$E$1137,0))</f>
        <v>0.5</v>
      </c>
      <c r="H1333" s="14" t="e">
        <f>INDEX(Background!$D$12:$D$27,MATCH(C1333&amp;D1333,INDEX(Background!$A$12:$A$27,0)&amp;INDEX(Background!$B$12:$B$27,0),0))</f>
        <v>#VALUE!</v>
      </c>
      <c r="I1333" s="17" t="e">
        <f t="shared" si="74"/>
        <v>#VALUE!</v>
      </c>
    </row>
    <row r="1334" spans="1:9">
      <c r="A1334" s="4" t="s">
        <v>770</v>
      </c>
      <c r="B1334" s="4">
        <v>55</v>
      </c>
      <c r="C1334" s="4" t="s">
        <v>72</v>
      </c>
      <c r="D1334" s="4" t="s">
        <v>71</v>
      </c>
      <c r="E1334" s="4" t="s">
        <v>788</v>
      </c>
      <c r="F1334" s="4" t="str">
        <f t="shared" si="73"/>
        <v>55|U|C</v>
      </c>
      <c r="G1334" s="14">
        <f>INDEX('Transition Stepwise'!$J$2:$J$1137,MATCH(F1334,'Transition Stepwise'!$E$2:$E$1137,0))</f>
        <v>0.97512437810945274</v>
      </c>
      <c r="H1334" s="14" t="e">
        <f>INDEX(Background!$D$12:$D$27,MATCH(C1334&amp;D1334,INDEX(Background!$A$12:$A$27,0)&amp;INDEX(Background!$B$12:$B$27,0),0))</f>
        <v>#VALUE!</v>
      </c>
      <c r="I1334" s="17" t="e">
        <f t="shared" si="74"/>
        <v>#VALUE!</v>
      </c>
    </row>
    <row r="1335" spans="1:9">
      <c r="A1335" s="4" t="s">
        <v>770</v>
      </c>
      <c r="B1335" s="4">
        <v>56</v>
      </c>
      <c r="C1335" s="4" t="s">
        <v>71</v>
      </c>
      <c r="D1335" s="4" t="s">
        <v>73</v>
      </c>
      <c r="E1335" s="4" t="s">
        <v>788</v>
      </c>
      <c r="F1335" s="4" t="str">
        <f t="shared" si="73"/>
        <v>56|C|A</v>
      </c>
      <c r="G1335" s="14">
        <f>INDEX('Transition Stepwise'!$J$2:$J$1137,MATCH(F1335,'Transition Stepwise'!$E$2:$E$1137,0))</f>
        <v>0.38500000000000001</v>
      </c>
      <c r="H1335" s="14" t="e">
        <f>INDEX(Background!$D$12:$D$27,MATCH(C1335&amp;D1335,INDEX(Background!$A$12:$A$27,0)&amp;INDEX(Background!$B$12:$B$27,0),0))</f>
        <v>#VALUE!</v>
      </c>
      <c r="I1335" s="17" t="e">
        <f t="shared" si="74"/>
        <v>#VALUE!</v>
      </c>
    </row>
    <row r="1336" spans="1:9">
      <c r="A1336" s="4" t="s">
        <v>770</v>
      </c>
      <c r="B1336" s="4">
        <v>57</v>
      </c>
      <c r="C1336" s="4" t="s">
        <v>73</v>
      </c>
      <c r="D1336" s="4" t="s">
        <v>72</v>
      </c>
      <c r="E1336" s="4" t="s">
        <v>788</v>
      </c>
      <c r="F1336" s="4" t="str">
        <f t="shared" si="73"/>
        <v>57|A|U</v>
      </c>
      <c r="G1336" s="14">
        <f>INDEX('Transition Stepwise'!$J$2:$J$1137,MATCH(F1336,'Transition Stepwise'!$E$2:$E$1137,0))</f>
        <v>2.4691358024691357E-2</v>
      </c>
      <c r="H1336" s="14" t="e">
        <f>INDEX(Background!$D$12:$D$27,MATCH(C1336&amp;D1336,INDEX(Background!$A$12:$A$27,0)&amp;INDEX(Background!$B$12:$B$27,0),0))</f>
        <v>#VALUE!</v>
      </c>
      <c r="I1336" s="17" t="e">
        <f t="shared" si="74"/>
        <v>#VALUE!</v>
      </c>
    </row>
    <row r="1337" spans="1:9">
      <c r="A1337" s="4" t="s">
        <v>770</v>
      </c>
      <c r="B1337" s="4">
        <v>58</v>
      </c>
      <c r="C1337" s="4" t="s">
        <v>72</v>
      </c>
      <c r="D1337" s="4" t="s">
        <v>73</v>
      </c>
      <c r="E1337" s="4" t="s">
        <v>788</v>
      </c>
      <c r="F1337" s="4" t="str">
        <f t="shared" si="73"/>
        <v>58|U|A</v>
      </c>
      <c r="G1337" s="14">
        <f>INDEX('Transition Stepwise'!$J$2:$J$1137,MATCH(F1337,'Transition Stepwise'!$E$2:$E$1137,0))</f>
        <v>0.2</v>
      </c>
      <c r="H1337" s="14" t="e">
        <f>INDEX(Background!$D$12:$D$27,MATCH(C1337&amp;D1337,INDEX(Background!$A$12:$A$27,0)&amp;INDEX(Background!$B$12:$B$27,0),0))</f>
        <v>#VALUE!</v>
      </c>
      <c r="I1337" s="17" t="e">
        <f t="shared" si="74"/>
        <v>#VALUE!</v>
      </c>
    </row>
    <row r="1338" spans="1:9">
      <c r="A1338" s="4" t="s">
        <v>770</v>
      </c>
      <c r="B1338" s="4">
        <v>59</v>
      </c>
      <c r="C1338" s="4" t="s">
        <v>73</v>
      </c>
      <c r="D1338" s="4" t="s">
        <v>72</v>
      </c>
      <c r="E1338" s="4" t="s">
        <v>788</v>
      </c>
      <c r="F1338" s="4" t="str">
        <f t="shared" si="73"/>
        <v>59|A|U</v>
      </c>
      <c r="G1338" s="14">
        <f>INDEX('Transition Stepwise'!$J$2:$J$1137,MATCH(F1338,'Transition Stepwise'!$E$2:$E$1137,0))</f>
        <v>0.85263157894736841</v>
      </c>
      <c r="H1338" s="14" t="e">
        <f>INDEX(Background!$D$12:$D$27,MATCH(C1338&amp;D1338,INDEX(Background!$A$12:$A$27,0)&amp;INDEX(Background!$B$12:$B$27,0),0))</f>
        <v>#VALUE!</v>
      </c>
      <c r="I1338" s="17" t="e">
        <f t="shared" si="74"/>
        <v>#VALUE!</v>
      </c>
    </row>
    <row r="1339" spans="1:9">
      <c r="A1339" s="4" t="s">
        <v>770</v>
      </c>
      <c r="B1339" s="4">
        <v>60</v>
      </c>
      <c r="C1339" s="4" t="s">
        <v>72</v>
      </c>
      <c r="D1339" s="4" t="s">
        <v>71</v>
      </c>
      <c r="E1339" s="4" t="s">
        <v>788</v>
      </c>
      <c r="F1339" s="4" t="str">
        <f t="shared" si="73"/>
        <v>60|U|C</v>
      </c>
      <c r="G1339" s="14">
        <f>INDEX('Transition Stepwise'!$J$2:$J$1137,MATCH(F1339,'Transition Stepwise'!$E$2:$E$1137,0))</f>
        <v>0.97515527950310554</v>
      </c>
      <c r="H1339" s="14" t="e">
        <f>INDEX(Background!$D$12:$D$27,MATCH(C1339&amp;D1339,INDEX(Background!$A$12:$A$27,0)&amp;INDEX(Background!$B$12:$B$27,0),0))</f>
        <v>#VALUE!</v>
      </c>
      <c r="I1339" s="17" t="e">
        <f t="shared" si="74"/>
        <v>#VALUE!</v>
      </c>
    </row>
    <row r="1340" spans="1:9">
      <c r="A1340" s="4" t="s">
        <v>770</v>
      </c>
      <c r="B1340" s="4">
        <v>61</v>
      </c>
      <c r="C1340" s="4" t="s">
        <v>71</v>
      </c>
      <c r="D1340" s="4" t="s">
        <v>72</v>
      </c>
      <c r="E1340" s="4" t="s">
        <v>788</v>
      </c>
      <c r="F1340" s="4" t="str">
        <f t="shared" si="73"/>
        <v>61|C|U</v>
      </c>
      <c r="G1340" s="14">
        <f>INDEX('Transition Stepwise'!$J$2:$J$1137,MATCH(F1340,'Transition Stepwise'!$E$2:$E$1137,0))</f>
        <v>0.12871287128712872</v>
      </c>
      <c r="H1340" s="14" t="e">
        <f>INDEX(Background!$D$12:$D$27,MATCH(C1340&amp;D1340,INDEX(Background!$A$12:$A$27,0)&amp;INDEX(Background!$B$12:$B$27,0),0))</f>
        <v>#VALUE!</v>
      </c>
      <c r="I1340" s="17" t="e">
        <f t="shared" si="74"/>
        <v>#VALUE!</v>
      </c>
    </row>
    <row r="1341" spans="1:9">
      <c r="A1341" s="4" t="s">
        <v>770</v>
      </c>
      <c r="B1341" s="4">
        <v>62</v>
      </c>
      <c r="C1341" s="4" t="s">
        <v>72</v>
      </c>
      <c r="D1341" s="4" t="s">
        <v>72</v>
      </c>
      <c r="E1341" s="4" t="s">
        <v>788</v>
      </c>
      <c r="F1341" s="4" t="str">
        <f t="shared" si="73"/>
        <v>62|U|U</v>
      </c>
      <c r="G1341" s="14">
        <f>INDEX('Transition Stepwise'!$J$2:$J$1137,MATCH(F1341,'Transition Stepwise'!$E$2:$E$1137,0))</f>
        <v>0.1</v>
      </c>
      <c r="H1341" s="14" t="e">
        <f>INDEX(Background!$D$12:$D$27,MATCH(C1341&amp;D1341,INDEX(Background!$A$12:$A$27,0)&amp;INDEX(Background!$B$12:$B$27,0),0))</f>
        <v>#VALUE!</v>
      </c>
      <c r="I1341" s="17" t="e">
        <f t="shared" si="74"/>
        <v>#VALUE!</v>
      </c>
    </row>
    <row r="1342" spans="1:9">
      <c r="A1342" s="4" t="s">
        <v>770</v>
      </c>
      <c r="B1342" s="4">
        <v>63</v>
      </c>
      <c r="C1342" s="4" t="s">
        <v>72</v>
      </c>
      <c r="D1342" s="4" t="s">
        <v>70</v>
      </c>
      <c r="E1342" s="4" t="s">
        <v>788</v>
      </c>
      <c r="F1342" s="4" t="str">
        <f t="shared" si="73"/>
        <v>63|U|G</v>
      </c>
      <c r="G1342" s="14">
        <f>INDEX('Transition Stepwise'!$J$2:$J$1137,MATCH(F1342,'Transition Stepwise'!$E$2:$E$1137,0))</f>
        <v>0.52777777777777779</v>
      </c>
      <c r="H1342" s="14" t="e">
        <f>INDEX(Background!$D$12:$D$27,MATCH(C1342&amp;D1342,INDEX(Background!$A$12:$A$27,0)&amp;INDEX(Background!$B$12:$B$27,0),0))</f>
        <v>#VALUE!</v>
      </c>
      <c r="I1342" s="17" t="e">
        <f t="shared" si="74"/>
        <v>#VALUE!</v>
      </c>
    </row>
    <row r="1343" spans="1:9">
      <c r="A1343" s="4" t="s">
        <v>770</v>
      </c>
      <c r="B1343" s="4">
        <v>64</v>
      </c>
      <c r="C1343" s="4" t="s">
        <v>70</v>
      </c>
      <c r="D1343" s="4" t="s">
        <v>73</v>
      </c>
      <c r="E1343" s="4" t="s">
        <v>788</v>
      </c>
      <c r="F1343" s="4" t="str">
        <f t="shared" si="73"/>
        <v>64|G|A</v>
      </c>
      <c r="G1343" s="14">
        <f>INDEX('Transition Stepwise'!$J$2:$J$1137,MATCH(F1343,'Transition Stepwise'!$E$2:$E$1137,0))</f>
        <v>3.125E-2</v>
      </c>
      <c r="H1343" s="14" t="e">
        <f>INDEX(Background!$D$12:$D$27,MATCH(C1343&amp;D1343,INDEX(Background!$A$12:$A$27,0)&amp;INDEX(Background!$B$12:$B$27,0),0))</f>
        <v>#VALUE!</v>
      </c>
      <c r="I1343" s="17" t="e">
        <f t="shared" si="74"/>
        <v>#VALUE!</v>
      </c>
    </row>
    <row r="1344" spans="1:9">
      <c r="A1344" s="4" t="s">
        <v>770</v>
      </c>
      <c r="B1344" s="4">
        <v>65</v>
      </c>
      <c r="C1344" s="4" t="s">
        <v>73</v>
      </c>
      <c r="D1344" s="4" t="s">
        <v>70</v>
      </c>
      <c r="E1344" s="4" t="s">
        <v>788</v>
      </c>
      <c r="F1344" s="4" t="str">
        <f t="shared" si="73"/>
        <v>65|A|G</v>
      </c>
      <c r="G1344" s="14">
        <f>INDEX('Transition Stepwise'!$J$2:$J$1137,MATCH(F1344,'Transition Stepwise'!$E$2:$E$1137,0))</f>
        <v>7.6923076923076927E-2</v>
      </c>
      <c r="H1344" s="14" t="e">
        <f>INDEX(Background!$D$12:$D$27,MATCH(C1344&amp;D1344,INDEX(Background!$A$12:$A$27,0)&amp;INDEX(Background!$B$12:$B$27,0),0))</f>
        <v>#VALUE!</v>
      </c>
      <c r="I1344" s="17" t="e">
        <f t="shared" si="74"/>
        <v>#VALUE!</v>
      </c>
    </row>
    <row r="1345" spans="1:9">
      <c r="A1345" s="4" t="s">
        <v>770</v>
      </c>
      <c r="B1345" s="4">
        <v>66</v>
      </c>
      <c r="C1345" s="4" t="s">
        <v>70</v>
      </c>
      <c r="D1345" s="4" t="s">
        <v>73</v>
      </c>
      <c r="E1345" s="4" t="s">
        <v>788</v>
      </c>
      <c r="F1345" s="4" t="str">
        <f t="shared" si="73"/>
        <v>66|G|A</v>
      </c>
      <c r="G1345" s="14">
        <f>INDEX('Transition Stepwise'!$J$2:$J$1137,MATCH(F1345,'Transition Stepwise'!$E$2:$E$1137,0))</f>
        <v>0.16666666666666666</v>
      </c>
      <c r="H1345" s="14" t="e">
        <f>INDEX(Background!$D$12:$D$27,MATCH(C1345&amp;D1345,INDEX(Background!$A$12:$A$27,0)&amp;INDEX(Background!$B$12:$B$27,0),0))</f>
        <v>#VALUE!</v>
      </c>
      <c r="I1345" s="17" t="e">
        <f t="shared" si="74"/>
        <v>#VALUE!</v>
      </c>
    </row>
    <row r="1346" spans="1:9">
      <c r="A1346" s="4" t="s">
        <v>770</v>
      </c>
      <c r="B1346" s="4">
        <v>67</v>
      </c>
      <c r="C1346" s="4" t="s">
        <v>73</v>
      </c>
      <c r="D1346" s="4" t="s">
        <v>73</v>
      </c>
      <c r="E1346" s="4" t="s">
        <v>788</v>
      </c>
      <c r="F1346" s="4" t="str">
        <f t="shared" si="73"/>
        <v>67|A|A</v>
      </c>
      <c r="G1346" s="14">
        <f>INDEX('Transition Stepwise'!$J$2:$J$1137,MATCH(F1346,'Transition Stepwise'!$E$2:$E$1137,0))</f>
        <v>8.6956521739130432E-2</v>
      </c>
      <c r="H1346" s="14" t="e">
        <f>INDEX(Background!$D$12:$D$27,MATCH(C1346&amp;D1346,INDEX(Background!$A$12:$A$27,0)&amp;INDEX(Background!$B$12:$B$27,0),0))</f>
        <v>#VALUE!</v>
      </c>
      <c r="I1346" s="17" t="e">
        <f t="shared" si="74"/>
        <v>#VALUE!</v>
      </c>
    </row>
    <row r="1347" spans="1:9">
      <c r="A1347" s="4" t="s">
        <v>770</v>
      </c>
      <c r="B1347" s="4">
        <v>68</v>
      </c>
      <c r="C1347" s="4" t="s">
        <v>73</v>
      </c>
      <c r="D1347" s="4" t="s">
        <v>72</v>
      </c>
      <c r="E1347" s="4" t="s">
        <v>788</v>
      </c>
      <c r="F1347" s="4" t="str">
        <f t="shared" si="73"/>
        <v>68|A|U</v>
      </c>
      <c r="G1347" s="14">
        <f>INDEX('Transition Stepwise'!$J$2:$J$1137,MATCH(F1347,'Transition Stepwise'!$E$2:$E$1137,0))</f>
        <v>0.10526315789473684</v>
      </c>
      <c r="H1347" s="14" t="e">
        <f>INDEX(Background!$D$12:$D$27,MATCH(C1347&amp;D1347,INDEX(Background!$A$12:$A$27,0)&amp;INDEX(Background!$B$12:$B$27,0),0))</f>
        <v>#VALUE!</v>
      </c>
      <c r="I1347" s="17" t="e">
        <f t="shared" si="74"/>
        <v>#VALUE!</v>
      </c>
    </row>
    <row r="1348" spans="1:9">
      <c r="A1348" s="4" t="s">
        <v>770</v>
      </c>
      <c r="B1348" s="4">
        <v>69</v>
      </c>
      <c r="C1348" s="4" t="s">
        <v>72</v>
      </c>
      <c r="D1348" s="4" t="s">
        <v>72</v>
      </c>
      <c r="E1348" s="4" t="s">
        <v>788</v>
      </c>
      <c r="F1348" s="4" t="str">
        <f t="shared" si="73"/>
        <v>69|U|U</v>
      </c>
      <c r="G1348" s="14">
        <f>INDEX('Transition Stepwise'!$J$2:$J$1137,MATCH(F1348,'Transition Stepwise'!$E$2:$E$1137,0))</f>
        <v>0.14285714285714285</v>
      </c>
      <c r="H1348" s="14" t="e">
        <f>INDEX(Background!$D$12:$D$27,MATCH(C1348&amp;D1348,INDEX(Background!$A$12:$A$27,0)&amp;INDEX(Background!$B$12:$B$27,0),0))</f>
        <v>#VALUE!</v>
      </c>
      <c r="I1348" s="17" t="e">
        <f t="shared" si="74"/>
        <v>#VALUE!</v>
      </c>
    </row>
    <row r="1349" spans="1:9">
      <c r="A1349" s="4" t="s">
        <v>770</v>
      </c>
      <c r="B1349" s="4">
        <v>70</v>
      </c>
      <c r="C1349" s="4" t="s">
        <v>72</v>
      </c>
      <c r="D1349" s="4" t="s">
        <v>72</v>
      </c>
      <c r="E1349" s="4" t="s">
        <v>788</v>
      </c>
      <c r="F1349" s="4" t="str">
        <f t="shared" si="73"/>
        <v>70|U|U</v>
      </c>
      <c r="G1349" s="14">
        <f>INDEX('Transition Stepwise'!$J$2:$J$1137,MATCH(F1349,'Transition Stepwise'!$E$2:$E$1137,0))</f>
        <v>2.9411764705882353E-2</v>
      </c>
      <c r="H1349" s="14" t="e">
        <f>INDEX(Background!$D$12:$D$27,MATCH(C1349&amp;D1349,INDEX(Background!$A$12:$A$27,0)&amp;INDEX(Background!$B$12:$B$27,0),0))</f>
        <v>#VALUE!</v>
      </c>
      <c r="I1349" s="17" t="e">
        <f t="shared" si="74"/>
        <v>#VALUE!</v>
      </c>
    </row>
    <row r="1350" spans="1:9">
      <c r="A1350" s="4" t="s">
        <v>770</v>
      </c>
      <c r="B1350" s="4">
        <v>71</v>
      </c>
      <c r="C1350" s="4" t="s">
        <v>72</v>
      </c>
      <c r="D1350" s="4" t="s">
        <v>70</v>
      </c>
      <c r="E1350" s="4" t="s">
        <v>788</v>
      </c>
      <c r="F1350" s="4" t="str">
        <f t="shared" si="73"/>
        <v>71|U|G</v>
      </c>
      <c r="G1350" s="14">
        <f>INDEX('Transition Stepwise'!$J$2:$J$1137,MATCH(F1350,'Transition Stepwise'!$E$2:$E$1137,0))</f>
        <v>7.6923076923076927E-2</v>
      </c>
      <c r="H1350" s="14" t="e">
        <f>INDEX(Background!$D$12:$D$27,MATCH(C1350&amp;D1350,INDEX(Background!$A$12:$A$27,0)&amp;INDEX(Background!$B$12:$B$27,0),0))</f>
        <v>#VALUE!</v>
      </c>
      <c r="I1350" s="17" t="e">
        <f t="shared" si="74"/>
        <v>#VALUE!</v>
      </c>
    </row>
    <row r="1351" spans="1:9">
      <c r="A1351" s="4" t="s">
        <v>771</v>
      </c>
      <c r="B1351" s="4">
        <v>1</v>
      </c>
      <c r="C1351" s="4" t="s">
        <v>71</v>
      </c>
      <c r="D1351" s="4" t="s">
        <v>71</v>
      </c>
      <c r="E1351" s="4" t="s">
        <v>788</v>
      </c>
      <c r="F1351" s="4" t="str">
        <f t="shared" si="73"/>
        <v>1|C|C</v>
      </c>
      <c r="G1351" s="14">
        <f>INDEX('Transition Stepwise'!$J$2:$J$1137,MATCH(F1351,'Transition Stepwise'!$E$2:$E$1137,0))</f>
        <v>0.19230769230769232</v>
      </c>
      <c r="H1351" s="14" t="e">
        <f>INDEX(Background!$D$12:$D$27,MATCH(C1351&amp;D1351,INDEX(Background!$A$12:$A$27,0)&amp;INDEX(Background!$B$12:$B$27,0),0))</f>
        <v>#VALUE!</v>
      </c>
      <c r="I1351" s="17" t="e">
        <f t="shared" si="74"/>
        <v>#VALUE!</v>
      </c>
    </row>
    <row r="1352" spans="1:9">
      <c r="A1352" s="4" t="s">
        <v>771</v>
      </c>
      <c r="B1352" s="4">
        <v>2</v>
      </c>
      <c r="C1352" s="4" t="s">
        <v>71</v>
      </c>
      <c r="D1352" s="4" t="s">
        <v>73</v>
      </c>
      <c r="E1352" s="4" t="s">
        <v>788</v>
      </c>
      <c r="F1352" s="4" t="str">
        <f t="shared" si="73"/>
        <v>2|C|A</v>
      </c>
      <c r="G1352" s="14">
        <f>INDEX('Transition Stepwise'!$J$2:$J$1137,MATCH(F1352,'Transition Stepwise'!$E$2:$E$1137,0))</f>
        <v>3.4883720930232558E-2</v>
      </c>
      <c r="H1352" s="14" t="e">
        <f>INDEX(Background!$D$12:$D$27,MATCH(C1352&amp;D1352,INDEX(Background!$A$12:$A$27,0)&amp;INDEX(Background!$B$12:$B$27,0),0))</f>
        <v>#VALUE!</v>
      </c>
      <c r="I1352" s="17" t="e">
        <f t="shared" si="74"/>
        <v>#VALUE!</v>
      </c>
    </row>
    <row r="1353" spans="1:9">
      <c r="A1353" s="4" t="s">
        <v>771</v>
      </c>
      <c r="B1353" s="4">
        <v>3</v>
      </c>
      <c r="C1353" s="4" t="s">
        <v>73</v>
      </c>
      <c r="D1353" s="4" t="s">
        <v>71</v>
      </c>
      <c r="E1353" s="4" t="s">
        <v>788</v>
      </c>
      <c r="F1353" s="4" t="str">
        <f t="shared" si="73"/>
        <v>3|A|C</v>
      </c>
      <c r="G1353" s="14">
        <f>INDEX('Transition Stepwise'!$J$2:$J$1137,MATCH(F1353,'Transition Stepwise'!$E$2:$E$1137,0))</f>
        <v>0.22222222222222221</v>
      </c>
      <c r="H1353" s="14" t="e">
        <f>INDEX(Background!$D$12:$D$27,MATCH(C1353&amp;D1353,INDEX(Background!$A$12:$A$27,0)&amp;INDEX(Background!$B$12:$B$27,0),0))</f>
        <v>#VALUE!</v>
      </c>
      <c r="I1353" s="17" t="e">
        <f t="shared" si="74"/>
        <v>#VALUE!</v>
      </c>
    </row>
    <row r="1354" spans="1:9">
      <c r="A1354" s="4" t="s">
        <v>771</v>
      </c>
      <c r="B1354" s="4">
        <v>4</v>
      </c>
      <c r="C1354" s="4" t="s">
        <v>71</v>
      </c>
      <c r="D1354" s="4" t="s">
        <v>72</v>
      </c>
      <c r="E1354" s="4" t="s">
        <v>788</v>
      </c>
      <c r="F1354" s="4" t="str">
        <f t="shared" si="73"/>
        <v>4|C|U</v>
      </c>
      <c r="G1354" s="14">
        <f>INDEX('Transition Stepwise'!$J$2:$J$1137,MATCH(F1354,'Transition Stepwise'!$E$2:$E$1137,0))</f>
        <v>0.12307692307692308</v>
      </c>
      <c r="H1354" s="14" t="e">
        <f>INDEX(Background!$D$12:$D$27,MATCH(C1354&amp;D1354,INDEX(Background!$A$12:$A$27,0)&amp;INDEX(Background!$B$12:$B$27,0),0))</f>
        <v>#VALUE!</v>
      </c>
      <c r="I1354" s="17" t="e">
        <f t="shared" si="74"/>
        <v>#VALUE!</v>
      </c>
    </row>
    <row r="1355" spans="1:9">
      <c r="A1355" s="4" t="s">
        <v>771</v>
      </c>
      <c r="B1355" s="4">
        <v>5</v>
      </c>
      <c r="C1355" s="4" t="s">
        <v>72</v>
      </c>
      <c r="D1355" s="4" t="s">
        <v>73</v>
      </c>
      <c r="E1355" s="4" t="s">
        <v>788</v>
      </c>
      <c r="F1355" s="4" t="str">
        <f t="shared" si="73"/>
        <v>5|U|A</v>
      </c>
      <c r="G1355" s="14">
        <f>INDEX('Transition Stepwise'!$J$2:$J$1137,MATCH(F1355,'Transition Stepwise'!$E$2:$E$1137,0))</f>
        <v>0.04</v>
      </c>
      <c r="H1355" s="14" t="e">
        <f>INDEX(Background!$D$12:$D$27,MATCH(C1355&amp;D1355,INDEX(Background!$A$12:$A$27,0)&amp;INDEX(Background!$B$12:$B$27,0),0))</f>
        <v>#VALUE!</v>
      </c>
      <c r="I1355" s="17" t="e">
        <f t="shared" si="74"/>
        <v>#VALUE!</v>
      </c>
    </row>
    <row r="1356" spans="1:9">
      <c r="A1356" s="4" t="s">
        <v>771</v>
      </c>
      <c r="B1356" s="4">
        <v>6</v>
      </c>
      <c r="C1356" s="4" t="s">
        <v>73</v>
      </c>
      <c r="D1356" s="4" t="s">
        <v>71</v>
      </c>
      <c r="E1356" s="4" t="s">
        <v>788</v>
      </c>
      <c r="F1356" s="4" t="str">
        <f t="shared" si="73"/>
        <v>6|A|C</v>
      </c>
      <c r="G1356" s="14">
        <f>INDEX('Transition Stepwise'!$J$2:$J$1137,MATCH(F1356,'Transition Stepwise'!$E$2:$E$1137,0))</f>
        <v>5.2631578947368418E-2</v>
      </c>
      <c r="H1356" s="14" t="e">
        <f>INDEX(Background!$D$12:$D$27,MATCH(C1356&amp;D1356,INDEX(Background!$A$12:$A$27,0)&amp;INDEX(Background!$B$12:$B$27,0),0))</f>
        <v>#VALUE!</v>
      </c>
      <c r="I1356" s="17" t="e">
        <f t="shared" si="74"/>
        <v>#VALUE!</v>
      </c>
    </row>
    <row r="1357" spans="1:9">
      <c r="A1357" s="4" t="s">
        <v>771</v>
      </c>
      <c r="B1357" s="4">
        <v>7</v>
      </c>
      <c r="C1357" s="4" t="s">
        <v>71</v>
      </c>
      <c r="D1357" s="4" t="s">
        <v>72</v>
      </c>
      <c r="E1357" s="4" t="s">
        <v>788</v>
      </c>
      <c r="F1357" s="4" t="str">
        <f t="shared" si="73"/>
        <v>7|C|U</v>
      </c>
      <c r="G1357" s="14">
        <f>INDEX('Transition Stepwise'!$J$2:$J$1137,MATCH(F1357,'Transition Stepwise'!$E$2:$E$1137,0))</f>
        <v>0.5714285714285714</v>
      </c>
      <c r="H1357" s="14" t="e">
        <f>INDEX(Background!$D$12:$D$27,MATCH(C1357&amp;D1357,INDEX(Background!$A$12:$A$27,0)&amp;INDEX(Background!$B$12:$B$27,0),0))</f>
        <v>#VALUE!</v>
      </c>
      <c r="I1357" s="17" t="e">
        <f t="shared" si="74"/>
        <v>#VALUE!</v>
      </c>
    </row>
    <row r="1358" spans="1:9">
      <c r="A1358" s="4" t="s">
        <v>771</v>
      </c>
      <c r="B1358" s="4">
        <v>8</v>
      </c>
      <c r="C1358" s="4" t="s">
        <v>72</v>
      </c>
      <c r="D1358" s="4" t="s">
        <v>72</v>
      </c>
      <c r="E1358" s="4" t="s">
        <v>788</v>
      </c>
      <c r="F1358" s="4" t="str">
        <f t="shared" si="73"/>
        <v>8|U|U</v>
      </c>
      <c r="G1358" s="14">
        <f>INDEX('Transition Stepwise'!$J$2:$J$1137,MATCH(F1358,'Transition Stepwise'!$E$2:$E$1137,0))</f>
        <v>4.9751243781094526E-3</v>
      </c>
      <c r="H1358" s="14" t="e">
        <f>INDEX(Background!$D$12:$D$27,MATCH(C1358&amp;D1358,INDEX(Background!$A$12:$A$27,0)&amp;INDEX(Background!$B$12:$B$27,0),0))</f>
        <v>#VALUE!</v>
      </c>
      <c r="I1358" s="17" t="e">
        <f t="shared" si="74"/>
        <v>#VALUE!</v>
      </c>
    </row>
    <row r="1359" spans="1:9">
      <c r="A1359" s="4" t="s">
        <v>771</v>
      </c>
      <c r="B1359" s="4">
        <v>9</v>
      </c>
      <c r="C1359" s="4" t="s">
        <v>72</v>
      </c>
      <c r="D1359" s="4" t="s">
        <v>73</v>
      </c>
      <c r="E1359" s="4" t="s">
        <v>788</v>
      </c>
      <c r="F1359" s="4" t="str">
        <f t="shared" si="73"/>
        <v>9|U|A</v>
      </c>
      <c r="G1359" s="14">
        <f>INDEX('Transition Stepwise'!$J$2:$J$1137,MATCH(F1359,'Transition Stepwise'!$E$2:$E$1137,0))</f>
        <v>0.25</v>
      </c>
      <c r="H1359" s="14" t="e">
        <f>INDEX(Background!$D$12:$D$27,MATCH(C1359&amp;D1359,INDEX(Background!$A$12:$A$27,0)&amp;INDEX(Background!$B$12:$B$27,0),0))</f>
        <v>#VALUE!</v>
      </c>
      <c r="I1359" s="17" t="e">
        <f t="shared" si="74"/>
        <v>#VALUE!</v>
      </c>
    </row>
    <row r="1360" spans="1:9">
      <c r="A1360" s="4" t="s">
        <v>771</v>
      </c>
      <c r="B1360" s="4">
        <v>10</v>
      </c>
      <c r="C1360" s="4" t="s">
        <v>73</v>
      </c>
      <c r="D1360" s="4" t="s">
        <v>72</v>
      </c>
      <c r="E1360" s="4" t="s">
        <v>788</v>
      </c>
      <c r="F1360" s="4" t="str">
        <f t="shared" si="73"/>
        <v>10|A|U</v>
      </c>
      <c r="G1360" s="14">
        <f>INDEX('Transition Stepwise'!$J$2:$J$1137,MATCH(F1360,'Transition Stepwise'!$E$2:$E$1137,0))</f>
        <v>0.25</v>
      </c>
      <c r="H1360" s="14" t="e">
        <f>INDEX(Background!$D$12:$D$27,MATCH(C1360&amp;D1360,INDEX(Background!$A$12:$A$27,0)&amp;INDEX(Background!$B$12:$B$27,0),0))</f>
        <v>#VALUE!</v>
      </c>
      <c r="I1360" s="17" t="e">
        <f t="shared" si="74"/>
        <v>#VALUE!</v>
      </c>
    </row>
    <row r="1361" spans="1:9">
      <c r="A1361" s="4" t="s">
        <v>771</v>
      </c>
      <c r="B1361" s="4">
        <v>11</v>
      </c>
      <c r="C1361" s="4" t="s">
        <v>72</v>
      </c>
      <c r="D1361" s="4" t="s">
        <v>70</v>
      </c>
      <c r="E1361" s="4" t="s">
        <v>788</v>
      </c>
      <c r="F1361" s="4" t="str">
        <f t="shared" si="73"/>
        <v>11|U|G</v>
      </c>
      <c r="G1361" s="14">
        <f>INDEX('Transition Stepwise'!$J$2:$J$1137,MATCH(F1361,'Transition Stepwise'!$E$2:$E$1137,0))</f>
        <v>0.29545454545454547</v>
      </c>
      <c r="H1361" s="14" t="e">
        <f>INDEX(Background!$D$12:$D$27,MATCH(C1361&amp;D1361,INDEX(Background!$A$12:$A$27,0)&amp;INDEX(Background!$B$12:$B$27,0),0))</f>
        <v>#VALUE!</v>
      </c>
      <c r="I1361" s="17" t="e">
        <f t="shared" si="74"/>
        <v>#VALUE!</v>
      </c>
    </row>
    <row r="1362" spans="1:9">
      <c r="A1362" s="4" t="s">
        <v>771</v>
      </c>
      <c r="B1362" s="4">
        <v>12</v>
      </c>
      <c r="C1362" s="4" t="s">
        <v>70</v>
      </c>
      <c r="D1362" s="4" t="s">
        <v>73</v>
      </c>
      <c r="E1362" s="4" t="s">
        <v>788</v>
      </c>
      <c r="F1362" s="4" t="str">
        <f t="shared" si="73"/>
        <v>12|G|A</v>
      </c>
      <c r="G1362" s="14">
        <f>INDEX('Transition Stepwise'!$J$2:$J$1137,MATCH(F1362,'Transition Stepwise'!$E$2:$E$1137,0))</f>
        <v>0.14285714285714285</v>
      </c>
      <c r="H1362" s="14" t="e">
        <f>INDEX(Background!$D$12:$D$27,MATCH(C1362&amp;D1362,INDEX(Background!$A$12:$A$27,0)&amp;INDEX(Background!$B$12:$B$27,0),0))</f>
        <v>#VALUE!</v>
      </c>
      <c r="I1362" s="17" t="e">
        <f t="shared" si="74"/>
        <v>#VALUE!</v>
      </c>
    </row>
    <row r="1363" spans="1:9">
      <c r="A1363" s="4" t="s">
        <v>771</v>
      </c>
      <c r="B1363" s="4">
        <v>13</v>
      </c>
      <c r="C1363" s="4" t="s">
        <v>73</v>
      </c>
      <c r="D1363" s="4" t="s">
        <v>73</v>
      </c>
      <c r="E1363" s="4" t="s">
        <v>788</v>
      </c>
      <c r="F1363" s="4" t="str">
        <f t="shared" si="73"/>
        <v>13|A|A</v>
      </c>
      <c r="G1363" s="14">
        <f>INDEX('Transition Stepwise'!$J$2:$J$1137,MATCH(F1363,'Transition Stepwise'!$E$2:$E$1137,0))</f>
        <v>0.76470588235294112</v>
      </c>
      <c r="H1363" s="14" t="e">
        <f>INDEX(Background!$D$12:$D$27,MATCH(C1363&amp;D1363,INDEX(Background!$A$12:$A$27,0)&amp;INDEX(Background!$B$12:$B$27,0),0))</f>
        <v>#VALUE!</v>
      </c>
      <c r="I1363" s="17" t="e">
        <f t="shared" si="74"/>
        <v>#VALUE!</v>
      </c>
    </row>
    <row r="1364" spans="1:9">
      <c r="A1364" s="4" t="s">
        <v>771</v>
      </c>
      <c r="B1364" s="4">
        <v>14</v>
      </c>
      <c r="C1364" s="4" t="s">
        <v>73</v>
      </c>
      <c r="D1364" s="4" t="s">
        <v>72</v>
      </c>
      <c r="E1364" s="4" t="s">
        <v>788</v>
      </c>
      <c r="F1364" s="4" t="str">
        <f t="shared" si="73"/>
        <v>14|A|U</v>
      </c>
      <c r="G1364" s="14">
        <f>INDEX('Transition Stepwise'!$J$2:$J$1137,MATCH(F1364,'Transition Stepwise'!$E$2:$E$1137,0))</f>
        <v>1.4925373134328358E-2</v>
      </c>
      <c r="H1364" s="14" t="e">
        <f>INDEX(Background!$D$12:$D$27,MATCH(C1364&amp;D1364,INDEX(Background!$A$12:$A$27,0)&amp;INDEX(Background!$B$12:$B$27,0),0))</f>
        <v>#VALUE!</v>
      </c>
      <c r="I1364" s="17" t="e">
        <f t="shared" si="74"/>
        <v>#VALUE!</v>
      </c>
    </row>
    <row r="1365" spans="1:9">
      <c r="A1365" s="4" t="s">
        <v>771</v>
      </c>
      <c r="B1365" s="4">
        <v>15</v>
      </c>
      <c r="C1365" s="4" t="s">
        <v>72</v>
      </c>
      <c r="D1365" s="4" t="s">
        <v>71</v>
      </c>
      <c r="E1365" s="4" t="s">
        <v>788</v>
      </c>
      <c r="F1365" s="4" t="str">
        <f t="shared" si="73"/>
        <v>15|U|C</v>
      </c>
      <c r="G1365" s="14">
        <f>INDEX('Transition Stepwise'!$J$2:$J$1137,MATCH(F1365,'Transition Stepwise'!$E$2:$E$1137,0))</f>
        <v>0.4</v>
      </c>
      <c r="H1365" s="14" t="e">
        <f>INDEX(Background!$D$12:$D$27,MATCH(C1365&amp;D1365,INDEX(Background!$A$12:$A$27,0)&amp;INDEX(Background!$B$12:$B$27,0),0))</f>
        <v>#VALUE!</v>
      </c>
      <c r="I1365" s="17" t="e">
        <f t="shared" si="74"/>
        <v>#VALUE!</v>
      </c>
    </row>
    <row r="1366" spans="1:9">
      <c r="A1366" s="4" t="s">
        <v>771</v>
      </c>
      <c r="B1366" s="4">
        <v>16</v>
      </c>
      <c r="C1366" s="4" t="s">
        <v>71</v>
      </c>
      <c r="D1366" s="4" t="s">
        <v>71</v>
      </c>
      <c r="E1366" s="4" t="s">
        <v>788</v>
      </c>
      <c r="F1366" s="4" t="str">
        <f t="shared" si="73"/>
        <v>16|C|C</v>
      </c>
      <c r="G1366" s="14">
        <f>INDEX('Transition Stepwise'!$J$2:$J$1137,MATCH(F1366,'Transition Stepwise'!$E$2:$E$1137,0))</f>
        <v>0.45098039215686275</v>
      </c>
      <c r="H1366" s="14" t="e">
        <f>INDEX(Background!$D$12:$D$27,MATCH(C1366&amp;D1366,INDEX(Background!$A$12:$A$27,0)&amp;INDEX(Background!$B$12:$B$27,0),0))</f>
        <v>#VALUE!</v>
      </c>
      <c r="I1366" s="17" t="e">
        <f t="shared" si="74"/>
        <v>#VALUE!</v>
      </c>
    </row>
    <row r="1367" spans="1:9">
      <c r="A1367" s="4" t="s">
        <v>771</v>
      </c>
      <c r="B1367" s="4">
        <v>17</v>
      </c>
      <c r="C1367" s="4" t="s">
        <v>71</v>
      </c>
      <c r="D1367" s="4" t="s">
        <v>70</v>
      </c>
      <c r="E1367" s="4" t="s">
        <v>788</v>
      </c>
      <c r="F1367" s="4" t="str">
        <f t="shared" si="73"/>
        <v>17|C|G</v>
      </c>
      <c r="G1367" s="14">
        <f>INDEX('Transition Stepwise'!$J$2:$J$1137,MATCH(F1367,'Transition Stepwise'!$E$2:$E$1137,0))</f>
        <v>0.95522388059701491</v>
      </c>
      <c r="H1367" s="14" t="e">
        <f>INDEX(Background!$D$12:$D$27,MATCH(C1367&amp;D1367,INDEX(Background!$A$12:$A$27,0)&amp;INDEX(Background!$B$12:$B$27,0),0))</f>
        <v>#VALUE!</v>
      </c>
      <c r="I1367" s="17" t="e">
        <f t="shared" si="74"/>
        <v>#VALUE!</v>
      </c>
    </row>
    <row r="1368" spans="1:9">
      <c r="A1368" s="4" t="s">
        <v>771</v>
      </c>
      <c r="B1368" s="4">
        <v>18</v>
      </c>
      <c r="C1368" s="4" t="s">
        <v>70</v>
      </c>
      <c r="D1368" s="4" t="s">
        <v>70</v>
      </c>
      <c r="E1368" s="4" t="s">
        <v>788</v>
      </c>
      <c r="F1368" s="4" t="str">
        <f t="shared" si="73"/>
        <v>18|G|G</v>
      </c>
      <c r="G1368" s="14">
        <f>INDEX('Transition Stepwise'!$J$2:$J$1137,MATCH(F1368,'Transition Stepwise'!$E$2:$E$1137,0))</f>
        <v>0.97536945812807885</v>
      </c>
      <c r="H1368" s="14" t="e">
        <f>INDEX(Background!$D$12:$D$27,MATCH(C1368&amp;D1368,INDEX(Background!$A$12:$A$27,0)&amp;INDEX(Background!$B$12:$B$27,0),0))</f>
        <v>#VALUE!</v>
      </c>
      <c r="I1368" s="17" t="e">
        <f t="shared" si="74"/>
        <v>#VALUE!</v>
      </c>
    </row>
    <row r="1369" spans="1:9">
      <c r="A1369" s="4" t="s">
        <v>771</v>
      </c>
      <c r="B1369" s="4">
        <v>19</v>
      </c>
      <c r="C1369" s="4" t="s">
        <v>70</v>
      </c>
      <c r="D1369" s="4" t="s">
        <v>71</v>
      </c>
      <c r="E1369" s="4" t="s">
        <v>788</v>
      </c>
      <c r="F1369" s="4" t="str">
        <f t="shared" si="73"/>
        <v>19|G|C</v>
      </c>
      <c r="G1369" s="14">
        <f>INDEX('Transition Stepwise'!$J$2:$J$1137,MATCH(F1369,'Transition Stepwise'!$E$2:$E$1137,0))</f>
        <v>0.22885572139303484</v>
      </c>
      <c r="H1369" s="14" t="e">
        <f>INDEX(Background!$D$12:$D$27,MATCH(C1369&amp;D1369,INDEX(Background!$A$12:$A$27,0)&amp;INDEX(Background!$B$12:$B$27,0),0))</f>
        <v>#VALUE!</v>
      </c>
      <c r="I1369" s="17" t="e">
        <f t="shared" si="74"/>
        <v>#VALUE!</v>
      </c>
    </row>
    <row r="1370" spans="1:9">
      <c r="A1370" s="4" t="s">
        <v>771</v>
      </c>
      <c r="B1370" s="4">
        <v>20</v>
      </c>
      <c r="C1370" s="4" t="s">
        <v>71</v>
      </c>
      <c r="D1370" s="4" t="s">
        <v>71</v>
      </c>
      <c r="E1370" s="4" t="s">
        <v>788</v>
      </c>
      <c r="F1370" s="4" t="str">
        <f t="shared" si="73"/>
        <v>20|C|C</v>
      </c>
      <c r="G1370" s="14">
        <f>INDEX('Transition Stepwise'!$J$2:$J$1137,MATCH(F1370,'Transition Stepwise'!$E$2:$E$1137,0))</f>
        <v>8.1632653061224483E-2</v>
      </c>
      <c r="H1370" s="14" t="e">
        <f>INDEX(Background!$D$12:$D$27,MATCH(C1370&amp;D1370,INDEX(Background!$A$12:$A$27,0)&amp;INDEX(Background!$B$12:$B$27,0),0))</f>
        <v>#VALUE!</v>
      </c>
      <c r="I1370" s="17" t="e">
        <f t="shared" si="74"/>
        <v>#VALUE!</v>
      </c>
    </row>
    <row r="1371" spans="1:9">
      <c r="A1371" s="4" t="s">
        <v>771</v>
      </c>
      <c r="B1371" s="4">
        <v>21</v>
      </c>
      <c r="C1371" s="4" t="s">
        <v>71</v>
      </c>
      <c r="D1371" s="4" t="s">
        <v>72</v>
      </c>
      <c r="E1371" s="4" t="s">
        <v>788</v>
      </c>
      <c r="F1371" s="4" t="str">
        <f t="shared" si="73"/>
        <v>21|C|U</v>
      </c>
      <c r="G1371" s="14">
        <f>INDEX('Transition Stepwise'!$J$2:$J$1137,MATCH(F1371,'Transition Stepwise'!$E$2:$E$1137,0))</f>
        <v>0.125</v>
      </c>
      <c r="H1371" s="14" t="e">
        <f>INDEX(Background!$D$12:$D$27,MATCH(C1371&amp;D1371,INDEX(Background!$A$12:$A$27,0)&amp;INDEX(Background!$B$12:$B$27,0),0))</f>
        <v>#VALUE!</v>
      </c>
      <c r="I1371" s="17" t="e">
        <f t="shared" si="74"/>
        <v>#VALUE!</v>
      </c>
    </row>
    <row r="1372" spans="1:9">
      <c r="A1372" s="4" t="s">
        <v>771</v>
      </c>
      <c r="B1372" s="4">
        <v>22</v>
      </c>
      <c r="C1372" s="4" t="s">
        <v>72</v>
      </c>
      <c r="D1372" s="4" t="s">
        <v>72</v>
      </c>
      <c r="E1372" s="4" t="s">
        <v>788</v>
      </c>
      <c r="F1372" s="4" t="str">
        <f t="shared" si="73"/>
        <v>22|U|U</v>
      </c>
      <c r="G1372" s="14">
        <f>INDEX('Transition Stepwise'!$J$2:$J$1137,MATCH(F1372,'Transition Stepwise'!$E$2:$E$1137,0))</f>
        <v>0.33333333333333331</v>
      </c>
      <c r="H1372" s="14" t="e">
        <f>INDEX(Background!$D$12:$D$27,MATCH(C1372&amp;D1372,INDEX(Background!$A$12:$A$27,0)&amp;INDEX(Background!$B$12:$B$27,0),0))</f>
        <v>#VALUE!</v>
      </c>
      <c r="I1372" s="17" t="e">
        <f t="shared" si="74"/>
        <v>#VALUE!</v>
      </c>
    </row>
    <row r="1373" spans="1:9">
      <c r="A1373" s="4" t="s">
        <v>771</v>
      </c>
      <c r="B1373" s="4">
        <v>23</v>
      </c>
      <c r="C1373" s="4" t="s">
        <v>72</v>
      </c>
      <c r="D1373" s="4" t="s">
        <v>73</v>
      </c>
      <c r="E1373" s="4" t="s">
        <v>788</v>
      </c>
      <c r="F1373" s="4" t="str">
        <f t="shared" si="73"/>
        <v>23|U|A</v>
      </c>
      <c r="G1373" s="14">
        <f>INDEX('Transition Stepwise'!$J$2:$J$1137,MATCH(F1373,'Transition Stepwise'!$E$2:$E$1137,0))</f>
        <v>0.375</v>
      </c>
      <c r="H1373" s="14" t="e">
        <f>INDEX(Background!$D$12:$D$27,MATCH(C1373&amp;D1373,INDEX(Background!$A$12:$A$27,0)&amp;INDEX(Background!$B$12:$B$27,0),0))</f>
        <v>#VALUE!</v>
      </c>
      <c r="I1373" s="17" t="e">
        <f t="shared" si="74"/>
        <v>#VALUE!</v>
      </c>
    </row>
    <row r="1374" spans="1:9">
      <c r="A1374" s="4" t="s">
        <v>771</v>
      </c>
      <c r="B1374" s="4">
        <v>24</v>
      </c>
      <c r="C1374" s="4" t="s">
        <v>73</v>
      </c>
      <c r="D1374" s="4" t="s">
        <v>72</v>
      </c>
      <c r="E1374" s="4" t="s">
        <v>788</v>
      </c>
      <c r="F1374" s="4" t="str">
        <f t="shared" si="73"/>
        <v>24|A|U</v>
      </c>
      <c r="G1374" s="14">
        <f>INDEX('Transition Stepwise'!$J$2:$J$1137,MATCH(F1374,'Transition Stepwise'!$E$2:$E$1137,0))</f>
        <v>0.26829268292682928</v>
      </c>
      <c r="H1374" s="14" t="e">
        <f>INDEX(Background!$D$12:$D$27,MATCH(C1374&amp;D1374,INDEX(Background!$A$12:$A$27,0)&amp;INDEX(Background!$B$12:$B$27,0),0))</f>
        <v>#VALUE!</v>
      </c>
      <c r="I1374" s="17" t="e">
        <f t="shared" si="74"/>
        <v>#VALUE!</v>
      </c>
    </row>
    <row r="1375" spans="1:9">
      <c r="A1375" s="4" t="s">
        <v>771</v>
      </c>
      <c r="B1375" s="4">
        <v>25</v>
      </c>
      <c r="C1375" s="4" t="s">
        <v>72</v>
      </c>
      <c r="D1375" s="4" t="s">
        <v>72</v>
      </c>
      <c r="E1375" s="4" t="s">
        <v>788</v>
      </c>
      <c r="F1375" s="4" t="str">
        <f t="shared" si="73"/>
        <v>25|U|U</v>
      </c>
      <c r="G1375" s="14">
        <f>INDEX('Transition Stepwise'!$J$2:$J$1137,MATCH(F1375,'Transition Stepwise'!$E$2:$E$1137,0))</f>
        <v>0.16666666666666666</v>
      </c>
      <c r="H1375" s="14" t="e">
        <f>INDEX(Background!$D$12:$D$27,MATCH(C1375&amp;D1375,INDEX(Background!$A$12:$A$27,0)&amp;INDEX(Background!$B$12:$B$27,0),0))</f>
        <v>#VALUE!</v>
      </c>
      <c r="I1375" s="17" t="e">
        <f t="shared" si="74"/>
        <v>#VALUE!</v>
      </c>
    </row>
    <row r="1376" spans="1:9">
      <c r="A1376" s="4" t="s">
        <v>771</v>
      </c>
      <c r="B1376" s="4">
        <v>26</v>
      </c>
      <c r="C1376" s="4" t="s">
        <v>72</v>
      </c>
      <c r="D1376" s="4" t="s">
        <v>70</v>
      </c>
      <c r="E1376" s="4" t="s">
        <v>788</v>
      </c>
      <c r="F1376" s="4" t="str">
        <f t="shared" si="73"/>
        <v>26|U|G</v>
      </c>
      <c r="G1376" s="14">
        <f>INDEX('Transition Stepwise'!$J$2:$J$1137,MATCH(F1376,'Transition Stepwise'!$E$2:$E$1137,0))</f>
        <v>0.13333333333333333</v>
      </c>
      <c r="H1376" s="14" t="e">
        <f>INDEX(Background!$D$12:$D$27,MATCH(C1376&amp;D1376,INDEX(Background!$A$12:$A$27,0)&amp;INDEX(Background!$B$12:$B$27,0),0))</f>
        <v>#VALUE!</v>
      </c>
      <c r="I1376" s="17" t="e">
        <f t="shared" si="74"/>
        <v>#VALUE!</v>
      </c>
    </row>
    <row r="1377" spans="1:9">
      <c r="A1377" s="4" t="s">
        <v>771</v>
      </c>
      <c r="B1377" s="4">
        <v>27</v>
      </c>
      <c r="C1377" s="4" t="s">
        <v>70</v>
      </c>
      <c r="D1377" s="4" t="s">
        <v>73</v>
      </c>
      <c r="E1377" s="4" t="s">
        <v>788</v>
      </c>
      <c r="F1377" s="4" t="str">
        <f t="shared" si="73"/>
        <v>27|G|A</v>
      </c>
      <c r="G1377" s="14">
        <f>INDEX('Transition Stepwise'!$J$2:$J$1137,MATCH(F1377,'Transition Stepwise'!$E$2:$E$1137,0))</f>
        <v>0.14285714285714285</v>
      </c>
      <c r="H1377" s="14" t="e">
        <f>INDEX(Background!$D$12:$D$27,MATCH(C1377&amp;D1377,INDEX(Background!$A$12:$A$27,0)&amp;INDEX(Background!$B$12:$B$27,0),0))</f>
        <v>#VALUE!</v>
      </c>
      <c r="I1377" s="17" t="e">
        <f t="shared" si="74"/>
        <v>#VALUE!</v>
      </c>
    </row>
    <row r="1378" spans="1:9">
      <c r="A1378" s="4" t="s">
        <v>771</v>
      </c>
      <c r="B1378" s="4">
        <v>28</v>
      </c>
      <c r="C1378" s="4" t="s">
        <v>73</v>
      </c>
      <c r="D1378" s="4" t="s">
        <v>72</v>
      </c>
      <c r="E1378" s="4" t="s">
        <v>788</v>
      </c>
      <c r="F1378" s="4" t="str">
        <f t="shared" si="73"/>
        <v>28|A|U</v>
      </c>
      <c r="G1378" s="14">
        <f>INDEX('Transition Stepwise'!$J$2:$J$1137,MATCH(F1378,'Transition Stepwise'!$E$2:$E$1137,0))</f>
        <v>0.39285714285714285</v>
      </c>
      <c r="H1378" s="14" t="e">
        <f>INDEX(Background!$D$12:$D$27,MATCH(C1378&amp;D1378,INDEX(Background!$A$12:$A$27,0)&amp;INDEX(Background!$B$12:$B$27,0),0))</f>
        <v>#VALUE!</v>
      </c>
      <c r="I1378" s="17" t="e">
        <f t="shared" si="74"/>
        <v>#VALUE!</v>
      </c>
    </row>
    <row r="1379" spans="1:9">
      <c r="A1379" s="4" t="s">
        <v>771</v>
      </c>
      <c r="B1379" s="4">
        <v>29</v>
      </c>
      <c r="C1379" s="4" t="s">
        <v>72</v>
      </c>
      <c r="D1379" s="4" t="s">
        <v>72</v>
      </c>
      <c r="E1379" s="4" t="s">
        <v>788</v>
      </c>
      <c r="F1379" s="4" t="str">
        <f t="shared" si="73"/>
        <v>29|U|U</v>
      </c>
      <c r="G1379" s="14">
        <f>INDEX('Transition Stepwise'!$J$2:$J$1137,MATCH(F1379,'Transition Stepwise'!$E$2:$E$1137,0))</f>
        <v>1.6949152542372881E-2</v>
      </c>
      <c r="H1379" s="14" t="e">
        <f>INDEX(Background!$D$12:$D$27,MATCH(C1379&amp;D1379,INDEX(Background!$A$12:$A$27,0)&amp;INDEX(Background!$B$12:$B$27,0),0))</f>
        <v>#VALUE!</v>
      </c>
      <c r="I1379" s="17" t="e">
        <f t="shared" si="74"/>
        <v>#VALUE!</v>
      </c>
    </row>
    <row r="1380" spans="1:9">
      <c r="A1380" s="4" t="s">
        <v>771</v>
      </c>
      <c r="B1380" s="4">
        <v>30</v>
      </c>
      <c r="C1380" s="4" t="s">
        <v>72</v>
      </c>
      <c r="D1380" s="4" t="s">
        <v>73</v>
      </c>
      <c r="E1380" s="4" t="s">
        <v>788</v>
      </c>
      <c r="F1380" s="4" t="str">
        <f t="shared" si="73"/>
        <v>30|U|A</v>
      </c>
      <c r="G1380" s="14">
        <f>INDEX('Transition Stepwise'!$J$2:$J$1137,MATCH(F1380,'Transition Stepwise'!$E$2:$E$1137,0))</f>
        <v>0.27272727272727271</v>
      </c>
      <c r="H1380" s="14" t="e">
        <f>INDEX(Background!$D$12:$D$27,MATCH(C1380&amp;D1380,INDEX(Background!$A$12:$A$27,0)&amp;INDEX(Background!$B$12:$B$27,0),0))</f>
        <v>#VALUE!</v>
      </c>
      <c r="I1380" s="17" t="e">
        <f t="shared" si="74"/>
        <v>#VALUE!</v>
      </c>
    </row>
    <row r="1381" spans="1:9">
      <c r="A1381" s="4" t="s">
        <v>771</v>
      </c>
      <c r="B1381" s="4">
        <v>31</v>
      </c>
      <c r="C1381" s="4" t="s">
        <v>73</v>
      </c>
      <c r="D1381" s="4" t="s">
        <v>70</v>
      </c>
      <c r="E1381" s="4" t="s">
        <v>788</v>
      </c>
      <c r="F1381" s="4" t="str">
        <f t="shared" si="73"/>
        <v>31|A|G</v>
      </c>
      <c r="G1381" s="14">
        <f>INDEX('Transition Stepwise'!$J$2:$J$1137,MATCH(F1381,'Transition Stepwise'!$E$2:$E$1137,0))</f>
        <v>1.7241379310344827E-2</v>
      </c>
      <c r="H1381" s="14" t="e">
        <f>INDEX(Background!$D$12:$D$27,MATCH(C1381&amp;D1381,INDEX(Background!$A$12:$A$27,0)&amp;INDEX(Background!$B$12:$B$27,0),0))</f>
        <v>#VALUE!</v>
      </c>
      <c r="I1381" s="17" t="e">
        <f t="shared" si="74"/>
        <v>#VALUE!</v>
      </c>
    </row>
    <row r="1382" spans="1:9">
      <c r="A1382" s="4" t="s">
        <v>771</v>
      </c>
      <c r="B1382" s="4">
        <v>32</v>
      </c>
      <c r="C1382" s="4" t="s">
        <v>70</v>
      </c>
      <c r="D1382" s="4" t="s">
        <v>72</v>
      </c>
      <c r="E1382" s="4" t="s">
        <v>788</v>
      </c>
      <c r="F1382" s="4" t="str">
        <f t="shared" si="73"/>
        <v>32|G|U</v>
      </c>
      <c r="G1382" s="14">
        <f>INDEX('Transition Stepwise'!$J$2:$J$1137,MATCH(F1382,'Transition Stepwise'!$E$2:$E$1137,0))</f>
        <v>0.25</v>
      </c>
      <c r="H1382" s="14" t="e">
        <f>INDEX(Background!$D$12:$D$27,MATCH(C1382&amp;D1382,INDEX(Background!$A$12:$A$27,0)&amp;INDEX(Background!$B$12:$B$27,0),0))</f>
        <v>#VALUE!</v>
      </c>
      <c r="I1382" s="17" t="e">
        <f t="shared" si="74"/>
        <v>#VALUE!</v>
      </c>
    </row>
    <row r="1383" spans="1:9">
      <c r="A1383" s="4" t="s">
        <v>771</v>
      </c>
      <c r="B1383" s="4">
        <v>33</v>
      </c>
      <c r="C1383" s="4" t="s">
        <v>72</v>
      </c>
      <c r="D1383" s="4" t="s">
        <v>72</v>
      </c>
      <c r="E1383" s="4" t="s">
        <v>788</v>
      </c>
      <c r="F1383" s="4" t="str">
        <f t="shared" si="73"/>
        <v>33|U|U</v>
      </c>
      <c r="G1383" s="14">
        <f>INDEX('Transition Stepwise'!$J$2:$J$1137,MATCH(F1383,'Transition Stepwise'!$E$2:$E$1137,0))</f>
        <v>0.29207920792079206</v>
      </c>
      <c r="H1383" s="14" t="e">
        <f>INDEX(Background!$D$12:$D$27,MATCH(C1383&amp;D1383,INDEX(Background!$A$12:$A$27,0)&amp;INDEX(Background!$B$12:$B$27,0),0))</f>
        <v>#VALUE!</v>
      </c>
      <c r="I1383" s="17" t="e">
        <f t="shared" si="74"/>
        <v>#VALUE!</v>
      </c>
    </row>
    <row r="1384" spans="1:9">
      <c r="A1384" s="4" t="s">
        <v>771</v>
      </c>
      <c r="B1384" s="4">
        <v>34</v>
      </c>
      <c r="C1384" s="4" t="s">
        <v>72</v>
      </c>
      <c r="D1384" s="4" t="s">
        <v>72</v>
      </c>
      <c r="E1384" s="4" t="s">
        <v>788</v>
      </c>
      <c r="F1384" s="4" t="str">
        <f t="shared" si="73"/>
        <v>34|U|U</v>
      </c>
      <c r="G1384" s="14">
        <f>INDEX('Transition Stepwise'!$J$2:$J$1137,MATCH(F1384,'Transition Stepwise'!$E$2:$E$1137,0))</f>
        <v>0.17741935483870969</v>
      </c>
      <c r="H1384" s="14" t="e">
        <f>INDEX(Background!$D$12:$D$27,MATCH(C1384&amp;D1384,INDEX(Background!$A$12:$A$27,0)&amp;INDEX(Background!$B$12:$B$27,0),0))</f>
        <v>#VALUE!</v>
      </c>
      <c r="I1384" s="17" t="e">
        <f t="shared" si="74"/>
        <v>#VALUE!</v>
      </c>
    </row>
    <row r="1385" spans="1:9">
      <c r="A1385" s="4" t="s">
        <v>771</v>
      </c>
      <c r="B1385" s="4">
        <v>35</v>
      </c>
      <c r="C1385" s="4" t="s">
        <v>72</v>
      </c>
      <c r="D1385" s="4" t="s">
        <v>73</v>
      </c>
      <c r="E1385" s="4" t="s">
        <v>788</v>
      </c>
      <c r="F1385" s="4" t="str">
        <f t="shared" si="73"/>
        <v>35|U|A</v>
      </c>
      <c r="G1385" s="14">
        <f>INDEX('Transition Stepwise'!$J$2:$J$1137,MATCH(F1385,'Transition Stepwise'!$E$2:$E$1137,0))</f>
        <v>0.17777777777777778</v>
      </c>
      <c r="H1385" s="14" t="e">
        <f>INDEX(Background!$D$12:$D$27,MATCH(C1385&amp;D1385,INDEX(Background!$A$12:$A$27,0)&amp;INDEX(Background!$B$12:$B$27,0),0))</f>
        <v>#VALUE!</v>
      </c>
      <c r="I1385" s="17" t="e">
        <f t="shared" si="74"/>
        <v>#VALUE!</v>
      </c>
    </row>
    <row r="1386" spans="1:9">
      <c r="A1386" s="4" t="s">
        <v>771</v>
      </c>
      <c r="B1386" s="4">
        <v>36</v>
      </c>
      <c r="C1386" s="4" t="s">
        <v>73</v>
      </c>
      <c r="D1386" s="4" t="s">
        <v>72</v>
      </c>
      <c r="E1386" s="4" t="s">
        <v>788</v>
      </c>
      <c r="F1386" s="4" t="str">
        <f t="shared" si="73"/>
        <v>36|A|U</v>
      </c>
      <c r="G1386" s="14">
        <f>INDEX('Transition Stepwise'!$J$2:$J$1137,MATCH(F1386,'Transition Stepwise'!$E$2:$E$1137,0))</f>
        <v>2.1276595744680851E-2</v>
      </c>
      <c r="H1386" s="14" t="e">
        <f>INDEX(Background!$D$12:$D$27,MATCH(C1386&amp;D1386,INDEX(Background!$A$12:$A$27,0)&amp;INDEX(Background!$B$12:$B$27,0),0))</f>
        <v>#VALUE!</v>
      </c>
      <c r="I1386" s="17" t="e">
        <f t="shared" si="74"/>
        <v>#VALUE!</v>
      </c>
    </row>
    <row r="1387" spans="1:9">
      <c r="A1387" s="4" t="s">
        <v>771</v>
      </c>
      <c r="B1387" s="4">
        <v>37</v>
      </c>
      <c r="C1387" s="4" t="s">
        <v>72</v>
      </c>
      <c r="D1387" s="4" t="s">
        <v>72</v>
      </c>
      <c r="E1387" s="4" t="s">
        <v>788</v>
      </c>
      <c r="F1387" s="4" t="str">
        <f t="shared" si="73"/>
        <v>37|U|U</v>
      </c>
      <c r="G1387" s="14">
        <f>INDEX('Transition Stepwise'!$J$2:$J$1137,MATCH(F1387,'Transition Stepwise'!$E$2:$E$1137,0))</f>
        <v>0.25</v>
      </c>
      <c r="H1387" s="14" t="e">
        <f>INDEX(Background!$D$12:$D$27,MATCH(C1387&amp;D1387,INDEX(Background!$A$12:$A$27,0)&amp;INDEX(Background!$B$12:$B$27,0),0))</f>
        <v>#VALUE!</v>
      </c>
      <c r="I1387" s="17" t="e">
        <f t="shared" si="74"/>
        <v>#VALUE!</v>
      </c>
    </row>
    <row r="1388" spans="1:9">
      <c r="A1388" s="4" t="s">
        <v>771</v>
      </c>
      <c r="B1388" s="4">
        <v>38</v>
      </c>
      <c r="C1388" s="4" t="s">
        <v>72</v>
      </c>
      <c r="D1388" s="4" t="s">
        <v>72</v>
      </c>
      <c r="E1388" s="4" t="s">
        <v>788</v>
      </c>
      <c r="F1388" s="4" t="str">
        <f t="shared" si="73"/>
        <v>38|U|U</v>
      </c>
      <c r="G1388" s="14">
        <f>INDEX('Transition Stepwise'!$J$2:$J$1137,MATCH(F1388,'Transition Stepwise'!$E$2:$E$1137,0))</f>
        <v>0.14814814814814814</v>
      </c>
      <c r="H1388" s="14" t="e">
        <f>INDEX(Background!$D$12:$D$27,MATCH(C1388&amp;D1388,INDEX(Background!$A$12:$A$27,0)&amp;INDEX(Background!$B$12:$B$27,0),0))</f>
        <v>#VALUE!</v>
      </c>
      <c r="I1388" s="17" t="e">
        <f t="shared" si="74"/>
        <v>#VALUE!</v>
      </c>
    </row>
    <row r="1389" spans="1:9">
      <c r="A1389" s="4" t="s">
        <v>771</v>
      </c>
      <c r="B1389" s="4">
        <v>39</v>
      </c>
      <c r="C1389" s="4" t="s">
        <v>72</v>
      </c>
      <c r="D1389" s="4" t="s">
        <v>73</v>
      </c>
      <c r="E1389" s="4" t="s">
        <v>788</v>
      </c>
      <c r="F1389" s="4" t="str">
        <f t="shared" si="73"/>
        <v>39|U|A</v>
      </c>
      <c r="G1389" s="14">
        <f>INDEX('Transition Stepwise'!$J$2:$J$1137,MATCH(F1389,'Transition Stepwise'!$E$2:$E$1137,0))</f>
        <v>3.1746031746031744E-2</v>
      </c>
      <c r="H1389" s="14" t="e">
        <f>INDEX(Background!$D$12:$D$27,MATCH(C1389&amp;D1389,INDEX(Background!$A$12:$A$27,0)&amp;INDEX(Background!$B$12:$B$27,0),0))</f>
        <v>#VALUE!</v>
      </c>
      <c r="I1389" s="17" t="e">
        <f t="shared" si="74"/>
        <v>#VALUE!</v>
      </c>
    </row>
    <row r="1390" spans="1:9">
      <c r="A1390" s="4" t="s">
        <v>771</v>
      </c>
      <c r="B1390" s="4">
        <v>40</v>
      </c>
      <c r="C1390" s="4" t="s">
        <v>73</v>
      </c>
      <c r="D1390" s="4" t="s">
        <v>73</v>
      </c>
      <c r="E1390" s="4" t="s">
        <v>788</v>
      </c>
      <c r="F1390" s="4" t="str">
        <f t="shared" ref="F1390:F1453" si="75">B1390&amp;"|"&amp;C1390&amp;"|"&amp;D1390</f>
        <v>40|A|A</v>
      </c>
      <c r="G1390" s="14">
        <f>INDEX('Transition Stepwise'!$J$2:$J$1137,MATCH(F1390,'Transition Stepwise'!$E$2:$E$1137,0))</f>
        <v>0.2</v>
      </c>
      <c r="H1390" s="14" t="e">
        <f>INDEX(Background!$D$12:$D$27,MATCH(C1390&amp;D1390,INDEX(Background!$A$12:$A$27,0)&amp;INDEX(Background!$B$12:$B$27,0),0))</f>
        <v>#VALUE!</v>
      </c>
      <c r="I1390" s="17" t="e">
        <f t="shared" ref="I1390:I1453" si="76">LN(G1390/H1390)</f>
        <v>#VALUE!</v>
      </c>
    </row>
    <row r="1391" spans="1:9">
      <c r="A1391" s="4" t="s">
        <v>771</v>
      </c>
      <c r="B1391" s="4">
        <v>41</v>
      </c>
      <c r="C1391" s="4" t="s">
        <v>73</v>
      </c>
      <c r="D1391" s="4" t="s">
        <v>72</v>
      </c>
      <c r="E1391" s="4" t="s">
        <v>788</v>
      </c>
      <c r="F1391" s="4" t="str">
        <f t="shared" si="75"/>
        <v>41|A|U</v>
      </c>
      <c r="G1391" s="14">
        <f>INDEX('Transition Stepwise'!$J$2:$J$1137,MATCH(F1391,'Transition Stepwise'!$E$2:$E$1137,0))</f>
        <v>0.17241379310344829</v>
      </c>
      <c r="H1391" s="14" t="e">
        <f>INDEX(Background!$D$12:$D$27,MATCH(C1391&amp;D1391,INDEX(Background!$A$12:$A$27,0)&amp;INDEX(Background!$B$12:$B$27,0),0))</f>
        <v>#VALUE!</v>
      </c>
      <c r="I1391" s="17" t="e">
        <f t="shared" si="76"/>
        <v>#VALUE!</v>
      </c>
    </row>
    <row r="1392" spans="1:9">
      <c r="A1392" s="4" t="s">
        <v>771</v>
      </c>
      <c r="B1392" s="4">
        <v>42</v>
      </c>
      <c r="C1392" s="4" t="s">
        <v>72</v>
      </c>
      <c r="D1392" s="4" t="s">
        <v>72</v>
      </c>
      <c r="E1392" s="4" t="s">
        <v>788</v>
      </c>
      <c r="F1392" s="4" t="str">
        <f t="shared" si="75"/>
        <v>42|U|U</v>
      </c>
      <c r="G1392" s="14">
        <f>INDEX('Transition Stepwise'!$J$2:$J$1137,MATCH(F1392,'Transition Stepwise'!$E$2:$E$1137,0))</f>
        <v>0.13333333333333333</v>
      </c>
      <c r="H1392" s="14" t="e">
        <f>INDEX(Background!$D$12:$D$27,MATCH(C1392&amp;D1392,INDEX(Background!$A$12:$A$27,0)&amp;INDEX(Background!$B$12:$B$27,0),0))</f>
        <v>#VALUE!</v>
      </c>
      <c r="I1392" s="17" t="e">
        <f t="shared" si="76"/>
        <v>#VALUE!</v>
      </c>
    </row>
    <row r="1393" spans="1:9">
      <c r="A1393" s="4" t="s">
        <v>771</v>
      </c>
      <c r="B1393" s="4">
        <v>43</v>
      </c>
      <c r="C1393" s="4" t="s">
        <v>72</v>
      </c>
      <c r="D1393" s="4" t="s">
        <v>73</v>
      </c>
      <c r="E1393" s="4" t="s">
        <v>788</v>
      </c>
      <c r="F1393" s="4" t="str">
        <f t="shared" si="75"/>
        <v>43|U|A</v>
      </c>
      <c r="G1393" s="14">
        <f>INDEX('Transition Stepwise'!$J$2:$J$1137,MATCH(F1393,'Transition Stepwise'!$E$2:$E$1137,0))</f>
        <v>0.44444444444444442</v>
      </c>
      <c r="H1393" s="14" t="e">
        <f>INDEX(Background!$D$12:$D$27,MATCH(C1393&amp;D1393,INDEX(Background!$A$12:$A$27,0)&amp;INDEX(Background!$B$12:$B$27,0),0))</f>
        <v>#VALUE!</v>
      </c>
      <c r="I1393" s="17" t="e">
        <f t="shared" si="76"/>
        <v>#VALUE!</v>
      </c>
    </row>
    <row r="1394" spans="1:9">
      <c r="A1394" s="4" t="s">
        <v>771</v>
      </c>
      <c r="B1394" s="4">
        <v>44</v>
      </c>
      <c r="C1394" s="4" t="s">
        <v>73</v>
      </c>
      <c r="D1394" s="4" t="s">
        <v>72</v>
      </c>
      <c r="E1394" s="4" t="s">
        <v>788</v>
      </c>
      <c r="F1394" s="4" t="str">
        <f t="shared" si="75"/>
        <v>44|A|U</v>
      </c>
      <c r="G1394" s="14">
        <f>INDEX('Transition Stepwise'!$J$2:$J$1137,MATCH(F1394,'Transition Stepwise'!$E$2:$E$1137,0))</f>
        <v>9.7087378640776698E-2</v>
      </c>
      <c r="H1394" s="14" t="e">
        <f>INDEX(Background!$D$12:$D$27,MATCH(C1394&amp;D1394,INDEX(Background!$A$12:$A$27,0)&amp;INDEX(Background!$B$12:$B$27,0),0))</f>
        <v>#VALUE!</v>
      </c>
      <c r="I1394" s="17" t="e">
        <f t="shared" si="76"/>
        <v>#VALUE!</v>
      </c>
    </row>
    <row r="1395" spans="1:9">
      <c r="A1395" s="4" t="s">
        <v>771</v>
      </c>
      <c r="B1395" s="4">
        <v>45</v>
      </c>
      <c r="C1395" s="4" t="s">
        <v>72</v>
      </c>
      <c r="D1395" s="4" t="s">
        <v>72</v>
      </c>
      <c r="E1395" s="4" t="s">
        <v>788</v>
      </c>
      <c r="F1395" s="4" t="str">
        <f t="shared" si="75"/>
        <v>45|U|U</v>
      </c>
      <c r="G1395" s="14">
        <f>INDEX('Transition Stepwise'!$J$2:$J$1137,MATCH(F1395,'Transition Stepwise'!$E$2:$E$1137,0))</f>
        <v>0.2</v>
      </c>
      <c r="H1395" s="14" t="e">
        <f>INDEX(Background!$D$12:$D$27,MATCH(C1395&amp;D1395,INDEX(Background!$A$12:$A$27,0)&amp;INDEX(Background!$B$12:$B$27,0),0))</f>
        <v>#VALUE!</v>
      </c>
      <c r="I1395" s="17" t="e">
        <f t="shared" si="76"/>
        <v>#VALUE!</v>
      </c>
    </row>
    <row r="1396" spans="1:9">
      <c r="A1396" s="4" t="s">
        <v>771</v>
      </c>
      <c r="B1396" s="4">
        <v>46</v>
      </c>
      <c r="C1396" s="4" t="s">
        <v>72</v>
      </c>
      <c r="D1396" s="4" t="s">
        <v>73</v>
      </c>
      <c r="E1396" s="4" t="s">
        <v>788</v>
      </c>
      <c r="F1396" s="4" t="str">
        <f t="shared" si="75"/>
        <v>46|U|A</v>
      </c>
      <c r="G1396" s="14">
        <f>INDEX('Transition Stepwise'!$J$2:$J$1137,MATCH(F1396,'Transition Stepwise'!$E$2:$E$1137,0))</f>
        <v>0.375</v>
      </c>
      <c r="H1396" s="14" t="e">
        <f>INDEX(Background!$D$12:$D$27,MATCH(C1396&amp;D1396,INDEX(Background!$A$12:$A$27,0)&amp;INDEX(Background!$B$12:$B$27,0),0))</f>
        <v>#VALUE!</v>
      </c>
      <c r="I1396" s="17" t="e">
        <f t="shared" si="76"/>
        <v>#VALUE!</v>
      </c>
    </row>
    <row r="1397" spans="1:9">
      <c r="A1397" s="4" t="s">
        <v>771</v>
      </c>
      <c r="B1397" s="4">
        <v>47</v>
      </c>
      <c r="C1397" s="4" t="s">
        <v>73</v>
      </c>
      <c r="D1397" s="4" t="s">
        <v>70</v>
      </c>
      <c r="E1397" s="4" t="s">
        <v>788</v>
      </c>
      <c r="F1397" s="4" t="str">
        <f t="shared" si="75"/>
        <v>47|A|G</v>
      </c>
      <c r="G1397" s="14">
        <f>INDEX('Transition Stepwise'!$J$2:$J$1137,MATCH(F1397,'Transition Stepwise'!$E$2:$E$1137,0))</f>
        <v>6.6666666666666666E-2</v>
      </c>
      <c r="H1397" s="14" t="e">
        <f>INDEX(Background!$D$12:$D$27,MATCH(C1397&amp;D1397,INDEX(Background!$A$12:$A$27,0)&amp;INDEX(Background!$B$12:$B$27,0),0))</f>
        <v>#VALUE!</v>
      </c>
      <c r="I1397" s="17" t="e">
        <f t="shared" si="76"/>
        <v>#VALUE!</v>
      </c>
    </row>
    <row r="1398" spans="1:9">
      <c r="A1398" s="4" t="s">
        <v>771</v>
      </c>
      <c r="B1398" s="4">
        <v>48</v>
      </c>
      <c r="C1398" s="4" t="s">
        <v>70</v>
      </c>
      <c r="D1398" s="4" t="s">
        <v>73</v>
      </c>
      <c r="E1398" s="4" t="s">
        <v>788</v>
      </c>
      <c r="F1398" s="4" t="str">
        <f t="shared" si="75"/>
        <v>48|G|A</v>
      </c>
      <c r="G1398" s="14">
        <f>INDEX('Transition Stepwise'!$J$2:$J$1137,MATCH(F1398,'Transition Stepwise'!$E$2:$E$1137,0))</f>
        <v>0.16666666666666666</v>
      </c>
      <c r="H1398" s="14" t="e">
        <f>INDEX(Background!$D$12:$D$27,MATCH(C1398&amp;D1398,INDEX(Background!$A$12:$A$27,0)&amp;INDEX(Background!$B$12:$B$27,0),0))</f>
        <v>#VALUE!</v>
      </c>
      <c r="I1398" s="17" t="e">
        <f t="shared" si="76"/>
        <v>#VALUE!</v>
      </c>
    </row>
    <row r="1399" spans="1:9">
      <c r="A1399" s="4" t="s">
        <v>771</v>
      </c>
      <c r="B1399" s="4">
        <v>49</v>
      </c>
      <c r="C1399" s="4" t="s">
        <v>73</v>
      </c>
      <c r="D1399" s="4" t="s">
        <v>72</v>
      </c>
      <c r="E1399" s="4" t="s">
        <v>788</v>
      </c>
      <c r="F1399" s="4" t="str">
        <f t="shared" si="75"/>
        <v>49|A|U</v>
      </c>
      <c r="G1399" s="14">
        <f>INDEX('Transition Stepwise'!$J$2:$J$1137,MATCH(F1399,'Transition Stepwise'!$E$2:$E$1137,0))</f>
        <v>0.2</v>
      </c>
      <c r="H1399" s="14" t="e">
        <f>INDEX(Background!$D$12:$D$27,MATCH(C1399&amp;D1399,INDEX(Background!$A$12:$A$27,0)&amp;INDEX(Background!$B$12:$B$27,0),0))</f>
        <v>#VALUE!</v>
      </c>
      <c r="I1399" s="17" t="e">
        <f t="shared" si="76"/>
        <v>#VALUE!</v>
      </c>
    </row>
    <row r="1400" spans="1:9">
      <c r="A1400" s="4" t="s">
        <v>771</v>
      </c>
      <c r="B1400" s="4">
        <v>50</v>
      </c>
      <c r="C1400" s="4" t="s">
        <v>72</v>
      </c>
      <c r="D1400" s="4" t="s">
        <v>72</v>
      </c>
      <c r="E1400" s="4" t="s">
        <v>788</v>
      </c>
      <c r="F1400" s="4" t="str">
        <f t="shared" si="75"/>
        <v>50|U|U</v>
      </c>
      <c r="G1400" s="14">
        <f>INDEX('Transition Stepwise'!$J$2:$J$1137,MATCH(F1400,'Transition Stepwise'!$E$2:$E$1137,0))</f>
        <v>0.15</v>
      </c>
      <c r="H1400" s="14" t="e">
        <f>INDEX(Background!$D$12:$D$27,MATCH(C1400&amp;D1400,INDEX(Background!$A$12:$A$27,0)&amp;INDEX(Background!$B$12:$B$27,0),0))</f>
        <v>#VALUE!</v>
      </c>
      <c r="I1400" s="17" t="e">
        <f t="shared" si="76"/>
        <v>#VALUE!</v>
      </c>
    </row>
    <row r="1401" spans="1:9">
      <c r="A1401" s="4" t="s">
        <v>771</v>
      </c>
      <c r="B1401" s="4">
        <v>51</v>
      </c>
      <c r="C1401" s="4" t="s">
        <v>72</v>
      </c>
      <c r="D1401" s="4" t="s">
        <v>71</v>
      </c>
      <c r="E1401" s="4" t="s">
        <v>788</v>
      </c>
      <c r="F1401" s="4" t="str">
        <f t="shared" si="75"/>
        <v>51|U|C</v>
      </c>
      <c r="G1401" s="14">
        <f>INDEX('Transition Stepwise'!$J$2:$J$1137,MATCH(F1401,'Transition Stepwise'!$E$2:$E$1137,0))</f>
        <v>2.8571428571428571E-2</v>
      </c>
      <c r="H1401" s="14" t="e">
        <f>INDEX(Background!$D$12:$D$27,MATCH(C1401&amp;D1401,INDEX(Background!$A$12:$A$27,0)&amp;INDEX(Background!$B$12:$B$27,0),0))</f>
        <v>#VALUE!</v>
      </c>
      <c r="I1401" s="17" t="e">
        <f t="shared" si="76"/>
        <v>#VALUE!</v>
      </c>
    </row>
    <row r="1402" spans="1:9">
      <c r="A1402" s="4" t="s">
        <v>771</v>
      </c>
      <c r="B1402" s="4">
        <v>52</v>
      </c>
      <c r="C1402" s="4" t="s">
        <v>71</v>
      </c>
      <c r="D1402" s="4" t="s">
        <v>70</v>
      </c>
      <c r="E1402" s="4" t="s">
        <v>788</v>
      </c>
      <c r="F1402" s="4" t="str">
        <f t="shared" si="75"/>
        <v>52|C|G</v>
      </c>
      <c r="G1402" s="14">
        <f>INDEX('Transition Stepwise'!$J$2:$J$1137,MATCH(F1402,'Transition Stepwise'!$E$2:$E$1137,0))</f>
        <v>0.5</v>
      </c>
      <c r="H1402" s="14" t="e">
        <f>INDEX(Background!$D$12:$D$27,MATCH(C1402&amp;D1402,INDEX(Background!$A$12:$A$27,0)&amp;INDEX(Background!$B$12:$B$27,0),0))</f>
        <v>#VALUE!</v>
      </c>
      <c r="I1402" s="17" t="e">
        <f t="shared" si="76"/>
        <v>#VALUE!</v>
      </c>
    </row>
    <row r="1403" spans="1:9">
      <c r="A1403" s="4" t="s">
        <v>771</v>
      </c>
      <c r="B1403" s="4">
        <v>53</v>
      </c>
      <c r="C1403" s="4" t="s">
        <v>70</v>
      </c>
      <c r="D1403" s="4" t="s">
        <v>72</v>
      </c>
      <c r="E1403" s="4" t="s">
        <v>788</v>
      </c>
      <c r="F1403" s="4" t="str">
        <f t="shared" si="75"/>
        <v>53|G|U</v>
      </c>
      <c r="G1403" s="14">
        <f>INDEX('Transition Stepwise'!$J$2:$J$1137,MATCH(F1403,'Transition Stepwise'!$E$2:$E$1137,0))</f>
        <v>0.97499999999999998</v>
      </c>
      <c r="H1403" s="14" t="e">
        <f>INDEX(Background!$D$12:$D$27,MATCH(C1403&amp;D1403,INDEX(Background!$A$12:$A$27,0)&amp;INDEX(Background!$B$12:$B$27,0),0))</f>
        <v>#VALUE!</v>
      </c>
      <c r="I1403" s="17" t="e">
        <f t="shared" si="76"/>
        <v>#VALUE!</v>
      </c>
    </row>
    <row r="1404" spans="1:9">
      <c r="A1404" s="4" t="s">
        <v>771</v>
      </c>
      <c r="B1404" s="4">
        <v>54</v>
      </c>
      <c r="C1404" s="4" t="s">
        <v>72</v>
      </c>
      <c r="D1404" s="4" t="s">
        <v>72</v>
      </c>
      <c r="E1404" s="4" t="s">
        <v>788</v>
      </c>
      <c r="F1404" s="4" t="str">
        <f t="shared" si="75"/>
        <v>54|U|U</v>
      </c>
      <c r="G1404" s="14">
        <f>INDEX('Transition Stepwise'!$J$2:$J$1137,MATCH(F1404,'Transition Stepwise'!$E$2:$E$1137,0))</f>
        <v>0.97029702970297027</v>
      </c>
      <c r="H1404" s="14" t="e">
        <f>INDEX(Background!$D$12:$D$27,MATCH(C1404&amp;D1404,INDEX(Background!$A$12:$A$27,0)&amp;INDEX(Background!$B$12:$B$27,0),0))</f>
        <v>#VALUE!</v>
      </c>
      <c r="I1404" s="17" t="e">
        <f t="shared" si="76"/>
        <v>#VALUE!</v>
      </c>
    </row>
    <row r="1405" spans="1:9">
      <c r="A1405" s="4" t="s">
        <v>771</v>
      </c>
      <c r="B1405" s="4">
        <v>55</v>
      </c>
      <c r="C1405" s="4" t="s">
        <v>72</v>
      </c>
      <c r="D1405" s="4" t="s">
        <v>71</v>
      </c>
      <c r="E1405" s="4" t="s">
        <v>788</v>
      </c>
      <c r="F1405" s="4" t="str">
        <f t="shared" si="75"/>
        <v>55|U|C</v>
      </c>
      <c r="G1405" s="14">
        <f>INDEX('Transition Stepwise'!$J$2:$J$1137,MATCH(F1405,'Transition Stepwise'!$E$2:$E$1137,0))</f>
        <v>0.97512437810945274</v>
      </c>
      <c r="H1405" s="14" t="e">
        <f>INDEX(Background!$D$12:$D$27,MATCH(C1405&amp;D1405,INDEX(Background!$A$12:$A$27,0)&amp;INDEX(Background!$B$12:$B$27,0),0))</f>
        <v>#VALUE!</v>
      </c>
      <c r="I1405" s="17" t="e">
        <f t="shared" si="76"/>
        <v>#VALUE!</v>
      </c>
    </row>
    <row r="1406" spans="1:9">
      <c r="A1406" s="4" t="s">
        <v>771</v>
      </c>
      <c r="B1406" s="4">
        <v>56</v>
      </c>
      <c r="C1406" s="4" t="s">
        <v>71</v>
      </c>
      <c r="D1406" s="4" t="s">
        <v>72</v>
      </c>
      <c r="E1406" s="4" t="s">
        <v>788</v>
      </c>
      <c r="F1406" s="4" t="str">
        <f t="shared" si="75"/>
        <v>56|C|U</v>
      </c>
      <c r="G1406" s="14">
        <f>INDEX('Transition Stepwise'!$J$2:$J$1137,MATCH(F1406,'Transition Stepwise'!$E$2:$E$1137,0))</f>
        <v>5.0000000000000001E-3</v>
      </c>
      <c r="H1406" s="14" t="e">
        <f>INDEX(Background!$D$12:$D$27,MATCH(C1406&amp;D1406,INDEX(Background!$A$12:$A$27,0)&amp;INDEX(Background!$B$12:$B$27,0),0))</f>
        <v>#VALUE!</v>
      </c>
      <c r="I1406" s="17" t="e">
        <f t="shared" si="76"/>
        <v>#VALUE!</v>
      </c>
    </row>
    <row r="1407" spans="1:9">
      <c r="A1407" s="4" t="s">
        <v>771</v>
      </c>
      <c r="B1407" s="4">
        <v>57</v>
      </c>
      <c r="C1407" s="4" t="s">
        <v>72</v>
      </c>
      <c r="D1407" s="4" t="s">
        <v>73</v>
      </c>
      <c r="E1407" s="4" t="s">
        <v>788</v>
      </c>
      <c r="F1407" s="4" t="str">
        <f t="shared" si="75"/>
        <v>57|U|A</v>
      </c>
      <c r="G1407" s="14">
        <f>INDEX('Transition Stepwise'!$J$2:$J$1137,MATCH(F1407,'Transition Stepwise'!$E$2:$E$1137,0))</f>
        <v>0.2</v>
      </c>
      <c r="H1407" s="14" t="e">
        <f>INDEX(Background!$D$12:$D$27,MATCH(C1407&amp;D1407,INDEX(Background!$A$12:$A$27,0)&amp;INDEX(Background!$B$12:$B$27,0),0))</f>
        <v>#VALUE!</v>
      </c>
      <c r="I1407" s="17" t="e">
        <f t="shared" si="76"/>
        <v>#VALUE!</v>
      </c>
    </row>
    <row r="1408" spans="1:9">
      <c r="A1408" s="4" t="s">
        <v>771</v>
      </c>
      <c r="B1408" s="4">
        <v>58</v>
      </c>
      <c r="C1408" s="4" t="s">
        <v>73</v>
      </c>
      <c r="D1408" s="4" t="s">
        <v>72</v>
      </c>
      <c r="E1408" s="4" t="s">
        <v>788</v>
      </c>
      <c r="F1408" s="4" t="str">
        <f t="shared" si="75"/>
        <v>58|A|U</v>
      </c>
      <c r="G1408" s="14">
        <f>INDEX('Transition Stepwise'!$J$2:$J$1137,MATCH(F1408,'Transition Stepwise'!$E$2:$E$1137,0))</f>
        <v>0.25247524752475248</v>
      </c>
      <c r="H1408" s="14" t="e">
        <f>INDEX(Background!$D$12:$D$27,MATCH(C1408&amp;D1408,INDEX(Background!$A$12:$A$27,0)&amp;INDEX(Background!$B$12:$B$27,0),0))</f>
        <v>#VALUE!</v>
      </c>
      <c r="I1408" s="17" t="e">
        <f t="shared" si="76"/>
        <v>#VALUE!</v>
      </c>
    </row>
    <row r="1409" spans="1:9">
      <c r="A1409" s="4" t="s">
        <v>771</v>
      </c>
      <c r="B1409" s="4">
        <v>59</v>
      </c>
      <c r="C1409" s="4" t="s">
        <v>72</v>
      </c>
      <c r="D1409" s="4" t="s">
        <v>73</v>
      </c>
      <c r="E1409" s="4" t="s">
        <v>788</v>
      </c>
      <c r="F1409" s="4" t="str">
        <f t="shared" si="75"/>
        <v>59|U|A</v>
      </c>
      <c r="G1409" s="14">
        <f>INDEX('Transition Stepwise'!$J$2:$J$1137,MATCH(F1409,'Transition Stepwise'!$E$2:$E$1137,0))</f>
        <v>1.8518518518518517E-2</v>
      </c>
      <c r="H1409" s="14" t="e">
        <f>INDEX(Background!$D$12:$D$27,MATCH(C1409&amp;D1409,INDEX(Background!$A$12:$A$27,0)&amp;INDEX(Background!$B$12:$B$27,0),0))</f>
        <v>#VALUE!</v>
      </c>
      <c r="I1409" s="17" t="e">
        <f t="shared" si="76"/>
        <v>#VALUE!</v>
      </c>
    </row>
    <row r="1410" spans="1:9">
      <c r="A1410" s="4" t="s">
        <v>771</v>
      </c>
      <c r="B1410" s="4">
        <v>60</v>
      </c>
      <c r="C1410" s="4" t="s">
        <v>73</v>
      </c>
      <c r="D1410" s="4" t="s">
        <v>71</v>
      </c>
      <c r="E1410" s="4" t="s">
        <v>788</v>
      </c>
      <c r="F1410" s="4" t="str">
        <f t="shared" si="75"/>
        <v>60|A|C</v>
      </c>
      <c r="G1410" s="14">
        <f>INDEX('Transition Stepwise'!$J$2:$J$1137,MATCH(F1410,'Transition Stepwise'!$E$2:$E$1137,0))</f>
        <v>0.4</v>
      </c>
      <c r="H1410" s="14" t="e">
        <f>INDEX(Background!$D$12:$D$27,MATCH(C1410&amp;D1410,INDEX(Background!$A$12:$A$27,0)&amp;INDEX(Background!$B$12:$B$27,0),0))</f>
        <v>#VALUE!</v>
      </c>
      <c r="I1410" s="17" t="e">
        <f t="shared" si="76"/>
        <v>#VALUE!</v>
      </c>
    </row>
    <row r="1411" spans="1:9">
      <c r="A1411" s="4" t="s">
        <v>771</v>
      </c>
      <c r="B1411" s="4">
        <v>61</v>
      </c>
      <c r="C1411" s="4" t="s">
        <v>71</v>
      </c>
      <c r="D1411" s="4" t="s">
        <v>72</v>
      </c>
      <c r="E1411" s="4" t="s">
        <v>788</v>
      </c>
      <c r="F1411" s="4" t="str">
        <f t="shared" si="75"/>
        <v>61|C|U</v>
      </c>
      <c r="G1411" s="14">
        <f>INDEX('Transition Stepwise'!$J$2:$J$1137,MATCH(F1411,'Transition Stepwise'!$E$2:$E$1137,0))</f>
        <v>0.12871287128712872</v>
      </c>
      <c r="H1411" s="14" t="e">
        <f>INDEX(Background!$D$12:$D$27,MATCH(C1411&amp;D1411,INDEX(Background!$A$12:$A$27,0)&amp;INDEX(Background!$B$12:$B$27,0),0))</f>
        <v>#VALUE!</v>
      </c>
      <c r="I1411" s="17" t="e">
        <f t="shared" si="76"/>
        <v>#VALUE!</v>
      </c>
    </row>
    <row r="1412" spans="1:9">
      <c r="A1412" s="4" t="s">
        <v>771</v>
      </c>
      <c r="B1412" s="4">
        <v>62</v>
      </c>
      <c r="C1412" s="4" t="s">
        <v>72</v>
      </c>
      <c r="D1412" s="4" t="s">
        <v>73</v>
      </c>
      <c r="E1412" s="4" t="s">
        <v>788</v>
      </c>
      <c r="F1412" s="4" t="str">
        <f t="shared" si="75"/>
        <v>62|U|A</v>
      </c>
      <c r="G1412" s="14">
        <f>INDEX('Transition Stepwise'!$J$2:$J$1137,MATCH(F1412,'Transition Stepwise'!$E$2:$E$1137,0))</f>
        <v>0.1</v>
      </c>
      <c r="H1412" s="14" t="e">
        <f>INDEX(Background!$D$12:$D$27,MATCH(C1412&amp;D1412,INDEX(Background!$A$12:$A$27,0)&amp;INDEX(Background!$B$12:$B$27,0),0))</f>
        <v>#VALUE!</v>
      </c>
      <c r="I1412" s="17" t="e">
        <f t="shared" si="76"/>
        <v>#VALUE!</v>
      </c>
    </row>
    <row r="1413" spans="1:9">
      <c r="A1413" s="4" t="s">
        <v>771</v>
      </c>
      <c r="B1413" s="4">
        <v>63</v>
      </c>
      <c r="C1413" s="4" t="s">
        <v>73</v>
      </c>
      <c r="D1413" s="4" t="s">
        <v>70</v>
      </c>
      <c r="E1413" s="4" t="s">
        <v>788</v>
      </c>
      <c r="F1413" s="4" t="str">
        <f t="shared" si="75"/>
        <v>63|A|G</v>
      </c>
      <c r="G1413" s="14">
        <f>INDEX('Transition Stepwise'!$J$2:$J$1137,MATCH(F1413,'Transition Stepwise'!$E$2:$E$1137,0))</f>
        <v>0.37037037037037035</v>
      </c>
      <c r="H1413" s="14" t="e">
        <f>INDEX(Background!$D$12:$D$27,MATCH(C1413&amp;D1413,INDEX(Background!$A$12:$A$27,0)&amp;INDEX(Background!$B$12:$B$27,0),0))</f>
        <v>#VALUE!</v>
      </c>
      <c r="I1413" s="17" t="e">
        <f t="shared" si="76"/>
        <v>#VALUE!</v>
      </c>
    </row>
    <row r="1414" spans="1:9">
      <c r="A1414" s="4" t="s">
        <v>771</v>
      </c>
      <c r="B1414" s="4">
        <v>64</v>
      </c>
      <c r="C1414" s="4" t="s">
        <v>70</v>
      </c>
      <c r="D1414" s="4" t="s">
        <v>72</v>
      </c>
      <c r="E1414" s="4" t="s">
        <v>788</v>
      </c>
      <c r="F1414" s="4" t="str">
        <f t="shared" si="75"/>
        <v>64|G|U</v>
      </c>
      <c r="G1414" s="14">
        <f>INDEX('Transition Stepwise'!$J$2:$J$1137,MATCH(F1414,'Transition Stepwise'!$E$2:$E$1137,0))</f>
        <v>0.33333333333333331</v>
      </c>
      <c r="H1414" s="14" t="e">
        <f>INDEX(Background!$D$12:$D$27,MATCH(C1414&amp;D1414,INDEX(Background!$A$12:$A$27,0)&amp;INDEX(Background!$B$12:$B$27,0),0))</f>
        <v>#VALUE!</v>
      </c>
      <c r="I1414" s="17" t="e">
        <f t="shared" si="76"/>
        <v>#VALUE!</v>
      </c>
    </row>
    <row r="1415" spans="1:9">
      <c r="A1415" s="4" t="s">
        <v>771</v>
      </c>
      <c r="B1415" s="4">
        <v>65</v>
      </c>
      <c r="C1415" s="4" t="s">
        <v>72</v>
      </c>
      <c r="D1415" s="4" t="s">
        <v>70</v>
      </c>
      <c r="E1415" s="4" t="s">
        <v>788</v>
      </c>
      <c r="F1415" s="4" t="str">
        <f t="shared" si="75"/>
        <v>65|U|G</v>
      </c>
      <c r="G1415" s="14">
        <f>INDEX('Transition Stepwise'!$J$2:$J$1137,MATCH(F1415,'Transition Stepwise'!$E$2:$E$1137,0))</f>
        <v>1.3513513513513514E-2</v>
      </c>
      <c r="H1415" s="14" t="e">
        <f>INDEX(Background!$D$12:$D$27,MATCH(C1415&amp;D1415,INDEX(Background!$A$12:$A$27,0)&amp;INDEX(Background!$B$12:$B$27,0),0))</f>
        <v>#VALUE!</v>
      </c>
      <c r="I1415" s="17" t="e">
        <f t="shared" si="76"/>
        <v>#VALUE!</v>
      </c>
    </row>
    <row r="1416" spans="1:9">
      <c r="A1416" s="4" t="s">
        <v>771</v>
      </c>
      <c r="B1416" s="4">
        <v>66</v>
      </c>
      <c r="C1416" s="4" t="s">
        <v>70</v>
      </c>
      <c r="D1416" s="4" t="s">
        <v>72</v>
      </c>
      <c r="E1416" s="4" t="s">
        <v>788</v>
      </c>
      <c r="F1416" s="4" t="str">
        <f t="shared" si="75"/>
        <v>66|G|U</v>
      </c>
      <c r="G1416" s="14">
        <f>INDEX('Transition Stepwise'!$J$2:$J$1137,MATCH(F1416,'Transition Stepwise'!$E$2:$E$1137,0))</f>
        <v>0.16666666666666666</v>
      </c>
      <c r="H1416" s="14" t="e">
        <f>INDEX(Background!$D$12:$D$27,MATCH(C1416&amp;D1416,INDEX(Background!$A$12:$A$27,0)&amp;INDEX(Background!$B$12:$B$27,0),0))</f>
        <v>#VALUE!</v>
      </c>
      <c r="I1416" s="17" t="e">
        <f t="shared" si="76"/>
        <v>#VALUE!</v>
      </c>
    </row>
    <row r="1417" spans="1:9">
      <c r="A1417" s="4" t="s">
        <v>771</v>
      </c>
      <c r="B1417" s="4">
        <v>67</v>
      </c>
      <c r="C1417" s="4" t="s">
        <v>72</v>
      </c>
      <c r="D1417" s="4" t="s">
        <v>73</v>
      </c>
      <c r="E1417" s="4" t="s">
        <v>788</v>
      </c>
      <c r="F1417" s="4" t="str">
        <f t="shared" si="75"/>
        <v>67|U|A</v>
      </c>
      <c r="G1417" s="14">
        <f>INDEX('Transition Stepwise'!$J$2:$J$1137,MATCH(F1417,'Transition Stepwise'!$E$2:$E$1137,0))</f>
        <v>2.3809523809523808E-2</v>
      </c>
      <c r="H1417" s="14" t="e">
        <f>INDEX(Background!$D$12:$D$27,MATCH(C1417&amp;D1417,INDEX(Background!$A$12:$A$27,0)&amp;INDEX(Background!$B$12:$B$27,0),0))</f>
        <v>#VALUE!</v>
      </c>
      <c r="I1417" s="17" t="e">
        <f t="shared" si="76"/>
        <v>#VALUE!</v>
      </c>
    </row>
    <row r="1418" spans="1:9">
      <c r="A1418" s="4" t="s">
        <v>771</v>
      </c>
      <c r="B1418" s="4">
        <v>68</v>
      </c>
      <c r="C1418" s="4" t="s">
        <v>73</v>
      </c>
      <c r="D1418" s="4" t="s">
        <v>70</v>
      </c>
      <c r="E1418" s="4" t="s">
        <v>788</v>
      </c>
      <c r="F1418" s="4" t="str">
        <f t="shared" si="75"/>
        <v>68|A|G</v>
      </c>
      <c r="G1418" s="14">
        <f>INDEX('Transition Stepwise'!$J$2:$J$1137,MATCH(F1418,'Transition Stepwise'!$E$2:$E$1137,0))</f>
        <v>0.36842105263157893</v>
      </c>
      <c r="H1418" s="14" t="e">
        <f>INDEX(Background!$D$12:$D$27,MATCH(C1418&amp;D1418,INDEX(Background!$A$12:$A$27,0)&amp;INDEX(Background!$B$12:$B$27,0),0))</f>
        <v>#VALUE!</v>
      </c>
      <c r="I1418" s="17" t="e">
        <f t="shared" si="76"/>
        <v>#VALUE!</v>
      </c>
    </row>
    <row r="1419" spans="1:9">
      <c r="A1419" s="4" t="s">
        <v>771</v>
      </c>
      <c r="B1419" s="4">
        <v>69</v>
      </c>
      <c r="C1419" s="4" t="s">
        <v>70</v>
      </c>
      <c r="D1419" s="4" t="s">
        <v>72</v>
      </c>
      <c r="E1419" s="4" t="s">
        <v>788</v>
      </c>
      <c r="F1419" s="4" t="str">
        <f t="shared" si="75"/>
        <v>69|G|U</v>
      </c>
      <c r="G1419" s="14">
        <f>INDEX('Transition Stepwise'!$J$2:$J$1137,MATCH(F1419,'Transition Stepwise'!$E$2:$E$1137,0))</f>
        <v>0.14864864864864866</v>
      </c>
      <c r="H1419" s="14" t="e">
        <f>INDEX(Background!$D$12:$D$27,MATCH(C1419&amp;D1419,INDEX(Background!$A$12:$A$27,0)&amp;INDEX(Background!$B$12:$B$27,0),0))</f>
        <v>#VALUE!</v>
      </c>
      <c r="I1419" s="17" t="e">
        <f t="shared" si="76"/>
        <v>#VALUE!</v>
      </c>
    </row>
    <row r="1420" spans="1:9">
      <c r="A1420" s="4" t="s">
        <v>771</v>
      </c>
      <c r="B1420" s="4">
        <v>70</v>
      </c>
      <c r="C1420" s="4" t="s">
        <v>72</v>
      </c>
      <c r="D1420" s="4" t="s">
        <v>70</v>
      </c>
      <c r="E1420" s="4" t="s">
        <v>788</v>
      </c>
      <c r="F1420" s="4" t="str">
        <f t="shared" si="75"/>
        <v>70|U|G</v>
      </c>
      <c r="G1420" s="14">
        <f>INDEX('Transition Stepwise'!$J$2:$J$1137,MATCH(F1420,'Transition Stepwise'!$E$2:$E$1137,0))</f>
        <v>8.8235294117647065E-2</v>
      </c>
      <c r="H1420" s="14" t="e">
        <f>INDEX(Background!$D$12:$D$27,MATCH(C1420&amp;D1420,INDEX(Background!$A$12:$A$27,0)&amp;INDEX(Background!$B$12:$B$27,0),0))</f>
        <v>#VALUE!</v>
      </c>
      <c r="I1420" s="17" t="e">
        <f t="shared" si="76"/>
        <v>#VALUE!</v>
      </c>
    </row>
    <row r="1421" spans="1:9">
      <c r="A1421" s="4" t="s">
        <v>771</v>
      </c>
      <c r="B1421" s="4">
        <v>71</v>
      </c>
      <c r="C1421" s="4" t="s">
        <v>70</v>
      </c>
      <c r="D1421" s="4" t="s">
        <v>73</v>
      </c>
      <c r="E1421" s="4" t="s">
        <v>788</v>
      </c>
      <c r="F1421" s="4" t="str">
        <f t="shared" si="75"/>
        <v>71|G|A</v>
      </c>
      <c r="G1421" s="14">
        <f>INDEX('Transition Stepwise'!$J$2:$J$1137,MATCH(F1421,'Transition Stepwise'!$E$2:$E$1137,0))</f>
        <v>0.11627906976744186</v>
      </c>
      <c r="H1421" s="14" t="e">
        <f>INDEX(Background!$D$12:$D$27,MATCH(C1421&amp;D1421,INDEX(Background!$A$12:$A$27,0)&amp;INDEX(Background!$B$12:$B$27,0),0))</f>
        <v>#VALUE!</v>
      </c>
      <c r="I1421" s="17" t="e">
        <f t="shared" si="76"/>
        <v>#VALUE!</v>
      </c>
    </row>
    <row r="1422" spans="1:9">
      <c r="A1422" s="4" t="s">
        <v>772</v>
      </c>
      <c r="B1422" s="4">
        <v>1</v>
      </c>
      <c r="C1422" s="4" t="s">
        <v>73</v>
      </c>
      <c r="D1422" s="4" t="s">
        <v>70</v>
      </c>
      <c r="E1422" s="4" t="s">
        <v>788</v>
      </c>
      <c r="F1422" s="4" t="str">
        <f t="shared" si="75"/>
        <v>1|A|G</v>
      </c>
      <c r="G1422" s="14">
        <f>INDEX('Transition Stepwise'!$J$2:$J$1137,MATCH(F1422,'Transition Stepwise'!$E$2:$E$1137,0))</f>
        <v>0.76470588235294112</v>
      </c>
      <c r="H1422" s="14" t="e">
        <f>INDEX(Background!$D$12:$D$27,MATCH(C1422&amp;D1422,INDEX(Background!$A$12:$A$27,0)&amp;INDEX(Background!$B$12:$B$27,0),0))</f>
        <v>#VALUE!</v>
      </c>
      <c r="I1422" s="17" t="e">
        <f t="shared" si="76"/>
        <v>#VALUE!</v>
      </c>
    </row>
    <row r="1423" spans="1:9">
      <c r="A1423" s="4" t="s">
        <v>772</v>
      </c>
      <c r="B1423" s="4">
        <v>2</v>
      </c>
      <c r="C1423" s="4" t="s">
        <v>70</v>
      </c>
      <c r="D1423" s="4" t="s">
        <v>71</v>
      </c>
      <c r="E1423" s="4" t="s">
        <v>788</v>
      </c>
      <c r="F1423" s="4" t="str">
        <f t="shared" si="75"/>
        <v>2|G|C</v>
      </c>
      <c r="G1423" s="14">
        <f>INDEX('Transition Stepwise'!$J$2:$J$1137,MATCH(F1423,'Transition Stepwise'!$E$2:$E$1137,0))</f>
        <v>0.22727272727272727</v>
      </c>
      <c r="H1423" s="14" t="e">
        <f>INDEX(Background!$D$12:$D$27,MATCH(C1423&amp;D1423,INDEX(Background!$A$12:$A$27,0)&amp;INDEX(Background!$B$12:$B$27,0),0))</f>
        <v>#VALUE!</v>
      </c>
      <c r="I1423" s="17" t="e">
        <f t="shared" si="76"/>
        <v>#VALUE!</v>
      </c>
    </row>
    <row r="1424" spans="1:9">
      <c r="A1424" s="4" t="s">
        <v>772</v>
      </c>
      <c r="B1424" s="4">
        <v>3</v>
      </c>
      <c r="C1424" s="4" t="s">
        <v>71</v>
      </c>
      <c r="D1424" s="4" t="s">
        <v>73</v>
      </c>
      <c r="E1424" s="4" t="s">
        <v>788</v>
      </c>
      <c r="F1424" s="4" t="str">
        <f t="shared" si="75"/>
        <v>3|C|A</v>
      </c>
      <c r="G1424" s="14">
        <f>INDEX('Transition Stepwise'!$J$2:$J$1137,MATCH(F1424,'Transition Stepwise'!$E$2:$E$1137,0))</f>
        <v>9.8765432098765427E-2</v>
      </c>
      <c r="H1424" s="14" t="e">
        <f>INDEX(Background!$D$12:$D$27,MATCH(C1424&amp;D1424,INDEX(Background!$A$12:$A$27,0)&amp;INDEX(Background!$B$12:$B$27,0),0))</f>
        <v>#VALUE!</v>
      </c>
      <c r="I1424" s="17" t="e">
        <f t="shared" si="76"/>
        <v>#VALUE!</v>
      </c>
    </row>
    <row r="1425" spans="1:9">
      <c r="A1425" s="4" t="s">
        <v>772</v>
      </c>
      <c r="B1425" s="4">
        <v>4</v>
      </c>
      <c r="C1425" s="4" t="s">
        <v>73</v>
      </c>
      <c r="D1425" s="4" t="s">
        <v>70</v>
      </c>
      <c r="E1425" s="4" t="s">
        <v>788</v>
      </c>
      <c r="F1425" s="4" t="str">
        <f t="shared" si="75"/>
        <v>4|A|G</v>
      </c>
      <c r="G1425" s="14">
        <f>INDEX('Transition Stepwise'!$J$2:$J$1137,MATCH(F1425,'Transition Stepwise'!$E$2:$E$1137,0))</f>
        <v>0.4</v>
      </c>
      <c r="H1425" s="14" t="e">
        <f>INDEX(Background!$D$12:$D$27,MATCH(C1425&amp;D1425,INDEX(Background!$A$12:$A$27,0)&amp;INDEX(Background!$B$12:$B$27,0),0))</f>
        <v>#VALUE!</v>
      </c>
      <c r="I1425" s="17" t="e">
        <f t="shared" si="76"/>
        <v>#VALUE!</v>
      </c>
    </row>
    <row r="1426" spans="1:9">
      <c r="A1426" s="4" t="s">
        <v>772</v>
      </c>
      <c r="B1426" s="4">
        <v>5</v>
      </c>
      <c r="C1426" s="4" t="s">
        <v>70</v>
      </c>
      <c r="D1426" s="4" t="s">
        <v>70</v>
      </c>
      <c r="E1426" s="4" t="s">
        <v>788</v>
      </c>
      <c r="F1426" s="4" t="str">
        <f t="shared" si="75"/>
        <v>5|G|G</v>
      </c>
      <c r="G1426" s="14">
        <f>INDEX('Transition Stepwise'!$J$2:$J$1137,MATCH(F1426,'Transition Stepwise'!$E$2:$E$1137,0))</f>
        <v>0.30136986301369861</v>
      </c>
      <c r="H1426" s="14" t="e">
        <f>INDEX(Background!$D$12:$D$27,MATCH(C1426&amp;D1426,INDEX(Background!$A$12:$A$27,0)&amp;INDEX(Background!$B$12:$B$27,0),0))</f>
        <v>#VALUE!</v>
      </c>
      <c r="I1426" s="17" t="e">
        <f t="shared" si="76"/>
        <v>#VALUE!</v>
      </c>
    </row>
    <row r="1427" spans="1:9">
      <c r="A1427" s="4" t="s">
        <v>772</v>
      </c>
      <c r="B1427" s="4">
        <v>6</v>
      </c>
      <c r="C1427" s="4" t="s">
        <v>70</v>
      </c>
      <c r="D1427" s="4" t="s">
        <v>72</v>
      </c>
      <c r="E1427" s="4" t="s">
        <v>788</v>
      </c>
      <c r="F1427" s="4" t="str">
        <f t="shared" si="75"/>
        <v>6|G|U</v>
      </c>
      <c r="G1427" s="14">
        <f>INDEX('Transition Stepwise'!$J$2:$J$1137,MATCH(F1427,'Transition Stepwise'!$E$2:$E$1137,0))</f>
        <v>0.26923076923076922</v>
      </c>
      <c r="H1427" s="14" t="e">
        <f>INDEX(Background!$D$12:$D$27,MATCH(C1427&amp;D1427,INDEX(Background!$A$12:$A$27,0)&amp;INDEX(Background!$B$12:$B$27,0),0))</f>
        <v>#VALUE!</v>
      </c>
      <c r="I1427" s="17" t="e">
        <f t="shared" si="76"/>
        <v>#VALUE!</v>
      </c>
    </row>
    <row r="1428" spans="1:9">
      <c r="A1428" s="4" t="s">
        <v>772</v>
      </c>
      <c r="B1428" s="4">
        <v>7</v>
      </c>
      <c r="C1428" s="4" t="s">
        <v>72</v>
      </c>
      <c r="D1428" s="4" t="s">
        <v>72</v>
      </c>
      <c r="E1428" s="4" t="s">
        <v>788</v>
      </c>
      <c r="F1428" s="4" t="str">
        <f t="shared" si="75"/>
        <v>7|U|U</v>
      </c>
      <c r="G1428" s="14">
        <f>INDEX('Transition Stepwise'!$J$2:$J$1137,MATCH(F1428,'Transition Stepwise'!$E$2:$E$1137,0))</f>
        <v>0.9375</v>
      </c>
      <c r="H1428" s="14" t="e">
        <f>INDEX(Background!$D$12:$D$27,MATCH(C1428&amp;D1428,INDEX(Background!$A$12:$A$27,0)&amp;INDEX(Background!$B$12:$B$27,0),0))</f>
        <v>#VALUE!</v>
      </c>
      <c r="I1428" s="17" t="e">
        <f t="shared" si="76"/>
        <v>#VALUE!</v>
      </c>
    </row>
    <row r="1429" spans="1:9">
      <c r="A1429" s="4" t="s">
        <v>772</v>
      </c>
      <c r="B1429" s="4">
        <v>8</v>
      </c>
      <c r="C1429" s="4" t="s">
        <v>72</v>
      </c>
      <c r="D1429" s="4" t="s">
        <v>73</v>
      </c>
      <c r="E1429" s="4" t="s">
        <v>788</v>
      </c>
      <c r="F1429" s="4" t="str">
        <f t="shared" si="75"/>
        <v>8|U|A</v>
      </c>
      <c r="G1429" s="14">
        <f>INDEX('Transition Stepwise'!$J$2:$J$1137,MATCH(F1429,'Transition Stepwise'!$E$2:$E$1137,0))</f>
        <v>0.65174129353233834</v>
      </c>
      <c r="H1429" s="14" t="e">
        <f>INDEX(Background!$D$12:$D$27,MATCH(C1429&amp;D1429,INDEX(Background!$A$12:$A$27,0)&amp;INDEX(Background!$B$12:$B$27,0),0))</f>
        <v>#VALUE!</v>
      </c>
      <c r="I1429" s="17" t="e">
        <f t="shared" si="76"/>
        <v>#VALUE!</v>
      </c>
    </row>
    <row r="1430" spans="1:9">
      <c r="A1430" s="4" t="s">
        <v>772</v>
      </c>
      <c r="B1430" s="4">
        <v>9</v>
      </c>
      <c r="C1430" s="4" t="s">
        <v>73</v>
      </c>
      <c r="D1430" s="4" t="s">
        <v>70</v>
      </c>
      <c r="E1430" s="4" t="s">
        <v>788</v>
      </c>
      <c r="F1430" s="4" t="str">
        <f t="shared" si="75"/>
        <v>9|A|G</v>
      </c>
      <c r="G1430" s="14">
        <f>INDEX('Transition Stepwise'!$J$2:$J$1137,MATCH(F1430,'Transition Stepwise'!$E$2:$E$1137,0))</f>
        <v>0.96296296296296291</v>
      </c>
      <c r="H1430" s="14" t="e">
        <f>INDEX(Background!$D$12:$D$27,MATCH(C1430&amp;D1430,INDEX(Background!$A$12:$A$27,0)&amp;INDEX(Background!$B$12:$B$27,0),0))</f>
        <v>#VALUE!</v>
      </c>
      <c r="I1430" s="17" t="e">
        <f t="shared" si="76"/>
        <v>#VALUE!</v>
      </c>
    </row>
    <row r="1431" spans="1:9">
      <c r="A1431" s="4" t="s">
        <v>772</v>
      </c>
      <c r="B1431" s="4">
        <v>10</v>
      </c>
      <c r="C1431" s="4" t="s">
        <v>70</v>
      </c>
      <c r="D1431" s="4" t="s">
        <v>70</v>
      </c>
      <c r="E1431" s="4" t="s">
        <v>788</v>
      </c>
      <c r="F1431" s="4" t="str">
        <f t="shared" si="75"/>
        <v>10|G|G</v>
      </c>
      <c r="G1431" s="14">
        <f>INDEX('Transition Stepwise'!$J$2:$J$1137,MATCH(F1431,'Transition Stepwise'!$E$2:$E$1137,0))</f>
        <v>3.0612244897959183E-2</v>
      </c>
      <c r="H1431" s="14" t="e">
        <f>INDEX(Background!$D$12:$D$27,MATCH(C1431&amp;D1431,INDEX(Background!$A$12:$A$27,0)&amp;INDEX(Background!$B$12:$B$27,0),0))</f>
        <v>#VALUE!</v>
      </c>
      <c r="I1431" s="17" t="e">
        <f t="shared" si="76"/>
        <v>#VALUE!</v>
      </c>
    </row>
    <row r="1432" spans="1:9">
      <c r="A1432" s="4" t="s">
        <v>772</v>
      </c>
      <c r="B1432" s="4">
        <v>11</v>
      </c>
      <c r="C1432" s="4" t="s">
        <v>70</v>
      </c>
      <c r="D1432" s="4" t="s">
        <v>72</v>
      </c>
      <c r="E1432" s="4" t="s">
        <v>788</v>
      </c>
      <c r="F1432" s="4" t="str">
        <f t="shared" si="75"/>
        <v>11|G|U</v>
      </c>
      <c r="G1432" s="14">
        <f>INDEX('Transition Stepwise'!$J$2:$J$1137,MATCH(F1432,'Transition Stepwise'!$E$2:$E$1137,0))</f>
        <v>0.2</v>
      </c>
      <c r="H1432" s="14" t="e">
        <f>INDEX(Background!$D$12:$D$27,MATCH(C1432&amp;D1432,INDEX(Background!$A$12:$A$27,0)&amp;INDEX(Background!$B$12:$B$27,0),0))</f>
        <v>#VALUE!</v>
      </c>
      <c r="I1432" s="17" t="e">
        <f t="shared" si="76"/>
        <v>#VALUE!</v>
      </c>
    </row>
    <row r="1433" spans="1:9">
      <c r="A1433" s="4" t="s">
        <v>772</v>
      </c>
      <c r="B1433" s="4">
        <v>12</v>
      </c>
      <c r="C1433" s="4" t="s">
        <v>72</v>
      </c>
      <c r="D1433" s="4" t="s">
        <v>72</v>
      </c>
      <c r="E1433" s="4" t="s">
        <v>788</v>
      </c>
      <c r="F1433" s="4" t="str">
        <f t="shared" si="75"/>
        <v>12|U|U</v>
      </c>
      <c r="G1433" s="14">
        <f>INDEX('Transition Stepwise'!$J$2:$J$1137,MATCH(F1433,'Transition Stepwise'!$E$2:$E$1137,0))</f>
        <v>9.6774193548387094E-2</v>
      </c>
      <c r="H1433" s="14" t="e">
        <f>INDEX(Background!$D$12:$D$27,MATCH(C1433&amp;D1433,INDEX(Background!$A$12:$A$27,0)&amp;INDEX(Background!$B$12:$B$27,0),0))</f>
        <v>#VALUE!</v>
      </c>
      <c r="I1433" s="17" t="e">
        <f t="shared" si="76"/>
        <v>#VALUE!</v>
      </c>
    </row>
    <row r="1434" spans="1:9">
      <c r="A1434" s="4" t="s">
        <v>772</v>
      </c>
      <c r="B1434" s="4">
        <v>13</v>
      </c>
      <c r="C1434" s="4" t="s">
        <v>72</v>
      </c>
      <c r="D1434" s="4" t="s">
        <v>70</v>
      </c>
      <c r="E1434" s="4" t="s">
        <v>788</v>
      </c>
      <c r="F1434" s="4" t="str">
        <f t="shared" si="75"/>
        <v>13|U|G</v>
      </c>
      <c r="G1434" s="14">
        <f>INDEX('Transition Stepwise'!$J$2:$J$1137,MATCH(F1434,'Transition Stepwise'!$E$2:$E$1137,0))</f>
        <v>2.3809523809523808E-2</v>
      </c>
      <c r="H1434" s="14" t="e">
        <f>INDEX(Background!$D$12:$D$27,MATCH(C1434&amp;D1434,INDEX(Background!$A$12:$A$27,0)&amp;INDEX(Background!$B$12:$B$27,0),0))</f>
        <v>#VALUE!</v>
      </c>
      <c r="I1434" s="17" t="e">
        <f t="shared" si="76"/>
        <v>#VALUE!</v>
      </c>
    </row>
    <row r="1435" spans="1:9">
      <c r="A1435" s="4" t="s">
        <v>772</v>
      </c>
      <c r="B1435" s="4">
        <v>14</v>
      </c>
      <c r="C1435" s="4" t="s">
        <v>70</v>
      </c>
      <c r="D1435" s="4" t="s">
        <v>71</v>
      </c>
      <c r="E1435" s="4" t="s">
        <v>788</v>
      </c>
      <c r="F1435" s="4" t="str">
        <f t="shared" si="75"/>
        <v>14|G|C</v>
      </c>
      <c r="G1435" s="14">
        <f>INDEX('Transition Stepwise'!$J$2:$J$1137,MATCH(F1435,'Transition Stepwise'!$E$2:$E$1137,0))</f>
        <v>0.4</v>
      </c>
      <c r="H1435" s="14" t="e">
        <f>INDEX(Background!$D$12:$D$27,MATCH(C1435&amp;D1435,INDEX(Background!$A$12:$A$27,0)&amp;INDEX(Background!$B$12:$B$27,0),0))</f>
        <v>#VALUE!</v>
      </c>
      <c r="I1435" s="17" t="e">
        <f t="shared" si="76"/>
        <v>#VALUE!</v>
      </c>
    </row>
    <row r="1436" spans="1:9">
      <c r="A1436" s="4" t="s">
        <v>772</v>
      </c>
      <c r="B1436" s="4">
        <v>15</v>
      </c>
      <c r="C1436" s="4" t="s">
        <v>71</v>
      </c>
      <c r="D1436" s="4" t="s">
        <v>72</v>
      </c>
      <c r="E1436" s="4" t="s">
        <v>788</v>
      </c>
      <c r="F1436" s="4" t="str">
        <f t="shared" si="75"/>
        <v>15|C|U</v>
      </c>
      <c r="G1436" s="14">
        <f>INDEX('Transition Stepwise'!$J$2:$J$1137,MATCH(F1436,'Transition Stepwise'!$E$2:$E$1137,0))</f>
        <v>0.4</v>
      </c>
      <c r="H1436" s="14" t="e">
        <f>INDEX(Background!$D$12:$D$27,MATCH(C1436&amp;D1436,INDEX(Background!$A$12:$A$27,0)&amp;INDEX(Background!$B$12:$B$27,0),0))</f>
        <v>#VALUE!</v>
      </c>
      <c r="I1436" s="17" t="e">
        <f t="shared" si="76"/>
        <v>#VALUE!</v>
      </c>
    </row>
    <row r="1437" spans="1:9">
      <c r="A1437" s="4" t="s">
        <v>772</v>
      </c>
      <c r="B1437" s="4">
        <v>16</v>
      </c>
      <c r="C1437" s="4" t="s">
        <v>72</v>
      </c>
      <c r="D1437" s="4" t="s">
        <v>73</v>
      </c>
      <c r="E1437" s="4" t="s">
        <v>788</v>
      </c>
      <c r="F1437" s="4" t="str">
        <f t="shared" si="75"/>
        <v>16|U|A</v>
      </c>
      <c r="G1437" s="14">
        <f>INDEX('Transition Stepwise'!$J$2:$J$1137,MATCH(F1437,'Transition Stepwise'!$E$2:$E$1137,0))</f>
        <v>9.7560975609756101E-2</v>
      </c>
      <c r="H1437" s="14" t="e">
        <f>INDEX(Background!$D$12:$D$27,MATCH(C1437&amp;D1437,INDEX(Background!$A$12:$A$27,0)&amp;INDEX(Background!$B$12:$B$27,0),0))</f>
        <v>#VALUE!</v>
      </c>
      <c r="I1437" s="17" t="e">
        <f t="shared" si="76"/>
        <v>#VALUE!</v>
      </c>
    </row>
    <row r="1438" spans="1:9">
      <c r="A1438" s="4" t="s">
        <v>772</v>
      </c>
      <c r="B1438" s="4">
        <v>17</v>
      </c>
      <c r="C1438" s="4" t="s">
        <v>73</v>
      </c>
      <c r="D1438" s="4" t="s">
        <v>70</v>
      </c>
      <c r="E1438" s="4" t="s">
        <v>788</v>
      </c>
      <c r="F1438" s="4" t="str">
        <f t="shared" si="75"/>
        <v>17|A|G</v>
      </c>
      <c r="G1438" s="14">
        <f>INDEX('Transition Stepwise'!$J$2:$J$1137,MATCH(F1438,'Transition Stepwise'!$E$2:$E$1137,0))</f>
        <v>0.75</v>
      </c>
      <c r="H1438" s="14" t="e">
        <f>INDEX(Background!$D$12:$D$27,MATCH(C1438&amp;D1438,INDEX(Background!$A$12:$A$27,0)&amp;INDEX(Background!$B$12:$B$27,0),0))</f>
        <v>#VALUE!</v>
      </c>
      <c r="I1438" s="17" t="e">
        <f t="shared" si="76"/>
        <v>#VALUE!</v>
      </c>
    </row>
    <row r="1439" spans="1:9">
      <c r="A1439" s="4" t="s">
        <v>772</v>
      </c>
      <c r="B1439" s="4">
        <v>18</v>
      </c>
      <c r="C1439" s="4" t="s">
        <v>70</v>
      </c>
      <c r="D1439" s="4" t="s">
        <v>70</v>
      </c>
      <c r="E1439" s="4" t="s">
        <v>788</v>
      </c>
      <c r="F1439" s="4" t="str">
        <f t="shared" si="75"/>
        <v>18|G|G</v>
      </c>
      <c r="G1439" s="14">
        <f>INDEX('Transition Stepwise'!$J$2:$J$1137,MATCH(F1439,'Transition Stepwise'!$E$2:$E$1137,0))</f>
        <v>0.97536945812807885</v>
      </c>
      <c r="H1439" s="14" t="e">
        <f>INDEX(Background!$D$12:$D$27,MATCH(C1439&amp;D1439,INDEX(Background!$A$12:$A$27,0)&amp;INDEX(Background!$B$12:$B$27,0),0))</f>
        <v>#VALUE!</v>
      </c>
      <c r="I1439" s="17" t="e">
        <f t="shared" si="76"/>
        <v>#VALUE!</v>
      </c>
    </row>
    <row r="1440" spans="1:9">
      <c r="A1440" s="4" t="s">
        <v>772</v>
      </c>
      <c r="B1440" s="4">
        <v>19</v>
      </c>
      <c r="C1440" s="4" t="s">
        <v>70</v>
      </c>
      <c r="D1440" s="4" t="s">
        <v>73</v>
      </c>
      <c r="E1440" s="4" t="s">
        <v>788</v>
      </c>
      <c r="F1440" s="4" t="str">
        <f t="shared" si="75"/>
        <v>19|G|A</v>
      </c>
      <c r="G1440" s="14">
        <f>INDEX('Transition Stepwise'!$J$2:$J$1137,MATCH(F1440,'Transition Stepwise'!$E$2:$E$1137,0))</f>
        <v>8.9552238805970144E-2</v>
      </c>
      <c r="H1440" s="14" t="e">
        <f>INDEX(Background!$D$12:$D$27,MATCH(C1440&amp;D1440,INDEX(Background!$A$12:$A$27,0)&amp;INDEX(Background!$B$12:$B$27,0),0))</f>
        <v>#VALUE!</v>
      </c>
      <c r="I1440" s="17" t="e">
        <f t="shared" si="76"/>
        <v>#VALUE!</v>
      </c>
    </row>
    <row r="1441" spans="1:9">
      <c r="A1441" s="4" t="s">
        <v>772</v>
      </c>
      <c r="B1441" s="4">
        <v>20</v>
      </c>
      <c r="C1441" s="4" t="s">
        <v>73</v>
      </c>
      <c r="D1441" s="4" t="s">
        <v>73</v>
      </c>
      <c r="E1441" s="4" t="s">
        <v>788</v>
      </c>
      <c r="F1441" s="4" t="str">
        <f t="shared" si="75"/>
        <v>20|A|A</v>
      </c>
      <c r="G1441" s="14">
        <f>INDEX('Transition Stepwise'!$J$2:$J$1137,MATCH(F1441,'Transition Stepwise'!$E$2:$E$1137,0))</f>
        <v>0.80952380952380953</v>
      </c>
      <c r="H1441" s="14" t="e">
        <f>INDEX(Background!$D$12:$D$27,MATCH(C1441&amp;D1441,INDEX(Background!$A$12:$A$27,0)&amp;INDEX(Background!$B$12:$B$27,0),0))</f>
        <v>#VALUE!</v>
      </c>
      <c r="I1441" s="17" t="e">
        <f t="shared" si="76"/>
        <v>#VALUE!</v>
      </c>
    </row>
    <row r="1442" spans="1:9">
      <c r="A1442" s="4" t="s">
        <v>772</v>
      </c>
      <c r="B1442" s="4">
        <v>21</v>
      </c>
      <c r="C1442" s="4" t="s">
        <v>73</v>
      </c>
      <c r="D1442" s="4" t="s">
        <v>73</v>
      </c>
      <c r="E1442" s="4" t="s">
        <v>788</v>
      </c>
      <c r="F1442" s="4" t="str">
        <f t="shared" si="75"/>
        <v>21|A|A</v>
      </c>
      <c r="G1442" s="14">
        <f>INDEX('Transition Stepwise'!$J$2:$J$1137,MATCH(F1442,'Transition Stepwise'!$E$2:$E$1137,0))</f>
        <v>0.15846994535519127</v>
      </c>
      <c r="H1442" s="14" t="e">
        <f>INDEX(Background!$D$12:$D$27,MATCH(C1442&amp;D1442,INDEX(Background!$A$12:$A$27,0)&amp;INDEX(Background!$B$12:$B$27,0),0))</f>
        <v>#VALUE!</v>
      </c>
      <c r="I1442" s="17" t="e">
        <f t="shared" si="76"/>
        <v>#VALUE!</v>
      </c>
    </row>
    <row r="1443" spans="1:9">
      <c r="A1443" s="4" t="s">
        <v>772</v>
      </c>
      <c r="B1443" s="4">
        <v>22</v>
      </c>
      <c r="C1443" s="4" t="s">
        <v>73</v>
      </c>
      <c r="D1443" s="4" t="s">
        <v>73</v>
      </c>
      <c r="E1443" s="4" t="s">
        <v>788</v>
      </c>
      <c r="F1443" s="4" t="str">
        <f t="shared" si="75"/>
        <v>22|A|A</v>
      </c>
      <c r="G1443" s="14">
        <f>INDEX('Transition Stepwise'!$J$2:$J$1137,MATCH(F1443,'Transition Stepwise'!$E$2:$E$1137,0))</f>
        <v>0.15555555555555556</v>
      </c>
      <c r="H1443" s="14" t="e">
        <f>INDEX(Background!$D$12:$D$27,MATCH(C1443&amp;D1443,INDEX(Background!$A$12:$A$27,0)&amp;INDEX(Background!$B$12:$B$27,0),0))</f>
        <v>#VALUE!</v>
      </c>
      <c r="I1443" s="17" t="e">
        <f t="shared" si="76"/>
        <v>#VALUE!</v>
      </c>
    </row>
    <row r="1444" spans="1:9">
      <c r="A1444" s="4" t="s">
        <v>772</v>
      </c>
      <c r="B1444" s="4">
        <v>23</v>
      </c>
      <c r="C1444" s="4" t="s">
        <v>73</v>
      </c>
      <c r="D1444" s="4" t="s">
        <v>72</v>
      </c>
      <c r="E1444" s="4" t="s">
        <v>788</v>
      </c>
      <c r="F1444" s="4" t="str">
        <f t="shared" si="75"/>
        <v>23|A|U</v>
      </c>
      <c r="G1444" s="14">
        <f>INDEX('Transition Stepwise'!$J$2:$J$1137,MATCH(F1444,'Transition Stepwise'!$E$2:$E$1137,0))</f>
        <v>3.2000000000000001E-2</v>
      </c>
      <c r="H1444" s="14" t="e">
        <f>INDEX(Background!$D$12:$D$27,MATCH(C1444&amp;D1444,INDEX(Background!$A$12:$A$27,0)&amp;INDEX(Background!$B$12:$B$27,0),0))</f>
        <v>#VALUE!</v>
      </c>
      <c r="I1444" s="17" t="e">
        <f t="shared" si="76"/>
        <v>#VALUE!</v>
      </c>
    </row>
    <row r="1445" spans="1:9">
      <c r="A1445" s="4" t="s">
        <v>772</v>
      </c>
      <c r="B1445" s="4">
        <v>24</v>
      </c>
      <c r="C1445" s="4" t="s">
        <v>72</v>
      </c>
      <c r="D1445" s="4" t="s">
        <v>72</v>
      </c>
      <c r="E1445" s="4" t="s">
        <v>788</v>
      </c>
      <c r="F1445" s="4" t="str">
        <f t="shared" si="75"/>
        <v>24|U|U</v>
      </c>
      <c r="G1445" s="14">
        <f>INDEX('Transition Stepwise'!$J$2:$J$1137,MATCH(F1445,'Transition Stepwise'!$E$2:$E$1137,0))</f>
        <v>9.0909090909090912E-2</v>
      </c>
      <c r="H1445" s="14" t="e">
        <f>INDEX(Background!$D$12:$D$27,MATCH(C1445&amp;D1445,INDEX(Background!$A$12:$A$27,0)&amp;INDEX(Background!$B$12:$B$27,0),0))</f>
        <v>#VALUE!</v>
      </c>
      <c r="I1445" s="17" t="e">
        <f t="shared" si="76"/>
        <v>#VALUE!</v>
      </c>
    </row>
    <row r="1446" spans="1:9">
      <c r="A1446" s="4" t="s">
        <v>772</v>
      </c>
      <c r="B1446" s="4">
        <v>25</v>
      </c>
      <c r="C1446" s="4" t="s">
        <v>72</v>
      </c>
      <c r="D1446" s="4" t="s">
        <v>72</v>
      </c>
      <c r="E1446" s="4" t="s">
        <v>788</v>
      </c>
      <c r="F1446" s="4" t="str">
        <f t="shared" si="75"/>
        <v>25|U|U</v>
      </c>
      <c r="G1446" s="14">
        <f>INDEX('Transition Stepwise'!$J$2:$J$1137,MATCH(F1446,'Transition Stepwise'!$E$2:$E$1137,0))</f>
        <v>0.16666666666666666</v>
      </c>
      <c r="H1446" s="14" t="e">
        <f>INDEX(Background!$D$12:$D$27,MATCH(C1446&amp;D1446,INDEX(Background!$A$12:$A$27,0)&amp;INDEX(Background!$B$12:$B$27,0),0))</f>
        <v>#VALUE!</v>
      </c>
      <c r="I1446" s="17" t="e">
        <f t="shared" si="76"/>
        <v>#VALUE!</v>
      </c>
    </row>
    <row r="1447" spans="1:9">
      <c r="A1447" s="4" t="s">
        <v>772</v>
      </c>
      <c r="B1447" s="4">
        <v>26</v>
      </c>
      <c r="C1447" s="4" t="s">
        <v>72</v>
      </c>
      <c r="D1447" s="4" t="s">
        <v>72</v>
      </c>
      <c r="E1447" s="4" t="s">
        <v>788</v>
      </c>
      <c r="F1447" s="4" t="str">
        <f t="shared" si="75"/>
        <v>26|U|U</v>
      </c>
      <c r="G1447" s="14">
        <f>INDEX('Transition Stepwise'!$J$2:$J$1137,MATCH(F1447,'Transition Stepwise'!$E$2:$E$1137,0))</f>
        <v>0.26666666666666666</v>
      </c>
      <c r="H1447" s="14" t="e">
        <f>INDEX(Background!$D$12:$D$27,MATCH(C1447&amp;D1447,INDEX(Background!$A$12:$A$27,0)&amp;INDEX(Background!$B$12:$B$27,0),0))</f>
        <v>#VALUE!</v>
      </c>
      <c r="I1447" s="17" t="e">
        <f t="shared" si="76"/>
        <v>#VALUE!</v>
      </c>
    </row>
    <row r="1448" spans="1:9">
      <c r="A1448" s="4" t="s">
        <v>772</v>
      </c>
      <c r="B1448" s="4">
        <v>27</v>
      </c>
      <c r="C1448" s="4" t="s">
        <v>72</v>
      </c>
      <c r="D1448" s="4" t="s">
        <v>73</v>
      </c>
      <c r="E1448" s="4" t="s">
        <v>788</v>
      </c>
      <c r="F1448" s="4" t="str">
        <f t="shared" si="75"/>
        <v>27|U|A</v>
      </c>
      <c r="G1448" s="14">
        <f>INDEX('Transition Stepwise'!$J$2:$J$1137,MATCH(F1448,'Transition Stepwise'!$E$2:$E$1137,0))</f>
        <v>7.1428571428571425E-2</v>
      </c>
      <c r="H1448" s="14" t="e">
        <f>INDEX(Background!$D$12:$D$27,MATCH(C1448&amp;D1448,INDEX(Background!$A$12:$A$27,0)&amp;INDEX(Background!$B$12:$B$27,0),0))</f>
        <v>#VALUE!</v>
      </c>
      <c r="I1448" s="17" t="e">
        <f t="shared" si="76"/>
        <v>#VALUE!</v>
      </c>
    </row>
    <row r="1449" spans="1:9">
      <c r="A1449" s="4" t="s">
        <v>772</v>
      </c>
      <c r="B1449" s="4">
        <v>28</v>
      </c>
      <c r="C1449" s="4" t="s">
        <v>73</v>
      </c>
      <c r="D1449" s="4" t="s">
        <v>73</v>
      </c>
      <c r="E1449" s="4" t="s">
        <v>788</v>
      </c>
      <c r="F1449" s="4" t="str">
        <f t="shared" si="75"/>
        <v>28|A|A</v>
      </c>
      <c r="G1449" s="14">
        <f>INDEX('Transition Stepwise'!$J$2:$J$1137,MATCH(F1449,'Transition Stepwise'!$E$2:$E$1137,0))</f>
        <v>0.14285714285714285</v>
      </c>
      <c r="H1449" s="14" t="e">
        <f>INDEX(Background!$D$12:$D$27,MATCH(C1449&amp;D1449,INDEX(Background!$A$12:$A$27,0)&amp;INDEX(Background!$B$12:$B$27,0),0))</f>
        <v>#VALUE!</v>
      </c>
      <c r="I1449" s="17" t="e">
        <f t="shared" si="76"/>
        <v>#VALUE!</v>
      </c>
    </row>
    <row r="1450" spans="1:9">
      <c r="A1450" s="4" t="s">
        <v>772</v>
      </c>
      <c r="B1450" s="4">
        <v>29</v>
      </c>
      <c r="C1450" s="4" t="s">
        <v>73</v>
      </c>
      <c r="D1450" s="4" t="s">
        <v>72</v>
      </c>
      <c r="E1450" s="4" t="s">
        <v>788</v>
      </c>
      <c r="F1450" s="4" t="str">
        <f t="shared" si="75"/>
        <v>29|A|U</v>
      </c>
      <c r="G1450" s="14">
        <f>INDEX('Transition Stepwise'!$J$2:$J$1137,MATCH(F1450,'Transition Stepwise'!$E$2:$E$1137,0))</f>
        <v>2.7777777777777776E-2</v>
      </c>
      <c r="H1450" s="14" t="e">
        <f>INDEX(Background!$D$12:$D$27,MATCH(C1450&amp;D1450,INDEX(Background!$A$12:$A$27,0)&amp;INDEX(Background!$B$12:$B$27,0),0))</f>
        <v>#VALUE!</v>
      </c>
      <c r="I1450" s="17" t="e">
        <f t="shared" si="76"/>
        <v>#VALUE!</v>
      </c>
    </row>
    <row r="1451" spans="1:9">
      <c r="A1451" s="4" t="s">
        <v>772</v>
      </c>
      <c r="B1451" s="4">
        <v>30</v>
      </c>
      <c r="C1451" s="4" t="s">
        <v>72</v>
      </c>
      <c r="D1451" s="4" t="s">
        <v>71</v>
      </c>
      <c r="E1451" s="4" t="s">
        <v>788</v>
      </c>
      <c r="F1451" s="4" t="str">
        <f t="shared" si="75"/>
        <v>30|U|C</v>
      </c>
      <c r="G1451" s="14">
        <f>INDEX('Transition Stepwise'!$J$2:$J$1137,MATCH(F1451,'Transition Stepwise'!$E$2:$E$1137,0))</f>
        <v>0.18181818181818182</v>
      </c>
      <c r="H1451" s="14" t="e">
        <f>INDEX(Background!$D$12:$D$27,MATCH(C1451&amp;D1451,INDEX(Background!$A$12:$A$27,0)&amp;INDEX(Background!$B$12:$B$27,0),0))</f>
        <v>#VALUE!</v>
      </c>
      <c r="I1451" s="17" t="e">
        <f t="shared" si="76"/>
        <v>#VALUE!</v>
      </c>
    </row>
    <row r="1452" spans="1:9">
      <c r="A1452" s="4" t="s">
        <v>772</v>
      </c>
      <c r="B1452" s="4">
        <v>31</v>
      </c>
      <c r="C1452" s="4" t="s">
        <v>71</v>
      </c>
      <c r="D1452" s="4" t="s">
        <v>72</v>
      </c>
      <c r="E1452" s="4" t="s">
        <v>788</v>
      </c>
      <c r="F1452" s="4" t="str">
        <f t="shared" si="75"/>
        <v>31|C|U</v>
      </c>
      <c r="G1452" s="14">
        <f>INDEX('Transition Stepwise'!$J$2:$J$1137,MATCH(F1452,'Transition Stepwise'!$E$2:$E$1137,0))</f>
        <v>0.40789473684210525</v>
      </c>
      <c r="H1452" s="14" t="e">
        <f>INDEX(Background!$D$12:$D$27,MATCH(C1452&amp;D1452,INDEX(Background!$A$12:$A$27,0)&amp;INDEX(Background!$B$12:$B$27,0),0))</f>
        <v>#VALUE!</v>
      </c>
      <c r="I1452" s="17" t="e">
        <f t="shared" si="76"/>
        <v>#VALUE!</v>
      </c>
    </row>
    <row r="1453" spans="1:9">
      <c r="A1453" s="4" t="s">
        <v>772</v>
      </c>
      <c r="B1453" s="4">
        <v>32</v>
      </c>
      <c r="C1453" s="4" t="s">
        <v>72</v>
      </c>
      <c r="D1453" s="4" t="s">
        <v>71</v>
      </c>
      <c r="E1453" s="4" t="s">
        <v>788</v>
      </c>
      <c r="F1453" s="4" t="str">
        <f t="shared" si="75"/>
        <v>32|U|C</v>
      </c>
      <c r="G1453" s="14">
        <f>INDEX('Transition Stepwise'!$J$2:$J$1137,MATCH(F1453,'Transition Stepwise'!$E$2:$E$1137,0))</f>
        <v>1.5873015873015872E-2</v>
      </c>
      <c r="H1453" s="14" t="e">
        <f>INDEX(Background!$D$12:$D$27,MATCH(C1453&amp;D1453,INDEX(Background!$A$12:$A$27,0)&amp;INDEX(Background!$B$12:$B$27,0),0))</f>
        <v>#VALUE!</v>
      </c>
      <c r="I1453" s="17" t="e">
        <f t="shared" si="76"/>
        <v>#VALUE!</v>
      </c>
    </row>
    <row r="1454" spans="1:9">
      <c r="A1454" s="4" t="s">
        <v>772</v>
      </c>
      <c r="B1454" s="4">
        <v>33</v>
      </c>
      <c r="C1454" s="4" t="s">
        <v>71</v>
      </c>
      <c r="D1454" s="4" t="s">
        <v>71</v>
      </c>
      <c r="E1454" s="4" t="s">
        <v>788</v>
      </c>
      <c r="F1454" s="4" t="str">
        <f t="shared" ref="F1454:F1517" si="77">B1454&amp;"|"&amp;C1454&amp;"|"&amp;D1454</f>
        <v>33|C|C</v>
      </c>
      <c r="G1454" s="14">
        <f>INDEX('Transition Stepwise'!$J$2:$J$1137,MATCH(F1454,'Transition Stepwise'!$E$2:$E$1137,0))</f>
        <v>0.4</v>
      </c>
      <c r="H1454" s="14" t="e">
        <f>INDEX(Background!$D$12:$D$27,MATCH(C1454&amp;D1454,INDEX(Background!$A$12:$A$27,0)&amp;INDEX(Background!$B$12:$B$27,0),0))</f>
        <v>#VALUE!</v>
      </c>
      <c r="I1454" s="17" t="e">
        <f t="shared" ref="I1454:I1517" si="78">LN(G1454/H1454)</f>
        <v>#VALUE!</v>
      </c>
    </row>
    <row r="1455" spans="1:9">
      <c r="A1455" s="4" t="s">
        <v>772</v>
      </c>
      <c r="B1455" s="4">
        <v>34</v>
      </c>
      <c r="C1455" s="4" t="s">
        <v>71</v>
      </c>
      <c r="D1455" s="4" t="s">
        <v>72</v>
      </c>
      <c r="E1455" s="4" t="s">
        <v>788</v>
      </c>
      <c r="F1455" s="4" t="str">
        <f t="shared" si="77"/>
        <v>34|C|U</v>
      </c>
      <c r="G1455" s="14">
        <f>INDEX('Transition Stepwise'!$J$2:$J$1137,MATCH(F1455,'Transition Stepwise'!$E$2:$E$1137,0))</f>
        <v>0.18571428571428572</v>
      </c>
      <c r="H1455" s="14" t="e">
        <f>INDEX(Background!$D$12:$D$27,MATCH(C1455&amp;D1455,INDEX(Background!$A$12:$A$27,0)&amp;INDEX(Background!$B$12:$B$27,0),0))</f>
        <v>#VALUE!</v>
      </c>
      <c r="I1455" s="17" t="e">
        <f t="shared" si="78"/>
        <v>#VALUE!</v>
      </c>
    </row>
    <row r="1456" spans="1:9">
      <c r="A1456" s="4" t="s">
        <v>772</v>
      </c>
      <c r="B1456" s="4">
        <v>35</v>
      </c>
      <c r="C1456" s="4" t="s">
        <v>72</v>
      </c>
      <c r="D1456" s="4" t="s">
        <v>73</v>
      </c>
      <c r="E1456" s="4" t="s">
        <v>788</v>
      </c>
      <c r="F1456" s="4" t="str">
        <f t="shared" si="77"/>
        <v>35|U|A</v>
      </c>
      <c r="G1456" s="14">
        <f>INDEX('Transition Stepwise'!$J$2:$J$1137,MATCH(F1456,'Transition Stepwise'!$E$2:$E$1137,0))</f>
        <v>0.17777777777777778</v>
      </c>
      <c r="H1456" s="14" t="e">
        <f>INDEX(Background!$D$12:$D$27,MATCH(C1456&amp;D1456,INDEX(Background!$A$12:$A$27,0)&amp;INDEX(Background!$B$12:$B$27,0),0))</f>
        <v>#VALUE!</v>
      </c>
      <c r="I1456" s="17" t="e">
        <f t="shared" si="78"/>
        <v>#VALUE!</v>
      </c>
    </row>
    <row r="1457" spans="1:9">
      <c r="A1457" s="4" t="s">
        <v>772</v>
      </c>
      <c r="B1457" s="4">
        <v>36</v>
      </c>
      <c r="C1457" s="4" t="s">
        <v>73</v>
      </c>
      <c r="D1457" s="4" t="s">
        <v>73</v>
      </c>
      <c r="E1457" s="4" t="s">
        <v>788</v>
      </c>
      <c r="F1457" s="4" t="str">
        <f t="shared" si="77"/>
        <v>36|A|A</v>
      </c>
      <c r="G1457" s="14">
        <f>INDEX('Transition Stepwise'!$J$2:$J$1137,MATCH(F1457,'Transition Stepwise'!$E$2:$E$1137,0))</f>
        <v>0.55319148936170215</v>
      </c>
      <c r="H1457" s="14" t="e">
        <f>INDEX(Background!$D$12:$D$27,MATCH(C1457&amp;D1457,INDEX(Background!$A$12:$A$27,0)&amp;INDEX(Background!$B$12:$B$27,0),0))</f>
        <v>#VALUE!</v>
      </c>
      <c r="I1457" s="17" t="e">
        <f t="shared" si="78"/>
        <v>#VALUE!</v>
      </c>
    </row>
    <row r="1458" spans="1:9">
      <c r="A1458" s="4" t="s">
        <v>772</v>
      </c>
      <c r="B1458" s="4">
        <v>37</v>
      </c>
      <c r="C1458" s="4" t="s">
        <v>73</v>
      </c>
      <c r="D1458" s="4" t="s">
        <v>70</v>
      </c>
      <c r="E1458" s="4" t="s">
        <v>788</v>
      </c>
      <c r="F1458" s="4" t="str">
        <f t="shared" si="77"/>
        <v>37|A|G</v>
      </c>
      <c r="G1458" s="14">
        <f>INDEX('Transition Stepwise'!$J$2:$J$1137,MATCH(F1458,'Transition Stepwise'!$E$2:$E$1137,0))</f>
        <v>6.4516129032258064E-3</v>
      </c>
      <c r="H1458" s="14" t="e">
        <f>INDEX(Background!$D$12:$D$27,MATCH(C1458&amp;D1458,INDEX(Background!$A$12:$A$27,0)&amp;INDEX(Background!$B$12:$B$27,0),0))</f>
        <v>#VALUE!</v>
      </c>
      <c r="I1458" s="17" t="e">
        <f t="shared" si="78"/>
        <v>#VALUE!</v>
      </c>
    </row>
    <row r="1459" spans="1:9">
      <c r="A1459" s="4" t="s">
        <v>772</v>
      </c>
      <c r="B1459" s="4">
        <v>38</v>
      </c>
      <c r="C1459" s="4" t="s">
        <v>70</v>
      </c>
      <c r="D1459" s="4" t="s">
        <v>70</v>
      </c>
      <c r="E1459" s="4" t="s">
        <v>788</v>
      </c>
      <c r="F1459" s="4" t="str">
        <f t="shared" si="77"/>
        <v>38|G|G</v>
      </c>
      <c r="G1459" s="14">
        <f>INDEX('Transition Stepwise'!$J$2:$J$1137,MATCH(F1459,'Transition Stepwise'!$E$2:$E$1137,0))</f>
        <v>0.2</v>
      </c>
      <c r="H1459" s="14" t="e">
        <f>INDEX(Background!$D$12:$D$27,MATCH(C1459&amp;D1459,INDEX(Background!$A$12:$A$27,0)&amp;INDEX(Background!$B$12:$B$27,0),0))</f>
        <v>#VALUE!</v>
      </c>
      <c r="I1459" s="17" t="e">
        <f t="shared" si="78"/>
        <v>#VALUE!</v>
      </c>
    </row>
    <row r="1460" spans="1:9">
      <c r="A1460" s="4" t="s">
        <v>772</v>
      </c>
      <c r="B1460" s="4">
        <v>39</v>
      </c>
      <c r="C1460" s="4" t="s">
        <v>70</v>
      </c>
      <c r="D1460" s="4" t="s">
        <v>70</v>
      </c>
      <c r="E1460" s="4" t="s">
        <v>788</v>
      </c>
      <c r="F1460" s="4" t="str">
        <f t="shared" si="77"/>
        <v>39|G|G</v>
      </c>
      <c r="G1460" s="14">
        <f>INDEX('Transition Stepwise'!$J$2:$J$1137,MATCH(F1460,'Transition Stepwise'!$E$2:$E$1137,0))</f>
        <v>0.38157894736842107</v>
      </c>
      <c r="H1460" s="14" t="e">
        <f>INDEX(Background!$D$12:$D$27,MATCH(C1460&amp;D1460,INDEX(Background!$A$12:$A$27,0)&amp;INDEX(Background!$B$12:$B$27,0),0))</f>
        <v>#VALUE!</v>
      </c>
      <c r="I1460" s="17" t="e">
        <f t="shared" si="78"/>
        <v>#VALUE!</v>
      </c>
    </row>
    <row r="1461" spans="1:9">
      <c r="A1461" s="4" t="s">
        <v>772</v>
      </c>
      <c r="B1461" s="4">
        <v>40</v>
      </c>
      <c r="C1461" s="4" t="s">
        <v>70</v>
      </c>
      <c r="D1461" s="4" t="s">
        <v>72</v>
      </c>
      <c r="E1461" s="4" t="s">
        <v>788</v>
      </c>
      <c r="F1461" s="4" t="str">
        <f t="shared" si="77"/>
        <v>40|G|U</v>
      </c>
      <c r="G1461" s="14">
        <f>INDEX('Transition Stepwise'!$J$2:$J$1137,MATCH(F1461,'Transition Stepwise'!$E$2:$E$1137,0))</f>
        <v>0.17307692307692307</v>
      </c>
      <c r="H1461" s="14" t="e">
        <f>INDEX(Background!$D$12:$D$27,MATCH(C1461&amp;D1461,INDEX(Background!$A$12:$A$27,0)&amp;INDEX(Background!$B$12:$B$27,0),0))</f>
        <v>#VALUE!</v>
      </c>
      <c r="I1461" s="17" t="e">
        <f t="shared" si="78"/>
        <v>#VALUE!</v>
      </c>
    </row>
    <row r="1462" spans="1:9">
      <c r="A1462" s="4" t="s">
        <v>772</v>
      </c>
      <c r="B1462" s="4">
        <v>41</v>
      </c>
      <c r="C1462" s="4" t="s">
        <v>72</v>
      </c>
      <c r="D1462" s="4" t="s">
        <v>72</v>
      </c>
      <c r="E1462" s="4" t="s">
        <v>788</v>
      </c>
      <c r="F1462" s="4" t="str">
        <f t="shared" si="77"/>
        <v>41|U|U</v>
      </c>
      <c r="G1462" s="14">
        <f>INDEX('Transition Stepwise'!$J$2:$J$1137,MATCH(F1462,'Transition Stepwise'!$E$2:$E$1137,0))</f>
        <v>0.10810810810810811</v>
      </c>
      <c r="H1462" s="14" t="e">
        <f>INDEX(Background!$D$12:$D$27,MATCH(C1462&amp;D1462,INDEX(Background!$A$12:$A$27,0)&amp;INDEX(Background!$B$12:$B$27,0),0))</f>
        <v>#VALUE!</v>
      </c>
      <c r="I1462" s="17" t="e">
        <f t="shared" si="78"/>
        <v>#VALUE!</v>
      </c>
    </row>
    <row r="1463" spans="1:9">
      <c r="A1463" s="4" t="s">
        <v>772</v>
      </c>
      <c r="B1463" s="4">
        <v>42</v>
      </c>
      <c r="C1463" s="4" t="s">
        <v>72</v>
      </c>
      <c r="D1463" s="4" t="s">
        <v>73</v>
      </c>
      <c r="E1463" s="4" t="s">
        <v>788</v>
      </c>
      <c r="F1463" s="4" t="str">
        <f t="shared" si="77"/>
        <v>42|U|A</v>
      </c>
      <c r="G1463" s="14">
        <f>INDEX('Transition Stepwise'!$J$2:$J$1137,MATCH(F1463,'Transition Stepwise'!$E$2:$E$1137,0))</f>
        <v>0.1</v>
      </c>
      <c r="H1463" s="14" t="e">
        <f>INDEX(Background!$D$12:$D$27,MATCH(C1463&amp;D1463,INDEX(Background!$A$12:$A$27,0)&amp;INDEX(Background!$B$12:$B$27,0),0))</f>
        <v>#VALUE!</v>
      </c>
      <c r="I1463" s="17" t="e">
        <f t="shared" si="78"/>
        <v>#VALUE!</v>
      </c>
    </row>
    <row r="1464" spans="1:9">
      <c r="A1464" s="4" t="s">
        <v>772</v>
      </c>
      <c r="B1464" s="4">
        <v>43</v>
      </c>
      <c r="C1464" s="4" t="s">
        <v>73</v>
      </c>
      <c r="D1464" s="4" t="s">
        <v>73</v>
      </c>
      <c r="E1464" s="4" t="s">
        <v>788</v>
      </c>
      <c r="F1464" s="4" t="str">
        <f t="shared" si="77"/>
        <v>43|A|A</v>
      </c>
      <c r="G1464" s="14">
        <f>INDEX('Transition Stepwise'!$J$2:$J$1137,MATCH(F1464,'Transition Stepwise'!$E$2:$E$1137,0))</f>
        <v>0.46938775510204084</v>
      </c>
      <c r="H1464" s="14" t="e">
        <f>INDEX(Background!$D$12:$D$27,MATCH(C1464&amp;D1464,INDEX(Background!$A$12:$A$27,0)&amp;INDEX(Background!$B$12:$B$27,0),0))</f>
        <v>#VALUE!</v>
      </c>
      <c r="I1464" s="17" t="e">
        <f t="shared" si="78"/>
        <v>#VALUE!</v>
      </c>
    </row>
    <row r="1465" spans="1:9">
      <c r="A1465" s="4" t="s">
        <v>772</v>
      </c>
      <c r="B1465" s="4">
        <v>44</v>
      </c>
      <c r="C1465" s="4" t="s">
        <v>73</v>
      </c>
      <c r="D1465" s="4" t="s">
        <v>70</v>
      </c>
      <c r="E1465" s="4" t="s">
        <v>788</v>
      </c>
      <c r="F1465" s="4" t="str">
        <f t="shared" si="77"/>
        <v>44|A|G</v>
      </c>
      <c r="G1465" s="14">
        <f>INDEX('Transition Stepwise'!$J$2:$J$1137,MATCH(F1465,'Transition Stepwise'!$E$2:$E$1137,0))</f>
        <v>0.85436893203883491</v>
      </c>
      <c r="H1465" s="14" t="e">
        <f>INDEX(Background!$D$12:$D$27,MATCH(C1465&amp;D1465,INDEX(Background!$A$12:$A$27,0)&amp;INDEX(Background!$B$12:$B$27,0),0))</f>
        <v>#VALUE!</v>
      </c>
      <c r="I1465" s="17" t="e">
        <f t="shared" si="78"/>
        <v>#VALUE!</v>
      </c>
    </row>
    <row r="1466" spans="1:9">
      <c r="A1466" s="4" t="s">
        <v>772</v>
      </c>
      <c r="B1466" s="4">
        <v>45</v>
      </c>
      <c r="C1466" s="4" t="s">
        <v>70</v>
      </c>
      <c r="D1466" s="4" t="s">
        <v>71</v>
      </c>
      <c r="E1466" s="4" t="s">
        <v>788</v>
      </c>
      <c r="F1466" s="4" t="str">
        <f t="shared" si="77"/>
        <v>45|G|C</v>
      </c>
      <c r="G1466" s="14">
        <f>INDEX('Transition Stepwise'!$J$2:$J$1137,MATCH(F1466,'Transition Stepwise'!$E$2:$E$1137,0))</f>
        <v>2.1739130434782608E-2</v>
      </c>
      <c r="H1466" s="14" t="e">
        <f>INDEX(Background!$D$12:$D$27,MATCH(C1466&amp;D1466,INDEX(Background!$A$12:$A$27,0)&amp;INDEX(Background!$B$12:$B$27,0),0))</f>
        <v>#VALUE!</v>
      </c>
      <c r="I1466" s="17" t="e">
        <f t="shared" si="78"/>
        <v>#VALUE!</v>
      </c>
    </row>
    <row r="1467" spans="1:9">
      <c r="A1467" s="4" t="s">
        <v>772</v>
      </c>
      <c r="B1467" s="4">
        <v>46</v>
      </c>
      <c r="C1467" s="4" t="s">
        <v>71</v>
      </c>
      <c r="D1467" s="4" t="s">
        <v>73</v>
      </c>
      <c r="E1467" s="4" t="s">
        <v>788</v>
      </c>
      <c r="F1467" s="4" t="str">
        <f t="shared" si="77"/>
        <v>46|C|A</v>
      </c>
      <c r="G1467" s="14">
        <f>INDEX('Transition Stepwise'!$J$2:$J$1137,MATCH(F1467,'Transition Stepwise'!$E$2:$E$1137,0))</f>
        <v>0.25</v>
      </c>
      <c r="H1467" s="14" t="e">
        <f>INDEX(Background!$D$12:$D$27,MATCH(C1467&amp;D1467,INDEX(Background!$A$12:$A$27,0)&amp;INDEX(Background!$B$12:$B$27,0),0))</f>
        <v>#VALUE!</v>
      </c>
      <c r="I1467" s="17" t="e">
        <f t="shared" si="78"/>
        <v>#VALUE!</v>
      </c>
    </row>
    <row r="1468" spans="1:9">
      <c r="A1468" s="4" t="s">
        <v>772</v>
      </c>
      <c r="B1468" s="4">
        <v>47</v>
      </c>
      <c r="C1468" s="4" t="s">
        <v>73</v>
      </c>
      <c r="D1468" s="4" t="s">
        <v>72</v>
      </c>
      <c r="E1468" s="4" t="s">
        <v>788</v>
      </c>
      <c r="F1468" s="4" t="str">
        <f t="shared" si="77"/>
        <v>47|A|U</v>
      </c>
      <c r="G1468" s="14">
        <f>INDEX('Transition Stepwise'!$J$2:$J$1137,MATCH(F1468,'Transition Stepwise'!$E$2:$E$1137,0))</f>
        <v>0.16666666666666666</v>
      </c>
      <c r="H1468" s="14" t="e">
        <f>INDEX(Background!$D$12:$D$27,MATCH(C1468&amp;D1468,INDEX(Background!$A$12:$A$27,0)&amp;INDEX(Background!$B$12:$B$27,0),0))</f>
        <v>#VALUE!</v>
      </c>
      <c r="I1468" s="17" t="e">
        <f t="shared" si="78"/>
        <v>#VALUE!</v>
      </c>
    </row>
    <row r="1469" spans="1:9">
      <c r="A1469" s="4" t="s">
        <v>772</v>
      </c>
      <c r="B1469" s="4">
        <v>48</v>
      </c>
      <c r="C1469" s="4" t="s">
        <v>72</v>
      </c>
      <c r="D1469" s="4" t="s">
        <v>71</v>
      </c>
      <c r="E1469" s="4" t="s">
        <v>788</v>
      </c>
      <c r="F1469" s="4" t="str">
        <f t="shared" si="77"/>
        <v>48|U|C</v>
      </c>
      <c r="G1469" s="14">
        <f>INDEX('Transition Stepwise'!$J$2:$J$1137,MATCH(F1469,'Transition Stepwise'!$E$2:$E$1137,0))</f>
        <v>0.15151515151515152</v>
      </c>
      <c r="H1469" s="14" t="e">
        <f>INDEX(Background!$D$12:$D$27,MATCH(C1469&amp;D1469,INDEX(Background!$A$12:$A$27,0)&amp;INDEX(Background!$B$12:$B$27,0),0))</f>
        <v>#VALUE!</v>
      </c>
      <c r="I1469" s="17" t="e">
        <f t="shared" si="78"/>
        <v>#VALUE!</v>
      </c>
    </row>
    <row r="1470" spans="1:9">
      <c r="A1470" s="4" t="s">
        <v>772</v>
      </c>
      <c r="B1470" s="4">
        <v>49</v>
      </c>
      <c r="C1470" s="4" t="s">
        <v>71</v>
      </c>
      <c r="D1470" s="4" t="s">
        <v>72</v>
      </c>
      <c r="E1470" s="4" t="s">
        <v>788</v>
      </c>
      <c r="F1470" s="4" t="str">
        <f t="shared" si="77"/>
        <v>49|C|U</v>
      </c>
      <c r="G1470" s="14">
        <f>INDEX('Transition Stepwise'!$J$2:$J$1137,MATCH(F1470,'Transition Stepwise'!$E$2:$E$1137,0))</f>
        <v>0.14754098360655737</v>
      </c>
      <c r="H1470" s="14" t="e">
        <f>INDEX(Background!$D$12:$D$27,MATCH(C1470&amp;D1470,INDEX(Background!$A$12:$A$27,0)&amp;INDEX(Background!$B$12:$B$27,0),0))</f>
        <v>#VALUE!</v>
      </c>
      <c r="I1470" s="17" t="e">
        <f t="shared" si="78"/>
        <v>#VALUE!</v>
      </c>
    </row>
    <row r="1471" spans="1:9">
      <c r="A1471" s="4" t="s">
        <v>772</v>
      </c>
      <c r="B1471" s="4">
        <v>50</v>
      </c>
      <c r="C1471" s="4" t="s">
        <v>72</v>
      </c>
      <c r="D1471" s="4" t="s">
        <v>72</v>
      </c>
      <c r="E1471" s="4" t="s">
        <v>788</v>
      </c>
      <c r="F1471" s="4" t="str">
        <f t="shared" si="77"/>
        <v>50|U|U</v>
      </c>
      <c r="G1471" s="14">
        <f>INDEX('Transition Stepwise'!$J$2:$J$1137,MATCH(F1471,'Transition Stepwise'!$E$2:$E$1137,0))</f>
        <v>0.15</v>
      </c>
      <c r="H1471" s="14" t="e">
        <f>INDEX(Background!$D$12:$D$27,MATCH(C1471&amp;D1471,INDEX(Background!$A$12:$A$27,0)&amp;INDEX(Background!$B$12:$B$27,0),0))</f>
        <v>#VALUE!</v>
      </c>
      <c r="I1471" s="17" t="e">
        <f t="shared" si="78"/>
        <v>#VALUE!</v>
      </c>
    </row>
    <row r="1472" spans="1:9">
      <c r="A1472" s="4" t="s">
        <v>772</v>
      </c>
      <c r="B1472" s="4">
        <v>51</v>
      </c>
      <c r="C1472" s="4" t="s">
        <v>72</v>
      </c>
      <c r="D1472" s="4" t="s">
        <v>72</v>
      </c>
      <c r="E1472" s="4" t="s">
        <v>788</v>
      </c>
      <c r="F1472" s="4" t="str">
        <f t="shared" si="77"/>
        <v>51|U|U</v>
      </c>
      <c r="G1472" s="14">
        <f>INDEX('Transition Stepwise'!$J$2:$J$1137,MATCH(F1472,'Transition Stepwise'!$E$2:$E$1137,0))</f>
        <v>5.7142857142857141E-2</v>
      </c>
      <c r="H1472" s="14" t="e">
        <f>INDEX(Background!$D$12:$D$27,MATCH(C1472&amp;D1472,INDEX(Background!$A$12:$A$27,0)&amp;INDEX(Background!$B$12:$B$27,0),0))</f>
        <v>#VALUE!</v>
      </c>
      <c r="I1472" s="17" t="e">
        <f t="shared" si="78"/>
        <v>#VALUE!</v>
      </c>
    </row>
    <row r="1473" spans="1:9">
      <c r="A1473" s="4" t="s">
        <v>772</v>
      </c>
      <c r="B1473" s="4">
        <v>52</v>
      </c>
      <c r="C1473" s="4" t="s">
        <v>72</v>
      </c>
      <c r="D1473" s="4" t="s">
        <v>70</v>
      </c>
      <c r="E1473" s="4" t="s">
        <v>788</v>
      </c>
      <c r="F1473" s="4" t="str">
        <f t="shared" si="77"/>
        <v>52|U|G</v>
      </c>
      <c r="G1473" s="14">
        <f>INDEX('Transition Stepwise'!$J$2:$J$1137,MATCH(F1473,'Transition Stepwise'!$E$2:$E$1137,0))</f>
        <v>0.5</v>
      </c>
      <c r="H1473" s="14" t="e">
        <f>INDEX(Background!$D$12:$D$27,MATCH(C1473&amp;D1473,INDEX(Background!$A$12:$A$27,0)&amp;INDEX(Background!$B$12:$B$27,0),0))</f>
        <v>#VALUE!</v>
      </c>
      <c r="I1473" s="17" t="e">
        <f t="shared" si="78"/>
        <v>#VALUE!</v>
      </c>
    </row>
    <row r="1474" spans="1:9">
      <c r="A1474" s="4" t="s">
        <v>772</v>
      </c>
      <c r="B1474" s="4">
        <v>53</v>
      </c>
      <c r="C1474" s="4" t="s">
        <v>70</v>
      </c>
      <c r="D1474" s="4" t="s">
        <v>72</v>
      </c>
      <c r="E1474" s="4" t="s">
        <v>788</v>
      </c>
      <c r="F1474" s="4" t="str">
        <f t="shared" si="77"/>
        <v>53|G|U</v>
      </c>
      <c r="G1474" s="14">
        <f>INDEX('Transition Stepwise'!$J$2:$J$1137,MATCH(F1474,'Transition Stepwise'!$E$2:$E$1137,0))</f>
        <v>0.97499999999999998</v>
      </c>
      <c r="H1474" s="14" t="e">
        <f>INDEX(Background!$D$12:$D$27,MATCH(C1474&amp;D1474,INDEX(Background!$A$12:$A$27,0)&amp;INDEX(Background!$B$12:$B$27,0),0))</f>
        <v>#VALUE!</v>
      </c>
      <c r="I1474" s="17" t="e">
        <f t="shared" si="78"/>
        <v>#VALUE!</v>
      </c>
    </row>
    <row r="1475" spans="1:9">
      <c r="A1475" s="4" t="s">
        <v>772</v>
      </c>
      <c r="B1475" s="4">
        <v>54</v>
      </c>
      <c r="C1475" s="4" t="s">
        <v>72</v>
      </c>
      <c r="D1475" s="4" t="s">
        <v>71</v>
      </c>
      <c r="E1475" s="4" t="s">
        <v>788</v>
      </c>
      <c r="F1475" s="4" t="str">
        <f t="shared" si="77"/>
        <v>54|U|C</v>
      </c>
      <c r="G1475" s="14">
        <f>INDEX('Transition Stepwise'!$J$2:$J$1137,MATCH(F1475,'Transition Stepwise'!$E$2:$E$1137,0))</f>
        <v>9.9009900990099011E-3</v>
      </c>
      <c r="H1475" s="14" t="e">
        <f>INDEX(Background!$D$12:$D$27,MATCH(C1475&amp;D1475,INDEX(Background!$A$12:$A$27,0)&amp;INDEX(Background!$B$12:$B$27,0),0))</f>
        <v>#VALUE!</v>
      </c>
      <c r="I1475" s="17" t="e">
        <f t="shared" si="78"/>
        <v>#VALUE!</v>
      </c>
    </row>
    <row r="1476" spans="1:9">
      <c r="A1476" s="4" t="s">
        <v>772</v>
      </c>
      <c r="B1476" s="4">
        <v>55</v>
      </c>
      <c r="C1476" s="4" t="s">
        <v>71</v>
      </c>
      <c r="D1476" s="4" t="s">
        <v>71</v>
      </c>
      <c r="E1476" s="4" t="s">
        <v>788</v>
      </c>
      <c r="F1476" s="4" t="str">
        <f t="shared" si="77"/>
        <v>55|C|C</v>
      </c>
      <c r="G1476" s="14">
        <f>INDEX('Transition Stepwise'!$J$2:$J$1137,MATCH(F1476,'Transition Stepwise'!$E$2:$E$1137,0))</f>
        <v>0.2</v>
      </c>
      <c r="H1476" s="14" t="e">
        <f>INDEX(Background!$D$12:$D$27,MATCH(C1476&amp;D1476,INDEX(Background!$A$12:$A$27,0)&amp;INDEX(Background!$B$12:$B$27,0),0))</f>
        <v>#VALUE!</v>
      </c>
      <c r="I1476" s="17" t="e">
        <f t="shared" si="78"/>
        <v>#VALUE!</v>
      </c>
    </row>
    <row r="1477" spans="1:9">
      <c r="A1477" s="4" t="s">
        <v>772</v>
      </c>
      <c r="B1477" s="4">
        <v>56</v>
      </c>
      <c r="C1477" s="4" t="s">
        <v>71</v>
      </c>
      <c r="D1477" s="4" t="s">
        <v>70</v>
      </c>
      <c r="E1477" s="4" t="s">
        <v>788</v>
      </c>
      <c r="F1477" s="4" t="str">
        <f t="shared" si="77"/>
        <v>56|C|G</v>
      </c>
      <c r="G1477" s="14">
        <f>INDEX('Transition Stepwise'!$J$2:$J$1137,MATCH(F1477,'Transition Stepwise'!$E$2:$E$1137,0))</f>
        <v>0.60499999999999998</v>
      </c>
      <c r="H1477" s="14" t="e">
        <f>INDEX(Background!$D$12:$D$27,MATCH(C1477&amp;D1477,INDEX(Background!$A$12:$A$27,0)&amp;INDEX(Background!$B$12:$B$27,0),0))</f>
        <v>#VALUE!</v>
      </c>
      <c r="I1477" s="17" t="e">
        <f t="shared" si="78"/>
        <v>#VALUE!</v>
      </c>
    </row>
    <row r="1478" spans="1:9">
      <c r="A1478" s="4" t="s">
        <v>772</v>
      </c>
      <c r="B1478" s="4">
        <v>57</v>
      </c>
      <c r="C1478" s="4" t="s">
        <v>70</v>
      </c>
      <c r="D1478" s="4" t="s">
        <v>73</v>
      </c>
      <c r="E1478" s="4" t="s">
        <v>788</v>
      </c>
      <c r="F1478" s="4" t="str">
        <f t="shared" si="77"/>
        <v>57|G|A</v>
      </c>
      <c r="G1478" s="14">
        <f>INDEX('Transition Stepwise'!$J$2:$J$1137,MATCH(F1478,'Transition Stepwise'!$E$2:$E$1137,0))</f>
        <v>0.97599999999999998</v>
      </c>
      <c r="H1478" s="14" t="e">
        <f>INDEX(Background!$D$12:$D$27,MATCH(C1478&amp;D1478,INDEX(Background!$A$12:$A$27,0)&amp;INDEX(Background!$B$12:$B$27,0),0))</f>
        <v>#VALUE!</v>
      </c>
      <c r="I1478" s="17" t="e">
        <f t="shared" si="78"/>
        <v>#VALUE!</v>
      </c>
    </row>
    <row r="1479" spans="1:9">
      <c r="A1479" s="4" t="s">
        <v>772</v>
      </c>
      <c r="B1479" s="4">
        <v>58</v>
      </c>
      <c r="C1479" s="4" t="s">
        <v>73</v>
      </c>
      <c r="D1479" s="4" t="s">
        <v>72</v>
      </c>
      <c r="E1479" s="4" t="s">
        <v>788</v>
      </c>
      <c r="F1479" s="4" t="str">
        <f t="shared" si="77"/>
        <v>58|A|U</v>
      </c>
      <c r="G1479" s="14">
        <f>INDEX('Transition Stepwise'!$J$2:$J$1137,MATCH(F1479,'Transition Stepwise'!$E$2:$E$1137,0))</f>
        <v>0.25247524752475248</v>
      </c>
      <c r="H1479" s="14" t="e">
        <f>INDEX(Background!$D$12:$D$27,MATCH(C1479&amp;D1479,INDEX(Background!$A$12:$A$27,0)&amp;INDEX(Background!$B$12:$B$27,0),0))</f>
        <v>#VALUE!</v>
      </c>
      <c r="I1479" s="17" t="e">
        <f t="shared" si="78"/>
        <v>#VALUE!</v>
      </c>
    </row>
    <row r="1480" spans="1:9">
      <c r="A1480" s="4" t="s">
        <v>772</v>
      </c>
      <c r="B1480" s="4">
        <v>59</v>
      </c>
      <c r="C1480" s="4" t="s">
        <v>72</v>
      </c>
      <c r="D1480" s="4" t="s">
        <v>71</v>
      </c>
      <c r="E1480" s="4" t="s">
        <v>788</v>
      </c>
      <c r="F1480" s="4" t="str">
        <f t="shared" si="77"/>
        <v>59|U|C</v>
      </c>
      <c r="G1480" s="14">
        <f>INDEX('Transition Stepwise'!$J$2:$J$1137,MATCH(F1480,'Transition Stepwise'!$E$2:$E$1137,0))</f>
        <v>0.42592592592592593</v>
      </c>
      <c r="H1480" s="14" t="e">
        <f>INDEX(Background!$D$12:$D$27,MATCH(C1480&amp;D1480,INDEX(Background!$A$12:$A$27,0)&amp;INDEX(Background!$B$12:$B$27,0),0))</f>
        <v>#VALUE!</v>
      </c>
      <c r="I1480" s="17" t="e">
        <f t="shared" si="78"/>
        <v>#VALUE!</v>
      </c>
    </row>
    <row r="1481" spans="1:9">
      <c r="A1481" s="4" t="s">
        <v>772</v>
      </c>
      <c r="B1481" s="4">
        <v>60</v>
      </c>
      <c r="C1481" s="4" t="s">
        <v>71</v>
      </c>
      <c r="D1481" s="4" t="s">
        <v>71</v>
      </c>
      <c r="E1481" s="4" t="s">
        <v>788</v>
      </c>
      <c r="F1481" s="4" t="str">
        <f t="shared" si="77"/>
        <v>60|C|C</v>
      </c>
      <c r="G1481" s="14">
        <f>INDEX('Transition Stepwise'!$J$2:$J$1137,MATCH(F1481,'Transition Stepwise'!$E$2:$E$1137,0))</f>
        <v>0.93181818181818177</v>
      </c>
      <c r="H1481" s="14" t="e">
        <f>INDEX(Background!$D$12:$D$27,MATCH(C1481&amp;D1481,INDEX(Background!$A$12:$A$27,0)&amp;INDEX(Background!$B$12:$B$27,0),0))</f>
        <v>#VALUE!</v>
      </c>
      <c r="I1481" s="17" t="e">
        <f t="shared" si="78"/>
        <v>#VALUE!</v>
      </c>
    </row>
    <row r="1482" spans="1:9">
      <c r="A1482" s="4" t="s">
        <v>772</v>
      </c>
      <c r="B1482" s="4">
        <v>61</v>
      </c>
      <c r="C1482" s="4" t="s">
        <v>71</v>
      </c>
      <c r="D1482" s="4" t="s">
        <v>71</v>
      </c>
      <c r="E1482" s="4" t="s">
        <v>788</v>
      </c>
      <c r="F1482" s="4" t="str">
        <f t="shared" si="77"/>
        <v>61|C|C</v>
      </c>
      <c r="G1482" s="14">
        <f>INDEX('Transition Stepwise'!$J$2:$J$1137,MATCH(F1482,'Transition Stepwise'!$E$2:$E$1137,0))</f>
        <v>0.8366336633663366</v>
      </c>
      <c r="H1482" s="14" t="e">
        <f>INDEX(Background!$D$12:$D$27,MATCH(C1482&amp;D1482,INDEX(Background!$A$12:$A$27,0)&amp;INDEX(Background!$B$12:$B$27,0),0))</f>
        <v>#VALUE!</v>
      </c>
      <c r="I1482" s="17" t="e">
        <f t="shared" si="78"/>
        <v>#VALUE!</v>
      </c>
    </row>
    <row r="1483" spans="1:9">
      <c r="A1483" s="4" t="s">
        <v>772</v>
      </c>
      <c r="B1483" s="4">
        <v>62</v>
      </c>
      <c r="C1483" s="4" t="s">
        <v>71</v>
      </c>
      <c r="D1483" s="4" t="s">
        <v>73</v>
      </c>
      <c r="E1483" s="4" t="s">
        <v>788</v>
      </c>
      <c r="F1483" s="4" t="str">
        <f t="shared" si="77"/>
        <v>62|C|A</v>
      </c>
      <c r="G1483" s="14">
        <f>INDEX('Transition Stepwise'!$J$2:$J$1137,MATCH(F1483,'Transition Stepwise'!$E$2:$E$1137,0))</f>
        <v>0.12716763005780346</v>
      </c>
      <c r="H1483" s="14" t="e">
        <f>INDEX(Background!$D$12:$D$27,MATCH(C1483&amp;D1483,INDEX(Background!$A$12:$A$27,0)&amp;INDEX(Background!$B$12:$B$27,0),0))</f>
        <v>#VALUE!</v>
      </c>
      <c r="I1483" s="17" t="e">
        <f t="shared" si="78"/>
        <v>#VALUE!</v>
      </c>
    </row>
    <row r="1484" spans="1:9">
      <c r="A1484" s="4" t="s">
        <v>772</v>
      </c>
      <c r="B1484" s="4">
        <v>63</v>
      </c>
      <c r="C1484" s="4" t="s">
        <v>73</v>
      </c>
      <c r="D1484" s="4" t="s">
        <v>70</v>
      </c>
      <c r="E1484" s="4" t="s">
        <v>788</v>
      </c>
      <c r="F1484" s="4" t="str">
        <f t="shared" si="77"/>
        <v>63|A|G</v>
      </c>
      <c r="G1484" s="14">
        <f>INDEX('Transition Stepwise'!$J$2:$J$1137,MATCH(F1484,'Transition Stepwise'!$E$2:$E$1137,0))</f>
        <v>0.37037037037037035</v>
      </c>
      <c r="H1484" s="14" t="e">
        <f>INDEX(Background!$D$12:$D$27,MATCH(C1484&amp;D1484,INDEX(Background!$A$12:$A$27,0)&amp;INDEX(Background!$B$12:$B$27,0),0))</f>
        <v>#VALUE!</v>
      </c>
      <c r="I1484" s="17" t="e">
        <f t="shared" si="78"/>
        <v>#VALUE!</v>
      </c>
    </row>
    <row r="1485" spans="1:9">
      <c r="A1485" s="4" t="s">
        <v>772</v>
      </c>
      <c r="B1485" s="4">
        <v>64</v>
      </c>
      <c r="C1485" s="4" t="s">
        <v>70</v>
      </c>
      <c r="D1485" s="4" t="s">
        <v>70</v>
      </c>
      <c r="E1485" s="4" t="s">
        <v>788</v>
      </c>
      <c r="F1485" s="4" t="str">
        <f t="shared" si="77"/>
        <v>64|G|G</v>
      </c>
      <c r="G1485" s="14">
        <f>INDEX('Transition Stepwise'!$J$2:$J$1137,MATCH(F1485,'Transition Stepwise'!$E$2:$E$1137,0))</f>
        <v>0.39583333333333331</v>
      </c>
      <c r="H1485" s="14" t="e">
        <f>INDEX(Background!$D$12:$D$27,MATCH(C1485&amp;D1485,INDEX(Background!$A$12:$A$27,0)&amp;INDEX(Background!$B$12:$B$27,0),0))</f>
        <v>#VALUE!</v>
      </c>
      <c r="I1485" s="17" t="e">
        <f t="shared" si="78"/>
        <v>#VALUE!</v>
      </c>
    </row>
    <row r="1486" spans="1:9">
      <c r="A1486" s="4" t="s">
        <v>772</v>
      </c>
      <c r="B1486" s="4">
        <v>65</v>
      </c>
      <c r="C1486" s="4" t="s">
        <v>70</v>
      </c>
      <c r="D1486" s="4" t="s">
        <v>72</v>
      </c>
      <c r="E1486" s="4" t="s">
        <v>788</v>
      </c>
      <c r="F1486" s="4" t="str">
        <f t="shared" si="77"/>
        <v>65|G|U</v>
      </c>
      <c r="G1486" s="14">
        <f>INDEX('Transition Stepwise'!$J$2:$J$1137,MATCH(F1486,'Transition Stepwise'!$E$2:$E$1137,0))</f>
        <v>0.29508196721311475</v>
      </c>
      <c r="H1486" s="14" t="e">
        <f>INDEX(Background!$D$12:$D$27,MATCH(C1486&amp;D1486,INDEX(Background!$A$12:$A$27,0)&amp;INDEX(Background!$B$12:$B$27,0),0))</f>
        <v>#VALUE!</v>
      </c>
      <c r="I1486" s="17" t="e">
        <f t="shared" si="78"/>
        <v>#VALUE!</v>
      </c>
    </row>
    <row r="1487" spans="1:9">
      <c r="A1487" s="4" t="s">
        <v>772</v>
      </c>
      <c r="B1487" s="4">
        <v>66</v>
      </c>
      <c r="C1487" s="4" t="s">
        <v>72</v>
      </c>
      <c r="D1487" s="4" t="s">
        <v>72</v>
      </c>
      <c r="E1487" s="4" t="s">
        <v>788</v>
      </c>
      <c r="F1487" s="4" t="str">
        <f t="shared" si="77"/>
        <v>66|U|U</v>
      </c>
      <c r="G1487" s="14">
        <f>INDEX('Transition Stepwise'!$J$2:$J$1137,MATCH(F1487,'Transition Stepwise'!$E$2:$E$1137,0))</f>
        <v>0.22222222222222221</v>
      </c>
      <c r="H1487" s="14" t="e">
        <f>INDEX(Background!$D$12:$D$27,MATCH(C1487&amp;D1487,INDEX(Background!$A$12:$A$27,0)&amp;INDEX(Background!$B$12:$B$27,0),0))</f>
        <v>#VALUE!</v>
      </c>
      <c r="I1487" s="17" t="e">
        <f t="shared" si="78"/>
        <v>#VALUE!</v>
      </c>
    </row>
    <row r="1488" spans="1:9">
      <c r="A1488" s="4" t="s">
        <v>772</v>
      </c>
      <c r="B1488" s="4">
        <v>67</v>
      </c>
      <c r="C1488" s="4" t="s">
        <v>72</v>
      </c>
      <c r="D1488" s="4" t="s">
        <v>72</v>
      </c>
      <c r="E1488" s="4" t="s">
        <v>788</v>
      </c>
      <c r="F1488" s="4" t="str">
        <f t="shared" si="77"/>
        <v>67|U|U</v>
      </c>
      <c r="G1488" s="14">
        <f>INDEX('Transition Stepwise'!$J$2:$J$1137,MATCH(F1488,'Transition Stepwise'!$E$2:$E$1137,0))</f>
        <v>0.23809523809523808</v>
      </c>
      <c r="H1488" s="14" t="e">
        <f>INDEX(Background!$D$12:$D$27,MATCH(C1488&amp;D1488,INDEX(Background!$A$12:$A$27,0)&amp;INDEX(Background!$B$12:$B$27,0),0))</f>
        <v>#VALUE!</v>
      </c>
      <c r="I1488" s="17" t="e">
        <f t="shared" si="78"/>
        <v>#VALUE!</v>
      </c>
    </row>
    <row r="1489" spans="1:9">
      <c r="A1489" s="4" t="s">
        <v>772</v>
      </c>
      <c r="B1489" s="4">
        <v>68</v>
      </c>
      <c r="C1489" s="4" t="s">
        <v>72</v>
      </c>
      <c r="D1489" s="4" t="s">
        <v>72</v>
      </c>
      <c r="E1489" s="4" t="s">
        <v>788</v>
      </c>
      <c r="F1489" s="4" t="str">
        <f t="shared" si="77"/>
        <v>68|U|U</v>
      </c>
      <c r="G1489" s="14">
        <f>INDEX('Transition Stepwise'!$J$2:$J$1137,MATCH(F1489,'Transition Stepwise'!$E$2:$E$1137,0))</f>
        <v>0.17499999999999999</v>
      </c>
      <c r="H1489" s="14" t="e">
        <f>INDEX(Background!$D$12:$D$27,MATCH(C1489&amp;D1489,INDEX(Background!$A$12:$A$27,0)&amp;INDEX(Background!$B$12:$B$27,0),0))</f>
        <v>#VALUE!</v>
      </c>
      <c r="I1489" s="17" t="e">
        <f t="shared" si="78"/>
        <v>#VALUE!</v>
      </c>
    </row>
    <row r="1490" spans="1:9">
      <c r="A1490" s="4" t="s">
        <v>772</v>
      </c>
      <c r="B1490" s="4">
        <v>69</v>
      </c>
      <c r="C1490" s="4" t="s">
        <v>72</v>
      </c>
      <c r="D1490" s="4" t="s">
        <v>70</v>
      </c>
      <c r="E1490" s="4" t="s">
        <v>788</v>
      </c>
      <c r="F1490" s="4" t="str">
        <f t="shared" si="77"/>
        <v>69|U|G</v>
      </c>
      <c r="G1490" s="14">
        <f>INDEX('Transition Stepwise'!$J$2:$J$1137,MATCH(F1490,'Transition Stepwise'!$E$2:$E$1137,0))</f>
        <v>0.33333333333333331</v>
      </c>
      <c r="H1490" s="14" t="e">
        <f>INDEX(Background!$D$12:$D$27,MATCH(C1490&amp;D1490,INDEX(Background!$A$12:$A$27,0)&amp;INDEX(Background!$B$12:$B$27,0),0))</f>
        <v>#VALUE!</v>
      </c>
      <c r="I1490" s="17" t="e">
        <f t="shared" si="78"/>
        <v>#VALUE!</v>
      </c>
    </row>
    <row r="1491" spans="1:9">
      <c r="A1491" s="4" t="s">
        <v>772</v>
      </c>
      <c r="B1491" s="4">
        <v>70</v>
      </c>
      <c r="C1491" s="4" t="s">
        <v>70</v>
      </c>
      <c r="D1491" s="4" t="s">
        <v>72</v>
      </c>
      <c r="E1491" s="4" t="s">
        <v>788</v>
      </c>
      <c r="F1491" s="4" t="str">
        <f t="shared" si="77"/>
        <v>70|G|U</v>
      </c>
      <c r="G1491" s="14">
        <f>INDEX('Transition Stepwise'!$J$2:$J$1137,MATCH(F1491,'Transition Stepwise'!$E$2:$E$1137,0))</f>
        <v>8.8607594936708861E-2</v>
      </c>
      <c r="H1491" s="14" t="e">
        <f>INDEX(Background!$D$12:$D$27,MATCH(C1491&amp;D1491,INDEX(Background!$A$12:$A$27,0)&amp;INDEX(Background!$B$12:$B$27,0),0))</f>
        <v>#VALUE!</v>
      </c>
      <c r="I1491" s="17" t="e">
        <f t="shared" si="78"/>
        <v>#VALUE!</v>
      </c>
    </row>
    <row r="1492" spans="1:9">
      <c r="A1492" s="4" t="s">
        <v>772</v>
      </c>
      <c r="B1492" s="4">
        <v>71</v>
      </c>
      <c r="C1492" s="4" t="s">
        <v>72</v>
      </c>
      <c r="D1492" s="4" t="s">
        <v>72</v>
      </c>
      <c r="E1492" s="4" t="s">
        <v>788</v>
      </c>
      <c r="F1492" s="4" t="str">
        <f t="shared" si="77"/>
        <v>71|U|U</v>
      </c>
      <c r="G1492" s="14">
        <f>INDEX('Transition Stepwise'!$J$2:$J$1137,MATCH(F1492,'Transition Stepwise'!$E$2:$E$1137,0))</f>
        <v>7.6923076923076927E-2</v>
      </c>
      <c r="H1492" s="14" t="e">
        <f>INDEX(Background!$D$12:$D$27,MATCH(C1492&amp;D1492,INDEX(Background!$A$12:$A$27,0)&amp;INDEX(Background!$B$12:$B$27,0),0))</f>
        <v>#VALUE!</v>
      </c>
      <c r="I1492" s="17" t="e">
        <f t="shared" si="78"/>
        <v>#VALUE!</v>
      </c>
    </row>
    <row r="1493" spans="1:9">
      <c r="A1493" s="4" t="s">
        <v>773</v>
      </c>
      <c r="B1493" s="4">
        <v>1</v>
      </c>
      <c r="C1493" s="4" t="s">
        <v>73</v>
      </c>
      <c r="D1493" s="4" t="s">
        <v>73</v>
      </c>
      <c r="E1493" s="4" t="s">
        <v>788</v>
      </c>
      <c r="F1493" s="4" t="str">
        <f t="shared" si="77"/>
        <v>1|A|A</v>
      </c>
      <c r="G1493" s="14">
        <f>INDEX('Transition Stepwise'!$J$2:$J$1137,MATCH(F1493,'Transition Stepwise'!$E$2:$E$1137,0))</f>
        <v>5.8823529411764705E-2</v>
      </c>
      <c r="H1493" s="14" t="e">
        <f>INDEX(Background!$D$12:$D$27,MATCH(C1493&amp;D1493,INDEX(Background!$A$12:$A$27,0)&amp;INDEX(Background!$B$12:$B$27,0),0))</f>
        <v>#VALUE!</v>
      </c>
      <c r="I1493" s="17" t="e">
        <f t="shared" si="78"/>
        <v>#VALUE!</v>
      </c>
    </row>
    <row r="1494" spans="1:9">
      <c r="A1494" s="4" t="s">
        <v>773</v>
      </c>
      <c r="B1494" s="4">
        <v>2</v>
      </c>
      <c r="C1494" s="4" t="s">
        <v>73</v>
      </c>
      <c r="D1494" s="4" t="s">
        <v>72</v>
      </c>
      <c r="E1494" s="4" t="s">
        <v>788</v>
      </c>
      <c r="F1494" s="4" t="str">
        <f t="shared" si="77"/>
        <v>2|A|U</v>
      </c>
      <c r="G1494" s="14">
        <f>INDEX('Transition Stepwise'!$J$2:$J$1137,MATCH(F1494,'Transition Stepwise'!$E$2:$E$1137,0))</f>
        <v>0.1</v>
      </c>
      <c r="H1494" s="14" t="e">
        <f>INDEX(Background!$D$12:$D$27,MATCH(C1494&amp;D1494,INDEX(Background!$A$12:$A$27,0)&amp;INDEX(Background!$B$12:$B$27,0),0))</f>
        <v>#VALUE!</v>
      </c>
      <c r="I1494" s="17" t="e">
        <f t="shared" si="78"/>
        <v>#VALUE!</v>
      </c>
    </row>
    <row r="1495" spans="1:9">
      <c r="A1495" s="4" t="s">
        <v>773</v>
      </c>
      <c r="B1495" s="4">
        <v>3</v>
      </c>
      <c r="C1495" s="4" t="s">
        <v>72</v>
      </c>
      <c r="D1495" s="4" t="s">
        <v>72</v>
      </c>
      <c r="E1495" s="4" t="s">
        <v>788</v>
      </c>
      <c r="F1495" s="4" t="str">
        <f t="shared" si="77"/>
        <v>3|U|U</v>
      </c>
      <c r="G1495" s="14">
        <f>INDEX('Transition Stepwise'!$J$2:$J$1137,MATCH(F1495,'Transition Stepwise'!$E$2:$E$1137,0))</f>
        <v>0.25925925925925924</v>
      </c>
      <c r="H1495" s="14" t="e">
        <f>INDEX(Background!$D$12:$D$27,MATCH(C1495&amp;D1495,INDEX(Background!$A$12:$A$27,0)&amp;INDEX(Background!$B$12:$B$27,0),0))</f>
        <v>#VALUE!</v>
      </c>
      <c r="I1495" s="17" t="e">
        <f t="shared" si="78"/>
        <v>#VALUE!</v>
      </c>
    </row>
    <row r="1496" spans="1:9">
      <c r="A1496" s="4" t="s">
        <v>773</v>
      </c>
      <c r="B1496" s="4">
        <v>4</v>
      </c>
      <c r="C1496" s="4" t="s">
        <v>72</v>
      </c>
      <c r="D1496" s="4" t="s">
        <v>71</v>
      </c>
      <c r="E1496" s="4" t="s">
        <v>788</v>
      </c>
      <c r="F1496" s="4" t="str">
        <f t="shared" si="77"/>
        <v>4|U|C</v>
      </c>
      <c r="G1496" s="14">
        <f>INDEX('Transition Stepwise'!$J$2:$J$1137,MATCH(F1496,'Transition Stepwise'!$E$2:$E$1137,0))</f>
        <v>0.5</v>
      </c>
      <c r="H1496" s="14" t="e">
        <f>INDEX(Background!$D$12:$D$27,MATCH(C1496&amp;D1496,INDEX(Background!$A$12:$A$27,0)&amp;INDEX(Background!$B$12:$B$27,0),0))</f>
        <v>#VALUE!</v>
      </c>
      <c r="I1496" s="17" t="e">
        <f t="shared" si="78"/>
        <v>#VALUE!</v>
      </c>
    </row>
    <row r="1497" spans="1:9">
      <c r="A1497" s="4" t="s">
        <v>773</v>
      </c>
      <c r="B1497" s="4">
        <v>5</v>
      </c>
      <c r="C1497" s="4" t="s">
        <v>71</v>
      </c>
      <c r="D1497" s="4" t="s">
        <v>73</v>
      </c>
      <c r="E1497" s="4" t="s">
        <v>788</v>
      </c>
      <c r="F1497" s="4" t="str">
        <f t="shared" si="77"/>
        <v>5|C|A</v>
      </c>
      <c r="G1497" s="14">
        <f>INDEX('Transition Stepwise'!$J$2:$J$1137,MATCH(F1497,'Transition Stepwise'!$E$2:$E$1137,0))</f>
        <v>0.15662650602409639</v>
      </c>
      <c r="H1497" s="14" t="e">
        <f>INDEX(Background!$D$12:$D$27,MATCH(C1497&amp;D1497,INDEX(Background!$A$12:$A$27,0)&amp;INDEX(Background!$B$12:$B$27,0),0))</f>
        <v>#VALUE!</v>
      </c>
      <c r="I1497" s="17" t="e">
        <f t="shared" si="78"/>
        <v>#VALUE!</v>
      </c>
    </row>
    <row r="1498" spans="1:9">
      <c r="A1498" s="4" t="s">
        <v>773</v>
      </c>
      <c r="B1498" s="4">
        <v>6</v>
      </c>
      <c r="C1498" s="4" t="s">
        <v>73</v>
      </c>
      <c r="D1498" s="4" t="s">
        <v>72</v>
      </c>
      <c r="E1498" s="4" t="s">
        <v>788</v>
      </c>
      <c r="F1498" s="4" t="str">
        <f t="shared" si="77"/>
        <v>6|A|U</v>
      </c>
      <c r="G1498" s="14">
        <f>INDEX('Transition Stepwise'!$J$2:$J$1137,MATCH(F1498,'Transition Stepwise'!$E$2:$E$1137,0))</f>
        <v>0.28947368421052633</v>
      </c>
      <c r="H1498" s="14" t="e">
        <f>INDEX(Background!$D$12:$D$27,MATCH(C1498&amp;D1498,INDEX(Background!$A$12:$A$27,0)&amp;INDEX(Background!$B$12:$B$27,0),0))</f>
        <v>#VALUE!</v>
      </c>
      <c r="I1498" s="17" t="e">
        <f t="shared" si="78"/>
        <v>#VALUE!</v>
      </c>
    </row>
    <row r="1499" spans="1:9">
      <c r="A1499" s="4" t="s">
        <v>773</v>
      </c>
      <c r="B1499" s="4">
        <v>7</v>
      </c>
      <c r="C1499" s="4" t="s">
        <v>72</v>
      </c>
      <c r="D1499" s="4" t="s">
        <v>72</v>
      </c>
      <c r="E1499" s="4" t="s">
        <v>788</v>
      </c>
      <c r="F1499" s="4" t="str">
        <f t="shared" si="77"/>
        <v>7|U|U</v>
      </c>
      <c r="G1499" s="14">
        <f>INDEX('Transition Stepwise'!$J$2:$J$1137,MATCH(F1499,'Transition Stepwise'!$E$2:$E$1137,0))</f>
        <v>0.9375</v>
      </c>
      <c r="H1499" s="14" t="e">
        <f>INDEX(Background!$D$12:$D$27,MATCH(C1499&amp;D1499,INDEX(Background!$A$12:$A$27,0)&amp;INDEX(Background!$B$12:$B$27,0),0))</f>
        <v>#VALUE!</v>
      </c>
      <c r="I1499" s="17" t="e">
        <f t="shared" si="78"/>
        <v>#VALUE!</v>
      </c>
    </row>
    <row r="1500" spans="1:9">
      <c r="A1500" s="4" t="s">
        <v>773</v>
      </c>
      <c r="B1500" s="4">
        <v>8</v>
      </c>
      <c r="C1500" s="4" t="s">
        <v>72</v>
      </c>
      <c r="D1500" s="4" t="s">
        <v>72</v>
      </c>
      <c r="E1500" s="4" t="s">
        <v>788</v>
      </c>
      <c r="F1500" s="4" t="str">
        <f t="shared" si="77"/>
        <v>8|U|U</v>
      </c>
      <c r="G1500" s="14">
        <f>INDEX('Transition Stepwise'!$J$2:$J$1137,MATCH(F1500,'Transition Stepwise'!$E$2:$E$1137,0))</f>
        <v>4.9751243781094526E-3</v>
      </c>
      <c r="H1500" s="14" t="e">
        <f>INDEX(Background!$D$12:$D$27,MATCH(C1500&amp;D1500,INDEX(Background!$A$12:$A$27,0)&amp;INDEX(Background!$B$12:$B$27,0),0))</f>
        <v>#VALUE!</v>
      </c>
      <c r="I1500" s="17" t="e">
        <f t="shared" si="78"/>
        <v>#VALUE!</v>
      </c>
    </row>
    <row r="1501" spans="1:9">
      <c r="A1501" s="4" t="s">
        <v>773</v>
      </c>
      <c r="B1501" s="4">
        <v>9</v>
      </c>
      <c r="C1501" s="4" t="s">
        <v>72</v>
      </c>
      <c r="D1501" s="4" t="s">
        <v>73</v>
      </c>
      <c r="E1501" s="4" t="s">
        <v>788</v>
      </c>
      <c r="F1501" s="4" t="str">
        <f t="shared" si="77"/>
        <v>9|U|A</v>
      </c>
      <c r="G1501" s="14">
        <f>INDEX('Transition Stepwise'!$J$2:$J$1137,MATCH(F1501,'Transition Stepwise'!$E$2:$E$1137,0))</f>
        <v>0.25</v>
      </c>
      <c r="H1501" s="14" t="e">
        <f>INDEX(Background!$D$12:$D$27,MATCH(C1501&amp;D1501,INDEX(Background!$A$12:$A$27,0)&amp;INDEX(Background!$B$12:$B$27,0),0))</f>
        <v>#VALUE!</v>
      </c>
      <c r="I1501" s="17" t="e">
        <f t="shared" si="78"/>
        <v>#VALUE!</v>
      </c>
    </row>
    <row r="1502" spans="1:9">
      <c r="A1502" s="4" t="s">
        <v>773</v>
      </c>
      <c r="B1502" s="4">
        <v>10</v>
      </c>
      <c r="C1502" s="4" t="s">
        <v>73</v>
      </c>
      <c r="D1502" s="4" t="s">
        <v>73</v>
      </c>
      <c r="E1502" s="4" t="s">
        <v>788</v>
      </c>
      <c r="F1502" s="4" t="str">
        <f t="shared" si="77"/>
        <v>10|A|A</v>
      </c>
      <c r="G1502" s="14">
        <f>INDEX('Transition Stepwise'!$J$2:$J$1137,MATCH(F1502,'Transition Stepwise'!$E$2:$E$1137,0))</f>
        <v>0.25</v>
      </c>
      <c r="H1502" s="14" t="e">
        <f>INDEX(Background!$D$12:$D$27,MATCH(C1502&amp;D1502,INDEX(Background!$A$12:$A$27,0)&amp;INDEX(Background!$B$12:$B$27,0),0))</f>
        <v>#VALUE!</v>
      </c>
      <c r="I1502" s="17" t="e">
        <f t="shared" si="78"/>
        <v>#VALUE!</v>
      </c>
    </row>
    <row r="1503" spans="1:9">
      <c r="A1503" s="4" t="s">
        <v>773</v>
      </c>
      <c r="B1503" s="4">
        <v>11</v>
      </c>
      <c r="C1503" s="4" t="s">
        <v>73</v>
      </c>
      <c r="D1503" s="4" t="s">
        <v>72</v>
      </c>
      <c r="E1503" s="4" t="s">
        <v>788</v>
      </c>
      <c r="F1503" s="4" t="str">
        <f t="shared" si="77"/>
        <v>11|A|U</v>
      </c>
      <c r="G1503" s="14">
        <f>INDEX('Transition Stepwise'!$J$2:$J$1137,MATCH(F1503,'Transition Stepwise'!$E$2:$E$1137,0))</f>
        <v>0.36363636363636365</v>
      </c>
      <c r="H1503" s="14" t="e">
        <f>INDEX(Background!$D$12:$D$27,MATCH(C1503&amp;D1503,INDEX(Background!$A$12:$A$27,0)&amp;INDEX(Background!$B$12:$B$27,0),0))</f>
        <v>#VALUE!</v>
      </c>
      <c r="I1503" s="17" t="e">
        <f t="shared" si="78"/>
        <v>#VALUE!</v>
      </c>
    </row>
    <row r="1504" spans="1:9">
      <c r="A1504" s="4" t="s">
        <v>773</v>
      </c>
      <c r="B1504" s="4">
        <v>12</v>
      </c>
      <c r="C1504" s="4" t="s">
        <v>72</v>
      </c>
      <c r="D1504" s="4" t="s">
        <v>73</v>
      </c>
      <c r="E1504" s="4" t="s">
        <v>788</v>
      </c>
      <c r="F1504" s="4" t="str">
        <f t="shared" si="77"/>
        <v>12|U|A</v>
      </c>
      <c r="G1504" s="14">
        <f>INDEX('Transition Stepwise'!$J$2:$J$1137,MATCH(F1504,'Transition Stepwise'!$E$2:$E$1137,0))</f>
        <v>1.6129032258064516E-2</v>
      </c>
      <c r="H1504" s="14" t="e">
        <f>INDEX(Background!$D$12:$D$27,MATCH(C1504&amp;D1504,INDEX(Background!$A$12:$A$27,0)&amp;INDEX(Background!$B$12:$B$27,0),0))</f>
        <v>#VALUE!</v>
      </c>
      <c r="I1504" s="17" t="e">
        <f t="shared" si="78"/>
        <v>#VALUE!</v>
      </c>
    </row>
    <row r="1505" spans="1:9">
      <c r="A1505" s="4" t="s">
        <v>773</v>
      </c>
      <c r="B1505" s="4">
        <v>13</v>
      </c>
      <c r="C1505" s="4" t="s">
        <v>73</v>
      </c>
      <c r="D1505" s="4" t="s">
        <v>73</v>
      </c>
      <c r="E1505" s="4" t="s">
        <v>788</v>
      </c>
      <c r="F1505" s="4" t="str">
        <f t="shared" si="77"/>
        <v>13|A|A</v>
      </c>
      <c r="G1505" s="14">
        <f>INDEX('Transition Stepwise'!$J$2:$J$1137,MATCH(F1505,'Transition Stepwise'!$E$2:$E$1137,0))</f>
        <v>0.76470588235294112</v>
      </c>
      <c r="H1505" s="14" t="e">
        <f>INDEX(Background!$D$12:$D$27,MATCH(C1505&amp;D1505,INDEX(Background!$A$12:$A$27,0)&amp;INDEX(Background!$B$12:$B$27,0),0))</f>
        <v>#VALUE!</v>
      </c>
      <c r="I1505" s="17" t="e">
        <f t="shared" si="78"/>
        <v>#VALUE!</v>
      </c>
    </row>
    <row r="1506" spans="1:9">
      <c r="A1506" s="4" t="s">
        <v>773</v>
      </c>
      <c r="B1506" s="4">
        <v>14</v>
      </c>
      <c r="C1506" s="4" t="s">
        <v>73</v>
      </c>
      <c r="D1506" s="4" t="s">
        <v>72</v>
      </c>
      <c r="E1506" s="4" t="s">
        <v>788</v>
      </c>
      <c r="F1506" s="4" t="str">
        <f t="shared" si="77"/>
        <v>14|A|U</v>
      </c>
      <c r="G1506" s="14">
        <f>INDEX('Transition Stepwise'!$J$2:$J$1137,MATCH(F1506,'Transition Stepwise'!$E$2:$E$1137,0))</f>
        <v>1.4925373134328358E-2</v>
      </c>
      <c r="H1506" s="14" t="e">
        <f>INDEX(Background!$D$12:$D$27,MATCH(C1506&amp;D1506,INDEX(Background!$A$12:$A$27,0)&amp;INDEX(Background!$B$12:$B$27,0),0))</f>
        <v>#VALUE!</v>
      </c>
      <c r="I1506" s="17" t="e">
        <f t="shared" si="78"/>
        <v>#VALUE!</v>
      </c>
    </row>
    <row r="1507" spans="1:9">
      <c r="A1507" s="4" t="s">
        <v>773</v>
      </c>
      <c r="B1507" s="4">
        <v>15</v>
      </c>
      <c r="C1507" s="4" t="s">
        <v>72</v>
      </c>
      <c r="D1507" s="4" t="s">
        <v>73</v>
      </c>
      <c r="E1507" s="4" t="s">
        <v>788</v>
      </c>
      <c r="F1507" s="4" t="str">
        <f t="shared" si="77"/>
        <v>15|U|A</v>
      </c>
      <c r="G1507" s="14">
        <f>INDEX('Transition Stepwise'!$J$2:$J$1137,MATCH(F1507,'Transition Stepwise'!$E$2:$E$1137,0))</f>
        <v>0.2</v>
      </c>
      <c r="H1507" s="14" t="e">
        <f>INDEX(Background!$D$12:$D$27,MATCH(C1507&amp;D1507,INDEX(Background!$A$12:$A$27,0)&amp;INDEX(Background!$B$12:$B$27,0),0))</f>
        <v>#VALUE!</v>
      </c>
      <c r="I1507" s="17" t="e">
        <f t="shared" si="78"/>
        <v>#VALUE!</v>
      </c>
    </row>
    <row r="1508" spans="1:9">
      <c r="A1508" s="4" t="s">
        <v>773</v>
      </c>
      <c r="B1508" s="4">
        <v>16</v>
      </c>
      <c r="C1508" s="4" t="s">
        <v>73</v>
      </c>
      <c r="D1508" s="4" t="s">
        <v>73</v>
      </c>
      <c r="E1508" s="4" t="s">
        <v>788</v>
      </c>
      <c r="F1508" s="4" t="str">
        <f t="shared" si="77"/>
        <v>16|A|A</v>
      </c>
      <c r="G1508" s="14">
        <f>INDEX('Transition Stepwise'!$J$2:$J$1137,MATCH(F1508,'Transition Stepwise'!$E$2:$E$1137,0))</f>
        <v>0.14285714285714285</v>
      </c>
      <c r="H1508" s="14" t="e">
        <f>INDEX(Background!$D$12:$D$27,MATCH(C1508&amp;D1508,INDEX(Background!$A$12:$A$27,0)&amp;INDEX(Background!$B$12:$B$27,0),0))</f>
        <v>#VALUE!</v>
      </c>
      <c r="I1508" s="17" t="e">
        <f t="shared" si="78"/>
        <v>#VALUE!</v>
      </c>
    </row>
    <row r="1509" spans="1:9">
      <c r="A1509" s="4" t="s">
        <v>773</v>
      </c>
      <c r="B1509" s="4">
        <v>17</v>
      </c>
      <c r="C1509" s="4" t="s">
        <v>73</v>
      </c>
      <c r="D1509" s="4" t="s">
        <v>70</v>
      </c>
      <c r="E1509" s="4" t="s">
        <v>788</v>
      </c>
      <c r="F1509" s="4" t="str">
        <f t="shared" si="77"/>
        <v>17|A|G</v>
      </c>
      <c r="G1509" s="14">
        <f>INDEX('Transition Stepwise'!$J$2:$J$1137,MATCH(F1509,'Transition Stepwise'!$E$2:$E$1137,0))</f>
        <v>0.75</v>
      </c>
      <c r="H1509" s="14" t="e">
        <f>INDEX(Background!$D$12:$D$27,MATCH(C1509&amp;D1509,INDEX(Background!$A$12:$A$27,0)&amp;INDEX(Background!$B$12:$B$27,0),0))</f>
        <v>#VALUE!</v>
      </c>
      <c r="I1509" s="17" t="e">
        <f t="shared" si="78"/>
        <v>#VALUE!</v>
      </c>
    </row>
    <row r="1510" spans="1:9">
      <c r="A1510" s="4" t="s">
        <v>773</v>
      </c>
      <c r="B1510" s="4">
        <v>18</v>
      </c>
      <c r="C1510" s="4" t="s">
        <v>70</v>
      </c>
      <c r="D1510" s="4" t="s">
        <v>70</v>
      </c>
      <c r="E1510" s="4" t="s">
        <v>788</v>
      </c>
      <c r="F1510" s="4" t="str">
        <f t="shared" si="77"/>
        <v>18|G|G</v>
      </c>
      <c r="G1510" s="14">
        <f>INDEX('Transition Stepwise'!$J$2:$J$1137,MATCH(F1510,'Transition Stepwise'!$E$2:$E$1137,0))</f>
        <v>0.97536945812807885</v>
      </c>
      <c r="H1510" s="14" t="e">
        <f>INDEX(Background!$D$12:$D$27,MATCH(C1510&amp;D1510,INDEX(Background!$A$12:$A$27,0)&amp;INDEX(Background!$B$12:$B$27,0),0))</f>
        <v>#VALUE!</v>
      </c>
      <c r="I1510" s="17" t="e">
        <f t="shared" si="78"/>
        <v>#VALUE!</v>
      </c>
    </row>
    <row r="1511" spans="1:9">
      <c r="A1511" s="4" t="s">
        <v>773</v>
      </c>
      <c r="B1511" s="4">
        <v>19</v>
      </c>
      <c r="C1511" s="4" t="s">
        <v>70</v>
      </c>
      <c r="D1511" s="4" t="s">
        <v>73</v>
      </c>
      <c r="E1511" s="4" t="s">
        <v>788</v>
      </c>
      <c r="F1511" s="4" t="str">
        <f t="shared" si="77"/>
        <v>19|G|A</v>
      </c>
      <c r="G1511" s="14">
        <f>INDEX('Transition Stepwise'!$J$2:$J$1137,MATCH(F1511,'Transition Stepwise'!$E$2:$E$1137,0))</f>
        <v>8.9552238805970144E-2</v>
      </c>
      <c r="H1511" s="14" t="e">
        <f>INDEX(Background!$D$12:$D$27,MATCH(C1511&amp;D1511,INDEX(Background!$A$12:$A$27,0)&amp;INDEX(Background!$B$12:$B$27,0),0))</f>
        <v>#VALUE!</v>
      </c>
      <c r="I1511" s="17" t="e">
        <f t="shared" si="78"/>
        <v>#VALUE!</v>
      </c>
    </row>
    <row r="1512" spans="1:9">
      <c r="A1512" s="4" t="s">
        <v>773</v>
      </c>
      <c r="B1512" s="4">
        <v>20</v>
      </c>
      <c r="C1512" s="4" t="s">
        <v>73</v>
      </c>
      <c r="D1512" s="4" t="s">
        <v>72</v>
      </c>
      <c r="E1512" s="4" t="s">
        <v>788</v>
      </c>
      <c r="F1512" s="4" t="str">
        <f t="shared" si="77"/>
        <v>20|A|U</v>
      </c>
      <c r="G1512" s="14">
        <f>INDEX('Transition Stepwise'!$J$2:$J$1137,MATCH(F1512,'Transition Stepwise'!$E$2:$E$1137,0))</f>
        <v>9.5238095238095233E-2</v>
      </c>
      <c r="H1512" s="14" t="e">
        <f>INDEX(Background!$D$12:$D$27,MATCH(C1512&amp;D1512,INDEX(Background!$A$12:$A$27,0)&amp;INDEX(Background!$B$12:$B$27,0),0))</f>
        <v>#VALUE!</v>
      </c>
      <c r="I1512" s="17" t="e">
        <f t="shared" si="78"/>
        <v>#VALUE!</v>
      </c>
    </row>
    <row r="1513" spans="1:9">
      <c r="A1513" s="4" t="s">
        <v>773</v>
      </c>
      <c r="B1513" s="4">
        <v>21</v>
      </c>
      <c r="C1513" s="4" t="s">
        <v>72</v>
      </c>
      <c r="D1513" s="4" t="s">
        <v>72</v>
      </c>
      <c r="E1513" s="4" t="s">
        <v>788</v>
      </c>
      <c r="F1513" s="4" t="str">
        <f t="shared" si="77"/>
        <v>21|U|U</v>
      </c>
      <c r="G1513" s="14">
        <f>INDEX('Transition Stepwise'!$J$2:$J$1137,MATCH(F1513,'Transition Stepwise'!$E$2:$E$1137,0))</f>
        <v>0.2857142857142857</v>
      </c>
      <c r="H1513" s="14" t="e">
        <f>INDEX(Background!$D$12:$D$27,MATCH(C1513&amp;D1513,INDEX(Background!$A$12:$A$27,0)&amp;INDEX(Background!$B$12:$B$27,0),0))</f>
        <v>#VALUE!</v>
      </c>
      <c r="I1513" s="17" t="e">
        <f t="shared" si="78"/>
        <v>#VALUE!</v>
      </c>
    </row>
    <row r="1514" spans="1:9">
      <c r="A1514" s="4" t="s">
        <v>773</v>
      </c>
      <c r="B1514" s="4">
        <v>22</v>
      </c>
      <c r="C1514" s="4" t="s">
        <v>72</v>
      </c>
      <c r="D1514" s="4" t="s">
        <v>73</v>
      </c>
      <c r="E1514" s="4" t="s">
        <v>788</v>
      </c>
      <c r="F1514" s="4" t="str">
        <f t="shared" si="77"/>
        <v>22|U|A</v>
      </c>
      <c r="G1514" s="14">
        <f>INDEX('Transition Stepwise'!$J$2:$J$1137,MATCH(F1514,'Transition Stepwise'!$E$2:$E$1137,0))</f>
        <v>0.1111111111111111</v>
      </c>
      <c r="H1514" s="14" t="e">
        <f>INDEX(Background!$D$12:$D$27,MATCH(C1514&amp;D1514,INDEX(Background!$A$12:$A$27,0)&amp;INDEX(Background!$B$12:$B$27,0),0))</f>
        <v>#VALUE!</v>
      </c>
      <c r="I1514" s="17" t="e">
        <f t="shared" si="78"/>
        <v>#VALUE!</v>
      </c>
    </row>
    <row r="1515" spans="1:9">
      <c r="A1515" s="4" t="s">
        <v>773</v>
      </c>
      <c r="B1515" s="4">
        <v>23</v>
      </c>
      <c r="C1515" s="4" t="s">
        <v>73</v>
      </c>
      <c r="D1515" s="4" t="s">
        <v>72</v>
      </c>
      <c r="E1515" s="4" t="s">
        <v>788</v>
      </c>
      <c r="F1515" s="4" t="str">
        <f t="shared" si="77"/>
        <v>23|A|U</v>
      </c>
      <c r="G1515" s="14">
        <f>INDEX('Transition Stepwise'!$J$2:$J$1137,MATCH(F1515,'Transition Stepwise'!$E$2:$E$1137,0))</f>
        <v>3.2000000000000001E-2</v>
      </c>
      <c r="H1515" s="14" t="e">
        <f>INDEX(Background!$D$12:$D$27,MATCH(C1515&amp;D1515,INDEX(Background!$A$12:$A$27,0)&amp;INDEX(Background!$B$12:$B$27,0),0))</f>
        <v>#VALUE!</v>
      </c>
      <c r="I1515" s="17" t="e">
        <f t="shared" si="78"/>
        <v>#VALUE!</v>
      </c>
    </row>
    <row r="1516" spans="1:9">
      <c r="A1516" s="4" t="s">
        <v>773</v>
      </c>
      <c r="B1516" s="4">
        <v>24</v>
      </c>
      <c r="C1516" s="4" t="s">
        <v>72</v>
      </c>
      <c r="D1516" s="4" t="s">
        <v>72</v>
      </c>
      <c r="E1516" s="4" t="s">
        <v>788</v>
      </c>
      <c r="F1516" s="4" t="str">
        <f t="shared" si="77"/>
        <v>24|U|U</v>
      </c>
      <c r="G1516" s="14">
        <f>INDEX('Transition Stepwise'!$J$2:$J$1137,MATCH(F1516,'Transition Stepwise'!$E$2:$E$1137,0))</f>
        <v>9.0909090909090912E-2</v>
      </c>
      <c r="H1516" s="14" t="e">
        <f>INDEX(Background!$D$12:$D$27,MATCH(C1516&amp;D1516,INDEX(Background!$A$12:$A$27,0)&amp;INDEX(Background!$B$12:$B$27,0),0))</f>
        <v>#VALUE!</v>
      </c>
      <c r="I1516" s="17" t="e">
        <f t="shared" si="78"/>
        <v>#VALUE!</v>
      </c>
    </row>
    <row r="1517" spans="1:9">
      <c r="A1517" s="4" t="s">
        <v>773</v>
      </c>
      <c r="B1517" s="4">
        <v>25</v>
      </c>
      <c r="C1517" s="4" t="s">
        <v>72</v>
      </c>
      <c r="D1517" s="4" t="s">
        <v>72</v>
      </c>
      <c r="E1517" s="4" t="s">
        <v>788</v>
      </c>
      <c r="F1517" s="4" t="str">
        <f t="shared" si="77"/>
        <v>25|U|U</v>
      </c>
      <c r="G1517" s="14">
        <f>INDEX('Transition Stepwise'!$J$2:$J$1137,MATCH(F1517,'Transition Stepwise'!$E$2:$E$1137,0))</f>
        <v>0.16666666666666666</v>
      </c>
      <c r="H1517" s="14" t="e">
        <f>INDEX(Background!$D$12:$D$27,MATCH(C1517&amp;D1517,INDEX(Background!$A$12:$A$27,0)&amp;INDEX(Background!$B$12:$B$27,0),0))</f>
        <v>#VALUE!</v>
      </c>
      <c r="I1517" s="17" t="e">
        <f t="shared" si="78"/>
        <v>#VALUE!</v>
      </c>
    </row>
    <row r="1518" spans="1:9">
      <c r="A1518" s="4" t="s">
        <v>773</v>
      </c>
      <c r="B1518" s="4">
        <v>26</v>
      </c>
      <c r="C1518" s="4" t="s">
        <v>72</v>
      </c>
      <c r="D1518" s="4" t="s">
        <v>70</v>
      </c>
      <c r="E1518" s="4" t="s">
        <v>788</v>
      </c>
      <c r="F1518" s="4" t="str">
        <f t="shared" ref="F1518:F1563" si="79">B1518&amp;"|"&amp;C1518&amp;"|"&amp;D1518</f>
        <v>26|U|G</v>
      </c>
      <c r="G1518" s="14">
        <f>INDEX('Transition Stepwise'!$J$2:$J$1137,MATCH(F1518,'Transition Stepwise'!$E$2:$E$1137,0))</f>
        <v>0.13333333333333333</v>
      </c>
      <c r="H1518" s="14" t="e">
        <f>INDEX(Background!$D$12:$D$27,MATCH(C1518&amp;D1518,INDEX(Background!$A$12:$A$27,0)&amp;INDEX(Background!$B$12:$B$27,0),0))</f>
        <v>#VALUE!</v>
      </c>
      <c r="I1518" s="17" t="e">
        <f t="shared" ref="I1518:I1581" si="80">LN(G1518/H1518)</f>
        <v>#VALUE!</v>
      </c>
    </row>
    <row r="1519" spans="1:9">
      <c r="A1519" s="4" t="s">
        <v>773</v>
      </c>
      <c r="B1519" s="4">
        <v>27</v>
      </c>
      <c r="C1519" s="4" t="s">
        <v>70</v>
      </c>
      <c r="D1519" s="4" t="s">
        <v>70</v>
      </c>
      <c r="E1519" s="4" t="s">
        <v>788</v>
      </c>
      <c r="F1519" s="4" t="str">
        <f t="shared" si="79"/>
        <v>27|G|G</v>
      </c>
      <c r="G1519" s="14">
        <f>INDEX('Transition Stepwise'!$J$2:$J$1137,MATCH(F1519,'Transition Stepwise'!$E$2:$E$1137,0))</f>
        <v>0.11428571428571428</v>
      </c>
      <c r="H1519" s="14" t="e">
        <f>INDEX(Background!$D$12:$D$27,MATCH(C1519&amp;D1519,INDEX(Background!$A$12:$A$27,0)&amp;INDEX(Background!$B$12:$B$27,0),0))</f>
        <v>#VALUE!</v>
      </c>
      <c r="I1519" s="17" t="e">
        <f t="shared" si="80"/>
        <v>#VALUE!</v>
      </c>
    </row>
    <row r="1520" spans="1:9">
      <c r="A1520" s="4" t="s">
        <v>773</v>
      </c>
      <c r="B1520" s="4">
        <v>28</v>
      </c>
      <c r="C1520" s="4" t="s">
        <v>70</v>
      </c>
      <c r="D1520" s="4" t="s">
        <v>73</v>
      </c>
      <c r="E1520" s="4" t="s">
        <v>788</v>
      </c>
      <c r="F1520" s="4" t="str">
        <f t="shared" si="79"/>
        <v>28|G|A</v>
      </c>
      <c r="G1520" s="14">
        <f>INDEX('Transition Stepwise'!$J$2:$J$1137,MATCH(F1520,'Transition Stepwise'!$E$2:$E$1137,0))</f>
        <v>0.19230769230769232</v>
      </c>
      <c r="H1520" s="14" t="e">
        <f>INDEX(Background!$D$12:$D$27,MATCH(C1520&amp;D1520,INDEX(Background!$A$12:$A$27,0)&amp;INDEX(Background!$B$12:$B$27,0),0))</f>
        <v>#VALUE!</v>
      </c>
      <c r="I1520" s="17" t="e">
        <f t="shared" si="80"/>
        <v>#VALUE!</v>
      </c>
    </row>
    <row r="1521" spans="1:9">
      <c r="A1521" s="4" t="s">
        <v>773</v>
      </c>
      <c r="B1521" s="4">
        <v>29</v>
      </c>
      <c r="C1521" s="4" t="s">
        <v>73</v>
      </c>
      <c r="D1521" s="4" t="s">
        <v>70</v>
      </c>
      <c r="E1521" s="4" t="s">
        <v>788</v>
      </c>
      <c r="F1521" s="4" t="str">
        <f t="shared" si="79"/>
        <v>29|A|G</v>
      </c>
      <c r="G1521" s="14">
        <f>INDEX('Transition Stepwise'!$J$2:$J$1137,MATCH(F1521,'Transition Stepwise'!$E$2:$E$1137,0))</f>
        <v>0.69444444444444442</v>
      </c>
      <c r="H1521" s="14" t="e">
        <f>INDEX(Background!$D$12:$D$27,MATCH(C1521&amp;D1521,INDEX(Background!$A$12:$A$27,0)&amp;INDEX(Background!$B$12:$B$27,0),0))</f>
        <v>#VALUE!</v>
      </c>
      <c r="I1521" s="17" t="e">
        <f t="shared" si="80"/>
        <v>#VALUE!</v>
      </c>
    </row>
    <row r="1522" spans="1:9">
      <c r="A1522" s="4" t="s">
        <v>773</v>
      </c>
      <c r="B1522" s="4">
        <v>30</v>
      </c>
      <c r="C1522" s="4" t="s">
        <v>70</v>
      </c>
      <c r="D1522" s="4" t="s">
        <v>72</v>
      </c>
      <c r="E1522" s="4" t="s">
        <v>788</v>
      </c>
      <c r="F1522" s="4" t="str">
        <f t="shared" si="79"/>
        <v>30|G|U</v>
      </c>
      <c r="G1522" s="14">
        <f>INDEX('Transition Stepwise'!$J$2:$J$1137,MATCH(F1522,'Transition Stepwise'!$E$2:$E$1137,0))</f>
        <v>0.11688311688311688</v>
      </c>
      <c r="H1522" s="14" t="e">
        <f>INDEX(Background!$D$12:$D$27,MATCH(C1522&amp;D1522,INDEX(Background!$A$12:$A$27,0)&amp;INDEX(Background!$B$12:$B$27,0),0))</f>
        <v>#VALUE!</v>
      </c>
      <c r="I1522" s="17" t="e">
        <f t="shared" si="80"/>
        <v>#VALUE!</v>
      </c>
    </row>
    <row r="1523" spans="1:9">
      <c r="A1523" s="4" t="s">
        <v>773</v>
      </c>
      <c r="B1523" s="4">
        <v>31</v>
      </c>
      <c r="C1523" s="4" t="s">
        <v>72</v>
      </c>
      <c r="D1523" s="4" t="s">
        <v>73</v>
      </c>
      <c r="E1523" s="4" t="s">
        <v>788</v>
      </c>
      <c r="F1523" s="4" t="str">
        <f t="shared" si="79"/>
        <v>31|U|A</v>
      </c>
      <c r="G1523" s="14">
        <f>INDEX('Transition Stepwise'!$J$2:$J$1137,MATCH(F1523,'Transition Stepwise'!$E$2:$E$1137,0))</f>
        <v>4.3478260869565216E-2</v>
      </c>
      <c r="H1523" s="14" t="e">
        <f>INDEX(Background!$D$12:$D$27,MATCH(C1523&amp;D1523,INDEX(Background!$A$12:$A$27,0)&amp;INDEX(Background!$B$12:$B$27,0),0))</f>
        <v>#VALUE!</v>
      </c>
      <c r="I1523" s="17" t="e">
        <f t="shared" si="80"/>
        <v>#VALUE!</v>
      </c>
    </row>
    <row r="1524" spans="1:9">
      <c r="A1524" s="4" t="s">
        <v>773</v>
      </c>
      <c r="B1524" s="4">
        <v>32</v>
      </c>
      <c r="C1524" s="4" t="s">
        <v>73</v>
      </c>
      <c r="D1524" s="4" t="s">
        <v>72</v>
      </c>
      <c r="E1524" s="4" t="s">
        <v>788</v>
      </c>
      <c r="F1524" s="4" t="str">
        <f t="shared" si="79"/>
        <v>32|A|U</v>
      </c>
      <c r="G1524" s="14">
        <f>INDEX('Transition Stepwise'!$J$2:$J$1137,MATCH(F1524,'Transition Stepwise'!$E$2:$E$1137,0))</f>
        <v>0.7</v>
      </c>
      <c r="H1524" s="14" t="e">
        <f>INDEX(Background!$D$12:$D$27,MATCH(C1524&amp;D1524,INDEX(Background!$A$12:$A$27,0)&amp;INDEX(Background!$B$12:$B$27,0),0))</f>
        <v>#VALUE!</v>
      </c>
      <c r="I1524" s="17" t="e">
        <f t="shared" si="80"/>
        <v>#VALUE!</v>
      </c>
    </row>
    <row r="1525" spans="1:9">
      <c r="A1525" s="4" t="s">
        <v>773</v>
      </c>
      <c r="B1525" s="4">
        <v>33</v>
      </c>
      <c r="C1525" s="4" t="s">
        <v>72</v>
      </c>
      <c r="D1525" s="4" t="s">
        <v>71</v>
      </c>
      <c r="E1525" s="4" t="s">
        <v>788</v>
      </c>
      <c r="F1525" s="4" t="str">
        <f t="shared" si="79"/>
        <v>33|U|C</v>
      </c>
      <c r="G1525" s="14">
        <f>INDEX('Transition Stepwise'!$J$2:$J$1137,MATCH(F1525,'Transition Stepwise'!$E$2:$E$1137,0))</f>
        <v>0.32178217821782179</v>
      </c>
      <c r="H1525" s="14" t="e">
        <f>INDEX(Background!$D$12:$D$27,MATCH(C1525&amp;D1525,INDEX(Background!$A$12:$A$27,0)&amp;INDEX(Background!$B$12:$B$27,0),0))</f>
        <v>#VALUE!</v>
      </c>
      <c r="I1525" s="17" t="e">
        <f t="shared" si="80"/>
        <v>#VALUE!</v>
      </c>
    </row>
    <row r="1526" spans="1:9">
      <c r="A1526" s="4" t="s">
        <v>773</v>
      </c>
      <c r="B1526" s="4">
        <v>34</v>
      </c>
      <c r="C1526" s="4" t="s">
        <v>71</v>
      </c>
      <c r="D1526" s="4" t="s">
        <v>72</v>
      </c>
      <c r="E1526" s="4" t="s">
        <v>788</v>
      </c>
      <c r="F1526" s="4" t="str">
        <f t="shared" si="79"/>
        <v>34|C|U</v>
      </c>
      <c r="G1526" s="14">
        <f>INDEX('Transition Stepwise'!$J$2:$J$1137,MATCH(F1526,'Transition Stepwise'!$E$2:$E$1137,0))</f>
        <v>0.18571428571428572</v>
      </c>
      <c r="H1526" s="14" t="e">
        <f>INDEX(Background!$D$12:$D$27,MATCH(C1526&amp;D1526,INDEX(Background!$A$12:$A$27,0)&amp;INDEX(Background!$B$12:$B$27,0),0))</f>
        <v>#VALUE!</v>
      </c>
      <c r="I1526" s="17" t="e">
        <f t="shared" si="80"/>
        <v>#VALUE!</v>
      </c>
    </row>
    <row r="1527" spans="1:9">
      <c r="A1527" s="4" t="s">
        <v>773</v>
      </c>
      <c r="B1527" s="4">
        <v>35</v>
      </c>
      <c r="C1527" s="4" t="s">
        <v>72</v>
      </c>
      <c r="D1527" s="4" t="s">
        <v>73</v>
      </c>
      <c r="E1527" s="4" t="s">
        <v>788</v>
      </c>
      <c r="F1527" s="4" t="str">
        <f t="shared" si="79"/>
        <v>35|U|A</v>
      </c>
      <c r="G1527" s="14">
        <f>INDEX('Transition Stepwise'!$J$2:$J$1137,MATCH(F1527,'Transition Stepwise'!$E$2:$E$1137,0))</f>
        <v>0.17777777777777778</v>
      </c>
      <c r="H1527" s="14" t="e">
        <f>INDEX(Background!$D$12:$D$27,MATCH(C1527&amp;D1527,INDEX(Background!$A$12:$A$27,0)&amp;INDEX(Background!$B$12:$B$27,0),0))</f>
        <v>#VALUE!</v>
      </c>
      <c r="I1527" s="17" t="e">
        <f t="shared" si="80"/>
        <v>#VALUE!</v>
      </c>
    </row>
    <row r="1528" spans="1:9">
      <c r="A1528" s="4" t="s">
        <v>773</v>
      </c>
      <c r="B1528" s="4">
        <v>36</v>
      </c>
      <c r="C1528" s="4" t="s">
        <v>73</v>
      </c>
      <c r="D1528" s="4" t="s">
        <v>71</v>
      </c>
      <c r="E1528" s="4" t="s">
        <v>788</v>
      </c>
      <c r="F1528" s="4" t="str">
        <f t="shared" si="79"/>
        <v>36|A|C</v>
      </c>
      <c r="G1528" s="14">
        <f>INDEX('Transition Stepwise'!$J$2:$J$1137,MATCH(F1528,'Transition Stepwise'!$E$2:$E$1137,0))</f>
        <v>4.2553191489361701E-2</v>
      </c>
      <c r="H1528" s="14" t="e">
        <f>INDEX(Background!$D$12:$D$27,MATCH(C1528&amp;D1528,INDEX(Background!$A$12:$A$27,0)&amp;INDEX(Background!$B$12:$B$27,0),0))</f>
        <v>#VALUE!</v>
      </c>
      <c r="I1528" s="17" t="e">
        <f t="shared" si="80"/>
        <v>#VALUE!</v>
      </c>
    </row>
    <row r="1529" spans="1:9">
      <c r="A1529" s="4" t="s">
        <v>773</v>
      </c>
      <c r="B1529" s="4">
        <v>37</v>
      </c>
      <c r="C1529" s="4" t="s">
        <v>71</v>
      </c>
      <c r="D1529" s="4" t="s">
        <v>72</v>
      </c>
      <c r="E1529" s="4" t="s">
        <v>788</v>
      </c>
      <c r="F1529" s="4" t="str">
        <f t="shared" si="79"/>
        <v>37|C|U</v>
      </c>
      <c r="G1529" s="14">
        <f>INDEX('Transition Stepwise'!$J$2:$J$1137,MATCH(F1529,'Transition Stepwise'!$E$2:$E$1137,0))</f>
        <v>0.2</v>
      </c>
      <c r="H1529" s="14" t="e">
        <f>INDEX(Background!$D$12:$D$27,MATCH(C1529&amp;D1529,INDEX(Background!$A$12:$A$27,0)&amp;INDEX(Background!$B$12:$B$27,0),0))</f>
        <v>#VALUE!</v>
      </c>
      <c r="I1529" s="17" t="e">
        <f t="shared" si="80"/>
        <v>#VALUE!</v>
      </c>
    </row>
    <row r="1530" spans="1:9">
      <c r="A1530" s="4" t="s">
        <v>773</v>
      </c>
      <c r="B1530" s="4">
        <v>38</v>
      </c>
      <c r="C1530" s="4" t="s">
        <v>72</v>
      </c>
      <c r="D1530" s="4" t="s">
        <v>70</v>
      </c>
      <c r="E1530" s="4" t="s">
        <v>788</v>
      </c>
      <c r="F1530" s="4" t="str">
        <f t="shared" si="79"/>
        <v>38|U|G</v>
      </c>
      <c r="G1530" s="14">
        <f>INDEX('Transition Stepwise'!$J$2:$J$1137,MATCH(F1530,'Transition Stepwise'!$E$2:$E$1137,0))</f>
        <v>0.55555555555555558</v>
      </c>
      <c r="H1530" s="14" t="e">
        <f>INDEX(Background!$D$12:$D$27,MATCH(C1530&amp;D1530,INDEX(Background!$A$12:$A$27,0)&amp;INDEX(Background!$B$12:$B$27,0),0))</f>
        <v>#VALUE!</v>
      </c>
      <c r="I1530" s="17" t="e">
        <f t="shared" si="80"/>
        <v>#VALUE!</v>
      </c>
    </row>
    <row r="1531" spans="1:9">
      <c r="A1531" s="4" t="s">
        <v>773</v>
      </c>
      <c r="B1531" s="4">
        <v>39</v>
      </c>
      <c r="C1531" s="4" t="s">
        <v>70</v>
      </c>
      <c r="D1531" s="4" t="s">
        <v>71</v>
      </c>
      <c r="E1531" s="4" t="s">
        <v>788</v>
      </c>
      <c r="F1531" s="4" t="str">
        <f t="shared" si="79"/>
        <v>39|G|C</v>
      </c>
      <c r="G1531" s="14">
        <f>INDEX('Transition Stepwise'!$J$2:$J$1137,MATCH(F1531,'Transition Stepwise'!$E$2:$E$1137,0))</f>
        <v>0.52631578947368418</v>
      </c>
      <c r="H1531" s="14" t="e">
        <f>INDEX(Background!$D$12:$D$27,MATCH(C1531&amp;D1531,INDEX(Background!$A$12:$A$27,0)&amp;INDEX(Background!$B$12:$B$27,0),0))</f>
        <v>#VALUE!</v>
      </c>
      <c r="I1531" s="17" t="e">
        <f t="shared" si="80"/>
        <v>#VALUE!</v>
      </c>
    </row>
    <row r="1532" spans="1:9">
      <c r="A1532" s="4" t="s">
        <v>773</v>
      </c>
      <c r="B1532" s="4">
        <v>40</v>
      </c>
      <c r="C1532" s="4" t="s">
        <v>71</v>
      </c>
      <c r="D1532" s="4" t="s">
        <v>72</v>
      </c>
      <c r="E1532" s="4" t="s">
        <v>788</v>
      </c>
      <c r="F1532" s="4" t="str">
        <f t="shared" si="79"/>
        <v>40|C|U</v>
      </c>
      <c r="G1532" s="14">
        <f>INDEX('Transition Stepwise'!$J$2:$J$1137,MATCH(F1532,'Transition Stepwise'!$E$2:$E$1137,0))</f>
        <v>0.17687074829931973</v>
      </c>
      <c r="H1532" s="14" t="e">
        <f>INDEX(Background!$D$12:$D$27,MATCH(C1532&amp;D1532,INDEX(Background!$A$12:$A$27,0)&amp;INDEX(Background!$B$12:$B$27,0),0))</f>
        <v>#VALUE!</v>
      </c>
      <c r="I1532" s="17" t="e">
        <f t="shared" si="80"/>
        <v>#VALUE!</v>
      </c>
    </row>
    <row r="1533" spans="1:9">
      <c r="A1533" s="4" t="s">
        <v>773</v>
      </c>
      <c r="B1533" s="4">
        <v>41</v>
      </c>
      <c r="C1533" s="4" t="s">
        <v>72</v>
      </c>
      <c r="D1533" s="4" t="s">
        <v>72</v>
      </c>
      <c r="E1533" s="4" t="s">
        <v>788</v>
      </c>
      <c r="F1533" s="4" t="str">
        <f t="shared" si="79"/>
        <v>41|U|U</v>
      </c>
      <c r="G1533" s="14">
        <f>INDEX('Transition Stepwise'!$J$2:$J$1137,MATCH(F1533,'Transition Stepwise'!$E$2:$E$1137,0))</f>
        <v>0.10810810810810811</v>
      </c>
      <c r="H1533" s="14" t="e">
        <f>INDEX(Background!$D$12:$D$27,MATCH(C1533&amp;D1533,INDEX(Background!$A$12:$A$27,0)&amp;INDEX(Background!$B$12:$B$27,0),0))</f>
        <v>#VALUE!</v>
      </c>
      <c r="I1533" s="17" t="e">
        <f t="shared" si="80"/>
        <v>#VALUE!</v>
      </c>
    </row>
    <row r="1534" spans="1:9">
      <c r="A1534" s="4" t="s">
        <v>773</v>
      </c>
      <c r="B1534" s="4">
        <v>42</v>
      </c>
      <c r="C1534" s="4" t="s">
        <v>72</v>
      </c>
      <c r="D1534" s="4" t="s">
        <v>72</v>
      </c>
      <c r="E1534" s="4" t="s">
        <v>788</v>
      </c>
      <c r="F1534" s="4" t="str">
        <f t="shared" si="79"/>
        <v>42|U|U</v>
      </c>
      <c r="G1534" s="14">
        <f>INDEX('Transition Stepwise'!$J$2:$J$1137,MATCH(F1534,'Transition Stepwise'!$E$2:$E$1137,0))</f>
        <v>0.13333333333333333</v>
      </c>
      <c r="H1534" s="14" t="e">
        <f>INDEX(Background!$D$12:$D$27,MATCH(C1534&amp;D1534,INDEX(Background!$A$12:$A$27,0)&amp;INDEX(Background!$B$12:$B$27,0),0))</f>
        <v>#VALUE!</v>
      </c>
      <c r="I1534" s="17" t="e">
        <f t="shared" si="80"/>
        <v>#VALUE!</v>
      </c>
    </row>
    <row r="1535" spans="1:9">
      <c r="A1535" s="4" t="s">
        <v>773</v>
      </c>
      <c r="B1535" s="4">
        <v>43</v>
      </c>
      <c r="C1535" s="4" t="s">
        <v>72</v>
      </c>
      <c r="D1535" s="4" t="s">
        <v>70</v>
      </c>
      <c r="E1535" s="4" t="s">
        <v>788</v>
      </c>
      <c r="F1535" s="4" t="str">
        <f t="shared" si="79"/>
        <v>43|U|G</v>
      </c>
      <c r="G1535" s="14">
        <f>INDEX('Transition Stepwise'!$J$2:$J$1137,MATCH(F1535,'Transition Stepwise'!$E$2:$E$1137,0))</f>
        <v>0.19444444444444445</v>
      </c>
      <c r="H1535" s="14" t="e">
        <f>INDEX(Background!$D$12:$D$27,MATCH(C1535&amp;D1535,INDEX(Background!$A$12:$A$27,0)&amp;INDEX(Background!$B$12:$B$27,0),0))</f>
        <v>#VALUE!</v>
      </c>
      <c r="I1535" s="17" t="e">
        <f t="shared" si="80"/>
        <v>#VALUE!</v>
      </c>
    </row>
    <row r="1536" spans="1:9">
      <c r="A1536" s="4" t="s">
        <v>773</v>
      </c>
      <c r="B1536" s="4">
        <v>44</v>
      </c>
      <c r="C1536" s="4" t="s">
        <v>70</v>
      </c>
      <c r="D1536" s="4" t="s">
        <v>72</v>
      </c>
      <c r="E1536" s="4" t="s">
        <v>788</v>
      </c>
      <c r="F1536" s="4" t="str">
        <f t="shared" si="79"/>
        <v>44|G|U</v>
      </c>
      <c r="G1536" s="14">
        <f>INDEX('Transition Stepwise'!$J$2:$J$1137,MATCH(F1536,'Transition Stepwise'!$E$2:$E$1137,0))</f>
        <v>0.16</v>
      </c>
      <c r="H1536" s="14" t="e">
        <f>INDEX(Background!$D$12:$D$27,MATCH(C1536&amp;D1536,INDEX(Background!$A$12:$A$27,0)&amp;INDEX(Background!$B$12:$B$27,0),0))</f>
        <v>#VALUE!</v>
      </c>
      <c r="I1536" s="17" t="e">
        <f t="shared" si="80"/>
        <v>#VALUE!</v>
      </c>
    </row>
    <row r="1537" spans="1:9">
      <c r="A1537" s="4" t="s">
        <v>773</v>
      </c>
      <c r="B1537" s="4">
        <v>45</v>
      </c>
      <c r="C1537" s="4" t="s">
        <v>72</v>
      </c>
      <c r="D1537" s="4" t="s">
        <v>73</v>
      </c>
      <c r="E1537" s="4" t="s">
        <v>788</v>
      </c>
      <c r="F1537" s="4" t="str">
        <f t="shared" si="79"/>
        <v>45|U|A</v>
      </c>
      <c r="G1537" s="14">
        <f>INDEX('Transition Stepwise'!$J$2:$J$1137,MATCH(F1537,'Transition Stepwise'!$E$2:$E$1137,0))</f>
        <v>0.08</v>
      </c>
      <c r="H1537" s="14" t="e">
        <f>INDEX(Background!$D$12:$D$27,MATCH(C1537&amp;D1537,INDEX(Background!$A$12:$A$27,0)&amp;INDEX(Background!$B$12:$B$27,0),0))</f>
        <v>#VALUE!</v>
      </c>
      <c r="I1537" s="17" t="e">
        <f t="shared" si="80"/>
        <v>#VALUE!</v>
      </c>
    </row>
    <row r="1538" spans="1:9">
      <c r="A1538" s="4" t="s">
        <v>773</v>
      </c>
      <c r="B1538" s="4">
        <v>46</v>
      </c>
      <c r="C1538" s="4" t="s">
        <v>73</v>
      </c>
      <c r="D1538" s="4" t="s">
        <v>72</v>
      </c>
      <c r="E1538" s="4" t="s">
        <v>788</v>
      </c>
      <c r="F1538" s="4" t="str">
        <f t="shared" si="79"/>
        <v>46|A|U</v>
      </c>
      <c r="G1538" s="14">
        <f>INDEX('Transition Stepwise'!$J$2:$J$1137,MATCH(F1538,'Transition Stepwise'!$E$2:$E$1137,0))</f>
        <v>0.65</v>
      </c>
      <c r="H1538" s="14" t="e">
        <f>INDEX(Background!$D$12:$D$27,MATCH(C1538&amp;D1538,INDEX(Background!$A$12:$A$27,0)&amp;INDEX(Background!$B$12:$B$27,0),0))</f>
        <v>#VALUE!</v>
      </c>
      <c r="I1538" s="17" t="e">
        <f t="shared" si="80"/>
        <v>#VALUE!</v>
      </c>
    </row>
    <row r="1539" spans="1:9">
      <c r="A1539" s="4" t="s">
        <v>773</v>
      </c>
      <c r="B1539" s="4">
        <v>47</v>
      </c>
      <c r="C1539" s="4" t="s">
        <v>72</v>
      </c>
      <c r="D1539" s="4" t="s">
        <v>73</v>
      </c>
      <c r="E1539" s="4" t="s">
        <v>788</v>
      </c>
      <c r="F1539" s="4" t="str">
        <f t="shared" si="79"/>
        <v>47|U|A</v>
      </c>
      <c r="G1539" s="14">
        <f>INDEX('Transition Stepwise'!$J$2:$J$1137,MATCH(F1539,'Transition Stepwise'!$E$2:$E$1137,0))</f>
        <v>7.1942446043165471E-3</v>
      </c>
      <c r="H1539" s="14" t="e">
        <f>INDEX(Background!$D$12:$D$27,MATCH(C1539&amp;D1539,INDEX(Background!$A$12:$A$27,0)&amp;INDEX(Background!$B$12:$B$27,0),0))</f>
        <v>#VALUE!</v>
      </c>
      <c r="I1539" s="17" t="e">
        <f t="shared" si="80"/>
        <v>#VALUE!</v>
      </c>
    </row>
    <row r="1540" spans="1:9">
      <c r="A1540" s="4" t="s">
        <v>773</v>
      </c>
      <c r="B1540" s="4">
        <v>48</v>
      </c>
      <c r="C1540" s="4" t="s">
        <v>73</v>
      </c>
      <c r="D1540" s="4" t="s">
        <v>70</v>
      </c>
      <c r="E1540" s="4" t="s">
        <v>788</v>
      </c>
      <c r="F1540" s="4" t="str">
        <f t="shared" si="79"/>
        <v>48|A|G</v>
      </c>
      <c r="G1540" s="14">
        <f>INDEX('Transition Stepwise'!$J$2:$J$1137,MATCH(F1540,'Transition Stepwise'!$E$2:$E$1137,0))</f>
        <v>0.2</v>
      </c>
      <c r="H1540" s="14" t="e">
        <f>INDEX(Background!$D$12:$D$27,MATCH(C1540&amp;D1540,INDEX(Background!$A$12:$A$27,0)&amp;INDEX(Background!$B$12:$B$27,0),0))</f>
        <v>#VALUE!</v>
      </c>
      <c r="I1540" s="17" t="e">
        <f t="shared" si="80"/>
        <v>#VALUE!</v>
      </c>
    </row>
    <row r="1541" spans="1:9">
      <c r="A1541" s="4" t="s">
        <v>773</v>
      </c>
      <c r="B1541" s="4">
        <v>49</v>
      </c>
      <c r="C1541" s="4" t="s">
        <v>70</v>
      </c>
      <c r="D1541" s="4" t="s">
        <v>70</v>
      </c>
      <c r="E1541" s="4" t="s">
        <v>788</v>
      </c>
      <c r="F1541" s="4" t="str">
        <f t="shared" si="79"/>
        <v>49|G|G</v>
      </c>
      <c r="G1541" s="14">
        <f>INDEX('Transition Stepwise'!$J$2:$J$1137,MATCH(F1541,'Transition Stepwise'!$E$2:$E$1137,0))</f>
        <v>0.29523809523809524</v>
      </c>
      <c r="H1541" s="14" t="e">
        <f>INDEX(Background!$D$12:$D$27,MATCH(C1541&amp;D1541,INDEX(Background!$A$12:$A$27,0)&amp;INDEX(Background!$B$12:$B$27,0),0))</f>
        <v>#VALUE!</v>
      </c>
      <c r="I1541" s="17" t="e">
        <f t="shared" si="80"/>
        <v>#VALUE!</v>
      </c>
    </row>
    <row r="1542" spans="1:9">
      <c r="A1542" s="4" t="s">
        <v>773</v>
      </c>
      <c r="B1542" s="4">
        <v>50</v>
      </c>
      <c r="C1542" s="4" t="s">
        <v>70</v>
      </c>
      <c r="D1542" s="4" t="s">
        <v>71</v>
      </c>
      <c r="E1542" s="4" t="s">
        <v>788</v>
      </c>
      <c r="F1542" s="4" t="str">
        <f t="shared" si="79"/>
        <v>50|G|C</v>
      </c>
      <c r="G1542" s="14">
        <f>INDEX('Transition Stepwise'!$J$2:$J$1137,MATCH(F1542,'Transition Stepwise'!$E$2:$E$1137,0))</f>
        <v>0.26315789473684209</v>
      </c>
      <c r="H1542" s="14" t="e">
        <f>INDEX(Background!$D$12:$D$27,MATCH(C1542&amp;D1542,INDEX(Background!$A$12:$A$27,0)&amp;INDEX(Background!$B$12:$B$27,0),0))</f>
        <v>#VALUE!</v>
      </c>
      <c r="I1542" s="17" t="e">
        <f t="shared" si="80"/>
        <v>#VALUE!</v>
      </c>
    </row>
    <row r="1543" spans="1:9">
      <c r="A1543" s="4" t="s">
        <v>773</v>
      </c>
      <c r="B1543" s="4">
        <v>51</v>
      </c>
      <c r="C1543" s="4" t="s">
        <v>71</v>
      </c>
      <c r="D1543" s="4" t="s">
        <v>73</v>
      </c>
      <c r="E1543" s="4" t="s">
        <v>788</v>
      </c>
      <c r="F1543" s="4" t="str">
        <f t="shared" si="79"/>
        <v>51|C|A</v>
      </c>
      <c r="G1543" s="14">
        <f>INDEX('Transition Stepwise'!$J$2:$J$1137,MATCH(F1543,'Transition Stepwise'!$E$2:$E$1137,0))</f>
        <v>0.22222222222222221</v>
      </c>
      <c r="H1543" s="14" t="e">
        <f>INDEX(Background!$D$12:$D$27,MATCH(C1543&amp;D1543,INDEX(Background!$A$12:$A$27,0)&amp;INDEX(Background!$B$12:$B$27,0),0))</f>
        <v>#VALUE!</v>
      </c>
      <c r="I1543" s="17" t="e">
        <f t="shared" si="80"/>
        <v>#VALUE!</v>
      </c>
    </row>
    <row r="1544" spans="1:9">
      <c r="A1544" s="4" t="s">
        <v>773</v>
      </c>
      <c r="B1544" s="4">
        <v>52</v>
      </c>
      <c r="C1544" s="4" t="s">
        <v>73</v>
      </c>
      <c r="D1544" s="4" t="s">
        <v>70</v>
      </c>
      <c r="E1544" s="4" t="s">
        <v>788</v>
      </c>
      <c r="F1544" s="4" t="str">
        <f t="shared" si="79"/>
        <v>52|A|G</v>
      </c>
      <c r="G1544" s="14">
        <f>INDEX('Transition Stepwise'!$J$2:$J$1137,MATCH(F1544,'Transition Stepwise'!$E$2:$E$1137,0))</f>
        <v>0.9</v>
      </c>
      <c r="H1544" s="14" t="e">
        <f>INDEX(Background!$D$12:$D$27,MATCH(C1544&amp;D1544,INDEX(Background!$A$12:$A$27,0)&amp;INDEX(Background!$B$12:$B$27,0),0))</f>
        <v>#VALUE!</v>
      </c>
      <c r="I1544" s="17" t="e">
        <f t="shared" si="80"/>
        <v>#VALUE!</v>
      </c>
    </row>
    <row r="1545" spans="1:9">
      <c r="A1545" s="4" t="s">
        <v>773</v>
      </c>
      <c r="B1545" s="4">
        <v>53</v>
      </c>
      <c r="C1545" s="4" t="s">
        <v>70</v>
      </c>
      <c r="D1545" s="4" t="s">
        <v>73</v>
      </c>
      <c r="E1545" s="4" t="s">
        <v>788</v>
      </c>
      <c r="F1545" s="4" t="str">
        <f t="shared" si="79"/>
        <v>53|G|A</v>
      </c>
      <c r="G1545" s="14">
        <f>INDEX('Transition Stepwise'!$J$2:$J$1137,MATCH(F1545,'Transition Stepwise'!$E$2:$E$1137,0))</f>
        <v>1.4999999999999999E-2</v>
      </c>
      <c r="H1545" s="14" t="e">
        <f>INDEX(Background!$D$12:$D$27,MATCH(C1545&amp;D1545,INDEX(Background!$A$12:$A$27,0)&amp;INDEX(Background!$B$12:$B$27,0),0))</f>
        <v>#VALUE!</v>
      </c>
      <c r="I1545" s="17" t="e">
        <f t="shared" si="80"/>
        <v>#VALUE!</v>
      </c>
    </row>
    <row r="1546" spans="1:9">
      <c r="A1546" s="4" t="s">
        <v>773</v>
      </c>
      <c r="B1546" s="4">
        <v>54</v>
      </c>
      <c r="C1546" s="4" t="s">
        <v>73</v>
      </c>
      <c r="D1546" s="4" t="s">
        <v>72</v>
      </c>
      <c r="E1546" s="4" t="s">
        <v>788</v>
      </c>
      <c r="F1546" s="4" t="str">
        <f t="shared" si="79"/>
        <v>54|A|U</v>
      </c>
      <c r="G1546" s="14">
        <f>INDEX('Transition Stepwise'!$J$2:$J$1137,MATCH(F1546,'Transition Stepwise'!$E$2:$E$1137,0))</f>
        <v>0.5</v>
      </c>
      <c r="H1546" s="14" t="e">
        <f>INDEX(Background!$D$12:$D$27,MATCH(C1546&amp;D1546,INDEX(Background!$A$12:$A$27,0)&amp;INDEX(Background!$B$12:$B$27,0),0))</f>
        <v>#VALUE!</v>
      </c>
      <c r="I1546" s="17" t="e">
        <f t="shared" si="80"/>
        <v>#VALUE!</v>
      </c>
    </row>
    <row r="1547" spans="1:9">
      <c r="A1547" s="4" t="s">
        <v>773</v>
      </c>
      <c r="B1547" s="4">
        <v>55</v>
      </c>
      <c r="C1547" s="4" t="s">
        <v>72</v>
      </c>
      <c r="D1547" s="4" t="s">
        <v>71</v>
      </c>
      <c r="E1547" s="4" t="s">
        <v>788</v>
      </c>
      <c r="F1547" s="4" t="str">
        <f t="shared" si="79"/>
        <v>55|U|C</v>
      </c>
      <c r="G1547" s="14">
        <f>INDEX('Transition Stepwise'!$J$2:$J$1137,MATCH(F1547,'Transition Stepwise'!$E$2:$E$1137,0))</f>
        <v>0.97512437810945274</v>
      </c>
      <c r="H1547" s="14" t="e">
        <f>INDEX(Background!$D$12:$D$27,MATCH(C1547&amp;D1547,INDEX(Background!$A$12:$A$27,0)&amp;INDEX(Background!$B$12:$B$27,0),0))</f>
        <v>#VALUE!</v>
      </c>
      <c r="I1547" s="17" t="e">
        <f t="shared" si="80"/>
        <v>#VALUE!</v>
      </c>
    </row>
    <row r="1548" spans="1:9">
      <c r="A1548" s="4" t="s">
        <v>773</v>
      </c>
      <c r="B1548" s="4">
        <v>56</v>
      </c>
      <c r="C1548" s="4" t="s">
        <v>71</v>
      </c>
      <c r="D1548" s="4" t="s">
        <v>72</v>
      </c>
      <c r="E1548" s="4" t="s">
        <v>788</v>
      </c>
      <c r="F1548" s="4" t="str">
        <f t="shared" si="79"/>
        <v>56|C|U</v>
      </c>
      <c r="G1548" s="14">
        <f>INDEX('Transition Stepwise'!$J$2:$J$1137,MATCH(F1548,'Transition Stepwise'!$E$2:$E$1137,0))</f>
        <v>5.0000000000000001E-3</v>
      </c>
      <c r="H1548" s="14" t="e">
        <f>INDEX(Background!$D$12:$D$27,MATCH(C1548&amp;D1548,INDEX(Background!$A$12:$A$27,0)&amp;INDEX(Background!$B$12:$B$27,0),0))</f>
        <v>#VALUE!</v>
      </c>
      <c r="I1548" s="17" t="e">
        <f t="shared" si="80"/>
        <v>#VALUE!</v>
      </c>
    </row>
    <row r="1549" spans="1:9">
      <c r="A1549" s="4" t="s">
        <v>773</v>
      </c>
      <c r="B1549" s="4">
        <v>57</v>
      </c>
      <c r="C1549" s="4" t="s">
        <v>72</v>
      </c>
      <c r="D1549" s="4" t="s">
        <v>71</v>
      </c>
      <c r="E1549" s="4" t="s">
        <v>788</v>
      </c>
      <c r="F1549" s="4" t="str">
        <f t="shared" si="79"/>
        <v>57|U|C</v>
      </c>
      <c r="G1549" s="14">
        <f>INDEX('Transition Stepwise'!$J$2:$J$1137,MATCH(F1549,'Transition Stepwise'!$E$2:$E$1137,0))</f>
        <v>0.4</v>
      </c>
      <c r="H1549" s="14" t="e">
        <f>INDEX(Background!$D$12:$D$27,MATCH(C1549&amp;D1549,INDEX(Background!$A$12:$A$27,0)&amp;INDEX(Background!$B$12:$B$27,0),0))</f>
        <v>#VALUE!</v>
      </c>
      <c r="I1549" s="17" t="e">
        <f t="shared" si="80"/>
        <v>#VALUE!</v>
      </c>
    </row>
    <row r="1550" spans="1:9">
      <c r="A1550" s="4" t="s">
        <v>773</v>
      </c>
      <c r="B1550" s="4">
        <v>58</v>
      </c>
      <c r="C1550" s="4" t="s">
        <v>71</v>
      </c>
      <c r="D1550" s="4" t="s">
        <v>72</v>
      </c>
      <c r="E1550" s="4" t="s">
        <v>788</v>
      </c>
      <c r="F1550" s="4" t="str">
        <f t="shared" si="79"/>
        <v>58|C|U</v>
      </c>
      <c r="G1550" s="14">
        <f>INDEX('Transition Stepwise'!$J$2:$J$1137,MATCH(F1550,'Transition Stepwise'!$E$2:$E$1137,0))</f>
        <v>0.2</v>
      </c>
      <c r="H1550" s="14" t="e">
        <f>INDEX(Background!$D$12:$D$27,MATCH(C1550&amp;D1550,INDEX(Background!$A$12:$A$27,0)&amp;INDEX(Background!$B$12:$B$27,0),0))</f>
        <v>#VALUE!</v>
      </c>
      <c r="I1550" s="17" t="e">
        <f t="shared" si="80"/>
        <v>#VALUE!</v>
      </c>
    </row>
    <row r="1551" spans="1:9">
      <c r="A1551" s="4" t="s">
        <v>773</v>
      </c>
      <c r="B1551" s="4">
        <v>59</v>
      </c>
      <c r="C1551" s="4" t="s">
        <v>72</v>
      </c>
      <c r="D1551" s="4" t="s">
        <v>73</v>
      </c>
      <c r="E1551" s="4" t="s">
        <v>788</v>
      </c>
      <c r="F1551" s="4" t="str">
        <f t="shared" si="79"/>
        <v>59|U|A</v>
      </c>
      <c r="G1551" s="14">
        <f>INDEX('Transition Stepwise'!$J$2:$J$1137,MATCH(F1551,'Transition Stepwise'!$E$2:$E$1137,0))</f>
        <v>1.8518518518518517E-2</v>
      </c>
      <c r="H1551" s="14" t="e">
        <f>INDEX(Background!$D$12:$D$27,MATCH(C1551&amp;D1551,INDEX(Background!$A$12:$A$27,0)&amp;INDEX(Background!$B$12:$B$27,0),0))</f>
        <v>#VALUE!</v>
      </c>
      <c r="I1551" s="17" t="e">
        <f t="shared" si="80"/>
        <v>#VALUE!</v>
      </c>
    </row>
    <row r="1552" spans="1:9">
      <c r="A1552" s="4" t="s">
        <v>773</v>
      </c>
      <c r="B1552" s="4">
        <v>60</v>
      </c>
      <c r="C1552" s="4" t="s">
        <v>73</v>
      </c>
      <c r="D1552" s="4" t="s">
        <v>71</v>
      </c>
      <c r="E1552" s="4" t="s">
        <v>788</v>
      </c>
      <c r="F1552" s="4" t="str">
        <f t="shared" si="79"/>
        <v>60|A|C</v>
      </c>
      <c r="G1552" s="14">
        <f>INDEX('Transition Stepwise'!$J$2:$J$1137,MATCH(F1552,'Transition Stepwise'!$E$2:$E$1137,0))</f>
        <v>0.4</v>
      </c>
      <c r="H1552" s="14" t="e">
        <f>INDEX(Background!$D$12:$D$27,MATCH(C1552&amp;D1552,INDEX(Background!$A$12:$A$27,0)&amp;INDEX(Background!$B$12:$B$27,0),0))</f>
        <v>#VALUE!</v>
      </c>
      <c r="I1552" s="17" t="e">
        <f t="shared" si="80"/>
        <v>#VALUE!</v>
      </c>
    </row>
    <row r="1553" spans="1:9">
      <c r="A1553" s="4" t="s">
        <v>773</v>
      </c>
      <c r="B1553" s="4">
        <v>61</v>
      </c>
      <c r="C1553" s="4" t="s">
        <v>71</v>
      </c>
      <c r="D1553" s="4" t="s">
        <v>72</v>
      </c>
      <c r="E1553" s="4" t="s">
        <v>788</v>
      </c>
      <c r="F1553" s="4" t="str">
        <f t="shared" si="79"/>
        <v>61|C|U</v>
      </c>
      <c r="G1553" s="14">
        <f>INDEX('Transition Stepwise'!$J$2:$J$1137,MATCH(F1553,'Transition Stepwise'!$E$2:$E$1137,0))</f>
        <v>0.12871287128712872</v>
      </c>
      <c r="H1553" s="14" t="e">
        <f>INDEX(Background!$D$12:$D$27,MATCH(C1553&amp;D1553,INDEX(Background!$A$12:$A$27,0)&amp;INDEX(Background!$B$12:$B$27,0),0))</f>
        <v>#VALUE!</v>
      </c>
      <c r="I1553" s="17" t="e">
        <f t="shared" si="80"/>
        <v>#VALUE!</v>
      </c>
    </row>
    <row r="1554" spans="1:9">
      <c r="A1554" s="4" t="s">
        <v>773</v>
      </c>
      <c r="B1554" s="4">
        <v>62</v>
      </c>
      <c r="C1554" s="4" t="s">
        <v>72</v>
      </c>
      <c r="D1554" s="4" t="s">
        <v>72</v>
      </c>
      <c r="E1554" s="4" t="s">
        <v>788</v>
      </c>
      <c r="F1554" s="4" t="str">
        <f t="shared" si="79"/>
        <v>62|U|U</v>
      </c>
      <c r="G1554" s="14">
        <f>INDEX('Transition Stepwise'!$J$2:$J$1137,MATCH(F1554,'Transition Stepwise'!$E$2:$E$1137,0))</f>
        <v>0.1</v>
      </c>
      <c r="H1554" s="14" t="e">
        <f>INDEX(Background!$D$12:$D$27,MATCH(C1554&amp;D1554,INDEX(Background!$A$12:$A$27,0)&amp;INDEX(Background!$B$12:$B$27,0),0))</f>
        <v>#VALUE!</v>
      </c>
      <c r="I1554" s="17" t="e">
        <f t="shared" si="80"/>
        <v>#VALUE!</v>
      </c>
    </row>
    <row r="1555" spans="1:9">
      <c r="A1555" s="4" t="s">
        <v>773</v>
      </c>
      <c r="B1555" s="4">
        <v>63</v>
      </c>
      <c r="C1555" s="4" t="s">
        <v>72</v>
      </c>
      <c r="D1555" s="4" t="s">
        <v>72</v>
      </c>
      <c r="E1555" s="4" t="s">
        <v>788</v>
      </c>
      <c r="F1555" s="4" t="str">
        <f t="shared" si="79"/>
        <v>63|U|U</v>
      </c>
      <c r="G1555" s="14">
        <f>INDEX('Transition Stepwise'!$J$2:$J$1137,MATCH(F1555,'Transition Stepwise'!$E$2:$E$1137,0))</f>
        <v>0.1388888888888889</v>
      </c>
      <c r="H1555" s="14" t="e">
        <f>INDEX(Background!$D$12:$D$27,MATCH(C1555&amp;D1555,INDEX(Background!$A$12:$A$27,0)&amp;INDEX(Background!$B$12:$B$27,0),0))</f>
        <v>#VALUE!</v>
      </c>
      <c r="I1555" s="17" t="e">
        <f t="shared" si="80"/>
        <v>#VALUE!</v>
      </c>
    </row>
    <row r="1556" spans="1:9">
      <c r="A1556" s="4" t="s">
        <v>773</v>
      </c>
      <c r="B1556" s="4">
        <v>64</v>
      </c>
      <c r="C1556" s="4" t="s">
        <v>72</v>
      </c>
      <c r="D1556" s="4" t="s">
        <v>71</v>
      </c>
      <c r="E1556" s="4" t="s">
        <v>788</v>
      </c>
      <c r="F1556" s="4" t="str">
        <f t="shared" si="79"/>
        <v>64|U|C</v>
      </c>
      <c r="G1556" s="14">
        <f>INDEX('Transition Stepwise'!$J$2:$J$1137,MATCH(F1556,'Transition Stepwise'!$E$2:$E$1137,0))</f>
        <v>0.48648648648648651</v>
      </c>
      <c r="H1556" s="14" t="e">
        <f>INDEX(Background!$D$12:$D$27,MATCH(C1556&amp;D1556,INDEX(Background!$A$12:$A$27,0)&amp;INDEX(Background!$B$12:$B$27,0),0))</f>
        <v>#VALUE!</v>
      </c>
      <c r="I1556" s="17" t="e">
        <f t="shared" si="80"/>
        <v>#VALUE!</v>
      </c>
    </row>
    <row r="1557" spans="1:9">
      <c r="A1557" s="4" t="s">
        <v>773</v>
      </c>
      <c r="B1557" s="4">
        <v>65</v>
      </c>
      <c r="C1557" s="4" t="s">
        <v>71</v>
      </c>
      <c r="D1557" s="4" t="s">
        <v>73</v>
      </c>
      <c r="E1557" s="4" t="s">
        <v>788</v>
      </c>
      <c r="F1557" s="4" t="str">
        <f t="shared" si="79"/>
        <v>65|C|A</v>
      </c>
      <c r="G1557" s="14">
        <f>INDEX('Transition Stepwise'!$J$2:$J$1137,MATCH(F1557,'Transition Stepwise'!$E$2:$E$1137,0))</f>
        <v>0.17910447761194029</v>
      </c>
      <c r="H1557" s="14" t="e">
        <f>INDEX(Background!$D$12:$D$27,MATCH(C1557&amp;D1557,INDEX(Background!$A$12:$A$27,0)&amp;INDEX(Background!$B$12:$B$27,0),0))</f>
        <v>#VALUE!</v>
      </c>
      <c r="I1557" s="17" t="e">
        <f t="shared" si="80"/>
        <v>#VALUE!</v>
      </c>
    </row>
    <row r="1558" spans="1:9">
      <c r="A1558" s="4" t="s">
        <v>773</v>
      </c>
      <c r="B1558" s="4">
        <v>66</v>
      </c>
      <c r="C1558" s="4" t="s">
        <v>73</v>
      </c>
      <c r="D1558" s="4" t="s">
        <v>72</v>
      </c>
      <c r="E1558" s="4" t="s">
        <v>788</v>
      </c>
      <c r="F1558" s="4" t="str">
        <f t="shared" si="79"/>
        <v>66|A|U</v>
      </c>
      <c r="G1558" s="14">
        <f>INDEX('Transition Stepwise'!$J$2:$J$1137,MATCH(F1558,'Transition Stepwise'!$E$2:$E$1137,0))</f>
        <v>0.25531914893617019</v>
      </c>
      <c r="H1558" s="14" t="e">
        <f>INDEX(Background!$D$12:$D$27,MATCH(C1558&amp;D1558,INDEX(Background!$A$12:$A$27,0)&amp;INDEX(Background!$B$12:$B$27,0),0))</f>
        <v>#VALUE!</v>
      </c>
      <c r="I1558" s="17" t="e">
        <f t="shared" si="80"/>
        <v>#VALUE!</v>
      </c>
    </row>
    <row r="1559" spans="1:9">
      <c r="A1559" s="4" t="s">
        <v>773</v>
      </c>
      <c r="B1559" s="4">
        <v>67</v>
      </c>
      <c r="C1559" s="4" t="s">
        <v>72</v>
      </c>
      <c r="D1559" s="4" t="s">
        <v>70</v>
      </c>
      <c r="E1559" s="4" t="s">
        <v>788</v>
      </c>
      <c r="F1559" s="4" t="str">
        <f t="shared" si="79"/>
        <v>67|U|G</v>
      </c>
      <c r="G1559" s="14">
        <f>INDEX('Transition Stepwise'!$J$2:$J$1137,MATCH(F1559,'Transition Stepwise'!$E$2:$E$1137,0))</f>
        <v>0.2857142857142857</v>
      </c>
      <c r="H1559" s="14" t="e">
        <f>INDEX(Background!$D$12:$D$27,MATCH(C1559&amp;D1559,INDEX(Background!$A$12:$A$27,0)&amp;INDEX(Background!$B$12:$B$27,0),0))</f>
        <v>#VALUE!</v>
      </c>
      <c r="I1559" s="17" t="e">
        <f t="shared" si="80"/>
        <v>#VALUE!</v>
      </c>
    </row>
    <row r="1560" spans="1:9">
      <c r="A1560" s="4" t="s">
        <v>773</v>
      </c>
      <c r="B1560" s="4">
        <v>68</v>
      </c>
      <c r="C1560" s="4" t="s">
        <v>70</v>
      </c>
      <c r="D1560" s="4" t="s">
        <v>70</v>
      </c>
      <c r="E1560" s="4" t="s">
        <v>788</v>
      </c>
      <c r="F1560" s="4" t="str">
        <f t="shared" si="79"/>
        <v>68|G|G</v>
      </c>
      <c r="G1560" s="14">
        <f>INDEX('Transition Stepwise'!$J$2:$J$1137,MATCH(F1560,'Transition Stepwise'!$E$2:$E$1137,0))</f>
        <v>0.5494505494505495</v>
      </c>
      <c r="H1560" s="14" t="e">
        <f>INDEX(Background!$D$12:$D$27,MATCH(C1560&amp;D1560,INDEX(Background!$A$12:$A$27,0)&amp;INDEX(Background!$B$12:$B$27,0),0))</f>
        <v>#VALUE!</v>
      </c>
      <c r="I1560" s="17" t="e">
        <f t="shared" si="80"/>
        <v>#VALUE!</v>
      </c>
    </row>
    <row r="1561" spans="1:9">
      <c r="A1561" s="4" t="s">
        <v>773</v>
      </c>
      <c r="B1561" s="4">
        <v>69</v>
      </c>
      <c r="C1561" s="4" t="s">
        <v>70</v>
      </c>
      <c r="D1561" s="4" t="s">
        <v>73</v>
      </c>
      <c r="E1561" s="4" t="s">
        <v>788</v>
      </c>
      <c r="F1561" s="4" t="str">
        <f t="shared" si="79"/>
        <v>69|G|A</v>
      </c>
      <c r="G1561" s="14">
        <f>INDEX('Transition Stepwise'!$J$2:$J$1137,MATCH(F1561,'Transition Stepwise'!$E$2:$E$1137,0))</f>
        <v>0.13513513513513514</v>
      </c>
      <c r="H1561" s="14" t="e">
        <f>INDEX(Background!$D$12:$D$27,MATCH(C1561&amp;D1561,INDEX(Background!$A$12:$A$27,0)&amp;INDEX(Background!$B$12:$B$27,0),0))</f>
        <v>#VALUE!</v>
      </c>
      <c r="I1561" s="17" t="e">
        <f t="shared" si="80"/>
        <v>#VALUE!</v>
      </c>
    </row>
    <row r="1562" spans="1:9">
      <c r="A1562" s="4" t="s">
        <v>773</v>
      </c>
      <c r="B1562" s="4">
        <v>70</v>
      </c>
      <c r="C1562" s="4" t="s">
        <v>73</v>
      </c>
      <c r="D1562" s="4" t="s">
        <v>72</v>
      </c>
      <c r="E1562" s="4" t="s">
        <v>788</v>
      </c>
      <c r="F1562" s="4" t="str">
        <f t="shared" si="79"/>
        <v>70|A|U</v>
      </c>
      <c r="G1562" s="14">
        <f>INDEX('Transition Stepwise'!$J$2:$J$1137,MATCH(F1562,'Transition Stepwise'!$E$2:$E$1137,0))</f>
        <v>0.1111111111111111</v>
      </c>
      <c r="H1562" s="14" t="e">
        <f>INDEX(Background!$D$12:$D$27,MATCH(C1562&amp;D1562,INDEX(Background!$A$12:$A$27,0)&amp;INDEX(Background!$B$12:$B$27,0),0))</f>
        <v>#VALUE!</v>
      </c>
      <c r="I1562" s="17" t="e">
        <f t="shared" si="80"/>
        <v>#VALUE!</v>
      </c>
    </row>
    <row r="1563" spans="1:9">
      <c r="A1563" s="4" t="s">
        <v>773</v>
      </c>
      <c r="B1563" s="4">
        <v>71</v>
      </c>
      <c r="C1563" s="4" t="s">
        <v>72</v>
      </c>
      <c r="D1563" s="4" t="s">
        <v>72</v>
      </c>
      <c r="E1563" s="4" t="s">
        <v>788</v>
      </c>
      <c r="F1563" s="4" t="str">
        <f t="shared" si="79"/>
        <v>71|U|U</v>
      </c>
      <c r="G1563" s="14">
        <f>INDEX('Transition Stepwise'!$J$2:$J$1137,MATCH(F1563,'Transition Stepwise'!$E$2:$E$1137,0))</f>
        <v>7.6923076923076927E-2</v>
      </c>
      <c r="H1563" s="14" t="e">
        <f>INDEX(Background!$D$12:$D$27,MATCH(C1563&amp;D1563,INDEX(Background!$A$12:$A$27,0)&amp;INDEX(Background!$B$12:$B$27,0),0))</f>
        <v>#VALUE!</v>
      </c>
      <c r="I1563" s="17" t="e">
        <f t="shared" si="80"/>
        <v>#VALUE!</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dimension ref="A1:N41"/>
  <sheetViews>
    <sheetView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cols>
    <col min="1" max="1" width="14" customWidth="1"/>
    <col min="2" max="3" width="12" customWidth="1"/>
    <col min="4" max="4" width="14" customWidth="1"/>
    <col min="5" max="5" width="16" customWidth="1"/>
    <col min="6" max="6" width="18" customWidth="1"/>
    <col min="7" max="7" width="22" customWidth="1"/>
    <col min="8" max="8" width="24" customWidth="1"/>
    <col min="9" max="9" width="18" customWidth="1"/>
    <col min="10" max="10" width="14" customWidth="1"/>
    <col min="11" max="11" width="16" customWidth="1"/>
    <col min="12" max="12" width="14" customWidth="1"/>
    <col min="13" max="13" width="18" customWidth="1"/>
    <col min="14" max="14" width="14" customWidth="1"/>
  </cols>
  <sheetData>
    <row r="1" spans="1:14" ht="15.75">
      <c r="A1" s="2" t="s">
        <v>790</v>
      </c>
      <c r="B1" s="4"/>
      <c r="C1" s="4"/>
      <c r="D1" s="4"/>
      <c r="E1" s="4"/>
      <c r="F1" s="4"/>
      <c r="G1" s="4"/>
      <c r="H1" s="4"/>
      <c r="I1" s="4"/>
      <c r="J1" s="4"/>
      <c r="K1" s="4"/>
      <c r="L1" s="4"/>
      <c r="M1" s="4"/>
      <c r="N1" s="4"/>
    </row>
    <row r="2" spans="1:14">
      <c r="A2" s="4" t="s">
        <v>791</v>
      </c>
      <c r="B2" s="4"/>
      <c r="C2" s="4"/>
      <c r="D2" s="4"/>
      <c r="E2" s="4"/>
      <c r="F2" s="4"/>
      <c r="G2" s="4"/>
      <c r="H2" s="4"/>
      <c r="I2" s="4"/>
      <c r="J2" s="4"/>
      <c r="K2" s="4"/>
      <c r="L2" s="4"/>
      <c r="M2" s="4"/>
      <c r="N2" s="4"/>
    </row>
    <row r="3" spans="1:14">
      <c r="A3" s="4"/>
      <c r="B3" s="4"/>
      <c r="C3" s="4"/>
      <c r="D3" s="4"/>
      <c r="E3" s="4"/>
      <c r="F3" s="4"/>
      <c r="G3" s="4"/>
      <c r="H3" s="4"/>
      <c r="I3" s="4"/>
      <c r="J3" s="4"/>
      <c r="K3" s="4"/>
      <c r="L3" s="4"/>
      <c r="M3" s="4"/>
      <c r="N3" s="4"/>
    </row>
    <row r="4" spans="1:14" ht="26.25">
      <c r="A4" s="9" t="s">
        <v>669</v>
      </c>
      <c r="B4" s="9" t="s">
        <v>670</v>
      </c>
      <c r="C4" s="9" t="s">
        <v>65</v>
      </c>
      <c r="D4" s="9" t="s">
        <v>386</v>
      </c>
      <c r="E4" s="9" t="s">
        <v>673</v>
      </c>
      <c r="F4" s="9" t="s">
        <v>792</v>
      </c>
      <c r="G4" s="9" t="s">
        <v>793</v>
      </c>
      <c r="H4" s="9" t="s">
        <v>794</v>
      </c>
      <c r="I4" s="9" t="s">
        <v>459</v>
      </c>
      <c r="J4" s="9" t="s">
        <v>476</v>
      </c>
      <c r="K4" s="9" t="s">
        <v>480</v>
      </c>
      <c r="L4" s="9" t="s">
        <v>484</v>
      </c>
      <c r="M4" s="9" t="s">
        <v>795</v>
      </c>
      <c r="N4" s="9" t="s">
        <v>796</v>
      </c>
    </row>
    <row r="5" spans="1:14">
      <c r="A5" s="4" t="s">
        <v>759</v>
      </c>
      <c r="B5" s="4" t="s">
        <v>748</v>
      </c>
      <c r="C5" s="4" t="s">
        <v>314</v>
      </c>
      <c r="D5" s="18">
        <v>0.64790000000000003</v>
      </c>
      <c r="E5" s="4">
        <f>COUNTIFS('Cand+Decoy Per-Position'!$A$2:$A$1585,$A5,'Cand+Decoy Per-Position'!$H$2:$H$1585,"&lt;&gt;")</f>
        <v>71</v>
      </c>
      <c r="F5" s="4">
        <f>COUNTIFS('Cand+Decoy Per-Transition'!$A$2:$A$1563,$A5,'Cand+Decoy Per-Transition'!$E$2:$E$1563,"yes")</f>
        <v>69</v>
      </c>
      <c r="G5" s="17">
        <f>AVERAGEIFS('Cand+Decoy Per-Position'!$H$2:$H$1585,'Cand+Decoy Per-Position'!$A$2:$A$1585,$A5)</f>
        <v>3.7491013533288438E-2</v>
      </c>
      <c r="H5" s="17" t="e">
        <f>AVERAGEIFS('Cand+Decoy Per-Transition'!$I$2:$I$1563,'Cand+Decoy Per-Transition'!$A$2:$A$1563,$A5,'Cand+Decoy Per-Transition'!$E$2:$E$1563,"yes")</f>
        <v>#VALUE!</v>
      </c>
      <c r="I5" s="17" t="e">
        <f t="shared" ref="I5:I26" si="0">AVERAGE(G5:H5)</f>
        <v>#VALUE!</v>
      </c>
      <c r="J5" s="18">
        <v>0.90480000000000005</v>
      </c>
      <c r="K5" s="4" t="s">
        <v>797</v>
      </c>
      <c r="L5" s="4" t="s">
        <v>798</v>
      </c>
      <c r="M5" s="4" t="s">
        <v>314</v>
      </c>
      <c r="N5" s="4" t="s">
        <v>788</v>
      </c>
    </row>
    <row r="6" spans="1:14">
      <c r="A6" s="4" t="s">
        <v>753</v>
      </c>
      <c r="B6" s="4" t="s">
        <v>748</v>
      </c>
      <c r="C6" s="4" t="s">
        <v>328</v>
      </c>
      <c r="D6" s="18">
        <v>0.44440000000000002</v>
      </c>
      <c r="E6" s="4">
        <f>COUNTIFS('Cand+Decoy Per-Position'!$A$2:$A$1585,$A6,'Cand+Decoy Per-Position'!$H$2:$H$1585,"&lt;&gt;")</f>
        <v>72</v>
      </c>
      <c r="F6" s="4">
        <f>COUNTIFS('Cand+Decoy Per-Transition'!$A$2:$A$1563,$A6,'Cand+Decoy Per-Transition'!$E$2:$E$1563,"yes")</f>
        <v>71</v>
      </c>
      <c r="G6" s="17">
        <f>AVERAGEIFS('Cand+Decoy Per-Position'!$H$2:$H$1585,'Cand+Decoy Per-Position'!$A$2:$A$1585,$A6)</f>
        <v>-0.18818863438285513</v>
      </c>
      <c r="H6" s="17" t="e">
        <f>AVERAGEIFS('Cand+Decoy Per-Transition'!$I$2:$I$1563,'Cand+Decoy Per-Transition'!$A$2:$A$1563,$A6,'Cand+Decoy Per-Transition'!$E$2:$E$1563,"yes")</f>
        <v>#VALUE!</v>
      </c>
      <c r="I6" s="17" t="e">
        <f t="shared" si="0"/>
        <v>#VALUE!</v>
      </c>
      <c r="J6" s="18">
        <v>0.90480000000000005</v>
      </c>
      <c r="K6" s="4" t="s">
        <v>797</v>
      </c>
      <c r="L6" s="4" t="s">
        <v>798</v>
      </c>
      <c r="M6" s="4" t="s">
        <v>328</v>
      </c>
      <c r="N6" s="4" t="s">
        <v>788</v>
      </c>
    </row>
    <row r="7" spans="1:14">
      <c r="A7" s="16" t="s">
        <v>767</v>
      </c>
      <c r="B7" s="16" t="s">
        <v>761</v>
      </c>
      <c r="C7" s="16" t="s">
        <v>750</v>
      </c>
      <c r="D7" s="19">
        <v>0.30559999999999998</v>
      </c>
      <c r="E7" s="16">
        <f>COUNTIFS('Cand+Decoy Per-Position'!$A$2:$A$1585,$A7,'Cand+Decoy Per-Position'!$H$2:$H$1585,"&lt;&gt;")</f>
        <v>72</v>
      </c>
      <c r="F7" s="16">
        <f>COUNTIFS('Cand+Decoy Per-Transition'!$A$2:$A$1563,$A7,'Cand+Decoy Per-Transition'!$E$2:$E$1563,"yes")</f>
        <v>71</v>
      </c>
      <c r="G7" s="20">
        <f>AVERAGEIFS('Cand+Decoy Per-Position'!$H$2:$H$1585,'Cand+Decoy Per-Position'!$A$2:$A$1585,$A7)</f>
        <v>-0.20666286541902681</v>
      </c>
      <c r="H7" s="20" t="e">
        <f>AVERAGEIFS('Cand+Decoy Per-Transition'!$I$2:$I$1563,'Cand+Decoy Per-Transition'!$A$2:$A$1563,$A7,'Cand+Decoy Per-Transition'!$E$2:$E$1563,"yes")</f>
        <v>#VALUE!</v>
      </c>
      <c r="I7" s="20" t="e">
        <f t="shared" si="0"/>
        <v>#VALUE!</v>
      </c>
      <c r="J7" s="19">
        <v>0.90480000000000005</v>
      </c>
      <c r="K7" s="16" t="s">
        <v>799</v>
      </c>
      <c r="L7" s="16" t="s">
        <v>800</v>
      </c>
      <c r="M7" s="16" t="s">
        <v>750</v>
      </c>
      <c r="N7" s="16" t="s">
        <v>788</v>
      </c>
    </row>
    <row r="8" spans="1:14">
      <c r="A8" s="16" t="s">
        <v>762</v>
      </c>
      <c r="B8" s="16" t="s">
        <v>761</v>
      </c>
      <c r="C8" s="16" t="s">
        <v>750</v>
      </c>
      <c r="D8" s="19">
        <v>0.29170000000000001</v>
      </c>
      <c r="E8" s="16">
        <f>COUNTIFS('Cand+Decoy Per-Position'!$A$2:$A$1585,$A8,'Cand+Decoy Per-Position'!$H$2:$H$1585,"&lt;&gt;")</f>
        <v>72</v>
      </c>
      <c r="F8" s="16">
        <f>COUNTIFS('Cand+Decoy Per-Transition'!$A$2:$A$1563,$A8,'Cand+Decoy Per-Transition'!$E$2:$E$1563,"yes")</f>
        <v>71</v>
      </c>
      <c r="G8" s="20">
        <f>AVERAGEIFS('Cand+Decoy Per-Position'!$H$2:$H$1585,'Cand+Decoy Per-Position'!$A$2:$A$1585,$A8)</f>
        <v>-0.25676994195067288</v>
      </c>
      <c r="H8" s="20" t="e">
        <f>AVERAGEIFS('Cand+Decoy Per-Transition'!$I$2:$I$1563,'Cand+Decoy Per-Transition'!$A$2:$A$1563,$A8,'Cand+Decoy Per-Transition'!$E$2:$E$1563,"yes")</f>
        <v>#VALUE!</v>
      </c>
      <c r="I8" s="20" t="e">
        <f t="shared" si="0"/>
        <v>#VALUE!</v>
      </c>
      <c r="J8" s="19">
        <v>0.95240000000000002</v>
      </c>
      <c r="K8" s="16" t="s">
        <v>801</v>
      </c>
      <c r="L8" s="16" t="s">
        <v>802</v>
      </c>
      <c r="M8" s="16" t="s">
        <v>750</v>
      </c>
      <c r="N8" s="16" t="s">
        <v>788</v>
      </c>
    </row>
    <row r="9" spans="1:14">
      <c r="A9" s="16" t="s">
        <v>772</v>
      </c>
      <c r="B9" s="16" t="s">
        <v>761</v>
      </c>
      <c r="C9" s="16" t="s">
        <v>328</v>
      </c>
      <c r="D9" s="19">
        <v>0.40279999999999999</v>
      </c>
      <c r="E9" s="16">
        <f>COUNTIFS('Cand+Decoy Per-Position'!$A$2:$A$1585,$A9,'Cand+Decoy Per-Position'!$H$2:$H$1585,"&lt;&gt;")</f>
        <v>72</v>
      </c>
      <c r="F9" s="16">
        <f>COUNTIFS('Cand+Decoy Per-Transition'!$A$2:$A$1563,$A9,'Cand+Decoy Per-Transition'!$E$2:$E$1563,"yes")</f>
        <v>71</v>
      </c>
      <c r="G9" s="20">
        <f>AVERAGEIFS('Cand+Decoy Per-Position'!$H$2:$H$1585,'Cand+Decoy Per-Position'!$A$2:$A$1585,$A9)</f>
        <v>-0.19831709517267926</v>
      </c>
      <c r="H9" s="20" t="e">
        <f>AVERAGEIFS('Cand+Decoy Per-Transition'!$I$2:$I$1563,'Cand+Decoy Per-Transition'!$A$2:$A$1563,$A9,'Cand+Decoy Per-Transition'!$E$2:$E$1563,"yes")</f>
        <v>#VALUE!</v>
      </c>
      <c r="I9" s="20" t="e">
        <f t="shared" si="0"/>
        <v>#VALUE!</v>
      </c>
      <c r="J9" s="19">
        <v>0.90480000000000005</v>
      </c>
      <c r="K9" s="16" t="s">
        <v>801</v>
      </c>
      <c r="L9" s="16" t="s">
        <v>800</v>
      </c>
      <c r="M9" s="16" t="s">
        <v>328</v>
      </c>
      <c r="N9" s="16" t="s">
        <v>788</v>
      </c>
    </row>
    <row r="10" spans="1:14">
      <c r="A10" s="4" t="s">
        <v>754</v>
      </c>
      <c r="B10" s="4" t="s">
        <v>748</v>
      </c>
      <c r="C10" s="4" t="s">
        <v>328</v>
      </c>
      <c r="D10" s="18">
        <v>0.45829999999999999</v>
      </c>
      <c r="E10" s="4">
        <f>COUNTIFS('Cand+Decoy Per-Position'!$A$2:$A$1585,$A10,'Cand+Decoy Per-Position'!$H$2:$H$1585,"&lt;&gt;")</f>
        <v>72</v>
      </c>
      <c r="F10" s="4">
        <f>COUNTIFS('Cand+Decoy Per-Transition'!$A$2:$A$1563,$A10,'Cand+Decoy Per-Transition'!$E$2:$E$1563,"yes")</f>
        <v>71</v>
      </c>
      <c r="G10" s="17">
        <f>AVERAGEIFS('Cand+Decoy Per-Position'!$H$2:$H$1585,'Cand+Decoy Per-Position'!$A$2:$A$1585,$A10)</f>
        <v>-0.31719566060111876</v>
      </c>
      <c r="H10" s="17" t="e">
        <f>AVERAGEIFS('Cand+Decoy Per-Transition'!$I$2:$I$1563,'Cand+Decoy Per-Transition'!$A$2:$A$1563,$A10,'Cand+Decoy Per-Transition'!$E$2:$E$1563,"yes")</f>
        <v>#VALUE!</v>
      </c>
      <c r="I10" s="17" t="e">
        <f t="shared" si="0"/>
        <v>#VALUE!</v>
      </c>
      <c r="J10" s="18">
        <v>0.90480000000000005</v>
      </c>
      <c r="K10" s="4" t="s">
        <v>803</v>
      </c>
      <c r="L10" s="4" t="s">
        <v>804</v>
      </c>
      <c r="M10" s="4" t="s">
        <v>328</v>
      </c>
      <c r="N10" s="4" t="s">
        <v>788</v>
      </c>
    </row>
    <row r="11" spans="1:14">
      <c r="A11" s="4" t="s">
        <v>755</v>
      </c>
      <c r="B11" s="4" t="s">
        <v>748</v>
      </c>
      <c r="C11" s="4" t="s">
        <v>328</v>
      </c>
      <c r="D11" s="18">
        <v>0.54930000000000001</v>
      </c>
      <c r="E11" s="4">
        <f>COUNTIFS('Cand+Decoy Per-Position'!$A$2:$A$1585,$A11,'Cand+Decoy Per-Position'!$H$2:$H$1585,"&lt;&gt;")</f>
        <v>71</v>
      </c>
      <c r="F11" s="4">
        <f>COUNTIFS('Cand+Decoy Per-Transition'!$A$2:$A$1563,$A11,'Cand+Decoy Per-Transition'!$E$2:$E$1563,"yes")</f>
        <v>69</v>
      </c>
      <c r="G11" s="17">
        <f>AVERAGEIFS('Cand+Decoy Per-Position'!$H$2:$H$1585,'Cand+Decoy Per-Position'!$A$2:$A$1585,$A11)</f>
        <v>-0.30347509708341119</v>
      </c>
      <c r="H11" s="17" t="e">
        <f>AVERAGEIFS('Cand+Decoy Per-Transition'!$I$2:$I$1563,'Cand+Decoy Per-Transition'!$A$2:$A$1563,$A11,'Cand+Decoy Per-Transition'!$E$2:$E$1563,"yes")</f>
        <v>#VALUE!</v>
      </c>
      <c r="I11" s="17" t="e">
        <f t="shared" si="0"/>
        <v>#VALUE!</v>
      </c>
      <c r="J11" s="18">
        <v>0.90480000000000005</v>
      </c>
      <c r="K11" s="4" t="s">
        <v>805</v>
      </c>
      <c r="L11" s="4" t="s">
        <v>800</v>
      </c>
      <c r="M11" s="4" t="s">
        <v>328</v>
      </c>
      <c r="N11" s="4" t="s">
        <v>788</v>
      </c>
    </row>
    <row r="12" spans="1:14">
      <c r="A12" s="16" t="s">
        <v>768</v>
      </c>
      <c r="B12" s="16" t="s">
        <v>761</v>
      </c>
      <c r="C12" s="16" t="s">
        <v>750</v>
      </c>
      <c r="D12" s="19">
        <v>0.22539999999999999</v>
      </c>
      <c r="E12" s="16">
        <f>COUNTIFS('Cand+Decoy Per-Position'!$A$2:$A$1585,$A12,'Cand+Decoy Per-Position'!$H$2:$H$1585,"&lt;&gt;")</f>
        <v>71</v>
      </c>
      <c r="F12" s="16">
        <f>COUNTIFS('Cand+Decoy Per-Transition'!$A$2:$A$1563,$A12,'Cand+Decoy Per-Transition'!$E$2:$E$1563,"yes")</f>
        <v>69</v>
      </c>
      <c r="G12" s="20">
        <f>AVERAGEIFS('Cand+Decoy Per-Position'!$H$2:$H$1585,'Cand+Decoy Per-Position'!$A$2:$A$1585,$A12)</f>
        <v>-0.25320778651169951</v>
      </c>
      <c r="H12" s="20" t="e">
        <f>AVERAGEIFS('Cand+Decoy Per-Transition'!$I$2:$I$1563,'Cand+Decoy Per-Transition'!$A$2:$A$1563,$A12,'Cand+Decoy Per-Transition'!$E$2:$E$1563,"yes")</f>
        <v>#VALUE!</v>
      </c>
      <c r="I12" s="20" t="e">
        <f t="shared" si="0"/>
        <v>#VALUE!</v>
      </c>
      <c r="J12" s="19">
        <v>0.90480000000000005</v>
      </c>
      <c r="K12" s="16" t="s">
        <v>799</v>
      </c>
      <c r="L12" s="16" t="s">
        <v>806</v>
      </c>
      <c r="M12" s="16" t="s">
        <v>750</v>
      </c>
      <c r="N12" s="16" t="s">
        <v>788</v>
      </c>
    </row>
    <row r="13" spans="1:14">
      <c r="A13" s="4" t="s">
        <v>757</v>
      </c>
      <c r="B13" s="4" t="s">
        <v>748</v>
      </c>
      <c r="C13" s="4" t="s">
        <v>314</v>
      </c>
      <c r="D13" s="18">
        <v>0.3286</v>
      </c>
      <c r="E13" s="4">
        <f>COUNTIFS('Cand+Decoy Per-Position'!$A$2:$A$1585,$A13,'Cand+Decoy Per-Position'!$H$2:$H$1585,"&lt;&gt;")</f>
        <v>70</v>
      </c>
      <c r="F13" s="4">
        <f>COUNTIFS('Cand+Decoy Per-Transition'!$A$2:$A$1563,$A13,'Cand+Decoy Per-Transition'!$E$2:$E$1563,"yes")</f>
        <v>67</v>
      </c>
      <c r="G13" s="17">
        <f>AVERAGEIFS('Cand+Decoy Per-Position'!$H$2:$H$1585,'Cand+Decoy Per-Position'!$A$2:$A$1585,$A13)</f>
        <v>-0.34670503261838226</v>
      </c>
      <c r="H13" s="17" t="e">
        <f>AVERAGEIFS('Cand+Decoy Per-Transition'!$I$2:$I$1563,'Cand+Decoy Per-Transition'!$A$2:$A$1563,$A13,'Cand+Decoy Per-Transition'!$E$2:$E$1563,"yes")</f>
        <v>#VALUE!</v>
      </c>
      <c r="I13" s="17" t="e">
        <f t="shared" si="0"/>
        <v>#VALUE!</v>
      </c>
      <c r="J13" s="18">
        <v>0.90480000000000005</v>
      </c>
      <c r="K13" s="4" t="s">
        <v>805</v>
      </c>
      <c r="L13" s="4" t="s">
        <v>802</v>
      </c>
      <c r="M13" s="4" t="s">
        <v>314</v>
      </c>
      <c r="N13" s="4" t="s">
        <v>788</v>
      </c>
    </row>
    <row r="14" spans="1:14">
      <c r="A14" s="4" t="s">
        <v>751</v>
      </c>
      <c r="B14" s="4" t="s">
        <v>748</v>
      </c>
      <c r="C14" s="4" t="s">
        <v>750</v>
      </c>
      <c r="D14" s="18">
        <v>0.44290000000000002</v>
      </c>
      <c r="E14" s="4">
        <f>COUNTIFS('Cand+Decoy Per-Position'!$A$2:$A$1585,$A14,'Cand+Decoy Per-Position'!$H$2:$H$1585,"&lt;&gt;")</f>
        <v>70</v>
      </c>
      <c r="F14" s="4">
        <f>COUNTIFS('Cand+Decoy Per-Transition'!$A$2:$A$1563,$A14,'Cand+Decoy Per-Transition'!$E$2:$E$1563,"yes")</f>
        <v>68</v>
      </c>
      <c r="G14" s="17">
        <f>AVERAGEIFS('Cand+Decoy Per-Position'!$H$2:$H$1585,'Cand+Decoy Per-Position'!$A$2:$A$1585,$A14)</f>
        <v>-0.28439230839922736</v>
      </c>
      <c r="H14" s="17" t="e">
        <f>AVERAGEIFS('Cand+Decoy Per-Transition'!$I$2:$I$1563,'Cand+Decoy Per-Transition'!$A$2:$A$1563,$A14,'Cand+Decoy Per-Transition'!$E$2:$E$1563,"yes")</f>
        <v>#VALUE!</v>
      </c>
      <c r="I14" s="17" t="e">
        <f t="shared" si="0"/>
        <v>#VALUE!</v>
      </c>
      <c r="J14" s="18">
        <v>0.95240000000000002</v>
      </c>
      <c r="K14" s="4" t="s">
        <v>805</v>
      </c>
      <c r="L14" s="4" t="s">
        <v>806</v>
      </c>
      <c r="M14" s="4" t="s">
        <v>750</v>
      </c>
      <c r="N14" s="4" t="s">
        <v>788</v>
      </c>
    </row>
    <row r="15" spans="1:14">
      <c r="A15" s="16" t="s">
        <v>763</v>
      </c>
      <c r="B15" s="16" t="s">
        <v>761</v>
      </c>
      <c r="C15" s="16" t="s">
        <v>750</v>
      </c>
      <c r="D15" s="19">
        <v>0.32390000000000002</v>
      </c>
      <c r="E15" s="16">
        <f>COUNTIFS('Cand+Decoy Per-Position'!$A$2:$A$1585,$A15,'Cand+Decoy Per-Position'!$H$2:$H$1585,"&lt;&gt;")</f>
        <v>71</v>
      </c>
      <c r="F15" s="16">
        <f>COUNTIFS('Cand+Decoy Per-Transition'!$A$2:$A$1563,$A15,'Cand+Decoy Per-Transition'!$E$2:$E$1563,"yes")</f>
        <v>69</v>
      </c>
      <c r="G15" s="20">
        <f>AVERAGEIFS('Cand+Decoy Per-Position'!$H$2:$H$1585,'Cand+Decoy Per-Position'!$A$2:$A$1585,$A15)</f>
        <v>-0.29706839598495127</v>
      </c>
      <c r="H15" s="20" t="e">
        <f>AVERAGEIFS('Cand+Decoy Per-Transition'!$I$2:$I$1563,'Cand+Decoy Per-Transition'!$A$2:$A$1563,$A15,'Cand+Decoy Per-Transition'!$E$2:$E$1563,"yes")</f>
        <v>#VALUE!</v>
      </c>
      <c r="I15" s="20" t="e">
        <f t="shared" si="0"/>
        <v>#VALUE!</v>
      </c>
      <c r="J15" s="19">
        <v>0.95240000000000002</v>
      </c>
      <c r="K15" s="16" t="s">
        <v>797</v>
      </c>
      <c r="L15" s="16" t="s">
        <v>800</v>
      </c>
      <c r="M15" s="16" t="s">
        <v>750</v>
      </c>
      <c r="N15" s="16" t="s">
        <v>788</v>
      </c>
    </row>
    <row r="16" spans="1:14">
      <c r="A16" s="4" t="s">
        <v>747</v>
      </c>
      <c r="B16" s="4" t="s">
        <v>748</v>
      </c>
      <c r="C16" s="4" t="s">
        <v>750</v>
      </c>
      <c r="D16" s="18">
        <v>0.3</v>
      </c>
      <c r="E16" s="4">
        <f>COUNTIFS('Cand+Decoy Per-Position'!$A$2:$A$1585,$A16,'Cand+Decoy Per-Position'!$H$2:$H$1585,"&lt;&gt;")</f>
        <v>70</v>
      </c>
      <c r="F16" s="4">
        <f>COUNTIFS('Cand+Decoy Per-Transition'!$A$2:$A$1563,$A16,'Cand+Decoy Per-Transition'!$E$2:$E$1563,"yes")</f>
        <v>67</v>
      </c>
      <c r="G16" s="17">
        <f>AVERAGEIFS('Cand+Decoy Per-Position'!$H$2:$H$1585,'Cand+Decoy Per-Position'!$A$2:$A$1585,$A16)</f>
        <v>-0.37247606667543876</v>
      </c>
      <c r="H16" s="17" t="e">
        <f>AVERAGEIFS('Cand+Decoy Per-Transition'!$I$2:$I$1563,'Cand+Decoy Per-Transition'!$A$2:$A$1563,$A16,'Cand+Decoy Per-Transition'!$E$2:$E$1563,"yes")</f>
        <v>#VALUE!</v>
      </c>
      <c r="I16" s="17" t="e">
        <f t="shared" si="0"/>
        <v>#VALUE!</v>
      </c>
      <c r="J16" s="18">
        <v>0.90480000000000005</v>
      </c>
      <c r="K16" s="4" t="s">
        <v>805</v>
      </c>
      <c r="L16" s="4" t="s">
        <v>802</v>
      </c>
      <c r="M16" s="4" t="s">
        <v>750</v>
      </c>
      <c r="N16" s="4" t="s">
        <v>788</v>
      </c>
    </row>
    <row r="17" spans="1:14">
      <c r="A17" s="16" t="s">
        <v>769</v>
      </c>
      <c r="B17" s="16" t="s">
        <v>761</v>
      </c>
      <c r="C17" s="16" t="s">
        <v>328</v>
      </c>
      <c r="D17" s="19">
        <v>0.27779999999999999</v>
      </c>
      <c r="E17" s="16">
        <f>COUNTIFS('Cand+Decoy Per-Position'!$A$2:$A$1585,$A17,'Cand+Decoy Per-Position'!$H$2:$H$1585,"&lt;&gt;")</f>
        <v>72</v>
      </c>
      <c r="F17" s="16">
        <f>COUNTIFS('Cand+Decoy Per-Transition'!$A$2:$A$1563,$A17,'Cand+Decoy Per-Transition'!$E$2:$E$1563,"yes")</f>
        <v>71</v>
      </c>
      <c r="G17" s="20">
        <f>AVERAGEIFS('Cand+Decoy Per-Position'!$H$2:$H$1585,'Cand+Decoy Per-Position'!$A$2:$A$1585,$A17)</f>
        <v>-0.33766346321260399</v>
      </c>
      <c r="H17" s="20" t="e">
        <f>AVERAGEIFS('Cand+Decoy Per-Transition'!$I$2:$I$1563,'Cand+Decoy Per-Transition'!$A$2:$A$1563,$A17,'Cand+Decoy Per-Transition'!$E$2:$E$1563,"yes")</f>
        <v>#VALUE!</v>
      </c>
      <c r="I17" s="20" t="e">
        <f t="shared" si="0"/>
        <v>#VALUE!</v>
      </c>
      <c r="J17" s="19">
        <v>0.90480000000000005</v>
      </c>
      <c r="K17" s="16" t="s">
        <v>801</v>
      </c>
      <c r="L17" s="16" t="s">
        <v>806</v>
      </c>
      <c r="M17" s="16" t="s">
        <v>328</v>
      </c>
      <c r="N17" s="16" t="s">
        <v>788</v>
      </c>
    </row>
    <row r="18" spans="1:14">
      <c r="A18" s="16" t="s">
        <v>765</v>
      </c>
      <c r="B18" s="16" t="s">
        <v>761</v>
      </c>
      <c r="C18" s="16" t="s">
        <v>328</v>
      </c>
      <c r="D18" s="19">
        <v>0.30559999999999998</v>
      </c>
      <c r="E18" s="16">
        <f>COUNTIFS('Cand+Decoy Per-Position'!$A$2:$A$1585,$A18,'Cand+Decoy Per-Position'!$H$2:$H$1585,"&lt;&gt;")</f>
        <v>72</v>
      </c>
      <c r="F18" s="16">
        <f>COUNTIFS('Cand+Decoy Per-Transition'!$A$2:$A$1563,$A18,'Cand+Decoy Per-Transition'!$E$2:$E$1563,"yes")</f>
        <v>71</v>
      </c>
      <c r="G18" s="20">
        <f>AVERAGEIFS('Cand+Decoy Per-Position'!$H$2:$H$1585,'Cand+Decoy Per-Position'!$A$2:$A$1585,$A18)</f>
        <v>-0.37298031177129198</v>
      </c>
      <c r="H18" s="20" t="e">
        <f>AVERAGEIFS('Cand+Decoy Per-Transition'!$I$2:$I$1563,'Cand+Decoy Per-Transition'!$A$2:$A$1563,$A18,'Cand+Decoy Per-Transition'!$E$2:$E$1563,"yes")</f>
        <v>#VALUE!</v>
      </c>
      <c r="I18" s="20" t="e">
        <f t="shared" si="0"/>
        <v>#VALUE!</v>
      </c>
      <c r="J18" s="19">
        <v>0.95240000000000002</v>
      </c>
      <c r="K18" s="16" t="s">
        <v>799</v>
      </c>
      <c r="L18" s="16" t="s">
        <v>800</v>
      </c>
      <c r="M18" s="16" t="s">
        <v>750</v>
      </c>
      <c r="N18" s="16" t="s">
        <v>807</v>
      </c>
    </row>
    <row r="19" spans="1:14">
      <c r="A19" s="16" t="s">
        <v>766</v>
      </c>
      <c r="B19" s="16" t="s">
        <v>761</v>
      </c>
      <c r="C19" s="16" t="s">
        <v>328</v>
      </c>
      <c r="D19" s="19">
        <v>0.33329999999999999</v>
      </c>
      <c r="E19" s="16">
        <f>COUNTIFS('Cand+Decoy Per-Position'!$A$2:$A$1585,$A19,'Cand+Decoy Per-Position'!$H$2:$H$1585,"&lt;&gt;")</f>
        <v>72</v>
      </c>
      <c r="F19" s="16">
        <f>COUNTIFS('Cand+Decoy Per-Transition'!$A$2:$A$1563,$A19,'Cand+Decoy Per-Transition'!$E$2:$E$1563,"yes")</f>
        <v>71</v>
      </c>
      <c r="G19" s="20">
        <f>AVERAGEIFS('Cand+Decoy Per-Position'!$H$2:$H$1585,'Cand+Decoy Per-Position'!$A$2:$A$1585,$A19)</f>
        <v>-0.4903023255031535</v>
      </c>
      <c r="H19" s="20" t="e">
        <f>AVERAGEIFS('Cand+Decoy Per-Transition'!$I$2:$I$1563,'Cand+Decoy Per-Transition'!$A$2:$A$1563,$A19,'Cand+Decoy Per-Transition'!$E$2:$E$1563,"yes")</f>
        <v>#VALUE!</v>
      </c>
      <c r="I19" s="20" t="e">
        <f t="shared" si="0"/>
        <v>#VALUE!</v>
      </c>
      <c r="J19" s="19">
        <v>0.90480000000000005</v>
      </c>
      <c r="K19" s="16" t="s">
        <v>805</v>
      </c>
      <c r="L19" s="16" t="s">
        <v>806</v>
      </c>
      <c r="M19" s="16" t="s">
        <v>328</v>
      </c>
      <c r="N19" s="16" t="s">
        <v>788</v>
      </c>
    </row>
    <row r="20" spans="1:14">
      <c r="A20" s="16" t="s">
        <v>760</v>
      </c>
      <c r="B20" s="16" t="s">
        <v>761</v>
      </c>
      <c r="C20" s="16" t="s">
        <v>750</v>
      </c>
      <c r="D20" s="19">
        <v>0.45069999999999999</v>
      </c>
      <c r="E20" s="16">
        <f>COUNTIFS('Cand+Decoy Per-Position'!$A$2:$A$1585,$A20,'Cand+Decoy Per-Position'!$H$2:$H$1585,"&lt;&gt;")</f>
        <v>71</v>
      </c>
      <c r="F20" s="16">
        <f>COUNTIFS('Cand+Decoy Per-Transition'!$A$2:$A$1563,$A20,'Cand+Decoy Per-Transition'!$E$2:$E$1563,"yes")</f>
        <v>69</v>
      </c>
      <c r="G20" s="20">
        <f>AVERAGEIFS('Cand+Decoy Per-Position'!$H$2:$H$1585,'Cand+Decoy Per-Position'!$A$2:$A$1585,$A20)</f>
        <v>-0.36854942499550825</v>
      </c>
      <c r="H20" s="20" t="e">
        <f>AVERAGEIFS('Cand+Decoy Per-Transition'!$I$2:$I$1563,'Cand+Decoy Per-Transition'!$A$2:$A$1563,$A20,'Cand+Decoy Per-Transition'!$E$2:$E$1563,"yes")</f>
        <v>#VALUE!</v>
      </c>
      <c r="I20" s="20" t="e">
        <f t="shared" si="0"/>
        <v>#VALUE!</v>
      </c>
      <c r="J20" s="19">
        <v>0.90480000000000005</v>
      </c>
      <c r="K20" s="16" t="s">
        <v>803</v>
      </c>
      <c r="L20" s="16" t="s">
        <v>806</v>
      </c>
      <c r="M20" s="16" t="s">
        <v>750</v>
      </c>
      <c r="N20" s="16" t="s">
        <v>788</v>
      </c>
    </row>
    <row r="21" spans="1:14">
      <c r="A21" s="16" t="s">
        <v>773</v>
      </c>
      <c r="B21" s="16" t="s">
        <v>761</v>
      </c>
      <c r="C21" s="16" t="s">
        <v>328</v>
      </c>
      <c r="D21" s="19">
        <v>0.29170000000000001</v>
      </c>
      <c r="E21" s="16">
        <f>COUNTIFS('Cand+Decoy Per-Position'!$A$2:$A$1585,$A21,'Cand+Decoy Per-Position'!$H$2:$H$1585,"&lt;&gt;")</f>
        <v>72</v>
      </c>
      <c r="F21" s="16">
        <f>COUNTIFS('Cand+Decoy Per-Transition'!$A$2:$A$1563,$A21,'Cand+Decoy Per-Transition'!$E$2:$E$1563,"yes")</f>
        <v>71</v>
      </c>
      <c r="G21" s="20">
        <f>AVERAGEIFS('Cand+Decoy Per-Position'!$H$2:$H$1585,'Cand+Decoy Per-Position'!$A$2:$A$1585,$A21)</f>
        <v>-0.51745024145539065</v>
      </c>
      <c r="H21" s="20" t="e">
        <f>AVERAGEIFS('Cand+Decoy Per-Transition'!$I$2:$I$1563,'Cand+Decoy Per-Transition'!$A$2:$A$1563,$A21,'Cand+Decoy Per-Transition'!$E$2:$E$1563,"yes")</f>
        <v>#VALUE!</v>
      </c>
      <c r="I21" s="20" t="e">
        <f t="shared" si="0"/>
        <v>#VALUE!</v>
      </c>
      <c r="J21" s="19">
        <v>0.95240000000000002</v>
      </c>
      <c r="K21" s="16" t="s">
        <v>805</v>
      </c>
      <c r="L21" s="16" t="s">
        <v>802</v>
      </c>
      <c r="M21" s="16" t="s">
        <v>328</v>
      </c>
      <c r="N21" s="16" t="s">
        <v>788</v>
      </c>
    </row>
    <row r="22" spans="1:14">
      <c r="A22" s="16" t="s">
        <v>770</v>
      </c>
      <c r="B22" s="16" t="s">
        <v>761</v>
      </c>
      <c r="C22" s="16" t="s">
        <v>750</v>
      </c>
      <c r="D22" s="19">
        <v>0.21129999999999999</v>
      </c>
      <c r="E22" s="16">
        <f>COUNTIFS('Cand+Decoy Per-Position'!$A$2:$A$1585,$A22,'Cand+Decoy Per-Position'!$H$2:$H$1585,"&lt;&gt;")</f>
        <v>71</v>
      </c>
      <c r="F22" s="16">
        <f>COUNTIFS('Cand+Decoy Per-Transition'!$A$2:$A$1563,$A22,'Cand+Decoy Per-Transition'!$E$2:$E$1563,"yes")</f>
        <v>69</v>
      </c>
      <c r="G22" s="20">
        <f>AVERAGEIFS('Cand+Decoy Per-Position'!$H$2:$H$1585,'Cand+Decoy Per-Position'!$A$2:$A$1585,$A22)</f>
        <v>-0.40145634717939604</v>
      </c>
      <c r="H22" s="20" t="e">
        <f>AVERAGEIFS('Cand+Decoy Per-Transition'!$I$2:$I$1563,'Cand+Decoy Per-Transition'!$A$2:$A$1563,$A22,'Cand+Decoy Per-Transition'!$E$2:$E$1563,"yes")</f>
        <v>#VALUE!</v>
      </c>
      <c r="I22" s="20" t="e">
        <f t="shared" si="0"/>
        <v>#VALUE!</v>
      </c>
      <c r="J22" s="19">
        <v>0.90480000000000005</v>
      </c>
      <c r="K22" s="16" t="s">
        <v>805</v>
      </c>
      <c r="L22" s="16" t="s">
        <v>802</v>
      </c>
      <c r="M22" s="16" t="s">
        <v>750</v>
      </c>
      <c r="N22" s="16" t="s">
        <v>788</v>
      </c>
    </row>
    <row r="23" spans="1:14">
      <c r="A23" s="16" t="s">
        <v>764</v>
      </c>
      <c r="B23" s="16" t="s">
        <v>761</v>
      </c>
      <c r="C23" s="16" t="s">
        <v>328</v>
      </c>
      <c r="D23" s="19">
        <v>0.33800000000000002</v>
      </c>
      <c r="E23" s="16">
        <f>COUNTIFS('Cand+Decoy Per-Position'!$A$2:$A$1585,$A23,'Cand+Decoy Per-Position'!$H$2:$H$1585,"&lt;&gt;")</f>
        <v>71</v>
      </c>
      <c r="F23" s="16">
        <f>COUNTIFS('Cand+Decoy Per-Transition'!$A$2:$A$1563,$A23,'Cand+Decoy Per-Transition'!$E$2:$E$1563,"yes")</f>
        <v>69</v>
      </c>
      <c r="G23" s="20">
        <f>AVERAGEIFS('Cand+Decoy Per-Position'!$H$2:$H$1585,'Cand+Decoy Per-Position'!$A$2:$A$1585,$A23)</f>
        <v>-0.50277942444439805</v>
      </c>
      <c r="H23" s="20" t="e">
        <f>AVERAGEIFS('Cand+Decoy Per-Transition'!$I$2:$I$1563,'Cand+Decoy Per-Transition'!$A$2:$A$1563,$A23,'Cand+Decoy Per-Transition'!$E$2:$E$1563,"yes")</f>
        <v>#VALUE!</v>
      </c>
      <c r="I23" s="20" t="e">
        <f t="shared" si="0"/>
        <v>#VALUE!</v>
      </c>
      <c r="J23" s="19">
        <v>0.90480000000000005</v>
      </c>
      <c r="K23" s="16" t="s">
        <v>805</v>
      </c>
      <c r="L23" s="16" t="s">
        <v>806</v>
      </c>
      <c r="M23" s="16" t="s">
        <v>328</v>
      </c>
      <c r="N23" s="16" t="s">
        <v>788</v>
      </c>
    </row>
    <row r="24" spans="1:14">
      <c r="A24" s="4" t="s">
        <v>752</v>
      </c>
      <c r="B24" s="4" t="s">
        <v>748</v>
      </c>
      <c r="C24" s="4" t="s">
        <v>750</v>
      </c>
      <c r="D24" s="18">
        <v>0.33800000000000002</v>
      </c>
      <c r="E24" s="4">
        <f>COUNTIFS('Cand+Decoy Per-Position'!$A$2:$A$1585,$A24,'Cand+Decoy Per-Position'!$H$2:$H$1585,"&lt;&gt;")</f>
        <v>71</v>
      </c>
      <c r="F24" s="4">
        <f>COUNTIFS('Cand+Decoy Per-Transition'!$A$2:$A$1563,$A24,'Cand+Decoy Per-Transition'!$E$2:$E$1563,"yes")</f>
        <v>69</v>
      </c>
      <c r="G24" s="17">
        <f>AVERAGEIFS('Cand+Decoy Per-Position'!$H$2:$H$1585,'Cand+Decoy Per-Position'!$A$2:$A$1585,$A24)</f>
        <v>-0.52619633979363301</v>
      </c>
      <c r="H24" s="17" t="e">
        <f>AVERAGEIFS('Cand+Decoy Per-Transition'!$I$2:$I$1563,'Cand+Decoy Per-Transition'!$A$2:$A$1563,$A24,'Cand+Decoy Per-Transition'!$E$2:$E$1563,"yes")</f>
        <v>#VALUE!</v>
      </c>
      <c r="I24" s="17" t="e">
        <f t="shared" si="0"/>
        <v>#VALUE!</v>
      </c>
      <c r="J24" s="18">
        <v>0.95240000000000002</v>
      </c>
      <c r="K24" s="4" t="s">
        <v>803</v>
      </c>
      <c r="L24" s="4" t="s">
        <v>802</v>
      </c>
      <c r="M24" s="4" t="s">
        <v>750</v>
      </c>
      <c r="N24" s="4" t="s">
        <v>788</v>
      </c>
    </row>
    <row r="25" spans="1:14">
      <c r="A25" s="16" t="s">
        <v>771</v>
      </c>
      <c r="B25" s="16" t="s">
        <v>761</v>
      </c>
      <c r="C25" s="16" t="s">
        <v>750</v>
      </c>
      <c r="D25" s="19">
        <v>0.30559999999999998</v>
      </c>
      <c r="E25" s="16">
        <f>COUNTIFS('Cand+Decoy Per-Position'!$A$2:$A$1585,$A25,'Cand+Decoy Per-Position'!$H$2:$H$1585,"&lt;&gt;")</f>
        <v>72</v>
      </c>
      <c r="F25" s="16">
        <f>COUNTIFS('Cand+Decoy Per-Transition'!$A$2:$A$1563,$A25,'Cand+Decoy Per-Transition'!$E$2:$E$1563,"yes")</f>
        <v>71</v>
      </c>
      <c r="G25" s="20">
        <f>AVERAGEIFS('Cand+Decoy Per-Position'!$H$2:$H$1585,'Cand+Decoy Per-Position'!$A$2:$A$1585,$A25)</f>
        <v>-0.55144341201116809</v>
      </c>
      <c r="H25" s="20" t="e">
        <f>AVERAGEIFS('Cand+Decoy Per-Transition'!$I$2:$I$1563,'Cand+Decoy Per-Transition'!$A$2:$A$1563,$A25,'Cand+Decoy Per-Transition'!$E$2:$E$1563,"yes")</f>
        <v>#VALUE!</v>
      </c>
      <c r="I25" s="20" t="e">
        <f t="shared" si="0"/>
        <v>#VALUE!</v>
      </c>
      <c r="J25" s="19">
        <v>0.90480000000000005</v>
      </c>
      <c r="K25" s="16" t="s">
        <v>799</v>
      </c>
      <c r="L25" s="16" t="s">
        <v>800</v>
      </c>
      <c r="M25" s="16" t="s">
        <v>750</v>
      </c>
      <c r="N25" s="16" t="s">
        <v>788</v>
      </c>
    </row>
    <row r="26" spans="1:14">
      <c r="A26" s="4" t="s">
        <v>756</v>
      </c>
      <c r="B26" s="4" t="s">
        <v>748</v>
      </c>
      <c r="C26" s="4" t="s">
        <v>328</v>
      </c>
      <c r="D26" s="18">
        <v>0.48609999999999998</v>
      </c>
      <c r="E26" s="4">
        <f>COUNTIFS('Cand+Decoy Per-Position'!$A$2:$A$1585,$A26,'Cand+Decoy Per-Position'!$H$2:$H$1585,"&lt;&gt;")</f>
        <v>72</v>
      </c>
      <c r="F26" s="4">
        <f>COUNTIFS('Cand+Decoy Per-Transition'!$A$2:$A$1563,$A26,'Cand+Decoy Per-Transition'!$E$2:$E$1563,"yes")</f>
        <v>71</v>
      </c>
      <c r="G26" s="17">
        <f>AVERAGEIFS('Cand+Decoy Per-Position'!$H$2:$H$1585,'Cand+Decoy Per-Position'!$A$2:$A$1585,$A26)</f>
        <v>-0.50769104184207958</v>
      </c>
      <c r="H26" s="17" t="e">
        <f>AVERAGEIFS('Cand+Decoy Per-Transition'!$I$2:$I$1563,'Cand+Decoy Per-Transition'!$A$2:$A$1563,$A26,'Cand+Decoy Per-Transition'!$E$2:$E$1563,"yes")</f>
        <v>#VALUE!</v>
      </c>
      <c r="I26" s="17" t="e">
        <f t="shared" si="0"/>
        <v>#VALUE!</v>
      </c>
      <c r="J26" s="18">
        <v>0.90480000000000005</v>
      </c>
      <c r="K26" s="4" t="s">
        <v>808</v>
      </c>
      <c r="L26" s="4" t="s">
        <v>804</v>
      </c>
      <c r="M26" s="4" t="s">
        <v>328</v>
      </c>
      <c r="N26" s="4" t="s">
        <v>788</v>
      </c>
    </row>
    <row r="27" spans="1:14">
      <c r="A27" s="4"/>
      <c r="B27" s="4"/>
      <c r="C27" s="4"/>
      <c r="D27" s="4"/>
      <c r="E27" s="4"/>
      <c r="F27" s="4"/>
      <c r="G27" s="4"/>
      <c r="H27" s="4"/>
      <c r="I27" s="4"/>
      <c r="J27" s="4"/>
      <c r="K27" s="4"/>
      <c r="L27" s="4"/>
      <c r="M27" s="4"/>
      <c r="N27" s="4"/>
    </row>
    <row r="28" spans="1:14">
      <c r="A28" s="4"/>
      <c r="B28" s="5" t="s">
        <v>809</v>
      </c>
      <c r="C28" s="17">
        <f>COUNT(I5:I26)</f>
        <v>0</v>
      </c>
      <c r="D28" s="4"/>
      <c r="E28" s="4"/>
      <c r="F28" s="4"/>
      <c r="G28" s="4"/>
      <c r="H28" s="4"/>
      <c r="I28" s="4"/>
      <c r="J28" s="4"/>
      <c r="K28" s="4"/>
      <c r="L28" s="4"/>
      <c r="M28" s="4"/>
      <c r="N28" s="4"/>
    </row>
    <row r="29" spans="1:14">
      <c r="A29" s="4"/>
      <c r="B29" s="5" t="s">
        <v>810</v>
      </c>
      <c r="C29" s="17" t="e">
        <f>AVERAGEIFS(I5:I26,B5:B26,"PREDICTED")</f>
        <v>#VALUE!</v>
      </c>
      <c r="D29" s="4"/>
      <c r="E29" s="4"/>
      <c r="F29" s="4"/>
      <c r="G29" s="4"/>
      <c r="H29" s="4"/>
      <c r="I29" s="4"/>
      <c r="J29" s="4"/>
      <c r="K29" s="4"/>
      <c r="L29" s="4"/>
      <c r="M29" s="4"/>
      <c r="N29" s="4"/>
    </row>
    <row r="30" spans="1:14">
      <c r="A30" s="4"/>
      <c r="B30" s="5" t="s">
        <v>811</v>
      </c>
      <c r="C30" s="17" t="e">
        <f>AVERAGEIFS(I5:I26,B5:B26,"DECOY")</f>
        <v>#VALUE!</v>
      </c>
      <c r="D30" s="4"/>
      <c r="E30" s="4"/>
      <c r="F30" s="4"/>
      <c r="G30" s="4"/>
      <c r="H30" s="4"/>
      <c r="I30" s="4"/>
      <c r="J30" s="4"/>
      <c r="K30" s="4"/>
      <c r="L30" s="4"/>
      <c r="M30" s="4"/>
      <c r="N30" s="4"/>
    </row>
    <row r="31" spans="1:14">
      <c r="A31" s="4"/>
      <c r="B31" s="5" t="s">
        <v>812</v>
      </c>
      <c r="C31" s="17">
        <f>AVERAGEIFS(G5:G26,B5:B26,"PREDICTED")</f>
        <v>-0.31209212976253969</v>
      </c>
      <c r="D31" s="4"/>
      <c r="E31" s="4"/>
      <c r="F31" s="4"/>
      <c r="G31" s="4"/>
      <c r="H31" s="4"/>
      <c r="I31" s="4"/>
      <c r="J31" s="4"/>
      <c r="K31" s="4"/>
      <c r="L31" s="4"/>
      <c r="M31" s="4"/>
      <c r="N31" s="4"/>
    </row>
    <row r="32" spans="1:14">
      <c r="A32" s="4"/>
      <c r="B32" s="5" t="s">
        <v>813</v>
      </c>
      <c r="C32" s="17">
        <f>AVERAGEIFS(G5:G26,B5:B26,"DECOY")</f>
        <v>-0.36574238735476461</v>
      </c>
      <c r="D32" s="4"/>
      <c r="E32" s="4"/>
      <c r="F32" s="4"/>
      <c r="G32" s="4"/>
      <c r="H32" s="4"/>
      <c r="I32" s="4"/>
      <c r="J32" s="4"/>
      <c r="K32" s="4"/>
      <c r="L32" s="4"/>
      <c r="M32" s="4"/>
      <c r="N32" s="4"/>
    </row>
    <row r="33" spans="1:14">
      <c r="A33" s="4"/>
      <c r="B33" s="5" t="s">
        <v>814</v>
      </c>
      <c r="C33" s="17" t="e">
        <f>AVERAGEIFS(H5:H26,B5:B26,"PREDICTED")</f>
        <v>#VALUE!</v>
      </c>
      <c r="D33" s="4"/>
      <c r="E33" s="4"/>
      <c r="F33" s="4"/>
      <c r="G33" s="4"/>
      <c r="H33" s="4"/>
      <c r="I33" s="4"/>
      <c r="J33" s="4"/>
      <c r="K33" s="4"/>
      <c r="L33" s="4"/>
      <c r="M33" s="4"/>
      <c r="N33" s="4"/>
    </row>
    <row r="34" spans="1:14">
      <c r="A34" s="4"/>
      <c r="B34" s="5" t="s">
        <v>815</v>
      </c>
      <c r="C34" s="17" t="e">
        <f>AVERAGEIFS(H5:H26,B5:B26,"DECOY")</f>
        <v>#VALUE!</v>
      </c>
      <c r="D34" s="4"/>
      <c r="E34" s="4"/>
      <c r="F34" s="4"/>
      <c r="G34" s="4"/>
      <c r="H34" s="4"/>
      <c r="I34" s="4"/>
      <c r="J34" s="4"/>
      <c r="K34" s="4"/>
      <c r="L34" s="4"/>
      <c r="M34" s="4"/>
      <c r="N34" s="4"/>
    </row>
    <row r="35" spans="1:14">
      <c r="A35" s="4"/>
      <c r="B35" s="5" t="s">
        <v>816</v>
      </c>
      <c r="C35" s="21">
        <v>-0.18790000000000001</v>
      </c>
      <c r="D35" s="4" t="s">
        <v>817</v>
      </c>
      <c r="E35" s="4"/>
      <c r="F35" s="4"/>
      <c r="G35" s="4"/>
      <c r="H35" s="4"/>
      <c r="I35" s="4"/>
      <c r="J35" s="4"/>
      <c r="K35" s="4"/>
      <c r="L35" s="4"/>
      <c r="M35" s="4"/>
      <c r="N35" s="4"/>
    </row>
    <row r="36" spans="1:14">
      <c r="A36" s="4"/>
      <c r="B36" s="5" t="s">
        <v>818</v>
      </c>
      <c r="C36" s="21">
        <v>3.8199999999999998E-2</v>
      </c>
      <c r="D36" s="4"/>
      <c r="E36" s="4"/>
      <c r="F36" s="4"/>
      <c r="G36" s="4"/>
      <c r="H36" s="4"/>
      <c r="I36" s="4"/>
      <c r="J36" s="4"/>
      <c r="K36" s="4"/>
      <c r="L36" s="4"/>
      <c r="M36" s="4"/>
      <c r="N36" s="4"/>
    </row>
    <row r="37" spans="1:14">
      <c r="A37" s="4"/>
      <c r="B37" s="5" t="s">
        <v>819</v>
      </c>
      <c r="C37" s="17">
        <f>AVERAGEIFS(D5:D26,B5:B26,"PREDICTED")</f>
        <v>0.44394444444444436</v>
      </c>
      <c r="D37" s="4"/>
      <c r="E37" s="4"/>
      <c r="F37" s="4"/>
      <c r="G37" s="4"/>
      <c r="H37" s="4"/>
      <c r="I37" s="4"/>
      <c r="J37" s="4"/>
      <c r="K37" s="4"/>
      <c r="L37" s="4"/>
      <c r="M37" s="4"/>
      <c r="N37" s="4"/>
    </row>
    <row r="38" spans="1:14">
      <c r="A38" s="4"/>
      <c r="B38" s="5" t="s">
        <v>820</v>
      </c>
      <c r="C38" s="17">
        <f>AVERAGEIFS(D5:D26,B5:B26,"DECOY")</f>
        <v>0.31256923076923077</v>
      </c>
      <c r="D38" s="4"/>
      <c r="E38" s="4"/>
      <c r="F38" s="4"/>
      <c r="G38" s="4"/>
      <c r="H38" s="4"/>
      <c r="I38" s="4"/>
      <c r="J38" s="4"/>
      <c r="K38" s="4"/>
      <c r="L38" s="4"/>
      <c r="M38" s="4"/>
      <c r="N38" s="4"/>
    </row>
    <row r="39" spans="1:14">
      <c r="A39" s="4"/>
      <c r="B39" s="5" t="s">
        <v>821</v>
      </c>
      <c r="C39" s="17">
        <f>AVERAGEIFS(J5:J26,B5:B26,"PREDICTED")</f>
        <v>0.91537777777777785</v>
      </c>
      <c r="D39" s="4"/>
      <c r="E39" s="4"/>
      <c r="F39" s="4"/>
      <c r="G39" s="4"/>
      <c r="H39" s="4"/>
      <c r="I39" s="4"/>
      <c r="J39" s="4"/>
      <c r="K39" s="4"/>
      <c r="L39" s="4"/>
      <c r="M39" s="4"/>
      <c r="N39" s="4"/>
    </row>
    <row r="40" spans="1:14">
      <c r="A40" s="4"/>
      <c r="B40" s="5" t="s">
        <v>822</v>
      </c>
      <c r="C40" s="17">
        <f>AVERAGEIFS(J5:J26,B5:B26,"DECOY")</f>
        <v>0.9194461538461538</v>
      </c>
      <c r="D40" s="4"/>
      <c r="E40" s="4"/>
      <c r="F40" s="4"/>
      <c r="G40" s="4"/>
      <c r="H40" s="4"/>
      <c r="I40" s="4"/>
      <c r="J40" s="4"/>
      <c r="K40" s="4"/>
      <c r="L40" s="4"/>
      <c r="M40" s="4"/>
      <c r="N40" s="4"/>
    </row>
    <row r="41" spans="1:14">
      <c r="A41" s="4"/>
      <c r="B41" s="5" t="s">
        <v>823</v>
      </c>
      <c r="C41" s="17" t="e">
        <f>CORREL(I5:I26,D5:D26)</f>
        <v>#VALUE!</v>
      </c>
      <c r="D41" s="4"/>
      <c r="E41" s="4"/>
      <c r="F41" s="4"/>
      <c r="G41" s="4"/>
      <c r="H41" s="4"/>
      <c r="I41" s="4"/>
      <c r="J41" s="4"/>
      <c r="K41" s="4"/>
      <c r="L41" s="4"/>
      <c r="M41" s="4"/>
      <c r="N41" s="4"/>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dimension ref="A1:J113"/>
  <sheetViews>
    <sheetView workbookViewId="0"/>
  </sheetViews>
  <sheetFormatPr defaultColWidth="8.7109375" defaultRowHeight="15"/>
  <cols>
    <col min="1" max="1" width="16" customWidth="1"/>
    <col min="2" max="10" width="18" customWidth="1"/>
  </cols>
  <sheetData>
    <row r="1" spans="1:10" ht="15.75">
      <c r="A1" s="2" t="s">
        <v>824</v>
      </c>
      <c r="B1" s="4"/>
      <c r="C1" s="4"/>
      <c r="D1" s="4"/>
      <c r="E1" s="4"/>
      <c r="F1" s="4"/>
      <c r="G1" s="4"/>
      <c r="H1" s="4"/>
      <c r="I1" s="4"/>
      <c r="J1" s="4"/>
    </row>
    <row r="2" spans="1:10">
      <c r="A2" s="4" t="s">
        <v>825</v>
      </c>
      <c r="B2" s="4"/>
      <c r="C2" s="4"/>
      <c r="D2" s="4"/>
      <c r="E2" s="4"/>
      <c r="F2" s="4"/>
      <c r="G2" s="4"/>
      <c r="H2" s="4"/>
      <c r="I2" s="4"/>
      <c r="J2" s="4"/>
    </row>
    <row r="3" spans="1:10">
      <c r="A3" s="4"/>
      <c r="B3" s="4"/>
      <c r="C3" s="4"/>
      <c r="D3" s="4"/>
      <c r="E3" s="4"/>
      <c r="F3" s="4"/>
      <c r="G3" s="4"/>
      <c r="H3" s="4"/>
      <c r="I3" s="4"/>
      <c r="J3" s="4"/>
    </row>
    <row r="4" spans="1:10" ht="26.25">
      <c r="A4" s="9" t="s">
        <v>826</v>
      </c>
      <c r="B4" s="9" t="s">
        <v>827</v>
      </c>
      <c r="C4" s="9" t="s">
        <v>828</v>
      </c>
      <c r="D4" s="9" t="s">
        <v>793</v>
      </c>
      <c r="E4" s="9" t="s">
        <v>794</v>
      </c>
      <c r="F4" s="9" t="s">
        <v>459</v>
      </c>
      <c r="G4" s="9" t="s">
        <v>476</v>
      </c>
      <c r="H4" s="9" t="s">
        <v>480</v>
      </c>
      <c r="I4" s="9" t="s">
        <v>484</v>
      </c>
      <c r="J4" s="9" t="s">
        <v>386</v>
      </c>
    </row>
    <row r="5" spans="1:10">
      <c r="A5" s="4" t="s">
        <v>829</v>
      </c>
      <c r="B5" s="4" t="s">
        <v>200</v>
      </c>
      <c r="C5" s="4" t="s">
        <v>88</v>
      </c>
      <c r="D5" s="21">
        <v>0.47362100000000001</v>
      </c>
      <c r="E5" s="21">
        <v>0.41741099999999998</v>
      </c>
      <c r="F5" s="21">
        <v>0.44551600000000002</v>
      </c>
      <c r="G5" s="21">
        <v>0.95240000000000002</v>
      </c>
      <c r="H5" s="21">
        <v>0.91669999999999996</v>
      </c>
      <c r="I5" s="21">
        <v>0.8</v>
      </c>
      <c r="J5" s="21">
        <v>0.66669999999999996</v>
      </c>
    </row>
    <row r="6" spans="1:10">
      <c r="A6" s="4" t="s">
        <v>830</v>
      </c>
      <c r="B6" s="4" t="s">
        <v>120</v>
      </c>
      <c r="C6" s="4" t="s">
        <v>92</v>
      </c>
      <c r="D6" s="21">
        <v>0.20925199999999999</v>
      </c>
      <c r="E6" s="21">
        <v>0.26049099999999997</v>
      </c>
      <c r="F6" s="21">
        <v>0.234871</v>
      </c>
      <c r="G6" s="21">
        <v>0.95240000000000002</v>
      </c>
      <c r="H6" s="21">
        <v>1</v>
      </c>
      <c r="I6" s="21">
        <v>1</v>
      </c>
      <c r="J6" s="21">
        <v>0.66200000000000003</v>
      </c>
    </row>
    <row r="7" spans="1:10">
      <c r="A7" s="4" t="s">
        <v>831</v>
      </c>
      <c r="B7" s="4" t="s">
        <v>832</v>
      </c>
      <c r="C7" s="4" t="s">
        <v>88</v>
      </c>
      <c r="D7" s="21">
        <v>0.36981900000000001</v>
      </c>
      <c r="E7" s="21">
        <v>0.44982499999999997</v>
      </c>
      <c r="F7" s="21">
        <v>0.40982200000000002</v>
      </c>
      <c r="G7" s="21">
        <v>0.95240000000000002</v>
      </c>
      <c r="H7" s="21">
        <v>0.91669999999999996</v>
      </c>
      <c r="I7" s="21">
        <v>0.8</v>
      </c>
      <c r="J7" s="21">
        <v>0.58330000000000004</v>
      </c>
    </row>
    <row r="8" spans="1:10">
      <c r="A8" s="4" t="s">
        <v>833</v>
      </c>
      <c r="B8" s="4" t="s">
        <v>103</v>
      </c>
      <c r="C8" s="4" t="s">
        <v>133</v>
      </c>
      <c r="D8" s="21">
        <v>0.55694299999999997</v>
      </c>
      <c r="E8" s="21">
        <v>0.51944100000000004</v>
      </c>
      <c r="F8" s="21">
        <v>0.538192</v>
      </c>
      <c r="G8" s="21">
        <v>1</v>
      </c>
      <c r="H8" s="21">
        <v>0.91669999999999996</v>
      </c>
      <c r="I8" s="21">
        <v>0.8</v>
      </c>
      <c r="J8" s="21">
        <v>0.59150000000000003</v>
      </c>
    </row>
    <row r="9" spans="1:10">
      <c r="A9" s="4" t="s">
        <v>834</v>
      </c>
      <c r="B9" s="4" t="s">
        <v>832</v>
      </c>
      <c r="C9" s="4" t="s">
        <v>88</v>
      </c>
      <c r="D9" s="21">
        <v>0.38157200000000002</v>
      </c>
      <c r="E9" s="21">
        <v>0.46192299999999997</v>
      </c>
      <c r="F9" s="21">
        <v>0.42174699999999998</v>
      </c>
      <c r="G9" s="21">
        <v>0.95240000000000002</v>
      </c>
      <c r="H9" s="21">
        <v>0.91669999999999996</v>
      </c>
      <c r="I9" s="21">
        <v>0.8</v>
      </c>
      <c r="J9" s="21">
        <v>0.56940000000000002</v>
      </c>
    </row>
    <row r="10" spans="1:10">
      <c r="A10" s="4" t="s">
        <v>835</v>
      </c>
      <c r="B10" s="4" t="s">
        <v>122</v>
      </c>
      <c r="C10" s="4" t="s">
        <v>123</v>
      </c>
      <c r="D10" s="21">
        <v>0.43516199999999999</v>
      </c>
      <c r="E10" s="21">
        <v>0.31598799999999999</v>
      </c>
      <c r="F10" s="21">
        <v>0.37557499999999999</v>
      </c>
      <c r="G10" s="21">
        <v>1</v>
      </c>
      <c r="H10" s="21">
        <v>0.91669999999999996</v>
      </c>
      <c r="I10" s="21">
        <v>0.8</v>
      </c>
      <c r="J10" s="21">
        <v>0.56940000000000002</v>
      </c>
    </row>
    <row r="11" spans="1:10">
      <c r="A11" s="4" t="s">
        <v>836</v>
      </c>
      <c r="B11" s="4" t="s">
        <v>125</v>
      </c>
      <c r="C11" s="4" t="s">
        <v>126</v>
      </c>
      <c r="D11" s="21">
        <v>0.44956299999999999</v>
      </c>
      <c r="E11" s="21">
        <v>0.38609399999999999</v>
      </c>
      <c r="F11" s="21">
        <v>0.41782799999999998</v>
      </c>
      <c r="G11" s="21">
        <v>1</v>
      </c>
      <c r="H11" s="21">
        <v>0.75</v>
      </c>
      <c r="I11" s="21">
        <v>0.8</v>
      </c>
      <c r="J11" s="21">
        <v>0.59150000000000003</v>
      </c>
    </row>
    <row r="12" spans="1:10">
      <c r="A12" s="4" t="s">
        <v>837</v>
      </c>
      <c r="B12" s="4" t="s">
        <v>129</v>
      </c>
      <c r="C12" s="4" t="s">
        <v>148</v>
      </c>
      <c r="D12" s="21">
        <v>0.38569500000000001</v>
      </c>
      <c r="E12" s="21">
        <v>0.44598500000000002</v>
      </c>
      <c r="F12" s="21">
        <v>0.41583999999999999</v>
      </c>
      <c r="G12" s="21">
        <v>0.95240000000000002</v>
      </c>
      <c r="H12" s="21">
        <v>0.83330000000000004</v>
      </c>
      <c r="I12" s="21">
        <v>0.6</v>
      </c>
      <c r="J12" s="21">
        <v>0.66669999999999996</v>
      </c>
    </row>
    <row r="13" spans="1:10">
      <c r="A13" s="4" t="s">
        <v>838</v>
      </c>
      <c r="B13" s="4" t="s">
        <v>129</v>
      </c>
      <c r="C13" s="4" t="s">
        <v>148</v>
      </c>
      <c r="D13" s="21">
        <v>0.47809400000000002</v>
      </c>
      <c r="E13" s="21">
        <v>0.556172</v>
      </c>
      <c r="F13" s="21">
        <v>0.51713299999999995</v>
      </c>
      <c r="G13" s="21">
        <v>0.95240000000000002</v>
      </c>
      <c r="H13" s="21">
        <v>0.91669999999999996</v>
      </c>
      <c r="I13" s="21">
        <v>0.8</v>
      </c>
      <c r="J13" s="21">
        <v>0.61109999999999998</v>
      </c>
    </row>
    <row r="14" spans="1:10">
      <c r="A14" s="4" t="s">
        <v>839</v>
      </c>
      <c r="B14" s="4" t="s">
        <v>129</v>
      </c>
      <c r="C14" s="4" t="s">
        <v>130</v>
      </c>
      <c r="D14" s="21">
        <v>0.47605799999999998</v>
      </c>
      <c r="E14" s="21">
        <v>0.564778</v>
      </c>
      <c r="F14" s="21">
        <v>0.52041800000000005</v>
      </c>
      <c r="G14" s="21">
        <v>0.95240000000000002</v>
      </c>
      <c r="H14" s="21">
        <v>0.91669999999999996</v>
      </c>
      <c r="I14" s="21">
        <v>0.8</v>
      </c>
      <c r="J14" s="21">
        <v>0.61109999999999998</v>
      </c>
    </row>
    <row r="15" spans="1:10">
      <c r="A15" s="4" t="s">
        <v>840</v>
      </c>
      <c r="B15" s="4" t="s">
        <v>158</v>
      </c>
      <c r="C15" s="4" t="s">
        <v>159</v>
      </c>
      <c r="D15" s="21">
        <v>0.47439999999999999</v>
      </c>
      <c r="E15" s="21">
        <v>0.480875</v>
      </c>
      <c r="F15" s="21">
        <v>0.47763800000000001</v>
      </c>
      <c r="G15" s="21">
        <v>1</v>
      </c>
      <c r="H15" s="21">
        <v>1</v>
      </c>
      <c r="I15" s="21">
        <v>1</v>
      </c>
      <c r="J15" s="21">
        <v>0.55710000000000004</v>
      </c>
    </row>
    <row r="16" spans="1:10">
      <c r="A16" s="4" t="s">
        <v>841</v>
      </c>
      <c r="B16" s="4" t="s">
        <v>161</v>
      </c>
      <c r="C16" s="4" t="s">
        <v>162</v>
      </c>
      <c r="D16" s="21">
        <v>0.32042399999999999</v>
      </c>
      <c r="E16" s="21">
        <v>0.33707599999999999</v>
      </c>
      <c r="F16" s="21">
        <v>0.32874999999999999</v>
      </c>
      <c r="G16" s="21">
        <v>1</v>
      </c>
      <c r="H16" s="21">
        <v>1</v>
      </c>
      <c r="I16" s="21">
        <v>1</v>
      </c>
      <c r="J16" s="21">
        <v>0.61429999999999996</v>
      </c>
    </row>
    <row r="17" spans="1:10">
      <c r="A17" s="4" t="s">
        <v>842</v>
      </c>
      <c r="B17" s="4" t="s">
        <v>832</v>
      </c>
      <c r="C17" s="4" t="s">
        <v>88</v>
      </c>
      <c r="D17" s="21">
        <v>0.33648800000000001</v>
      </c>
      <c r="E17" s="21">
        <v>0.310581</v>
      </c>
      <c r="F17" s="21">
        <v>0.32353500000000002</v>
      </c>
      <c r="G17" s="21">
        <v>1</v>
      </c>
      <c r="H17" s="21">
        <v>0.83330000000000004</v>
      </c>
      <c r="I17" s="21">
        <v>0.8</v>
      </c>
      <c r="J17" s="21">
        <v>0.60560000000000003</v>
      </c>
    </row>
    <row r="18" spans="1:10">
      <c r="A18" s="4" t="s">
        <v>843</v>
      </c>
      <c r="B18" s="4" t="s">
        <v>168</v>
      </c>
      <c r="C18" s="4" t="s">
        <v>85</v>
      </c>
      <c r="D18" s="21">
        <v>0.67605000000000004</v>
      </c>
      <c r="E18" s="21">
        <v>0.64485899999999996</v>
      </c>
      <c r="F18" s="21">
        <v>0.66045399999999999</v>
      </c>
      <c r="G18" s="21">
        <v>1</v>
      </c>
      <c r="H18" s="21">
        <v>0.91669999999999996</v>
      </c>
      <c r="I18" s="21">
        <v>0.8</v>
      </c>
      <c r="J18" s="21">
        <v>0.55559999999999998</v>
      </c>
    </row>
    <row r="19" spans="1:10">
      <c r="A19" s="4" t="s">
        <v>844</v>
      </c>
      <c r="B19" s="4" t="s">
        <v>168</v>
      </c>
      <c r="C19" s="4" t="s">
        <v>83</v>
      </c>
      <c r="D19" s="21">
        <v>0.52931899999999998</v>
      </c>
      <c r="E19" s="21">
        <v>0.55334300000000003</v>
      </c>
      <c r="F19" s="21">
        <v>0.54133100000000001</v>
      </c>
      <c r="G19" s="21">
        <v>1</v>
      </c>
      <c r="H19" s="21">
        <v>1</v>
      </c>
      <c r="I19" s="21">
        <v>1</v>
      </c>
      <c r="J19" s="21">
        <v>0.61109999999999998</v>
      </c>
    </row>
    <row r="20" spans="1:10">
      <c r="A20" s="4" t="s">
        <v>845</v>
      </c>
      <c r="B20" s="4" t="s">
        <v>141</v>
      </c>
      <c r="C20" s="4" t="s">
        <v>142</v>
      </c>
      <c r="D20" s="21">
        <v>0.62020900000000001</v>
      </c>
      <c r="E20" s="21">
        <v>0.65075400000000005</v>
      </c>
      <c r="F20" s="21">
        <v>0.63548199999999999</v>
      </c>
      <c r="G20" s="21">
        <v>1</v>
      </c>
      <c r="H20" s="21">
        <v>0.91669999999999996</v>
      </c>
      <c r="I20" s="21">
        <v>0.8</v>
      </c>
      <c r="J20" s="21">
        <v>0.54169999999999996</v>
      </c>
    </row>
    <row r="21" spans="1:10">
      <c r="A21" s="4" t="s">
        <v>846</v>
      </c>
      <c r="B21" s="4" t="s">
        <v>175</v>
      </c>
      <c r="C21" s="4" t="s">
        <v>100</v>
      </c>
      <c r="D21" s="21">
        <v>0.59279400000000004</v>
      </c>
      <c r="E21" s="21">
        <v>0.58233599999999996</v>
      </c>
      <c r="F21" s="21">
        <v>0.587565</v>
      </c>
      <c r="G21" s="21">
        <v>1</v>
      </c>
      <c r="H21" s="21">
        <v>0.91669999999999996</v>
      </c>
      <c r="I21" s="21">
        <v>0.8</v>
      </c>
      <c r="J21" s="21">
        <v>0.54169999999999996</v>
      </c>
    </row>
    <row r="22" spans="1:10">
      <c r="A22" s="4" t="s">
        <v>847</v>
      </c>
      <c r="B22" s="4" t="s">
        <v>129</v>
      </c>
      <c r="C22" s="4" t="s">
        <v>148</v>
      </c>
      <c r="D22" s="21">
        <v>0.43292399999999998</v>
      </c>
      <c r="E22" s="21">
        <v>0.47152100000000002</v>
      </c>
      <c r="F22" s="21">
        <v>0.45222200000000001</v>
      </c>
      <c r="G22" s="21">
        <v>0.95240000000000002</v>
      </c>
      <c r="H22" s="21">
        <v>1</v>
      </c>
      <c r="I22" s="21">
        <v>1</v>
      </c>
      <c r="J22" s="21">
        <v>0.60560000000000003</v>
      </c>
    </row>
    <row r="23" spans="1:10">
      <c r="A23" s="4" t="s">
        <v>848</v>
      </c>
      <c r="B23" s="4" t="s">
        <v>129</v>
      </c>
      <c r="C23" s="4" t="s">
        <v>181</v>
      </c>
      <c r="D23" s="21">
        <v>0.40598000000000001</v>
      </c>
      <c r="E23" s="21">
        <v>0.47805500000000001</v>
      </c>
      <c r="F23" s="21">
        <v>0.44201800000000002</v>
      </c>
      <c r="G23" s="21">
        <v>0.95240000000000002</v>
      </c>
      <c r="H23" s="21">
        <v>1</v>
      </c>
      <c r="I23" s="21">
        <v>1</v>
      </c>
      <c r="J23" s="21">
        <v>0.60560000000000003</v>
      </c>
    </row>
    <row r="24" spans="1:10">
      <c r="A24" s="4" t="s">
        <v>849</v>
      </c>
      <c r="B24" s="4" t="s">
        <v>129</v>
      </c>
      <c r="C24" s="4" t="s">
        <v>177</v>
      </c>
      <c r="D24" s="21">
        <v>0.484485</v>
      </c>
      <c r="E24" s="21">
        <v>0.493564</v>
      </c>
      <c r="F24" s="21">
        <v>0.48902400000000001</v>
      </c>
      <c r="G24" s="21">
        <v>0.95240000000000002</v>
      </c>
      <c r="H24" s="21">
        <v>1</v>
      </c>
      <c r="I24" s="21">
        <v>1</v>
      </c>
      <c r="J24" s="21">
        <v>0.54930000000000001</v>
      </c>
    </row>
    <row r="25" spans="1:10">
      <c r="A25" s="4" t="s">
        <v>850</v>
      </c>
      <c r="B25" s="4" t="s">
        <v>103</v>
      </c>
      <c r="C25" s="4" t="s">
        <v>851</v>
      </c>
      <c r="D25" s="21">
        <v>0.42155399999999998</v>
      </c>
      <c r="E25" s="21">
        <v>0.47003400000000001</v>
      </c>
      <c r="F25" s="21">
        <v>0.44579400000000002</v>
      </c>
      <c r="G25" s="21">
        <v>1</v>
      </c>
      <c r="H25" s="21">
        <v>0.83330000000000004</v>
      </c>
      <c r="I25" s="21">
        <v>0.8</v>
      </c>
      <c r="J25" s="21">
        <v>0.63890000000000002</v>
      </c>
    </row>
    <row r="26" spans="1:10">
      <c r="A26" s="4" t="s">
        <v>852</v>
      </c>
      <c r="B26" s="4" t="s">
        <v>103</v>
      </c>
      <c r="C26" s="4" t="s">
        <v>851</v>
      </c>
      <c r="D26" s="21">
        <v>0.45644899999999999</v>
      </c>
      <c r="E26" s="21">
        <v>0.48757899999999998</v>
      </c>
      <c r="F26" s="21">
        <v>0.47201399999999999</v>
      </c>
      <c r="G26" s="21">
        <v>1</v>
      </c>
      <c r="H26" s="21">
        <v>0.83330000000000004</v>
      </c>
      <c r="I26" s="21">
        <v>0.8</v>
      </c>
      <c r="J26" s="21">
        <v>0.65280000000000005</v>
      </c>
    </row>
    <row r="27" spans="1:10">
      <c r="A27" s="4" t="s">
        <v>853</v>
      </c>
      <c r="B27" s="4" t="s">
        <v>117</v>
      </c>
      <c r="C27" s="4" t="s">
        <v>164</v>
      </c>
      <c r="D27" s="21">
        <v>0.64668400000000004</v>
      </c>
      <c r="E27" s="21">
        <v>0.668242</v>
      </c>
      <c r="F27" s="21">
        <v>0.65746300000000002</v>
      </c>
      <c r="G27" s="21">
        <v>0.95240000000000002</v>
      </c>
      <c r="H27" s="21">
        <v>1</v>
      </c>
      <c r="I27" s="21">
        <v>1</v>
      </c>
      <c r="J27" s="21">
        <v>0.59719999999999995</v>
      </c>
    </row>
    <row r="28" spans="1:10">
      <c r="A28" s="4" t="s">
        <v>854</v>
      </c>
      <c r="B28" s="4" t="s">
        <v>141</v>
      </c>
      <c r="C28" s="4" t="s">
        <v>142</v>
      </c>
      <c r="D28" s="21">
        <v>0.62004499999999996</v>
      </c>
      <c r="E28" s="21">
        <v>0.66117199999999998</v>
      </c>
      <c r="F28" s="21">
        <v>0.64060799999999996</v>
      </c>
      <c r="G28" s="21">
        <v>1</v>
      </c>
      <c r="H28" s="21">
        <v>0.91669999999999996</v>
      </c>
      <c r="I28" s="21">
        <v>0.8</v>
      </c>
      <c r="J28" s="21">
        <v>0.52780000000000005</v>
      </c>
    </row>
    <row r="29" spans="1:10">
      <c r="A29" s="4" t="s">
        <v>855</v>
      </c>
      <c r="B29" s="4" t="s">
        <v>141</v>
      </c>
      <c r="C29" s="4" t="s">
        <v>142</v>
      </c>
      <c r="D29" s="21">
        <v>0.61847399999999997</v>
      </c>
      <c r="E29" s="21">
        <v>0.66606100000000001</v>
      </c>
      <c r="F29" s="21">
        <v>0.64226799999999995</v>
      </c>
      <c r="G29" s="21">
        <v>1</v>
      </c>
      <c r="H29" s="21">
        <v>1</v>
      </c>
      <c r="I29" s="21">
        <v>1</v>
      </c>
      <c r="J29" s="21">
        <v>0.54169999999999996</v>
      </c>
    </row>
    <row r="30" spans="1:10">
      <c r="A30" s="4" t="s">
        <v>856</v>
      </c>
      <c r="B30" s="4" t="s">
        <v>156</v>
      </c>
      <c r="C30" s="4" t="s">
        <v>76</v>
      </c>
      <c r="D30" s="21">
        <v>0.32379200000000002</v>
      </c>
      <c r="E30" s="21">
        <v>0.33665</v>
      </c>
      <c r="F30" s="21">
        <v>0.33022099999999999</v>
      </c>
      <c r="G30" s="21">
        <v>1</v>
      </c>
      <c r="H30" s="21">
        <v>0.83330000000000004</v>
      </c>
      <c r="I30" s="21">
        <v>0.6</v>
      </c>
      <c r="J30" s="21">
        <v>0.5857</v>
      </c>
    </row>
    <row r="31" spans="1:10">
      <c r="A31" s="4" t="s">
        <v>857</v>
      </c>
      <c r="B31" s="4" t="s">
        <v>109</v>
      </c>
      <c r="C31" s="4" t="s">
        <v>230</v>
      </c>
      <c r="D31" s="21">
        <v>0.519289</v>
      </c>
      <c r="E31" s="21">
        <v>0.49009999999999998</v>
      </c>
      <c r="F31" s="21">
        <v>0.504695</v>
      </c>
      <c r="G31" s="21">
        <v>0.95240000000000002</v>
      </c>
      <c r="H31" s="21">
        <v>1</v>
      </c>
      <c r="I31" s="21">
        <v>1</v>
      </c>
      <c r="J31" s="21">
        <v>0.48570000000000002</v>
      </c>
    </row>
    <row r="32" spans="1:10">
      <c r="A32" s="4" t="s">
        <v>858</v>
      </c>
      <c r="B32" s="4" t="s">
        <v>158</v>
      </c>
      <c r="C32" s="4" t="s">
        <v>159</v>
      </c>
      <c r="D32" s="21">
        <v>0.51645200000000002</v>
      </c>
      <c r="E32" s="21">
        <v>0.55809900000000001</v>
      </c>
      <c r="F32" s="21">
        <v>0.53727599999999998</v>
      </c>
      <c r="G32" s="21">
        <v>0.95240000000000002</v>
      </c>
      <c r="H32" s="21">
        <v>0.91669999999999996</v>
      </c>
      <c r="I32" s="21">
        <v>1</v>
      </c>
      <c r="J32" s="21">
        <v>0.52859999999999996</v>
      </c>
    </row>
    <row r="33" spans="1:10">
      <c r="A33" s="4" t="s">
        <v>859</v>
      </c>
      <c r="B33" s="4" t="s">
        <v>158</v>
      </c>
      <c r="C33" s="4" t="s">
        <v>343</v>
      </c>
      <c r="D33" s="21">
        <v>0.409298</v>
      </c>
      <c r="E33" s="21">
        <v>0.477406</v>
      </c>
      <c r="F33" s="21">
        <v>0.44335200000000002</v>
      </c>
      <c r="G33" s="21">
        <v>0.95240000000000002</v>
      </c>
      <c r="H33" s="21">
        <v>1</v>
      </c>
      <c r="I33" s="21">
        <v>1</v>
      </c>
      <c r="J33" s="21">
        <v>0.6</v>
      </c>
    </row>
    <row r="34" spans="1:10">
      <c r="A34" s="4" t="s">
        <v>860</v>
      </c>
      <c r="B34" s="4" t="s">
        <v>168</v>
      </c>
      <c r="C34" s="4" t="s">
        <v>85</v>
      </c>
      <c r="D34" s="21">
        <v>0.50054100000000001</v>
      </c>
      <c r="E34" s="21">
        <v>0.47855999999999999</v>
      </c>
      <c r="F34" s="21">
        <v>0.48955100000000001</v>
      </c>
      <c r="G34" s="21">
        <v>0.95240000000000002</v>
      </c>
      <c r="H34" s="21">
        <v>1</v>
      </c>
      <c r="I34" s="21">
        <v>1</v>
      </c>
      <c r="J34" s="21">
        <v>0.59719999999999995</v>
      </c>
    </row>
    <row r="35" spans="1:10">
      <c r="A35" s="4" t="s">
        <v>861</v>
      </c>
      <c r="B35" s="4" t="s">
        <v>125</v>
      </c>
      <c r="C35" s="4" t="s">
        <v>97</v>
      </c>
      <c r="D35" s="21">
        <v>0.54579699999999998</v>
      </c>
      <c r="E35" s="21">
        <v>0.37636599999999998</v>
      </c>
      <c r="F35" s="21">
        <v>0.46108100000000002</v>
      </c>
      <c r="G35" s="21">
        <v>1</v>
      </c>
      <c r="H35" s="21">
        <v>1</v>
      </c>
      <c r="I35" s="21">
        <v>1</v>
      </c>
      <c r="J35" s="21">
        <v>0.61970000000000003</v>
      </c>
    </row>
    <row r="36" spans="1:10">
      <c r="A36" s="4" t="s">
        <v>862</v>
      </c>
      <c r="B36" s="4" t="s">
        <v>211</v>
      </c>
      <c r="C36" s="4" t="s">
        <v>212</v>
      </c>
      <c r="D36" s="21">
        <v>0.62904800000000005</v>
      </c>
      <c r="E36" s="21">
        <v>0.58119299999999996</v>
      </c>
      <c r="F36" s="21">
        <v>0.60512100000000002</v>
      </c>
      <c r="G36" s="21">
        <v>1</v>
      </c>
      <c r="H36" s="21">
        <v>0.91669999999999996</v>
      </c>
      <c r="I36" s="21">
        <v>0.8</v>
      </c>
      <c r="J36" s="21">
        <v>0.54930000000000001</v>
      </c>
    </row>
    <row r="37" spans="1:10">
      <c r="A37" s="4" t="s">
        <v>863</v>
      </c>
      <c r="B37" s="4" t="s">
        <v>168</v>
      </c>
      <c r="C37" s="4" t="s">
        <v>83</v>
      </c>
      <c r="D37" s="21">
        <v>0.47736800000000001</v>
      </c>
      <c r="E37" s="21">
        <v>0.504104</v>
      </c>
      <c r="F37" s="21">
        <v>0.49073600000000001</v>
      </c>
      <c r="G37" s="21">
        <v>1</v>
      </c>
      <c r="H37" s="21">
        <v>1</v>
      </c>
      <c r="I37" s="21">
        <v>1</v>
      </c>
      <c r="J37" s="21">
        <v>0.59719999999999995</v>
      </c>
    </row>
    <row r="38" spans="1:10">
      <c r="A38" s="4" t="s">
        <v>864</v>
      </c>
      <c r="B38" s="4" t="s">
        <v>168</v>
      </c>
      <c r="C38" s="4" t="s">
        <v>85</v>
      </c>
      <c r="D38" s="21">
        <v>0.64532299999999998</v>
      </c>
      <c r="E38" s="21">
        <v>0.65276500000000004</v>
      </c>
      <c r="F38" s="21">
        <v>0.64904399999999995</v>
      </c>
      <c r="G38" s="21">
        <v>0.95240000000000002</v>
      </c>
      <c r="H38" s="21">
        <v>1</v>
      </c>
      <c r="I38" s="21">
        <v>1</v>
      </c>
      <c r="J38" s="21">
        <v>0.55559999999999998</v>
      </c>
    </row>
    <row r="39" spans="1:10">
      <c r="A39" s="4" t="s">
        <v>865</v>
      </c>
      <c r="B39" s="4" t="s">
        <v>168</v>
      </c>
      <c r="C39" s="4" t="s">
        <v>85</v>
      </c>
      <c r="D39" s="21">
        <v>0.63478500000000004</v>
      </c>
      <c r="E39" s="21">
        <v>0.63905299999999998</v>
      </c>
      <c r="F39" s="21">
        <v>0.63691900000000001</v>
      </c>
      <c r="G39" s="21">
        <v>0.95240000000000002</v>
      </c>
      <c r="H39" s="21">
        <v>1</v>
      </c>
      <c r="I39" s="21">
        <v>1</v>
      </c>
      <c r="J39" s="21">
        <v>0.55559999999999998</v>
      </c>
    </row>
    <row r="40" spans="1:10">
      <c r="A40" s="4" t="s">
        <v>866</v>
      </c>
      <c r="B40" s="4" t="s">
        <v>168</v>
      </c>
      <c r="C40" s="4" t="s">
        <v>85</v>
      </c>
      <c r="D40" s="21">
        <v>0.64532299999999998</v>
      </c>
      <c r="E40" s="21">
        <v>0.65276500000000004</v>
      </c>
      <c r="F40" s="21">
        <v>0.64904399999999995</v>
      </c>
      <c r="G40" s="21">
        <v>0.95240000000000002</v>
      </c>
      <c r="H40" s="21">
        <v>1</v>
      </c>
      <c r="I40" s="21">
        <v>1</v>
      </c>
      <c r="J40" s="21">
        <v>0.55559999999999998</v>
      </c>
    </row>
    <row r="41" spans="1:10">
      <c r="A41" s="4" t="s">
        <v>867</v>
      </c>
      <c r="B41" s="4" t="s">
        <v>175</v>
      </c>
      <c r="C41" s="4" t="s">
        <v>100</v>
      </c>
      <c r="D41" s="21">
        <v>0.58391099999999996</v>
      </c>
      <c r="E41" s="21">
        <v>0.57897600000000005</v>
      </c>
      <c r="F41" s="21">
        <v>0.58144300000000004</v>
      </c>
      <c r="G41" s="21">
        <v>1</v>
      </c>
      <c r="H41" s="21">
        <v>1</v>
      </c>
      <c r="I41" s="21">
        <v>1</v>
      </c>
      <c r="J41" s="21">
        <v>0.55559999999999998</v>
      </c>
    </row>
    <row r="42" spans="1:10">
      <c r="A42" s="4" t="s">
        <v>868</v>
      </c>
      <c r="B42" s="4" t="s">
        <v>158</v>
      </c>
      <c r="C42" s="4" t="s">
        <v>343</v>
      </c>
      <c r="D42" s="21">
        <v>0.33938600000000002</v>
      </c>
      <c r="E42" s="21">
        <v>0.36542400000000003</v>
      </c>
      <c r="F42" s="21">
        <v>0.35240500000000002</v>
      </c>
      <c r="G42" s="21">
        <v>1</v>
      </c>
      <c r="H42" s="21">
        <v>1</v>
      </c>
      <c r="I42" s="21">
        <v>1</v>
      </c>
      <c r="J42" s="21">
        <v>0.6714</v>
      </c>
    </row>
    <row r="43" spans="1:10">
      <c r="A43" s="4" t="s">
        <v>869</v>
      </c>
      <c r="B43" s="4" t="s">
        <v>117</v>
      </c>
      <c r="C43" s="4" t="s">
        <v>164</v>
      </c>
      <c r="D43" s="21">
        <v>0.60789099999999996</v>
      </c>
      <c r="E43" s="21">
        <v>0.62884399999999996</v>
      </c>
      <c r="F43" s="21">
        <v>0.61836800000000003</v>
      </c>
      <c r="G43" s="21">
        <v>0.95240000000000002</v>
      </c>
      <c r="H43" s="21">
        <v>1</v>
      </c>
      <c r="I43" s="21">
        <v>1</v>
      </c>
      <c r="J43" s="21">
        <v>0.625</v>
      </c>
    </row>
    <row r="44" spans="1:10">
      <c r="A44" s="4" t="s">
        <v>870</v>
      </c>
      <c r="B44" s="4" t="s">
        <v>168</v>
      </c>
      <c r="C44" s="4" t="s">
        <v>83</v>
      </c>
      <c r="D44" s="21">
        <v>0.54140200000000005</v>
      </c>
      <c r="E44" s="21">
        <v>0.56335000000000002</v>
      </c>
      <c r="F44" s="21">
        <v>0.55237599999999998</v>
      </c>
      <c r="G44" s="21">
        <v>1</v>
      </c>
      <c r="H44" s="21">
        <v>1</v>
      </c>
      <c r="I44" s="21">
        <v>1</v>
      </c>
      <c r="J44" s="21">
        <v>0.63890000000000002</v>
      </c>
    </row>
    <row r="45" spans="1:10">
      <c r="A45" s="4" t="s">
        <v>871</v>
      </c>
      <c r="B45" s="4" t="s">
        <v>141</v>
      </c>
      <c r="C45" s="4" t="s">
        <v>142</v>
      </c>
      <c r="D45" s="21">
        <v>0.61847399999999997</v>
      </c>
      <c r="E45" s="21">
        <v>0.66606100000000001</v>
      </c>
      <c r="F45" s="21">
        <v>0.64226799999999995</v>
      </c>
      <c r="G45" s="21">
        <v>1</v>
      </c>
      <c r="H45" s="21">
        <v>1</v>
      </c>
      <c r="I45" s="21">
        <v>1</v>
      </c>
      <c r="J45" s="21">
        <v>0.54169999999999996</v>
      </c>
    </row>
    <row r="46" spans="1:10">
      <c r="A46" s="4" t="s">
        <v>872</v>
      </c>
      <c r="B46" s="4" t="s">
        <v>106</v>
      </c>
      <c r="C46" s="4" t="s">
        <v>266</v>
      </c>
      <c r="D46" s="21">
        <v>0.45968700000000001</v>
      </c>
      <c r="E46" s="21">
        <v>0.45456299999999999</v>
      </c>
      <c r="F46" s="21">
        <v>0.457125</v>
      </c>
      <c r="G46" s="21">
        <v>0.95240000000000002</v>
      </c>
      <c r="H46" s="21">
        <v>0.91669999999999996</v>
      </c>
      <c r="I46" s="21">
        <v>1</v>
      </c>
      <c r="J46" s="21">
        <v>0.57750000000000001</v>
      </c>
    </row>
    <row r="47" spans="1:10">
      <c r="A47" s="4" t="s">
        <v>873</v>
      </c>
      <c r="B47" s="4" t="s">
        <v>106</v>
      </c>
      <c r="C47" s="4" t="s">
        <v>266</v>
      </c>
      <c r="D47" s="21">
        <v>0.46822599999999998</v>
      </c>
      <c r="E47" s="21">
        <v>0.469667</v>
      </c>
      <c r="F47" s="21">
        <v>0.468947</v>
      </c>
      <c r="G47" s="21">
        <v>0.95240000000000002</v>
      </c>
      <c r="H47" s="21">
        <v>0.91669999999999996</v>
      </c>
      <c r="I47" s="21">
        <v>1</v>
      </c>
      <c r="J47" s="21">
        <v>0.59150000000000003</v>
      </c>
    </row>
    <row r="48" spans="1:10">
      <c r="A48" s="4" t="s">
        <v>874</v>
      </c>
      <c r="B48" s="4" t="s">
        <v>109</v>
      </c>
      <c r="C48" s="4" t="s">
        <v>110</v>
      </c>
      <c r="D48" s="21">
        <v>0.461281</v>
      </c>
      <c r="E48" s="21">
        <v>0.44372</v>
      </c>
      <c r="F48" s="21">
        <v>0.45250099999999999</v>
      </c>
      <c r="G48" s="21">
        <v>1</v>
      </c>
      <c r="H48" s="21">
        <v>0.83330000000000004</v>
      </c>
      <c r="I48" s="21">
        <v>0.8</v>
      </c>
      <c r="J48" s="21">
        <v>0.51429999999999998</v>
      </c>
    </row>
    <row r="49" spans="1:10">
      <c r="A49" s="4" t="s">
        <v>875</v>
      </c>
      <c r="B49" s="4" t="s">
        <v>109</v>
      </c>
      <c r="C49" s="4" t="s">
        <v>230</v>
      </c>
      <c r="D49" s="21">
        <v>0.47397800000000001</v>
      </c>
      <c r="E49" s="21">
        <v>0.45507900000000001</v>
      </c>
      <c r="F49" s="21">
        <v>0.46452900000000003</v>
      </c>
      <c r="G49" s="21">
        <v>1</v>
      </c>
      <c r="H49" s="21">
        <v>0.83330000000000004</v>
      </c>
      <c r="I49" s="21">
        <v>0.8</v>
      </c>
      <c r="J49" s="21">
        <v>0.52859999999999996</v>
      </c>
    </row>
    <row r="50" spans="1:10">
      <c r="A50" s="4" t="s">
        <v>876</v>
      </c>
      <c r="B50" s="4" t="s">
        <v>141</v>
      </c>
      <c r="C50" s="4" t="s">
        <v>142</v>
      </c>
      <c r="D50" s="21">
        <v>0.61847399999999997</v>
      </c>
      <c r="E50" s="21">
        <v>0.66606100000000001</v>
      </c>
      <c r="F50" s="21">
        <v>0.64226799999999995</v>
      </c>
      <c r="G50" s="21">
        <v>1</v>
      </c>
      <c r="H50" s="21">
        <v>1</v>
      </c>
      <c r="I50" s="21">
        <v>1</v>
      </c>
      <c r="J50" s="21">
        <v>0.54169999999999996</v>
      </c>
    </row>
    <row r="51" spans="1:10">
      <c r="A51" s="4" t="s">
        <v>877</v>
      </c>
      <c r="B51" s="4" t="s">
        <v>832</v>
      </c>
      <c r="C51" s="4" t="s">
        <v>88</v>
      </c>
      <c r="D51" s="21">
        <v>0.328372</v>
      </c>
      <c r="E51" s="21">
        <v>0.33074199999999998</v>
      </c>
      <c r="F51" s="21">
        <v>0.32955699999999999</v>
      </c>
      <c r="G51" s="21">
        <v>1</v>
      </c>
      <c r="H51" s="21">
        <v>0.83330000000000004</v>
      </c>
      <c r="I51" s="21">
        <v>0.8</v>
      </c>
      <c r="J51" s="21">
        <v>0.60560000000000003</v>
      </c>
    </row>
    <row r="52" spans="1:10">
      <c r="A52" s="4" t="s">
        <v>878</v>
      </c>
      <c r="B52" s="4" t="s">
        <v>156</v>
      </c>
      <c r="C52" s="4" t="s">
        <v>76</v>
      </c>
      <c r="D52" s="21">
        <v>0.385488</v>
      </c>
      <c r="E52" s="21">
        <v>0.33809600000000001</v>
      </c>
      <c r="F52" s="21">
        <v>0.361792</v>
      </c>
      <c r="G52" s="21">
        <v>1</v>
      </c>
      <c r="H52" s="21">
        <v>1</v>
      </c>
      <c r="I52" s="21">
        <v>1</v>
      </c>
      <c r="J52" s="21">
        <v>0.60560000000000003</v>
      </c>
    </row>
    <row r="53" spans="1:10">
      <c r="A53" s="4" t="s">
        <v>879</v>
      </c>
      <c r="B53" s="4" t="s">
        <v>832</v>
      </c>
      <c r="C53" s="4" t="s">
        <v>88</v>
      </c>
      <c r="D53" s="21">
        <v>0.328372</v>
      </c>
      <c r="E53" s="21">
        <v>0.33074199999999998</v>
      </c>
      <c r="F53" s="21">
        <v>0.32955699999999999</v>
      </c>
      <c r="G53" s="21">
        <v>1</v>
      </c>
      <c r="H53" s="21">
        <v>0.83330000000000004</v>
      </c>
      <c r="I53" s="21">
        <v>0.8</v>
      </c>
      <c r="J53" s="21">
        <v>0.60560000000000003</v>
      </c>
    </row>
    <row r="54" spans="1:10">
      <c r="A54" s="4" t="s">
        <v>880</v>
      </c>
      <c r="B54" s="4" t="s">
        <v>168</v>
      </c>
      <c r="C54" s="4" t="s">
        <v>85</v>
      </c>
      <c r="D54" s="21">
        <v>0.67263300000000004</v>
      </c>
      <c r="E54" s="21">
        <v>0.64056299999999999</v>
      </c>
      <c r="F54" s="21">
        <v>0.65659800000000001</v>
      </c>
      <c r="G54" s="21">
        <v>1</v>
      </c>
      <c r="H54" s="21">
        <v>0.91669999999999996</v>
      </c>
      <c r="I54" s="21">
        <v>0.8</v>
      </c>
      <c r="J54" s="21">
        <v>0.55559999999999998</v>
      </c>
    </row>
    <row r="55" spans="1:10">
      <c r="A55" s="4" t="s">
        <v>881</v>
      </c>
      <c r="B55" s="4" t="s">
        <v>168</v>
      </c>
      <c r="C55" s="4" t="s">
        <v>83</v>
      </c>
      <c r="D55" s="21">
        <v>0.54140200000000005</v>
      </c>
      <c r="E55" s="21">
        <v>0.56335000000000002</v>
      </c>
      <c r="F55" s="21">
        <v>0.55237599999999998</v>
      </c>
      <c r="G55" s="21">
        <v>1</v>
      </c>
      <c r="H55" s="21">
        <v>1</v>
      </c>
      <c r="I55" s="21">
        <v>1</v>
      </c>
      <c r="J55" s="21">
        <v>0.63890000000000002</v>
      </c>
    </row>
    <row r="56" spans="1:10">
      <c r="A56" s="4" t="s">
        <v>882</v>
      </c>
      <c r="B56" s="4" t="s">
        <v>168</v>
      </c>
      <c r="C56" s="4" t="s">
        <v>83</v>
      </c>
      <c r="D56" s="21">
        <v>0.52931899999999998</v>
      </c>
      <c r="E56" s="21">
        <v>0.55334300000000003</v>
      </c>
      <c r="F56" s="21">
        <v>0.54133100000000001</v>
      </c>
      <c r="G56" s="21">
        <v>1</v>
      </c>
      <c r="H56" s="21">
        <v>1</v>
      </c>
      <c r="I56" s="21">
        <v>1</v>
      </c>
      <c r="J56" s="21">
        <v>0.61109999999999998</v>
      </c>
    </row>
    <row r="57" spans="1:10">
      <c r="A57" s="4" t="s">
        <v>883</v>
      </c>
      <c r="B57" s="4" t="s">
        <v>200</v>
      </c>
      <c r="C57" s="4" t="s">
        <v>88</v>
      </c>
      <c r="D57" s="21">
        <v>0.57180900000000001</v>
      </c>
      <c r="E57" s="21">
        <v>0.58386000000000005</v>
      </c>
      <c r="F57" s="21">
        <v>0.57783499999999999</v>
      </c>
      <c r="G57" s="21">
        <v>0.95240000000000002</v>
      </c>
      <c r="H57" s="21">
        <v>1</v>
      </c>
      <c r="I57" s="21">
        <v>1</v>
      </c>
      <c r="J57" s="21">
        <v>0.56940000000000002</v>
      </c>
    </row>
    <row r="58" spans="1:10">
      <c r="A58" s="4" t="s">
        <v>884</v>
      </c>
      <c r="B58" s="4" t="s">
        <v>141</v>
      </c>
      <c r="C58" s="4" t="s">
        <v>142</v>
      </c>
      <c r="D58" s="21">
        <v>0.61847399999999997</v>
      </c>
      <c r="E58" s="21">
        <v>0.66606100000000001</v>
      </c>
      <c r="F58" s="21">
        <v>0.64226799999999995</v>
      </c>
      <c r="G58" s="21">
        <v>1</v>
      </c>
      <c r="H58" s="21">
        <v>1</v>
      </c>
      <c r="I58" s="21">
        <v>1</v>
      </c>
      <c r="J58" s="21">
        <v>0.54169999999999996</v>
      </c>
    </row>
    <row r="59" spans="1:10">
      <c r="A59" s="4" t="s">
        <v>885</v>
      </c>
      <c r="B59" s="4" t="s">
        <v>129</v>
      </c>
      <c r="C59" s="4" t="s">
        <v>181</v>
      </c>
      <c r="D59" s="21">
        <v>0.39929399999999998</v>
      </c>
      <c r="E59" s="21">
        <v>0.465696</v>
      </c>
      <c r="F59" s="21">
        <v>0.43249500000000002</v>
      </c>
      <c r="G59" s="21">
        <v>0.95240000000000002</v>
      </c>
      <c r="H59" s="21">
        <v>1</v>
      </c>
      <c r="I59" s="21">
        <v>1</v>
      </c>
      <c r="J59" s="21">
        <v>0.56340000000000001</v>
      </c>
    </row>
    <row r="60" spans="1:10">
      <c r="A60" s="4" t="s">
        <v>886</v>
      </c>
      <c r="B60" s="4" t="s">
        <v>156</v>
      </c>
      <c r="C60" s="4" t="s">
        <v>76</v>
      </c>
      <c r="D60" s="21">
        <v>0.32173600000000002</v>
      </c>
      <c r="E60" s="21">
        <v>0.35243600000000003</v>
      </c>
      <c r="F60" s="21">
        <v>0.337086</v>
      </c>
      <c r="G60" s="21">
        <v>1</v>
      </c>
      <c r="H60" s="21">
        <v>0.91669999999999996</v>
      </c>
      <c r="I60" s="21">
        <v>1</v>
      </c>
      <c r="J60" s="21">
        <v>0.61429999999999996</v>
      </c>
    </row>
    <row r="61" spans="1:10">
      <c r="A61" s="4" t="s">
        <v>887</v>
      </c>
      <c r="B61" s="4" t="s">
        <v>129</v>
      </c>
      <c r="C61" s="4" t="s">
        <v>181</v>
      </c>
      <c r="D61" s="21">
        <v>0.39929399999999998</v>
      </c>
      <c r="E61" s="21">
        <v>0.465696</v>
      </c>
      <c r="F61" s="21">
        <v>0.43249500000000002</v>
      </c>
      <c r="G61" s="21">
        <v>0.95240000000000002</v>
      </c>
      <c r="H61" s="21">
        <v>1</v>
      </c>
      <c r="I61" s="21">
        <v>1</v>
      </c>
      <c r="J61" s="21">
        <v>0.56340000000000001</v>
      </c>
    </row>
    <row r="62" spans="1:10">
      <c r="A62" s="4" t="s">
        <v>888</v>
      </c>
      <c r="B62" s="4" t="s">
        <v>156</v>
      </c>
      <c r="C62" s="4" t="s">
        <v>76</v>
      </c>
      <c r="D62" s="21">
        <v>0.32173600000000002</v>
      </c>
      <c r="E62" s="21">
        <v>0.35243600000000003</v>
      </c>
      <c r="F62" s="21">
        <v>0.337086</v>
      </c>
      <c r="G62" s="21">
        <v>1</v>
      </c>
      <c r="H62" s="21">
        <v>0.91669999999999996</v>
      </c>
      <c r="I62" s="21">
        <v>1</v>
      </c>
      <c r="J62" s="21">
        <v>0.61429999999999996</v>
      </c>
    </row>
    <row r="63" spans="1:10">
      <c r="A63" s="4" t="s">
        <v>889</v>
      </c>
      <c r="B63" s="4" t="s">
        <v>109</v>
      </c>
      <c r="C63" s="4" t="s">
        <v>110</v>
      </c>
      <c r="D63" s="21">
        <v>0.461281</v>
      </c>
      <c r="E63" s="21">
        <v>0.44372</v>
      </c>
      <c r="F63" s="21">
        <v>0.45250099999999999</v>
      </c>
      <c r="G63" s="21">
        <v>1</v>
      </c>
      <c r="H63" s="21">
        <v>0.83330000000000004</v>
      </c>
      <c r="I63" s="21">
        <v>0.8</v>
      </c>
      <c r="J63" s="21">
        <v>0.51429999999999998</v>
      </c>
    </row>
    <row r="64" spans="1:10">
      <c r="A64" s="4" t="s">
        <v>890</v>
      </c>
      <c r="B64" s="4" t="s">
        <v>158</v>
      </c>
      <c r="C64" s="4" t="s">
        <v>159</v>
      </c>
      <c r="D64" s="21">
        <v>0.40478500000000001</v>
      </c>
      <c r="E64" s="21">
        <v>0.39277299999999998</v>
      </c>
      <c r="F64" s="21">
        <v>0.39877899999999999</v>
      </c>
      <c r="G64" s="21">
        <v>1</v>
      </c>
      <c r="H64" s="21">
        <v>1</v>
      </c>
      <c r="I64" s="21">
        <v>1</v>
      </c>
      <c r="J64" s="21">
        <v>0.62860000000000005</v>
      </c>
    </row>
    <row r="65" spans="1:10">
      <c r="A65" s="4" t="s">
        <v>891</v>
      </c>
      <c r="B65" s="4" t="s">
        <v>168</v>
      </c>
      <c r="C65" s="4" t="s">
        <v>85</v>
      </c>
      <c r="D65" s="21">
        <v>0.67263300000000004</v>
      </c>
      <c r="E65" s="21">
        <v>0.64056299999999999</v>
      </c>
      <c r="F65" s="21">
        <v>0.65659800000000001</v>
      </c>
      <c r="G65" s="21">
        <v>1</v>
      </c>
      <c r="H65" s="21">
        <v>0.91669999999999996</v>
      </c>
      <c r="I65" s="21">
        <v>0.8</v>
      </c>
      <c r="J65" s="21">
        <v>0.55559999999999998</v>
      </c>
    </row>
    <row r="66" spans="1:10">
      <c r="A66" s="4" t="s">
        <v>892</v>
      </c>
      <c r="B66" s="4" t="s">
        <v>168</v>
      </c>
      <c r="C66" s="4" t="s">
        <v>83</v>
      </c>
      <c r="D66" s="21">
        <v>0.52931899999999998</v>
      </c>
      <c r="E66" s="21">
        <v>0.55334300000000003</v>
      </c>
      <c r="F66" s="21">
        <v>0.54133100000000001</v>
      </c>
      <c r="G66" s="21">
        <v>1</v>
      </c>
      <c r="H66" s="21">
        <v>1</v>
      </c>
      <c r="I66" s="21">
        <v>1</v>
      </c>
      <c r="J66" s="21">
        <v>0.61109999999999998</v>
      </c>
    </row>
    <row r="67" spans="1:10">
      <c r="A67" s="4" t="s">
        <v>893</v>
      </c>
      <c r="B67" s="4" t="s">
        <v>168</v>
      </c>
      <c r="C67" s="4" t="s">
        <v>83</v>
      </c>
      <c r="D67" s="21">
        <v>0.54140200000000005</v>
      </c>
      <c r="E67" s="21">
        <v>0.56335000000000002</v>
      </c>
      <c r="F67" s="21">
        <v>0.55237599999999998</v>
      </c>
      <c r="G67" s="21">
        <v>1</v>
      </c>
      <c r="H67" s="21">
        <v>1</v>
      </c>
      <c r="I67" s="21">
        <v>1</v>
      </c>
      <c r="J67" s="21">
        <v>0.63890000000000002</v>
      </c>
    </row>
    <row r="68" spans="1:10">
      <c r="A68" s="4" t="s">
        <v>894</v>
      </c>
      <c r="B68" s="4" t="s">
        <v>129</v>
      </c>
      <c r="C68" s="4" t="s">
        <v>177</v>
      </c>
      <c r="D68" s="21">
        <v>-5.1942000000000002E-2</v>
      </c>
      <c r="E68" s="21">
        <v>0.10949299999999999</v>
      </c>
      <c r="F68" s="21">
        <v>2.8775999999999999E-2</v>
      </c>
      <c r="G68" s="21">
        <v>0.95</v>
      </c>
      <c r="H68" s="21">
        <v>0.5</v>
      </c>
      <c r="I68" s="21">
        <v>0.4</v>
      </c>
      <c r="J68" s="21">
        <v>0.37309999999999999</v>
      </c>
    </row>
    <row r="69" spans="1:10">
      <c r="A69" s="4" t="s">
        <v>895</v>
      </c>
      <c r="B69" s="4" t="s">
        <v>112</v>
      </c>
      <c r="C69" s="4" t="s">
        <v>113</v>
      </c>
      <c r="D69" s="21">
        <v>0.57102200000000003</v>
      </c>
      <c r="E69" s="21">
        <v>0.491122</v>
      </c>
      <c r="F69" s="21">
        <v>0.53107199999999999</v>
      </c>
      <c r="G69" s="21">
        <v>1</v>
      </c>
      <c r="H69" s="21">
        <v>1</v>
      </c>
      <c r="I69" s="21">
        <v>1</v>
      </c>
      <c r="J69" s="21">
        <v>0.57140000000000002</v>
      </c>
    </row>
    <row r="70" spans="1:10">
      <c r="A70" s="4" t="s">
        <v>896</v>
      </c>
      <c r="B70" s="4" t="s">
        <v>112</v>
      </c>
      <c r="C70" s="4" t="s">
        <v>194</v>
      </c>
      <c r="D70" s="21">
        <v>0.41731000000000001</v>
      </c>
      <c r="E70" s="21">
        <v>0.39851599999999998</v>
      </c>
      <c r="F70" s="21">
        <v>0.40791300000000003</v>
      </c>
      <c r="G70" s="21">
        <v>0.95240000000000002</v>
      </c>
      <c r="H70" s="21">
        <v>0.91669999999999996</v>
      </c>
      <c r="I70" s="21">
        <v>1</v>
      </c>
      <c r="J70" s="21">
        <v>0.5857</v>
      </c>
    </row>
    <row r="71" spans="1:10">
      <c r="A71" s="4" t="s">
        <v>897</v>
      </c>
      <c r="B71" s="4" t="s">
        <v>161</v>
      </c>
      <c r="C71" s="4" t="s">
        <v>162</v>
      </c>
      <c r="D71" s="21">
        <v>0.579017</v>
      </c>
      <c r="E71" s="21">
        <v>0.53021300000000005</v>
      </c>
      <c r="F71" s="21">
        <v>0.55461499999999997</v>
      </c>
      <c r="G71" s="21">
        <v>1</v>
      </c>
      <c r="H71" s="21">
        <v>1</v>
      </c>
      <c r="I71" s="21">
        <v>1</v>
      </c>
      <c r="J71" s="21">
        <v>0.51390000000000002</v>
      </c>
    </row>
    <row r="72" spans="1:10">
      <c r="A72" s="4" t="s">
        <v>898</v>
      </c>
      <c r="B72" s="4" t="s">
        <v>120</v>
      </c>
      <c r="C72" s="4" t="s">
        <v>92</v>
      </c>
      <c r="D72" s="21">
        <v>0.47017599999999998</v>
      </c>
      <c r="E72" s="21">
        <v>0.51663199999999998</v>
      </c>
      <c r="F72" s="21">
        <v>0.49340400000000001</v>
      </c>
      <c r="G72" s="21">
        <v>1</v>
      </c>
      <c r="H72" s="21">
        <v>1</v>
      </c>
      <c r="I72" s="21">
        <v>1</v>
      </c>
      <c r="J72" s="21">
        <v>0.625</v>
      </c>
    </row>
    <row r="73" spans="1:10">
      <c r="A73" s="4" t="s">
        <v>899</v>
      </c>
      <c r="B73" s="4" t="s">
        <v>120</v>
      </c>
      <c r="C73" s="4" t="s">
        <v>94</v>
      </c>
      <c r="D73" s="21">
        <v>0.489757</v>
      </c>
      <c r="E73" s="21">
        <v>0.45989799999999997</v>
      </c>
      <c r="F73" s="21">
        <v>0.47482799999999997</v>
      </c>
      <c r="G73" s="21">
        <v>0.95240000000000002</v>
      </c>
      <c r="H73" s="21">
        <v>0.91669999999999996</v>
      </c>
      <c r="I73" s="21">
        <v>0.8</v>
      </c>
      <c r="J73" s="21">
        <v>0.69440000000000002</v>
      </c>
    </row>
    <row r="74" spans="1:10">
      <c r="A74" s="4" t="s">
        <v>900</v>
      </c>
      <c r="B74" s="4" t="s">
        <v>120</v>
      </c>
      <c r="C74" s="4" t="s">
        <v>144</v>
      </c>
      <c r="D74" s="21">
        <v>0.54349800000000004</v>
      </c>
      <c r="E74" s="21">
        <v>0.56906599999999996</v>
      </c>
      <c r="F74" s="21">
        <v>0.55628200000000005</v>
      </c>
      <c r="G74" s="21">
        <v>1</v>
      </c>
      <c r="H74" s="21">
        <v>1</v>
      </c>
      <c r="I74" s="21">
        <v>1</v>
      </c>
      <c r="J74" s="21">
        <v>0.63890000000000002</v>
      </c>
    </row>
    <row r="75" spans="1:10">
      <c r="A75" s="4" t="s">
        <v>901</v>
      </c>
      <c r="B75" s="4" t="s">
        <v>109</v>
      </c>
      <c r="C75" s="4" t="s">
        <v>328</v>
      </c>
      <c r="D75" s="21">
        <v>0.39235700000000001</v>
      </c>
      <c r="E75" s="21">
        <v>0.37325999999999998</v>
      </c>
      <c r="F75" s="21">
        <v>0.38280900000000001</v>
      </c>
      <c r="G75" s="21">
        <v>1</v>
      </c>
      <c r="H75" s="21">
        <v>1</v>
      </c>
      <c r="I75" s="21">
        <v>1</v>
      </c>
      <c r="J75" s="21">
        <v>0.5</v>
      </c>
    </row>
    <row r="76" spans="1:10">
      <c r="A76" s="4" t="s">
        <v>902</v>
      </c>
      <c r="B76" s="4" t="s">
        <v>109</v>
      </c>
      <c r="C76" s="4" t="s">
        <v>750</v>
      </c>
      <c r="D76" s="21">
        <v>0.47749799999999998</v>
      </c>
      <c r="E76" s="21">
        <v>0.45760000000000001</v>
      </c>
      <c r="F76" s="21">
        <v>0.46754899999999999</v>
      </c>
      <c r="G76" s="21">
        <v>1</v>
      </c>
      <c r="H76" s="21">
        <v>1</v>
      </c>
      <c r="I76" s="21">
        <v>1</v>
      </c>
      <c r="J76" s="21">
        <v>0.5</v>
      </c>
    </row>
    <row r="77" spans="1:10">
      <c r="A77" s="4" t="s">
        <v>903</v>
      </c>
      <c r="B77" s="4" t="s">
        <v>109</v>
      </c>
      <c r="C77" s="4" t="s">
        <v>230</v>
      </c>
      <c r="D77" s="21">
        <v>0.44312699999999999</v>
      </c>
      <c r="E77" s="21">
        <v>0.40753600000000001</v>
      </c>
      <c r="F77" s="21">
        <v>0.42533100000000001</v>
      </c>
      <c r="G77" s="21">
        <v>1</v>
      </c>
      <c r="H77" s="21">
        <v>1</v>
      </c>
      <c r="I77" s="21">
        <v>1</v>
      </c>
      <c r="J77" s="21">
        <v>0.54290000000000005</v>
      </c>
    </row>
    <row r="78" spans="1:10">
      <c r="A78" s="4" t="s">
        <v>904</v>
      </c>
      <c r="B78" s="4" t="s">
        <v>832</v>
      </c>
      <c r="C78" s="4" t="s">
        <v>88</v>
      </c>
      <c r="D78" s="21">
        <v>0.30584899999999998</v>
      </c>
      <c r="E78" s="21">
        <v>0.24978500000000001</v>
      </c>
      <c r="F78" s="21">
        <v>0.27781699999999998</v>
      </c>
      <c r="G78" s="21">
        <v>1</v>
      </c>
      <c r="H78" s="21">
        <v>0.91669999999999996</v>
      </c>
      <c r="I78" s="21">
        <v>0.8</v>
      </c>
      <c r="J78" s="21">
        <v>0.50700000000000001</v>
      </c>
    </row>
    <row r="79" spans="1:10">
      <c r="A79" s="4" t="s">
        <v>905</v>
      </c>
      <c r="B79" s="4" t="s">
        <v>832</v>
      </c>
      <c r="C79" s="4" t="s">
        <v>88</v>
      </c>
      <c r="D79" s="21">
        <v>0.420097</v>
      </c>
      <c r="E79" s="21">
        <v>0.44665500000000002</v>
      </c>
      <c r="F79" s="21">
        <v>0.43337599999999998</v>
      </c>
      <c r="G79" s="21">
        <v>1</v>
      </c>
      <c r="H79" s="21">
        <v>0.91669999999999996</v>
      </c>
      <c r="I79" s="21">
        <v>0.8</v>
      </c>
      <c r="J79" s="21">
        <v>0.56940000000000002</v>
      </c>
    </row>
    <row r="80" spans="1:10">
      <c r="A80" s="4" t="s">
        <v>906</v>
      </c>
      <c r="B80" s="4" t="s">
        <v>200</v>
      </c>
      <c r="C80" s="4" t="s">
        <v>88</v>
      </c>
      <c r="D80" s="21">
        <v>0.59696800000000005</v>
      </c>
      <c r="E80" s="21">
        <v>0.60674300000000003</v>
      </c>
      <c r="F80" s="21">
        <v>0.60185500000000003</v>
      </c>
      <c r="G80" s="21">
        <v>1</v>
      </c>
      <c r="H80" s="21">
        <v>0.91669999999999996</v>
      </c>
      <c r="I80" s="21">
        <v>1</v>
      </c>
      <c r="J80" s="21">
        <v>0.69440000000000002</v>
      </c>
    </row>
    <row r="81" spans="1:10">
      <c r="A81" s="4" t="s">
        <v>907</v>
      </c>
      <c r="B81" s="4" t="s">
        <v>156</v>
      </c>
      <c r="C81" s="4" t="s">
        <v>76</v>
      </c>
      <c r="D81" s="21">
        <v>0.55762299999999998</v>
      </c>
      <c r="E81" s="21">
        <v>0.55653900000000001</v>
      </c>
      <c r="F81" s="21">
        <v>0.55708100000000005</v>
      </c>
      <c r="G81" s="21">
        <v>1</v>
      </c>
      <c r="H81" s="21">
        <v>1</v>
      </c>
      <c r="I81" s="21">
        <v>1</v>
      </c>
      <c r="J81" s="21">
        <v>0.68059999999999998</v>
      </c>
    </row>
    <row r="82" spans="1:10">
      <c r="A82" s="4" t="s">
        <v>908</v>
      </c>
      <c r="B82" s="4" t="s">
        <v>117</v>
      </c>
      <c r="C82" s="4" t="s">
        <v>118</v>
      </c>
      <c r="D82" s="21">
        <v>0.65362600000000004</v>
      </c>
      <c r="E82" s="21">
        <v>0.68582699999999996</v>
      </c>
      <c r="F82" s="21">
        <v>0.66972600000000004</v>
      </c>
      <c r="G82" s="21">
        <v>1</v>
      </c>
      <c r="H82" s="21">
        <v>0.91669999999999996</v>
      </c>
      <c r="I82" s="21">
        <v>0.8</v>
      </c>
      <c r="J82" s="21">
        <v>0.61109999999999998</v>
      </c>
    </row>
    <row r="83" spans="1:10">
      <c r="A83" s="4" t="s">
        <v>909</v>
      </c>
      <c r="B83" s="4" t="s">
        <v>832</v>
      </c>
      <c r="C83" s="4" t="s">
        <v>88</v>
      </c>
      <c r="D83" s="21">
        <v>0.548566</v>
      </c>
      <c r="E83" s="21">
        <v>0.56004799999999999</v>
      </c>
      <c r="F83" s="21">
        <v>0.55430699999999999</v>
      </c>
      <c r="G83" s="21">
        <v>0.95240000000000002</v>
      </c>
      <c r="H83" s="21">
        <v>0.91669999999999996</v>
      </c>
      <c r="I83" s="21">
        <v>0.8</v>
      </c>
      <c r="J83" s="21">
        <v>0.69440000000000002</v>
      </c>
    </row>
    <row r="84" spans="1:10">
      <c r="A84" s="4" t="s">
        <v>910</v>
      </c>
      <c r="B84" s="4" t="s">
        <v>832</v>
      </c>
      <c r="C84" s="4" t="s">
        <v>88</v>
      </c>
      <c r="D84" s="21">
        <v>0.570241</v>
      </c>
      <c r="E84" s="21">
        <v>0.57606500000000005</v>
      </c>
      <c r="F84" s="21">
        <v>0.57315300000000002</v>
      </c>
      <c r="G84" s="21">
        <v>0.95240000000000002</v>
      </c>
      <c r="H84" s="21">
        <v>0.91669999999999996</v>
      </c>
      <c r="I84" s="21">
        <v>0.8</v>
      </c>
      <c r="J84" s="21">
        <v>0.69440000000000002</v>
      </c>
    </row>
    <row r="85" spans="1:10">
      <c r="A85" s="4" t="s">
        <v>911</v>
      </c>
      <c r="B85" s="4" t="s">
        <v>200</v>
      </c>
      <c r="C85" s="4" t="s">
        <v>88</v>
      </c>
      <c r="D85" s="21">
        <v>0.570241</v>
      </c>
      <c r="E85" s="21">
        <v>0.57606500000000005</v>
      </c>
      <c r="F85" s="21">
        <v>0.57315300000000002</v>
      </c>
      <c r="G85" s="21">
        <v>0.95240000000000002</v>
      </c>
      <c r="H85" s="21">
        <v>0.91669999999999996</v>
      </c>
      <c r="I85" s="21">
        <v>0.8</v>
      </c>
      <c r="J85" s="21">
        <v>0.69440000000000002</v>
      </c>
    </row>
    <row r="86" spans="1:10">
      <c r="A86" s="4" t="s">
        <v>912</v>
      </c>
      <c r="B86" s="4" t="s">
        <v>141</v>
      </c>
      <c r="C86" s="4" t="s">
        <v>142</v>
      </c>
      <c r="D86" s="21">
        <v>0.62452799999999997</v>
      </c>
      <c r="E86" s="21">
        <v>0.65122000000000002</v>
      </c>
      <c r="F86" s="21">
        <v>0.63787400000000005</v>
      </c>
      <c r="G86" s="21">
        <v>1</v>
      </c>
      <c r="H86" s="21">
        <v>1</v>
      </c>
      <c r="I86" s="21">
        <v>1</v>
      </c>
      <c r="J86" s="21">
        <v>0.59719999999999995</v>
      </c>
    </row>
    <row r="87" spans="1:10">
      <c r="A87" s="4" t="s">
        <v>913</v>
      </c>
      <c r="B87" s="4" t="s">
        <v>103</v>
      </c>
      <c r="C87" s="4" t="s">
        <v>851</v>
      </c>
      <c r="D87" s="21">
        <v>0.43012499999999998</v>
      </c>
      <c r="E87" s="21">
        <v>0.45545799999999997</v>
      </c>
      <c r="F87" s="21">
        <v>0.44279099999999999</v>
      </c>
      <c r="G87" s="21">
        <v>1</v>
      </c>
      <c r="H87" s="21">
        <v>0.83330000000000004</v>
      </c>
      <c r="I87" s="21">
        <v>0.8</v>
      </c>
      <c r="J87" s="21">
        <v>0.59719999999999995</v>
      </c>
    </row>
    <row r="88" spans="1:10">
      <c r="A88" s="4" t="s">
        <v>914</v>
      </c>
      <c r="B88" s="4" t="s">
        <v>103</v>
      </c>
      <c r="C88" s="4" t="s">
        <v>851</v>
      </c>
      <c r="D88" s="21">
        <v>0.42325800000000002</v>
      </c>
      <c r="E88" s="21">
        <v>0.442019</v>
      </c>
      <c r="F88" s="21">
        <v>0.432639</v>
      </c>
      <c r="G88" s="21">
        <v>1</v>
      </c>
      <c r="H88" s="21">
        <v>0.83330000000000004</v>
      </c>
      <c r="I88" s="21">
        <v>0.8</v>
      </c>
      <c r="J88" s="21">
        <v>0.56940000000000002</v>
      </c>
    </row>
    <row r="89" spans="1:10">
      <c r="A89" s="4" t="s">
        <v>915</v>
      </c>
      <c r="B89" s="4" t="s">
        <v>109</v>
      </c>
      <c r="C89" s="4" t="s">
        <v>230</v>
      </c>
      <c r="D89" s="21">
        <v>0.48709999999999998</v>
      </c>
      <c r="E89" s="21">
        <v>0.46948299999999998</v>
      </c>
      <c r="F89" s="21">
        <v>0.47829199999999999</v>
      </c>
      <c r="G89" s="21">
        <v>0.95240000000000002</v>
      </c>
      <c r="H89" s="21">
        <v>0.83330000000000004</v>
      </c>
      <c r="I89" s="21">
        <v>0.8</v>
      </c>
      <c r="J89" s="21">
        <v>0.54290000000000005</v>
      </c>
    </row>
    <row r="90" spans="1:10">
      <c r="A90" s="4" t="s">
        <v>916</v>
      </c>
      <c r="B90" s="4" t="s">
        <v>109</v>
      </c>
      <c r="C90" s="4" t="s">
        <v>230</v>
      </c>
      <c r="D90" s="21">
        <v>0.47397800000000001</v>
      </c>
      <c r="E90" s="21">
        <v>0.45507900000000001</v>
      </c>
      <c r="F90" s="21">
        <v>0.46452900000000003</v>
      </c>
      <c r="G90" s="21">
        <v>1</v>
      </c>
      <c r="H90" s="21">
        <v>0.83330000000000004</v>
      </c>
      <c r="I90" s="21">
        <v>0.8</v>
      </c>
      <c r="J90" s="21">
        <v>0.52859999999999996</v>
      </c>
    </row>
    <row r="91" spans="1:10">
      <c r="A91" s="4" t="s">
        <v>917</v>
      </c>
      <c r="B91" s="4" t="s">
        <v>158</v>
      </c>
      <c r="C91" s="4" t="s">
        <v>343</v>
      </c>
      <c r="D91" s="21">
        <v>0.33938600000000002</v>
      </c>
      <c r="E91" s="21">
        <v>0.36542400000000003</v>
      </c>
      <c r="F91" s="21">
        <v>0.35240500000000002</v>
      </c>
      <c r="G91" s="21">
        <v>1</v>
      </c>
      <c r="H91" s="21">
        <v>1</v>
      </c>
      <c r="I91" s="21">
        <v>1</v>
      </c>
      <c r="J91" s="21">
        <v>0.6714</v>
      </c>
    </row>
    <row r="92" spans="1:10">
      <c r="A92" s="4" t="s">
        <v>918</v>
      </c>
      <c r="B92" s="4" t="s">
        <v>161</v>
      </c>
      <c r="C92" s="4" t="s">
        <v>162</v>
      </c>
      <c r="D92" s="21">
        <v>0.31102400000000002</v>
      </c>
      <c r="E92" s="21">
        <v>0.31737900000000002</v>
      </c>
      <c r="F92" s="21">
        <v>0.31420199999999998</v>
      </c>
      <c r="G92" s="21">
        <v>1</v>
      </c>
      <c r="H92" s="21">
        <v>1</v>
      </c>
      <c r="I92" s="21">
        <v>1</v>
      </c>
      <c r="J92" s="21">
        <v>0.5857</v>
      </c>
    </row>
    <row r="93" spans="1:10">
      <c r="A93" s="4" t="s">
        <v>919</v>
      </c>
      <c r="B93" s="4" t="s">
        <v>200</v>
      </c>
      <c r="C93" s="4" t="s">
        <v>88</v>
      </c>
      <c r="D93" s="21">
        <v>0.57180900000000001</v>
      </c>
      <c r="E93" s="21">
        <v>0.58386000000000005</v>
      </c>
      <c r="F93" s="21">
        <v>0.57783499999999999</v>
      </c>
      <c r="G93" s="21">
        <v>0.95240000000000002</v>
      </c>
      <c r="H93" s="21">
        <v>1</v>
      </c>
      <c r="I93" s="21">
        <v>1</v>
      </c>
      <c r="J93" s="21">
        <v>0.56940000000000002</v>
      </c>
    </row>
    <row r="94" spans="1:10">
      <c r="A94" s="4" t="s">
        <v>920</v>
      </c>
      <c r="B94" s="4" t="s">
        <v>832</v>
      </c>
      <c r="C94" s="4" t="s">
        <v>88</v>
      </c>
      <c r="D94" s="21">
        <v>0.328372</v>
      </c>
      <c r="E94" s="21">
        <v>0.33074199999999998</v>
      </c>
      <c r="F94" s="21">
        <v>0.32955699999999999</v>
      </c>
      <c r="G94" s="21">
        <v>1</v>
      </c>
      <c r="H94" s="21">
        <v>0.83330000000000004</v>
      </c>
      <c r="I94" s="21">
        <v>0.8</v>
      </c>
      <c r="J94" s="21">
        <v>0.60560000000000003</v>
      </c>
    </row>
    <row r="95" spans="1:10">
      <c r="A95" s="4" t="s">
        <v>921</v>
      </c>
      <c r="B95" s="4" t="s">
        <v>141</v>
      </c>
      <c r="C95" s="4" t="s">
        <v>142</v>
      </c>
      <c r="D95" s="21">
        <v>0.61847399999999997</v>
      </c>
      <c r="E95" s="21">
        <v>0.66606100000000001</v>
      </c>
      <c r="F95" s="21">
        <v>0.64226799999999995</v>
      </c>
      <c r="G95" s="21">
        <v>1</v>
      </c>
      <c r="H95" s="21">
        <v>1</v>
      </c>
      <c r="I95" s="21">
        <v>1</v>
      </c>
      <c r="J95" s="21">
        <v>0.54169999999999996</v>
      </c>
    </row>
    <row r="96" spans="1:10">
      <c r="A96" s="4" t="s">
        <v>922</v>
      </c>
      <c r="B96" s="4" t="s">
        <v>175</v>
      </c>
      <c r="C96" s="4" t="s">
        <v>100</v>
      </c>
      <c r="D96" s="21">
        <v>0.55194799999999999</v>
      </c>
      <c r="E96" s="21">
        <v>0.55934499999999998</v>
      </c>
      <c r="F96" s="21">
        <v>0.555647</v>
      </c>
      <c r="G96" s="21">
        <v>1</v>
      </c>
      <c r="H96" s="21">
        <v>1</v>
      </c>
      <c r="I96" s="21">
        <v>1</v>
      </c>
      <c r="J96" s="21">
        <v>0.56940000000000002</v>
      </c>
    </row>
    <row r="97" spans="1:10">
      <c r="A97" s="4" t="s">
        <v>923</v>
      </c>
      <c r="B97" s="4" t="s">
        <v>175</v>
      </c>
      <c r="C97" s="4" t="s">
        <v>100</v>
      </c>
      <c r="D97" s="21">
        <v>0.56237000000000004</v>
      </c>
      <c r="E97" s="21">
        <v>0.56633500000000003</v>
      </c>
      <c r="F97" s="21">
        <v>0.56435199999999996</v>
      </c>
      <c r="G97" s="21">
        <v>1</v>
      </c>
      <c r="H97" s="21">
        <v>1</v>
      </c>
      <c r="I97" s="21">
        <v>1</v>
      </c>
      <c r="J97" s="21">
        <v>0.55559999999999998</v>
      </c>
    </row>
    <row r="98" spans="1:10">
      <c r="A98" s="4" t="s">
        <v>924</v>
      </c>
      <c r="B98" s="4" t="s">
        <v>103</v>
      </c>
      <c r="C98" s="4" t="s">
        <v>136</v>
      </c>
      <c r="D98" s="21">
        <v>0.58050199999999996</v>
      </c>
      <c r="E98" s="21">
        <v>0.64209899999999998</v>
      </c>
      <c r="F98" s="21">
        <v>0.61129999999999995</v>
      </c>
      <c r="G98" s="21">
        <v>1</v>
      </c>
      <c r="H98" s="21">
        <v>1</v>
      </c>
      <c r="I98" s="21">
        <v>1</v>
      </c>
      <c r="J98" s="21">
        <v>0.63890000000000002</v>
      </c>
    </row>
    <row r="99" spans="1:10">
      <c r="A99" s="4" t="s">
        <v>925</v>
      </c>
      <c r="B99" s="4" t="s">
        <v>200</v>
      </c>
      <c r="C99" s="4" t="s">
        <v>88</v>
      </c>
      <c r="D99" s="21">
        <v>0.518845</v>
      </c>
      <c r="E99" s="21">
        <v>0.53411200000000003</v>
      </c>
      <c r="F99" s="21">
        <v>0.526478</v>
      </c>
      <c r="G99" s="21">
        <v>0.95240000000000002</v>
      </c>
      <c r="H99" s="21">
        <v>0.91669999999999996</v>
      </c>
      <c r="I99" s="21">
        <v>0.8</v>
      </c>
      <c r="J99" s="21">
        <v>0.66669999999999996</v>
      </c>
    </row>
    <row r="100" spans="1:10">
      <c r="A100" s="4" t="s">
        <v>926</v>
      </c>
      <c r="B100" s="4" t="s">
        <v>200</v>
      </c>
      <c r="C100" s="4" t="s">
        <v>88</v>
      </c>
      <c r="D100" s="21">
        <v>0.69322499999999998</v>
      </c>
      <c r="E100" s="21">
        <v>0.68135500000000004</v>
      </c>
      <c r="F100" s="21">
        <v>0.68728999999999996</v>
      </c>
      <c r="G100" s="21">
        <v>0.95240000000000002</v>
      </c>
      <c r="H100" s="21">
        <v>1</v>
      </c>
      <c r="I100" s="21">
        <v>1</v>
      </c>
      <c r="J100" s="21">
        <v>0.52780000000000005</v>
      </c>
    </row>
    <row r="101" spans="1:10">
      <c r="A101" s="4"/>
      <c r="B101" s="4"/>
      <c r="C101" s="4"/>
      <c r="D101" s="4"/>
      <c r="E101" s="4"/>
      <c r="F101" s="4"/>
      <c r="G101" s="4"/>
      <c r="H101" s="4"/>
      <c r="I101" s="4"/>
      <c r="J101" s="4"/>
    </row>
    <row r="102" spans="1:10">
      <c r="A102" s="4"/>
      <c r="B102" s="5" t="s">
        <v>809</v>
      </c>
      <c r="C102" s="17">
        <f>COUNT(F5:F100)</f>
        <v>96</v>
      </c>
      <c r="D102" s="4"/>
      <c r="E102" s="4"/>
      <c r="F102" s="4"/>
      <c r="G102" s="4"/>
      <c r="H102" s="4"/>
      <c r="I102" s="4"/>
      <c r="J102" s="4"/>
    </row>
    <row r="103" spans="1:10">
      <c r="A103" s="4"/>
      <c r="B103" s="5" t="s">
        <v>927</v>
      </c>
      <c r="C103" s="17">
        <f>AVERAGE(D5:D100)</f>
        <v>0.48926154166666674</v>
      </c>
      <c r="D103" s="4"/>
      <c r="E103" s="4"/>
      <c r="F103" s="4"/>
      <c r="G103" s="4"/>
      <c r="H103" s="4"/>
      <c r="I103" s="4"/>
      <c r="J103" s="4"/>
    </row>
    <row r="104" spans="1:10">
      <c r="A104" s="4"/>
      <c r="B104" s="5" t="s">
        <v>928</v>
      </c>
      <c r="C104" s="17">
        <f>STDEVP(D5:D100)</f>
        <v>0.12015936490153316</v>
      </c>
      <c r="D104" s="4"/>
      <c r="E104" s="4"/>
      <c r="F104" s="4"/>
      <c r="G104" s="4"/>
      <c r="H104" s="4"/>
      <c r="I104" s="4"/>
      <c r="J104" s="4"/>
    </row>
    <row r="105" spans="1:10">
      <c r="A105" s="4"/>
      <c r="B105" s="5" t="s">
        <v>929</v>
      </c>
      <c r="C105" s="17">
        <f>AVERAGE(E5:E100)</f>
        <v>0.49896635416666696</v>
      </c>
      <c r="D105" s="4"/>
      <c r="E105" s="4"/>
      <c r="F105" s="4"/>
      <c r="G105" s="4"/>
      <c r="H105" s="4"/>
      <c r="I105" s="4"/>
      <c r="J105" s="4"/>
    </row>
    <row r="106" spans="1:10">
      <c r="A106" s="4"/>
      <c r="B106" s="5" t="s">
        <v>930</v>
      </c>
      <c r="C106" s="17">
        <f>STDEVP(E5:E100)</f>
        <v>0.11725111083712954</v>
      </c>
      <c r="D106" s="4"/>
      <c r="E106" s="4"/>
      <c r="F106" s="4"/>
      <c r="G106" s="4"/>
      <c r="H106" s="4"/>
      <c r="I106" s="4"/>
      <c r="J106" s="4"/>
    </row>
    <row r="107" spans="1:10">
      <c r="A107" s="4"/>
      <c r="B107" s="5" t="s">
        <v>931</v>
      </c>
      <c r="C107" s="17">
        <f>AVERAGE(F5:F100)</f>
        <v>0.49411401041666664</v>
      </c>
      <c r="D107" s="4"/>
      <c r="E107" s="4"/>
      <c r="F107" s="4"/>
      <c r="G107" s="4"/>
      <c r="H107" s="4"/>
      <c r="I107" s="4"/>
      <c r="J107" s="4"/>
    </row>
    <row r="108" spans="1:10">
      <c r="A108" s="4"/>
      <c r="B108" s="5" t="s">
        <v>932</v>
      </c>
      <c r="C108" s="17">
        <f>STDEVP(F5:F100)</f>
        <v>0.11664139598372056</v>
      </c>
      <c r="D108" s="4"/>
      <c r="E108" s="4"/>
      <c r="F108" s="4"/>
      <c r="G108" s="4"/>
      <c r="H108" s="4"/>
      <c r="I108" s="4"/>
      <c r="J108" s="4"/>
    </row>
    <row r="109" spans="1:10">
      <c r="A109" s="4"/>
      <c r="B109" s="5" t="s">
        <v>933</v>
      </c>
      <c r="C109" s="17">
        <f>MIN(F5:F100)</f>
        <v>2.8775999999999999E-2</v>
      </c>
      <c r="D109" s="4"/>
      <c r="E109" s="4"/>
      <c r="F109" s="4"/>
      <c r="G109" s="4"/>
      <c r="H109" s="4"/>
      <c r="I109" s="4"/>
      <c r="J109" s="4"/>
    </row>
    <row r="110" spans="1:10">
      <c r="A110" s="4"/>
      <c r="B110" s="5" t="s">
        <v>934</v>
      </c>
      <c r="C110" s="17">
        <f>MAX(F5:F100)</f>
        <v>0.68728999999999996</v>
      </c>
      <c r="D110" s="4"/>
      <c r="E110" s="4"/>
      <c r="F110" s="4"/>
      <c r="G110" s="4"/>
      <c r="H110" s="4"/>
      <c r="I110" s="4"/>
      <c r="J110" s="4"/>
    </row>
    <row r="111" spans="1:10">
      <c r="A111" s="4"/>
      <c r="B111" s="5" t="s">
        <v>935</v>
      </c>
      <c r="C111" s="17">
        <f>AVERAGE(G5:G100)</f>
        <v>0.98311666666666631</v>
      </c>
      <c r="D111" s="4"/>
      <c r="E111" s="4"/>
      <c r="F111" s="4"/>
      <c r="G111" s="4"/>
      <c r="H111" s="4"/>
      <c r="I111" s="4"/>
      <c r="J111" s="4"/>
    </row>
    <row r="112" spans="1:10">
      <c r="A112" s="4"/>
      <c r="B112" s="5" t="s">
        <v>936</v>
      </c>
      <c r="C112" s="17">
        <f>AVERAGE(H5:H100)</f>
        <v>0.94097708333333363</v>
      </c>
      <c r="D112" s="4"/>
      <c r="E112" s="4"/>
      <c r="F112" s="4"/>
      <c r="G112" s="4"/>
      <c r="H112" s="4"/>
      <c r="I112" s="4"/>
      <c r="J112" s="4"/>
    </row>
    <row r="113" spans="1:10">
      <c r="A113" s="4"/>
      <c r="B113" s="5" t="s">
        <v>937</v>
      </c>
      <c r="C113" s="17">
        <f>CORREL(D5:D100,E5:E100)</f>
        <v>0.93104935513647913</v>
      </c>
      <c r="D113" s="4"/>
      <c r="E113" s="4"/>
      <c r="F113" s="4"/>
      <c r="G113" s="4"/>
      <c r="H113" s="4"/>
      <c r="I113" s="4"/>
      <c r="J113" s="4"/>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dimension ref="A1:J79"/>
  <sheetViews>
    <sheetView workbookViewId="0"/>
  </sheetViews>
  <sheetFormatPr defaultColWidth="8.7109375" defaultRowHeight="15"/>
  <cols>
    <col min="1" max="1" width="16" customWidth="1"/>
    <col min="2" max="10" width="18" customWidth="1"/>
  </cols>
  <sheetData>
    <row r="1" spans="1:10" ht="15.75">
      <c r="A1" s="2" t="s">
        <v>938</v>
      </c>
      <c r="B1" s="4"/>
      <c r="C1" s="4"/>
      <c r="D1" s="4"/>
      <c r="E1" s="4"/>
      <c r="F1" s="4"/>
      <c r="G1" s="4"/>
      <c r="H1" s="4"/>
      <c r="I1" s="4"/>
      <c r="J1" s="4"/>
    </row>
    <row r="2" spans="1:10">
      <c r="A2" s="4" t="s">
        <v>939</v>
      </c>
      <c r="B2" s="4"/>
      <c r="C2" s="4"/>
      <c r="D2" s="4"/>
      <c r="E2" s="4"/>
      <c r="F2" s="4"/>
      <c r="G2" s="4"/>
      <c r="H2" s="4"/>
      <c r="I2" s="4"/>
      <c r="J2" s="4"/>
    </row>
    <row r="3" spans="1:10">
      <c r="A3" s="4"/>
      <c r="B3" s="4"/>
      <c r="C3" s="4"/>
      <c r="D3" s="4"/>
      <c r="E3" s="4"/>
      <c r="F3" s="4"/>
      <c r="G3" s="4"/>
      <c r="H3" s="4"/>
      <c r="I3" s="4"/>
      <c r="J3" s="4"/>
    </row>
    <row r="4" spans="1:10" ht="26.25">
      <c r="A4" s="9" t="s">
        <v>940</v>
      </c>
      <c r="B4" s="9" t="s">
        <v>827</v>
      </c>
      <c r="C4" s="9" t="s">
        <v>941</v>
      </c>
      <c r="D4" s="9" t="s">
        <v>793</v>
      </c>
      <c r="E4" s="9" t="s">
        <v>794</v>
      </c>
      <c r="F4" s="9" t="s">
        <v>459</v>
      </c>
      <c r="G4" s="9" t="s">
        <v>476</v>
      </c>
      <c r="H4" s="9" t="s">
        <v>480</v>
      </c>
      <c r="I4" s="9" t="s">
        <v>484</v>
      </c>
      <c r="J4" s="9" t="s">
        <v>386</v>
      </c>
    </row>
    <row r="5" spans="1:10">
      <c r="A5" s="4">
        <v>1</v>
      </c>
      <c r="B5" s="4" t="s">
        <v>942</v>
      </c>
      <c r="C5" s="4"/>
      <c r="D5" s="21">
        <v>0.44530399999999998</v>
      </c>
      <c r="E5" s="21">
        <v>0.45521299999999998</v>
      </c>
      <c r="F5" s="21">
        <v>0.45025900000000002</v>
      </c>
      <c r="G5" s="21">
        <v>1</v>
      </c>
      <c r="H5" s="21">
        <v>0.91669999999999996</v>
      </c>
      <c r="I5" s="21">
        <v>0.8</v>
      </c>
      <c r="J5" s="21">
        <v>0.61970000000000003</v>
      </c>
    </row>
    <row r="6" spans="1:10">
      <c r="A6" s="4">
        <v>2</v>
      </c>
      <c r="B6" s="4" t="s">
        <v>942</v>
      </c>
      <c r="C6" s="4"/>
      <c r="D6" s="21">
        <v>0.435419</v>
      </c>
      <c r="E6" s="21">
        <v>0.41878100000000001</v>
      </c>
      <c r="F6" s="21">
        <v>0.42709999999999998</v>
      </c>
      <c r="G6" s="21">
        <v>1</v>
      </c>
      <c r="H6" s="21">
        <v>0.83330000000000004</v>
      </c>
      <c r="I6" s="21">
        <v>0.8</v>
      </c>
      <c r="J6" s="21">
        <v>0.59150000000000003</v>
      </c>
    </row>
    <row r="7" spans="1:10">
      <c r="A7" s="4">
        <v>3</v>
      </c>
      <c r="B7" s="4" t="s">
        <v>942</v>
      </c>
      <c r="C7" s="4"/>
      <c r="D7" s="21">
        <v>0.50827800000000001</v>
      </c>
      <c r="E7" s="21">
        <v>0.48601499999999997</v>
      </c>
      <c r="F7" s="21">
        <v>0.49714700000000001</v>
      </c>
      <c r="G7" s="21">
        <v>1</v>
      </c>
      <c r="H7" s="21">
        <v>1</v>
      </c>
      <c r="I7" s="21">
        <v>1</v>
      </c>
      <c r="J7" s="21">
        <v>0.56940000000000002</v>
      </c>
    </row>
    <row r="8" spans="1:10">
      <c r="A8" s="4">
        <v>4</v>
      </c>
      <c r="B8" s="4" t="s">
        <v>68</v>
      </c>
      <c r="C8" s="4"/>
      <c r="D8" s="21">
        <v>0.237401</v>
      </c>
      <c r="E8" s="21">
        <v>0.244342</v>
      </c>
      <c r="F8" s="21">
        <v>0.240871</v>
      </c>
      <c r="G8" s="21">
        <v>0.95240000000000002</v>
      </c>
      <c r="H8" s="21">
        <v>0.91669999999999996</v>
      </c>
      <c r="I8" s="21">
        <v>0.8</v>
      </c>
      <c r="J8" s="21">
        <v>0.57140000000000002</v>
      </c>
    </row>
    <row r="9" spans="1:10">
      <c r="A9" s="4">
        <v>5</v>
      </c>
      <c r="B9" s="4" t="s">
        <v>68</v>
      </c>
      <c r="C9" s="4"/>
      <c r="D9" s="21">
        <v>0.29975600000000002</v>
      </c>
      <c r="E9" s="21">
        <v>0.36242600000000003</v>
      </c>
      <c r="F9" s="21">
        <v>0.33109100000000002</v>
      </c>
      <c r="G9" s="21">
        <v>0.95240000000000002</v>
      </c>
      <c r="H9" s="21">
        <v>1</v>
      </c>
      <c r="I9" s="21">
        <v>1</v>
      </c>
      <c r="J9" s="21">
        <v>0.57140000000000002</v>
      </c>
    </row>
    <row r="10" spans="1:10">
      <c r="A10" s="4">
        <v>6</v>
      </c>
      <c r="B10" s="4" t="s">
        <v>68</v>
      </c>
      <c r="C10" s="4"/>
      <c r="D10" s="21">
        <v>0.299433</v>
      </c>
      <c r="E10" s="21">
        <v>0.31528</v>
      </c>
      <c r="F10" s="21">
        <v>0.30735600000000002</v>
      </c>
      <c r="G10" s="21">
        <v>0.95240000000000002</v>
      </c>
      <c r="H10" s="21">
        <v>1</v>
      </c>
      <c r="I10" s="21">
        <v>1</v>
      </c>
      <c r="J10" s="21">
        <v>0.61970000000000003</v>
      </c>
    </row>
    <row r="11" spans="1:10">
      <c r="A11" s="4">
        <v>7</v>
      </c>
      <c r="B11" s="4" t="s">
        <v>68</v>
      </c>
      <c r="C11" s="4"/>
      <c r="D11" s="21">
        <v>0.53242</v>
      </c>
      <c r="E11" s="21">
        <v>0.45235300000000001</v>
      </c>
      <c r="F11" s="21">
        <v>0.49238599999999999</v>
      </c>
      <c r="G11" s="21">
        <v>0.95240000000000002</v>
      </c>
      <c r="H11" s="21">
        <v>0.91669999999999996</v>
      </c>
      <c r="I11" s="21">
        <v>0.8</v>
      </c>
      <c r="J11" s="21">
        <v>0.65280000000000005</v>
      </c>
    </row>
    <row r="12" spans="1:10">
      <c r="A12" s="4">
        <v>8</v>
      </c>
      <c r="B12" s="4" t="s">
        <v>68</v>
      </c>
      <c r="C12" s="4"/>
      <c r="D12" s="21">
        <v>0.58484999999999998</v>
      </c>
      <c r="E12" s="21">
        <v>0.53752299999999997</v>
      </c>
      <c r="F12" s="21">
        <v>0.56118699999999999</v>
      </c>
      <c r="G12" s="21">
        <v>0.95240000000000002</v>
      </c>
      <c r="H12" s="21">
        <v>0.91669999999999996</v>
      </c>
      <c r="I12" s="21">
        <v>0.8</v>
      </c>
      <c r="J12" s="21">
        <v>0.625</v>
      </c>
    </row>
    <row r="13" spans="1:10">
      <c r="A13" s="4">
        <v>9</v>
      </c>
      <c r="B13" s="4" t="s">
        <v>943</v>
      </c>
      <c r="C13" s="4"/>
      <c r="D13" s="21">
        <v>0.57986499999999996</v>
      </c>
      <c r="E13" s="21">
        <v>0.516876</v>
      </c>
      <c r="F13" s="21">
        <v>0.54837100000000005</v>
      </c>
      <c r="G13" s="21">
        <v>1</v>
      </c>
      <c r="H13" s="21">
        <v>1</v>
      </c>
      <c r="I13" s="21">
        <v>1</v>
      </c>
      <c r="J13" s="21">
        <v>0.54169999999999996</v>
      </c>
    </row>
    <row r="14" spans="1:10">
      <c r="A14" s="4">
        <v>10</v>
      </c>
      <c r="B14" s="4" t="s">
        <v>943</v>
      </c>
      <c r="C14" s="4"/>
      <c r="D14" s="21">
        <v>0.57986499999999996</v>
      </c>
      <c r="E14" s="21">
        <v>0.516876</v>
      </c>
      <c r="F14" s="21">
        <v>0.54837100000000005</v>
      </c>
      <c r="G14" s="21">
        <v>1</v>
      </c>
      <c r="H14" s="21">
        <v>1</v>
      </c>
      <c r="I14" s="21">
        <v>1</v>
      </c>
      <c r="J14" s="21">
        <v>0.54169999999999996</v>
      </c>
    </row>
    <row r="15" spans="1:10">
      <c r="A15" s="4">
        <v>11</v>
      </c>
      <c r="B15" s="4" t="s">
        <v>944</v>
      </c>
      <c r="C15" s="4"/>
      <c r="D15" s="21">
        <v>0.325075</v>
      </c>
      <c r="E15" s="21">
        <v>0.29726999999999998</v>
      </c>
      <c r="F15" s="21">
        <v>0.311172</v>
      </c>
      <c r="G15" s="21">
        <v>0.95240000000000002</v>
      </c>
      <c r="H15" s="21">
        <v>1</v>
      </c>
      <c r="I15" s="21">
        <v>1</v>
      </c>
      <c r="J15" s="21">
        <v>0.64290000000000003</v>
      </c>
    </row>
    <row r="16" spans="1:10">
      <c r="A16" s="4">
        <v>12</v>
      </c>
      <c r="B16" s="4" t="s">
        <v>79</v>
      </c>
      <c r="C16" s="4"/>
      <c r="D16" s="21">
        <v>0.24834000000000001</v>
      </c>
      <c r="E16" s="21">
        <v>0.33935100000000001</v>
      </c>
      <c r="F16" s="21">
        <v>0.293846</v>
      </c>
      <c r="G16" s="21">
        <v>0.95240000000000002</v>
      </c>
      <c r="H16" s="21">
        <v>0.83330000000000004</v>
      </c>
      <c r="I16" s="21">
        <v>1</v>
      </c>
      <c r="J16" s="21">
        <v>0.60560000000000003</v>
      </c>
    </row>
    <row r="17" spans="1:10">
      <c r="A17" s="4">
        <v>13</v>
      </c>
      <c r="B17" s="4" t="s">
        <v>79</v>
      </c>
      <c r="C17" s="4"/>
      <c r="D17" s="21">
        <v>0.24834000000000001</v>
      </c>
      <c r="E17" s="21">
        <v>0.33935100000000001</v>
      </c>
      <c r="F17" s="21">
        <v>0.293846</v>
      </c>
      <c r="G17" s="21">
        <v>0.95240000000000002</v>
      </c>
      <c r="H17" s="21">
        <v>0.83330000000000004</v>
      </c>
      <c r="I17" s="21">
        <v>1</v>
      </c>
      <c r="J17" s="21">
        <v>0.60560000000000003</v>
      </c>
    </row>
    <row r="18" spans="1:10">
      <c r="A18" s="4">
        <v>14</v>
      </c>
      <c r="B18" s="4" t="s">
        <v>79</v>
      </c>
      <c r="C18" s="4"/>
      <c r="D18" s="21">
        <v>0.241284</v>
      </c>
      <c r="E18" s="21">
        <v>0.24604500000000001</v>
      </c>
      <c r="F18" s="21">
        <v>0.24366499999999999</v>
      </c>
      <c r="G18" s="21">
        <v>0.85709999999999997</v>
      </c>
      <c r="H18" s="21">
        <v>0.66669999999999996</v>
      </c>
      <c r="I18" s="21">
        <v>0.8</v>
      </c>
      <c r="J18" s="21">
        <v>0.59150000000000003</v>
      </c>
    </row>
    <row r="19" spans="1:10">
      <c r="A19" s="4">
        <v>15</v>
      </c>
      <c r="B19" s="4" t="s">
        <v>79</v>
      </c>
      <c r="C19" s="4"/>
      <c r="D19" s="21">
        <v>0.24370600000000001</v>
      </c>
      <c r="E19" s="21">
        <v>0.31065399999999999</v>
      </c>
      <c r="F19" s="21">
        <v>0.27717999999999998</v>
      </c>
      <c r="G19" s="21">
        <v>0.95240000000000002</v>
      </c>
      <c r="H19" s="21">
        <v>0.83330000000000004</v>
      </c>
      <c r="I19" s="21">
        <v>1</v>
      </c>
      <c r="J19" s="21">
        <v>0.53520000000000001</v>
      </c>
    </row>
    <row r="20" spans="1:10">
      <c r="A20" s="4">
        <v>16</v>
      </c>
      <c r="B20" s="4" t="s">
        <v>945</v>
      </c>
      <c r="C20" s="4"/>
      <c r="D20" s="21">
        <v>0.383102</v>
      </c>
      <c r="E20" s="21">
        <v>0.44803599999999999</v>
      </c>
      <c r="F20" s="21">
        <v>0.41556900000000002</v>
      </c>
      <c r="G20" s="21">
        <v>0.95240000000000002</v>
      </c>
      <c r="H20" s="21">
        <v>0.91669999999999996</v>
      </c>
      <c r="I20" s="21">
        <v>0.8</v>
      </c>
      <c r="J20" s="21">
        <v>0.56340000000000001</v>
      </c>
    </row>
    <row r="21" spans="1:10">
      <c r="A21" s="4">
        <v>17</v>
      </c>
      <c r="B21" s="4" t="s">
        <v>945</v>
      </c>
      <c r="C21" s="4"/>
      <c r="D21" s="21">
        <v>0.471858</v>
      </c>
      <c r="E21" s="21">
        <v>0.46422200000000002</v>
      </c>
      <c r="F21" s="21">
        <v>0.46804000000000001</v>
      </c>
      <c r="G21" s="21">
        <v>0.90480000000000005</v>
      </c>
      <c r="H21" s="21">
        <v>1</v>
      </c>
      <c r="I21" s="21">
        <v>1</v>
      </c>
      <c r="J21" s="21">
        <v>0.63380000000000003</v>
      </c>
    </row>
    <row r="22" spans="1:10">
      <c r="A22" s="4">
        <v>18</v>
      </c>
      <c r="B22" s="4" t="s">
        <v>945</v>
      </c>
      <c r="C22" s="4"/>
      <c r="D22" s="21">
        <v>0.471858</v>
      </c>
      <c r="E22" s="21">
        <v>0.46422200000000002</v>
      </c>
      <c r="F22" s="21">
        <v>0.46804000000000001</v>
      </c>
      <c r="G22" s="21">
        <v>0.90480000000000005</v>
      </c>
      <c r="H22" s="21">
        <v>1</v>
      </c>
      <c r="I22" s="21">
        <v>1</v>
      </c>
      <c r="J22" s="21">
        <v>0.63380000000000003</v>
      </c>
    </row>
    <row r="23" spans="1:10">
      <c r="A23" s="4">
        <v>19</v>
      </c>
      <c r="B23" s="4" t="s">
        <v>946</v>
      </c>
      <c r="C23" s="4"/>
      <c r="D23" s="21">
        <v>0.38999499999999998</v>
      </c>
      <c r="E23" s="21">
        <v>0.48771599999999998</v>
      </c>
      <c r="F23" s="21">
        <v>0.43885600000000002</v>
      </c>
      <c r="G23" s="21">
        <v>0.90480000000000005</v>
      </c>
      <c r="H23" s="21">
        <v>1</v>
      </c>
      <c r="I23" s="21">
        <v>1</v>
      </c>
      <c r="J23" s="21">
        <v>0.6</v>
      </c>
    </row>
    <row r="24" spans="1:10">
      <c r="A24" s="4">
        <v>20</v>
      </c>
      <c r="B24" s="4" t="s">
        <v>946</v>
      </c>
      <c r="C24" s="4"/>
      <c r="D24" s="21">
        <v>0.31736799999999998</v>
      </c>
      <c r="E24" s="21">
        <v>0.38730100000000001</v>
      </c>
      <c r="F24" s="21">
        <v>0.35233500000000001</v>
      </c>
      <c r="G24" s="21">
        <v>0.95240000000000002</v>
      </c>
      <c r="H24" s="21">
        <v>1</v>
      </c>
      <c r="I24" s="21">
        <v>1</v>
      </c>
      <c r="J24" s="21">
        <v>0.6</v>
      </c>
    </row>
    <row r="25" spans="1:10">
      <c r="A25" s="4">
        <v>21</v>
      </c>
      <c r="B25" s="4" t="s">
        <v>947</v>
      </c>
      <c r="C25" s="4"/>
      <c r="D25" s="21">
        <v>0.31510300000000002</v>
      </c>
      <c r="E25" s="21">
        <v>0.26841500000000001</v>
      </c>
      <c r="F25" s="21">
        <v>0.29175899999999999</v>
      </c>
      <c r="G25" s="21">
        <v>0.95240000000000002</v>
      </c>
      <c r="H25" s="21">
        <v>1</v>
      </c>
      <c r="I25" s="21">
        <v>1</v>
      </c>
      <c r="J25" s="21">
        <v>0.5857</v>
      </c>
    </row>
    <row r="26" spans="1:10">
      <c r="A26" s="4">
        <v>22</v>
      </c>
      <c r="B26" s="4" t="s">
        <v>947</v>
      </c>
      <c r="C26" s="4"/>
      <c r="D26" s="21">
        <v>0.32144800000000001</v>
      </c>
      <c r="E26" s="21">
        <v>0.29547600000000002</v>
      </c>
      <c r="F26" s="21">
        <v>0.30846200000000001</v>
      </c>
      <c r="G26" s="21">
        <v>0.95240000000000002</v>
      </c>
      <c r="H26" s="21">
        <v>1</v>
      </c>
      <c r="I26" s="21">
        <v>1</v>
      </c>
      <c r="J26" s="21">
        <v>0.6</v>
      </c>
    </row>
    <row r="27" spans="1:10">
      <c r="A27" s="4">
        <v>23</v>
      </c>
      <c r="B27" s="4" t="s">
        <v>947</v>
      </c>
      <c r="C27" s="4"/>
      <c r="D27" s="21">
        <v>0.32144800000000001</v>
      </c>
      <c r="E27" s="21">
        <v>0.29547600000000002</v>
      </c>
      <c r="F27" s="21">
        <v>0.30846200000000001</v>
      </c>
      <c r="G27" s="21">
        <v>0.95240000000000002</v>
      </c>
      <c r="H27" s="21">
        <v>1</v>
      </c>
      <c r="I27" s="21">
        <v>1</v>
      </c>
      <c r="J27" s="21">
        <v>0.6</v>
      </c>
    </row>
    <row r="28" spans="1:10">
      <c r="A28" s="4">
        <v>24</v>
      </c>
      <c r="B28" s="4" t="s">
        <v>947</v>
      </c>
      <c r="C28" s="4"/>
      <c r="D28" s="21">
        <v>0.42182199999999997</v>
      </c>
      <c r="E28" s="21">
        <v>0.40614899999999998</v>
      </c>
      <c r="F28" s="21">
        <v>0.41398499999999999</v>
      </c>
      <c r="G28" s="21">
        <v>0.95240000000000002</v>
      </c>
      <c r="H28" s="21">
        <v>1</v>
      </c>
      <c r="I28" s="21">
        <v>1</v>
      </c>
      <c r="J28" s="21">
        <v>0.61429999999999996</v>
      </c>
    </row>
    <row r="29" spans="1:10">
      <c r="A29" s="4">
        <v>25</v>
      </c>
      <c r="B29" s="4" t="s">
        <v>947</v>
      </c>
      <c r="C29" s="4"/>
      <c r="D29" s="21">
        <v>0.43250499999999997</v>
      </c>
      <c r="E29" s="21">
        <v>0.43669400000000003</v>
      </c>
      <c r="F29" s="21">
        <v>0.43459999999999999</v>
      </c>
      <c r="G29" s="21">
        <v>0.95240000000000002</v>
      </c>
      <c r="H29" s="21">
        <v>0.91669999999999996</v>
      </c>
      <c r="I29" s="21">
        <v>0.8</v>
      </c>
      <c r="J29" s="21">
        <v>0.61429999999999996</v>
      </c>
    </row>
    <row r="30" spans="1:10">
      <c r="A30" s="4">
        <v>26</v>
      </c>
      <c r="B30" s="4" t="s">
        <v>948</v>
      </c>
      <c r="C30" s="4"/>
      <c r="D30" s="21">
        <v>0.28441499999999997</v>
      </c>
      <c r="E30" s="21">
        <v>0.35167999999999999</v>
      </c>
      <c r="F30" s="21">
        <v>0.318048</v>
      </c>
      <c r="G30" s="21">
        <v>0.95240000000000002</v>
      </c>
      <c r="H30" s="21">
        <v>1</v>
      </c>
      <c r="I30" s="21">
        <v>1</v>
      </c>
      <c r="J30" s="21">
        <v>0.6714</v>
      </c>
    </row>
    <row r="31" spans="1:10">
      <c r="A31" s="4">
        <v>27</v>
      </c>
      <c r="B31" s="4" t="s">
        <v>949</v>
      </c>
      <c r="C31" s="4"/>
      <c r="D31" s="21">
        <v>0.52745799999999998</v>
      </c>
      <c r="E31" s="21">
        <v>0.56372999999999995</v>
      </c>
      <c r="F31" s="21">
        <v>0.54559400000000002</v>
      </c>
      <c r="G31" s="21">
        <v>1</v>
      </c>
      <c r="H31" s="21">
        <v>0.91669999999999996</v>
      </c>
      <c r="I31" s="21">
        <v>1</v>
      </c>
      <c r="J31" s="21">
        <v>0.66669999999999996</v>
      </c>
    </row>
    <row r="32" spans="1:10">
      <c r="A32" s="4">
        <v>28</v>
      </c>
      <c r="B32" s="4" t="s">
        <v>949</v>
      </c>
      <c r="C32" s="4"/>
      <c r="D32" s="21">
        <v>0.52745799999999998</v>
      </c>
      <c r="E32" s="21">
        <v>0.56372999999999995</v>
      </c>
      <c r="F32" s="21">
        <v>0.54559400000000002</v>
      </c>
      <c r="G32" s="21">
        <v>1</v>
      </c>
      <c r="H32" s="21">
        <v>0.91669999999999996</v>
      </c>
      <c r="I32" s="21">
        <v>1</v>
      </c>
      <c r="J32" s="21">
        <v>0.66669999999999996</v>
      </c>
    </row>
    <row r="33" spans="1:10">
      <c r="A33" s="4">
        <v>29</v>
      </c>
      <c r="B33" s="4" t="s">
        <v>949</v>
      </c>
      <c r="C33" s="4"/>
      <c r="D33" s="21">
        <v>0.70284400000000002</v>
      </c>
      <c r="E33" s="21">
        <v>0.69313499999999995</v>
      </c>
      <c r="F33" s="21">
        <v>0.69798899999999997</v>
      </c>
      <c r="G33" s="21">
        <v>1</v>
      </c>
      <c r="H33" s="21">
        <v>0.91669999999999996</v>
      </c>
      <c r="I33" s="21">
        <v>0.8</v>
      </c>
      <c r="J33" s="21">
        <v>0.63890000000000002</v>
      </c>
    </row>
    <row r="34" spans="1:10">
      <c r="A34" s="4">
        <v>30</v>
      </c>
      <c r="B34" s="4" t="s">
        <v>950</v>
      </c>
      <c r="C34" s="4"/>
      <c r="D34" s="21">
        <v>0.37247599999999997</v>
      </c>
      <c r="E34" s="21">
        <v>0.34038000000000002</v>
      </c>
      <c r="F34" s="21">
        <v>0.35642800000000002</v>
      </c>
      <c r="G34" s="21">
        <v>0.95240000000000002</v>
      </c>
      <c r="H34" s="21">
        <v>1</v>
      </c>
      <c r="I34" s="21">
        <v>1</v>
      </c>
      <c r="J34" s="21">
        <v>0.625</v>
      </c>
    </row>
    <row r="35" spans="1:10">
      <c r="A35" s="4">
        <v>31</v>
      </c>
      <c r="B35" s="4" t="s">
        <v>950</v>
      </c>
      <c r="C35" s="4"/>
      <c r="D35" s="21">
        <v>0.37247599999999997</v>
      </c>
      <c r="E35" s="21">
        <v>0.34038000000000002</v>
      </c>
      <c r="F35" s="21">
        <v>0.35642800000000002</v>
      </c>
      <c r="G35" s="21">
        <v>0.95240000000000002</v>
      </c>
      <c r="H35" s="21">
        <v>1</v>
      </c>
      <c r="I35" s="21">
        <v>1</v>
      </c>
      <c r="J35" s="21">
        <v>0.625</v>
      </c>
    </row>
    <row r="36" spans="1:10">
      <c r="A36" s="4">
        <v>32</v>
      </c>
      <c r="B36" s="4" t="s">
        <v>950</v>
      </c>
      <c r="C36" s="4"/>
      <c r="D36" s="21">
        <v>0.29399900000000001</v>
      </c>
      <c r="E36" s="21">
        <v>0.203926</v>
      </c>
      <c r="F36" s="21">
        <v>0.24896299999999999</v>
      </c>
      <c r="G36" s="21">
        <v>0.95240000000000002</v>
      </c>
      <c r="H36" s="21">
        <v>1</v>
      </c>
      <c r="I36" s="21">
        <v>1</v>
      </c>
      <c r="J36" s="21">
        <v>0.625</v>
      </c>
    </row>
    <row r="37" spans="1:10">
      <c r="A37" s="4">
        <v>33</v>
      </c>
      <c r="B37" s="4" t="s">
        <v>950</v>
      </c>
      <c r="C37" s="4"/>
      <c r="D37" s="21">
        <v>0.33585799999999999</v>
      </c>
      <c r="E37" s="21">
        <v>0.29134100000000002</v>
      </c>
      <c r="F37" s="21">
        <v>0.31359999999999999</v>
      </c>
      <c r="G37" s="21">
        <v>0.95240000000000002</v>
      </c>
      <c r="H37" s="21">
        <v>1</v>
      </c>
      <c r="I37" s="21">
        <v>1</v>
      </c>
      <c r="J37" s="21">
        <v>0.61109999999999998</v>
      </c>
    </row>
    <row r="38" spans="1:10">
      <c r="A38" s="4">
        <v>34</v>
      </c>
      <c r="B38" s="4" t="s">
        <v>950</v>
      </c>
      <c r="C38" s="4"/>
      <c r="D38" s="21">
        <v>0.350746</v>
      </c>
      <c r="E38" s="21">
        <v>0.33992</v>
      </c>
      <c r="F38" s="21">
        <v>0.345333</v>
      </c>
      <c r="G38" s="21">
        <v>0.95240000000000002</v>
      </c>
      <c r="H38" s="21">
        <v>1</v>
      </c>
      <c r="I38" s="21">
        <v>1</v>
      </c>
      <c r="J38" s="21">
        <v>0.57750000000000001</v>
      </c>
    </row>
    <row r="39" spans="1:10">
      <c r="A39" s="4">
        <v>35</v>
      </c>
      <c r="B39" s="4" t="s">
        <v>950</v>
      </c>
      <c r="C39" s="4"/>
      <c r="D39" s="21">
        <v>0.469356</v>
      </c>
      <c r="E39" s="21">
        <v>0.41831600000000002</v>
      </c>
      <c r="F39" s="21">
        <v>0.44383600000000001</v>
      </c>
      <c r="G39" s="21">
        <v>0.95240000000000002</v>
      </c>
      <c r="H39" s="21">
        <v>1</v>
      </c>
      <c r="I39" s="21">
        <v>1</v>
      </c>
      <c r="J39" s="21">
        <v>0.625</v>
      </c>
    </row>
    <row r="40" spans="1:10">
      <c r="A40" s="4">
        <v>36</v>
      </c>
      <c r="B40" s="4" t="s">
        <v>950</v>
      </c>
      <c r="C40" s="4"/>
      <c r="D40" s="21">
        <v>0.45039000000000001</v>
      </c>
      <c r="E40" s="21">
        <v>0.41186200000000001</v>
      </c>
      <c r="F40" s="21">
        <v>0.43112600000000001</v>
      </c>
      <c r="G40" s="21">
        <v>0.95240000000000002</v>
      </c>
      <c r="H40" s="21">
        <v>1</v>
      </c>
      <c r="I40" s="21">
        <v>1</v>
      </c>
      <c r="J40" s="21">
        <v>0.61109999999999998</v>
      </c>
    </row>
    <row r="41" spans="1:10">
      <c r="A41" s="4">
        <v>37</v>
      </c>
      <c r="B41" s="4" t="s">
        <v>950</v>
      </c>
      <c r="C41" s="4"/>
      <c r="D41" s="21">
        <v>0.35963200000000001</v>
      </c>
      <c r="E41" s="21">
        <v>0.31735999999999998</v>
      </c>
      <c r="F41" s="21">
        <v>0.33849600000000002</v>
      </c>
      <c r="G41" s="21">
        <v>0.85709999999999997</v>
      </c>
      <c r="H41" s="21">
        <v>0.83330000000000004</v>
      </c>
      <c r="I41" s="21">
        <v>1</v>
      </c>
      <c r="J41" s="21">
        <v>0.56940000000000002</v>
      </c>
    </row>
    <row r="42" spans="1:10">
      <c r="A42" s="4">
        <v>38</v>
      </c>
      <c r="B42" s="4" t="s">
        <v>82</v>
      </c>
      <c r="C42" s="4"/>
      <c r="D42" s="21">
        <v>0.62577899999999997</v>
      </c>
      <c r="E42" s="21">
        <v>0.59804400000000002</v>
      </c>
      <c r="F42" s="21">
        <v>0.61191200000000001</v>
      </c>
      <c r="G42" s="21">
        <v>0.95240000000000002</v>
      </c>
      <c r="H42" s="21">
        <v>0.91669999999999996</v>
      </c>
      <c r="I42" s="21">
        <v>0.8</v>
      </c>
      <c r="J42" s="21">
        <v>0.59719999999999995</v>
      </c>
    </row>
    <row r="43" spans="1:10">
      <c r="A43" s="4">
        <v>39</v>
      </c>
      <c r="B43" s="4" t="s">
        <v>82</v>
      </c>
      <c r="C43" s="4"/>
      <c r="D43" s="21">
        <v>0.63584099999999999</v>
      </c>
      <c r="E43" s="21">
        <v>0.64155600000000002</v>
      </c>
      <c r="F43" s="21">
        <v>0.63869799999999999</v>
      </c>
      <c r="G43" s="21">
        <v>1</v>
      </c>
      <c r="H43" s="21">
        <v>0.91669999999999996</v>
      </c>
      <c r="I43" s="21">
        <v>0.8</v>
      </c>
      <c r="J43" s="21">
        <v>0.625</v>
      </c>
    </row>
    <row r="44" spans="1:10">
      <c r="A44" s="4">
        <v>40</v>
      </c>
      <c r="B44" s="4" t="s">
        <v>951</v>
      </c>
      <c r="C44" s="4"/>
      <c r="D44" s="21">
        <v>0.38183</v>
      </c>
      <c r="E44" s="21">
        <v>0.453287</v>
      </c>
      <c r="F44" s="21">
        <v>0.41755900000000001</v>
      </c>
      <c r="G44" s="21">
        <v>0.95240000000000002</v>
      </c>
      <c r="H44" s="21">
        <v>1</v>
      </c>
      <c r="I44" s="21">
        <v>1</v>
      </c>
      <c r="J44" s="21">
        <v>0.63890000000000002</v>
      </c>
    </row>
    <row r="45" spans="1:10">
      <c r="A45" s="4">
        <v>41</v>
      </c>
      <c r="B45" s="4" t="s">
        <v>951</v>
      </c>
      <c r="C45" s="4"/>
      <c r="D45" s="21">
        <v>0.38183</v>
      </c>
      <c r="E45" s="21">
        <v>0.453287</v>
      </c>
      <c r="F45" s="21">
        <v>0.41755900000000001</v>
      </c>
      <c r="G45" s="21">
        <v>0.95240000000000002</v>
      </c>
      <c r="H45" s="21">
        <v>1</v>
      </c>
      <c r="I45" s="21">
        <v>1</v>
      </c>
      <c r="J45" s="21">
        <v>0.63890000000000002</v>
      </c>
    </row>
    <row r="46" spans="1:10">
      <c r="A46" s="4">
        <v>42</v>
      </c>
      <c r="B46" s="4" t="s">
        <v>951</v>
      </c>
      <c r="C46" s="4"/>
      <c r="D46" s="21">
        <v>0.38183</v>
      </c>
      <c r="E46" s="21">
        <v>0.453287</v>
      </c>
      <c r="F46" s="21">
        <v>0.41755900000000001</v>
      </c>
      <c r="G46" s="21">
        <v>0.95240000000000002</v>
      </c>
      <c r="H46" s="21">
        <v>1</v>
      </c>
      <c r="I46" s="21">
        <v>1</v>
      </c>
      <c r="J46" s="21">
        <v>0.63890000000000002</v>
      </c>
    </row>
    <row r="47" spans="1:10">
      <c r="A47" s="4">
        <v>43</v>
      </c>
      <c r="B47" s="4" t="s">
        <v>951</v>
      </c>
      <c r="C47" s="4"/>
      <c r="D47" s="21">
        <v>0.49380000000000002</v>
      </c>
      <c r="E47" s="21">
        <v>0.44208900000000001</v>
      </c>
      <c r="F47" s="21">
        <v>0.46794400000000003</v>
      </c>
      <c r="G47" s="21">
        <v>1</v>
      </c>
      <c r="H47" s="21">
        <v>0.91669999999999996</v>
      </c>
      <c r="I47" s="21">
        <v>1</v>
      </c>
      <c r="J47" s="21">
        <v>0.63890000000000002</v>
      </c>
    </row>
    <row r="48" spans="1:10">
      <c r="A48" s="4">
        <v>44</v>
      </c>
      <c r="B48" s="4" t="s">
        <v>952</v>
      </c>
      <c r="C48" s="4"/>
      <c r="D48" s="21">
        <v>0.57912300000000005</v>
      </c>
      <c r="E48" s="21">
        <v>0.5544</v>
      </c>
      <c r="F48" s="21">
        <v>0.56676199999999999</v>
      </c>
      <c r="G48" s="21">
        <v>1</v>
      </c>
      <c r="H48" s="21">
        <v>1</v>
      </c>
      <c r="I48" s="21">
        <v>1</v>
      </c>
      <c r="J48" s="21">
        <v>0.66200000000000003</v>
      </c>
    </row>
    <row r="49" spans="1:10">
      <c r="A49" s="4">
        <v>45</v>
      </c>
      <c r="B49" s="4" t="s">
        <v>952</v>
      </c>
      <c r="C49" s="4"/>
      <c r="D49" s="21">
        <v>0.58906800000000004</v>
      </c>
      <c r="E49" s="21">
        <v>0.564392</v>
      </c>
      <c r="F49" s="21">
        <v>0.57672999999999996</v>
      </c>
      <c r="G49" s="21">
        <v>0.95240000000000002</v>
      </c>
      <c r="H49" s="21">
        <v>1</v>
      </c>
      <c r="I49" s="21">
        <v>1</v>
      </c>
      <c r="J49" s="21">
        <v>0.66200000000000003</v>
      </c>
    </row>
    <row r="50" spans="1:10">
      <c r="A50" s="4">
        <v>46</v>
      </c>
      <c r="B50" s="4" t="s">
        <v>91</v>
      </c>
      <c r="C50" s="4"/>
      <c r="D50" s="21">
        <v>0.241726</v>
      </c>
      <c r="E50" s="21">
        <v>0.281254</v>
      </c>
      <c r="F50" s="21">
        <v>0.26149</v>
      </c>
      <c r="G50" s="21">
        <v>0.95240000000000002</v>
      </c>
      <c r="H50" s="21">
        <v>0.83330000000000004</v>
      </c>
      <c r="I50" s="21">
        <v>0.6</v>
      </c>
      <c r="J50" s="21">
        <v>0.66200000000000003</v>
      </c>
    </row>
    <row r="51" spans="1:10">
      <c r="A51" s="4">
        <v>47</v>
      </c>
      <c r="B51" s="4" t="s">
        <v>91</v>
      </c>
      <c r="C51" s="4"/>
      <c r="D51" s="21">
        <v>0.26183000000000001</v>
      </c>
      <c r="E51" s="21">
        <v>0.32552999999999999</v>
      </c>
      <c r="F51" s="21">
        <v>0.29368</v>
      </c>
      <c r="G51" s="21">
        <v>0.95240000000000002</v>
      </c>
      <c r="H51" s="21">
        <v>1</v>
      </c>
      <c r="I51" s="21">
        <v>1</v>
      </c>
      <c r="J51" s="21">
        <v>0.63380000000000003</v>
      </c>
    </row>
    <row r="52" spans="1:10">
      <c r="A52" s="4">
        <v>48</v>
      </c>
      <c r="B52" s="4" t="s">
        <v>91</v>
      </c>
      <c r="C52" s="4"/>
      <c r="D52" s="21">
        <v>0.242728</v>
      </c>
      <c r="E52" s="21">
        <v>0.271426</v>
      </c>
      <c r="F52" s="21">
        <v>0.257077</v>
      </c>
      <c r="G52" s="21">
        <v>0.95240000000000002</v>
      </c>
      <c r="H52" s="21">
        <v>0.91669999999999996</v>
      </c>
      <c r="I52" s="21">
        <v>0.8</v>
      </c>
      <c r="J52" s="21">
        <v>0.59150000000000003</v>
      </c>
    </row>
    <row r="53" spans="1:10">
      <c r="A53" s="4">
        <v>49</v>
      </c>
      <c r="B53" s="4" t="s">
        <v>953</v>
      </c>
      <c r="C53" s="4"/>
      <c r="D53" s="21">
        <v>0.55280799999999997</v>
      </c>
      <c r="E53" s="21">
        <v>0.48187600000000003</v>
      </c>
      <c r="F53" s="21">
        <v>0.51734199999999997</v>
      </c>
      <c r="G53" s="21">
        <v>1</v>
      </c>
      <c r="H53" s="21">
        <v>1</v>
      </c>
      <c r="I53" s="21">
        <v>1</v>
      </c>
      <c r="J53" s="21">
        <v>0.61970000000000003</v>
      </c>
    </row>
    <row r="54" spans="1:10">
      <c r="A54" s="4">
        <v>50</v>
      </c>
      <c r="B54" s="4" t="s">
        <v>953</v>
      </c>
      <c r="C54" s="4"/>
      <c r="D54" s="21">
        <v>0.46940900000000002</v>
      </c>
      <c r="E54" s="21">
        <v>0.44580900000000001</v>
      </c>
      <c r="F54" s="21">
        <v>0.45760899999999999</v>
      </c>
      <c r="G54" s="21">
        <v>1</v>
      </c>
      <c r="H54" s="21">
        <v>0.91669999999999996</v>
      </c>
      <c r="I54" s="21">
        <v>0.8</v>
      </c>
      <c r="J54" s="21">
        <v>0.59150000000000003</v>
      </c>
    </row>
    <row r="55" spans="1:10">
      <c r="A55" s="4">
        <v>51</v>
      </c>
      <c r="B55" s="4" t="s">
        <v>953</v>
      </c>
      <c r="C55" s="4"/>
      <c r="D55" s="21">
        <v>0.42854500000000001</v>
      </c>
      <c r="E55" s="21">
        <v>0.34418900000000002</v>
      </c>
      <c r="F55" s="21">
        <v>0.38636700000000002</v>
      </c>
      <c r="G55" s="21">
        <v>0.95240000000000002</v>
      </c>
      <c r="H55" s="21">
        <v>1</v>
      </c>
      <c r="I55" s="21">
        <v>1</v>
      </c>
      <c r="J55" s="21">
        <v>0.63380000000000003</v>
      </c>
    </row>
    <row r="56" spans="1:10">
      <c r="A56" s="4">
        <v>52</v>
      </c>
      <c r="B56" s="4" t="s">
        <v>953</v>
      </c>
      <c r="C56" s="4"/>
      <c r="D56" s="21">
        <v>0.424068</v>
      </c>
      <c r="E56" s="21">
        <v>0.43925799999999998</v>
      </c>
      <c r="F56" s="21">
        <v>0.43166300000000002</v>
      </c>
      <c r="G56" s="21">
        <v>1</v>
      </c>
      <c r="H56" s="21">
        <v>1</v>
      </c>
      <c r="I56" s="21">
        <v>1</v>
      </c>
      <c r="J56" s="21">
        <v>0.63890000000000002</v>
      </c>
    </row>
    <row r="57" spans="1:10">
      <c r="A57" s="4">
        <v>53</v>
      </c>
      <c r="B57" s="4" t="s">
        <v>954</v>
      </c>
      <c r="C57" s="4"/>
      <c r="D57" s="21">
        <v>0.55584500000000003</v>
      </c>
      <c r="E57" s="21">
        <v>0.54984</v>
      </c>
      <c r="F57" s="21">
        <v>0.55284199999999994</v>
      </c>
      <c r="G57" s="21">
        <v>0.95240000000000002</v>
      </c>
      <c r="H57" s="21">
        <v>0.91669999999999996</v>
      </c>
      <c r="I57" s="21">
        <v>0.8</v>
      </c>
      <c r="J57" s="21">
        <v>0.63380000000000003</v>
      </c>
    </row>
    <row r="58" spans="1:10">
      <c r="A58" s="4">
        <v>54</v>
      </c>
      <c r="B58" s="4" t="s">
        <v>954</v>
      </c>
      <c r="C58" s="4"/>
      <c r="D58" s="21">
        <v>0.62582099999999996</v>
      </c>
      <c r="E58" s="21">
        <v>0.56534600000000002</v>
      </c>
      <c r="F58" s="21">
        <v>0.59558299999999997</v>
      </c>
      <c r="G58" s="21">
        <v>0.90480000000000005</v>
      </c>
      <c r="H58" s="21">
        <v>0.91669999999999996</v>
      </c>
      <c r="I58" s="21">
        <v>0.8</v>
      </c>
      <c r="J58" s="21">
        <v>0.63380000000000003</v>
      </c>
    </row>
    <row r="59" spans="1:10">
      <c r="A59" s="4">
        <v>55</v>
      </c>
      <c r="B59" s="4" t="s">
        <v>954</v>
      </c>
      <c r="C59" s="4"/>
      <c r="D59" s="21">
        <v>0.56428999999999996</v>
      </c>
      <c r="E59" s="21">
        <v>0.58907799999999999</v>
      </c>
      <c r="F59" s="21">
        <v>0.57668399999999997</v>
      </c>
      <c r="G59" s="21">
        <v>1</v>
      </c>
      <c r="H59" s="21">
        <v>0.91669999999999996</v>
      </c>
      <c r="I59" s="21">
        <v>0.8</v>
      </c>
      <c r="J59" s="21">
        <v>0.58330000000000004</v>
      </c>
    </row>
    <row r="60" spans="1:10">
      <c r="A60" s="4">
        <v>56</v>
      </c>
      <c r="B60" s="4" t="s">
        <v>954</v>
      </c>
      <c r="C60" s="4"/>
      <c r="D60" s="21">
        <v>0.42336200000000002</v>
      </c>
      <c r="E60" s="21">
        <v>0.39658199999999999</v>
      </c>
      <c r="F60" s="21">
        <v>0.409972</v>
      </c>
      <c r="G60" s="21">
        <v>1</v>
      </c>
      <c r="H60" s="21">
        <v>0.91669999999999996</v>
      </c>
      <c r="I60" s="21">
        <v>0.8</v>
      </c>
      <c r="J60" s="21">
        <v>0.51390000000000002</v>
      </c>
    </row>
    <row r="61" spans="1:10">
      <c r="A61" s="4">
        <v>57</v>
      </c>
      <c r="B61" s="4" t="s">
        <v>955</v>
      </c>
      <c r="C61" s="4"/>
      <c r="D61" s="21">
        <v>0.48674899999999999</v>
      </c>
      <c r="E61" s="21">
        <v>0.49793399999999999</v>
      </c>
      <c r="F61" s="21">
        <v>0.49234099999999997</v>
      </c>
      <c r="G61" s="21">
        <v>0.95240000000000002</v>
      </c>
      <c r="H61" s="21">
        <v>1</v>
      </c>
      <c r="I61" s="21">
        <v>1</v>
      </c>
      <c r="J61" s="21">
        <v>0.66669999999999996</v>
      </c>
    </row>
    <row r="62" spans="1:10">
      <c r="A62" s="4">
        <v>58</v>
      </c>
      <c r="B62" s="4" t="s">
        <v>956</v>
      </c>
      <c r="C62" s="4"/>
      <c r="D62" s="21">
        <v>0.31816499999999998</v>
      </c>
      <c r="E62" s="21">
        <v>0.32707000000000003</v>
      </c>
      <c r="F62" s="21">
        <v>0.32261800000000002</v>
      </c>
      <c r="G62" s="21">
        <v>1</v>
      </c>
      <c r="H62" s="21">
        <v>1</v>
      </c>
      <c r="I62" s="21">
        <v>1</v>
      </c>
      <c r="J62" s="21">
        <v>0.65280000000000005</v>
      </c>
    </row>
    <row r="63" spans="1:10">
      <c r="A63" s="4">
        <v>59</v>
      </c>
      <c r="B63" s="4" t="s">
        <v>957</v>
      </c>
      <c r="C63" s="4"/>
      <c r="D63" s="21">
        <v>0.45302999999999999</v>
      </c>
      <c r="E63" s="21">
        <v>0.52080199999999999</v>
      </c>
      <c r="F63" s="21">
        <v>0.48691600000000002</v>
      </c>
      <c r="G63" s="21">
        <v>0.95240000000000002</v>
      </c>
      <c r="H63" s="21">
        <v>1</v>
      </c>
      <c r="I63" s="21">
        <v>1</v>
      </c>
      <c r="J63" s="21">
        <v>0.625</v>
      </c>
    </row>
    <row r="64" spans="1:10">
      <c r="A64" s="4">
        <v>60</v>
      </c>
      <c r="B64" s="4" t="s">
        <v>957</v>
      </c>
      <c r="C64" s="4"/>
      <c r="D64" s="21">
        <v>0.45302999999999999</v>
      </c>
      <c r="E64" s="21">
        <v>0.52080199999999999</v>
      </c>
      <c r="F64" s="21">
        <v>0.48691600000000002</v>
      </c>
      <c r="G64" s="21">
        <v>0.95240000000000002</v>
      </c>
      <c r="H64" s="21">
        <v>1</v>
      </c>
      <c r="I64" s="21">
        <v>1</v>
      </c>
      <c r="J64" s="21">
        <v>0.625</v>
      </c>
    </row>
    <row r="65" spans="1:10">
      <c r="A65" s="4">
        <v>61</v>
      </c>
      <c r="B65" s="4" t="s">
        <v>957</v>
      </c>
      <c r="C65" s="4"/>
      <c r="D65" s="21">
        <v>0.37793900000000002</v>
      </c>
      <c r="E65" s="21">
        <v>0.423568</v>
      </c>
      <c r="F65" s="21">
        <v>0.40075300000000003</v>
      </c>
      <c r="G65" s="21">
        <v>0.95240000000000002</v>
      </c>
      <c r="H65" s="21">
        <v>0.83330000000000004</v>
      </c>
      <c r="I65" s="21">
        <v>1</v>
      </c>
      <c r="J65" s="21">
        <v>0.63890000000000002</v>
      </c>
    </row>
    <row r="66" spans="1:10">
      <c r="A66" s="4">
        <v>62</v>
      </c>
      <c r="B66" s="4" t="s">
        <v>957</v>
      </c>
      <c r="C66" s="4"/>
      <c r="D66" s="21">
        <v>0.46175699999999997</v>
      </c>
      <c r="E66" s="21">
        <v>0.50769299999999995</v>
      </c>
      <c r="F66" s="21">
        <v>0.48472500000000002</v>
      </c>
      <c r="G66" s="21">
        <v>0.95240000000000002</v>
      </c>
      <c r="H66" s="21">
        <v>1</v>
      </c>
      <c r="I66" s="21">
        <v>1</v>
      </c>
      <c r="J66" s="21">
        <v>0.61109999999999998</v>
      </c>
    </row>
    <row r="67" spans="1:10">
      <c r="A67" s="4"/>
      <c r="B67" s="4"/>
      <c r="C67" s="4"/>
      <c r="D67" s="4"/>
      <c r="E67" s="4"/>
      <c r="F67" s="4"/>
      <c r="G67" s="4"/>
      <c r="H67" s="4"/>
      <c r="I67" s="4"/>
      <c r="J67" s="4"/>
    </row>
    <row r="68" spans="1:10">
      <c r="A68" s="4"/>
      <c r="B68" s="5" t="s">
        <v>809</v>
      </c>
      <c r="C68" s="17">
        <f>COUNT(F5:F66)</f>
        <v>62</v>
      </c>
      <c r="D68" s="4"/>
      <c r="E68" s="4"/>
      <c r="F68" s="4"/>
      <c r="G68" s="4"/>
      <c r="H68" s="4"/>
      <c r="I68" s="4"/>
      <c r="J68" s="4"/>
    </row>
    <row r="69" spans="1:10">
      <c r="A69" s="4"/>
      <c r="B69" s="5" t="s">
        <v>927</v>
      </c>
      <c r="C69" s="17">
        <f>AVERAGE(D5:D66)</f>
        <v>0.42117990322580634</v>
      </c>
      <c r="D69" s="4"/>
      <c r="E69" s="4"/>
      <c r="F69" s="4"/>
      <c r="G69" s="4"/>
      <c r="H69" s="4"/>
      <c r="I69" s="4"/>
      <c r="J69" s="4"/>
    </row>
    <row r="70" spans="1:10">
      <c r="A70" s="4"/>
      <c r="B70" s="5" t="s">
        <v>928</v>
      </c>
      <c r="C70" s="17">
        <f>STDEVP(D5:D66)</f>
        <v>0.11815392783782863</v>
      </c>
      <c r="D70" s="4"/>
      <c r="E70" s="4"/>
      <c r="F70" s="4"/>
      <c r="G70" s="4"/>
      <c r="H70" s="4"/>
      <c r="I70" s="4"/>
      <c r="J70" s="4"/>
    </row>
    <row r="71" spans="1:10">
      <c r="A71" s="4"/>
      <c r="B71" s="5" t="s">
        <v>929</v>
      </c>
      <c r="C71" s="17">
        <f>AVERAGE(E5:E66)</f>
        <v>0.42381003225806446</v>
      </c>
      <c r="D71" s="4"/>
      <c r="E71" s="4"/>
      <c r="F71" s="4"/>
      <c r="G71" s="4"/>
      <c r="H71" s="4"/>
      <c r="I71" s="4"/>
      <c r="J71" s="4"/>
    </row>
    <row r="72" spans="1:10">
      <c r="A72" s="4"/>
      <c r="B72" s="5" t="s">
        <v>930</v>
      </c>
      <c r="C72" s="17">
        <f>STDEVP(E5:E66)</f>
        <v>0.10823485400738041</v>
      </c>
      <c r="D72" s="4"/>
      <c r="E72" s="4"/>
      <c r="F72" s="4"/>
      <c r="G72" s="4"/>
      <c r="H72" s="4"/>
      <c r="I72" s="4"/>
      <c r="J72" s="4"/>
    </row>
    <row r="73" spans="1:10">
      <c r="A73" s="4"/>
      <c r="B73" s="5" t="s">
        <v>931</v>
      </c>
      <c r="C73" s="17">
        <f>AVERAGE(F5:F66)</f>
        <v>0.42249503225806451</v>
      </c>
      <c r="D73" s="4"/>
      <c r="E73" s="4"/>
      <c r="F73" s="4"/>
      <c r="G73" s="4"/>
      <c r="H73" s="4"/>
      <c r="I73" s="4"/>
      <c r="J73" s="4"/>
    </row>
    <row r="74" spans="1:10">
      <c r="A74" s="4"/>
      <c r="B74" s="5" t="s">
        <v>932</v>
      </c>
      <c r="C74" s="17">
        <f>STDEVP(F5:F66)</f>
        <v>0.11061869587504511</v>
      </c>
      <c r="D74" s="4"/>
      <c r="E74" s="4"/>
      <c r="F74" s="4"/>
      <c r="G74" s="4"/>
      <c r="H74" s="4"/>
      <c r="I74" s="4"/>
      <c r="J74" s="4"/>
    </row>
    <row r="75" spans="1:10">
      <c r="A75" s="4"/>
      <c r="B75" s="5" t="s">
        <v>933</v>
      </c>
      <c r="C75" s="17">
        <f>MIN(F5:F66)</f>
        <v>0.240871</v>
      </c>
      <c r="D75" s="4"/>
      <c r="E75" s="4"/>
      <c r="F75" s="4"/>
      <c r="G75" s="4"/>
      <c r="H75" s="4"/>
      <c r="I75" s="4"/>
      <c r="J75" s="4"/>
    </row>
    <row r="76" spans="1:10">
      <c r="A76" s="4"/>
      <c r="B76" s="5" t="s">
        <v>934</v>
      </c>
      <c r="C76" s="17">
        <f>MAX(F5:F66)</f>
        <v>0.69798899999999997</v>
      </c>
      <c r="D76" s="4"/>
      <c r="E76" s="4"/>
      <c r="F76" s="4"/>
      <c r="G76" s="4"/>
      <c r="H76" s="4"/>
      <c r="I76" s="4"/>
      <c r="J76" s="4"/>
    </row>
    <row r="77" spans="1:10">
      <c r="A77" s="4"/>
      <c r="B77" s="5" t="s">
        <v>935</v>
      </c>
      <c r="C77" s="17">
        <f>AVERAGE(G5:G66)</f>
        <v>0.95930645161290284</v>
      </c>
      <c r="D77" s="4"/>
      <c r="E77" s="4"/>
      <c r="F77" s="4"/>
      <c r="G77" s="4"/>
      <c r="H77" s="4"/>
      <c r="I77" s="4"/>
      <c r="J77" s="4"/>
    </row>
    <row r="78" spans="1:10">
      <c r="A78" s="4"/>
      <c r="B78" s="5" t="s">
        <v>936</v>
      </c>
      <c r="C78" s="17">
        <f>AVERAGE(H5:H66)</f>
        <v>0.95161935483870941</v>
      </c>
      <c r="D78" s="4"/>
      <c r="E78" s="4"/>
      <c r="F78" s="4"/>
      <c r="G78" s="4"/>
      <c r="H78" s="4"/>
      <c r="I78" s="4"/>
      <c r="J78" s="4"/>
    </row>
    <row r="79" spans="1:10">
      <c r="A79" s="4"/>
      <c r="B79" s="5" t="s">
        <v>937</v>
      </c>
      <c r="C79" s="17">
        <f>CORREL(D5:D66,E5:E66)</f>
        <v>0.90984575652709954</v>
      </c>
      <c r="D79" s="4"/>
      <c r="E79" s="4"/>
      <c r="F79" s="4"/>
      <c r="G79" s="4"/>
      <c r="H79" s="4"/>
      <c r="I79" s="4"/>
      <c r="J79" s="4"/>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dimension ref="A1:J217"/>
  <sheetViews>
    <sheetView workbookViewId="0"/>
  </sheetViews>
  <sheetFormatPr defaultColWidth="8.7109375" defaultRowHeight="15"/>
  <cols>
    <col min="1" max="1" width="16" customWidth="1"/>
    <col min="2" max="10" width="18" customWidth="1"/>
  </cols>
  <sheetData>
    <row r="1" spans="1:10" ht="15.75">
      <c r="A1" s="2" t="s">
        <v>958</v>
      </c>
      <c r="B1" s="4"/>
      <c r="C1" s="4"/>
      <c r="D1" s="4"/>
      <c r="E1" s="4"/>
      <c r="F1" s="4"/>
      <c r="G1" s="4"/>
      <c r="H1" s="4"/>
      <c r="I1" s="4"/>
      <c r="J1" s="4"/>
    </row>
    <row r="2" spans="1:10">
      <c r="A2" s="4" t="s">
        <v>959</v>
      </c>
      <c r="B2" s="4"/>
      <c r="C2" s="4"/>
      <c r="D2" s="4"/>
      <c r="E2" s="4"/>
      <c r="F2" s="4"/>
      <c r="G2" s="4"/>
      <c r="H2" s="4"/>
      <c r="I2" s="4"/>
      <c r="J2" s="4"/>
    </row>
    <row r="3" spans="1:10">
      <c r="A3" s="4"/>
      <c r="B3" s="4"/>
      <c r="C3" s="4"/>
      <c r="D3" s="4"/>
      <c r="E3" s="4"/>
      <c r="F3" s="4"/>
      <c r="G3" s="4"/>
      <c r="H3" s="4"/>
      <c r="I3" s="4"/>
      <c r="J3" s="4"/>
    </row>
    <row r="4" spans="1:10" ht="26.25">
      <c r="A4" s="9" t="s">
        <v>960</v>
      </c>
      <c r="B4" s="9" t="s">
        <v>961</v>
      </c>
      <c r="C4" s="9" t="s">
        <v>827</v>
      </c>
      <c r="D4" s="9" t="s">
        <v>793</v>
      </c>
      <c r="E4" s="9" t="s">
        <v>794</v>
      </c>
      <c r="F4" s="9" t="s">
        <v>459</v>
      </c>
      <c r="G4" s="9" t="s">
        <v>476</v>
      </c>
      <c r="H4" s="9" t="s">
        <v>480</v>
      </c>
      <c r="I4" s="9" t="s">
        <v>484</v>
      </c>
      <c r="J4" s="9" t="s">
        <v>62</v>
      </c>
    </row>
    <row r="5" spans="1:10">
      <c r="A5" s="4">
        <v>1</v>
      </c>
      <c r="B5" s="4" t="s">
        <v>67</v>
      </c>
      <c r="C5" s="4" t="s">
        <v>68</v>
      </c>
      <c r="D5" s="21">
        <v>0.59641900000000003</v>
      </c>
      <c r="E5" s="21">
        <v>0.55430500000000005</v>
      </c>
      <c r="F5" s="21">
        <v>0.57536200000000004</v>
      </c>
      <c r="G5" s="21">
        <v>1</v>
      </c>
      <c r="H5" s="21">
        <v>0.83330000000000004</v>
      </c>
      <c r="I5" s="21">
        <v>0.8</v>
      </c>
      <c r="J5" s="4" t="s">
        <v>66</v>
      </c>
    </row>
    <row r="6" spans="1:10">
      <c r="A6" s="4">
        <v>2</v>
      </c>
      <c r="B6" s="4" t="s">
        <v>74</v>
      </c>
      <c r="C6" s="4" t="s">
        <v>75</v>
      </c>
      <c r="D6" s="21">
        <v>0.48116799999999998</v>
      </c>
      <c r="E6" s="21">
        <v>0.48282599999999998</v>
      </c>
      <c r="F6" s="21">
        <v>0.48199700000000001</v>
      </c>
      <c r="G6" s="21">
        <v>1</v>
      </c>
      <c r="H6" s="21">
        <v>0.91669999999999996</v>
      </c>
      <c r="I6" s="21">
        <v>0.8</v>
      </c>
      <c r="J6" s="4" t="s">
        <v>66</v>
      </c>
    </row>
    <row r="7" spans="1:10">
      <c r="A7" s="4">
        <v>3</v>
      </c>
      <c r="B7" s="4" t="s">
        <v>78</v>
      </c>
      <c r="C7" s="4" t="s">
        <v>79</v>
      </c>
      <c r="D7" s="21">
        <v>0.51605000000000001</v>
      </c>
      <c r="E7" s="21">
        <v>0.536887</v>
      </c>
      <c r="F7" s="21">
        <v>0.52646899999999996</v>
      </c>
      <c r="G7" s="21">
        <v>0.95240000000000002</v>
      </c>
      <c r="H7" s="21">
        <v>1</v>
      </c>
      <c r="I7" s="21">
        <v>1</v>
      </c>
      <c r="J7" s="4" t="s">
        <v>66</v>
      </c>
    </row>
    <row r="8" spans="1:10">
      <c r="A8" s="4">
        <v>4</v>
      </c>
      <c r="B8" s="4" t="s">
        <v>81</v>
      </c>
      <c r="C8" s="4" t="s">
        <v>82</v>
      </c>
      <c r="D8" s="21">
        <v>0.66770600000000002</v>
      </c>
      <c r="E8" s="21">
        <v>0.69248500000000002</v>
      </c>
      <c r="F8" s="21">
        <v>0.68009500000000001</v>
      </c>
      <c r="G8" s="21">
        <v>1</v>
      </c>
      <c r="H8" s="21">
        <v>0.91669999999999996</v>
      </c>
      <c r="I8" s="21">
        <v>0.8</v>
      </c>
      <c r="J8" s="4" t="s">
        <v>66</v>
      </c>
    </row>
    <row r="9" spans="1:10">
      <c r="A9" s="4">
        <v>5</v>
      </c>
      <c r="B9" s="4" t="s">
        <v>84</v>
      </c>
      <c r="C9" s="4" t="s">
        <v>82</v>
      </c>
      <c r="D9" s="21">
        <v>0.626475</v>
      </c>
      <c r="E9" s="21">
        <v>0.65449599999999997</v>
      </c>
      <c r="F9" s="21">
        <v>0.64048499999999997</v>
      </c>
      <c r="G9" s="21">
        <v>1</v>
      </c>
      <c r="H9" s="21">
        <v>0.91669999999999996</v>
      </c>
      <c r="I9" s="21">
        <v>0.8</v>
      </c>
      <c r="J9" s="4" t="s">
        <v>66</v>
      </c>
    </row>
    <row r="10" spans="1:10">
      <c r="A10" s="4">
        <v>6</v>
      </c>
      <c r="B10" s="4" t="s">
        <v>86</v>
      </c>
      <c r="C10" s="4" t="s">
        <v>87</v>
      </c>
      <c r="D10" s="21">
        <v>0.70217600000000002</v>
      </c>
      <c r="E10" s="21">
        <v>0.67784500000000003</v>
      </c>
      <c r="F10" s="21">
        <v>0.69001000000000001</v>
      </c>
      <c r="G10" s="21">
        <v>1</v>
      </c>
      <c r="H10" s="21">
        <v>0.91669999999999996</v>
      </c>
      <c r="I10" s="21">
        <v>0.8</v>
      </c>
      <c r="J10" s="4" t="s">
        <v>66</v>
      </c>
    </row>
    <row r="11" spans="1:10">
      <c r="A11" s="4">
        <v>7</v>
      </c>
      <c r="B11" s="4" t="s">
        <v>89</v>
      </c>
      <c r="C11" s="4" t="s">
        <v>87</v>
      </c>
      <c r="D11" s="21">
        <v>0.74894499999999997</v>
      </c>
      <c r="E11" s="21">
        <v>0.76818200000000003</v>
      </c>
      <c r="F11" s="21">
        <v>0.75856299999999999</v>
      </c>
      <c r="G11" s="21">
        <v>1</v>
      </c>
      <c r="H11" s="21">
        <v>1</v>
      </c>
      <c r="I11" s="21">
        <v>1</v>
      </c>
      <c r="J11" s="4" t="s">
        <v>66</v>
      </c>
    </row>
    <row r="12" spans="1:10">
      <c r="A12" s="4">
        <v>8</v>
      </c>
      <c r="B12" s="4" t="s">
        <v>90</v>
      </c>
      <c r="C12" s="4" t="s">
        <v>91</v>
      </c>
      <c r="D12" s="21">
        <v>0.26410699999999998</v>
      </c>
      <c r="E12" s="21">
        <v>0.38134800000000002</v>
      </c>
      <c r="F12" s="21">
        <v>0.32272699999999999</v>
      </c>
      <c r="G12" s="21">
        <v>1</v>
      </c>
      <c r="H12" s="21">
        <v>0.75</v>
      </c>
      <c r="I12" s="21">
        <v>0.8</v>
      </c>
      <c r="J12" s="4" t="s">
        <v>66</v>
      </c>
    </row>
    <row r="13" spans="1:10">
      <c r="A13" s="4">
        <v>9</v>
      </c>
      <c r="B13" s="4" t="s">
        <v>93</v>
      </c>
      <c r="C13" s="4" t="s">
        <v>91</v>
      </c>
      <c r="D13" s="21">
        <v>0.46882800000000002</v>
      </c>
      <c r="E13" s="21">
        <v>0.467227</v>
      </c>
      <c r="F13" s="21">
        <v>0.46802700000000003</v>
      </c>
      <c r="G13" s="21">
        <v>1</v>
      </c>
      <c r="H13" s="21">
        <v>0.91669999999999996</v>
      </c>
      <c r="I13" s="21">
        <v>0.8</v>
      </c>
      <c r="J13" s="4" t="s">
        <v>66</v>
      </c>
    </row>
    <row r="14" spans="1:10">
      <c r="A14" s="4">
        <v>10</v>
      </c>
      <c r="B14" s="4" t="s">
        <v>95</v>
      </c>
      <c r="C14" s="4" t="s">
        <v>96</v>
      </c>
      <c r="D14" s="21">
        <v>0.74488100000000002</v>
      </c>
      <c r="E14" s="21">
        <v>0.710148</v>
      </c>
      <c r="F14" s="21">
        <v>0.72751500000000002</v>
      </c>
      <c r="G14" s="21">
        <v>1</v>
      </c>
      <c r="H14" s="21">
        <v>1</v>
      </c>
      <c r="I14" s="21">
        <v>1</v>
      </c>
      <c r="J14" s="4" t="s">
        <v>66</v>
      </c>
    </row>
    <row r="15" spans="1:10">
      <c r="A15" s="4">
        <v>11</v>
      </c>
      <c r="B15" s="4" t="s">
        <v>98</v>
      </c>
      <c r="C15" s="4" t="s">
        <v>99</v>
      </c>
      <c r="D15" s="21">
        <v>0.532829</v>
      </c>
      <c r="E15" s="21">
        <v>0.50909499999999996</v>
      </c>
      <c r="F15" s="21">
        <v>0.52096200000000004</v>
      </c>
      <c r="G15" s="21">
        <v>1</v>
      </c>
      <c r="H15" s="21">
        <v>1</v>
      </c>
      <c r="I15" s="21">
        <v>1</v>
      </c>
      <c r="J15" s="4" t="s">
        <v>66</v>
      </c>
    </row>
    <row r="16" spans="1:10">
      <c r="A16" s="4">
        <v>12</v>
      </c>
      <c r="B16" s="4" t="s">
        <v>102</v>
      </c>
      <c r="C16" s="4" t="s">
        <v>103</v>
      </c>
      <c r="D16" s="21">
        <v>0.57167500000000004</v>
      </c>
      <c r="E16" s="21">
        <v>0.58352599999999999</v>
      </c>
      <c r="F16" s="21">
        <v>0.57760100000000003</v>
      </c>
      <c r="G16" s="21">
        <v>1</v>
      </c>
      <c r="H16" s="21">
        <v>1</v>
      </c>
      <c r="I16" s="21">
        <v>1</v>
      </c>
      <c r="J16" s="4" t="s">
        <v>101</v>
      </c>
    </row>
    <row r="17" spans="1:10">
      <c r="A17" s="4">
        <v>13</v>
      </c>
      <c r="B17" s="4" t="s">
        <v>105</v>
      </c>
      <c r="C17" s="4" t="s">
        <v>106</v>
      </c>
      <c r="D17" s="21">
        <v>0.61667799999999995</v>
      </c>
      <c r="E17" s="21">
        <v>0.623776</v>
      </c>
      <c r="F17" s="21">
        <v>0.62022699999999997</v>
      </c>
      <c r="G17" s="21">
        <v>0.95240000000000002</v>
      </c>
      <c r="H17" s="21">
        <v>1</v>
      </c>
      <c r="I17" s="21">
        <v>1</v>
      </c>
      <c r="J17" s="4" t="s">
        <v>101</v>
      </c>
    </row>
    <row r="18" spans="1:10">
      <c r="A18" s="4">
        <v>14</v>
      </c>
      <c r="B18" s="4" t="s">
        <v>108</v>
      </c>
      <c r="C18" s="4" t="s">
        <v>109</v>
      </c>
      <c r="D18" s="21">
        <v>0.40549299999999999</v>
      </c>
      <c r="E18" s="21">
        <v>0.37197400000000003</v>
      </c>
      <c r="F18" s="21">
        <v>0.38873400000000002</v>
      </c>
      <c r="G18" s="21">
        <v>0.95240000000000002</v>
      </c>
      <c r="H18" s="21">
        <v>1</v>
      </c>
      <c r="I18" s="21">
        <v>1</v>
      </c>
      <c r="J18" s="4" t="s">
        <v>101</v>
      </c>
    </row>
    <row r="19" spans="1:10">
      <c r="A19" s="4">
        <v>15</v>
      </c>
      <c r="B19" s="4" t="s">
        <v>111</v>
      </c>
      <c r="C19" s="4" t="s">
        <v>112</v>
      </c>
      <c r="D19" s="21">
        <v>0.56581700000000001</v>
      </c>
      <c r="E19" s="21">
        <v>0.49749199999999999</v>
      </c>
      <c r="F19" s="21">
        <v>0.53165499999999999</v>
      </c>
      <c r="G19" s="21">
        <v>1</v>
      </c>
      <c r="H19" s="21">
        <v>1</v>
      </c>
      <c r="I19" s="21">
        <v>1</v>
      </c>
      <c r="J19" s="4" t="s">
        <v>101</v>
      </c>
    </row>
    <row r="20" spans="1:10">
      <c r="A20" s="4">
        <v>16</v>
      </c>
      <c r="B20" s="4" t="s">
        <v>114</v>
      </c>
      <c r="C20" s="4" t="s">
        <v>112</v>
      </c>
      <c r="D20" s="21">
        <v>0.58807399999999999</v>
      </c>
      <c r="E20" s="21">
        <v>0.58127499999999999</v>
      </c>
      <c r="F20" s="21">
        <v>0.58467400000000003</v>
      </c>
      <c r="G20" s="21">
        <v>1</v>
      </c>
      <c r="H20" s="21">
        <v>1</v>
      </c>
      <c r="I20" s="21">
        <v>1</v>
      </c>
      <c r="J20" s="4" t="s">
        <v>101</v>
      </c>
    </row>
    <row r="21" spans="1:10">
      <c r="A21" s="4">
        <v>17</v>
      </c>
      <c r="B21" s="4" t="s">
        <v>116</v>
      </c>
      <c r="C21" s="4" t="s">
        <v>117</v>
      </c>
      <c r="D21" s="21">
        <v>0.54090400000000005</v>
      </c>
      <c r="E21" s="21">
        <v>0.60476200000000002</v>
      </c>
      <c r="F21" s="21">
        <v>0.57283300000000004</v>
      </c>
      <c r="G21" s="21">
        <v>1</v>
      </c>
      <c r="H21" s="21">
        <v>0.91669999999999996</v>
      </c>
      <c r="I21" s="21">
        <v>0.8</v>
      </c>
      <c r="J21" s="4" t="s">
        <v>101</v>
      </c>
    </row>
    <row r="22" spans="1:10">
      <c r="A22" s="4">
        <v>18</v>
      </c>
      <c r="B22" s="4" t="s">
        <v>119</v>
      </c>
      <c r="C22" s="4" t="s">
        <v>120</v>
      </c>
      <c r="D22" s="21">
        <v>0.47202300000000003</v>
      </c>
      <c r="E22" s="21">
        <v>0.49900499999999998</v>
      </c>
      <c r="F22" s="21">
        <v>0.485514</v>
      </c>
      <c r="G22" s="21">
        <v>1</v>
      </c>
      <c r="H22" s="21">
        <v>1</v>
      </c>
      <c r="I22" s="21">
        <v>1</v>
      </c>
      <c r="J22" s="4" t="s">
        <v>101</v>
      </c>
    </row>
    <row r="23" spans="1:10">
      <c r="A23" s="4">
        <v>19</v>
      </c>
      <c r="B23" s="4" t="s">
        <v>121</v>
      </c>
      <c r="C23" s="4" t="s">
        <v>122</v>
      </c>
      <c r="D23" s="21">
        <v>0.404252</v>
      </c>
      <c r="E23" s="21">
        <v>0.34257799999999999</v>
      </c>
      <c r="F23" s="21">
        <v>0.373415</v>
      </c>
      <c r="G23" s="21">
        <v>0.95240000000000002</v>
      </c>
      <c r="H23" s="21">
        <v>0.91669999999999996</v>
      </c>
      <c r="I23" s="21">
        <v>0.8</v>
      </c>
      <c r="J23" s="4" t="s">
        <v>101</v>
      </c>
    </row>
    <row r="24" spans="1:10">
      <c r="A24" s="4">
        <v>20</v>
      </c>
      <c r="B24" s="4" t="s">
        <v>124</v>
      </c>
      <c r="C24" s="4" t="s">
        <v>125</v>
      </c>
      <c r="D24" s="21">
        <v>0.56591100000000005</v>
      </c>
      <c r="E24" s="21">
        <v>0.64337</v>
      </c>
      <c r="F24" s="21">
        <v>0.60464099999999998</v>
      </c>
      <c r="G24" s="21">
        <v>1</v>
      </c>
      <c r="H24" s="21">
        <v>1</v>
      </c>
      <c r="I24" s="21">
        <v>1</v>
      </c>
      <c r="J24" s="4" t="s">
        <v>101</v>
      </c>
    </row>
    <row r="25" spans="1:10">
      <c r="A25" s="4">
        <v>21</v>
      </c>
      <c r="B25" s="4" t="s">
        <v>127</v>
      </c>
      <c r="C25" s="4" t="s">
        <v>125</v>
      </c>
      <c r="D25" s="21">
        <v>0.522011</v>
      </c>
      <c r="E25" s="21">
        <v>0.60980299999999998</v>
      </c>
      <c r="F25" s="21">
        <v>0.56590700000000005</v>
      </c>
      <c r="G25" s="21">
        <v>1</v>
      </c>
      <c r="H25" s="21">
        <v>1</v>
      </c>
      <c r="I25" s="21">
        <v>1</v>
      </c>
      <c r="J25" s="4" t="s">
        <v>101</v>
      </c>
    </row>
    <row r="26" spans="1:10">
      <c r="A26" s="4">
        <v>22</v>
      </c>
      <c r="B26" s="4" t="s">
        <v>128</v>
      </c>
      <c r="C26" s="4" t="s">
        <v>129</v>
      </c>
      <c r="D26" s="21">
        <v>0.61678699999999997</v>
      </c>
      <c r="E26" s="21">
        <v>0.67104699999999995</v>
      </c>
      <c r="F26" s="21">
        <v>0.64391699999999996</v>
      </c>
      <c r="G26" s="21">
        <v>1</v>
      </c>
      <c r="H26" s="21">
        <v>1</v>
      </c>
      <c r="I26" s="21">
        <v>1</v>
      </c>
      <c r="J26" s="4" t="s">
        <v>101</v>
      </c>
    </row>
    <row r="27" spans="1:10">
      <c r="A27" s="4">
        <v>23</v>
      </c>
      <c r="B27" s="4" t="s">
        <v>132</v>
      </c>
      <c r="C27" s="4" t="s">
        <v>103</v>
      </c>
      <c r="D27" s="21">
        <v>0.53608299999999998</v>
      </c>
      <c r="E27" s="21">
        <v>0.48252400000000001</v>
      </c>
      <c r="F27" s="21">
        <v>0.50930399999999998</v>
      </c>
      <c r="G27" s="21">
        <v>1</v>
      </c>
      <c r="H27" s="21">
        <v>0.91669999999999996</v>
      </c>
      <c r="I27" s="21">
        <v>0.8</v>
      </c>
      <c r="J27" s="4" t="s">
        <v>131</v>
      </c>
    </row>
    <row r="28" spans="1:10">
      <c r="A28" s="4">
        <v>24</v>
      </c>
      <c r="B28" s="4" t="s">
        <v>134</v>
      </c>
      <c r="C28" s="4" t="s">
        <v>103</v>
      </c>
      <c r="D28" s="21">
        <v>0.479906</v>
      </c>
      <c r="E28" s="21">
        <v>0.49698900000000001</v>
      </c>
      <c r="F28" s="21">
        <v>0.48844799999999999</v>
      </c>
      <c r="G28" s="21">
        <v>1</v>
      </c>
      <c r="H28" s="21">
        <v>0.91669999999999996</v>
      </c>
      <c r="I28" s="21">
        <v>0.8</v>
      </c>
      <c r="J28" s="4" t="s">
        <v>131</v>
      </c>
    </row>
    <row r="29" spans="1:10">
      <c r="A29" s="4">
        <v>25</v>
      </c>
      <c r="B29" s="4" t="s">
        <v>135</v>
      </c>
      <c r="C29" s="4" t="s">
        <v>103</v>
      </c>
      <c r="D29" s="21">
        <v>0.60555899999999996</v>
      </c>
      <c r="E29" s="21">
        <v>0.57588399999999995</v>
      </c>
      <c r="F29" s="21">
        <v>0.59072199999999997</v>
      </c>
      <c r="G29" s="21">
        <v>1</v>
      </c>
      <c r="H29" s="21">
        <v>1</v>
      </c>
      <c r="I29" s="21">
        <v>1</v>
      </c>
      <c r="J29" s="4" t="s">
        <v>131</v>
      </c>
    </row>
    <row r="30" spans="1:10">
      <c r="A30" s="4">
        <v>26</v>
      </c>
      <c r="B30" s="4" t="s">
        <v>137</v>
      </c>
      <c r="C30" s="4" t="s">
        <v>106</v>
      </c>
      <c r="D30" s="21">
        <v>0.60859600000000003</v>
      </c>
      <c r="E30" s="21">
        <v>0.59164399999999995</v>
      </c>
      <c r="F30" s="21">
        <v>0.60011999999999999</v>
      </c>
      <c r="G30" s="21">
        <v>1</v>
      </c>
      <c r="H30" s="21">
        <v>0.91669999999999996</v>
      </c>
      <c r="I30" s="21">
        <v>0.8</v>
      </c>
      <c r="J30" s="4" t="s">
        <v>131</v>
      </c>
    </row>
    <row r="31" spans="1:10">
      <c r="A31" s="4">
        <v>27</v>
      </c>
      <c r="B31" s="4" t="s">
        <v>138</v>
      </c>
      <c r="C31" s="4" t="s">
        <v>112</v>
      </c>
      <c r="D31" s="21">
        <v>0.48272199999999998</v>
      </c>
      <c r="E31" s="21">
        <v>0.42563400000000001</v>
      </c>
      <c r="F31" s="21">
        <v>0.45417800000000003</v>
      </c>
      <c r="G31" s="21">
        <v>1</v>
      </c>
      <c r="H31" s="21">
        <v>0.91669999999999996</v>
      </c>
      <c r="I31" s="21">
        <v>0.8</v>
      </c>
      <c r="J31" s="4" t="s">
        <v>131</v>
      </c>
    </row>
    <row r="32" spans="1:10">
      <c r="A32" s="4">
        <v>28</v>
      </c>
      <c r="B32" s="4" t="s">
        <v>139</v>
      </c>
      <c r="C32" s="4" t="s">
        <v>117</v>
      </c>
      <c r="D32" s="21">
        <v>0.60850199999999999</v>
      </c>
      <c r="E32" s="21">
        <v>0.59586700000000004</v>
      </c>
      <c r="F32" s="21">
        <v>0.60218499999999997</v>
      </c>
      <c r="G32" s="21">
        <v>1</v>
      </c>
      <c r="H32" s="21">
        <v>0.83330000000000004</v>
      </c>
      <c r="I32" s="21">
        <v>0.8</v>
      </c>
      <c r="J32" s="4" t="s">
        <v>131</v>
      </c>
    </row>
    <row r="33" spans="1:10">
      <c r="A33" s="4">
        <v>29</v>
      </c>
      <c r="B33" s="4" t="s">
        <v>140</v>
      </c>
      <c r="C33" s="4" t="s">
        <v>141</v>
      </c>
      <c r="D33" s="21">
        <v>0.57248200000000005</v>
      </c>
      <c r="E33" s="21">
        <v>0.59127300000000005</v>
      </c>
      <c r="F33" s="21">
        <v>0.58187800000000001</v>
      </c>
      <c r="G33" s="21">
        <v>1</v>
      </c>
      <c r="H33" s="21">
        <v>0.91669999999999996</v>
      </c>
      <c r="I33" s="21">
        <v>0.8</v>
      </c>
      <c r="J33" s="4" t="s">
        <v>131</v>
      </c>
    </row>
    <row r="34" spans="1:10">
      <c r="A34" s="4">
        <v>30</v>
      </c>
      <c r="B34" s="4" t="s">
        <v>143</v>
      </c>
      <c r="C34" s="4" t="s">
        <v>120</v>
      </c>
      <c r="D34" s="21">
        <v>0.33663500000000002</v>
      </c>
      <c r="E34" s="21">
        <v>0.29880499999999999</v>
      </c>
      <c r="F34" s="21">
        <v>0.31772</v>
      </c>
      <c r="G34" s="21">
        <v>0.95240000000000002</v>
      </c>
      <c r="H34" s="21">
        <v>0.91669999999999996</v>
      </c>
      <c r="I34" s="21">
        <v>0.8</v>
      </c>
      <c r="J34" s="4" t="s">
        <v>131</v>
      </c>
    </row>
    <row r="35" spans="1:10">
      <c r="A35" s="4">
        <v>31</v>
      </c>
      <c r="B35" s="4" t="s">
        <v>145</v>
      </c>
      <c r="C35" s="4" t="s">
        <v>125</v>
      </c>
      <c r="D35" s="21">
        <v>0.640652</v>
      </c>
      <c r="E35" s="21">
        <v>0.64366299999999999</v>
      </c>
      <c r="F35" s="21">
        <v>0.64215699999999998</v>
      </c>
      <c r="G35" s="21">
        <v>1</v>
      </c>
      <c r="H35" s="21">
        <v>0.91669999999999996</v>
      </c>
      <c r="I35" s="21">
        <v>0.8</v>
      </c>
      <c r="J35" s="4" t="s">
        <v>131</v>
      </c>
    </row>
    <row r="36" spans="1:10">
      <c r="A36" s="4">
        <v>32</v>
      </c>
      <c r="B36" s="4" t="s">
        <v>146</v>
      </c>
      <c r="C36" s="4" t="s">
        <v>125</v>
      </c>
      <c r="D36" s="21">
        <v>0.55693700000000002</v>
      </c>
      <c r="E36" s="21">
        <v>0.48414200000000002</v>
      </c>
      <c r="F36" s="21">
        <v>0.52054</v>
      </c>
      <c r="G36" s="21">
        <v>1</v>
      </c>
      <c r="H36" s="21">
        <v>0.91669999999999996</v>
      </c>
      <c r="I36" s="21">
        <v>0.8</v>
      </c>
      <c r="J36" s="4" t="s">
        <v>131</v>
      </c>
    </row>
    <row r="37" spans="1:10">
      <c r="A37" s="4">
        <v>33</v>
      </c>
      <c r="B37" s="4" t="s">
        <v>147</v>
      </c>
      <c r="C37" s="4" t="s">
        <v>129</v>
      </c>
      <c r="D37" s="21">
        <v>0.40291300000000002</v>
      </c>
      <c r="E37" s="21">
        <v>0.50143899999999997</v>
      </c>
      <c r="F37" s="21">
        <v>0.45217600000000002</v>
      </c>
      <c r="G37" s="21">
        <v>0.95240000000000002</v>
      </c>
      <c r="H37" s="21">
        <v>1</v>
      </c>
      <c r="I37" s="21">
        <v>1</v>
      </c>
      <c r="J37" s="4" t="s">
        <v>131</v>
      </c>
    </row>
    <row r="38" spans="1:10">
      <c r="A38" s="4">
        <v>34</v>
      </c>
      <c r="B38" s="4" t="s">
        <v>149</v>
      </c>
      <c r="C38" s="4" t="s">
        <v>129</v>
      </c>
      <c r="D38" s="21">
        <v>0.41382999999999998</v>
      </c>
      <c r="E38" s="21">
        <v>0.49631799999999998</v>
      </c>
      <c r="F38" s="21">
        <v>0.45507399999999998</v>
      </c>
      <c r="G38" s="21">
        <v>0.95240000000000002</v>
      </c>
      <c r="H38" s="21">
        <v>0.91669999999999996</v>
      </c>
      <c r="I38" s="21">
        <v>0.8</v>
      </c>
      <c r="J38" s="4" t="s">
        <v>131</v>
      </c>
    </row>
    <row r="39" spans="1:10">
      <c r="A39" s="4">
        <v>35</v>
      </c>
      <c r="B39" s="4" t="s">
        <v>151</v>
      </c>
      <c r="C39" s="4" t="s">
        <v>152</v>
      </c>
      <c r="D39" s="21">
        <v>0.39840700000000001</v>
      </c>
      <c r="E39" s="21">
        <v>0.46887899999999999</v>
      </c>
      <c r="F39" s="21">
        <v>0.433643</v>
      </c>
      <c r="G39" s="21">
        <v>0.95240000000000002</v>
      </c>
      <c r="H39" s="21">
        <v>0.91669999999999996</v>
      </c>
      <c r="I39" s="21">
        <v>0.8</v>
      </c>
      <c r="J39" s="4" t="s">
        <v>150</v>
      </c>
    </row>
    <row r="40" spans="1:10">
      <c r="A40" s="4">
        <v>36</v>
      </c>
      <c r="B40" s="4" t="s">
        <v>154</v>
      </c>
      <c r="C40" s="4" t="s">
        <v>106</v>
      </c>
      <c r="D40" s="21">
        <v>0.47841699999999998</v>
      </c>
      <c r="E40" s="21">
        <v>0.43089100000000002</v>
      </c>
      <c r="F40" s="21">
        <v>0.454654</v>
      </c>
      <c r="G40" s="21">
        <v>1</v>
      </c>
      <c r="H40" s="21">
        <v>0.91669999999999996</v>
      </c>
      <c r="I40" s="21">
        <v>1</v>
      </c>
      <c r="J40" s="4" t="s">
        <v>150</v>
      </c>
    </row>
    <row r="41" spans="1:10">
      <c r="A41" s="4">
        <v>37</v>
      </c>
      <c r="B41" s="4" t="s">
        <v>155</v>
      </c>
      <c r="C41" s="4" t="s">
        <v>156</v>
      </c>
      <c r="D41" s="21">
        <v>0.30821700000000002</v>
      </c>
      <c r="E41" s="21">
        <v>0.25883699999999998</v>
      </c>
      <c r="F41" s="21">
        <v>0.28352699999999997</v>
      </c>
      <c r="G41" s="21">
        <v>1</v>
      </c>
      <c r="H41" s="21">
        <v>0.83330000000000004</v>
      </c>
      <c r="I41" s="21">
        <v>0.8</v>
      </c>
      <c r="J41" s="4" t="s">
        <v>150</v>
      </c>
    </row>
    <row r="42" spans="1:10">
      <c r="A42" s="4">
        <v>38</v>
      </c>
      <c r="B42" s="4" t="s">
        <v>157</v>
      </c>
      <c r="C42" s="4" t="s">
        <v>158</v>
      </c>
      <c r="D42" s="21">
        <v>0.36420999999999998</v>
      </c>
      <c r="E42" s="21">
        <v>0.44395299999999999</v>
      </c>
      <c r="F42" s="21">
        <v>0.40408100000000002</v>
      </c>
      <c r="G42" s="21">
        <v>0.95240000000000002</v>
      </c>
      <c r="H42" s="21">
        <v>1</v>
      </c>
      <c r="I42" s="21">
        <v>1</v>
      </c>
      <c r="J42" s="4" t="s">
        <v>150</v>
      </c>
    </row>
    <row r="43" spans="1:10">
      <c r="A43" s="4">
        <v>39</v>
      </c>
      <c r="B43" s="4" t="s">
        <v>160</v>
      </c>
      <c r="C43" s="4" t="s">
        <v>161</v>
      </c>
      <c r="D43" s="21">
        <v>0.333262</v>
      </c>
      <c r="E43" s="21">
        <v>0.363954</v>
      </c>
      <c r="F43" s="21">
        <v>0.34860799999999997</v>
      </c>
      <c r="G43" s="21">
        <v>1</v>
      </c>
      <c r="H43" s="21">
        <v>1</v>
      </c>
      <c r="I43" s="21">
        <v>1</v>
      </c>
      <c r="J43" s="4" t="s">
        <v>150</v>
      </c>
    </row>
    <row r="44" spans="1:10">
      <c r="A44" s="4">
        <v>40</v>
      </c>
      <c r="B44" s="4" t="s">
        <v>163</v>
      </c>
      <c r="C44" s="4" t="s">
        <v>117</v>
      </c>
      <c r="D44" s="21">
        <v>0.45021600000000001</v>
      </c>
      <c r="E44" s="21">
        <v>0.42696600000000001</v>
      </c>
      <c r="F44" s="21">
        <v>0.43859100000000001</v>
      </c>
      <c r="G44" s="21">
        <v>0.95240000000000002</v>
      </c>
      <c r="H44" s="21">
        <v>1</v>
      </c>
      <c r="I44" s="21">
        <v>1</v>
      </c>
      <c r="J44" s="4" t="s">
        <v>150</v>
      </c>
    </row>
    <row r="45" spans="1:10">
      <c r="A45" s="4">
        <v>41</v>
      </c>
      <c r="B45" s="4" t="s">
        <v>165</v>
      </c>
      <c r="C45" s="4" t="s">
        <v>117</v>
      </c>
      <c r="D45" s="21">
        <v>0.540462</v>
      </c>
      <c r="E45" s="21">
        <v>0.56013500000000005</v>
      </c>
      <c r="F45" s="21">
        <v>0.55029899999999998</v>
      </c>
      <c r="G45" s="21">
        <v>0.95240000000000002</v>
      </c>
      <c r="H45" s="21">
        <v>0.91669999999999996</v>
      </c>
      <c r="I45" s="21">
        <v>0.8</v>
      </c>
      <c r="J45" s="4" t="s">
        <v>150</v>
      </c>
    </row>
    <row r="46" spans="1:10">
      <c r="A46" s="4">
        <v>42</v>
      </c>
      <c r="B46" s="4" t="s">
        <v>167</v>
      </c>
      <c r="C46" s="4" t="s">
        <v>168</v>
      </c>
      <c r="D46" s="21">
        <v>0.51775099999999996</v>
      </c>
      <c r="E46" s="21">
        <v>0.51380499999999996</v>
      </c>
      <c r="F46" s="21">
        <v>0.51577799999999996</v>
      </c>
      <c r="G46" s="21">
        <v>1</v>
      </c>
      <c r="H46" s="21">
        <v>0.91669999999999996</v>
      </c>
      <c r="I46" s="21">
        <v>1</v>
      </c>
      <c r="J46" s="4" t="s">
        <v>150</v>
      </c>
    </row>
    <row r="47" spans="1:10">
      <c r="A47" s="4">
        <v>43</v>
      </c>
      <c r="B47" s="4" t="s">
        <v>169</v>
      </c>
      <c r="C47" s="4" t="s">
        <v>170</v>
      </c>
      <c r="D47" s="21">
        <v>0.58035599999999998</v>
      </c>
      <c r="E47" s="21">
        <v>0.56832499999999997</v>
      </c>
      <c r="F47" s="21">
        <v>0.57433999999999996</v>
      </c>
      <c r="G47" s="21">
        <v>0.95240000000000002</v>
      </c>
      <c r="H47" s="21">
        <v>1</v>
      </c>
      <c r="I47" s="21">
        <v>1</v>
      </c>
      <c r="J47" s="4" t="s">
        <v>150</v>
      </c>
    </row>
    <row r="48" spans="1:10">
      <c r="A48" s="4">
        <v>44</v>
      </c>
      <c r="B48" s="4" t="s">
        <v>171</v>
      </c>
      <c r="C48" s="4" t="s">
        <v>141</v>
      </c>
      <c r="D48" s="21">
        <v>0.52369600000000005</v>
      </c>
      <c r="E48" s="21">
        <v>0.52115400000000001</v>
      </c>
      <c r="F48" s="21">
        <v>0.52242500000000003</v>
      </c>
      <c r="G48" s="21">
        <v>1</v>
      </c>
      <c r="H48" s="21">
        <v>1</v>
      </c>
      <c r="I48" s="21">
        <v>1</v>
      </c>
      <c r="J48" s="4" t="s">
        <v>150</v>
      </c>
    </row>
    <row r="49" spans="1:10">
      <c r="A49" s="4">
        <v>45</v>
      </c>
      <c r="B49" s="4" t="s">
        <v>172</v>
      </c>
      <c r="C49" s="4" t="s">
        <v>125</v>
      </c>
      <c r="D49" s="21">
        <v>0.50661699999999998</v>
      </c>
      <c r="E49" s="21">
        <v>0.52038700000000004</v>
      </c>
      <c r="F49" s="21">
        <v>0.51350200000000001</v>
      </c>
      <c r="G49" s="21">
        <v>0.95240000000000002</v>
      </c>
      <c r="H49" s="21">
        <v>0.91669999999999996</v>
      </c>
      <c r="I49" s="21">
        <v>0.8</v>
      </c>
      <c r="J49" s="4" t="s">
        <v>150</v>
      </c>
    </row>
    <row r="50" spans="1:10">
      <c r="A50" s="4">
        <v>46</v>
      </c>
      <c r="B50" s="4" t="s">
        <v>174</v>
      </c>
      <c r="C50" s="4" t="s">
        <v>175</v>
      </c>
      <c r="D50" s="21">
        <v>0.31467000000000001</v>
      </c>
      <c r="E50" s="21">
        <v>0.33480599999999999</v>
      </c>
      <c r="F50" s="21">
        <v>0.32473800000000003</v>
      </c>
      <c r="G50" s="21">
        <v>0.95240000000000002</v>
      </c>
      <c r="H50" s="21">
        <v>1</v>
      </c>
      <c r="I50" s="21">
        <v>1</v>
      </c>
      <c r="J50" s="4" t="s">
        <v>150</v>
      </c>
    </row>
    <row r="51" spans="1:10">
      <c r="A51" s="4">
        <v>47</v>
      </c>
      <c r="B51" s="4" t="s">
        <v>176</v>
      </c>
      <c r="C51" s="4" t="s">
        <v>129</v>
      </c>
      <c r="D51" s="21">
        <v>0.43262899999999999</v>
      </c>
      <c r="E51" s="21">
        <v>0.43274000000000001</v>
      </c>
      <c r="F51" s="21">
        <v>0.43268499999999999</v>
      </c>
      <c r="G51" s="21">
        <v>0.95240000000000002</v>
      </c>
      <c r="H51" s="21">
        <v>1</v>
      </c>
      <c r="I51" s="21">
        <v>1</v>
      </c>
      <c r="J51" s="4" t="s">
        <v>150</v>
      </c>
    </row>
    <row r="52" spans="1:10">
      <c r="A52" s="4">
        <v>48</v>
      </c>
      <c r="B52" s="4" t="s">
        <v>178</v>
      </c>
      <c r="C52" s="4" t="s">
        <v>179</v>
      </c>
      <c r="D52" s="21">
        <v>0.358983</v>
      </c>
      <c r="E52" s="21">
        <v>0.39963599999999999</v>
      </c>
      <c r="F52" s="21">
        <v>0.37930900000000001</v>
      </c>
      <c r="G52" s="21">
        <v>0.95240000000000002</v>
      </c>
      <c r="H52" s="21">
        <v>1</v>
      </c>
      <c r="I52" s="21">
        <v>1</v>
      </c>
      <c r="J52" s="4" t="s">
        <v>150</v>
      </c>
    </row>
    <row r="53" spans="1:10">
      <c r="A53" s="4">
        <v>49</v>
      </c>
      <c r="B53" s="4" t="s">
        <v>180</v>
      </c>
      <c r="C53" s="4" t="s">
        <v>179</v>
      </c>
      <c r="D53" s="21">
        <v>0.34492099999999998</v>
      </c>
      <c r="E53" s="21">
        <v>0.38578200000000001</v>
      </c>
      <c r="F53" s="21">
        <v>0.36535099999999998</v>
      </c>
      <c r="G53" s="21">
        <v>0.95240000000000002</v>
      </c>
      <c r="H53" s="21">
        <v>1</v>
      </c>
      <c r="I53" s="21">
        <v>1</v>
      </c>
      <c r="J53" s="4" t="s">
        <v>150</v>
      </c>
    </row>
    <row r="54" spans="1:10">
      <c r="A54" s="4">
        <v>50</v>
      </c>
      <c r="B54" s="4" t="s">
        <v>183</v>
      </c>
      <c r="C54" s="4" t="s">
        <v>125</v>
      </c>
      <c r="D54" s="21">
        <v>0.55650900000000003</v>
      </c>
      <c r="E54" s="21">
        <v>0.63072300000000003</v>
      </c>
      <c r="F54" s="21">
        <v>0.59361600000000003</v>
      </c>
      <c r="G54" s="21">
        <v>1</v>
      </c>
      <c r="H54" s="21">
        <v>1</v>
      </c>
      <c r="I54" s="21">
        <v>1</v>
      </c>
      <c r="J54" s="4" t="s">
        <v>182</v>
      </c>
    </row>
    <row r="55" spans="1:10">
      <c r="A55" s="4">
        <v>51</v>
      </c>
      <c r="B55" s="4" t="s">
        <v>184</v>
      </c>
      <c r="C55" s="4" t="s">
        <v>112</v>
      </c>
      <c r="D55" s="21">
        <v>0.537219</v>
      </c>
      <c r="E55" s="21">
        <v>0.51319099999999995</v>
      </c>
      <c r="F55" s="21">
        <v>0.52520500000000003</v>
      </c>
      <c r="G55" s="21">
        <v>0.95240000000000002</v>
      </c>
      <c r="H55" s="21">
        <v>1</v>
      </c>
      <c r="I55" s="21">
        <v>1</v>
      </c>
      <c r="J55" s="4" t="s">
        <v>182</v>
      </c>
    </row>
    <row r="56" spans="1:10">
      <c r="A56" s="4">
        <v>52</v>
      </c>
      <c r="B56" s="4" t="s">
        <v>185</v>
      </c>
      <c r="C56" s="4" t="s">
        <v>103</v>
      </c>
      <c r="D56" s="21">
        <v>0.52879500000000002</v>
      </c>
      <c r="E56" s="21">
        <v>0.57811199999999996</v>
      </c>
      <c r="F56" s="21">
        <v>0.553454</v>
      </c>
      <c r="G56" s="21">
        <v>1</v>
      </c>
      <c r="H56" s="21">
        <v>1</v>
      </c>
      <c r="I56" s="21">
        <v>1</v>
      </c>
      <c r="J56" s="4" t="s">
        <v>182</v>
      </c>
    </row>
    <row r="57" spans="1:10">
      <c r="A57" s="4">
        <v>53</v>
      </c>
      <c r="B57" s="4" t="s">
        <v>186</v>
      </c>
      <c r="C57" s="4" t="s">
        <v>103</v>
      </c>
      <c r="D57" s="21">
        <v>0.547485</v>
      </c>
      <c r="E57" s="21">
        <v>0.59699599999999997</v>
      </c>
      <c r="F57" s="21">
        <v>0.57223999999999997</v>
      </c>
      <c r="G57" s="21">
        <v>1</v>
      </c>
      <c r="H57" s="21">
        <v>1</v>
      </c>
      <c r="I57" s="21">
        <v>1</v>
      </c>
      <c r="J57" s="4" t="s">
        <v>182</v>
      </c>
    </row>
    <row r="58" spans="1:10">
      <c r="A58" s="4">
        <v>54</v>
      </c>
      <c r="B58" s="4" t="s">
        <v>187</v>
      </c>
      <c r="C58" s="4" t="s">
        <v>106</v>
      </c>
      <c r="D58" s="21">
        <v>0.64654999999999996</v>
      </c>
      <c r="E58" s="21">
        <v>0.61701899999999998</v>
      </c>
      <c r="F58" s="21">
        <v>0.63178400000000001</v>
      </c>
      <c r="G58" s="21">
        <v>1</v>
      </c>
      <c r="H58" s="21">
        <v>0.91669999999999996</v>
      </c>
      <c r="I58" s="21">
        <v>0.8</v>
      </c>
      <c r="J58" s="4" t="s">
        <v>182</v>
      </c>
    </row>
    <row r="59" spans="1:10">
      <c r="A59" s="4">
        <v>55</v>
      </c>
      <c r="B59" s="4" t="s">
        <v>188</v>
      </c>
      <c r="C59" s="4" t="s">
        <v>152</v>
      </c>
      <c r="D59" s="21">
        <v>0.59460400000000002</v>
      </c>
      <c r="E59" s="21">
        <v>0.63671</v>
      </c>
      <c r="F59" s="21">
        <v>0.61565700000000001</v>
      </c>
      <c r="G59" s="21">
        <v>0.95240000000000002</v>
      </c>
      <c r="H59" s="21">
        <v>1</v>
      </c>
      <c r="I59" s="21">
        <v>1</v>
      </c>
      <c r="J59" s="4" t="s">
        <v>182</v>
      </c>
    </row>
    <row r="60" spans="1:10">
      <c r="A60" s="4">
        <v>56</v>
      </c>
      <c r="B60" s="4" t="s">
        <v>189</v>
      </c>
      <c r="C60" s="4" t="s">
        <v>152</v>
      </c>
      <c r="D60" s="21">
        <v>0.61871500000000001</v>
      </c>
      <c r="E60" s="21">
        <v>0.65801500000000002</v>
      </c>
      <c r="F60" s="21">
        <v>0.63836499999999996</v>
      </c>
      <c r="G60" s="21">
        <v>0.95240000000000002</v>
      </c>
      <c r="H60" s="21">
        <v>0.91669999999999996</v>
      </c>
      <c r="I60" s="21">
        <v>0.8</v>
      </c>
      <c r="J60" s="4" t="s">
        <v>182</v>
      </c>
    </row>
    <row r="61" spans="1:10">
      <c r="A61" s="4">
        <v>57</v>
      </c>
      <c r="B61" s="4" t="s">
        <v>190</v>
      </c>
      <c r="C61" s="4" t="s">
        <v>191</v>
      </c>
      <c r="D61" s="21">
        <v>0.38470900000000002</v>
      </c>
      <c r="E61" s="21">
        <v>0.39438299999999998</v>
      </c>
      <c r="F61" s="21">
        <v>0.389546</v>
      </c>
      <c r="G61" s="21">
        <v>0.95240000000000002</v>
      </c>
      <c r="H61" s="21">
        <v>0.91669999999999996</v>
      </c>
      <c r="I61" s="21">
        <v>1</v>
      </c>
      <c r="J61" s="4" t="s">
        <v>182</v>
      </c>
    </row>
    <row r="62" spans="1:10">
      <c r="A62" s="4">
        <v>58</v>
      </c>
      <c r="B62" s="4" t="s">
        <v>192</v>
      </c>
      <c r="C62" s="4" t="s">
        <v>191</v>
      </c>
      <c r="D62" s="21">
        <v>0.40959699999999999</v>
      </c>
      <c r="E62" s="21">
        <v>0.408362</v>
      </c>
      <c r="F62" s="21">
        <v>0.40897899999999998</v>
      </c>
      <c r="G62" s="21">
        <v>0.95240000000000002</v>
      </c>
      <c r="H62" s="21">
        <v>0.91669999999999996</v>
      </c>
      <c r="I62" s="21">
        <v>1</v>
      </c>
      <c r="J62" s="4" t="s">
        <v>182</v>
      </c>
    </row>
    <row r="63" spans="1:10">
      <c r="A63" s="4">
        <v>59</v>
      </c>
      <c r="B63" s="4" t="s">
        <v>193</v>
      </c>
      <c r="C63" s="4" t="s">
        <v>112</v>
      </c>
      <c r="D63" s="21">
        <v>0.40606300000000001</v>
      </c>
      <c r="E63" s="21">
        <v>0.36103099999999999</v>
      </c>
      <c r="F63" s="21">
        <v>0.38354700000000003</v>
      </c>
      <c r="G63" s="21">
        <v>0.95240000000000002</v>
      </c>
      <c r="H63" s="21">
        <v>0.91669999999999996</v>
      </c>
      <c r="I63" s="21">
        <v>1</v>
      </c>
      <c r="J63" s="4" t="s">
        <v>182</v>
      </c>
    </row>
    <row r="64" spans="1:10">
      <c r="A64" s="4">
        <v>60</v>
      </c>
      <c r="B64" s="4" t="s">
        <v>195</v>
      </c>
      <c r="C64" s="4" t="s">
        <v>117</v>
      </c>
      <c r="D64" s="21">
        <v>0.61750300000000002</v>
      </c>
      <c r="E64" s="21">
        <v>0.58717699999999995</v>
      </c>
      <c r="F64" s="21">
        <v>0.60233999999999999</v>
      </c>
      <c r="G64" s="21">
        <v>1</v>
      </c>
      <c r="H64" s="21">
        <v>1</v>
      </c>
      <c r="I64" s="21">
        <v>1</v>
      </c>
      <c r="J64" s="4" t="s">
        <v>182</v>
      </c>
    </row>
    <row r="65" spans="1:10">
      <c r="A65" s="4">
        <v>61</v>
      </c>
      <c r="B65" s="4" t="s">
        <v>196</v>
      </c>
      <c r="C65" s="4" t="s">
        <v>197</v>
      </c>
      <c r="D65" s="21">
        <v>0.27933200000000002</v>
      </c>
      <c r="E65" s="21">
        <v>0.36528899999999997</v>
      </c>
      <c r="F65" s="21">
        <v>0.32230999999999999</v>
      </c>
      <c r="G65" s="21">
        <v>0.95240000000000002</v>
      </c>
      <c r="H65" s="21">
        <v>0.83330000000000004</v>
      </c>
      <c r="I65" s="21">
        <v>1</v>
      </c>
      <c r="J65" s="4" t="s">
        <v>182</v>
      </c>
    </row>
    <row r="66" spans="1:10">
      <c r="A66" s="4">
        <v>62</v>
      </c>
      <c r="B66" s="4" t="s">
        <v>199</v>
      </c>
      <c r="C66" s="4" t="s">
        <v>200</v>
      </c>
      <c r="D66" s="21">
        <v>0.68590200000000001</v>
      </c>
      <c r="E66" s="21">
        <v>0.653914</v>
      </c>
      <c r="F66" s="21">
        <v>0.66990799999999995</v>
      </c>
      <c r="G66" s="21">
        <v>0.95240000000000002</v>
      </c>
      <c r="H66" s="21">
        <v>1</v>
      </c>
      <c r="I66" s="21">
        <v>1</v>
      </c>
      <c r="J66" s="4" t="s">
        <v>182</v>
      </c>
    </row>
    <row r="67" spans="1:10">
      <c r="A67" s="4">
        <v>63</v>
      </c>
      <c r="B67" s="4" t="s">
        <v>201</v>
      </c>
      <c r="C67" s="4" t="s">
        <v>141</v>
      </c>
      <c r="D67" s="21">
        <v>0.55800300000000003</v>
      </c>
      <c r="E67" s="21">
        <v>0.47105200000000003</v>
      </c>
      <c r="F67" s="21">
        <v>0.51452799999999999</v>
      </c>
      <c r="G67" s="21">
        <v>1</v>
      </c>
      <c r="H67" s="21">
        <v>1</v>
      </c>
      <c r="I67" s="21">
        <v>1</v>
      </c>
      <c r="J67" s="4" t="s">
        <v>182</v>
      </c>
    </row>
    <row r="68" spans="1:10">
      <c r="A68" s="4">
        <v>64</v>
      </c>
      <c r="B68" s="4" t="s">
        <v>202</v>
      </c>
      <c r="C68" s="4" t="s">
        <v>120</v>
      </c>
      <c r="D68" s="21">
        <v>0.41883900000000002</v>
      </c>
      <c r="E68" s="21">
        <v>0.399231</v>
      </c>
      <c r="F68" s="21">
        <v>0.40903499999999998</v>
      </c>
      <c r="G68" s="21">
        <v>0.95240000000000002</v>
      </c>
      <c r="H68" s="21">
        <v>0.91669999999999996</v>
      </c>
      <c r="I68" s="21">
        <v>0.8</v>
      </c>
      <c r="J68" s="4" t="s">
        <v>182</v>
      </c>
    </row>
    <row r="69" spans="1:10">
      <c r="A69" s="4">
        <v>65</v>
      </c>
      <c r="B69" s="4" t="s">
        <v>203</v>
      </c>
      <c r="C69" s="4" t="s">
        <v>120</v>
      </c>
      <c r="D69" s="21">
        <v>0.556508</v>
      </c>
      <c r="E69" s="21">
        <v>0.58533199999999996</v>
      </c>
      <c r="F69" s="21">
        <v>0.57091999999999998</v>
      </c>
      <c r="G69" s="21">
        <v>1</v>
      </c>
      <c r="H69" s="21">
        <v>1</v>
      </c>
      <c r="I69" s="21">
        <v>1</v>
      </c>
      <c r="J69" s="4" t="s">
        <v>182</v>
      </c>
    </row>
    <row r="70" spans="1:10">
      <c r="A70" s="4">
        <v>66</v>
      </c>
      <c r="B70" s="4" t="s">
        <v>204</v>
      </c>
      <c r="C70" s="4" t="s">
        <v>122</v>
      </c>
      <c r="D70" s="21">
        <v>0.50283</v>
      </c>
      <c r="E70" s="21">
        <v>0.44397300000000001</v>
      </c>
      <c r="F70" s="21">
        <v>0.47340100000000002</v>
      </c>
      <c r="G70" s="21">
        <v>0.95240000000000002</v>
      </c>
      <c r="H70" s="21">
        <v>0.91669999999999996</v>
      </c>
      <c r="I70" s="21">
        <v>0.8</v>
      </c>
      <c r="J70" s="4" t="s">
        <v>182</v>
      </c>
    </row>
    <row r="71" spans="1:10">
      <c r="A71" s="4">
        <v>67</v>
      </c>
      <c r="B71" s="4" t="s">
        <v>206</v>
      </c>
      <c r="C71" s="4" t="s">
        <v>125</v>
      </c>
      <c r="D71" s="21">
        <v>0.53508</v>
      </c>
      <c r="E71" s="21">
        <v>0.60458100000000004</v>
      </c>
      <c r="F71" s="21">
        <v>0.56983099999999998</v>
      </c>
      <c r="G71" s="21">
        <v>1</v>
      </c>
      <c r="H71" s="21">
        <v>1</v>
      </c>
      <c r="I71" s="21">
        <v>1</v>
      </c>
      <c r="J71" s="4" t="s">
        <v>182</v>
      </c>
    </row>
    <row r="72" spans="1:10">
      <c r="A72" s="4">
        <v>68</v>
      </c>
      <c r="B72" s="4" t="s">
        <v>207</v>
      </c>
      <c r="C72" s="4" t="s">
        <v>125</v>
      </c>
      <c r="D72" s="21">
        <v>0.66281199999999996</v>
      </c>
      <c r="E72" s="21">
        <v>0.69214600000000004</v>
      </c>
      <c r="F72" s="21">
        <v>0.67747900000000005</v>
      </c>
      <c r="G72" s="21">
        <v>0.95240000000000002</v>
      </c>
      <c r="H72" s="21">
        <v>1</v>
      </c>
      <c r="I72" s="21">
        <v>1</v>
      </c>
      <c r="J72" s="4" t="s">
        <v>182</v>
      </c>
    </row>
    <row r="73" spans="1:10">
      <c r="A73" s="4">
        <v>69</v>
      </c>
      <c r="B73" s="4" t="s">
        <v>209</v>
      </c>
      <c r="C73" s="4" t="s">
        <v>125</v>
      </c>
      <c r="D73" s="21">
        <v>0.67362200000000005</v>
      </c>
      <c r="E73" s="21">
        <v>0.67641899999999999</v>
      </c>
      <c r="F73" s="21">
        <v>0.67502099999999998</v>
      </c>
      <c r="G73" s="21">
        <v>0.95240000000000002</v>
      </c>
      <c r="H73" s="21">
        <v>1</v>
      </c>
      <c r="I73" s="21">
        <v>1</v>
      </c>
      <c r="J73" s="4" t="s">
        <v>182</v>
      </c>
    </row>
    <row r="74" spans="1:10">
      <c r="A74" s="4">
        <v>70</v>
      </c>
      <c r="B74" s="4" t="s">
        <v>210</v>
      </c>
      <c r="C74" s="4" t="s">
        <v>211</v>
      </c>
      <c r="D74" s="21">
        <v>0.42834</v>
      </c>
      <c r="E74" s="21">
        <v>0.501475</v>
      </c>
      <c r="F74" s="21">
        <v>0.46490799999999999</v>
      </c>
      <c r="G74" s="21">
        <v>1</v>
      </c>
      <c r="H74" s="21">
        <v>0.83330000000000004</v>
      </c>
      <c r="I74" s="21">
        <v>1</v>
      </c>
      <c r="J74" s="4" t="s">
        <v>182</v>
      </c>
    </row>
    <row r="75" spans="1:10">
      <c r="A75" s="4">
        <v>71</v>
      </c>
      <c r="B75" s="4" t="s">
        <v>213</v>
      </c>
      <c r="C75" s="4" t="s">
        <v>129</v>
      </c>
      <c r="D75" s="21">
        <v>0.60751699999999997</v>
      </c>
      <c r="E75" s="21">
        <v>0.65245699999999995</v>
      </c>
      <c r="F75" s="21">
        <v>0.62998699999999996</v>
      </c>
      <c r="G75" s="21">
        <v>1</v>
      </c>
      <c r="H75" s="21">
        <v>1</v>
      </c>
      <c r="I75" s="21">
        <v>1</v>
      </c>
      <c r="J75" s="4" t="s">
        <v>182</v>
      </c>
    </row>
    <row r="76" spans="1:10">
      <c r="A76" s="4">
        <v>72</v>
      </c>
      <c r="B76" s="4" t="s">
        <v>214</v>
      </c>
      <c r="C76" s="4" t="s">
        <v>129</v>
      </c>
      <c r="D76" s="21">
        <v>0.61678699999999997</v>
      </c>
      <c r="E76" s="21">
        <v>0.67104699999999995</v>
      </c>
      <c r="F76" s="21">
        <v>0.64391699999999996</v>
      </c>
      <c r="G76" s="21">
        <v>1</v>
      </c>
      <c r="H76" s="21">
        <v>1</v>
      </c>
      <c r="I76" s="21">
        <v>1</v>
      </c>
      <c r="J76" s="4" t="s">
        <v>182</v>
      </c>
    </row>
    <row r="77" spans="1:10">
      <c r="A77" s="4">
        <v>73</v>
      </c>
      <c r="B77" s="4" t="s">
        <v>215</v>
      </c>
      <c r="C77" s="4" t="s">
        <v>129</v>
      </c>
      <c r="D77" s="21">
        <v>0.66786100000000004</v>
      </c>
      <c r="E77" s="21">
        <v>0.64093800000000001</v>
      </c>
      <c r="F77" s="21">
        <v>0.65439999999999998</v>
      </c>
      <c r="G77" s="21">
        <v>1</v>
      </c>
      <c r="H77" s="21">
        <v>1</v>
      </c>
      <c r="I77" s="21">
        <v>1</v>
      </c>
      <c r="J77" s="4" t="s">
        <v>182</v>
      </c>
    </row>
    <row r="78" spans="1:10">
      <c r="A78" s="4">
        <v>74</v>
      </c>
      <c r="B78" s="4" t="s">
        <v>217</v>
      </c>
      <c r="C78" s="4" t="s">
        <v>103</v>
      </c>
      <c r="D78" s="21">
        <v>0.62885599999999997</v>
      </c>
      <c r="E78" s="21">
        <v>0.59224600000000005</v>
      </c>
      <c r="F78" s="21">
        <v>0.61055099999999995</v>
      </c>
      <c r="G78" s="21">
        <v>1</v>
      </c>
      <c r="H78" s="21">
        <v>0.91669999999999996</v>
      </c>
      <c r="I78" s="21">
        <v>0.8</v>
      </c>
      <c r="J78" s="4" t="s">
        <v>216</v>
      </c>
    </row>
    <row r="79" spans="1:10">
      <c r="A79" s="4">
        <v>75</v>
      </c>
      <c r="B79" s="4" t="s">
        <v>218</v>
      </c>
      <c r="C79" s="4" t="s">
        <v>103</v>
      </c>
      <c r="D79" s="21">
        <v>0.54198800000000003</v>
      </c>
      <c r="E79" s="21">
        <v>0.46480700000000003</v>
      </c>
      <c r="F79" s="21">
        <v>0.50339800000000001</v>
      </c>
      <c r="G79" s="21">
        <v>1</v>
      </c>
      <c r="H79" s="21">
        <v>0.91669999999999996</v>
      </c>
      <c r="I79" s="21">
        <v>0.8</v>
      </c>
      <c r="J79" s="4" t="s">
        <v>216</v>
      </c>
    </row>
    <row r="80" spans="1:10">
      <c r="A80" s="4">
        <v>76</v>
      </c>
      <c r="B80" s="4" t="s">
        <v>219</v>
      </c>
      <c r="C80" s="4" t="s">
        <v>103</v>
      </c>
      <c r="D80" s="21">
        <v>0.63442699999999996</v>
      </c>
      <c r="E80" s="21">
        <v>0.62654900000000002</v>
      </c>
      <c r="F80" s="21">
        <v>0.63048800000000005</v>
      </c>
      <c r="G80" s="21">
        <v>1</v>
      </c>
      <c r="H80" s="21">
        <v>1</v>
      </c>
      <c r="I80" s="21">
        <v>1</v>
      </c>
      <c r="J80" s="4" t="s">
        <v>216</v>
      </c>
    </row>
    <row r="81" spans="1:10">
      <c r="A81" s="4">
        <v>77</v>
      </c>
      <c r="B81" s="4" t="s">
        <v>220</v>
      </c>
      <c r="C81" s="4" t="s">
        <v>106</v>
      </c>
      <c r="D81" s="21">
        <v>0.52552100000000002</v>
      </c>
      <c r="E81" s="21">
        <v>0.51245600000000002</v>
      </c>
      <c r="F81" s="21">
        <v>0.51898900000000003</v>
      </c>
      <c r="G81" s="21">
        <v>1</v>
      </c>
      <c r="H81" s="21">
        <v>1</v>
      </c>
      <c r="I81" s="21">
        <v>1</v>
      </c>
      <c r="J81" s="4" t="s">
        <v>216</v>
      </c>
    </row>
    <row r="82" spans="1:10">
      <c r="A82" s="4">
        <v>78</v>
      </c>
      <c r="B82" s="4" t="s">
        <v>222</v>
      </c>
      <c r="C82" s="4" t="s">
        <v>106</v>
      </c>
      <c r="D82" s="21">
        <v>0.568994</v>
      </c>
      <c r="E82" s="21">
        <v>0.55230000000000001</v>
      </c>
      <c r="F82" s="21">
        <v>0.56064700000000001</v>
      </c>
      <c r="G82" s="21">
        <v>1</v>
      </c>
      <c r="H82" s="21">
        <v>1</v>
      </c>
      <c r="I82" s="21">
        <v>1</v>
      </c>
      <c r="J82" s="4" t="s">
        <v>216</v>
      </c>
    </row>
    <row r="83" spans="1:10">
      <c r="A83" s="4">
        <v>79</v>
      </c>
      <c r="B83" s="4" t="s">
        <v>223</v>
      </c>
      <c r="C83" s="4" t="s">
        <v>152</v>
      </c>
      <c r="D83" s="21">
        <v>0.56502600000000003</v>
      </c>
      <c r="E83" s="21">
        <v>0.61181200000000002</v>
      </c>
      <c r="F83" s="21">
        <v>0.58841900000000003</v>
      </c>
      <c r="G83" s="21">
        <v>1</v>
      </c>
      <c r="H83" s="21">
        <v>0.91669999999999996</v>
      </c>
      <c r="I83" s="21">
        <v>1</v>
      </c>
      <c r="J83" s="4" t="s">
        <v>216</v>
      </c>
    </row>
    <row r="84" spans="1:10">
      <c r="A84" s="4">
        <v>80</v>
      </c>
      <c r="B84" s="4" t="s">
        <v>224</v>
      </c>
      <c r="C84" s="4" t="s">
        <v>152</v>
      </c>
      <c r="D84" s="21">
        <v>0.56820999999999999</v>
      </c>
      <c r="E84" s="21">
        <v>0.63352699999999995</v>
      </c>
      <c r="F84" s="21">
        <v>0.60086799999999996</v>
      </c>
      <c r="G84" s="21">
        <v>1</v>
      </c>
      <c r="H84" s="21">
        <v>0.91669999999999996</v>
      </c>
      <c r="I84" s="21">
        <v>1</v>
      </c>
      <c r="J84" s="4" t="s">
        <v>216</v>
      </c>
    </row>
    <row r="85" spans="1:10">
      <c r="A85" s="4">
        <v>81</v>
      </c>
      <c r="B85" s="4" t="s">
        <v>225</v>
      </c>
      <c r="C85" s="4" t="s">
        <v>191</v>
      </c>
      <c r="D85" s="21">
        <v>0.44617699999999999</v>
      </c>
      <c r="E85" s="21">
        <v>0.49706</v>
      </c>
      <c r="F85" s="21">
        <v>0.47161900000000001</v>
      </c>
      <c r="G85" s="21">
        <v>0.95240000000000002</v>
      </c>
      <c r="H85" s="21">
        <v>0.83330000000000004</v>
      </c>
      <c r="I85" s="21">
        <v>0.8</v>
      </c>
      <c r="J85" s="4" t="s">
        <v>216</v>
      </c>
    </row>
    <row r="86" spans="1:10">
      <c r="A86" s="4">
        <v>82</v>
      </c>
      <c r="B86" s="4" t="s">
        <v>226</v>
      </c>
      <c r="C86" s="4" t="s">
        <v>191</v>
      </c>
      <c r="D86" s="21">
        <v>0.44617699999999999</v>
      </c>
      <c r="E86" s="21">
        <v>0.49706</v>
      </c>
      <c r="F86" s="21">
        <v>0.47161900000000001</v>
      </c>
      <c r="G86" s="21">
        <v>0.95240000000000002</v>
      </c>
      <c r="H86" s="21">
        <v>0.83330000000000004</v>
      </c>
      <c r="I86" s="21">
        <v>0.8</v>
      </c>
      <c r="J86" s="4" t="s">
        <v>216</v>
      </c>
    </row>
    <row r="87" spans="1:10">
      <c r="A87" s="4">
        <v>83</v>
      </c>
      <c r="B87" s="4" t="s">
        <v>227</v>
      </c>
      <c r="C87" s="4" t="s">
        <v>191</v>
      </c>
      <c r="D87" s="21">
        <v>-0.40116400000000002</v>
      </c>
      <c r="E87" s="21">
        <v>-1.4470999999999999E-2</v>
      </c>
      <c r="F87" s="21">
        <v>-0.207817</v>
      </c>
      <c r="G87" s="21">
        <v>0.61899999999999999</v>
      </c>
      <c r="H87" s="21">
        <v>0.41670000000000001</v>
      </c>
      <c r="I87" s="21">
        <v>0.2</v>
      </c>
      <c r="J87" s="4" t="s">
        <v>216</v>
      </c>
    </row>
    <row r="88" spans="1:10">
      <c r="A88" s="4">
        <v>84</v>
      </c>
      <c r="B88" s="4" t="s">
        <v>228</v>
      </c>
      <c r="C88" s="4" t="s">
        <v>109</v>
      </c>
      <c r="D88" s="21">
        <v>0.26326300000000002</v>
      </c>
      <c r="E88" s="21">
        <v>0.30504100000000001</v>
      </c>
      <c r="F88" s="21">
        <v>0.28415200000000002</v>
      </c>
      <c r="G88" s="21">
        <v>0.95240000000000002</v>
      </c>
      <c r="H88" s="21">
        <v>0.91669999999999996</v>
      </c>
      <c r="I88" s="21">
        <v>1</v>
      </c>
      <c r="J88" s="4" t="s">
        <v>216</v>
      </c>
    </row>
    <row r="89" spans="1:10">
      <c r="A89" s="4">
        <v>85</v>
      </c>
      <c r="B89" s="4" t="s">
        <v>229</v>
      </c>
      <c r="C89" s="4" t="s">
        <v>109</v>
      </c>
      <c r="D89" s="21">
        <v>0.244921</v>
      </c>
      <c r="E89" s="21">
        <v>0.34720600000000001</v>
      </c>
      <c r="F89" s="21">
        <v>0.29606399999999999</v>
      </c>
      <c r="G89" s="21">
        <v>1</v>
      </c>
      <c r="H89" s="21">
        <v>0.83330000000000004</v>
      </c>
      <c r="I89" s="21">
        <v>0.8</v>
      </c>
      <c r="J89" s="4" t="s">
        <v>216</v>
      </c>
    </row>
    <row r="90" spans="1:10">
      <c r="A90" s="4">
        <v>86</v>
      </c>
      <c r="B90" s="4" t="s">
        <v>231</v>
      </c>
      <c r="C90" s="4" t="s">
        <v>112</v>
      </c>
      <c r="D90" s="21">
        <v>0.59943100000000005</v>
      </c>
      <c r="E90" s="21">
        <v>0.60178200000000004</v>
      </c>
      <c r="F90" s="21">
        <v>0.600607</v>
      </c>
      <c r="G90" s="21">
        <v>1</v>
      </c>
      <c r="H90" s="21">
        <v>1</v>
      </c>
      <c r="I90" s="21">
        <v>1</v>
      </c>
      <c r="J90" s="4" t="s">
        <v>216</v>
      </c>
    </row>
    <row r="91" spans="1:10">
      <c r="A91" s="4">
        <v>87</v>
      </c>
      <c r="B91" s="4" t="s">
        <v>232</v>
      </c>
      <c r="C91" s="4" t="s">
        <v>112</v>
      </c>
      <c r="D91" s="21">
        <v>0.51347200000000004</v>
      </c>
      <c r="E91" s="21">
        <v>0.46248</v>
      </c>
      <c r="F91" s="21">
        <v>0.48797600000000002</v>
      </c>
      <c r="G91" s="21">
        <v>1</v>
      </c>
      <c r="H91" s="21">
        <v>1</v>
      </c>
      <c r="I91" s="21">
        <v>1</v>
      </c>
      <c r="J91" s="4" t="s">
        <v>216</v>
      </c>
    </row>
    <row r="92" spans="1:10">
      <c r="A92" s="4">
        <v>88</v>
      </c>
      <c r="B92" s="4" t="s">
        <v>233</v>
      </c>
      <c r="C92" s="4" t="s">
        <v>112</v>
      </c>
      <c r="D92" s="21">
        <v>0.59499899999999994</v>
      </c>
      <c r="E92" s="21">
        <v>0.54623299999999997</v>
      </c>
      <c r="F92" s="21">
        <v>0.57061600000000001</v>
      </c>
      <c r="G92" s="21">
        <v>1</v>
      </c>
      <c r="H92" s="21">
        <v>1</v>
      </c>
      <c r="I92" s="21">
        <v>1</v>
      </c>
      <c r="J92" s="4" t="s">
        <v>216</v>
      </c>
    </row>
    <row r="93" spans="1:10">
      <c r="A93" s="4">
        <v>89</v>
      </c>
      <c r="B93" s="4" t="s">
        <v>234</v>
      </c>
      <c r="C93" s="4" t="s">
        <v>161</v>
      </c>
      <c r="D93" s="21">
        <v>0.55794200000000005</v>
      </c>
      <c r="E93" s="21">
        <v>0.54681900000000006</v>
      </c>
      <c r="F93" s="21">
        <v>0.55238100000000001</v>
      </c>
      <c r="G93" s="21">
        <v>1</v>
      </c>
      <c r="H93" s="21">
        <v>0.91669999999999996</v>
      </c>
      <c r="I93" s="21">
        <v>0.8</v>
      </c>
      <c r="J93" s="4" t="s">
        <v>216</v>
      </c>
    </row>
    <row r="94" spans="1:10">
      <c r="A94" s="4">
        <v>90</v>
      </c>
      <c r="B94" s="4" t="s">
        <v>235</v>
      </c>
      <c r="C94" s="4" t="s">
        <v>168</v>
      </c>
      <c r="D94" s="21">
        <v>0.66763700000000004</v>
      </c>
      <c r="E94" s="21">
        <v>0.66892200000000002</v>
      </c>
      <c r="F94" s="21">
        <v>0.66827899999999996</v>
      </c>
      <c r="G94" s="21">
        <v>1</v>
      </c>
      <c r="H94" s="21">
        <v>1</v>
      </c>
      <c r="I94" s="21">
        <v>1</v>
      </c>
      <c r="J94" s="4" t="s">
        <v>216</v>
      </c>
    </row>
    <row r="95" spans="1:10">
      <c r="A95" s="4">
        <v>91</v>
      </c>
      <c r="B95" s="4" t="s">
        <v>236</v>
      </c>
      <c r="C95" s="4" t="s">
        <v>200</v>
      </c>
      <c r="D95" s="21">
        <v>0.66776000000000002</v>
      </c>
      <c r="E95" s="21">
        <v>0.66368000000000005</v>
      </c>
      <c r="F95" s="21">
        <v>0.66571999999999998</v>
      </c>
      <c r="G95" s="21">
        <v>1</v>
      </c>
      <c r="H95" s="21">
        <v>1</v>
      </c>
      <c r="I95" s="21">
        <v>1</v>
      </c>
      <c r="J95" s="4" t="s">
        <v>216</v>
      </c>
    </row>
    <row r="96" spans="1:10">
      <c r="A96" s="4">
        <v>92</v>
      </c>
      <c r="B96" s="4" t="s">
        <v>237</v>
      </c>
      <c r="C96" s="4" t="s">
        <v>200</v>
      </c>
      <c r="D96" s="21">
        <v>0.55601199999999995</v>
      </c>
      <c r="E96" s="21">
        <v>0.58504699999999998</v>
      </c>
      <c r="F96" s="21">
        <v>0.57052999999999998</v>
      </c>
      <c r="G96" s="21">
        <v>0.95240000000000002</v>
      </c>
      <c r="H96" s="21">
        <v>0.91669999999999996</v>
      </c>
      <c r="I96" s="21">
        <v>0.8</v>
      </c>
      <c r="J96" s="4" t="s">
        <v>216</v>
      </c>
    </row>
    <row r="97" spans="1:10">
      <c r="A97" s="4">
        <v>93</v>
      </c>
      <c r="B97" s="4" t="s">
        <v>238</v>
      </c>
      <c r="C97" s="4" t="s">
        <v>200</v>
      </c>
      <c r="D97" s="21">
        <v>0.56909500000000002</v>
      </c>
      <c r="E97" s="21">
        <v>0.58972800000000003</v>
      </c>
      <c r="F97" s="21">
        <v>0.57941200000000004</v>
      </c>
      <c r="G97" s="21">
        <v>1</v>
      </c>
      <c r="H97" s="21">
        <v>0.91669999999999996</v>
      </c>
      <c r="I97" s="21">
        <v>0.8</v>
      </c>
      <c r="J97" s="4" t="s">
        <v>216</v>
      </c>
    </row>
    <row r="98" spans="1:10">
      <c r="A98" s="4">
        <v>94</v>
      </c>
      <c r="B98" s="4" t="s">
        <v>239</v>
      </c>
      <c r="C98" s="4" t="s">
        <v>141</v>
      </c>
      <c r="D98" s="21">
        <v>0.58890200000000004</v>
      </c>
      <c r="E98" s="21">
        <v>0.46974900000000003</v>
      </c>
      <c r="F98" s="21">
        <v>0.52932500000000005</v>
      </c>
      <c r="G98" s="21">
        <v>1</v>
      </c>
      <c r="H98" s="21">
        <v>0.91669999999999996</v>
      </c>
      <c r="I98" s="21">
        <v>1</v>
      </c>
      <c r="J98" s="4" t="s">
        <v>216</v>
      </c>
    </row>
    <row r="99" spans="1:10">
      <c r="A99" s="4">
        <v>95</v>
      </c>
      <c r="B99" s="4" t="s">
        <v>240</v>
      </c>
      <c r="C99" s="4" t="s">
        <v>120</v>
      </c>
      <c r="D99" s="21">
        <v>0.49778899999999998</v>
      </c>
      <c r="E99" s="21">
        <v>0.55717899999999998</v>
      </c>
      <c r="F99" s="21">
        <v>0.52748399999999995</v>
      </c>
      <c r="G99" s="21">
        <v>1</v>
      </c>
      <c r="H99" s="21">
        <v>0.91669999999999996</v>
      </c>
      <c r="I99" s="21">
        <v>0.8</v>
      </c>
      <c r="J99" s="4" t="s">
        <v>216</v>
      </c>
    </row>
    <row r="100" spans="1:10">
      <c r="A100" s="4">
        <v>96</v>
      </c>
      <c r="B100" s="4" t="s">
        <v>241</v>
      </c>
      <c r="C100" s="4" t="s">
        <v>120</v>
      </c>
      <c r="D100" s="21">
        <v>0.55344300000000002</v>
      </c>
      <c r="E100" s="21">
        <v>0.59430400000000005</v>
      </c>
      <c r="F100" s="21">
        <v>0.57387299999999997</v>
      </c>
      <c r="G100" s="21">
        <v>1</v>
      </c>
      <c r="H100" s="21">
        <v>0.91669999999999996</v>
      </c>
      <c r="I100" s="21">
        <v>0.8</v>
      </c>
      <c r="J100" s="4" t="s">
        <v>216</v>
      </c>
    </row>
    <row r="101" spans="1:10">
      <c r="A101" s="4">
        <v>97</v>
      </c>
      <c r="B101" s="4" t="s">
        <v>242</v>
      </c>
      <c r="C101" s="4" t="s">
        <v>120</v>
      </c>
      <c r="D101" s="21">
        <v>0.54977399999999998</v>
      </c>
      <c r="E101" s="21">
        <v>0.56226900000000002</v>
      </c>
      <c r="F101" s="21">
        <v>0.55602200000000002</v>
      </c>
      <c r="G101" s="21">
        <v>1</v>
      </c>
      <c r="H101" s="21">
        <v>1</v>
      </c>
      <c r="I101" s="21">
        <v>1</v>
      </c>
      <c r="J101" s="4" t="s">
        <v>216</v>
      </c>
    </row>
    <row r="102" spans="1:10">
      <c r="A102" s="4">
        <v>98</v>
      </c>
      <c r="B102" s="4" t="s">
        <v>243</v>
      </c>
      <c r="C102" s="4" t="s">
        <v>122</v>
      </c>
      <c r="D102" s="21">
        <v>0.362516</v>
      </c>
      <c r="E102" s="21">
        <v>0.381384</v>
      </c>
      <c r="F102" s="21">
        <v>0.37195</v>
      </c>
      <c r="G102" s="21">
        <v>0.95240000000000002</v>
      </c>
      <c r="H102" s="21">
        <v>0.91669999999999996</v>
      </c>
      <c r="I102" s="21">
        <v>0.8</v>
      </c>
      <c r="J102" s="4" t="s">
        <v>216</v>
      </c>
    </row>
    <row r="103" spans="1:10">
      <c r="A103" s="4">
        <v>99</v>
      </c>
      <c r="B103" s="4" t="s">
        <v>244</v>
      </c>
      <c r="C103" s="4" t="s">
        <v>125</v>
      </c>
      <c r="D103" s="21">
        <v>0.571129</v>
      </c>
      <c r="E103" s="21">
        <v>0.59742700000000004</v>
      </c>
      <c r="F103" s="21">
        <v>0.58427799999999996</v>
      </c>
      <c r="G103" s="21">
        <v>1</v>
      </c>
      <c r="H103" s="21">
        <v>1</v>
      </c>
      <c r="I103" s="21">
        <v>1</v>
      </c>
      <c r="J103" s="4" t="s">
        <v>216</v>
      </c>
    </row>
    <row r="104" spans="1:10">
      <c r="A104" s="4">
        <v>100</v>
      </c>
      <c r="B104" s="4" t="s">
        <v>245</v>
      </c>
      <c r="C104" s="4" t="s">
        <v>125</v>
      </c>
      <c r="D104" s="21">
        <v>0.558203</v>
      </c>
      <c r="E104" s="21">
        <v>0.58036200000000004</v>
      </c>
      <c r="F104" s="21">
        <v>0.56928199999999995</v>
      </c>
      <c r="G104" s="21">
        <v>1</v>
      </c>
      <c r="H104" s="21">
        <v>1</v>
      </c>
      <c r="I104" s="21">
        <v>1</v>
      </c>
      <c r="J104" s="4" t="s">
        <v>216</v>
      </c>
    </row>
    <row r="105" spans="1:10">
      <c r="A105" s="4">
        <v>101</v>
      </c>
      <c r="B105" s="4" t="s">
        <v>246</v>
      </c>
      <c r="C105" s="4" t="s">
        <v>125</v>
      </c>
      <c r="D105" s="21">
        <v>0.64725500000000002</v>
      </c>
      <c r="E105" s="21">
        <v>0.614259</v>
      </c>
      <c r="F105" s="21">
        <v>0.63075700000000001</v>
      </c>
      <c r="G105" s="21">
        <v>0.76190000000000002</v>
      </c>
      <c r="H105" s="21">
        <v>1</v>
      </c>
      <c r="I105" s="21">
        <v>1</v>
      </c>
      <c r="J105" s="4" t="s">
        <v>216</v>
      </c>
    </row>
    <row r="106" spans="1:10">
      <c r="A106" s="4">
        <v>102</v>
      </c>
      <c r="B106" s="4" t="s">
        <v>247</v>
      </c>
      <c r="C106" s="4" t="s">
        <v>211</v>
      </c>
      <c r="D106" s="21">
        <v>0.62290699999999999</v>
      </c>
      <c r="E106" s="21">
        <v>0.63573599999999997</v>
      </c>
      <c r="F106" s="21">
        <v>0.62932100000000002</v>
      </c>
      <c r="G106" s="21">
        <v>1</v>
      </c>
      <c r="H106" s="21">
        <v>0.91669999999999996</v>
      </c>
      <c r="I106" s="21">
        <v>0.8</v>
      </c>
      <c r="J106" s="4" t="s">
        <v>216</v>
      </c>
    </row>
    <row r="107" spans="1:10">
      <c r="A107" s="4">
        <v>103</v>
      </c>
      <c r="B107" s="4" t="s">
        <v>248</v>
      </c>
      <c r="C107" s="4" t="s">
        <v>211</v>
      </c>
      <c r="D107" s="21">
        <v>0.55518999999999996</v>
      </c>
      <c r="E107" s="21">
        <v>0.59304599999999996</v>
      </c>
      <c r="F107" s="21">
        <v>0.57411800000000002</v>
      </c>
      <c r="G107" s="21">
        <v>1</v>
      </c>
      <c r="H107" s="21">
        <v>1</v>
      </c>
      <c r="I107" s="21">
        <v>1</v>
      </c>
      <c r="J107" s="4" t="s">
        <v>216</v>
      </c>
    </row>
    <row r="108" spans="1:10">
      <c r="A108" s="4">
        <v>104</v>
      </c>
      <c r="B108" s="4" t="s">
        <v>249</v>
      </c>
      <c r="C108" s="4" t="s">
        <v>211</v>
      </c>
      <c r="D108" s="21">
        <v>0.55518999999999996</v>
      </c>
      <c r="E108" s="21">
        <v>0.59304599999999996</v>
      </c>
      <c r="F108" s="21">
        <v>0.57411800000000002</v>
      </c>
      <c r="G108" s="21">
        <v>1</v>
      </c>
      <c r="H108" s="21">
        <v>1</v>
      </c>
      <c r="I108" s="21">
        <v>1</v>
      </c>
      <c r="J108" s="4" t="s">
        <v>216</v>
      </c>
    </row>
    <row r="109" spans="1:10">
      <c r="A109" s="4">
        <v>105</v>
      </c>
      <c r="B109" s="4" t="s">
        <v>250</v>
      </c>
      <c r="C109" s="4" t="s">
        <v>175</v>
      </c>
      <c r="D109" s="21">
        <v>0.41511100000000001</v>
      </c>
      <c r="E109" s="21">
        <v>0.43637399999999998</v>
      </c>
      <c r="F109" s="21">
        <v>0.42574200000000001</v>
      </c>
      <c r="G109" s="21">
        <v>0.95240000000000002</v>
      </c>
      <c r="H109" s="21">
        <v>1</v>
      </c>
      <c r="I109" s="21">
        <v>1</v>
      </c>
      <c r="J109" s="4" t="s">
        <v>216</v>
      </c>
    </row>
    <row r="110" spans="1:10">
      <c r="A110" s="4">
        <v>106</v>
      </c>
      <c r="B110" s="4" t="s">
        <v>251</v>
      </c>
      <c r="C110" s="4" t="s">
        <v>129</v>
      </c>
      <c r="D110" s="21">
        <v>0.57179000000000002</v>
      </c>
      <c r="E110" s="21">
        <v>0.61782099999999995</v>
      </c>
      <c r="F110" s="21">
        <v>0.59480599999999995</v>
      </c>
      <c r="G110" s="21">
        <v>1</v>
      </c>
      <c r="H110" s="21">
        <v>0.91669999999999996</v>
      </c>
      <c r="I110" s="21">
        <v>0.8</v>
      </c>
      <c r="J110" s="4" t="s">
        <v>216</v>
      </c>
    </row>
    <row r="111" spans="1:10">
      <c r="A111" s="4">
        <v>107</v>
      </c>
      <c r="B111" s="4" t="s">
        <v>252</v>
      </c>
      <c r="C111" s="4" t="s">
        <v>129</v>
      </c>
      <c r="D111" s="21">
        <v>0.55241300000000004</v>
      </c>
      <c r="E111" s="21">
        <v>0.60461299999999996</v>
      </c>
      <c r="F111" s="21">
        <v>0.57851300000000005</v>
      </c>
      <c r="G111" s="21">
        <v>1</v>
      </c>
      <c r="H111" s="21">
        <v>0.91669999999999996</v>
      </c>
      <c r="I111" s="21">
        <v>0.8</v>
      </c>
      <c r="J111" s="4" t="s">
        <v>216</v>
      </c>
    </row>
    <row r="112" spans="1:10">
      <c r="A112" s="4">
        <v>108</v>
      </c>
      <c r="B112" s="4" t="s">
        <v>253</v>
      </c>
      <c r="C112" s="4" t="s">
        <v>129</v>
      </c>
      <c r="D112" s="21">
        <v>0.58505099999999999</v>
      </c>
      <c r="E112" s="21">
        <v>0.59509599999999996</v>
      </c>
      <c r="F112" s="21">
        <v>0.59007299999999996</v>
      </c>
      <c r="G112" s="21">
        <v>1</v>
      </c>
      <c r="H112" s="21">
        <v>1</v>
      </c>
      <c r="I112" s="21">
        <v>1</v>
      </c>
      <c r="J112" s="4" t="s">
        <v>216</v>
      </c>
    </row>
    <row r="113" spans="1:10">
      <c r="A113" s="4">
        <v>109</v>
      </c>
      <c r="B113" s="4" t="s">
        <v>254</v>
      </c>
      <c r="C113" s="4" t="s">
        <v>129</v>
      </c>
      <c r="D113" s="21">
        <v>0.44663599999999998</v>
      </c>
      <c r="E113" s="21">
        <v>0.38754899999999998</v>
      </c>
      <c r="F113" s="21">
        <v>0.41709200000000002</v>
      </c>
      <c r="G113" s="21">
        <v>0.85709999999999997</v>
      </c>
      <c r="H113" s="21">
        <v>0.91669999999999996</v>
      </c>
      <c r="I113" s="21">
        <v>1</v>
      </c>
      <c r="J113" s="4" t="s">
        <v>216</v>
      </c>
    </row>
    <row r="114" spans="1:10">
      <c r="A114" s="4">
        <v>110</v>
      </c>
      <c r="B114" s="4" t="s">
        <v>256</v>
      </c>
      <c r="C114" s="4" t="s">
        <v>103</v>
      </c>
      <c r="D114" s="21">
        <v>0.59266099999999999</v>
      </c>
      <c r="E114" s="21">
        <v>0.62089700000000003</v>
      </c>
      <c r="F114" s="21">
        <v>0.60677899999999996</v>
      </c>
      <c r="G114" s="21">
        <v>1</v>
      </c>
      <c r="H114" s="21">
        <v>1</v>
      </c>
      <c r="I114" s="21">
        <v>1</v>
      </c>
      <c r="J114" s="4" t="s">
        <v>255</v>
      </c>
    </row>
    <row r="115" spans="1:10">
      <c r="A115" s="4">
        <v>111</v>
      </c>
      <c r="B115" s="4" t="s">
        <v>257</v>
      </c>
      <c r="C115" s="4" t="s">
        <v>141</v>
      </c>
      <c r="D115" s="21">
        <v>0.66321699999999995</v>
      </c>
      <c r="E115" s="21">
        <v>0.64611099999999999</v>
      </c>
      <c r="F115" s="21">
        <v>0.65466400000000002</v>
      </c>
      <c r="G115" s="21">
        <v>1</v>
      </c>
      <c r="H115" s="21">
        <v>1</v>
      </c>
      <c r="I115" s="21">
        <v>1</v>
      </c>
      <c r="J115" s="4" t="s">
        <v>255</v>
      </c>
    </row>
    <row r="116" spans="1:10">
      <c r="A116" s="4">
        <v>112</v>
      </c>
      <c r="B116" s="4" t="s">
        <v>258</v>
      </c>
      <c r="C116" s="4" t="s">
        <v>112</v>
      </c>
      <c r="D116" s="21">
        <v>0.56956799999999996</v>
      </c>
      <c r="E116" s="21">
        <v>0.43882599999999999</v>
      </c>
      <c r="F116" s="21">
        <v>0.50419700000000001</v>
      </c>
      <c r="G116" s="21">
        <v>1</v>
      </c>
      <c r="H116" s="21">
        <v>1</v>
      </c>
      <c r="I116" s="21">
        <v>1</v>
      </c>
      <c r="J116" s="4" t="s">
        <v>255</v>
      </c>
    </row>
    <row r="117" spans="1:10">
      <c r="A117" s="4">
        <v>113</v>
      </c>
      <c r="B117" s="4" t="s">
        <v>259</v>
      </c>
      <c r="C117" s="4" t="s">
        <v>117</v>
      </c>
      <c r="D117" s="21">
        <v>0.59041600000000005</v>
      </c>
      <c r="E117" s="21">
        <v>0.56611400000000001</v>
      </c>
      <c r="F117" s="21">
        <v>0.57826500000000003</v>
      </c>
      <c r="G117" s="21">
        <v>1</v>
      </c>
      <c r="H117" s="21">
        <v>1</v>
      </c>
      <c r="I117" s="21">
        <v>1</v>
      </c>
      <c r="J117" s="4" t="s">
        <v>255</v>
      </c>
    </row>
    <row r="118" spans="1:10">
      <c r="A118" s="4">
        <v>114</v>
      </c>
      <c r="B118" s="4" t="s">
        <v>260</v>
      </c>
      <c r="C118" s="4" t="s">
        <v>168</v>
      </c>
      <c r="D118" s="21">
        <v>0.62972600000000001</v>
      </c>
      <c r="E118" s="21">
        <v>0.59313499999999997</v>
      </c>
      <c r="F118" s="21">
        <v>0.61143099999999995</v>
      </c>
      <c r="G118" s="21">
        <v>1</v>
      </c>
      <c r="H118" s="21">
        <v>1</v>
      </c>
      <c r="I118" s="21">
        <v>1</v>
      </c>
      <c r="J118" s="4" t="s">
        <v>255</v>
      </c>
    </row>
    <row r="119" spans="1:10">
      <c r="A119" s="4">
        <v>115</v>
      </c>
      <c r="B119" s="4" t="s">
        <v>261</v>
      </c>
      <c r="C119" s="4" t="s">
        <v>197</v>
      </c>
      <c r="D119" s="21">
        <v>0.24934500000000001</v>
      </c>
      <c r="E119" s="21">
        <v>0.285186</v>
      </c>
      <c r="F119" s="21">
        <v>0.267266</v>
      </c>
      <c r="G119" s="21">
        <v>0.95240000000000002</v>
      </c>
      <c r="H119" s="21">
        <v>0.75</v>
      </c>
      <c r="I119" s="21">
        <v>0.8</v>
      </c>
      <c r="J119" s="4" t="s">
        <v>255</v>
      </c>
    </row>
    <row r="120" spans="1:10">
      <c r="A120" s="4">
        <v>116</v>
      </c>
      <c r="B120" s="4" t="s">
        <v>263</v>
      </c>
      <c r="C120" s="4" t="s">
        <v>200</v>
      </c>
      <c r="D120" s="21">
        <v>0.58785200000000004</v>
      </c>
      <c r="E120" s="21">
        <v>0.61657200000000001</v>
      </c>
      <c r="F120" s="21">
        <v>0.60221199999999997</v>
      </c>
      <c r="G120" s="21">
        <v>1</v>
      </c>
      <c r="H120" s="21">
        <v>1</v>
      </c>
      <c r="I120" s="21">
        <v>1</v>
      </c>
      <c r="J120" s="4" t="s">
        <v>255</v>
      </c>
    </row>
    <row r="121" spans="1:10">
      <c r="A121" s="4">
        <v>117</v>
      </c>
      <c r="B121" s="4" t="s">
        <v>264</v>
      </c>
      <c r="C121" s="4" t="s">
        <v>120</v>
      </c>
      <c r="D121" s="21">
        <v>0.59171600000000002</v>
      </c>
      <c r="E121" s="21">
        <v>0.66871499999999995</v>
      </c>
      <c r="F121" s="21">
        <v>0.63021499999999997</v>
      </c>
      <c r="G121" s="21">
        <v>1</v>
      </c>
      <c r="H121" s="21">
        <v>1</v>
      </c>
      <c r="I121" s="21">
        <v>1</v>
      </c>
      <c r="J121" s="4" t="s">
        <v>255</v>
      </c>
    </row>
    <row r="122" spans="1:10">
      <c r="A122" s="4">
        <v>118</v>
      </c>
      <c r="B122" s="4" t="s">
        <v>265</v>
      </c>
      <c r="C122" s="4" t="s">
        <v>106</v>
      </c>
      <c r="D122" s="21">
        <v>0.51462399999999997</v>
      </c>
      <c r="E122" s="21">
        <v>0.51735799999999998</v>
      </c>
      <c r="F122" s="21">
        <v>0.51599099999999998</v>
      </c>
      <c r="G122" s="21">
        <v>0.95240000000000002</v>
      </c>
      <c r="H122" s="21">
        <v>0.91669999999999996</v>
      </c>
      <c r="I122" s="21">
        <v>1</v>
      </c>
      <c r="J122" s="4" t="s">
        <v>255</v>
      </c>
    </row>
    <row r="123" spans="1:10">
      <c r="A123" s="4">
        <v>119</v>
      </c>
      <c r="B123" s="4" t="s">
        <v>267</v>
      </c>
      <c r="C123" s="4" t="s">
        <v>122</v>
      </c>
      <c r="D123" s="21">
        <v>0.40497899999999998</v>
      </c>
      <c r="E123" s="21">
        <v>0.38681100000000002</v>
      </c>
      <c r="F123" s="21">
        <v>0.395895</v>
      </c>
      <c r="G123" s="21">
        <v>0.95240000000000002</v>
      </c>
      <c r="H123" s="21">
        <v>1</v>
      </c>
      <c r="I123" s="21">
        <v>1</v>
      </c>
      <c r="J123" s="4" t="s">
        <v>255</v>
      </c>
    </row>
    <row r="124" spans="1:10">
      <c r="A124" s="4">
        <v>120</v>
      </c>
      <c r="B124" s="4" t="s">
        <v>268</v>
      </c>
      <c r="C124" s="4" t="s">
        <v>125</v>
      </c>
      <c r="D124" s="21">
        <v>0.68574100000000004</v>
      </c>
      <c r="E124" s="21">
        <v>0.70999599999999996</v>
      </c>
      <c r="F124" s="21">
        <v>0.69786899999999996</v>
      </c>
      <c r="G124" s="21">
        <v>1</v>
      </c>
      <c r="H124" s="21">
        <v>0.83330000000000004</v>
      </c>
      <c r="I124" s="21">
        <v>0.8</v>
      </c>
      <c r="J124" s="4" t="s">
        <v>255</v>
      </c>
    </row>
    <row r="125" spans="1:10">
      <c r="A125" s="4">
        <v>121</v>
      </c>
      <c r="B125" s="4" t="s">
        <v>269</v>
      </c>
      <c r="C125" s="4" t="s">
        <v>129</v>
      </c>
      <c r="D125" s="21">
        <v>0.55430699999999999</v>
      </c>
      <c r="E125" s="21">
        <v>0.58385299999999996</v>
      </c>
      <c r="F125" s="21">
        <v>0.56908000000000003</v>
      </c>
      <c r="G125" s="21">
        <v>0.95</v>
      </c>
      <c r="H125" s="21">
        <v>1</v>
      </c>
      <c r="I125" s="21">
        <v>1</v>
      </c>
      <c r="J125" s="4" t="s">
        <v>255</v>
      </c>
    </row>
    <row r="126" spans="1:10">
      <c r="A126" s="4">
        <v>122</v>
      </c>
      <c r="B126" s="4" t="s">
        <v>270</v>
      </c>
      <c r="C126" s="4" t="s">
        <v>211</v>
      </c>
      <c r="D126" s="21">
        <v>0.44010500000000002</v>
      </c>
      <c r="E126" s="21">
        <v>0.42175299999999999</v>
      </c>
      <c r="F126" s="21">
        <v>0.43092900000000001</v>
      </c>
      <c r="G126" s="21">
        <v>1</v>
      </c>
      <c r="H126" s="21">
        <v>0.91669999999999996</v>
      </c>
      <c r="I126" s="21">
        <v>1</v>
      </c>
      <c r="J126" s="4" t="s">
        <v>255</v>
      </c>
    </row>
    <row r="127" spans="1:10">
      <c r="A127" s="4">
        <v>123</v>
      </c>
      <c r="B127" s="4" t="s">
        <v>271</v>
      </c>
      <c r="C127" s="4" t="s">
        <v>117</v>
      </c>
      <c r="D127" s="21">
        <v>0.56080399999999997</v>
      </c>
      <c r="E127" s="21">
        <v>0.56901400000000002</v>
      </c>
      <c r="F127" s="21">
        <v>0.56490899999999999</v>
      </c>
      <c r="G127" s="21">
        <v>0.95240000000000002</v>
      </c>
      <c r="H127" s="21">
        <v>0.91669999999999996</v>
      </c>
      <c r="I127" s="21">
        <v>0.8</v>
      </c>
      <c r="J127" s="4" t="s">
        <v>255</v>
      </c>
    </row>
    <row r="128" spans="1:10">
      <c r="A128" s="4">
        <v>124</v>
      </c>
      <c r="B128" s="4" t="s">
        <v>273</v>
      </c>
      <c r="C128" s="4" t="s">
        <v>141</v>
      </c>
      <c r="D128" s="21">
        <v>0.61029800000000001</v>
      </c>
      <c r="E128" s="21">
        <v>0.64600199999999997</v>
      </c>
      <c r="F128" s="21">
        <v>0.62814999999999999</v>
      </c>
      <c r="G128" s="21">
        <v>1</v>
      </c>
      <c r="H128" s="21">
        <v>1</v>
      </c>
      <c r="I128" s="21">
        <v>1</v>
      </c>
      <c r="J128" s="4" t="s">
        <v>272</v>
      </c>
    </row>
    <row r="129" spans="1:10">
      <c r="A129" s="4">
        <v>125</v>
      </c>
      <c r="B129" s="4" t="s">
        <v>274</v>
      </c>
      <c r="C129" s="4" t="s">
        <v>197</v>
      </c>
      <c r="D129" s="21">
        <v>-9.0973999999999999E-2</v>
      </c>
      <c r="E129" s="21">
        <v>-5.2651999999999997E-2</v>
      </c>
      <c r="F129" s="21">
        <v>-7.1813000000000002E-2</v>
      </c>
      <c r="G129" s="21">
        <v>0.95240000000000002</v>
      </c>
      <c r="H129" s="21">
        <v>0.58330000000000004</v>
      </c>
      <c r="I129" s="21">
        <v>0.6</v>
      </c>
      <c r="J129" s="4" t="s">
        <v>272</v>
      </c>
    </row>
    <row r="130" spans="1:10">
      <c r="A130" s="4">
        <v>126</v>
      </c>
      <c r="B130" s="4" t="s">
        <v>276</v>
      </c>
      <c r="C130" s="4" t="s">
        <v>197</v>
      </c>
      <c r="D130" s="21">
        <v>0.33998800000000001</v>
      </c>
      <c r="E130" s="21">
        <v>0.38455600000000001</v>
      </c>
      <c r="F130" s="21">
        <v>0.36227199999999998</v>
      </c>
      <c r="G130" s="21">
        <v>0.95240000000000002</v>
      </c>
      <c r="H130" s="21">
        <v>1</v>
      </c>
      <c r="I130" s="21">
        <v>1</v>
      </c>
      <c r="J130" s="4" t="s">
        <v>272</v>
      </c>
    </row>
    <row r="131" spans="1:10">
      <c r="A131" s="4">
        <v>127</v>
      </c>
      <c r="B131" s="4" t="s">
        <v>278</v>
      </c>
      <c r="C131" s="4" t="s">
        <v>109</v>
      </c>
      <c r="D131" s="21">
        <v>0.453654</v>
      </c>
      <c r="E131" s="21">
        <v>0.41051599999999999</v>
      </c>
      <c r="F131" s="21">
        <v>0.432085</v>
      </c>
      <c r="G131" s="21">
        <v>1</v>
      </c>
      <c r="H131" s="21">
        <v>0.83330000000000004</v>
      </c>
      <c r="I131" s="21">
        <v>0.8</v>
      </c>
      <c r="J131" s="4" t="s">
        <v>272</v>
      </c>
    </row>
    <row r="132" spans="1:10">
      <c r="A132" s="4">
        <v>128</v>
      </c>
      <c r="B132" s="4" t="s">
        <v>279</v>
      </c>
      <c r="C132" s="4" t="s">
        <v>106</v>
      </c>
      <c r="D132" s="21">
        <v>-3.3227E-2</v>
      </c>
      <c r="E132" s="21">
        <v>-0.117369</v>
      </c>
      <c r="F132" s="21">
        <v>-7.5298000000000004E-2</v>
      </c>
      <c r="G132" s="21">
        <v>0.95240000000000002</v>
      </c>
      <c r="H132" s="21">
        <v>0.63639999999999997</v>
      </c>
      <c r="I132" s="21">
        <v>0.75</v>
      </c>
      <c r="J132" s="4" t="s">
        <v>272</v>
      </c>
    </row>
    <row r="133" spans="1:10">
      <c r="A133" s="4">
        <v>129</v>
      </c>
      <c r="B133" s="4" t="s">
        <v>281</v>
      </c>
      <c r="C133" s="4" t="s">
        <v>106</v>
      </c>
      <c r="D133" s="21">
        <v>0.43158200000000002</v>
      </c>
      <c r="E133" s="21">
        <v>0.41589799999999999</v>
      </c>
      <c r="F133" s="21">
        <v>0.42374000000000001</v>
      </c>
      <c r="G133" s="21">
        <v>1</v>
      </c>
      <c r="H133" s="21">
        <v>0.91669999999999996</v>
      </c>
      <c r="I133" s="21">
        <v>1</v>
      </c>
      <c r="J133" s="4" t="s">
        <v>272</v>
      </c>
    </row>
    <row r="134" spans="1:10">
      <c r="A134" s="4">
        <v>130</v>
      </c>
      <c r="B134" s="4" t="s">
        <v>282</v>
      </c>
      <c r="C134" s="4" t="s">
        <v>106</v>
      </c>
      <c r="D134" s="21">
        <v>0.50948499999999997</v>
      </c>
      <c r="E134" s="21">
        <v>0.45101000000000002</v>
      </c>
      <c r="F134" s="21">
        <v>0.48024699999999998</v>
      </c>
      <c r="G134" s="21">
        <v>1</v>
      </c>
      <c r="H134" s="21">
        <v>0.91669999999999996</v>
      </c>
      <c r="I134" s="21">
        <v>1</v>
      </c>
      <c r="J134" s="4" t="s">
        <v>272</v>
      </c>
    </row>
    <row r="135" spans="1:10">
      <c r="A135" s="4">
        <v>131</v>
      </c>
      <c r="B135" s="4" t="s">
        <v>283</v>
      </c>
      <c r="C135" s="4" t="s">
        <v>106</v>
      </c>
      <c r="D135" s="21">
        <v>0.544458</v>
      </c>
      <c r="E135" s="21">
        <v>0.48427300000000001</v>
      </c>
      <c r="F135" s="21">
        <v>0.51436499999999996</v>
      </c>
      <c r="G135" s="21">
        <v>1</v>
      </c>
      <c r="H135" s="21">
        <v>0.91669999999999996</v>
      </c>
      <c r="I135" s="21">
        <v>1</v>
      </c>
      <c r="J135" s="4" t="s">
        <v>272</v>
      </c>
    </row>
    <row r="136" spans="1:10">
      <c r="A136" s="4">
        <v>132</v>
      </c>
      <c r="B136" s="4" t="s">
        <v>284</v>
      </c>
      <c r="C136" s="4" t="s">
        <v>125</v>
      </c>
      <c r="D136" s="21">
        <v>0.48691600000000002</v>
      </c>
      <c r="E136" s="21">
        <v>0.48225800000000002</v>
      </c>
      <c r="F136" s="21">
        <v>0.48458699999999999</v>
      </c>
      <c r="G136" s="21">
        <v>0.95240000000000002</v>
      </c>
      <c r="H136" s="21">
        <v>0.91669999999999996</v>
      </c>
      <c r="I136" s="21">
        <v>1</v>
      </c>
      <c r="J136" s="4" t="s">
        <v>272</v>
      </c>
    </row>
    <row r="137" spans="1:10">
      <c r="A137" s="4">
        <v>133</v>
      </c>
      <c r="B137" s="4" t="s">
        <v>285</v>
      </c>
      <c r="C137" s="4" t="s">
        <v>211</v>
      </c>
      <c r="D137" s="21">
        <v>0.47871000000000002</v>
      </c>
      <c r="E137" s="21">
        <v>0.48848000000000003</v>
      </c>
      <c r="F137" s="21">
        <v>0.483595</v>
      </c>
      <c r="G137" s="21">
        <v>1</v>
      </c>
      <c r="H137" s="21">
        <v>0.91669999999999996</v>
      </c>
      <c r="I137" s="21">
        <v>1</v>
      </c>
      <c r="J137" s="4" t="s">
        <v>272</v>
      </c>
    </row>
    <row r="138" spans="1:10">
      <c r="A138" s="4">
        <v>134</v>
      </c>
      <c r="B138" s="4" t="s">
        <v>286</v>
      </c>
      <c r="C138" s="4" t="s">
        <v>175</v>
      </c>
      <c r="D138" s="21">
        <v>0.55276599999999998</v>
      </c>
      <c r="E138" s="21">
        <v>0.53032000000000001</v>
      </c>
      <c r="F138" s="21">
        <v>0.541543</v>
      </c>
      <c r="G138" s="21">
        <v>1</v>
      </c>
      <c r="H138" s="21">
        <v>1</v>
      </c>
      <c r="I138" s="21">
        <v>1</v>
      </c>
      <c r="J138" s="4" t="s">
        <v>272</v>
      </c>
    </row>
    <row r="139" spans="1:10">
      <c r="A139" s="4">
        <v>135</v>
      </c>
      <c r="B139" s="4" t="s">
        <v>288</v>
      </c>
      <c r="C139" s="4" t="s">
        <v>103</v>
      </c>
      <c r="D139" s="21">
        <v>0.60115499999999999</v>
      </c>
      <c r="E139" s="21">
        <v>0.61502699999999999</v>
      </c>
      <c r="F139" s="21">
        <v>0.60809100000000005</v>
      </c>
      <c r="G139" s="21">
        <v>1</v>
      </c>
      <c r="H139" s="21">
        <v>1</v>
      </c>
      <c r="I139" s="21">
        <v>1</v>
      </c>
      <c r="J139" s="4" t="s">
        <v>287</v>
      </c>
    </row>
    <row r="140" spans="1:10">
      <c r="A140" s="4">
        <v>136</v>
      </c>
      <c r="B140" s="4" t="s">
        <v>289</v>
      </c>
      <c r="C140" s="4" t="s">
        <v>156</v>
      </c>
      <c r="D140" s="21">
        <v>0.53600400000000004</v>
      </c>
      <c r="E140" s="21">
        <v>0.52095499999999995</v>
      </c>
      <c r="F140" s="21">
        <v>0.52847999999999995</v>
      </c>
      <c r="G140" s="21">
        <v>1</v>
      </c>
      <c r="H140" s="21">
        <v>1</v>
      </c>
      <c r="I140" s="21">
        <v>1</v>
      </c>
      <c r="J140" s="4" t="s">
        <v>287</v>
      </c>
    </row>
    <row r="141" spans="1:10">
      <c r="A141" s="4">
        <v>137</v>
      </c>
      <c r="B141" s="4" t="s">
        <v>290</v>
      </c>
      <c r="C141" s="4" t="s">
        <v>158</v>
      </c>
      <c r="D141" s="21">
        <v>0.32866800000000002</v>
      </c>
      <c r="E141" s="21">
        <v>0.411464</v>
      </c>
      <c r="F141" s="21">
        <v>0.37006600000000001</v>
      </c>
      <c r="G141" s="21">
        <v>0.95240000000000002</v>
      </c>
      <c r="H141" s="21">
        <v>1</v>
      </c>
      <c r="I141" s="21">
        <v>1</v>
      </c>
      <c r="J141" s="4" t="s">
        <v>287</v>
      </c>
    </row>
    <row r="142" spans="1:10">
      <c r="A142" s="4">
        <v>138</v>
      </c>
      <c r="B142" s="4" t="s">
        <v>291</v>
      </c>
      <c r="C142" s="4" t="s">
        <v>141</v>
      </c>
      <c r="D142" s="21">
        <v>0.57054000000000005</v>
      </c>
      <c r="E142" s="21">
        <v>0.53321799999999997</v>
      </c>
      <c r="F142" s="21">
        <v>0.55187900000000001</v>
      </c>
      <c r="G142" s="21">
        <v>1</v>
      </c>
      <c r="H142" s="21">
        <v>0.91669999999999996</v>
      </c>
      <c r="I142" s="21">
        <v>0.8</v>
      </c>
      <c r="J142" s="4" t="s">
        <v>287</v>
      </c>
    </row>
    <row r="143" spans="1:10">
      <c r="A143" s="4">
        <v>139</v>
      </c>
      <c r="B143" s="4" t="s">
        <v>292</v>
      </c>
      <c r="C143" s="4" t="s">
        <v>112</v>
      </c>
      <c r="D143" s="21">
        <v>0.51259500000000002</v>
      </c>
      <c r="E143" s="21">
        <v>0.45736100000000002</v>
      </c>
      <c r="F143" s="21">
        <v>0.48497800000000002</v>
      </c>
      <c r="G143" s="21">
        <v>1</v>
      </c>
      <c r="H143" s="21">
        <v>0.91669999999999996</v>
      </c>
      <c r="I143" s="21">
        <v>1</v>
      </c>
      <c r="J143" s="4" t="s">
        <v>287</v>
      </c>
    </row>
    <row r="144" spans="1:10">
      <c r="A144" s="4">
        <v>140</v>
      </c>
      <c r="B144" s="4" t="s">
        <v>293</v>
      </c>
      <c r="C144" s="4" t="s">
        <v>161</v>
      </c>
      <c r="D144" s="21">
        <v>0.38299</v>
      </c>
      <c r="E144" s="21">
        <v>0.43224400000000002</v>
      </c>
      <c r="F144" s="21">
        <v>0.40761700000000001</v>
      </c>
      <c r="G144" s="21">
        <v>0.95240000000000002</v>
      </c>
      <c r="H144" s="21">
        <v>1</v>
      </c>
      <c r="I144" s="21">
        <v>1</v>
      </c>
      <c r="J144" s="4" t="s">
        <v>287</v>
      </c>
    </row>
    <row r="145" spans="1:10">
      <c r="A145" s="4">
        <v>141</v>
      </c>
      <c r="B145" s="4" t="s">
        <v>294</v>
      </c>
      <c r="C145" s="4" t="s">
        <v>117</v>
      </c>
      <c r="D145" s="21">
        <v>0.64132900000000004</v>
      </c>
      <c r="E145" s="21">
        <v>0.58113700000000001</v>
      </c>
      <c r="F145" s="21">
        <v>0.61123300000000003</v>
      </c>
      <c r="G145" s="21">
        <v>1</v>
      </c>
      <c r="H145" s="21">
        <v>0.91669999999999996</v>
      </c>
      <c r="I145" s="21">
        <v>0.8</v>
      </c>
      <c r="J145" s="4" t="s">
        <v>287</v>
      </c>
    </row>
    <row r="146" spans="1:10">
      <c r="A146" s="4">
        <v>142</v>
      </c>
      <c r="B146" s="4" t="s">
        <v>295</v>
      </c>
      <c r="C146" s="4" t="s">
        <v>117</v>
      </c>
      <c r="D146" s="21">
        <v>0.55379</v>
      </c>
      <c r="E146" s="21">
        <v>0.639042</v>
      </c>
      <c r="F146" s="21">
        <v>0.59641599999999995</v>
      </c>
      <c r="G146" s="21">
        <v>1</v>
      </c>
      <c r="H146" s="21">
        <v>0.91669999999999996</v>
      </c>
      <c r="I146" s="21">
        <v>0.8</v>
      </c>
      <c r="J146" s="4" t="s">
        <v>287</v>
      </c>
    </row>
    <row r="147" spans="1:10">
      <c r="A147" s="4">
        <v>143</v>
      </c>
      <c r="B147" s="4" t="s">
        <v>296</v>
      </c>
      <c r="C147" s="4" t="s">
        <v>168</v>
      </c>
      <c r="D147" s="21">
        <v>0.56666700000000003</v>
      </c>
      <c r="E147" s="21">
        <v>0.55820800000000004</v>
      </c>
      <c r="F147" s="21">
        <v>0.56243699999999996</v>
      </c>
      <c r="G147" s="21">
        <v>0.95240000000000002</v>
      </c>
      <c r="H147" s="21">
        <v>0.91669999999999996</v>
      </c>
      <c r="I147" s="21">
        <v>1</v>
      </c>
      <c r="J147" s="4" t="s">
        <v>287</v>
      </c>
    </row>
    <row r="148" spans="1:10">
      <c r="A148" s="4">
        <v>144</v>
      </c>
      <c r="B148" s="4" t="s">
        <v>297</v>
      </c>
      <c r="C148" s="4" t="s">
        <v>168</v>
      </c>
      <c r="D148" s="21">
        <v>0.59543199999999996</v>
      </c>
      <c r="E148" s="21">
        <v>0.61175800000000002</v>
      </c>
      <c r="F148" s="21">
        <v>0.60359499999999999</v>
      </c>
      <c r="G148" s="21">
        <v>1</v>
      </c>
      <c r="H148" s="21">
        <v>1</v>
      </c>
      <c r="I148" s="21">
        <v>1</v>
      </c>
      <c r="J148" s="4" t="s">
        <v>287</v>
      </c>
    </row>
    <row r="149" spans="1:10">
      <c r="A149" s="4">
        <v>145</v>
      </c>
      <c r="B149" s="4" t="s">
        <v>298</v>
      </c>
      <c r="C149" s="4" t="s">
        <v>197</v>
      </c>
      <c r="D149" s="21">
        <v>0.38397900000000001</v>
      </c>
      <c r="E149" s="21">
        <v>0.40543600000000002</v>
      </c>
      <c r="F149" s="21">
        <v>0.39470699999999997</v>
      </c>
      <c r="G149" s="21">
        <v>0.95240000000000002</v>
      </c>
      <c r="H149" s="21">
        <v>0.83330000000000004</v>
      </c>
      <c r="I149" s="21">
        <v>1</v>
      </c>
      <c r="J149" s="4" t="s">
        <v>287</v>
      </c>
    </row>
    <row r="150" spans="1:10">
      <c r="A150" s="4">
        <v>146</v>
      </c>
      <c r="B150" s="4" t="s">
        <v>300</v>
      </c>
      <c r="C150" s="4" t="s">
        <v>197</v>
      </c>
      <c r="D150" s="21">
        <v>0.38530900000000001</v>
      </c>
      <c r="E150" s="21">
        <v>0.35350599999999999</v>
      </c>
      <c r="F150" s="21">
        <v>0.36940800000000001</v>
      </c>
      <c r="G150" s="21">
        <v>0.95240000000000002</v>
      </c>
      <c r="H150" s="21">
        <v>0.75</v>
      </c>
      <c r="I150" s="21">
        <v>0.8</v>
      </c>
      <c r="J150" s="4" t="s">
        <v>287</v>
      </c>
    </row>
    <row r="151" spans="1:10">
      <c r="A151" s="4">
        <v>147</v>
      </c>
      <c r="B151" s="4" t="s">
        <v>302</v>
      </c>
      <c r="C151" s="4" t="s">
        <v>197</v>
      </c>
      <c r="D151" s="21">
        <v>0.39258999999999999</v>
      </c>
      <c r="E151" s="21">
        <v>0.45285999999999998</v>
      </c>
      <c r="F151" s="21">
        <v>0.42272500000000002</v>
      </c>
      <c r="G151" s="21">
        <v>0.95240000000000002</v>
      </c>
      <c r="H151" s="21">
        <v>0.75</v>
      </c>
      <c r="I151" s="21">
        <v>0.8</v>
      </c>
      <c r="J151" s="4" t="s">
        <v>287</v>
      </c>
    </row>
    <row r="152" spans="1:10">
      <c r="A152" s="4">
        <v>148</v>
      </c>
      <c r="B152" s="4" t="s">
        <v>303</v>
      </c>
      <c r="C152" s="4" t="s">
        <v>200</v>
      </c>
      <c r="D152" s="21">
        <v>0.61623300000000003</v>
      </c>
      <c r="E152" s="21">
        <v>0.61198300000000005</v>
      </c>
      <c r="F152" s="21">
        <v>0.61410799999999999</v>
      </c>
      <c r="G152" s="21">
        <v>1</v>
      </c>
      <c r="H152" s="21">
        <v>0.91669999999999996</v>
      </c>
      <c r="I152" s="21">
        <v>0.8</v>
      </c>
      <c r="J152" s="4" t="s">
        <v>287</v>
      </c>
    </row>
    <row r="153" spans="1:10">
      <c r="A153" s="4">
        <v>149</v>
      </c>
      <c r="B153" s="4" t="s">
        <v>304</v>
      </c>
      <c r="C153" s="4" t="s">
        <v>120</v>
      </c>
      <c r="D153" s="21">
        <v>0.57394400000000001</v>
      </c>
      <c r="E153" s="21">
        <v>0.63670800000000005</v>
      </c>
      <c r="F153" s="21">
        <v>0.60532600000000003</v>
      </c>
      <c r="G153" s="21">
        <v>1</v>
      </c>
      <c r="H153" s="21">
        <v>0.91669999999999996</v>
      </c>
      <c r="I153" s="21">
        <v>0.8</v>
      </c>
      <c r="J153" s="4" t="s">
        <v>287</v>
      </c>
    </row>
    <row r="154" spans="1:10">
      <c r="A154" s="4">
        <v>150</v>
      </c>
      <c r="B154" s="4" t="s">
        <v>305</v>
      </c>
      <c r="C154" s="4" t="s">
        <v>109</v>
      </c>
      <c r="D154" s="21">
        <v>0.39082600000000001</v>
      </c>
      <c r="E154" s="21">
        <v>0.438633</v>
      </c>
      <c r="F154" s="21">
        <v>0.41472900000000001</v>
      </c>
      <c r="G154" s="21">
        <v>0.90480000000000005</v>
      </c>
      <c r="H154" s="21">
        <v>1</v>
      </c>
      <c r="I154" s="21">
        <v>1</v>
      </c>
      <c r="J154" s="4" t="s">
        <v>287</v>
      </c>
    </row>
    <row r="155" spans="1:10">
      <c r="A155" s="4">
        <v>151</v>
      </c>
      <c r="B155" s="4" t="s">
        <v>306</v>
      </c>
      <c r="C155" s="4" t="s">
        <v>106</v>
      </c>
      <c r="D155" s="21">
        <v>0.54230900000000004</v>
      </c>
      <c r="E155" s="21">
        <v>0.45137500000000003</v>
      </c>
      <c r="F155" s="21">
        <v>0.49684200000000001</v>
      </c>
      <c r="G155" s="21">
        <v>1</v>
      </c>
      <c r="H155" s="21">
        <v>1</v>
      </c>
      <c r="I155" s="21">
        <v>1</v>
      </c>
      <c r="J155" s="4" t="s">
        <v>287</v>
      </c>
    </row>
    <row r="156" spans="1:10">
      <c r="A156" s="4">
        <v>152</v>
      </c>
      <c r="B156" s="4" t="s">
        <v>307</v>
      </c>
      <c r="C156" s="4" t="s">
        <v>122</v>
      </c>
      <c r="D156" s="21">
        <v>0.369643</v>
      </c>
      <c r="E156" s="21">
        <v>0.332486</v>
      </c>
      <c r="F156" s="21">
        <v>0.35106399999999999</v>
      </c>
      <c r="G156" s="21">
        <v>0.95240000000000002</v>
      </c>
      <c r="H156" s="21">
        <v>1</v>
      </c>
      <c r="I156" s="21">
        <v>1</v>
      </c>
      <c r="J156" s="4" t="s">
        <v>287</v>
      </c>
    </row>
    <row r="157" spans="1:10">
      <c r="A157" s="4">
        <v>153</v>
      </c>
      <c r="B157" s="4" t="s">
        <v>308</v>
      </c>
      <c r="C157" s="4" t="s">
        <v>125</v>
      </c>
      <c r="D157" s="21">
        <v>0.65510000000000002</v>
      </c>
      <c r="E157" s="21">
        <v>0.64896200000000004</v>
      </c>
      <c r="F157" s="21">
        <v>0.65203100000000003</v>
      </c>
      <c r="G157" s="21">
        <v>1</v>
      </c>
      <c r="H157" s="21">
        <v>0.91669999999999996</v>
      </c>
      <c r="I157" s="21">
        <v>0.8</v>
      </c>
      <c r="J157" s="4" t="s">
        <v>287</v>
      </c>
    </row>
    <row r="158" spans="1:10">
      <c r="A158" s="4">
        <v>154</v>
      </c>
      <c r="B158" s="4" t="s">
        <v>309</v>
      </c>
      <c r="C158" s="4" t="s">
        <v>125</v>
      </c>
      <c r="D158" s="21">
        <v>0.62547900000000001</v>
      </c>
      <c r="E158" s="21">
        <v>0.631409</v>
      </c>
      <c r="F158" s="21">
        <v>0.628444</v>
      </c>
      <c r="G158" s="21">
        <v>1</v>
      </c>
      <c r="H158" s="21">
        <v>1</v>
      </c>
      <c r="I158" s="21">
        <v>1</v>
      </c>
      <c r="J158" s="4" t="s">
        <v>287</v>
      </c>
    </row>
    <row r="159" spans="1:10">
      <c r="A159" s="4">
        <v>155</v>
      </c>
      <c r="B159" s="4" t="s">
        <v>310</v>
      </c>
      <c r="C159" s="4" t="s">
        <v>129</v>
      </c>
      <c r="D159" s="21">
        <v>0.57007099999999999</v>
      </c>
      <c r="E159" s="21">
        <v>0.54409600000000002</v>
      </c>
      <c r="F159" s="21">
        <v>0.55708299999999999</v>
      </c>
      <c r="G159" s="21">
        <v>1</v>
      </c>
      <c r="H159" s="21">
        <v>0.91669999999999996</v>
      </c>
      <c r="I159" s="21">
        <v>0.8</v>
      </c>
      <c r="J159" s="4" t="s">
        <v>287</v>
      </c>
    </row>
    <row r="160" spans="1:10">
      <c r="A160" s="4">
        <v>156</v>
      </c>
      <c r="B160" s="4" t="s">
        <v>311</v>
      </c>
      <c r="C160" s="4" t="s">
        <v>129</v>
      </c>
      <c r="D160" s="21">
        <v>0.57007099999999999</v>
      </c>
      <c r="E160" s="21">
        <v>0.54409600000000002</v>
      </c>
      <c r="F160" s="21">
        <v>0.55708299999999999</v>
      </c>
      <c r="G160" s="21">
        <v>1</v>
      </c>
      <c r="H160" s="21">
        <v>0.91669999999999996</v>
      </c>
      <c r="I160" s="21">
        <v>0.8</v>
      </c>
      <c r="J160" s="4" t="s">
        <v>287</v>
      </c>
    </row>
    <row r="161" spans="1:10">
      <c r="A161" s="4">
        <v>157</v>
      </c>
      <c r="B161" s="4" t="s">
        <v>312</v>
      </c>
      <c r="C161" s="4" t="s">
        <v>211</v>
      </c>
      <c r="D161" s="21">
        <v>0.48315900000000001</v>
      </c>
      <c r="E161" s="21">
        <v>0.45694499999999999</v>
      </c>
      <c r="F161" s="21">
        <v>0.47005200000000003</v>
      </c>
      <c r="G161" s="21">
        <v>1</v>
      </c>
      <c r="H161" s="21">
        <v>0.91669999999999996</v>
      </c>
      <c r="I161" s="21">
        <v>1</v>
      </c>
      <c r="J161" s="4" t="s">
        <v>287</v>
      </c>
    </row>
    <row r="162" spans="1:10">
      <c r="A162" s="4">
        <v>158</v>
      </c>
      <c r="B162" s="4" t="s">
        <v>313</v>
      </c>
      <c r="C162" s="4" t="s">
        <v>211</v>
      </c>
      <c r="D162" s="21">
        <v>0.52886599999999995</v>
      </c>
      <c r="E162" s="21">
        <v>0.49283199999999999</v>
      </c>
      <c r="F162" s="21">
        <v>0.510849</v>
      </c>
      <c r="G162" s="21">
        <v>1</v>
      </c>
      <c r="H162" s="21">
        <v>1</v>
      </c>
      <c r="I162" s="21">
        <v>1</v>
      </c>
      <c r="J162" s="4" t="s">
        <v>287</v>
      </c>
    </row>
    <row r="163" spans="1:10">
      <c r="A163" s="4">
        <v>159</v>
      </c>
      <c r="B163" s="4" t="s">
        <v>295</v>
      </c>
      <c r="C163" s="4" t="s">
        <v>117</v>
      </c>
      <c r="D163" s="21">
        <v>0.56850500000000004</v>
      </c>
      <c r="E163" s="21">
        <v>0.57920799999999995</v>
      </c>
      <c r="F163" s="21">
        <v>0.57385699999999995</v>
      </c>
      <c r="G163" s="21">
        <v>0.95240000000000002</v>
      </c>
      <c r="H163" s="21">
        <v>1</v>
      </c>
      <c r="I163" s="21">
        <v>1</v>
      </c>
      <c r="J163" s="4" t="s">
        <v>287</v>
      </c>
    </row>
    <row r="164" spans="1:10">
      <c r="A164" s="4">
        <v>160</v>
      </c>
      <c r="B164" s="4" t="s">
        <v>315</v>
      </c>
      <c r="C164" s="4" t="s">
        <v>117</v>
      </c>
      <c r="D164" s="21">
        <v>0.54031200000000001</v>
      </c>
      <c r="E164" s="21">
        <v>0.55147100000000004</v>
      </c>
      <c r="F164" s="21">
        <v>0.54589100000000002</v>
      </c>
      <c r="G164" s="21">
        <v>0.95240000000000002</v>
      </c>
      <c r="H164" s="21">
        <v>1</v>
      </c>
      <c r="I164" s="21">
        <v>1</v>
      </c>
      <c r="J164" s="4" t="s">
        <v>287</v>
      </c>
    </row>
    <row r="165" spans="1:10">
      <c r="A165" s="4">
        <v>161</v>
      </c>
      <c r="B165" s="4" t="s">
        <v>316</v>
      </c>
      <c r="C165" s="4" t="s">
        <v>103</v>
      </c>
      <c r="D165" s="21">
        <v>0.60115499999999999</v>
      </c>
      <c r="E165" s="21">
        <v>0.61502699999999999</v>
      </c>
      <c r="F165" s="21">
        <v>0.60809100000000005</v>
      </c>
      <c r="G165" s="21">
        <v>1</v>
      </c>
      <c r="H165" s="21">
        <v>1</v>
      </c>
      <c r="I165" s="21">
        <v>1</v>
      </c>
      <c r="J165" s="4" t="s">
        <v>287</v>
      </c>
    </row>
    <row r="166" spans="1:10">
      <c r="A166" s="4">
        <v>162</v>
      </c>
      <c r="B166" s="4" t="s">
        <v>317</v>
      </c>
      <c r="C166" s="4" t="s">
        <v>112</v>
      </c>
      <c r="D166" s="21">
        <v>0.49498599999999998</v>
      </c>
      <c r="E166" s="21">
        <v>0.43711800000000001</v>
      </c>
      <c r="F166" s="21">
        <v>0.46605200000000002</v>
      </c>
      <c r="G166" s="21">
        <v>1</v>
      </c>
      <c r="H166" s="21">
        <v>0.91669999999999996</v>
      </c>
      <c r="I166" s="21">
        <v>1</v>
      </c>
      <c r="J166" s="4" t="s">
        <v>287</v>
      </c>
    </row>
    <row r="167" spans="1:10">
      <c r="A167" s="4">
        <v>163</v>
      </c>
      <c r="B167" s="4" t="s">
        <v>318</v>
      </c>
      <c r="C167" s="4" t="s">
        <v>117</v>
      </c>
      <c r="D167" s="21">
        <v>0.55379</v>
      </c>
      <c r="E167" s="21">
        <v>0.639042</v>
      </c>
      <c r="F167" s="21">
        <v>0.59641599999999995</v>
      </c>
      <c r="G167" s="21">
        <v>1</v>
      </c>
      <c r="H167" s="21">
        <v>0.91669999999999996</v>
      </c>
      <c r="I167" s="21">
        <v>0.8</v>
      </c>
      <c r="J167" s="4" t="s">
        <v>287</v>
      </c>
    </row>
    <row r="168" spans="1:10">
      <c r="A168" s="4">
        <v>164</v>
      </c>
      <c r="B168" s="4" t="s">
        <v>319</v>
      </c>
      <c r="C168" s="4" t="s">
        <v>117</v>
      </c>
      <c r="D168" s="21">
        <v>0.55379</v>
      </c>
      <c r="E168" s="21">
        <v>0.639042</v>
      </c>
      <c r="F168" s="21">
        <v>0.59641599999999995</v>
      </c>
      <c r="G168" s="21">
        <v>1</v>
      </c>
      <c r="H168" s="21">
        <v>0.91669999999999996</v>
      </c>
      <c r="I168" s="21">
        <v>0.8</v>
      </c>
      <c r="J168" s="4" t="s">
        <v>287</v>
      </c>
    </row>
    <row r="169" spans="1:10">
      <c r="A169" s="4">
        <v>165</v>
      </c>
      <c r="B169" s="4" t="s">
        <v>320</v>
      </c>
      <c r="C169" s="4" t="s">
        <v>120</v>
      </c>
      <c r="D169" s="21">
        <v>0.57394400000000001</v>
      </c>
      <c r="E169" s="21">
        <v>0.63670800000000005</v>
      </c>
      <c r="F169" s="21">
        <v>0.60532600000000003</v>
      </c>
      <c r="G169" s="21">
        <v>1</v>
      </c>
      <c r="H169" s="21">
        <v>0.91669999999999996</v>
      </c>
      <c r="I169" s="21">
        <v>0.8</v>
      </c>
      <c r="J169" s="4" t="s">
        <v>287</v>
      </c>
    </row>
    <row r="170" spans="1:10">
      <c r="A170" s="4">
        <v>166</v>
      </c>
      <c r="B170" s="4" t="s">
        <v>322</v>
      </c>
      <c r="C170" s="4" t="s">
        <v>117</v>
      </c>
      <c r="D170" s="21">
        <v>0.68392600000000003</v>
      </c>
      <c r="E170" s="21">
        <v>0.67073199999999999</v>
      </c>
      <c r="F170" s="21">
        <v>0.67732899999999996</v>
      </c>
      <c r="G170" s="21">
        <v>1</v>
      </c>
      <c r="H170" s="21">
        <v>1</v>
      </c>
      <c r="I170" s="21">
        <v>1</v>
      </c>
      <c r="J170" s="4" t="s">
        <v>321</v>
      </c>
    </row>
    <row r="171" spans="1:10">
      <c r="A171" s="4">
        <v>167</v>
      </c>
      <c r="B171" s="4" t="s">
        <v>324</v>
      </c>
      <c r="C171" s="4" t="s">
        <v>175</v>
      </c>
      <c r="D171" s="21">
        <v>0.57057599999999997</v>
      </c>
      <c r="E171" s="21">
        <v>0.52801900000000002</v>
      </c>
      <c r="F171" s="21">
        <v>0.54929799999999995</v>
      </c>
      <c r="G171" s="21">
        <v>1</v>
      </c>
      <c r="H171" s="21">
        <v>0.91669999999999996</v>
      </c>
      <c r="I171" s="21">
        <v>0.8</v>
      </c>
      <c r="J171" s="4" t="s">
        <v>323</v>
      </c>
    </row>
    <row r="172" spans="1:10">
      <c r="A172" s="4">
        <v>168</v>
      </c>
      <c r="B172" s="4" t="s">
        <v>325</v>
      </c>
      <c r="C172" s="4" t="s">
        <v>191</v>
      </c>
      <c r="D172" s="21">
        <v>0.29967500000000002</v>
      </c>
      <c r="E172" s="21">
        <v>0.47231299999999998</v>
      </c>
      <c r="F172" s="21">
        <v>0.385994</v>
      </c>
      <c r="G172" s="21">
        <v>1</v>
      </c>
      <c r="H172" s="21">
        <v>0.91669999999999996</v>
      </c>
      <c r="I172" s="21">
        <v>1</v>
      </c>
      <c r="J172" s="4" t="s">
        <v>321</v>
      </c>
    </row>
    <row r="173" spans="1:10">
      <c r="A173" s="4">
        <v>169</v>
      </c>
      <c r="B173" s="4" t="s">
        <v>326</v>
      </c>
      <c r="C173" s="4" t="s">
        <v>191</v>
      </c>
      <c r="D173" s="21">
        <v>0.40838200000000002</v>
      </c>
      <c r="E173" s="21">
        <v>0.55379900000000004</v>
      </c>
      <c r="F173" s="21">
        <v>0.48109000000000002</v>
      </c>
      <c r="G173" s="21">
        <v>1</v>
      </c>
      <c r="H173" s="21">
        <v>0.83330000000000004</v>
      </c>
      <c r="I173" s="21">
        <v>0.8</v>
      </c>
      <c r="J173" s="4" t="s">
        <v>323</v>
      </c>
    </row>
    <row r="174" spans="1:10">
      <c r="A174" s="4">
        <v>170</v>
      </c>
      <c r="B174" s="4" t="s">
        <v>327</v>
      </c>
      <c r="C174" s="4" t="s">
        <v>191</v>
      </c>
      <c r="D174" s="21">
        <v>0.30377999999999999</v>
      </c>
      <c r="E174" s="21">
        <v>0.45421</v>
      </c>
      <c r="F174" s="21">
        <v>0.37899500000000003</v>
      </c>
      <c r="G174" s="21">
        <v>1</v>
      </c>
      <c r="H174" s="21">
        <v>0.91669999999999996</v>
      </c>
      <c r="I174" s="21">
        <v>1</v>
      </c>
      <c r="J174" s="4" t="s">
        <v>321</v>
      </c>
    </row>
    <row r="175" spans="1:10">
      <c r="A175" s="4">
        <v>171</v>
      </c>
      <c r="B175" s="4" t="s">
        <v>329</v>
      </c>
      <c r="C175" s="4" t="s">
        <v>191</v>
      </c>
      <c r="D175" s="21">
        <v>0.30358099999999999</v>
      </c>
      <c r="E175" s="21">
        <v>0.46662900000000002</v>
      </c>
      <c r="F175" s="21">
        <v>0.38510499999999998</v>
      </c>
      <c r="G175" s="21">
        <v>1</v>
      </c>
      <c r="H175" s="21">
        <v>0.91669999999999996</v>
      </c>
      <c r="I175" s="21">
        <v>1</v>
      </c>
      <c r="J175" s="4" t="s">
        <v>321</v>
      </c>
    </row>
    <row r="176" spans="1:10">
      <c r="A176" s="4">
        <v>172</v>
      </c>
      <c r="B176" s="4" t="s">
        <v>331</v>
      </c>
      <c r="C176" s="4" t="s">
        <v>191</v>
      </c>
      <c r="D176" s="21">
        <v>0.40320699999999998</v>
      </c>
      <c r="E176" s="21">
        <v>0.39068700000000001</v>
      </c>
      <c r="F176" s="21">
        <v>0.39694699999999999</v>
      </c>
      <c r="G176" s="21">
        <v>0.90480000000000005</v>
      </c>
      <c r="H176" s="21">
        <v>0.91669999999999996</v>
      </c>
      <c r="I176" s="21">
        <v>0.8</v>
      </c>
      <c r="J176" s="4" t="s">
        <v>330</v>
      </c>
    </row>
    <row r="177" spans="1:10">
      <c r="A177" s="4">
        <v>173</v>
      </c>
      <c r="B177" s="4" t="s">
        <v>333</v>
      </c>
      <c r="C177" s="4" t="s">
        <v>112</v>
      </c>
      <c r="D177" s="21">
        <v>0.53119300000000003</v>
      </c>
      <c r="E177" s="21">
        <v>0.47081200000000001</v>
      </c>
      <c r="F177" s="21">
        <v>0.50100299999999998</v>
      </c>
      <c r="G177" s="21">
        <v>0.95240000000000002</v>
      </c>
      <c r="H177" s="21">
        <v>0.91669999999999996</v>
      </c>
      <c r="I177" s="21">
        <v>0.8</v>
      </c>
      <c r="J177" s="4" t="s">
        <v>332</v>
      </c>
    </row>
    <row r="178" spans="1:10">
      <c r="A178" s="4">
        <v>174</v>
      </c>
      <c r="B178" s="4" t="s">
        <v>335</v>
      </c>
      <c r="C178" s="4" t="s">
        <v>117</v>
      </c>
      <c r="D178" s="21">
        <v>0.251772</v>
      </c>
      <c r="E178" s="21">
        <v>0.29561700000000002</v>
      </c>
      <c r="F178" s="21">
        <v>0.27369399999999999</v>
      </c>
      <c r="G178" s="21">
        <v>0.95240000000000002</v>
      </c>
      <c r="H178" s="21">
        <v>0.83330000000000004</v>
      </c>
      <c r="I178" s="21">
        <v>0.6</v>
      </c>
      <c r="J178" s="4" t="s">
        <v>334</v>
      </c>
    </row>
    <row r="179" spans="1:10">
      <c r="A179" s="4">
        <v>175</v>
      </c>
      <c r="B179" s="4" t="s">
        <v>337</v>
      </c>
      <c r="C179" s="4" t="s">
        <v>117</v>
      </c>
      <c r="D179" s="21">
        <v>0.36225600000000002</v>
      </c>
      <c r="E179" s="21">
        <v>0.334866</v>
      </c>
      <c r="F179" s="21">
        <v>0.34856100000000001</v>
      </c>
      <c r="G179" s="21">
        <v>1</v>
      </c>
      <c r="H179" s="21">
        <v>0.91669999999999996</v>
      </c>
      <c r="I179" s="21">
        <v>0.8</v>
      </c>
      <c r="J179" s="4" t="s">
        <v>336</v>
      </c>
    </row>
    <row r="180" spans="1:10">
      <c r="A180" s="4">
        <v>176</v>
      </c>
      <c r="B180" s="4" t="s">
        <v>339</v>
      </c>
      <c r="C180" s="4" t="s">
        <v>340</v>
      </c>
      <c r="D180" s="21">
        <v>9.0648000000000006E-2</v>
      </c>
      <c r="E180" s="21">
        <v>-1.1813000000000001E-2</v>
      </c>
      <c r="F180" s="21">
        <v>3.9417000000000001E-2</v>
      </c>
      <c r="G180" s="21">
        <v>1</v>
      </c>
      <c r="H180" s="21">
        <v>0.83330000000000004</v>
      </c>
      <c r="I180" s="21">
        <v>0.8</v>
      </c>
      <c r="J180" s="4" t="s">
        <v>338</v>
      </c>
    </row>
    <row r="181" spans="1:10">
      <c r="A181" s="4">
        <v>177</v>
      </c>
      <c r="B181" s="4" t="s">
        <v>342</v>
      </c>
      <c r="C181" s="4" t="s">
        <v>158</v>
      </c>
      <c r="D181" s="21">
        <v>0.44940400000000003</v>
      </c>
      <c r="E181" s="21">
        <v>0.45386199999999999</v>
      </c>
      <c r="F181" s="21">
        <v>0.45163300000000001</v>
      </c>
      <c r="G181" s="21">
        <v>1</v>
      </c>
      <c r="H181" s="21">
        <v>0.91669999999999996</v>
      </c>
      <c r="I181" s="21">
        <v>0.8</v>
      </c>
      <c r="J181" s="4" t="s">
        <v>341</v>
      </c>
    </row>
    <row r="182" spans="1:10">
      <c r="A182" s="4">
        <v>178</v>
      </c>
      <c r="B182" s="4" t="s">
        <v>344</v>
      </c>
      <c r="C182" s="4" t="s">
        <v>117</v>
      </c>
      <c r="D182" s="21">
        <v>0.36732399999999998</v>
      </c>
      <c r="E182" s="21">
        <v>0.36394399999999999</v>
      </c>
      <c r="F182" s="21">
        <v>0.36563400000000001</v>
      </c>
      <c r="G182" s="21">
        <v>1</v>
      </c>
      <c r="H182" s="21">
        <v>0.83330000000000004</v>
      </c>
      <c r="I182" s="21">
        <v>0.8</v>
      </c>
      <c r="J182" s="4" t="s">
        <v>341</v>
      </c>
    </row>
    <row r="183" spans="1:10">
      <c r="A183" s="4">
        <v>179</v>
      </c>
      <c r="B183" s="4" t="s">
        <v>345</v>
      </c>
      <c r="C183" s="4" t="s">
        <v>211</v>
      </c>
      <c r="D183" s="21">
        <v>0.66934499999999997</v>
      </c>
      <c r="E183" s="21">
        <v>0.65764</v>
      </c>
      <c r="F183" s="21">
        <v>0.663493</v>
      </c>
      <c r="G183" s="21">
        <v>1</v>
      </c>
      <c r="H183" s="21">
        <v>1</v>
      </c>
      <c r="I183" s="21">
        <v>1</v>
      </c>
      <c r="J183" s="4" t="s">
        <v>341</v>
      </c>
    </row>
    <row r="184" spans="1:10">
      <c r="A184" s="4">
        <v>180</v>
      </c>
      <c r="B184" s="4" t="s">
        <v>346</v>
      </c>
      <c r="C184" s="4" t="s">
        <v>168</v>
      </c>
      <c r="D184" s="21">
        <v>0.66174599999999995</v>
      </c>
      <c r="E184" s="21">
        <v>0.65532400000000002</v>
      </c>
      <c r="F184" s="21">
        <v>0.65853499999999998</v>
      </c>
      <c r="G184" s="21">
        <v>1</v>
      </c>
      <c r="H184" s="21">
        <v>1</v>
      </c>
      <c r="I184" s="21">
        <v>1</v>
      </c>
      <c r="J184" s="4" t="s">
        <v>341</v>
      </c>
    </row>
    <row r="185" spans="1:10">
      <c r="A185" s="4">
        <v>181</v>
      </c>
      <c r="B185" s="4" t="s">
        <v>347</v>
      </c>
      <c r="C185" s="4" t="s">
        <v>109</v>
      </c>
      <c r="D185" s="21">
        <v>0.35505500000000001</v>
      </c>
      <c r="E185" s="21">
        <v>0.44780500000000001</v>
      </c>
      <c r="F185" s="21">
        <v>0.40143000000000001</v>
      </c>
      <c r="G185" s="21">
        <v>1</v>
      </c>
      <c r="H185" s="21">
        <v>1</v>
      </c>
      <c r="I185" s="21">
        <v>1</v>
      </c>
      <c r="J185" s="4" t="s">
        <v>341</v>
      </c>
    </row>
    <row r="186" spans="1:10">
      <c r="A186" s="4">
        <v>182</v>
      </c>
      <c r="B186" s="4" t="s">
        <v>349</v>
      </c>
      <c r="C186" s="4" t="s">
        <v>117</v>
      </c>
      <c r="D186" s="21">
        <v>0.53992099999999998</v>
      </c>
      <c r="E186" s="21">
        <v>0.47531600000000002</v>
      </c>
      <c r="F186" s="21">
        <v>0.50761800000000001</v>
      </c>
      <c r="G186" s="21">
        <v>1</v>
      </c>
      <c r="H186" s="21">
        <v>0.83330000000000004</v>
      </c>
      <c r="I186" s="21">
        <v>0.8</v>
      </c>
      <c r="J186" s="4" t="s">
        <v>348</v>
      </c>
    </row>
    <row r="187" spans="1:10">
      <c r="A187" s="4">
        <v>183</v>
      </c>
      <c r="B187" s="4" t="s">
        <v>351</v>
      </c>
      <c r="C187" s="4" t="s">
        <v>129</v>
      </c>
      <c r="D187" s="21">
        <v>0.55148399999999997</v>
      </c>
      <c r="E187" s="21">
        <v>0.50408399999999998</v>
      </c>
      <c r="F187" s="21">
        <v>0.52778400000000003</v>
      </c>
      <c r="G187" s="21">
        <v>0.95240000000000002</v>
      </c>
      <c r="H187" s="21">
        <v>0.91669999999999996</v>
      </c>
      <c r="I187" s="21">
        <v>0.8</v>
      </c>
      <c r="J187" s="4" t="s">
        <v>350</v>
      </c>
    </row>
    <row r="188" spans="1:10">
      <c r="A188" s="4">
        <v>184</v>
      </c>
      <c r="B188" s="4" t="s">
        <v>352</v>
      </c>
      <c r="C188" s="4" t="s">
        <v>129</v>
      </c>
      <c r="D188" s="21">
        <v>0.49584600000000001</v>
      </c>
      <c r="E188" s="21">
        <v>0.455731</v>
      </c>
      <c r="F188" s="21">
        <v>0.47578799999999999</v>
      </c>
      <c r="G188" s="21">
        <v>0.95240000000000002</v>
      </c>
      <c r="H188" s="21">
        <v>0.91669999999999996</v>
      </c>
      <c r="I188" s="21">
        <v>0.8</v>
      </c>
      <c r="J188" s="4" t="s">
        <v>350</v>
      </c>
    </row>
    <row r="189" spans="1:10">
      <c r="A189" s="4">
        <v>185</v>
      </c>
      <c r="B189" s="4" t="s">
        <v>354</v>
      </c>
      <c r="C189" s="4" t="s">
        <v>211</v>
      </c>
      <c r="D189" s="21">
        <v>0.41856700000000002</v>
      </c>
      <c r="E189" s="21">
        <v>0.482682</v>
      </c>
      <c r="F189" s="21">
        <v>0.45062400000000002</v>
      </c>
      <c r="G189" s="21">
        <v>0.95240000000000002</v>
      </c>
      <c r="H189" s="21">
        <v>0.91669999999999996</v>
      </c>
      <c r="I189" s="21">
        <v>0.8</v>
      </c>
      <c r="J189" s="4" t="s">
        <v>353</v>
      </c>
    </row>
    <row r="190" spans="1:10">
      <c r="A190" s="4">
        <v>186</v>
      </c>
      <c r="B190" s="4" t="s">
        <v>356</v>
      </c>
      <c r="C190" s="4" t="s">
        <v>103</v>
      </c>
      <c r="D190" s="21">
        <v>0.25061800000000001</v>
      </c>
      <c r="E190" s="21">
        <v>0.36215900000000001</v>
      </c>
      <c r="F190" s="21">
        <v>0.30638900000000002</v>
      </c>
      <c r="G190" s="21">
        <v>0.85</v>
      </c>
      <c r="H190" s="21">
        <v>0.58330000000000004</v>
      </c>
      <c r="I190" s="21">
        <v>0.2</v>
      </c>
      <c r="J190" s="4" t="s">
        <v>355</v>
      </c>
    </row>
    <row r="191" spans="1:10">
      <c r="A191" s="4">
        <v>187</v>
      </c>
      <c r="B191" s="4" t="s">
        <v>357</v>
      </c>
      <c r="C191" s="4" t="s">
        <v>103</v>
      </c>
      <c r="D191" s="21">
        <v>0.55773099999999998</v>
      </c>
      <c r="E191" s="21">
        <v>0.60029900000000003</v>
      </c>
      <c r="F191" s="21">
        <v>0.57901499999999995</v>
      </c>
      <c r="G191" s="21">
        <v>1</v>
      </c>
      <c r="H191" s="21">
        <v>1</v>
      </c>
      <c r="I191" s="21">
        <v>1</v>
      </c>
      <c r="J191" s="4" t="s">
        <v>355</v>
      </c>
    </row>
    <row r="192" spans="1:10">
      <c r="A192" s="4">
        <v>188</v>
      </c>
      <c r="B192" s="4" t="s">
        <v>358</v>
      </c>
      <c r="C192" s="4" t="s">
        <v>191</v>
      </c>
      <c r="D192" s="21">
        <v>0.58389199999999997</v>
      </c>
      <c r="E192" s="21">
        <v>0.641988</v>
      </c>
      <c r="F192" s="21">
        <v>0.61294000000000004</v>
      </c>
      <c r="G192" s="21">
        <v>1</v>
      </c>
      <c r="H192" s="21">
        <v>0.91669999999999996</v>
      </c>
      <c r="I192" s="21">
        <v>0.8</v>
      </c>
      <c r="J192" s="4" t="s">
        <v>355</v>
      </c>
    </row>
    <row r="193" spans="1:10">
      <c r="A193" s="4">
        <v>189</v>
      </c>
      <c r="B193" s="4" t="s">
        <v>359</v>
      </c>
      <c r="C193" s="4" t="s">
        <v>156</v>
      </c>
      <c r="D193" s="21">
        <v>0.34677799999999998</v>
      </c>
      <c r="E193" s="21">
        <v>0.37073600000000001</v>
      </c>
      <c r="F193" s="21">
        <v>0.35875699999999999</v>
      </c>
      <c r="G193" s="21">
        <v>1</v>
      </c>
      <c r="H193" s="21">
        <v>0.83330000000000004</v>
      </c>
      <c r="I193" s="21">
        <v>0.8</v>
      </c>
      <c r="J193" s="4" t="s">
        <v>355</v>
      </c>
    </row>
    <row r="194" spans="1:10">
      <c r="A194" s="4">
        <v>190</v>
      </c>
      <c r="B194" s="4" t="s">
        <v>360</v>
      </c>
      <c r="C194" s="4" t="s">
        <v>158</v>
      </c>
      <c r="D194" s="21">
        <v>0.35721000000000003</v>
      </c>
      <c r="E194" s="21">
        <v>0.41156700000000002</v>
      </c>
      <c r="F194" s="21">
        <v>0.38438899999999998</v>
      </c>
      <c r="G194" s="21">
        <v>1</v>
      </c>
      <c r="H194" s="21">
        <v>1</v>
      </c>
      <c r="I194" s="21">
        <v>1</v>
      </c>
      <c r="J194" s="4" t="s">
        <v>355</v>
      </c>
    </row>
    <row r="195" spans="1:10">
      <c r="A195" s="4">
        <v>191</v>
      </c>
      <c r="B195" s="4" t="s">
        <v>361</v>
      </c>
      <c r="C195" s="4" t="s">
        <v>141</v>
      </c>
      <c r="D195" s="21">
        <v>0.61180400000000001</v>
      </c>
      <c r="E195" s="21">
        <v>0.64103900000000003</v>
      </c>
      <c r="F195" s="21">
        <v>0.62642100000000001</v>
      </c>
      <c r="G195" s="21">
        <v>1</v>
      </c>
      <c r="H195" s="21">
        <v>0.91669999999999996</v>
      </c>
      <c r="I195" s="21">
        <v>0.8</v>
      </c>
      <c r="J195" s="4" t="s">
        <v>355</v>
      </c>
    </row>
    <row r="196" spans="1:10">
      <c r="A196" s="4">
        <v>192</v>
      </c>
      <c r="B196" s="4" t="s">
        <v>362</v>
      </c>
      <c r="C196" s="4" t="s">
        <v>161</v>
      </c>
      <c r="D196" s="21">
        <v>0.299095</v>
      </c>
      <c r="E196" s="21">
        <v>0.31616499999999997</v>
      </c>
      <c r="F196" s="21">
        <v>0.30763000000000001</v>
      </c>
      <c r="G196" s="21">
        <v>1</v>
      </c>
      <c r="H196" s="21">
        <v>1</v>
      </c>
      <c r="I196" s="21">
        <v>1</v>
      </c>
      <c r="J196" s="4" t="s">
        <v>355</v>
      </c>
    </row>
    <row r="197" spans="1:10">
      <c r="A197" s="4">
        <v>193</v>
      </c>
      <c r="B197" s="4" t="s">
        <v>363</v>
      </c>
      <c r="C197" s="4" t="s">
        <v>117</v>
      </c>
      <c r="D197" s="21">
        <v>0.46647499999999997</v>
      </c>
      <c r="E197" s="21">
        <v>0.48336299999999999</v>
      </c>
      <c r="F197" s="21">
        <v>0.47491899999999998</v>
      </c>
      <c r="G197" s="21">
        <v>1</v>
      </c>
      <c r="H197" s="21">
        <v>0.91669999999999996</v>
      </c>
      <c r="I197" s="21">
        <v>1</v>
      </c>
      <c r="J197" s="4" t="s">
        <v>355</v>
      </c>
    </row>
    <row r="198" spans="1:10">
      <c r="A198" s="4">
        <v>194</v>
      </c>
      <c r="B198" s="4" t="s">
        <v>364</v>
      </c>
      <c r="C198" s="4" t="s">
        <v>117</v>
      </c>
      <c r="D198" s="21">
        <v>0.60853800000000002</v>
      </c>
      <c r="E198" s="21">
        <v>0.60140499999999997</v>
      </c>
      <c r="F198" s="21">
        <v>0.60497100000000004</v>
      </c>
      <c r="G198" s="21">
        <v>0.95240000000000002</v>
      </c>
      <c r="H198" s="21">
        <v>1</v>
      </c>
      <c r="I198" s="21">
        <v>1</v>
      </c>
      <c r="J198" s="4" t="s">
        <v>355</v>
      </c>
    </row>
    <row r="199" spans="1:10">
      <c r="A199" s="4">
        <v>195</v>
      </c>
      <c r="B199" s="4" t="s">
        <v>365</v>
      </c>
      <c r="C199" s="4" t="s">
        <v>168</v>
      </c>
      <c r="D199" s="21">
        <v>0.66559599999999997</v>
      </c>
      <c r="E199" s="21">
        <v>0.61872700000000003</v>
      </c>
      <c r="F199" s="21">
        <v>0.64216099999999998</v>
      </c>
      <c r="G199" s="21">
        <v>1</v>
      </c>
      <c r="H199" s="21">
        <v>0.91669999999999996</v>
      </c>
      <c r="I199" s="21">
        <v>0.8</v>
      </c>
      <c r="J199" s="4" t="s">
        <v>355</v>
      </c>
    </row>
    <row r="200" spans="1:10">
      <c r="A200" s="4">
        <v>196</v>
      </c>
      <c r="B200" s="4" t="s">
        <v>366</v>
      </c>
      <c r="C200" s="4" t="s">
        <v>168</v>
      </c>
      <c r="D200" s="21">
        <v>0.57386999999999999</v>
      </c>
      <c r="E200" s="21">
        <v>0.56632000000000005</v>
      </c>
      <c r="F200" s="21">
        <v>0.57009500000000002</v>
      </c>
      <c r="G200" s="21">
        <v>0.95240000000000002</v>
      </c>
      <c r="H200" s="21">
        <v>1</v>
      </c>
      <c r="I200" s="21">
        <v>1</v>
      </c>
      <c r="J200" s="4" t="s">
        <v>355</v>
      </c>
    </row>
    <row r="201" spans="1:10">
      <c r="A201" s="4">
        <v>197</v>
      </c>
      <c r="B201" s="4" t="s">
        <v>367</v>
      </c>
      <c r="C201" s="4" t="s">
        <v>152</v>
      </c>
      <c r="D201" s="21">
        <v>0.47027799999999997</v>
      </c>
      <c r="E201" s="21">
        <v>0.470086</v>
      </c>
      <c r="F201" s="21">
        <v>0.47018199999999999</v>
      </c>
      <c r="G201" s="21">
        <v>1</v>
      </c>
      <c r="H201" s="21">
        <v>0.91669999999999996</v>
      </c>
      <c r="I201" s="21">
        <v>1</v>
      </c>
      <c r="J201" s="4" t="s">
        <v>355</v>
      </c>
    </row>
    <row r="202" spans="1:10">
      <c r="A202" s="4">
        <v>198</v>
      </c>
      <c r="B202" s="4" t="s">
        <v>368</v>
      </c>
      <c r="C202" s="4" t="s">
        <v>122</v>
      </c>
      <c r="D202" s="21">
        <v>0.49659199999999998</v>
      </c>
      <c r="E202" s="21">
        <v>0.47402499999999997</v>
      </c>
      <c r="F202" s="21">
        <v>0.48530800000000002</v>
      </c>
      <c r="G202" s="21">
        <v>0.8095</v>
      </c>
      <c r="H202" s="21">
        <v>0.91669999999999996</v>
      </c>
      <c r="I202" s="21">
        <v>1</v>
      </c>
      <c r="J202" s="4" t="s">
        <v>355</v>
      </c>
    </row>
    <row r="203" spans="1:10">
      <c r="A203" s="4">
        <v>199</v>
      </c>
      <c r="B203" s="4" t="s">
        <v>370</v>
      </c>
      <c r="C203" s="4" t="s">
        <v>125</v>
      </c>
      <c r="D203" s="21">
        <v>0.29491000000000001</v>
      </c>
      <c r="E203" s="21">
        <v>0.18220900000000001</v>
      </c>
      <c r="F203" s="21">
        <v>0.23855999999999999</v>
      </c>
      <c r="G203" s="21">
        <v>0.90480000000000005</v>
      </c>
      <c r="H203" s="21">
        <v>0.83330000000000004</v>
      </c>
      <c r="I203" s="21">
        <v>0.8</v>
      </c>
      <c r="J203" s="4" t="s">
        <v>355</v>
      </c>
    </row>
    <row r="204" spans="1:10">
      <c r="A204" s="4">
        <v>200</v>
      </c>
      <c r="B204" s="4" t="s">
        <v>371</v>
      </c>
      <c r="C204" s="4" t="s">
        <v>125</v>
      </c>
      <c r="D204" s="21">
        <v>0.52814000000000005</v>
      </c>
      <c r="E204" s="21">
        <v>0.493369</v>
      </c>
      <c r="F204" s="21">
        <v>0.51075499999999996</v>
      </c>
      <c r="G204" s="21">
        <v>0.95240000000000002</v>
      </c>
      <c r="H204" s="21">
        <v>0.91669999999999996</v>
      </c>
      <c r="I204" s="21">
        <v>0.8</v>
      </c>
      <c r="J204" s="4" t="s">
        <v>355</v>
      </c>
    </row>
    <row r="205" spans="1:10">
      <c r="A205" s="4"/>
      <c r="B205" s="4"/>
      <c r="C205" s="4"/>
      <c r="D205" s="4"/>
      <c r="E205" s="4"/>
      <c r="F205" s="4"/>
      <c r="G205" s="4"/>
      <c r="H205" s="4"/>
      <c r="I205" s="4"/>
      <c r="J205" s="4"/>
    </row>
    <row r="206" spans="1:10">
      <c r="A206" s="4"/>
      <c r="B206" s="5" t="s">
        <v>809</v>
      </c>
      <c r="C206" s="17">
        <f>COUNT(F5:F204)</f>
        <v>200</v>
      </c>
      <c r="D206" s="4"/>
      <c r="E206" s="4"/>
      <c r="F206" s="4"/>
      <c r="G206" s="4"/>
      <c r="H206" s="4"/>
      <c r="I206" s="4"/>
      <c r="J206" s="4"/>
    </row>
    <row r="207" spans="1:10">
      <c r="A207" s="4"/>
      <c r="B207" s="5" t="s">
        <v>927</v>
      </c>
      <c r="C207" s="17">
        <f>AVERAGE(D5:D204)</f>
        <v>0.50180614000000023</v>
      </c>
      <c r="D207" s="4"/>
      <c r="E207" s="4"/>
      <c r="F207" s="4"/>
      <c r="G207" s="4"/>
      <c r="H207" s="4"/>
      <c r="I207" s="4"/>
      <c r="J207" s="4"/>
    </row>
    <row r="208" spans="1:10">
      <c r="A208" s="4"/>
      <c r="B208" s="5" t="s">
        <v>928</v>
      </c>
      <c r="C208" s="17">
        <f>STDEVP(D5:D204)</f>
        <v>0.14260633442449247</v>
      </c>
      <c r="D208" s="4"/>
      <c r="E208" s="4"/>
      <c r="F208" s="4"/>
      <c r="G208" s="4"/>
      <c r="H208" s="4"/>
      <c r="I208" s="4"/>
      <c r="J208" s="4"/>
    </row>
    <row r="209" spans="1:10">
      <c r="A209" s="4"/>
      <c r="B209" s="5" t="s">
        <v>929</v>
      </c>
      <c r="C209" s="17">
        <f>AVERAGE(E5:E204)</f>
        <v>0.51145330499999997</v>
      </c>
      <c r="D209" s="4"/>
      <c r="E209" s="4"/>
      <c r="F209" s="4"/>
      <c r="G209" s="4"/>
      <c r="H209" s="4"/>
      <c r="I209" s="4"/>
      <c r="J209" s="4"/>
    </row>
    <row r="210" spans="1:10">
      <c r="A210" s="4"/>
      <c r="B210" s="5" t="s">
        <v>930</v>
      </c>
      <c r="C210" s="17">
        <f>STDEVP(E5:E204)</f>
        <v>0.13299201129192673</v>
      </c>
      <c r="D210" s="4"/>
      <c r="E210" s="4"/>
      <c r="F210" s="4"/>
      <c r="G210" s="4"/>
      <c r="H210" s="4"/>
      <c r="I210" s="4"/>
      <c r="J210" s="4"/>
    </row>
    <row r="211" spans="1:10">
      <c r="A211" s="4"/>
      <c r="B211" s="5" t="s">
        <v>931</v>
      </c>
      <c r="C211" s="17">
        <f>AVERAGE(F5:F204)</f>
        <v>0.50662971999999995</v>
      </c>
      <c r="D211" s="4"/>
      <c r="E211" s="4"/>
      <c r="F211" s="4"/>
      <c r="G211" s="4"/>
      <c r="H211" s="4"/>
      <c r="I211" s="4"/>
      <c r="J211" s="4"/>
    </row>
    <row r="212" spans="1:10">
      <c r="A212" s="4"/>
      <c r="B212" s="5" t="s">
        <v>932</v>
      </c>
      <c r="C212" s="17">
        <f>STDEVP(F5:F204)</f>
        <v>0.13482705632602734</v>
      </c>
      <c r="D212" s="4"/>
      <c r="E212" s="4"/>
      <c r="F212" s="4"/>
      <c r="G212" s="4"/>
      <c r="H212" s="4"/>
      <c r="I212" s="4"/>
      <c r="J212" s="4"/>
    </row>
    <row r="213" spans="1:10">
      <c r="A213" s="4"/>
      <c r="B213" s="5" t="s">
        <v>933</v>
      </c>
      <c r="C213" s="17">
        <f>MIN(F5:F204)</f>
        <v>-0.207817</v>
      </c>
      <c r="D213" s="4"/>
      <c r="E213" s="4"/>
      <c r="F213" s="4"/>
      <c r="G213" s="4"/>
      <c r="H213" s="4"/>
      <c r="I213" s="4"/>
      <c r="J213" s="4"/>
    </row>
    <row r="214" spans="1:10">
      <c r="A214" s="4"/>
      <c r="B214" s="5" t="s">
        <v>934</v>
      </c>
      <c r="C214" s="17">
        <f>MAX(F5:F204)</f>
        <v>0.75856299999999999</v>
      </c>
      <c r="D214" s="4"/>
      <c r="E214" s="4"/>
      <c r="F214" s="4"/>
      <c r="G214" s="4"/>
      <c r="H214" s="4"/>
      <c r="I214" s="4"/>
      <c r="J214" s="4"/>
    </row>
    <row r="215" spans="1:10">
      <c r="A215" s="4"/>
      <c r="B215" s="5" t="s">
        <v>935</v>
      </c>
      <c r="C215" s="17">
        <f>AVERAGE(G5:G204)</f>
        <v>0.9785295000000005</v>
      </c>
      <c r="D215" s="4"/>
      <c r="E215" s="4"/>
      <c r="F215" s="4"/>
      <c r="G215" s="4"/>
      <c r="H215" s="4"/>
      <c r="I215" s="4"/>
      <c r="J215" s="4"/>
    </row>
    <row r="216" spans="1:10">
      <c r="A216" s="4"/>
      <c r="B216" s="5" t="s">
        <v>936</v>
      </c>
      <c r="C216" s="17">
        <f>AVERAGE(H5:H204)</f>
        <v>0.93569299999999944</v>
      </c>
      <c r="D216" s="4"/>
      <c r="E216" s="4"/>
      <c r="F216" s="4"/>
      <c r="G216" s="4"/>
      <c r="H216" s="4"/>
      <c r="I216" s="4"/>
      <c r="J216" s="4"/>
    </row>
    <row r="217" spans="1:10">
      <c r="A217" s="4"/>
      <c r="B217" s="5" t="s">
        <v>937</v>
      </c>
      <c r="C217" s="17">
        <f>CORREL(D5:D204,E5:E204)</f>
        <v>0.91455267677811192</v>
      </c>
      <c r="D217" s="4"/>
      <c r="E217" s="4"/>
      <c r="F217" s="4"/>
      <c r="G217" s="4"/>
      <c r="H217" s="4"/>
      <c r="I217" s="4"/>
      <c r="J217" s="4"/>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dimension ref="A1:H976"/>
  <sheetViews>
    <sheetView workbookViewId="0"/>
  </sheetViews>
  <sheetFormatPr defaultColWidth="8.7109375" defaultRowHeight="15"/>
  <cols>
    <col min="1" max="1" width="16" customWidth="1"/>
    <col min="2" max="2" width="12" customWidth="1"/>
    <col min="3" max="3" width="22" customWidth="1"/>
    <col min="4" max="4" width="24" customWidth="1"/>
    <col min="5" max="5" width="16" customWidth="1"/>
    <col min="6" max="6" width="14" customWidth="1"/>
    <col min="7" max="7" width="16" customWidth="1"/>
    <col min="8" max="8" width="14" customWidth="1"/>
  </cols>
  <sheetData>
    <row r="1" spans="1:8" ht="15.75">
      <c r="A1" s="2" t="s">
        <v>962</v>
      </c>
      <c r="B1" s="4"/>
      <c r="C1" s="4"/>
      <c r="D1" s="4"/>
      <c r="E1" s="4"/>
      <c r="F1" s="4"/>
      <c r="G1" s="4"/>
      <c r="H1" s="4"/>
    </row>
    <row r="2" spans="1:8">
      <c r="A2" s="4" t="s">
        <v>963</v>
      </c>
      <c r="B2" s="4"/>
      <c r="C2" s="4"/>
      <c r="D2" s="4"/>
      <c r="E2" s="4"/>
      <c r="F2" s="4"/>
      <c r="G2" s="4"/>
      <c r="H2" s="4"/>
    </row>
    <row r="3" spans="1:8">
      <c r="A3" s="4"/>
      <c r="B3" s="4"/>
      <c r="C3" s="4"/>
      <c r="D3" s="4"/>
      <c r="E3" s="4"/>
      <c r="F3" s="4"/>
      <c r="G3" s="4"/>
      <c r="H3" s="4"/>
    </row>
    <row r="4" spans="1:8">
      <c r="A4" s="9" t="s">
        <v>964</v>
      </c>
      <c r="B4" s="9" t="s">
        <v>965</v>
      </c>
      <c r="C4" s="9" t="s">
        <v>793</v>
      </c>
      <c r="D4" s="9" t="s">
        <v>794</v>
      </c>
      <c r="E4" s="9" t="s">
        <v>459</v>
      </c>
      <c r="F4" s="9" t="s">
        <v>476</v>
      </c>
      <c r="G4" s="9" t="s">
        <v>480</v>
      </c>
      <c r="H4" s="9" t="s">
        <v>484</v>
      </c>
    </row>
    <row r="5" spans="1:8">
      <c r="A5" s="4" t="s">
        <v>829</v>
      </c>
      <c r="B5" s="4">
        <v>1</v>
      </c>
      <c r="C5" s="21">
        <v>-0.99836499999999995</v>
      </c>
      <c r="D5" s="21">
        <v>-0.39300200000000002</v>
      </c>
      <c r="E5" s="21">
        <v>-0.69568300000000005</v>
      </c>
      <c r="F5" s="21">
        <v>0.14285700000000001</v>
      </c>
      <c r="G5" s="21">
        <v>0.16666700000000001</v>
      </c>
      <c r="H5" s="21">
        <v>0.2</v>
      </c>
    </row>
    <row r="6" spans="1:8">
      <c r="A6" s="4" t="s">
        <v>829</v>
      </c>
      <c r="B6" s="4">
        <v>2</v>
      </c>
      <c r="C6" s="21">
        <v>-0.58248699999999998</v>
      </c>
      <c r="D6" s="21">
        <v>-0.453401</v>
      </c>
      <c r="E6" s="21">
        <v>-0.51794399999999996</v>
      </c>
      <c r="F6" s="21">
        <v>0.33333299999999999</v>
      </c>
      <c r="G6" s="21">
        <v>0.25</v>
      </c>
      <c r="H6" s="21">
        <v>0.2</v>
      </c>
    </row>
    <row r="7" spans="1:8">
      <c r="A7" s="4" t="s">
        <v>829</v>
      </c>
      <c r="B7" s="4">
        <v>3</v>
      </c>
      <c r="C7" s="21">
        <v>-0.59631100000000004</v>
      </c>
      <c r="D7" s="21">
        <v>-0.30069499999999999</v>
      </c>
      <c r="E7" s="21">
        <v>-0.44850299999999999</v>
      </c>
      <c r="F7" s="21">
        <v>0.33333299999999999</v>
      </c>
      <c r="G7" s="21">
        <v>0.33333299999999999</v>
      </c>
      <c r="H7" s="21">
        <v>0.8</v>
      </c>
    </row>
    <row r="8" spans="1:8">
      <c r="A8" s="4" t="s">
        <v>829</v>
      </c>
      <c r="B8" s="4">
        <v>4</v>
      </c>
      <c r="C8" s="21">
        <v>-0.71405799999999997</v>
      </c>
      <c r="D8" s="21">
        <v>-0.40474500000000002</v>
      </c>
      <c r="E8" s="21">
        <v>-0.55940100000000004</v>
      </c>
      <c r="F8" s="21">
        <v>0.238095</v>
      </c>
      <c r="G8" s="21">
        <v>0.25</v>
      </c>
      <c r="H8" s="21">
        <v>0</v>
      </c>
    </row>
    <row r="9" spans="1:8">
      <c r="A9" s="4" t="s">
        <v>829</v>
      </c>
      <c r="B9" s="4">
        <v>5</v>
      </c>
      <c r="C9" s="21">
        <v>-0.77277499999999999</v>
      </c>
      <c r="D9" s="21">
        <v>-0.28903899999999999</v>
      </c>
      <c r="E9" s="21">
        <v>-0.53090700000000002</v>
      </c>
      <c r="F9" s="21">
        <v>0.47619</v>
      </c>
      <c r="G9" s="21">
        <v>0.16666700000000001</v>
      </c>
      <c r="H9" s="21">
        <v>0</v>
      </c>
    </row>
    <row r="10" spans="1:8">
      <c r="A10" s="4" t="s">
        <v>829</v>
      </c>
      <c r="B10" s="4">
        <v>6</v>
      </c>
      <c r="C10" s="21">
        <v>-0.80991400000000002</v>
      </c>
      <c r="D10" s="21">
        <v>-0.44356800000000002</v>
      </c>
      <c r="E10" s="21">
        <v>-0.62674099999999999</v>
      </c>
      <c r="F10" s="21">
        <v>0.19047600000000001</v>
      </c>
      <c r="G10" s="21">
        <v>0.16666700000000001</v>
      </c>
      <c r="H10" s="21">
        <v>0.2</v>
      </c>
    </row>
    <row r="11" spans="1:8">
      <c r="A11" s="4" t="s">
        <v>829</v>
      </c>
      <c r="B11" s="4">
        <v>7</v>
      </c>
      <c r="C11" s="21">
        <v>-0.93954000000000004</v>
      </c>
      <c r="D11" s="21">
        <v>-0.51138499999999998</v>
      </c>
      <c r="E11" s="21">
        <v>-0.72546200000000005</v>
      </c>
      <c r="F11" s="21">
        <v>0.52381</v>
      </c>
      <c r="G11" s="21">
        <v>0.25</v>
      </c>
      <c r="H11" s="21">
        <v>0</v>
      </c>
    </row>
    <row r="12" spans="1:8">
      <c r="A12" s="4" t="s">
        <v>829</v>
      </c>
      <c r="B12" s="4">
        <v>8</v>
      </c>
      <c r="C12" s="21">
        <v>-0.45724199999999998</v>
      </c>
      <c r="D12" s="21">
        <v>-0.23661599999999999</v>
      </c>
      <c r="E12" s="21">
        <v>-0.34692899999999999</v>
      </c>
      <c r="F12" s="21">
        <v>0.52381</v>
      </c>
      <c r="G12" s="21">
        <v>0.33333299999999999</v>
      </c>
      <c r="H12" s="21">
        <v>0</v>
      </c>
    </row>
    <row r="13" spans="1:8">
      <c r="A13" s="4" t="s">
        <v>829</v>
      </c>
      <c r="B13" s="4">
        <v>9</v>
      </c>
      <c r="C13" s="21">
        <v>-1.0644089999999999</v>
      </c>
      <c r="D13" s="21">
        <v>-0.42353000000000002</v>
      </c>
      <c r="E13" s="21">
        <v>-0.74397000000000002</v>
      </c>
      <c r="F13" s="21">
        <v>0.47619</v>
      </c>
      <c r="G13" s="21">
        <v>0</v>
      </c>
      <c r="H13" s="21">
        <v>0</v>
      </c>
    </row>
    <row r="14" spans="1:8">
      <c r="A14" s="4" t="s">
        <v>829</v>
      </c>
      <c r="B14" s="4">
        <v>10</v>
      </c>
      <c r="C14" s="21">
        <v>-0.67568799999999996</v>
      </c>
      <c r="D14" s="21">
        <v>-0.45980500000000002</v>
      </c>
      <c r="E14" s="21">
        <v>-0.567747</v>
      </c>
      <c r="F14" s="21">
        <v>0.47619</v>
      </c>
      <c r="G14" s="21">
        <v>0.41666700000000001</v>
      </c>
      <c r="H14" s="21">
        <v>0.4</v>
      </c>
    </row>
    <row r="15" spans="1:8">
      <c r="A15" s="4" t="s">
        <v>830</v>
      </c>
      <c r="B15" s="4">
        <v>1</v>
      </c>
      <c r="C15" s="21">
        <v>-0.73235300000000003</v>
      </c>
      <c r="D15" s="21">
        <v>-0.364456</v>
      </c>
      <c r="E15" s="21">
        <v>-0.54840500000000003</v>
      </c>
      <c r="F15" s="21">
        <v>0.38095200000000001</v>
      </c>
      <c r="G15" s="21">
        <v>0.25</v>
      </c>
      <c r="H15" s="21">
        <v>0</v>
      </c>
    </row>
    <row r="16" spans="1:8">
      <c r="A16" s="4" t="s">
        <v>830</v>
      </c>
      <c r="B16" s="4">
        <v>2</v>
      </c>
      <c r="C16" s="21">
        <v>-1.051801</v>
      </c>
      <c r="D16" s="21">
        <v>-0.49640400000000001</v>
      </c>
      <c r="E16" s="21">
        <v>-0.77410199999999996</v>
      </c>
      <c r="F16" s="21">
        <v>0.28571400000000002</v>
      </c>
      <c r="G16" s="21">
        <v>0.16666700000000001</v>
      </c>
      <c r="H16" s="21">
        <v>0.2</v>
      </c>
    </row>
    <row r="17" spans="1:8">
      <c r="A17" s="4" t="s">
        <v>830</v>
      </c>
      <c r="B17" s="4">
        <v>3</v>
      </c>
      <c r="C17" s="21">
        <v>-0.81096199999999996</v>
      </c>
      <c r="D17" s="21">
        <v>-0.41729300000000003</v>
      </c>
      <c r="E17" s="21">
        <v>-0.61412699999999998</v>
      </c>
      <c r="F17" s="21">
        <v>0.38095200000000001</v>
      </c>
      <c r="G17" s="21">
        <v>0.16666700000000001</v>
      </c>
      <c r="H17" s="21">
        <v>0.2</v>
      </c>
    </row>
    <row r="18" spans="1:8">
      <c r="A18" s="4" t="s">
        <v>830</v>
      </c>
      <c r="B18" s="4">
        <v>4</v>
      </c>
      <c r="C18" s="21">
        <v>-0.65790999999999999</v>
      </c>
      <c r="D18" s="21">
        <v>-0.33571600000000001</v>
      </c>
      <c r="E18" s="21">
        <v>-0.496813</v>
      </c>
      <c r="F18" s="21">
        <v>0.57142899999999996</v>
      </c>
      <c r="G18" s="21">
        <v>0.41666700000000001</v>
      </c>
      <c r="H18" s="21">
        <v>0.6</v>
      </c>
    </row>
    <row r="19" spans="1:8">
      <c r="A19" s="4" t="s">
        <v>830</v>
      </c>
      <c r="B19" s="4">
        <v>5</v>
      </c>
      <c r="C19" s="21">
        <v>-0.67995899999999998</v>
      </c>
      <c r="D19" s="21">
        <v>-0.53695400000000004</v>
      </c>
      <c r="E19" s="21">
        <v>-0.60845700000000003</v>
      </c>
      <c r="F19" s="21">
        <v>0.52381</v>
      </c>
      <c r="G19" s="21">
        <v>0.41666700000000001</v>
      </c>
      <c r="H19" s="21">
        <v>0.2</v>
      </c>
    </row>
    <row r="20" spans="1:8">
      <c r="A20" s="4" t="s">
        <v>830</v>
      </c>
      <c r="B20" s="4">
        <v>6</v>
      </c>
      <c r="C20" s="21">
        <v>-0.83245199999999997</v>
      </c>
      <c r="D20" s="21">
        <v>-0.43281700000000001</v>
      </c>
      <c r="E20" s="21">
        <v>-0.63263400000000003</v>
      </c>
      <c r="F20" s="21">
        <v>0.42857099999999998</v>
      </c>
      <c r="G20" s="21">
        <v>0.33333299999999999</v>
      </c>
      <c r="H20" s="21">
        <v>0.2</v>
      </c>
    </row>
    <row r="21" spans="1:8">
      <c r="A21" s="4" t="s">
        <v>830</v>
      </c>
      <c r="B21" s="4">
        <v>7</v>
      </c>
      <c r="C21" s="21">
        <v>-0.65086200000000005</v>
      </c>
      <c r="D21" s="21">
        <v>-0.48324800000000001</v>
      </c>
      <c r="E21" s="21">
        <v>-0.56705499999999998</v>
      </c>
      <c r="F21" s="21">
        <v>0.38095200000000001</v>
      </c>
      <c r="G21" s="21">
        <v>0.33333299999999999</v>
      </c>
      <c r="H21" s="21">
        <v>0.4</v>
      </c>
    </row>
    <row r="22" spans="1:8">
      <c r="A22" s="4" t="s">
        <v>830</v>
      </c>
      <c r="B22" s="4">
        <v>8</v>
      </c>
      <c r="C22" s="21">
        <v>-0.63103100000000001</v>
      </c>
      <c r="D22" s="21">
        <v>-0.36134300000000003</v>
      </c>
      <c r="E22" s="21">
        <v>-0.49618699999999999</v>
      </c>
      <c r="F22" s="21">
        <v>0.33333299999999999</v>
      </c>
      <c r="G22" s="21">
        <v>0.16666700000000001</v>
      </c>
      <c r="H22" s="21">
        <v>0.2</v>
      </c>
    </row>
    <row r="23" spans="1:8">
      <c r="A23" s="4" t="s">
        <v>830</v>
      </c>
      <c r="B23" s="4">
        <v>9</v>
      </c>
      <c r="C23" s="21">
        <v>-0.95499699999999998</v>
      </c>
      <c r="D23" s="21">
        <v>-0.42975000000000002</v>
      </c>
      <c r="E23" s="21">
        <v>-0.69237400000000004</v>
      </c>
      <c r="F23" s="21">
        <v>0.38095200000000001</v>
      </c>
      <c r="G23" s="21">
        <v>8.3333000000000004E-2</v>
      </c>
      <c r="H23" s="21">
        <v>0.2</v>
      </c>
    </row>
    <row r="24" spans="1:8">
      <c r="A24" s="4" t="s">
        <v>830</v>
      </c>
      <c r="B24" s="4">
        <v>10</v>
      </c>
      <c r="C24" s="21">
        <v>-0.72667300000000001</v>
      </c>
      <c r="D24" s="21">
        <v>-0.38251299999999999</v>
      </c>
      <c r="E24" s="21">
        <v>-0.554593</v>
      </c>
      <c r="F24" s="21">
        <v>0.42857099999999998</v>
      </c>
      <c r="G24" s="21">
        <v>0.16666700000000001</v>
      </c>
      <c r="H24" s="21">
        <v>0.2</v>
      </c>
    </row>
    <row r="25" spans="1:8">
      <c r="A25" s="4" t="s">
        <v>831</v>
      </c>
      <c r="B25" s="4">
        <v>1</v>
      </c>
      <c r="C25" s="21">
        <v>-0.93084</v>
      </c>
      <c r="D25" s="21">
        <v>-0.55862999999999996</v>
      </c>
      <c r="E25" s="21">
        <v>-0.74473500000000004</v>
      </c>
      <c r="F25" s="21">
        <v>0.33333299999999999</v>
      </c>
      <c r="G25" s="21">
        <v>0.25</v>
      </c>
      <c r="H25" s="21">
        <v>0.4</v>
      </c>
    </row>
    <row r="26" spans="1:8">
      <c r="A26" s="4" t="s">
        <v>831</v>
      </c>
      <c r="B26" s="4">
        <v>2</v>
      </c>
      <c r="C26" s="21">
        <v>-0.68351200000000001</v>
      </c>
      <c r="D26" s="21">
        <v>-0.4133</v>
      </c>
      <c r="E26" s="21">
        <v>-0.54840599999999995</v>
      </c>
      <c r="F26" s="21">
        <v>0.28571400000000002</v>
      </c>
      <c r="G26" s="21">
        <v>0.41666700000000001</v>
      </c>
      <c r="H26" s="21">
        <v>0.4</v>
      </c>
    </row>
    <row r="27" spans="1:8">
      <c r="A27" s="4" t="s">
        <v>831</v>
      </c>
      <c r="B27" s="4">
        <v>3</v>
      </c>
      <c r="C27" s="21">
        <v>-1.0419780000000001</v>
      </c>
      <c r="D27" s="21">
        <v>-0.48276999999999998</v>
      </c>
      <c r="E27" s="21">
        <v>-0.762374</v>
      </c>
      <c r="F27" s="21">
        <v>0.38095200000000001</v>
      </c>
      <c r="G27" s="21">
        <v>0.16666700000000001</v>
      </c>
      <c r="H27" s="21">
        <v>0.2</v>
      </c>
    </row>
    <row r="28" spans="1:8">
      <c r="A28" s="4" t="s">
        <v>831</v>
      </c>
      <c r="B28" s="4">
        <v>4</v>
      </c>
      <c r="C28" s="21">
        <v>-0.57528299999999999</v>
      </c>
      <c r="D28" s="21">
        <v>-0.39607500000000001</v>
      </c>
      <c r="E28" s="21">
        <v>-0.48567900000000003</v>
      </c>
      <c r="F28" s="21">
        <v>0.38095200000000001</v>
      </c>
      <c r="G28" s="21">
        <v>0.16666700000000001</v>
      </c>
      <c r="H28" s="21">
        <v>0.2</v>
      </c>
    </row>
    <row r="29" spans="1:8">
      <c r="A29" s="4" t="s">
        <v>831</v>
      </c>
      <c r="B29" s="4">
        <v>5</v>
      </c>
      <c r="C29" s="21">
        <v>-0.77341199999999999</v>
      </c>
      <c r="D29" s="21">
        <v>-0.42420400000000003</v>
      </c>
      <c r="E29" s="21">
        <v>-0.59880800000000001</v>
      </c>
      <c r="F29" s="21">
        <v>0.52381</v>
      </c>
      <c r="G29" s="21">
        <v>0.33333299999999999</v>
      </c>
      <c r="H29" s="21">
        <v>0</v>
      </c>
    </row>
    <row r="30" spans="1:8">
      <c r="A30" s="4" t="s">
        <v>831</v>
      </c>
      <c r="B30" s="4">
        <v>6</v>
      </c>
      <c r="C30" s="21">
        <v>-0.73876699999999995</v>
      </c>
      <c r="D30" s="21">
        <v>-0.45641199999999998</v>
      </c>
      <c r="E30" s="21">
        <v>-0.59758900000000004</v>
      </c>
      <c r="F30" s="21">
        <v>0.28571400000000002</v>
      </c>
      <c r="G30" s="21">
        <v>0.33333299999999999</v>
      </c>
      <c r="H30" s="21">
        <v>0.4</v>
      </c>
    </row>
    <row r="31" spans="1:8">
      <c r="A31" s="4" t="s">
        <v>831</v>
      </c>
      <c r="B31" s="4">
        <v>7</v>
      </c>
      <c r="C31" s="21">
        <v>-0.83785399999999999</v>
      </c>
      <c r="D31" s="21">
        <v>-0.50787800000000005</v>
      </c>
      <c r="E31" s="21">
        <v>-0.67286599999999996</v>
      </c>
      <c r="F31" s="21">
        <v>0.38095200000000001</v>
      </c>
      <c r="G31" s="21">
        <v>0.16666700000000001</v>
      </c>
      <c r="H31" s="21">
        <v>0.2</v>
      </c>
    </row>
    <row r="32" spans="1:8">
      <c r="A32" s="4" t="s">
        <v>831</v>
      </c>
      <c r="B32" s="4">
        <v>8</v>
      </c>
      <c r="C32" s="21">
        <v>-0.93775500000000001</v>
      </c>
      <c r="D32" s="21">
        <v>-0.505409</v>
      </c>
      <c r="E32" s="21">
        <v>-0.72158199999999995</v>
      </c>
      <c r="F32" s="21">
        <v>0.38095200000000001</v>
      </c>
      <c r="G32" s="21">
        <v>0.33333299999999999</v>
      </c>
      <c r="H32" s="21">
        <v>0.4</v>
      </c>
    </row>
    <row r="33" spans="1:8">
      <c r="A33" s="4" t="s">
        <v>831</v>
      </c>
      <c r="B33" s="4">
        <v>9</v>
      </c>
      <c r="C33" s="21">
        <v>-0.67510599999999998</v>
      </c>
      <c r="D33" s="21">
        <v>-0.28445900000000002</v>
      </c>
      <c r="E33" s="21">
        <v>-0.47978300000000002</v>
      </c>
      <c r="F33" s="21">
        <v>0.19047600000000001</v>
      </c>
      <c r="G33" s="21">
        <v>0.16666700000000001</v>
      </c>
      <c r="H33" s="21">
        <v>0.2</v>
      </c>
    </row>
    <row r="34" spans="1:8">
      <c r="A34" s="4" t="s">
        <v>831</v>
      </c>
      <c r="B34" s="4">
        <v>10</v>
      </c>
      <c r="C34" s="21">
        <v>-0.955766</v>
      </c>
      <c r="D34" s="21">
        <v>-0.41360799999999998</v>
      </c>
      <c r="E34" s="21">
        <v>-0.68468700000000005</v>
      </c>
      <c r="F34" s="21">
        <v>0.52381</v>
      </c>
      <c r="G34" s="21">
        <v>0.16666700000000001</v>
      </c>
      <c r="H34" s="21">
        <v>0.2</v>
      </c>
    </row>
    <row r="35" spans="1:8">
      <c r="A35" s="4" t="s">
        <v>833</v>
      </c>
      <c r="B35" s="4">
        <v>1</v>
      </c>
      <c r="C35" s="21">
        <v>-0.88718799999999998</v>
      </c>
      <c r="D35" s="21">
        <v>-0.48228700000000002</v>
      </c>
      <c r="E35" s="21">
        <v>-0.68473799999999996</v>
      </c>
      <c r="F35" s="21">
        <v>0.47619</v>
      </c>
      <c r="G35" s="21">
        <v>0.5</v>
      </c>
      <c r="H35" s="21">
        <v>0.8</v>
      </c>
    </row>
    <row r="36" spans="1:8">
      <c r="A36" s="4" t="s">
        <v>833</v>
      </c>
      <c r="B36" s="4">
        <v>2</v>
      </c>
      <c r="C36" s="21">
        <v>-0.60686499999999999</v>
      </c>
      <c r="D36" s="21">
        <v>-0.38392999999999999</v>
      </c>
      <c r="E36" s="21">
        <v>-0.49539699999999998</v>
      </c>
      <c r="F36" s="21">
        <v>0.38095200000000001</v>
      </c>
      <c r="G36" s="21">
        <v>0.25</v>
      </c>
      <c r="H36" s="21">
        <v>0.2</v>
      </c>
    </row>
    <row r="37" spans="1:8">
      <c r="A37" s="4" t="s">
        <v>833</v>
      </c>
      <c r="B37" s="4">
        <v>3</v>
      </c>
      <c r="C37" s="21">
        <v>-0.70345299999999999</v>
      </c>
      <c r="D37" s="21">
        <v>-0.51371900000000004</v>
      </c>
      <c r="E37" s="21">
        <v>-0.60858599999999996</v>
      </c>
      <c r="F37" s="21">
        <v>0.14285700000000001</v>
      </c>
      <c r="G37" s="21">
        <v>0.33333299999999999</v>
      </c>
      <c r="H37" s="21">
        <v>0.2</v>
      </c>
    </row>
    <row r="38" spans="1:8">
      <c r="A38" s="4" t="s">
        <v>833</v>
      </c>
      <c r="B38" s="4">
        <v>4</v>
      </c>
      <c r="C38" s="21">
        <v>-0.44958700000000001</v>
      </c>
      <c r="D38" s="21">
        <v>-0.33175399999999999</v>
      </c>
      <c r="E38" s="21">
        <v>-0.39067099999999999</v>
      </c>
      <c r="F38" s="21">
        <v>0.42857099999999998</v>
      </c>
      <c r="G38" s="21">
        <v>0.41666700000000001</v>
      </c>
      <c r="H38" s="21">
        <v>0.4</v>
      </c>
    </row>
    <row r="39" spans="1:8">
      <c r="A39" s="4" t="s">
        <v>833</v>
      </c>
      <c r="B39" s="4">
        <v>5</v>
      </c>
      <c r="C39" s="21">
        <v>-0.86469300000000004</v>
      </c>
      <c r="D39" s="21">
        <v>-0.29847400000000002</v>
      </c>
      <c r="E39" s="21">
        <v>-0.58158399999999999</v>
      </c>
      <c r="F39" s="21">
        <v>0.66666700000000001</v>
      </c>
      <c r="G39" s="21">
        <v>0.33333299999999999</v>
      </c>
      <c r="H39" s="21">
        <v>0.2</v>
      </c>
    </row>
    <row r="40" spans="1:8">
      <c r="A40" s="4" t="s">
        <v>833</v>
      </c>
      <c r="B40" s="4">
        <v>6</v>
      </c>
      <c r="C40" s="21">
        <v>-0.72316000000000003</v>
      </c>
      <c r="D40" s="21">
        <v>-0.46672000000000002</v>
      </c>
      <c r="E40" s="21">
        <v>-0.59494000000000002</v>
      </c>
      <c r="F40" s="21">
        <v>0.42857099999999998</v>
      </c>
      <c r="G40" s="21">
        <v>0.41666700000000001</v>
      </c>
      <c r="H40" s="21">
        <v>0.4</v>
      </c>
    </row>
    <row r="41" spans="1:8">
      <c r="A41" s="4" t="s">
        <v>833</v>
      </c>
      <c r="B41" s="4">
        <v>7</v>
      </c>
      <c r="C41" s="21">
        <v>-0.69901800000000003</v>
      </c>
      <c r="D41" s="21">
        <v>-0.60148000000000001</v>
      </c>
      <c r="E41" s="21">
        <v>-0.65024899999999997</v>
      </c>
      <c r="F41" s="21">
        <v>0.28571400000000002</v>
      </c>
      <c r="G41" s="21">
        <v>0.25</v>
      </c>
      <c r="H41" s="21">
        <v>0.4</v>
      </c>
    </row>
    <row r="42" spans="1:8">
      <c r="A42" s="4" t="s">
        <v>833</v>
      </c>
      <c r="B42" s="4">
        <v>8</v>
      </c>
      <c r="C42" s="21">
        <v>-0.91439400000000004</v>
      </c>
      <c r="D42" s="21">
        <v>-0.41184500000000002</v>
      </c>
      <c r="E42" s="21">
        <v>-0.66311900000000001</v>
      </c>
      <c r="F42" s="21">
        <v>0.52381</v>
      </c>
      <c r="G42" s="21">
        <v>0.16666700000000001</v>
      </c>
      <c r="H42" s="21">
        <v>0</v>
      </c>
    </row>
    <row r="43" spans="1:8">
      <c r="A43" s="4" t="s">
        <v>833</v>
      </c>
      <c r="B43" s="4">
        <v>9</v>
      </c>
      <c r="C43" s="21">
        <v>-0.60821899999999995</v>
      </c>
      <c r="D43" s="21">
        <v>-0.43770599999999998</v>
      </c>
      <c r="E43" s="21">
        <v>-0.52296299999999996</v>
      </c>
      <c r="F43" s="21">
        <v>0.28571400000000002</v>
      </c>
      <c r="G43" s="21">
        <v>0.41666700000000001</v>
      </c>
      <c r="H43" s="21">
        <v>0.8</v>
      </c>
    </row>
    <row r="44" spans="1:8">
      <c r="A44" s="4" t="s">
        <v>833</v>
      </c>
      <c r="B44" s="4">
        <v>10</v>
      </c>
      <c r="C44" s="21">
        <v>-0.51422400000000001</v>
      </c>
      <c r="D44" s="21">
        <v>-0.42144500000000001</v>
      </c>
      <c r="E44" s="21">
        <v>-0.46783400000000003</v>
      </c>
      <c r="F44" s="21">
        <v>0.57142899999999996</v>
      </c>
      <c r="G44" s="21">
        <v>0.33333299999999999</v>
      </c>
      <c r="H44" s="21">
        <v>0.4</v>
      </c>
    </row>
    <row r="45" spans="1:8">
      <c r="A45" s="4" t="s">
        <v>834</v>
      </c>
      <c r="B45" s="4">
        <v>1</v>
      </c>
      <c r="C45" s="21">
        <v>-0.60008600000000001</v>
      </c>
      <c r="D45" s="21">
        <v>-0.25500099999999998</v>
      </c>
      <c r="E45" s="21">
        <v>-0.42754300000000001</v>
      </c>
      <c r="F45" s="21">
        <v>0.42857099999999998</v>
      </c>
      <c r="G45" s="21">
        <v>0.33333299999999999</v>
      </c>
      <c r="H45" s="21">
        <v>0.2</v>
      </c>
    </row>
    <row r="46" spans="1:8">
      <c r="A46" s="4" t="s">
        <v>834</v>
      </c>
      <c r="B46" s="4">
        <v>2</v>
      </c>
      <c r="C46" s="21">
        <v>-0.64212999999999998</v>
      </c>
      <c r="D46" s="21">
        <v>-0.33637899999999998</v>
      </c>
      <c r="E46" s="21">
        <v>-0.489255</v>
      </c>
      <c r="F46" s="21">
        <v>0.33333299999999999</v>
      </c>
      <c r="G46" s="21">
        <v>0.5</v>
      </c>
      <c r="H46" s="21">
        <v>0.4</v>
      </c>
    </row>
    <row r="47" spans="1:8">
      <c r="A47" s="4" t="s">
        <v>834</v>
      </c>
      <c r="B47" s="4">
        <v>3</v>
      </c>
      <c r="C47" s="21">
        <v>-0.83330599999999999</v>
      </c>
      <c r="D47" s="21">
        <v>-0.59398399999999996</v>
      </c>
      <c r="E47" s="21">
        <v>-0.71364499999999997</v>
      </c>
      <c r="F47" s="21">
        <v>0.33333299999999999</v>
      </c>
      <c r="G47" s="21">
        <v>0.33333299999999999</v>
      </c>
      <c r="H47" s="21">
        <v>0.4</v>
      </c>
    </row>
    <row r="48" spans="1:8">
      <c r="A48" s="4" t="s">
        <v>834</v>
      </c>
      <c r="B48" s="4">
        <v>4</v>
      </c>
      <c r="C48" s="21">
        <v>-0.54865900000000001</v>
      </c>
      <c r="D48" s="21">
        <v>-0.39592500000000003</v>
      </c>
      <c r="E48" s="21">
        <v>-0.47229199999999999</v>
      </c>
      <c r="F48" s="21">
        <v>0.42857099999999998</v>
      </c>
      <c r="G48" s="21">
        <v>0.5</v>
      </c>
      <c r="H48" s="21">
        <v>0.2</v>
      </c>
    </row>
    <row r="49" spans="1:8">
      <c r="A49" s="4" t="s">
        <v>834</v>
      </c>
      <c r="B49" s="4">
        <v>5</v>
      </c>
      <c r="C49" s="21">
        <v>-0.89922500000000005</v>
      </c>
      <c r="D49" s="21">
        <v>-0.34115000000000001</v>
      </c>
      <c r="E49" s="21">
        <v>-0.62018799999999996</v>
      </c>
      <c r="F49" s="21">
        <v>0.238095</v>
      </c>
      <c r="G49" s="21">
        <v>8.3333000000000004E-2</v>
      </c>
      <c r="H49" s="21">
        <v>0</v>
      </c>
    </row>
    <row r="50" spans="1:8">
      <c r="A50" s="4" t="s">
        <v>834</v>
      </c>
      <c r="B50" s="4">
        <v>6</v>
      </c>
      <c r="C50" s="21">
        <v>-0.90408100000000002</v>
      </c>
      <c r="D50" s="21">
        <v>-0.47296100000000002</v>
      </c>
      <c r="E50" s="21">
        <v>-0.68852100000000005</v>
      </c>
      <c r="F50" s="21">
        <v>0.47619</v>
      </c>
      <c r="G50" s="21">
        <v>0.16666700000000001</v>
      </c>
      <c r="H50" s="21">
        <v>0.2</v>
      </c>
    </row>
    <row r="51" spans="1:8">
      <c r="A51" s="4" t="s">
        <v>834</v>
      </c>
      <c r="B51" s="4">
        <v>7</v>
      </c>
      <c r="C51" s="21">
        <v>-0.54086199999999995</v>
      </c>
      <c r="D51" s="21">
        <v>-0.41104499999999999</v>
      </c>
      <c r="E51" s="21">
        <v>-0.47595399999999999</v>
      </c>
      <c r="F51" s="21">
        <v>0.47619</v>
      </c>
      <c r="G51" s="21">
        <v>0.33333299999999999</v>
      </c>
      <c r="H51" s="21">
        <v>0.2</v>
      </c>
    </row>
    <row r="52" spans="1:8">
      <c r="A52" s="4" t="s">
        <v>834</v>
      </c>
      <c r="B52" s="4">
        <v>8</v>
      </c>
      <c r="C52" s="21">
        <v>-0.71435199999999999</v>
      </c>
      <c r="D52" s="21">
        <v>-0.33921200000000001</v>
      </c>
      <c r="E52" s="21">
        <v>-0.52678199999999997</v>
      </c>
      <c r="F52" s="21">
        <v>0.238095</v>
      </c>
      <c r="G52" s="21">
        <v>0.25</v>
      </c>
      <c r="H52" s="21">
        <v>0.4</v>
      </c>
    </row>
    <row r="53" spans="1:8">
      <c r="A53" s="4" t="s">
        <v>834</v>
      </c>
      <c r="B53" s="4">
        <v>9</v>
      </c>
      <c r="C53" s="21">
        <v>-0.91449800000000003</v>
      </c>
      <c r="D53" s="21">
        <v>-0.47337200000000001</v>
      </c>
      <c r="E53" s="21">
        <v>-0.69393499999999997</v>
      </c>
      <c r="F53" s="21">
        <v>0.28571400000000002</v>
      </c>
      <c r="G53" s="21">
        <v>0.16666700000000001</v>
      </c>
      <c r="H53" s="21">
        <v>0.2</v>
      </c>
    </row>
    <row r="54" spans="1:8">
      <c r="A54" s="4" t="s">
        <v>834</v>
      </c>
      <c r="B54" s="4">
        <v>10</v>
      </c>
      <c r="C54" s="21">
        <v>-1.0087759999999999</v>
      </c>
      <c r="D54" s="21">
        <v>-0.36992000000000003</v>
      </c>
      <c r="E54" s="21">
        <v>-0.68934799999999996</v>
      </c>
      <c r="F54" s="21">
        <v>0.47619</v>
      </c>
      <c r="G54" s="21">
        <v>8.3333000000000004E-2</v>
      </c>
      <c r="H54" s="21">
        <v>0</v>
      </c>
    </row>
    <row r="55" spans="1:8">
      <c r="A55" s="4" t="s">
        <v>835</v>
      </c>
      <c r="B55" s="4">
        <v>1</v>
      </c>
      <c r="C55" s="21">
        <v>-0.59279300000000001</v>
      </c>
      <c r="D55" s="21">
        <v>-0.34669</v>
      </c>
      <c r="E55" s="21">
        <v>-0.46974199999999999</v>
      </c>
      <c r="F55" s="21">
        <v>0.238095</v>
      </c>
      <c r="G55" s="21">
        <v>0.25</v>
      </c>
      <c r="H55" s="21">
        <v>0.4</v>
      </c>
    </row>
    <row r="56" spans="1:8">
      <c r="A56" s="4" t="s">
        <v>835</v>
      </c>
      <c r="B56" s="4">
        <v>2</v>
      </c>
      <c r="C56" s="21">
        <v>-0.93120700000000001</v>
      </c>
      <c r="D56" s="21">
        <v>-0.52082899999999999</v>
      </c>
      <c r="E56" s="21">
        <v>-0.72601800000000005</v>
      </c>
      <c r="F56" s="21">
        <v>0.38095200000000001</v>
      </c>
      <c r="G56" s="21">
        <v>0</v>
      </c>
      <c r="H56" s="21">
        <v>0</v>
      </c>
    </row>
    <row r="57" spans="1:8">
      <c r="A57" s="4" t="s">
        <v>835</v>
      </c>
      <c r="B57" s="4">
        <v>3</v>
      </c>
      <c r="C57" s="21">
        <v>-1.095364</v>
      </c>
      <c r="D57" s="21">
        <v>-0.57933100000000004</v>
      </c>
      <c r="E57" s="21">
        <v>-0.83734799999999998</v>
      </c>
      <c r="F57" s="21">
        <v>0.38095200000000001</v>
      </c>
      <c r="G57" s="21">
        <v>0.16666700000000001</v>
      </c>
      <c r="H57" s="21">
        <v>0.2</v>
      </c>
    </row>
    <row r="58" spans="1:8">
      <c r="A58" s="4" t="s">
        <v>835</v>
      </c>
      <c r="B58" s="4">
        <v>4</v>
      </c>
      <c r="C58" s="21">
        <v>-1.0747949999999999</v>
      </c>
      <c r="D58" s="21">
        <v>-0.59667999999999999</v>
      </c>
      <c r="E58" s="21">
        <v>-0.83573799999999998</v>
      </c>
      <c r="F58" s="21">
        <v>0.38095200000000001</v>
      </c>
      <c r="G58" s="21">
        <v>8.3333000000000004E-2</v>
      </c>
      <c r="H58" s="21">
        <v>0.2</v>
      </c>
    </row>
    <row r="59" spans="1:8">
      <c r="A59" s="4" t="s">
        <v>835</v>
      </c>
      <c r="B59" s="4">
        <v>5</v>
      </c>
      <c r="C59" s="21">
        <v>-0.52647100000000002</v>
      </c>
      <c r="D59" s="21">
        <v>-0.297956</v>
      </c>
      <c r="E59" s="21">
        <v>-0.412213</v>
      </c>
      <c r="F59" s="21">
        <v>0.38095200000000001</v>
      </c>
      <c r="G59" s="21">
        <v>0.5</v>
      </c>
      <c r="H59" s="21">
        <v>0.4</v>
      </c>
    </row>
    <row r="60" spans="1:8">
      <c r="A60" s="4" t="s">
        <v>835</v>
      </c>
      <c r="B60" s="4">
        <v>6</v>
      </c>
      <c r="C60" s="21">
        <v>-0.87781900000000002</v>
      </c>
      <c r="D60" s="21">
        <v>-0.468387</v>
      </c>
      <c r="E60" s="21">
        <v>-0.67310300000000001</v>
      </c>
      <c r="F60" s="21">
        <v>0.33333299999999999</v>
      </c>
      <c r="G60" s="21">
        <v>0</v>
      </c>
      <c r="H60" s="21">
        <v>0</v>
      </c>
    </row>
    <row r="61" spans="1:8">
      <c r="A61" s="4" t="s">
        <v>835</v>
      </c>
      <c r="B61" s="4">
        <v>7</v>
      </c>
      <c r="C61" s="21">
        <v>-0.70476799999999995</v>
      </c>
      <c r="D61" s="21">
        <v>-0.43138599999999999</v>
      </c>
      <c r="E61" s="21">
        <v>-0.56807700000000005</v>
      </c>
      <c r="F61" s="21">
        <v>0.238095</v>
      </c>
      <c r="G61" s="21">
        <v>0.33333299999999999</v>
      </c>
      <c r="H61" s="21">
        <v>0.2</v>
      </c>
    </row>
    <row r="62" spans="1:8">
      <c r="A62" s="4" t="s">
        <v>835</v>
      </c>
      <c r="B62" s="4">
        <v>8</v>
      </c>
      <c r="C62" s="21">
        <v>-0.78598800000000002</v>
      </c>
      <c r="D62" s="21">
        <v>-0.21663499999999999</v>
      </c>
      <c r="E62" s="21">
        <v>-0.50131199999999998</v>
      </c>
      <c r="F62" s="21">
        <v>0.52381</v>
      </c>
      <c r="G62" s="21">
        <v>0.16666700000000001</v>
      </c>
      <c r="H62" s="21">
        <v>0</v>
      </c>
    </row>
    <row r="63" spans="1:8">
      <c r="A63" s="4" t="s">
        <v>835</v>
      </c>
      <c r="B63" s="4">
        <v>9</v>
      </c>
      <c r="C63" s="21">
        <v>-0.99495900000000004</v>
      </c>
      <c r="D63" s="21">
        <v>-0.37862400000000002</v>
      </c>
      <c r="E63" s="21">
        <v>-0.68679100000000004</v>
      </c>
      <c r="F63" s="21">
        <v>0.238095</v>
      </c>
      <c r="G63" s="21">
        <v>8.3333000000000004E-2</v>
      </c>
      <c r="H63" s="21">
        <v>0</v>
      </c>
    </row>
    <row r="64" spans="1:8">
      <c r="A64" s="4" t="s">
        <v>835</v>
      </c>
      <c r="B64" s="4">
        <v>10</v>
      </c>
      <c r="C64" s="21">
        <v>-0.75061299999999997</v>
      </c>
      <c r="D64" s="21">
        <v>-0.27314899999999998</v>
      </c>
      <c r="E64" s="21">
        <v>-0.51188100000000003</v>
      </c>
      <c r="F64" s="21">
        <v>0.38095200000000001</v>
      </c>
      <c r="G64" s="21">
        <v>0.25</v>
      </c>
      <c r="H64" s="21">
        <v>0</v>
      </c>
    </row>
    <row r="65" spans="1:8">
      <c r="A65" s="4" t="s">
        <v>836</v>
      </c>
      <c r="B65" s="4">
        <v>1</v>
      </c>
      <c r="C65" s="21">
        <v>-0.631498</v>
      </c>
      <c r="D65" s="21">
        <v>-0.46641300000000002</v>
      </c>
      <c r="E65" s="21">
        <v>-0.54895499999999997</v>
      </c>
      <c r="F65" s="21">
        <v>0.28571400000000002</v>
      </c>
      <c r="G65" s="21">
        <v>0.41666700000000001</v>
      </c>
      <c r="H65" s="21">
        <v>0.4</v>
      </c>
    </row>
    <row r="66" spans="1:8">
      <c r="A66" s="4" t="s">
        <v>836</v>
      </c>
      <c r="B66" s="4">
        <v>2</v>
      </c>
      <c r="C66" s="21">
        <v>-0.78440600000000005</v>
      </c>
      <c r="D66" s="21">
        <v>-0.36728300000000003</v>
      </c>
      <c r="E66" s="21">
        <v>-0.57584500000000005</v>
      </c>
      <c r="F66" s="21">
        <v>0.38095200000000001</v>
      </c>
      <c r="G66" s="21">
        <v>8.3333000000000004E-2</v>
      </c>
      <c r="H66" s="21">
        <v>0</v>
      </c>
    </row>
    <row r="67" spans="1:8">
      <c r="A67" s="4" t="s">
        <v>836</v>
      </c>
      <c r="B67" s="4">
        <v>3</v>
      </c>
      <c r="C67" s="21">
        <v>-1.0097750000000001</v>
      </c>
      <c r="D67" s="21">
        <v>-0.43305100000000002</v>
      </c>
      <c r="E67" s="21">
        <v>-0.72141299999999997</v>
      </c>
      <c r="F67" s="21">
        <v>0.38095200000000001</v>
      </c>
      <c r="G67" s="21">
        <v>0</v>
      </c>
      <c r="H67" s="21">
        <v>0</v>
      </c>
    </row>
    <row r="68" spans="1:8">
      <c r="A68" s="4" t="s">
        <v>836</v>
      </c>
      <c r="B68" s="4">
        <v>4</v>
      </c>
      <c r="C68" s="21">
        <v>-0.68818800000000002</v>
      </c>
      <c r="D68" s="21">
        <v>-0.45152599999999998</v>
      </c>
      <c r="E68" s="21">
        <v>-0.56985699999999995</v>
      </c>
      <c r="F68" s="21">
        <v>0.33333299999999999</v>
      </c>
      <c r="G68" s="21">
        <v>0.33333299999999999</v>
      </c>
      <c r="H68" s="21">
        <v>0.2</v>
      </c>
    </row>
    <row r="69" spans="1:8">
      <c r="A69" s="4" t="s">
        <v>836</v>
      </c>
      <c r="B69" s="4">
        <v>5</v>
      </c>
      <c r="C69" s="21">
        <v>-1.021212</v>
      </c>
      <c r="D69" s="21">
        <v>-0.42934299999999997</v>
      </c>
      <c r="E69" s="21">
        <v>-0.72527699999999995</v>
      </c>
      <c r="F69" s="21">
        <v>0.52381</v>
      </c>
      <c r="G69" s="21">
        <v>0.25</v>
      </c>
      <c r="H69" s="21">
        <v>0</v>
      </c>
    </row>
    <row r="70" spans="1:8">
      <c r="A70" s="4" t="s">
        <v>836</v>
      </c>
      <c r="B70" s="4">
        <v>6</v>
      </c>
      <c r="C70" s="21">
        <v>-0.70779099999999995</v>
      </c>
      <c r="D70" s="21">
        <v>-0.45286100000000001</v>
      </c>
      <c r="E70" s="21">
        <v>-0.58032600000000001</v>
      </c>
      <c r="F70" s="21">
        <v>0.47619</v>
      </c>
      <c r="G70" s="21">
        <v>0.25</v>
      </c>
      <c r="H70" s="21">
        <v>0.2</v>
      </c>
    </row>
    <row r="71" spans="1:8">
      <c r="A71" s="4" t="s">
        <v>836</v>
      </c>
      <c r="B71" s="4">
        <v>7</v>
      </c>
      <c r="C71" s="21">
        <v>-1.0046580000000001</v>
      </c>
      <c r="D71" s="21">
        <v>-0.43603599999999998</v>
      </c>
      <c r="E71" s="21">
        <v>-0.72034699999999996</v>
      </c>
      <c r="F71" s="21">
        <v>0.38095200000000001</v>
      </c>
      <c r="G71" s="21">
        <v>8.3333000000000004E-2</v>
      </c>
      <c r="H71" s="21">
        <v>0.2</v>
      </c>
    </row>
    <row r="72" spans="1:8">
      <c r="A72" s="4" t="s">
        <v>836</v>
      </c>
      <c r="B72" s="4">
        <v>8</v>
      </c>
      <c r="C72" s="21">
        <v>-0.65531399999999995</v>
      </c>
      <c r="D72" s="21">
        <v>-0.24232799999999999</v>
      </c>
      <c r="E72" s="21">
        <v>-0.44882100000000003</v>
      </c>
      <c r="F72" s="21">
        <v>0.28571400000000002</v>
      </c>
      <c r="G72" s="21">
        <v>0.41666700000000001</v>
      </c>
      <c r="H72" s="21">
        <v>0.4</v>
      </c>
    </row>
    <row r="73" spans="1:8">
      <c r="A73" s="4" t="s">
        <v>836</v>
      </c>
      <c r="B73" s="4">
        <v>9</v>
      </c>
      <c r="C73" s="21">
        <v>-0.95499500000000004</v>
      </c>
      <c r="D73" s="21">
        <v>-0.41368300000000002</v>
      </c>
      <c r="E73" s="21">
        <v>-0.68433900000000003</v>
      </c>
      <c r="F73" s="21">
        <v>0.238095</v>
      </c>
      <c r="G73" s="21">
        <v>0</v>
      </c>
      <c r="H73" s="21">
        <v>0</v>
      </c>
    </row>
    <row r="74" spans="1:8">
      <c r="A74" s="4" t="s">
        <v>836</v>
      </c>
      <c r="B74" s="4">
        <v>10</v>
      </c>
      <c r="C74" s="21">
        <v>-0.62846299999999999</v>
      </c>
      <c r="D74" s="21">
        <v>-0.35745900000000003</v>
      </c>
      <c r="E74" s="21">
        <v>-0.49296099999999998</v>
      </c>
      <c r="F74" s="21">
        <v>0.57142899999999996</v>
      </c>
      <c r="G74" s="21">
        <v>0.33333299999999999</v>
      </c>
      <c r="H74" s="21">
        <v>0.2</v>
      </c>
    </row>
    <row r="75" spans="1:8">
      <c r="A75" s="4" t="s">
        <v>837</v>
      </c>
      <c r="B75" s="4">
        <v>1</v>
      </c>
      <c r="C75" s="21">
        <v>-0.85703099999999999</v>
      </c>
      <c r="D75" s="21">
        <v>-0.32647799999999999</v>
      </c>
      <c r="E75" s="21">
        <v>-0.591754</v>
      </c>
      <c r="F75" s="21">
        <v>0.33333299999999999</v>
      </c>
      <c r="G75" s="21">
        <v>0</v>
      </c>
      <c r="H75" s="21">
        <v>0</v>
      </c>
    </row>
    <row r="76" spans="1:8">
      <c r="A76" s="4" t="s">
        <v>837</v>
      </c>
      <c r="B76" s="4">
        <v>2</v>
      </c>
      <c r="C76" s="21">
        <v>-0.69032899999999997</v>
      </c>
      <c r="D76" s="21">
        <v>-0.49368600000000001</v>
      </c>
      <c r="E76" s="21">
        <v>-0.59200799999999998</v>
      </c>
      <c r="F76" s="21">
        <v>0.52381</v>
      </c>
      <c r="G76" s="21">
        <v>0.25</v>
      </c>
      <c r="H76" s="21">
        <v>0.4</v>
      </c>
    </row>
    <row r="77" spans="1:8">
      <c r="A77" s="4" t="s">
        <v>837</v>
      </c>
      <c r="B77" s="4">
        <v>3</v>
      </c>
      <c r="C77" s="21">
        <v>-0.65223299999999995</v>
      </c>
      <c r="D77" s="21">
        <v>-0.49334800000000001</v>
      </c>
      <c r="E77" s="21">
        <v>-0.57279000000000002</v>
      </c>
      <c r="F77" s="21">
        <v>0.33333299999999999</v>
      </c>
      <c r="G77" s="21">
        <v>0.41666700000000001</v>
      </c>
      <c r="H77" s="21">
        <v>0.4</v>
      </c>
    </row>
    <row r="78" spans="1:8">
      <c r="A78" s="4" t="s">
        <v>837</v>
      </c>
      <c r="B78" s="4">
        <v>4</v>
      </c>
      <c r="C78" s="21">
        <v>-0.71767199999999998</v>
      </c>
      <c r="D78" s="21">
        <v>-0.50133099999999997</v>
      </c>
      <c r="E78" s="21">
        <v>-0.60950099999999996</v>
      </c>
      <c r="F78" s="21">
        <v>0.33333299999999999</v>
      </c>
      <c r="G78" s="21">
        <v>0.25</v>
      </c>
      <c r="H78" s="21">
        <v>0.4</v>
      </c>
    </row>
    <row r="79" spans="1:8">
      <c r="A79" s="4" t="s">
        <v>837</v>
      </c>
      <c r="B79" s="4">
        <v>5</v>
      </c>
      <c r="C79" s="21">
        <v>-0.84471099999999999</v>
      </c>
      <c r="D79" s="21">
        <v>-0.53738399999999997</v>
      </c>
      <c r="E79" s="21">
        <v>-0.69104699999999997</v>
      </c>
      <c r="F79" s="21">
        <v>0.52381</v>
      </c>
      <c r="G79" s="21">
        <v>0.25</v>
      </c>
      <c r="H79" s="21">
        <v>0.4</v>
      </c>
    </row>
    <row r="80" spans="1:8">
      <c r="A80" s="4" t="s">
        <v>837</v>
      </c>
      <c r="B80" s="4">
        <v>6</v>
      </c>
      <c r="C80" s="21">
        <v>-0.895949</v>
      </c>
      <c r="D80" s="21">
        <v>-0.70418800000000004</v>
      </c>
      <c r="E80" s="21">
        <v>-0.800068</v>
      </c>
      <c r="F80" s="21">
        <v>0.33333299999999999</v>
      </c>
      <c r="G80" s="21">
        <v>0.25</v>
      </c>
      <c r="H80" s="21">
        <v>0.4</v>
      </c>
    </row>
    <row r="81" spans="1:8">
      <c r="A81" s="4" t="s">
        <v>837</v>
      </c>
      <c r="B81" s="4">
        <v>7</v>
      </c>
      <c r="C81" s="21">
        <v>-0.80462999999999996</v>
      </c>
      <c r="D81" s="21">
        <v>-0.458812</v>
      </c>
      <c r="E81" s="21">
        <v>-0.63172099999999998</v>
      </c>
      <c r="F81" s="21">
        <v>0.38095200000000001</v>
      </c>
      <c r="G81" s="21">
        <v>0.16666700000000001</v>
      </c>
      <c r="H81" s="21">
        <v>0.2</v>
      </c>
    </row>
    <row r="82" spans="1:8">
      <c r="A82" s="4" t="s">
        <v>837</v>
      </c>
      <c r="B82" s="4">
        <v>8</v>
      </c>
      <c r="C82" s="21">
        <v>-0.75363400000000003</v>
      </c>
      <c r="D82" s="21">
        <v>-0.40080199999999999</v>
      </c>
      <c r="E82" s="21">
        <v>-0.57721800000000001</v>
      </c>
      <c r="F82" s="21">
        <v>0.28571400000000002</v>
      </c>
      <c r="G82" s="21">
        <v>8.3333000000000004E-2</v>
      </c>
      <c r="H82" s="21">
        <v>0</v>
      </c>
    </row>
    <row r="83" spans="1:8">
      <c r="A83" s="4" t="s">
        <v>837</v>
      </c>
      <c r="B83" s="4">
        <v>9</v>
      </c>
      <c r="C83" s="21">
        <v>-0.73186399999999996</v>
      </c>
      <c r="D83" s="21">
        <v>-0.42816799999999999</v>
      </c>
      <c r="E83" s="21">
        <v>-0.58001599999999998</v>
      </c>
      <c r="F83" s="21">
        <v>0.42857099999999998</v>
      </c>
      <c r="G83" s="21">
        <v>0.25</v>
      </c>
      <c r="H83" s="21">
        <v>0.4</v>
      </c>
    </row>
    <row r="84" spans="1:8">
      <c r="A84" s="4" t="s">
        <v>837</v>
      </c>
      <c r="B84" s="4">
        <v>10</v>
      </c>
      <c r="C84" s="21">
        <v>-0.66576500000000005</v>
      </c>
      <c r="D84" s="21">
        <v>-0.50793699999999997</v>
      </c>
      <c r="E84" s="21">
        <v>-0.58685100000000001</v>
      </c>
      <c r="F84" s="21">
        <v>0.42857099999999998</v>
      </c>
      <c r="G84" s="21">
        <v>8.3333000000000004E-2</v>
      </c>
      <c r="H84" s="21">
        <v>0</v>
      </c>
    </row>
    <row r="85" spans="1:8">
      <c r="A85" s="4" t="s">
        <v>838</v>
      </c>
      <c r="B85" s="4">
        <v>1</v>
      </c>
      <c r="C85" s="21">
        <v>-0.88777700000000004</v>
      </c>
      <c r="D85" s="21">
        <v>-0.456343</v>
      </c>
      <c r="E85" s="21">
        <v>-0.67205999999999999</v>
      </c>
      <c r="F85" s="21">
        <v>0.28571400000000002</v>
      </c>
      <c r="G85" s="21">
        <v>0.16666700000000001</v>
      </c>
      <c r="H85" s="21">
        <v>0.4</v>
      </c>
    </row>
    <row r="86" spans="1:8">
      <c r="A86" s="4" t="s">
        <v>838</v>
      </c>
      <c r="B86" s="4">
        <v>2</v>
      </c>
      <c r="C86" s="21">
        <v>-0.75280199999999997</v>
      </c>
      <c r="D86" s="21">
        <v>-0.50468299999999999</v>
      </c>
      <c r="E86" s="21">
        <v>-0.62874200000000002</v>
      </c>
      <c r="F86" s="21">
        <v>0.38095200000000001</v>
      </c>
      <c r="G86" s="21">
        <v>0.25</v>
      </c>
      <c r="H86" s="21">
        <v>0.4</v>
      </c>
    </row>
    <row r="87" spans="1:8">
      <c r="A87" s="4" t="s">
        <v>838</v>
      </c>
      <c r="B87" s="4">
        <v>3</v>
      </c>
      <c r="C87" s="21">
        <v>-0.83154499999999998</v>
      </c>
      <c r="D87" s="21">
        <v>-0.28620400000000001</v>
      </c>
      <c r="E87" s="21">
        <v>-0.55887500000000001</v>
      </c>
      <c r="F87" s="21">
        <v>0.47619</v>
      </c>
      <c r="G87" s="21">
        <v>0.16666700000000001</v>
      </c>
      <c r="H87" s="21">
        <v>0.2</v>
      </c>
    </row>
    <row r="88" spans="1:8">
      <c r="A88" s="4" t="s">
        <v>838</v>
      </c>
      <c r="B88" s="4">
        <v>4</v>
      </c>
      <c r="C88" s="21">
        <v>-0.68779400000000002</v>
      </c>
      <c r="D88" s="21">
        <v>-0.42705199999999999</v>
      </c>
      <c r="E88" s="21">
        <v>-0.557423</v>
      </c>
      <c r="F88" s="21">
        <v>0.47619</v>
      </c>
      <c r="G88" s="21">
        <v>0.25</v>
      </c>
      <c r="H88" s="21">
        <v>0.4</v>
      </c>
    </row>
    <row r="89" spans="1:8">
      <c r="A89" s="4" t="s">
        <v>838</v>
      </c>
      <c r="B89" s="4">
        <v>5</v>
      </c>
      <c r="C89" s="21">
        <v>-0.56364899999999996</v>
      </c>
      <c r="D89" s="21">
        <v>-0.40755400000000003</v>
      </c>
      <c r="E89" s="21">
        <v>-0.485601</v>
      </c>
      <c r="F89" s="21">
        <v>0.38095200000000001</v>
      </c>
      <c r="G89" s="21">
        <v>0.5</v>
      </c>
      <c r="H89" s="21">
        <v>0.4</v>
      </c>
    </row>
    <row r="90" spans="1:8">
      <c r="A90" s="4" t="s">
        <v>838</v>
      </c>
      <c r="B90" s="4">
        <v>6</v>
      </c>
      <c r="C90" s="21">
        <v>-0.80247400000000002</v>
      </c>
      <c r="D90" s="21">
        <v>-0.54786199999999996</v>
      </c>
      <c r="E90" s="21">
        <v>-0.67516799999999999</v>
      </c>
      <c r="F90" s="21">
        <v>0.42857099999999998</v>
      </c>
      <c r="G90" s="21">
        <v>0.33333299999999999</v>
      </c>
      <c r="H90" s="21">
        <v>0.2</v>
      </c>
    </row>
    <row r="91" spans="1:8">
      <c r="A91" s="4" t="s">
        <v>838</v>
      </c>
      <c r="B91" s="4">
        <v>7</v>
      </c>
      <c r="C91" s="21">
        <v>-0.71989499999999995</v>
      </c>
      <c r="D91" s="21">
        <v>-0.54729499999999998</v>
      </c>
      <c r="E91" s="21">
        <v>-0.63359500000000002</v>
      </c>
      <c r="F91" s="21">
        <v>0.28571400000000002</v>
      </c>
      <c r="G91" s="21">
        <v>0.33333299999999999</v>
      </c>
      <c r="H91" s="21">
        <v>0.4</v>
      </c>
    </row>
    <row r="92" spans="1:8">
      <c r="A92" s="4" t="s">
        <v>838</v>
      </c>
      <c r="B92" s="4">
        <v>8</v>
      </c>
      <c r="C92" s="21">
        <v>-0.69324300000000005</v>
      </c>
      <c r="D92" s="21">
        <v>-0.40864499999999998</v>
      </c>
      <c r="E92" s="21">
        <v>-0.55094399999999999</v>
      </c>
      <c r="F92" s="21">
        <v>0.28571400000000002</v>
      </c>
      <c r="G92" s="21">
        <v>0.25</v>
      </c>
      <c r="H92" s="21">
        <v>0</v>
      </c>
    </row>
    <row r="93" spans="1:8">
      <c r="A93" s="4" t="s">
        <v>838</v>
      </c>
      <c r="B93" s="4">
        <v>9</v>
      </c>
      <c r="C93" s="21">
        <v>-0.76048899999999997</v>
      </c>
      <c r="D93" s="21">
        <v>-0.50725500000000001</v>
      </c>
      <c r="E93" s="21">
        <v>-0.63387199999999999</v>
      </c>
      <c r="F93" s="21">
        <v>0.47619</v>
      </c>
      <c r="G93" s="21">
        <v>0.16666700000000001</v>
      </c>
      <c r="H93" s="21">
        <v>0.4</v>
      </c>
    </row>
    <row r="94" spans="1:8">
      <c r="A94" s="4" t="s">
        <v>838</v>
      </c>
      <c r="B94" s="4">
        <v>10</v>
      </c>
      <c r="C94" s="21">
        <v>-0.87114000000000003</v>
      </c>
      <c r="D94" s="21">
        <v>-0.54424300000000003</v>
      </c>
      <c r="E94" s="21">
        <v>-0.70769099999999996</v>
      </c>
      <c r="F94" s="21">
        <v>0.38095200000000001</v>
      </c>
      <c r="G94" s="21">
        <v>0</v>
      </c>
      <c r="H94" s="21">
        <v>0</v>
      </c>
    </row>
    <row r="95" spans="1:8">
      <c r="A95" s="4" t="s">
        <v>839</v>
      </c>
      <c r="B95" s="4">
        <v>1</v>
      </c>
      <c r="C95" s="21">
        <v>-0.75792700000000002</v>
      </c>
      <c r="D95" s="21">
        <v>-0.47049999999999997</v>
      </c>
      <c r="E95" s="21">
        <v>-0.61421300000000001</v>
      </c>
      <c r="F95" s="21">
        <v>0.38095200000000001</v>
      </c>
      <c r="G95" s="21">
        <v>0.25</v>
      </c>
      <c r="H95" s="21">
        <v>0.2</v>
      </c>
    </row>
    <row r="96" spans="1:8">
      <c r="A96" s="4" t="s">
        <v>839</v>
      </c>
      <c r="B96" s="4">
        <v>2</v>
      </c>
      <c r="C96" s="21">
        <v>-0.76164500000000002</v>
      </c>
      <c r="D96" s="21">
        <v>-0.54072900000000002</v>
      </c>
      <c r="E96" s="21">
        <v>-0.65118699999999996</v>
      </c>
      <c r="F96" s="21">
        <v>0.47619</v>
      </c>
      <c r="G96" s="21">
        <v>0.16666700000000001</v>
      </c>
      <c r="H96" s="21">
        <v>0.2</v>
      </c>
    </row>
    <row r="97" spans="1:8">
      <c r="A97" s="4" t="s">
        <v>839</v>
      </c>
      <c r="B97" s="4">
        <v>3</v>
      </c>
      <c r="C97" s="21">
        <v>-0.57799199999999995</v>
      </c>
      <c r="D97" s="21">
        <v>-0.27744400000000002</v>
      </c>
      <c r="E97" s="21">
        <v>-0.42771799999999999</v>
      </c>
      <c r="F97" s="21">
        <v>0.42857099999999998</v>
      </c>
      <c r="G97" s="21">
        <v>0.41666700000000001</v>
      </c>
      <c r="H97" s="21">
        <v>0.6</v>
      </c>
    </row>
    <row r="98" spans="1:8">
      <c r="A98" s="4" t="s">
        <v>839</v>
      </c>
      <c r="B98" s="4">
        <v>4</v>
      </c>
      <c r="C98" s="21">
        <v>-0.82990900000000001</v>
      </c>
      <c r="D98" s="21">
        <v>-0.44749100000000003</v>
      </c>
      <c r="E98" s="21">
        <v>-0.63870000000000005</v>
      </c>
      <c r="F98" s="21">
        <v>0.42857099999999998</v>
      </c>
      <c r="G98" s="21">
        <v>8.3333000000000004E-2</v>
      </c>
      <c r="H98" s="21">
        <v>0.2</v>
      </c>
    </row>
    <row r="99" spans="1:8">
      <c r="A99" s="4" t="s">
        <v>839</v>
      </c>
      <c r="B99" s="4">
        <v>5</v>
      </c>
      <c r="C99" s="21">
        <v>-0.87553099999999995</v>
      </c>
      <c r="D99" s="21">
        <v>-0.41003600000000001</v>
      </c>
      <c r="E99" s="21">
        <v>-0.64278400000000002</v>
      </c>
      <c r="F99" s="21">
        <v>0.42857099999999998</v>
      </c>
      <c r="G99" s="21">
        <v>8.3333000000000004E-2</v>
      </c>
      <c r="H99" s="21">
        <v>0</v>
      </c>
    </row>
    <row r="100" spans="1:8">
      <c r="A100" s="4" t="s">
        <v>839</v>
      </c>
      <c r="B100" s="4">
        <v>6</v>
      </c>
      <c r="C100" s="21">
        <v>-0.80036700000000005</v>
      </c>
      <c r="D100" s="21">
        <v>-0.35833399999999999</v>
      </c>
      <c r="E100" s="21">
        <v>-0.57935000000000003</v>
      </c>
      <c r="F100" s="21">
        <v>0.33333299999999999</v>
      </c>
      <c r="G100" s="21">
        <v>0.16666700000000001</v>
      </c>
      <c r="H100" s="21">
        <v>0.2</v>
      </c>
    </row>
    <row r="101" spans="1:8">
      <c r="A101" s="4" t="s">
        <v>839</v>
      </c>
      <c r="B101" s="4">
        <v>7</v>
      </c>
      <c r="C101" s="21">
        <v>-0.64466100000000004</v>
      </c>
      <c r="D101" s="21">
        <v>-0.32886700000000002</v>
      </c>
      <c r="E101" s="21">
        <v>-0.48676399999999997</v>
      </c>
      <c r="F101" s="21">
        <v>0.238095</v>
      </c>
      <c r="G101" s="21">
        <v>0.16666700000000001</v>
      </c>
      <c r="H101" s="21">
        <v>0</v>
      </c>
    </row>
    <row r="102" spans="1:8">
      <c r="A102" s="4" t="s">
        <v>839</v>
      </c>
      <c r="B102" s="4">
        <v>8</v>
      </c>
      <c r="C102" s="21">
        <v>-0.81645299999999998</v>
      </c>
      <c r="D102" s="21">
        <v>-0.41177999999999998</v>
      </c>
      <c r="E102" s="21">
        <v>-0.61411700000000002</v>
      </c>
      <c r="F102" s="21">
        <v>0.47619</v>
      </c>
      <c r="G102" s="21">
        <v>0.16666700000000001</v>
      </c>
      <c r="H102" s="21">
        <v>0.2</v>
      </c>
    </row>
    <row r="103" spans="1:8">
      <c r="A103" s="4" t="s">
        <v>839</v>
      </c>
      <c r="B103" s="4">
        <v>9</v>
      </c>
      <c r="C103" s="21">
        <v>-0.82860400000000001</v>
      </c>
      <c r="D103" s="21">
        <v>-0.41959800000000003</v>
      </c>
      <c r="E103" s="21">
        <v>-0.62410100000000002</v>
      </c>
      <c r="F103" s="21">
        <v>0.33333299999999999</v>
      </c>
      <c r="G103" s="21">
        <v>0.25</v>
      </c>
      <c r="H103" s="21">
        <v>0.4</v>
      </c>
    </row>
    <row r="104" spans="1:8">
      <c r="A104" s="4" t="s">
        <v>839</v>
      </c>
      <c r="B104" s="4">
        <v>10</v>
      </c>
      <c r="C104" s="21">
        <v>-0.78035900000000002</v>
      </c>
      <c r="D104" s="21">
        <v>-0.475578</v>
      </c>
      <c r="E104" s="21">
        <v>-0.627969</v>
      </c>
      <c r="F104" s="21">
        <v>0.33333299999999999</v>
      </c>
      <c r="G104" s="21">
        <v>0.16666700000000001</v>
      </c>
      <c r="H104" s="21">
        <v>0.2</v>
      </c>
    </row>
    <row r="105" spans="1:8">
      <c r="A105" s="4" t="s">
        <v>840</v>
      </c>
      <c r="B105" s="4">
        <v>1</v>
      </c>
      <c r="C105" s="21">
        <v>-0.87544</v>
      </c>
      <c r="D105" s="21">
        <v>-0.36024400000000001</v>
      </c>
      <c r="E105" s="21">
        <v>-0.617842</v>
      </c>
      <c r="F105" s="21">
        <v>0.52381</v>
      </c>
      <c r="G105" s="21">
        <v>0.33333299999999999</v>
      </c>
      <c r="H105" s="21">
        <v>0.2</v>
      </c>
    </row>
    <row r="106" spans="1:8">
      <c r="A106" s="4" t="s">
        <v>840</v>
      </c>
      <c r="B106" s="4">
        <v>2</v>
      </c>
      <c r="C106" s="21">
        <v>-0.82045900000000005</v>
      </c>
      <c r="D106" s="21">
        <v>-0.56230400000000003</v>
      </c>
      <c r="E106" s="21">
        <v>-0.69138100000000002</v>
      </c>
      <c r="F106" s="21">
        <v>0.42857099999999998</v>
      </c>
      <c r="G106" s="21">
        <v>0.33333299999999999</v>
      </c>
      <c r="H106" s="21">
        <v>0.6</v>
      </c>
    </row>
    <row r="107" spans="1:8">
      <c r="A107" s="4" t="s">
        <v>840</v>
      </c>
      <c r="B107" s="4">
        <v>3</v>
      </c>
      <c r="C107" s="21">
        <v>-0.89093100000000003</v>
      </c>
      <c r="D107" s="21">
        <v>-0.38151400000000002</v>
      </c>
      <c r="E107" s="21">
        <v>-0.63622299999999998</v>
      </c>
      <c r="F107" s="21">
        <v>0.42857099999999998</v>
      </c>
      <c r="G107" s="21">
        <v>0.25</v>
      </c>
      <c r="H107" s="21">
        <v>0.2</v>
      </c>
    </row>
    <row r="108" spans="1:8">
      <c r="A108" s="4" t="s">
        <v>840</v>
      </c>
      <c r="B108" s="4">
        <v>4</v>
      </c>
      <c r="C108" s="21">
        <v>-0.42654199999999998</v>
      </c>
      <c r="D108" s="21">
        <v>-0.21315200000000001</v>
      </c>
      <c r="E108" s="21">
        <v>-0.31984699999999999</v>
      </c>
      <c r="F108" s="21">
        <v>0.47619</v>
      </c>
      <c r="G108" s="21">
        <v>0.41666700000000001</v>
      </c>
      <c r="H108" s="21">
        <v>0.2</v>
      </c>
    </row>
    <row r="109" spans="1:8">
      <c r="A109" s="4" t="s">
        <v>840</v>
      </c>
      <c r="B109" s="4">
        <v>5</v>
      </c>
      <c r="C109" s="21">
        <v>-0.92517499999999997</v>
      </c>
      <c r="D109" s="21">
        <v>-0.32415500000000003</v>
      </c>
      <c r="E109" s="21">
        <v>-0.62466500000000003</v>
      </c>
      <c r="F109" s="21">
        <v>0.57142899999999996</v>
      </c>
      <c r="G109" s="21">
        <v>8.3333000000000004E-2</v>
      </c>
      <c r="H109" s="21">
        <v>0</v>
      </c>
    </row>
    <row r="110" spans="1:8">
      <c r="A110" s="4" t="s">
        <v>840</v>
      </c>
      <c r="B110" s="4">
        <v>6</v>
      </c>
      <c r="C110" s="21">
        <v>-0.93718699999999999</v>
      </c>
      <c r="D110" s="21">
        <v>-0.47722399999999998</v>
      </c>
      <c r="E110" s="21">
        <v>-0.70720499999999997</v>
      </c>
      <c r="F110" s="21">
        <v>0.42857099999999998</v>
      </c>
      <c r="G110" s="21">
        <v>0.16666700000000001</v>
      </c>
      <c r="H110" s="21">
        <v>0</v>
      </c>
    </row>
    <row r="111" spans="1:8">
      <c r="A111" s="4" t="s">
        <v>840</v>
      </c>
      <c r="B111" s="4">
        <v>7</v>
      </c>
      <c r="C111" s="21">
        <v>-0.54724399999999995</v>
      </c>
      <c r="D111" s="21">
        <v>-0.24001800000000001</v>
      </c>
      <c r="E111" s="21">
        <v>-0.39363100000000001</v>
      </c>
      <c r="F111" s="21">
        <v>0.52381</v>
      </c>
      <c r="G111" s="21">
        <v>0.33333299999999999</v>
      </c>
      <c r="H111" s="21">
        <v>0.6</v>
      </c>
    </row>
    <row r="112" spans="1:8">
      <c r="A112" s="4" t="s">
        <v>840</v>
      </c>
      <c r="B112" s="4">
        <v>8</v>
      </c>
      <c r="C112" s="21">
        <v>-0.75625900000000001</v>
      </c>
      <c r="D112" s="21">
        <v>-0.32573600000000003</v>
      </c>
      <c r="E112" s="21">
        <v>-0.54099799999999998</v>
      </c>
      <c r="F112" s="21">
        <v>0.42857099999999998</v>
      </c>
      <c r="G112" s="21">
        <v>0.33333299999999999</v>
      </c>
      <c r="H112" s="21">
        <v>0.4</v>
      </c>
    </row>
    <row r="113" spans="1:8">
      <c r="A113" s="4" t="s">
        <v>840</v>
      </c>
      <c r="B113" s="4">
        <v>9</v>
      </c>
      <c r="C113" s="21">
        <v>-1.012732</v>
      </c>
      <c r="D113" s="21">
        <v>-0.31303599999999998</v>
      </c>
      <c r="E113" s="21">
        <v>-0.66288400000000003</v>
      </c>
      <c r="F113" s="21">
        <v>0.42857099999999998</v>
      </c>
      <c r="G113" s="21">
        <v>8.3333000000000004E-2</v>
      </c>
      <c r="H113" s="21">
        <v>0</v>
      </c>
    </row>
    <row r="114" spans="1:8">
      <c r="A114" s="4" t="s">
        <v>840</v>
      </c>
      <c r="B114" s="4">
        <v>10</v>
      </c>
      <c r="C114" s="21">
        <v>-0.81212099999999998</v>
      </c>
      <c r="D114" s="21">
        <v>-0.51184799999999997</v>
      </c>
      <c r="E114" s="21">
        <v>-0.66198500000000005</v>
      </c>
      <c r="F114" s="21">
        <v>0.47619</v>
      </c>
      <c r="G114" s="21">
        <v>0.25</v>
      </c>
      <c r="H114" s="21">
        <v>0.4</v>
      </c>
    </row>
    <row r="115" spans="1:8">
      <c r="A115" s="4" t="s">
        <v>841</v>
      </c>
      <c r="B115" s="4">
        <v>1</v>
      </c>
      <c r="C115" s="21">
        <v>-0.870305</v>
      </c>
      <c r="D115" s="21">
        <v>-0.36991600000000002</v>
      </c>
      <c r="E115" s="21">
        <v>-0.62011099999999997</v>
      </c>
      <c r="F115" s="21">
        <v>0.42857099999999998</v>
      </c>
      <c r="G115" s="21">
        <v>8.3333000000000004E-2</v>
      </c>
      <c r="H115" s="21">
        <v>0</v>
      </c>
    </row>
    <row r="116" spans="1:8">
      <c r="A116" s="4" t="s">
        <v>841</v>
      </c>
      <c r="B116" s="4">
        <v>2</v>
      </c>
      <c r="C116" s="21">
        <v>-0.68838500000000002</v>
      </c>
      <c r="D116" s="21">
        <v>-0.37953999999999999</v>
      </c>
      <c r="E116" s="21">
        <v>-0.53396200000000005</v>
      </c>
      <c r="F116" s="21">
        <v>0.38095200000000001</v>
      </c>
      <c r="G116" s="21">
        <v>0.33333299999999999</v>
      </c>
      <c r="H116" s="21">
        <v>0.2</v>
      </c>
    </row>
    <row r="117" spans="1:8">
      <c r="A117" s="4" t="s">
        <v>841</v>
      </c>
      <c r="B117" s="4">
        <v>3</v>
      </c>
      <c r="C117" s="21">
        <v>-0.65490099999999996</v>
      </c>
      <c r="D117" s="21">
        <v>-0.328872</v>
      </c>
      <c r="E117" s="21">
        <v>-0.49188599999999999</v>
      </c>
      <c r="F117" s="21">
        <v>0.28571400000000002</v>
      </c>
      <c r="G117" s="21">
        <v>0.33333299999999999</v>
      </c>
      <c r="H117" s="21">
        <v>0.2</v>
      </c>
    </row>
    <row r="118" spans="1:8">
      <c r="A118" s="4" t="s">
        <v>841</v>
      </c>
      <c r="B118" s="4">
        <v>4</v>
      </c>
      <c r="C118" s="21">
        <v>-1.163327</v>
      </c>
      <c r="D118" s="21">
        <v>-0.53752</v>
      </c>
      <c r="E118" s="21">
        <v>-0.85042399999999996</v>
      </c>
      <c r="F118" s="21">
        <v>0.38095200000000001</v>
      </c>
      <c r="G118" s="21">
        <v>0.16666700000000001</v>
      </c>
      <c r="H118" s="21">
        <v>0.2</v>
      </c>
    </row>
    <row r="119" spans="1:8">
      <c r="A119" s="4" t="s">
        <v>841</v>
      </c>
      <c r="B119" s="4">
        <v>5</v>
      </c>
      <c r="C119" s="21">
        <v>-0.69238100000000002</v>
      </c>
      <c r="D119" s="21">
        <v>-0.42341600000000001</v>
      </c>
      <c r="E119" s="21">
        <v>-0.55789900000000003</v>
      </c>
      <c r="F119" s="21">
        <v>0.47619</v>
      </c>
      <c r="G119" s="21">
        <v>0.16666700000000001</v>
      </c>
      <c r="H119" s="21">
        <v>0.2</v>
      </c>
    </row>
    <row r="120" spans="1:8">
      <c r="A120" s="4" t="s">
        <v>841</v>
      </c>
      <c r="B120" s="4">
        <v>6</v>
      </c>
      <c r="C120" s="21">
        <v>-0.85814000000000001</v>
      </c>
      <c r="D120" s="21">
        <v>-0.58625099999999997</v>
      </c>
      <c r="E120" s="21">
        <v>-0.72219500000000003</v>
      </c>
      <c r="F120" s="21">
        <v>0.52381</v>
      </c>
      <c r="G120" s="21">
        <v>0.25</v>
      </c>
      <c r="H120" s="21">
        <v>0.4</v>
      </c>
    </row>
    <row r="121" spans="1:8">
      <c r="A121" s="4" t="s">
        <v>841</v>
      </c>
      <c r="B121" s="4">
        <v>7</v>
      </c>
      <c r="C121" s="21">
        <v>-0.78603599999999996</v>
      </c>
      <c r="D121" s="21">
        <v>-0.22459200000000001</v>
      </c>
      <c r="E121" s="21">
        <v>-0.50531400000000004</v>
      </c>
      <c r="F121" s="21">
        <v>0.42857099999999998</v>
      </c>
      <c r="G121" s="21">
        <v>0.16666700000000001</v>
      </c>
      <c r="H121" s="21">
        <v>0</v>
      </c>
    </row>
    <row r="122" spans="1:8">
      <c r="A122" s="4" t="s">
        <v>841</v>
      </c>
      <c r="B122" s="4">
        <v>8</v>
      </c>
      <c r="C122" s="21">
        <v>-1.0074700000000001</v>
      </c>
      <c r="D122" s="21">
        <v>-0.31792199999999998</v>
      </c>
      <c r="E122" s="21">
        <v>-0.66269599999999995</v>
      </c>
      <c r="F122" s="21">
        <v>0.33333299999999999</v>
      </c>
      <c r="G122" s="21">
        <v>8.3333000000000004E-2</v>
      </c>
      <c r="H122" s="21">
        <v>0.2</v>
      </c>
    </row>
    <row r="123" spans="1:8">
      <c r="A123" s="4" t="s">
        <v>841</v>
      </c>
      <c r="B123" s="4">
        <v>9</v>
      </c>
      <c r="C123" s="21">
        <v>-0.70106000000000002</v>
      </c>
      <c r="D123" s="21">
        <v>-0.38266899999999998</v>
      </c>
      <c r="E123" s="21">
        <v>-0.54186400000000001</v>
      </c>
      <c r="F123" s="21">
        <v>0.52381</v>
      </c>
      <c r="G123" s="21">
        <v>0.16666700000000001</v>
      </c>
      <c r="H123" s="21">
        <v>0.2</v>
      </c>
    </row>
    <row r="124" spans="1:8">
      <c r="A124" s="4" t="s">
        <v>841</v>
      </c>
      <c r="B124" s="4">
        <v>10</v>
      </c>
      <c r="C124" s="21">
        <v>-0.465082</v>
      </c>
      <c r="D124" s="21">
        <v>-0.30976500000000001</v>
      </c>
      <c r="E124" s="21">
        <v>-0.38742399999999999</v>
      </c>
      <c r="F124" s="21">
        <v>0.61904800000000004</v>
      </c>
      <c r="G124" s="21">
        <v>0.33333299999999999</v>
      </c>
      <c r="H124" s="21">
        <v>0.4</v>
      </c>
    </row>
    <row r="125" spans="1:8">
      <c r="A125" s="4" t="s">
        <v>842</v>
      </c>
      <c r="B125" s="4">
        <v>1</v>
      </c>
      <c r="C125" s="21">
        <v>-0.71090500000000001</v>
      </c>
      <c r="D125" s="21">
        <v>-0.374415</v>
      </c>
      <c r="E125" s="21">
        <v>-0.54266000000000003</v>
      </c>
      <c r="F125" s="21">
        <v>0.38095200000000001</v>
      </c>
      <c r="G125" s="21">
        <v>0.33333299999999999</v>
      </c>
      <c r="H125" s="21">
        <v>0.6</v>
      </c>
    </row>
    <row r="126" spans="1:8">
      <c r="A126" s="4" t="s">
        <v>842</v>
      </c>
      <c r="B126" s="4">
        <v>2</v>
      </c>
      <c r="C126" s="21">
        <v>-0.76541999999999999</v>
      </c>
      <c r="D126" s="21">
        <v>-0.46600599999999998</v>
      </c>
      <c r="E126" s="21">
        <v>-0.61571299999999995</v>
      </c>
      <c r="F126" s="21">
        <v>0.238095</v>
      </c>
      <c r="G126" s="21">
        <v>0.25</v>
      </c>
      <c r="H126" s="21">
        <v>0.4</v>
      </c>
    </row>
    <row r="127" spans="1:8">
      <c r="A127" s="4" t="s">
        <v>842</v>
      </c>
      <c r="B127" s="4">
        <v>3</v>
      </c>
      <c r="C127" s="21">
        <v>-0.71113199999999999</v>
      </c>
      <c r="D127" s="21">
        <v>-0.48443900000000001</v>
      </c>
      <c r="E127" s="21">
        <v>-0.59778500000000001</v>
      </c>
      <c r="F127" s="21">
        <v>0.38095200000000001</v>
      </c>
      <c r="G127" s="21">
        <v>8.3333000000000004E-2</v>
      </c>
      <c r="H127" s="21">
        <v>0.2</v>
      </c>
    </row>
    <row r="128" spans="1:8">
      <c r="A128" s="4" t="s">
        <v>842</v>
      </c>
      <c r="B128" s="4">
        <v>4</v>
      </c>
      <c r="C128" s="21">
        <v>-0.62495900000000004</v>
      </c>
      <c r="D128" s="21">
        <v>-0.33080599999999999</v>
      </c>
      <c r="E128" s="21">
        <v>-0.47788199999999997</v>
      </c>
      <c r="F128" s="21">
        <v>0.19047600000000001</v>
      </c>
      <c r="G128" s="21">
        <v>0.16666700000000001</v>
      </c>
      <c r="H128" s="21">
        <v>0.4</v>
      </c>
    </row>
    <row r="129" spans="1:8">
      <c r="A129" s="4" t="s">
        <v>842</v>
      </c>
      <c r="B129" s="4">
        <v>5</v>
      </c>
      <c r="C129" s="21">
        <v>-0.78151400000000004</v>
      </c>
      <c r="D129" s="21">
        <v>-0.399202</v>
      </c>
      <c r="E129" s="21">
        <v>-0.59035800000000005</v>
      </c>
      <c r="F129" s="21">
        <v>0.238095</v>
      </c>
      <c r="G129" s="21">
        <v>0.41666700000000001</v>
      </c>
      <c r="H129" s="21">
        <v>0.4</v>
      </c>
    </row>
    <row r="130" spans="1:8">
      <c r="A130" s="4" t="s">
        <v>842</v>
      </c>
      <c r="B130" s="4">
        <v>6</v>
      </c>
      <c r="C130" s="21">
        <v>-0.56513899999999995</v>
      </c>
      <c r="D130" s="21">
        <v>-0.17181399999999999</v>
      </c>
      <c r="E130" s="21">
        <v>-0.36847600000000003</v>
      </c>
      <c r="F130" s="21">
        <v>0.38095200000000001</v>
      </c>
      <c r="G130" s="21">
        <v>0.41666700000000001</v>
      </c>
      <c r="H130" s="21">
        <v>0.6</v>
      </c>
    </row>
    <row r="131" spans="1:8">
      <c r="A131" s="4" t="s">
        <v>842</v>
      </c>
      <c r="B131" s="4">
        <v>7</v>
      </c>
      <c r="C131" s="21">
        <v>-0.76709799999999995</v>
      </c>
      <c r="D131" s="21">
        <v>-0.32989499999999999</v>
      </c>
      <c r="E131" s="21">
        <v>-0.54849599999999998</v>
      </c>
      <c r="F131" s="21">
        <v>0.28571400000000002</v>
      </c>
      <c r="G131" s="21">
        <v>0.16666700000000001</v>
      </c>
      <c r="H131" s="21">
        <v>0</v>
      </c>
    </row>
    <row r="132" spans="1:8">
      <c r="A132" s="4" t="s">
        <v>842</v>
      </c>
      <c r="B132" s="4">
        <v>8</v>
      </c>
      <c r="C132" s="21">
        <v>-0.56797600000000004</v>
      </c>
      <c r="D132" s="21">
        <v>-0.169102</v>
      </c>
      <c r="E132" s="21">
        <v>-0.36853900000000001</v>
      </c>
      <c r="F132" s="21">
        <v>0.33333299999999999</v>
      </c>
      <c r="G132" s="21">
        <v>0.33333299999999999</v>
      </c>
      <c r="H132" s="21">
        <v>0.4</v>
      </c>
    </row>
    <row r="133" spans="1:8">
      <c r="A133" s="4" t="s">
        <v>842</v>
      </c>
      <c r="B133" s="4">
        <v>9</v>
      </c>
      <c r="C133" s="21">
        <v>-0.93976300000000001</v>
      </c>
      <c r="D133" s="21">
        <v>-0.393007</v>
      </c>
      <c r="E133" s="21">
        <v>-0.66638500000000001</v>
      </c>
      <c r="F133" s="21">
        <v>0.28571400000000002</v>
      </c>
      <c r="G133" s="21">
        <v>0.25</v>
      </c>
      <c r="H133" s="21">
        <v>0.2</v>
      </c>
    </row>
    <row r="134" spans="1:8">
      <c r="A134" s="4" t="s">
        <v>842</v>
      </c>
      <c r="B134" s="4">
        <v>10</v>
      </c>
      <c r="C134" s="21">
        <v>-0.51635900000000001</v>
      </c>
      <c r="D134" s="21">
        <v>-0.170404</v>
      </c>
      <c r="E134" s="21">
        <v>-0.34338099999999999</v>
      </c>
      <c r="F134" s="21">
        <v>0.52381</v>
      </c>
      <c r="G134" s="21">
        <v>0.16666700000000001</v>
      </c>
      <c r="H134" s="21">
        <v>0</v>
      </c>
    </row>
    <row r="135" spans="1:8">
      <c r="A135" s="4" t="s">
        <v>843</v>
      </c>
      <c r="B135" s="4">
        <v>1</v>
      </c>
      <c r="C135" s="21">
        <v>-0.66297499999999998</v>
      </c>
      <c r="D135" s="21">
        <v>-0.31972800000000001</v>
      </c>
      <c r="E135" s="21">
        <v>-0.49135099999999998</v>
      </c>
      <c r="F135" s="21">
        <v>0.33333299999999999</v>
      </c>
      <c r="G135" s="21">
        <v>0.25</v>
      </c>
      <c r="H135" s="21">
        <v>0.2</v>
      </c>
    </row>
    <row r="136" spans="1:8">
      <c r="A136" s="4" t="s">
        <v>843</v>
      </c>
      <c r="B136" s="4">
        <v>2</v>
      </c>
      <c r="C136" s="21">
        <v>-0.59326000000000001</v>
      </c>
      <c r="D136" s="21">
        <v>-0.40100599999999997</v>
      </c>
      <c r="E136" s="21">
        <v>-0.49713299999999999</v>
      </c>
      <c r="F136" s="21">
        <v>0.38095200000000001</v>
      </c>
      <c r="G136" s="21">
        <v>0.16666700000000001</v>
      </c>
      <c r="H136" s="21">
        <v>0.2</v>
      </c>
    </row>
    <row r="137" spans="1:8">
      <c r="A137" s="4" t="s">
        <v>843</v>
      </c>
      <c r="B137" s="4">
        <v>3</v>
      </c>
      <c r="C137" s="21">
        <v>-1.0684070000000001</v>
      </c>
      <c r="D137" s="21">
        <v>-0.58754700000000004</v>
      </c>
      <c r="E137" s="21">
        <v>-0.82797699999999996</v>
      </c>
      <c r="F137" s="21">
        <v>0.42857099999999998</v>
      </c>
      <c r="G137" s="21">
        <v>0.16666700000000001</v>
      </c>
      <c r="H137" s="21">
        <v>0.2</v>
      </c>
    </row>
    <row r="138" spans="1:8">
      <c r="A138" s="4" t="s">
        <v>843</v>
      </c>
      <c r="B138" s="4">
        <v>4</v>
      </c>
      <c r="C138" s="21">
        <v>-1.0204420000000001</v>
      </c>
      <c r="D138" s="21">
        <v>-0.444907</v>
      </c>
      <c r="E138" s="21">
        <v>-0.73267499999999997</v>
      </c>
      <c r="F138" s="21">
        <v>0.42857099999999998</v>
      </c>
      <c r="G138" s="21">
        <v>0.25</v>
      </c>
      <c r="H138" s="21">
        <v>0.2</v>
      </c>
    </row>
    <row r="139" spans="1:8">
      <c r="A139" s="4" t="s">
        <v>843</v>
      </c>
      <c r="B139" s="4">
        <v>5</v>
      </c>
      <c r="C139" s="21">
        <v>-0.76250799999999996</v>
      </c>
      <c r="D139" s="21">
        <v>-0.49446099999999998</v>
      </c>
      <c r="E139" s="21">
        <v>-0.62848400000000004</v>
      </c>
      <c r="F139" s="21">
        <v>0.238095</v>
      </c>
      <c r="G139" s="21">
        <v>0.25</v>
      </c>
      <c r="H139" s="21">
        <v>0.2</v>
      </c>
    </row>
    <row r="140" spans="1:8">
      <c r="A140" s="4" t="s">
        <v>843</v>
      </c>
      <c r="B140" s="4">
        <v>6</v>
      </c>
      <c r="C140" s="21">
        <v>-0.80841399999999997</v>
      </c>
      <c r="D140" s="21">
        <v>-0.45773200000000003</v>
      </c>
      <c r="E140" s="21">
        <v>-0.633073</v>
      </c>
      <c r="F140" s="21">
        <v>0.28571400000000002</v>
      </c>
      <c r="G140" s="21">
        <v>0.16666700000000001</v>
      </c>
      <c r="H140" s="21">
        <v>0.2</v>
      </c>
    </row>
    <row r="141" spans="1:8">
      <c r="A141" s="4" t="s">
        <v>843</v>
      </c>
      <c r="B141" s="4">
        <v>7</v>
      </c>
      <c r="C141" s="21">
        <v>-0.70336200000000004</v>
      </c>
      <c r="D141" s="21">
        <v>-0.488373</v>
      </c>
      <c r="E141" s="21">
        <v>-0.59586700000000004</v>
      </c>
      <c r="F141" s="21">
        <v>0.47619</v>
      </c>
      <c r="G141" s="21">
        <v>0.16666700000000001</v>
      </c>
      <c r="H141" s="21">
        <v>0</v>
      </c>
    </row>
    <row r="142" spans="1:8">
      <c r="A142" s="4" t="s">
        <v>843</v>
      </c>
      <c r="B142" s="4">
        <v>8</v>
      </c>
      <c r="C142" s="21">
        <v>-0.90577300000000005</v>
      </c>
      <c r="D142" s="21">
        <v>-0.35121200000000002</v>
      </c>
      <c r="E142" s="21">
        <v>-0.62849200000000005</v>
      </c>
      <c r="F142" s="21">
        <v>0.47619</v>
      </c>
      <c r="G142" s="21">
        <v>0.25</v>
      </c>
      <c r="H142" s="21">
        <v>0.4</v>
      </c>
    </row>
    <row r="143" spans="1:8">
      <c r="A143" s="4" t="s">
        <v>843</v>
      </c>
      <c r="B143" s="4">
        <v>9</v>
      </c>
      <c r="C143" s="21">
        <v>-0.79311900000000002</v>
      </c>
      <c r="D143" s="21">
        <v>-0.61161900000000002</v>
      </c>
      <c r="E143" s="21">
        <v>-0.70236900000000002</v>
      </c>
      <c r="F143" s="21">
        <v>0.38095200000000001</v>
      </c>
      <c r="G143" s="21">
        <v>8.3333000000000004E-2</v>
      </c>
      <c r="H143" s="21">
        <v>0</v>
      </c>
    </row>
    <row r="144" spans="1:8">
      <c r="A144" s="4" t="s">
        <v>843</v>
      </c>
      <c r="B144" s="4">
        <v>10</v>
      </c>
      <c r="C144" s="21">
        <v>-0.99373699999999998</v>
      </c>
      <c r="D144" s="21">
        <v>-0.52951800000000004</v>
      </c>
      <c r="E144" s="21">
        <v>-0.76162700000000005</v>
      </c>
      <c r="F144" s="21">
        <v>0.38095200000000001</v>
      </c>
      <c r="G144" s="21">
        <v>0.16666700000000001</v>
      </c>
      <c r="H144" s="21">
        <v>0</v>
      </c>
    </row>
    <row r="145" spans="1:8">
      <c r="A145" s="4" t="s">
        <v>844</v>
      </c>
      <c r="B145" s="4">
        <v>1</v>
      </c>
      <c r="C145" s="21">
        <v>-0.95800799999999997</v>
      </c>
      <c r="D145" s="21">
        <v>-0.59253999999999996</v>
      </c>
      <c r="E145" s="21">
        <v>-0.77527400000000002</v>
      </c>
      <c r="F145" s="21">
        <v>0.38095200000000001</v>
      </c>
      <c r="G145" s="21">
        <v>8.3333000000000004E-2</v>
      </c>
      <c r="H145" s="21">
        <v>0.2</v>
      </c>
    </row>
    <row r="146" spans="1:8">
      <c r="A146" s="4" t="s">
        <v>844</v>
      </c>
      <c r="B146" s="4">
        <v>2</v>
      </c>
      <c r="C146" s="21">
        <v>-0.95263299999999995</v>
      </c>
      <c r="D146" s="21">
        <v>-0.43076599999999998</v>
      </c>
      <c r="E146" s="21">
        <v>-0.69169899999999995</v>
      </c>
      <c r="F146" s="21">
        <v>0.52381</v>
      </c>
      <c r="G146" s="21">
        <v>0</v>
      </c>
      <c r="H146" s="21">
        <v>0</v>
      </c>
    </row>
    <row r="147" spans="1:8">
      <c r="A147" s="4" t="s">
        <v>844</v>
      </c>
      <c r="B147" s="4">
        <v>3</v>
      </c>
      <c r="C147" s="21">
        <v>-0.49628699999999998</v>
      </c>
      <c r="D147" s="21">
        <v>-0.43047600000000003</v>
      </c>
      <c r="E147" s="21">
        <v>-0.46338099999999999</v>
      </c>
      <c r="F147" s="21">
        <v>0.52381</v>
      </c>
      <c r="G147" s="21">
        <v>0.41666700000000001</v>
      </c>
      <c r="H147" s="21">
        <v>0.4</v>
      </c>
    </row>
    <row r="148" spans="1:8">
      <c r="A148" s="4" t="s">
        <v>844</v>
      </c>
      <c r="B148" s="4">
        <v>4</v>
      </c>
      <c r="C148" s="21">
        <v>-0.79491199999999995</v>
      </c>
      <c r="D148" s="21">
        <v>-0.46949999999999997</v>
      </c>
      <c r="E148" s="21">
        <v>-0.63220600000000005</v>
      </c>
      <c r="F148" s="21">
        <v>0.38095200000000001</v>
      </c>
      <c r="G148" s="21">
        <v>0.25</v>
      </c>
      <c r="H148" s="21">
        <v>0.2</v>
      </c>
    </row>
    <row r="149" spans="1:8">
      <c r="A149" s="4" t="s">
        <v>844</v>
      </c>
      <c r="B149" s="4">
        <v>5</v>
      </c>
      <c r="C149" s="21">
        <v>-0.90912099999999996</v>
      </c>
      <c r="D149" s="21">
        <v>-0.48531400000000002</v>
      </c>
      <c r="E149" s="21">
        <v>-0.697218</v>
      </c>
      <c r="F149" s="21">
        <v>0.38095200000000001</v>
      </c>
      <c r="G149" s="21">
        <v>0.16666700000000001</v>
      </c>
      <c r="H149" s="21">
        <v>0.2</v>
      </c>
    </row>
    <row r="150" spans="1:8">
      <c r="A150" s="4" t="s">
        <v>844</v>
      </c>
      <c r="B150" s="4">
        <v>6</v>
      </c>
      <c r="C150" s="21">
        <v>-0.76788100000000004</v>
      </c>
      <c r="D150" s="21">
        <v>-0.49622300000000003</v>
      </c>
      <c r="E150" s="21">
        <v>-0.63205199999999995</v>
      </c>
      <c r="F150" s="21">
        <v>0.38095200000000001</v>
      </c>
      <c r="G150" s="21">
        <v>0.25</v>
      </c>
      <c r="H150" s="21">
        <v>0.4</v>
      </c>
    </row>
    <row r="151" spans="1:8">
      <c r="A151" s="4" t="s">
        <v>844</v>
      </c>
      <c r="B151" s="4">
        <v>7</v>
      </c>
      <c r="C151" s="21">
        <v>-0.87787700000000002</v>
      </c>
      <c r="D151" s="21">
        <v>-0.42863299999999999</v>
      </c>
      <c r="E151" s="21">
        <v>-0.65325500000000003</v>
      </c>
      <c r="F151" s="21">
        <v>0.19047600000000001</v>
      </c>
      <c r="G151" s="21">
        <v>8.3333000000000004E-2</v>
      </c>
      <c r="H151" s="21">
        <v>0.2</v>
      </c>
    </row>
    <row r="152" spans="1:8">
      <c r="A152" s="4" t="s">
        <v>844</v>
      </c>
      <c r="B152" s="4">
        <v>8</v>
      </c>
      <c r="C152" s="21">
        <v>-0.81028</v>
      </c>
      <c r="D152" s="21">
        <v>-0.61278200000000005</v>
      </c>
      <c r="E152" s="21">
        <v>-0.71153100000000002</v>
      </c>
      <c r="F152" s="21">
        <v>0.42857099999999998</v>
      </c>
      <c r="G152" s="21">
        <v>8.3333000000000004E-2</v>
      </c>
      <c r="H152" s="21">
        <v>0.2</v>
      </c>
    </row>
    <row r="153" spans="1:8">
      <c r="A153" s="4" t="s">
        <v>844</v>
      </c>
      <c r="B153" s="4">
        <v>9</v>
      </c>
      <c r="C153" s="21">
        <v>-0.67760100000000001</v>
      </c>
      <c r="D153" s="21">
        <v>-0.24698999999999999</v>
      </c>
      <c r="E153" s="21">
        <v>-0.46229500000000001</v>
      </c>
      <c r="F153" s="21">
        <v>0.38095200000000001</v>
      </c>
      <c r="G153" s="21">
        <v>8.3333000000000004E-2</v>
      </c>
      <c r="H153" s="21">
        <v>0</v>
      </c>
    </row>
    <row r="154" spans="1:8">
      <c r="A154" s="4" t="s">
        <v>844</v>
      </c>
      <c r="B154" s="4">
        <v>10</v>
      </c>
      <c r="C154" s="21">
        <v>-0.72644399999999998</v>
      </c>
      <c r="D154" s="21">
        <v>-0.351211</v>
      </c>
      <c r="E154" s="21">
        <v>-0.53882699999999994</v>
      </c>
      <c r="F154" s="21">
        <v>0.238095</v>
      </c>
      <c r="G154" s="21">
        <v>0.41666700000000001</v>
      </c>
      <c r="H154" s="21">
        <v>0.6</v>
      </c>
    </row>
    <row r="155" spans="1:8">
      <c r="A155" s="4" t="s">
        <v>845</v>
      </c>
      <c r="B155" s="4">
        <v>1</v>
      </c>
      <c r="C155" s="21">
        <v>-0.67966000000000004</v>
      </c>
      <c r="D155" s="21">
        <v>-0.19131600000000001</v>
      </c>
      <c r="E155" s="21">
        <v>-0.43548799999999999</v>
      </c>
      <c r="F155" s="21">
        <v>0.38095200000000001</v>
      </c>
      <c r="G155" s="21">
        <v>0.25</v>
      </c>
      <c r="H155" s="21">
        <v>0.2</v>
      </c>
    </row>
    <row r="156" spans="1:8">
      <c r="A156" s="4" t="s">
        <v>845</v>
      </c>
      <c r="B156" s="4">
        <v>2</v>
      </c>
      <c r="C156" s="21">
        <v>-0.66532999999999998</v>
      </c>
      <c r="D156" s="21">
        <v>-0.29147200000000001</v>
      </c>
      <c r="E156" s="21">
        <v>-0.47840100000000002</v>
      </c>
      <c r="F156" s="21">
        <v>0.52381</v>
      </c>
      <c r="G156" s="21">
        <v>0.41666700000000001</v>
      </c>
      <c r="H156" s="21">
        <v>0.6</v>
      </c>
    </row>
    <row r="157" spans="1:8">
      <c r="A157" s="4" t="s">
        <v>845</v>
      </c>
      <c r="B157" s="4">
        <v>3</v>
      </c>
      <c r="C157" s="21">
        <v>-0.91011799999999998</v>
      </c>
      <c r="D157" s="21">
        <v>-0.50147200000000003</v>
      </c>
      <c r="E157" s="21">
        <v>-0.70579499999999995</v>
      </c>
      <c r="F157" s="21">
        <v>0.47619</v>
      </c>
      <c r="G157" s="21">
        <v>8.3333000000000004E-2</v>
      </c>
      <c r="H157" s="21">
        <v>0.2</v>
      </c>
    </row>
    <row r="158" spans="1:8">
      <c r="A158" s="4" t="s">
        <v>845</v>
      </c>
      <c r="B158" s="4">
        <v>4</v>
      </c>
      <c r="C158" s="21">
        <v>-0.50200999999999996</v>
      </c>
      <c r="D158" s="21">
        <v>-0.252697</v>
      </c>
      <c r="E158" s="21">
        <v>-0.37735400000000002</v>
      </c>
      <c r="F158" s="21">
        <v>0.38095200000000001</v>
      </c>
      <c r="G158" s="21">
        <v>0.33333299999999999</v>
      </c>
      <c r="H158" s="21">
        <v>0.2</v>
      </c>
    </row>
    <row r="159" spans="1:8">
      <c r="A159" s="4" t="s">
        <v>845</v>
      </c>
      <c r="B159" s="4">
        <v>5</v>
      </c>
      <c r="C159" s="21">
        <v>-0.62826400000000004</v>
      </c>
      <c r="D159" s="21">
        <v>-0.29961399999999999</v>
      </c>
      <c r="E159" s="21">
        <v>-0.46393899999999999</v>
      </c>
      <c r="F159" s="21">
        <v>0.42857099999999998</v>
      </c>
      <c r="G159" s="21">
        <v>0.33333299999999999</v>
      </c>
      <c r="H159" s="21">
        <v>0</v>
      </c>
    </row>
    <row r="160" spans="1:8">
      <c r="A160" s="4" t="s">
        <v>845</v>
      </c>
      <c r="B160" s="4">
        <v>6</v>
      </c>
      <c r="C160" s="21">
        <v>-0.80932599999999999</v>
      </c>
      <c r="D160" s="21">
        <v>-0.44573600000000002</v>
      </c>
      <c r="E160" s="21">
        <v>-0.62753099999999995</v>
      </c>
      <c r="F160" s="21">
        <v>0.33333299999999999</v>
      </c>
      <c r="G160" s="21">
        <v>8.3333000000000004E-2</v>
      </c>
      <c r="H160" s="21">
        <v>0</v>
      </c>
    </row>
    <row r="161" spans="1:8">
      <c r="A161" s="4" t="s">
        <v>845</v>
      </c>
      <c r="B161" s="4">
        <v>7</v>
      </c>
      <c r="C161" s="21">
        <v>-0.83178099999999999</v>
      </c>
      <c r="D161" s="21">
        <v>-0.53231700000000004</v>
      </c>
      <c r="E161" s="21">
        <v>-0.68204900000000002</v>
      </c>
      <c r="F161" s="21">
        <v>0.19047600000000001</v>
      </c>
      <c r="G161" s="21">
        <v>0.33333299999999999</v>
      </c>
      <c r="H161" s="21">
        <v>0.4</v>
      </c>
    </row>
    <row r="162" spans="1:8">
      <c r="A162" s="4" t="s">
        <v>845</v>
      </c>
      <c r="B162" s="4">
        <v>8</v>
      </c>
      <c r="C162" s="21">
        <v>-0.83712399999999998</v>
      </c>
      <c r="D162" s="21">
        <v>-0.58584599999999998</v>
      </c>
      <c r="E162" s="21">
        <v>-0.71148500000000003</v>
      </c>
      <c r="F162" s="21">
        <v>0.33333299999999999</v>
      </c>
      <c r="G162" s="21">
        <v>8.3333000000000004E-2</v>
      </c>
      <c r="H162" s="21">
        <v>0</v>
      </c>
    </row>
    <row r="163" spans="1:8">
      <c r="A163" s="4" t="s">
        <v>845</v>
      </c>
      <c r="B163" s="4">
        <v>9</v>
      </c>
      <c r="C163" s="21">
        <v>-0.70575699999999997</v>
      </c>
      <c r="D163" s="21">
        <v>-0.35516999999999999</v>
      </c>
      <c r="E163" s="21">
        <v>-0.53046300000000002</v>
      </c>
      <c r="F163" s="21">
        <v>0.52381</v>
      </c>
      <c r="G163" s="21">
        <v>0.25</v>
      </c>
      <c r="H163" s="21">
        <v>0.4</v>
      </c>
    </row>
    <row r="164" spans="1:8">
      <c r="A164" s="4" t="s">
        <v>845</v>
      </c>
      <c r="B164" s="4">
        <v>10</v>
      </c>
      <c r="C164" s="21">
        <v>-0.71548699999999998</v>
      </c>
      <c r="D164" s="21">
        <v>-0.38729000000000002</v>
      </c>
      <c r="E164" s="21">
        <v>-0.55138799999999999</v>
      </c>
      <c r="F164" s="21">
        <v>0.28571400000000002</v>
      </c>
      <c r="G164" s="21">
        <v>0.33333299999999999</v>
      </c>
      <c r="H164" s="21">
        <v>0.4</v>
      </c>
    </row>
    <row r="165" spans="1:8">
      <c r="A165" s="4" t="s">
        <v>846</v>
      </c>
      <c r="B165" s="4">
        <v>1</v>
      </c>
      <c r="C165" s="21">
        <v>-0.68871800000000005</v>
      </c>
      <c r="D165" s="21">
        <v>-0.55918000000000001</v>
      </c>
      <c r="E165" s="21">
        <v>-0.62394899999999998</v>
      </c>
      <c r="F165" s="21">
        <v>0.38095200000000001</v>
      </c>
      <c r="G165" s="21">
        <v>0.25</v>
      </c>
      <c r="H165" s="21">
        <v>0.2</v>
      </c>
    </row>
    <row r="166" spans="1:8">
      <c r="A166" s="4" t="s">
        <v>846</v>
      </c>
      <c r="B166" s="4">
        <v>2</v>
      </c>
      <c r="C166" s="21">
        <v>-0.598777</v>
      </c>
      <c r="D166" s="21">
        <v>-0.46059299999999997</v>
      </c>
      <c r="E166" s="21">
        <v>-0.52968499999999996</v>
      </c>
      <c r="F166" s="21">
        <v>0.238095</v>
      </c>
      <c r="G166" s="21">
        <v>0.25</v>
      </c>
      <c r="H166" s="21">
        <v>0.4</v>
      </c>
    </row>
    <row r="167" spans="1:8">
      <c r="A167" s="4" t="s">
        <v>846</v>
      </c>
      <c r="B167" s="4">
        <v>3</v>
      </c>
      <c r="C167" s="21">
        <v>-0.50725900000000002</v>
      </c>
      <c r="D167" s="21">
        <v>-0.32993699999999998</v>
      </c>
      <c r="E167" s="21">
        <v>-0.41859800000000003</v>
      </c>
      <c r="F167" s="21">
        <v>0.47619</v>
      </c>
      <c r="G167" s="21">
        <v>0.5</v>
      </c>
      <c r="H167" s="21">
        <v>0.2</v>
      </c>
    </row>
    <row r="168" spans="1:8">
      <c r="A168" s="4" t="s">
        <v>846</v>
      </c>
      <c r="B168" s="4">
        <v>4</v>
      </c>
      <c r="C168" s="21">
        <v>-0.71863500000000002</v>
      </c>
      <c r="D168" s="21">
        <v>-0.312917</v>
      </c>
      <c r="E168" s="21">
        <v>-0.51577600000000001</v>
      </c>
      <c r="F168" s="21">
        <v>0.38095200000000001</v>
      </c>
      <c r="G168" s="21">
        <v>0.25</v>
      </c>
      <c r="H168" s="21">
        <v>0</v>
      </c>
    </row>
    <row r="169" spans="1:8">
      <c r="A169" s="4" t="s">
        <v>846</v>
      </c>
      <c r="B169" s="4">
        <v>5</v>
      </c>
      <c r="C169" s="21">
        <v>-0.54785399999999995</v>
      </c>
      <c r="D169" s="21">
        <v>-0.45580799999999999</v>
      </c>
      <c r="E169" s="21">
        <v>-0.50183100000000003</v>
      </c>
      <c r="F169" s="21">
        <v>0.61904800000000004</v>
      </c>
      <c r="G169" s="21">
        <v>0.41666700000000001</v>
      </c>
      <c r="H169" s="21">
        <v>0.2</v>
      </c>
    </row>
    <row r="170" spans="1:8">
      <c r="A170" s="4" t="s">
        <v>846</v>
      </c>
      <c r="B170" s="4">
        <v>6</v>
      </c>
      <c r="C170" s="21">
        <v>-0.83555900000000005</v>
      </c>
      <c r="D170" s="21">
        <v>-0.57519299999999995</v>
      </c>
      <c r="E170" s="21">
        <v>-0.705376</v>
      </c>
      <c r="F170" s="21">
        <v>0.38095200000000001</v>
      </c>
      <c r="G170" s="21">
        <v>0.16666700000000001</v>
      </c>
      <c r="H170" s="21">
        <v>0.2</v>
      </c>
    </row>
    <row r="171" spans="1:8">
      <c r="A171" s="4" t="s">
        <v>846</v>
      </c>
      <c r="B171" s="4">
        <v>7</v>
      </c>
      <c r="C171" s="21">
        <v>-0.88592899999999997</v>
      </c>
      <c r="D171" s="21">
        <v>-0.56535500000000005</v>
      </c>
      <c r="E171" s="21">
        <v>-0.72564200000000001</v>
      </c>
      <c r="F171" s="21">
        <v>0.52381</v>
      </c>
      <c r="G171" s="21">
        <v>0.16666700000000001</v>
      </c>
      <c r="H171" s="21">
        <v>0.2</v>
      </c>
    </row>
    <row r="172" spans="1:8">
      <c r="A172" s="4" t="s">
        <v>846</v>
      </c>
      <c r="B172" s="4">
        <v>8</v>
      </c>
      <c r="C172" s="21">
        <v>-0.86064300000000005</v>
      </c>
      <c r="D172" s="21">
        <v>-0.396422</v>
      </c>
      <c r="E172" s="21">
        <v>-0.62853300000000001</v>
      </c>
      <c r="F172" s="21">
        <v>0.33333299999999999</v>
      </c>
      <c r="G172" s="21">
        <v>0.41666700000000001</v>
      </c>
      <c r="H172" s="21">
        <v>0.4</v>
      </c>
    </row>
    <row r="173" spans="1:8">
      <c r="A173" s="4" t="s">
        <v>846</v>
      </c>
      <c r="B173" s="4">
        <v>9</v>
      </c>
      <c r="C173" s="21">
        <v>-0.82272999999999996</v>
      </c>
      <c r="D173" s="21">
        <v>-0.57994500000000004</v>
      </c>
      <c r="E173" s="21">
        <v>-0.70133699999999999</v>
      </c>
      <c r="F173" s="21">
        <v>0.38095200000000001</v>
      </c>
      <c r="G173" s="21">
        <v>0.41666700000000001</v>
      </c>
      <c r="H173" s="21">
        <v>0.4</v>
      </c>
    </row>
    <row r="174" spans="1:8">
      <c r="A174" s="4" t="s">
        <v>846</v>
      </c>
      <c r="B174" s="4">
        <v>10</v>
      </c>
      <c r="C174" s="21">
        <v>-0.73489599999999999</v>
      </c>
      <c r="D174" s="21">
        <v>-0.27667599999999998</v>
      </c>
      <c r="E174" s="21">
        <v>-0.50578599999999996</v>
      </c>
      <c r="F174" s="21">
        <v>0.42857099999999998</v>
      </c>
      <c r="G174" s="21">
        <v>0.5</v>
      </c>
      <c r="H174" s="21">
        <v>0.8</v>
      </c>
    </row>
    <row r="175" spans="1:8">
      <c r="A175" s="4" t="s">
        <v>847</v>
      </c>
      <c r="B175" s="4">
        <v>1</v>
      </c>
      <c r="C175" s="21">
        <v>-0.87004099999999995</v>
      </c>
      <c r="D175" s="21">
        <v>-0.57803800000000005</v>
      </c>
      <c r="E175" s="21">
        <v>-0.72404000000000002</v>
      </c>
      <c r="F175" s="21">
        <v>0.57142899999999996</v>
      </c>
      <c r="G175" s="21">
        <v>0.16666700000000001</v>
      </c>
      <c r="H175" s="21">
        <v>0.2</v>
      </c>
    </row>
    <row r="176" spans="1:8">
      <c r="A176" s="4" t="s">
        <v>847</v>
      </c>
      <c r="B176" s="4">
        <v>2</v>
      </c>
      <c r="C176" s="21">
        <v>-0.94239799999999996</v>
      </c>
      <c r="D176" s="21">
        <v>-0.52918299999999996</v>
      </c>
      <c r="E176" s="21">
        <v>-0.73579000000000006</v>
      </c>
      <c r="F176" s="21">
        <v>0.33333299999999999</v>
      </c>
      <c r="G176" s="21">
        <v>0.33333299999999999</v>
      </c>
      <c r="H176" s="21">
        <v>0.4</v>
      </c>
    </row>
    <row r="177" spans="1:8">
      <c r="A177" s="4" t="s">
        <v>847</v>
      </c>
      <c r="B177" s="4">
        <v>3</v>
      </c>
      <c r="C177" s="21">
        <v>-0.90058199999999999</v>
      </c>
      <c r="D177" s="21">
        <v>-0.59701599999999999</v>
      </c>
      <c r="E177" s="21">
        <v>-0.74879899999999999</v>
      </c>
      <c r="F177" s="21">
        <v>0.33333299999999999</v>
      </c>
      <c r="G177" s="21">
        <v>0.16666700000000001</v>
      </c>
      <c r="H177" s="21">
        <v>0.4</v>
      </c>
    </row>
    <row r="178" spans="1:8">
      <c r="A178" s="4" t="s">
        <v>847</v>
      </c>
      <c r="B178" s="4">
        <v>4</v>
      </c>
      <c r="C178" s="21">
        <v>-1.04867</v>
      </c>
      <c r="D178" s="21">
        <v>-0.53763300000000003</v>
      </c>
      <c r="E178" s="21">
        <v>-0.79315199999999997</v>
      </c>
      <c r="F178" s="21">
        <v>0.238095</v>
      </c>
      <c r="G178" s="21">
        <v>0</v>
      </c>
      <c r="H178" s="21">
        <v>0</v>
      </c>
    </row>
    <row r="179" spans="1:8">
      <c r="A179" s="4" t="s">
        <v>847</v>
      </c>
      <c r="B179" s="4">
        <v>5</v>
      </c>
      <c r="C179" s="21">
        <v>-0.73936000000000002</v>
      </c>
      <c r="D179" s="21">
        <v>-0.34711799999999998</v>
      </c>
      <c r="E179" s="21">
        <v>-0.54323900000000003</v>
      </c>
      <c r="F179" s="21">
        <v>0.238095</v>
      </c>
      <c r="G179" s="21">
        <v>0.25</v>
      </c>
      <c r="H179" s="21">
        <v>0.4</v>
      </c>
    </row>
    <row r="180" spans="1:8">
      <c r="A180" s="4" t="s">
        <v>847</v>
      </c>
      <c r="B180" s="4">
        <v>6</v>
      </c>
      <c r="C180" s="21">
        <v>-0.56325599999999998</v>
      </c>
      <c r="D180" s="21">
        <v>-0.14640800000000001</v>
      </c>
      <c r="E180" s="21">
        <v>-0.35483199999999998</v>
      </c>
      <c r="F180" s="21">
        <v>0.28571400000000002</v>
      </c>
      <c r="G180" s="21">
        <v>0.33333299999999999</v>
      </c>
      <c r="H180" s="21">
        <v>0.2</v>
      </c>
    </row>
    <row r="181" spans="1:8">
      <c r="A181" s="4" t="s">
        <v>847</v>
      </c>
      <c r="B181" s="4">
        <v>7</v>
      </c>
      <c r="C181" s="21">
        <v>-0.93096400000000001</v>
      </c>
      <c r="D181" s="21">
        <v>-0.43025999999999998</v>
      </c>
      <c r="E181" s="21">
        <v>-0.68061199999999999</v>
      </c>
      <c r="F181" s="21">
        <v>0.38095200000000001</v>
      </c>
      <c r="G181" s="21">
        <v>8.3333000000000004E-2</v>
      </c>
      <c r="H181" s="21">
        <v>0</v>
      </c>
    </row>
    <row r="182" spans="1:8">
      <c r="A182" s="4" t="s">
        <v>847</v>
      </c>
      <c r="B182" s="4">
        <v>8</v>
      </c>
      <c r="C182" s="21">
        <v>-0.74758400000000003</v>
      </c>
      <c r="D182" s="21">
        <v>-0.39892300000000003</v>
      </c>
      <c r="E182" s="21">
        <v>-0.57325300000000001</v>
      </c>
      <c r="F182" s="21">
        <v>0.28571400000000002</v>
      </c>
      <c r="G182" s="21">
        <v>0.33333299999999999</v>
      </c>
      <c r="H182" s="21">
        <v>0.2</v>
      </c>
    </row>
    <row r="183" spans="1:8">
      <c r="A183" s="4" t="s">
        <v>847</v>
      </c>
      <c r="B183" s="4">
        <v>9</v>
      </c>
      <c r="C183" s="21">
        <v>-0.48103699999999999</v>
      </c>
      <c r="D183" s="21">
        <v>-6.9783999999999999E-2</v>
      </c>
      <c r="E183" s="21">
        <v>-0.27541100000000002</v>
      </c>
      <c r="F183" s="21">
        <v>0.33333299999999999</v>
      </c>
      <c r="G183" s="21">
        <v>0.16666700000000001</v>
      </c>
      <c r="H183" s="21">
        <v>0</v>
      </c>
    </row>
    <row r="184" spans="1:8">
      <c r="A184" s="4" t="s">
        <v>847</v>
      </c>
      <c r="B184" s="4">
        <v>10</v>
      </c>
      <c r="C184" s="21">
        <v>-1.1045609999999999</v>
      </c>
      <c r="D184" s="21">
        <v>-0.57638999999999996</v>
      </c>
      <c r="E184" s="21">
        <v>-0.84047499999999997</v>
      </c>
      <c r="F184" s="21">
        <v>0.38095200000000001</v>
      </c>
      <c r="G184" s="21">
        <v>0.25</v>
      </c>
      <c r="H184" s="21">
        <v>0.6</v>
      </c>
    </row>
    <row r="185" spans="1:8">
      <c r="A185" s="4" t="s">
        <v>848</v>
      </c>
      <c r="B185" s="4">
        <v>1</v>
      </c>
      <c r="C185" s="21">
        <v>-0.54648699999999995</v>
      </c>
      <c r="D185" s="21">
        <v>-0.295651</v>
      </c>
      <c r="E185" s="21">
        <v>-0.42106900000000003</v>
      </c>
      <c r="F185" s="21">
        <v>0.33333299999999999</v>
      </c>
      <c r="G185" s="21">
        <v>0.33333299999999999</v>
      </c>
      <c r="H185" s="21">
        <v>0.4</v>
      </c>
    </row>
    <row r="186" spans="1:8">
      <c r="A186" s="4" t="s">
        <v>848</v>
      </c>
      <c r="B186" s="4">
        <v>2</v>
      </c>
      <c r="C186" s="21">
        <v>-0.78001900000000002</v>
      </c>
      <c r="D186" s="21">
        <v>-0.423267</v>
      </c>
      <c r="E186" s="21">
        <v>-0.60164300000000004</v>
      </c>
      <c r="F186" s="21">
        <v>0.42857099999999998</v>
      </c>
      <c r="G186" s="21">
        <v>8.3333000000000004E-2</v>
      </c>
      <c r="H186" s="21">
        <v>0.2</v>
      </c>
    </row>
    <row r="187" spans="1:8">
      <c r="A187" s="4" t="s">
        <v>848</v>
      </c>
      <c r="B187" s="4">
        <v>3</v>
      </c>
      <c r="C187" s="21">
        <v>-0.83626699999999998</v>
      </c>
      <c r="D187" s="21">
        <v>-0.28242099999999998</v>
      </c>
      <c r="E187" s="21">
        <v>-0.55934399999999995</v>
      </c>
      <c r="F187" s="21">
        <v>0.38095200000000001</v>
      </c>
      <c r="G187" s="21">
        <v>0.16666700000000001</v>
      </c>
      <c r="H187" s="21">
        <v>0.2</v>
      </c>
    </row>
    <row r="188" spans="1:8">
      <c r="A188" s="4" t="s">
        <v>848</v>
      </c>
      <c r="B188" s="4">
        <v>4</v>
      </c>
      <c r="C188" s="21">
        <v>-0.71896700000000002</v>
      </c>
      <c r="D188" s="21">
        <v>-0.40344999999999998</v>
      </c>
      <c r="E188" s="21">
        <v>-0.56120800000000004</v>
      </c>
      <c r="F188" s="21">
        <v>0.42857099999999998</v>
      </c>
      <c r="G188" s="21">
        <v>0.16666700000000001</v>
      </c>
      <c r="H188" s="21">
        <v>0</v>
      </c>
    </row>
    <row r="189" spans="1:8">
      <c r="A189" s="4" t="s">
        <v>848</v>
      </c>
      <c r="B189" s="4">
        <v>5</v>
      </c>
      <c r="C189" s="21">
        <v>-1.040918</v>
      </c>
      <c r="D189" s="21">
        <v>-0.48481099999999999</v>
      </c>
      <c r="E189" s="21">
        <v>-0.76286500000000002</v>
      </c>
      <c r="F189" s="21">
        <v>0.33333299999999999</v>
      </c>
      <c r="G189" s="21">
        <v>0.16666700000000001</v>
      </c>
      <c r="H189" s="21">
        <v>0.2</v>
      </c>
    </row>
    <row r="190" spans="1:8">
      <c r="A190" s="4" t="s">
        <v>848</v>
      </c>
      <c r="B190" s="4">
        <v>6</v>
      </c>
      <c r="C190" s="21">
        <v>-0.80033399999999999</v>
      </c>
      <c r="D190" s="21">
        <v>-0.43370999999999998</v>
      </c>
      <c r="E190" s="21">
        <v>-0.61702199999999996</v>
      </c>
      <c r="F190" s="21">
        <v>0.238095</v>
      </c>
      <c r="G190" s="21">
        <v>8.3333000000000004E-2</v>
      </c>
      <c r="H190" s="21">
        <v>0.2</v>
      </c>
    </row>
    <row r="191" spans="1:8">
      <c r="A191" s="4" t="s">
        <v>848</v>
      </c>
      <c r="B191" s="4">
        <v>7</v>
      </c>
      <c r="C191" s="21">
        <v>-0.767702</v>
      </c>
      <c r="D191" s="21">
        <v>-0.52022100000000004</v>
      </c>
      <c r="E191" s="21">
        <v>-0.64396100000000001</v>
      </c>
      <c r="F191" s="21">
        <v>0.19047600000000001</v>
      </c>
      <c r="G191" s="21">
        <v>0.25</v>
      </c>
      <c r="H191" s="21">
        <v>0.4</v>
      </c>
    </row>
    <row r="192" spans="1:8">
      <c r="A192" s="4" t="s">
        <v>848</v>
      </c>
      <c r="B192" s="4">
        <v>8</v>
      </c>
      <c r="C192" s="21">
        <v>-0.85482999999999998</v>
      </c>
      <c r="D192" s="21">
        <v>-0.47398099999999999</v>
      </c>
      <c r="E192" s="21">
        <v>-0.66440500000000002</v>
      </c>
      <c r="F192" s="21">
        <v>0.57142899999999996</v>
      </c>
      <c r="G192" s="21">
        <v>0.16666700000000001</v>
      </c>
      <c r="H192" s="21">
        <v>0</v>
      </c>
    </row>
    <row r="193" spans="1:8">
      <c r="A193" s="4" t="s">
        <v>848</v>
      </c>
      <c r="B193" s="4">
        <v>9</v>
      </c>
      <c r="C193" s="21">
        <v>-0.83381400000000006</v>
      </c>
      <c r="D193" s="21">
        <v>-0.53372399999999998</v>
      </c>
      <c r="E193" s="21">
        <v>-0.68376899999999996</v>
      </c>
      <c r="F193" s="21">
        <v>0.33333299999999999</v>
      </c>
      <c r="G193" s="21">
        <v>0.33333299999999999</v>
      </c>
      <c r="H193" s="21">
        <v>0.6</v>
      </c>
    </row>
    <row r="194" spans="1:8">
      <c r="A194" s="4" t="s">
        <v>848</v>
      </c>
      <c r="B194" s="4">
        <v>10</v>
      </c>
      <c r="C194" s="21">
        <v>-0.894903</v>
      </c>
      <c r="D194" s="21">
        <v>-0.35508200000000001</v>
      </c>
      <c r="E194" s="21">
        <v>-0.62499300000000002</v>
      </c>
      <c r="F194" s="21">
        <v>0.28571400000000002</v>
      </c>
      <c r="G194" s="21">
        <v>0.16666700000000001</v>
      </c>
      <c r="H194" s="21">
        <v>0</v>
      </c>
    </row>
    <row r="195" spans="1:8">
      <c r="A195" s="4" t="s">
        <v>849</v>
      </c>
      <c r="B195" s="4">
        <v>1</v>
      </c>
      <c r="C195" s="21">
        <v>-0.52496399999999999</v>
      </c>
      <c r="D195" s="21">
        <v>-0.35478599999999999</v>
      </c>
      <c r="E195" s="21">
        <v>-0.43987500000000002</v>
      </c>
      <c r="F195" s="21">
        <v>0.52381</v>
      </c>
      <c r="G195" s="21">
        <v>0.16666700000000001</v>
      </c>
      <c r="H195" s="21">
        <v>0</v>
      </c>
    </row>
    <row r="196" spans="1:8">
      <c r="A196" s="4" t="s">
        <v>849</v>
      </c>
      <c r="B196" s="4">
        <v>2</v>
      </c>
      <c r="C196" s="21">
        <v>-0.99135700000000004</v>
      </c>
      <c r="D196" s="21">
        <v>-0.55827800000000005</v>
      </c>
      <c r="E196" s="21">
        <v>-0.77481699999999998</v>
      </c>
      <c r="F196" s="21">
        <v>0.42857099999999998</v>
      </c>
      <c r="G196" s="21">
        <v>0.16666700000000001</v>
      </c>
      <c r="H196" s="21">
        <v>0.2</v>
      </c>
    </row>
    <row r="197" spans="1:8">
      <c r="A197" s="4" t="s">
        <v>849</v>
      </c>
      <c r="B197" s="4">
        <v>3</v>
      </c>
      <c r="C197" s="21">
        <v>-1.0498289999999999</v>
      </c>
      <c r="D197" s="21">
        <v>-0.53537100000000004</v>
      </c>
      <c r="E197" s="21">
        <v>-0.79259999999999997</v>
      </c>
      <c r="F197" s="21">
        <v>0.52381</v>
      </c>
      <c r="G197" s="21">
        <v>8.3333000000000004E-2</v>
      </c>
      <c r="H197" s="21">
        <v>0</v>
      </c>
    </row>
    <row r="198" spans="1:8">
      <c r="A198" s="4" t="s">
        <v>849</v>
      </c>
      <c r="B198" s="4">
        <v>4</v>
      </c>
      <c r="C198" s="21">
        <v>-0.86618899999999999</v>
      </c>
      <c r="D198" s="21">
        <v>-0.499282</v>
      </c>
      <c r="E198" s="21">
        <v>-0.68273499999999998</v>
      </c>
      <c r="F198" s="21">
        <v>0.47619</v>
      </c>
      <c r="G198" s="21">
        <v>0.25</v>
      </c>
      <c r="H198" s="21">
        <v>0.4</v>
      </c>
    </row>
    <row r="199" spans="1:8">
      <c r="A199" s="4" t="s">
        <v>849</v>
      </c>
      <c r="B199" s="4">
        <v>5</v>
      </c>
      <c r="C199" s="21">
        <v>-0.62644900000000003</v>
      </c>
      <c r="D199" s="21">
        <v>-0.38949299999999998</v>
      </c>
      <c r="E199" s="21">
        <v>-0.50797099999999995</v>
      </c>
      <c r="F199" s="21">
        <v>0.42857099999999998</v>
      </c>
      <c r="G199" s="21">
        <v>0.41666700000000001</v>
      </c>
      <c r="H199" s="21">
        <v>0.2</v>
      </c>
    </row>
    <row r="200" spans="1:8">
      <c r="A200" s="4" t="s">
        <v>849</v>
      </c>
      <c r="B200" s="4">
        <v>6</v>
      </c>
      <c r="C200" s="21">
        <v>-0.89926099999999998</v>
      </c>
      <c r="D200" s="21">
        <v>-0.41387699999999999</v>
      </c>
      <c r="E200" s="21">
        <v>-0.65656899999999996</v>
      </c>
      <c r="F200" s="21">
        <v>0.28571400000000002</v>
      </c>
      <c r="G200" s="21">
        <v>0.25</v>
      </c>
      <c r="H200" s="21">
        <v>0.4</v>
      </c>
    </row>
    <row r="201" spans="1:8">
      <c r="A201" s="4" t="s">
        <v>849</v>
      </c>
      <c r="B201" s="4">
        <v>7</v>
      </c>
      <c r="C201" s="21">
        <v>-0.93965500000000002</v>
      </c>
      <c r="D201" s="21">
        <v>-0.418466</v>
      </c>
      <c r="E201" s="21">
        <v>-0.67906</v>
      </c>
      <c r="F201" s="21">
        <v>0.47619</v>
      </c>
      <c r="G201" s="21">
        <v>8.3333000000000004E-2</v>
      </c>
      <c r="H201" s="21">
        <v>0</v>
      </c>
    </row>
    <row r="202" spans="1:8">
      <c r="A202" s="4" t="s">
        <v>849</v>
      </c>
      <c r="B202" s="4">
        <v>8</v>
      </c>
      <c r="C202" s="21">
        <v>-0.69501999999999997</v>
      </c>
      <c r="D202" s="21">
        <v>-0.31022899999999998</v>
      </c>
      <c r="E202" s="21">
        <v>-0.50262499999999999</v>
      </c>
      <c r="F202" s="21">
        <v>0.42857099999999998</v>
      </c>
      <c r="G202" s="21">
        <v>0.41666700000000001</v>
      </c>
      <c r="H202" s="21">
        <v>0.2</v>
      </c>
    </row>
    <row r="203" spans="1:8">
      <c r="A203" s="4" t="s">
        <v>849</v>
      </c>
      <c r="B203" s="4">
        <v>9</v>
      </c>
      <c r="C203" s="21">
        <v>-0.89201299999999994</v>
      </c>
      <c r="D203" s="21">
        <v>-0.54150900000000002</v>
      </c>
      <c r="E203" s="21">
        <v>-0.71676099999999998</v>
      </c>
      <c r="F203" s="21">
        <v>0.42857099999999998</v>
      </c>
      <c r="G203" s="21">
        <v>8.3333000000000004E-2</v>
      </c>
      <c r="H203" s="21">
        <v>0.2</v>
      </c>
    </row>
    <row r="204" spans="1:8">
      <c r="A204" s="4" t="s">
        <v>849</v>
      </c>
      <c r="B204" s="4">
        <v>10</v>
      </c>
      <c r="C204" s="21">
        <v>-0.97706899999999997</v>
      </c>
      <c r="D204" s="21">
        <v>-0.43318200000000001</v>
      </c>
      <c r="E204" s="21">
        <v>-0.70512600000000003</v>
      </c>
      <c r="F204" s="21">
        <v>0.238095</v>
      </c>
      <c r="G204" s="21">
        <v>8.3333000000000004E-2</v>
      </c>
      <c r="H204" s="21">
        <v>0</v>
      </c>
    </row>
    <row r="205" spans="1:8">
      <c r="A205" s="4" t="s">
        <v>850</v>
      </c>
      <c r="B205" s="4">
        <v>1</v>
      </c>
      <c r="C205" s="21">
        <v>-0.83225800000000005</v>
      </c>
      <c r="D205" s="21">
        <v>-0.36351800000000001</v>
      </c>
      <c r="E205" s="21">
        <v>-0.59788799999999998</v>
      </c>
      <c r="F205" s="21">
        <v>0.38095200000000001</v>
      </c>
      <c r="G205" s="21">
        <v>8.3333000000000004E-2</v>
      </c>
      <c r="H205" s="21">
        <v>0.2</v>
      </c>
    </row>
    <row r="206" spans="1:8">
      <c r="A206" s="4" t="s">
        <v>850</v>
      </c>
      <c r="B206" s="4">
        <v>2</v>
      </c>
      <c r="C206" s="21">
        <v>-0.61678599999999995</v>
      </c>
      <c r="D206" s="21">
        <v>-0.38696900000000001</v>
      </c>
      <c r="E206" s="21">
        <v>-0.50187700000000002</v>
      </c>
      <c r="F206" s="21">
        <v>0.61904800000000004</v>
      </c>
      <c r="G206" s="21">
        <v>0.33333299999999999</v>
      </c>
      <c r="H206" s="21">
        <v>0.2</v>
      </c>
    </row>
    <row r="207" spans="1:8">
      <c r="A207" s="4" t="s">
        <v>850</v>
      </c>
      <c r="B207" s="4">
        <v>3</v>
      </c>
      <c r="C207" s="21">
        <v>-0.74751400000000001</v>
      </c>
      <c r="D207" s="21">
        <v>-0.51587899999999998</v>
      </c>
      <c r="E207" s="21">
        <v>-0.63169699999999995</v>
      </c>
      <c r="F207" s="21">
        <v>0.38095200000000001</v>
      </c>
      <c r="G207" s="21">
        <v>0.33333299999999999</v>
      </c>
      <c r="H207" s="21">
        <v>0.4</v>
      </c>
    </row>
    <row r="208" spans="1:8">
      <c r="A208" s="4" t="s">
        <v>850</v>
      </c>
      <c r="B208" s="4">
        <v>4</v>
      </c>
      <c r="C208" s="21">
        <v>-0.77926399999999996</v>
      </c>
      <c r="D208" s="21">
        <v>-0.38200200000000001</v>
      </c>
      <c r="E208" s="21">
        <v>-0.58063299999999995</v>
      </c>
      <c r="F208" s="21">
        <v>0.61904800000000004</v>
      </c>
      <c r="G208" s="21">
        <v>0.33333299999999999</v>
      </c>
      <c r="H208" s="21">
        <v>0.4</v>
      </c>
    </row>
    <row r="209" spans="1:8">
      <c r="A209" s="4" t="s">
        <v>850</v>
      </c>
      <c r="B209" s="4">
        <v>5</v>
      </c>
      <c r="C209" s="21">
        <v>-0.76968899999999996</v>
      </c>
      <c r="D209" s="21">
        <v>-0.549176</v>
      </c>
      <c r="E209" s="21">
        <v>-0.65943300000000005</v>
      </c>
      <c r="F209" s="21">
        <v>0.38095200000000001</v>
      </c>
      <c r="G209" s="21">
        <v>0.25</v>
      </c>
      <c r="H209" s="21">
        <v>0.4</v>
      </c>
    </row>
    <row r="210" spans="1:8">
      <c r="A210" s="4" t="s">
        <v>850</v>
      </c>
      <c r="B210" s="4">
        <v>6</v>
      </c>
      <c r="C210" s="21">
        <v>-0.30826700000000001</v>
      </c>
      <c r="D210" s="21">
        <v>-0.358487</v>
      </c>
      <c r="E210" s="21">
        <v>-0.33337699999999998</v>
      </c>
      <c r="F210" s="21">
        <v>0.33333299999999999</v>
      </c>
      <c r="G210" s="21">
        <v>0.5</v>
      </c>
      <c r="H210" s="21">
        <v>0.4</v>
      </c>
    </row>
    <row r="211" spans="1:8">
      <c r="A211" s="4" t="s">
        <v>850</v>
      </c>
      <c r="B211" s="4">
        <v>7</v>
      </c>
      <c r="C211" s="21">
        <v>-0.69172900000000004</v>
      </c>
      <c r="D211" s="21">
        <v>-0.34356799999999998</v>
      </c>
      <c r="E211" s="21">
        <v>-0.517648</v>
      </c>
      <c r="F211" s="21">
        <v>0.42857099999999998</v>
      </c>
      <c r="G211" s="21">
        <v>0.41666700000000001</v>
      </c>
      <c r="H211" s="21">
        <v>0.2</v>
      </c>
    </row>
    <row r="212" spans="1:8">
      <c r="A212" s="4" t="s">
        <v>850</v>
      </c>
      <c r="B212" s="4">
        <v>8</v>
      </c>
      <c r="C212" s="21">
        <v>-0.77831300000000003</v>
      </c>
      <c r="D212" s="21">
        <v>-0.46621800000000002</v>
      </c>
      <c r="E212" s="21">
        <v>-0.62226599999999999</v>
      </c>
      <c r="F212" s="21">
        <v>0.33333299999999999</v>
      </c>
      <c r="G212" s="21">
        <v>0.33333299999999999</v>
      </c>
      <c r="H212" s="21">
        <v>0</v>
      </c>
    </row>
    <row r="213" spans="1:8">
      <c r="A213" s="4" t="s">
        <v>850</v>
      </c>
      <c r="B213" s="4">
        <v>9</v>
      </c>
      <c r="C213" s="21">
        <v>-0.50201200000000001</v>
      </c>
      <c r="D213" s="21">
        <v>-0.39271200000000001</v>
      </c>
      <c r="E213" s="21">
        <v>-0.44736199999999998</v>
      </c>
      <c r="F213" s="21">
        <v>0.47619</v>
      </c>
      <c r="G213" s="21">
        <v>0.25</v>
      </c>
      <c r="H213" s="21">
        <v>0.2</v>
      </c>
    </row>
    <row r="214" spans="1:8">
      <c r="A214" s="4" t="s">
        <v>850</v>
      </c>
      <c r="B214" s="4">
        <v>10</v>
      </c>
      <c r="C214" s="21">
        <v>-0.97195100000000001</v>
      </c>
      <c r="D214" s="21">
        <v>-0.47276400000000002</v>
      </c>
      <c r="E214" s="21">
        <v>-0.72235700000000003</v>
      </c>
      <c r="F214" s="21">
        <v>0.42857099999999998</v>
      </c>
      <c r="G214" s="21">
        <v>0.16666700000000001</v>
      </c>
      <c r="H214" s="21">
        <v>0.2</v>
      </c>
    </row>
    <row r="215" spans="1:8">
      <c r="A215" s="4" t="s">
        <v>852</v>
      </c>
      <c r="B215" s="4">
        <v>1</v>
      </c>
      <c r="C215" s="21">
        <v>-0.77232500000000004</v>
      </c>
      <c r="D215" s="21">
        <v>-0.35416999999999998</v>
      </c>
      <c r="E215" s="21">
        <v>-0.56324799999999997</v>
      </c>
      <c r="F215" s="21">
        <v>0.42857099999999998</v>
      </c>
      <c r="G215" s="21">
        <v>0.33333299999999999</v>
      </c>
      <c r="H215" s="21">
        <v>0.2</v>
      </c>
    </row>
    <row r="216" spans="1:8">
      <c r="A216" s="4" t="s">
        <v>852</v>
      </c>
      <c r="B216" s="4">
        <v>2</v>
      </c>
      <c r="C216" s="21">
        <v>-0.68170600000000003</v>
      </c>
      <c r="D216" s="21">
        <v>-0.52627299999999999</v>
      </c>
      <c r="E216" s="21">
        <v>-0.60399000000000003</v>
      </c>
      <c r="F216" s="21">
        <v>0.52381</v>
      </c>
      <c r="G216" s="21">
        <v>0.33333299999999999</v>
      </c>
      <c r="H216" s="21">
        <v>0.4</v>
      </c>
    </row>
    <row r="217" spans="1:8">
      <c r="A217" s="4" t="s">
        <v>852</v>
      </c>
      <c r="B217" s="4">
        <v>3</v>
      </c>
      <c r="C217" s="21">
        <v>-0.950237</v>
      </c>
      <c r="D217" s="21">
        <v>-0.41405999999999998</v>
      </c>
      <c r="E217" s="21">
        <v>-0.68214900000000001</v>
      </c>
      <c r="F217" s="21">
        <v>0.28571400000000002</v>
      </c>
      <c r="G217" s="21">
        <v>8.3333000000000004E-2</v>
      </c>
      <c r="H217" s="21">
        <v>0.2</v>
      </c>
    </row>
    <row r="218" spans="1:8">
      <c r="A218" s="4" t="s">
        <v>852</v>
      </c>
      <c r="B218" s="4">
        <v>4</v>
      </c>
      <c r="C218" s="21">
        <v>-0.91091599999999995</v>
      </c>
      <c r="D218" s="21">
        <v>-0.43174600000000002</v>
      </c>
      <c r="E218" s="21">
        <v>-0.67133100000000001</v>
      </c>
      <c r="F218" s="21">
        <v>0.33333299999999999</v>
      </c>
      <c r="G218" s="21">
        <v>0.33333299999999999</v>
      </c>
      <c r="H218" s="21">
        <v>0.4</v>
      </c>
    </row>
    <row r="219" spans="1:8">
      <c r="A219" s="4" t="s">
        <v>852</v>
      </c>
      <c r="B219" s="4">
        <v>5</v>
      </c>
      <c r="C219" s="21">
        <v>-0.941299</v>
      </c>
      <c r="D219" s="21">
        <v>-0.44665700000000003</v>
      </c>
      <c r="E219" s="21">
        <v>-0.69397799999999998</v>
      </c>
      <c r="F219" s="21">
        <v>0.66666700000000001</v>
      </c>
      <c r="G219" s="21">
        <v>0.33333299999999999</v>
      </c>
      <c r="H219" s="21">
        <v>0.2</v>
      </c>
    </row>
    <row r="220" spans="1:8">
      <c r="A220" s="4" t="s">
        <v>852</v>
      </c>
      <c r="B220" s="4">
        <v>6</v>
      </c>
      <c r="C220" s="21">
        <v>-0.91834800000000005</v>
      </c>
      <c r="D220" s="21">
        <v>-0.58733000000000002</v>
      </c>
      <c r="E220" s="21">
        <v>-0.75283900000000004</v>
      </c>
      <c r="F220" s="21">
        <v>0.28571400000000002</v>
      </c>
      <c r="G220" s="21">
        <v>0.25</v>
      </c>
      <c r="H220" s="21">
        <v>0.4</v>
      </c>
    </row>
    <row r="221" spans="1:8">
      <c r="A221" s="4" t="s">
        <v>852</v>
      </c>
      <c r="B221" s="4">
        <v>7</v>
      </c>
      <c r="C221" s="21">
        <v>-0.58829600000000004</v>
      </c>
      <c r="D221" s="21">
        <v>-0.46376000000000001</v>
      </c>
      <c r="E221" s="21">
        <v>-0.52602800000000005</v>
      </c>
      <c r="F221" s="21">
        <v>0.42857099999999998</v>
      </c>
      <c r="G221" s="21">
        <v>0.5</v>
      </c>
      <c r="H221" s="21">
        <v>0.4</v>
      </c>
    </row>
    <row r="222" spans="1:8">
      <c r="A222" s="4" t="s">
        <v>852</v>
      </c>
      <c r="B222" s="4">
        <v>8</v>
      </c>
      <c r="C222" s="21">
        <v>-0.892293</v>
      </c>
      <c r="D222" s="21">
        <v>-0.71300300000000005</v>
      </c>
      <c r="E222" s="21">
        <v>-0.80264800000000003</v>
      </c>
      <c r="F222" s="21">
        <v>0.38095200000000001</v>
      </c>
      <c r="G222" s="21">
        <v>0.16666700000000001</v>
      </c>
      <c r="H222" s="21">
        <v>0.4</v>
      </c>
    </row>
    <row r="223" spans="1:8">
      <c r="A223" s="4" t="s">
        <v>852</v>
      </c>
      <c r="B223" s="4">
        <v>9</v>
      </c>
      <c r="C223" s="21">
        <v>-0.85793200000000003</v>
      </c>
      <c r="D223" s="21">
        <v>-0.25606099999999998</v>
      </c>
      <c r="E223" s="21">
        <v>-0.55699699999999996</v>
      </c>
      <c r="F223" s="21">
        <v>0.38095200000000001</v>
      </c>
      <c r="G223" s="21">
        <v>0.33333299999999999</v>
      </c>
      <c r="H223" s="21">
        <v>0.6</v>
      </c>
    </row>
    <row r="224" spans="1:8">
      <c r="A224" s="4" t="s">
        <v>852</v>
      </c>
      <c r="B224" s="4">
        <v>10</v>
      </c>
      <c r="C224" s="21">
        <v>-0.63063899999999995</v>
      </c>
      <c r="D224" s="21">
        <v>-0.330953</v>
      </c>
      <c r="E224" s="21">
        <v>-0.480796</v>
      </c>
      <c r="F224" s="21">
        <v>0.38095200000000001</v>
      </c>
      <c r="G224" s="21">
        <v>0.16666700000000001</v>
      </c>
      <c r="H224" s="21">
        <v>0.2</v>
      </c>
    </row>
    <row r="225" spans="1:8">
      <c r="A225" s="4" t="s">
        <v>853</v>
      </c>
      <c r="B225" s="4">
        <v>1</v>
      </c>
      <c r="C225" s="21">
        <v>-0.81906900000000005</v>
      </c>
      <c r="D225" s="21">
        <v>-0.467837</v>
      </c>
      <c r="E225" s="21">
        <v>-0.64345300000000005</v>
      </c>
      <c r="F225" s="21">
        <v>0.42857099999999998</v>
      </c>
      <c r="G225" s="21">
        <v>0.16666700000000001</v>
      </c>
      <c r="H225" s="21">
        <v>0.2</v>
      </c>
    </row>
    <row r="226" spans="1:8">
      <c r="A226" s="4" t="s">
        <v>853</v>
      </c>
      <c r="B226" s="4">
        <v>2</v>
      </c>
      <c r="C226" s="21">
        <v>-0.81472299999999997</v>
      </c>
      <c r="D226" s="21">
        <v>-0.32966699999999999</v>
      </c>
      <c r="E226" s="21">
        <v>-0.57219500000000001</v>
      </c>
      <c r="F226" s="21">
        <v>0.47619</v>
      </c>
      <c r="G226" s="21">
        <v>0.33333299999999999</v>
      </c>
      <c r="H226" s="21">
        <v>0.2</v>
      </c>
    </row>
    <row r="227" spans="1:8">
      <c r="A227" s="4" t="s">
        <v>853</v>
      </c>
      <c r="B227" s="4">
        <v>3</v>
      </c>
      <c r="C227" s="21">
        <v>-0.76336499999999996</v>
      </c>
      <c r="D227" s="21">
        <v>-0.463306</v>
      </c>
      <c r="E227" s="21">
        <v>-0.61333599999999999</v>
      </c>
      <c r="F227" s="21">
        <v>0.52381</v>
      </c>
      <c r="G227" s="21">
        <v>0.16666700000000001</v>
      </c>
      <c r="H227" s="21">
        <v>0.2</v>
      </c>
    </row>
    <row r="228" spans="1:8">
      <c r="A228" s="4" t="s">
        <v>853</v>
      </c>
      <c r="B228" s="4">
        <v>4</v>
      </c>
      <c r="C228" s="21">
        <v>-0.74378</v>
      </c>
      <c r="D228" s="21">
        <v>-0.33103100000000002</v>
      </c>
      <c r="E228" s="21">
        <v>-0.53740600000000005</v>
      </c>
      <c r="F228" s="21">
        <v>0.33333299999999999</v>
      </c>
      <c r="G228" s="21">
        <v>0.25</v>
      </c>
      <c r="H228" s="21">
        <v>0.2</v>
      </c>
    </row>
    <row r="229" spans="1:8">
      <c r="A229" s="4" t="s">
        <v>853</v>
      </c>
      <c r="B229" s="4">
        <v>5</v>
      </c>
      <c r="C229" s="21">
        <v>-1.040734</v>
      </c>
      <c r="D229" s="21">
        <v>-0.55713900000000005</v>
      </c>
      <c r="E229" s="21">
        <v>-0.79893700000000001</v>
      </c>
      <c r="F229" s="21">
        <v>0.33333299999999999</v>
      </c>
      <c r="G229" s="21">
        <v>0</v>
      </c>
      <c r="H229" s="21">
        <v>0</v>
      </c>
    </row>
    <row r="230" spans="1:8">
      <c r="A230" s="4" t="s">
        <v>853</v>
      </c>
      <c r="B230" s="4">
        <v>6</v>
      </c>
      <c r="C230" s="21">
        <v>-0.78036399999999995</v>
      </c>
      <c r="D230" s="21">
        <v>-0.42212</v>
      </c>
      <c r="E230" s="21">
        <v>-0.60124200000000005</v>
      </c>
      <c r="F230" s="21">
        <v>0.57142899999999996</v>
      </c>
      <c r="G230" s="21">
        <v>8.3333000000000004E-2</v>
      </c>
      <c r="H230" s="21">
        <v>0</v>
      </c>
    </row>
    <row r="231" spans="1:8">
      <c r="A231" s="4" t="s">
        <v>853</v>
      </c>
      <c r="B231" s="4">
        <v>7</v>
      </c>
      <c r="C231" s="21">
        <v>-0.77220699999999998</v>
      </c>
      <c r="D231" s="21">
        <v>-0.32903700000000002</v>
      </c>
      <c r="E231" s="21">
        <v>-0.55062199999999994</v>
      </c>
      <c r="F231" s="21">
        <v>0.57142899999999996</v>
      </c>
      <c r="G231" s="21">
        <v>8.3333000000000004E-2</v>
      </c>
      <c r="H231" s="21">
        <v>0</v>
      </c>
    </row>
    <row r="232" spans="1:8">
      <c r="A232" s="4" t="s">
        <v>853</v>
      </c>
      <c r="B232" s="4">
        <v>8</v>
      </c>
      <c r="C232" s="21">
        <v>-0.59542399999999995</v>
      </c>
      <c r="D232" s="21">
        <v>-0.42161700000000002</v>
      </c>
      <c r="E232" s="21">
        <v>-0.508521</v>
      </c>
      <c r="F232" s="21">
        <v>0.38095200000000001</v>
      </c>
      <c r="G232" s="21">
        <v>0.25</v>
      </c>
      <c r="H232" s="21">
        <v>0.2</v>
      </c>
    </row>
    <row r="233" spans="1:8">
      <c r="A233" s="4" t="s">
        <v>853</v>
      </c>
      <c r="B233" s="4">
        <v>9</v>
      </c>
      <c r="C233" s="21">
        <v>-0.90678700000000001</v>
      </c>
      <c r="D233" s="21">
        <v>-0.58318400000000004</v>
      </c>
      <c r="E233" s="21">
        <v>-0.74498500000000001</v>
      </c>
      <c r="F233" s="21">
        <v>0.238095</v>
      </c>
      <c r="G233" s="21">
        <v>0.16666700000000001</v>
      </c>
      <c r="H233" s="21">
        <v>0.2</v>
      </c>
    </row>
    <row r="234" spans="1:8">
      <c r="A234" s="4" t="s">
        <v>853</v>
      </c>
      <c r="B234" s="4">
        <v>10</v>
      </c>
      <c r="C234" s="21">
        <v>-0.99142399999999997</v>
      </c>
      <c r="D234" s="21">
        <v>-0.24759</v>
      </c>
      <c r="E234" s="21">
        <v>-0.61950700000000003</v>
      </c>
      <c r="F234" s="21">
        <v>0.57142899999999996</v>
      </c>
      <c r="G234" s="21">
        <v>0.33333299999999999</v>
      </c>
      <c r="H234" s="21">
        <v>0</v>
      </c>
    </row>
    <row r="235" spans="1:8">
      <c r="A235" s="4" t="s">
        <v>854</v>
      </c>
      <c r="B235" s="4">
        <v>1</v>
      </c>
      <c r="C235" s="21">
        <v>-0.58178799999999997</v>
      </c>
      <c r="D235" s="21">
        <v>-0.440276</v>
      </c>
      <c r="E235" s="21">
        <v>-0.51103200000000004</v>
      </c>
      <c r="F235" s="21">
        <v>0.33333299999999999</v>
      </c>
      <c r="G235" s="21">
        <v>0.41666700000000001</v>
      </c>
      <c r="H235" s="21">
        <v>0.4</v>
      </c>
    </row>
    <row r="236" spans="1:8">
      <c r="A236" s="4" t="s">
        <v>854</v>
      </c>
      <c r="B236" s="4">
        <v>2</v>
      </c>
      <c r="C236" s="21">
        <v>-1.120034</v>
      </c>
      <c r="D236" s="21">
        <v>-0.58177999999999996</v>
      </c>
      <c r="E236" s="21">
        <v>-0.85090699999999997</v>
      </c>
      <c r="F236" s="21">
        <v>0.47619</v>
      </c>
      <c r="G236" s="21">
        <v>0.16666700000000001</v>
      </c>
      <c r="H236" s="21">
        <v>0.2</v>
      </c>
    </row>
    <row r="237" spans="1:8">
      <c r="A237" s="4" t="s">
        <v>854</v>
      </c>
      <c r="B237" s="4">
        <v>3</v>
      </c>
      <c r="C237" s="21">
        <v>-0.81177600000000005</v>
      </c>
      <c r="D237" s="21">
        <v>-0.48557600000000001</v>
      </c>
      <c r="E237" s="21">
        <v>-0.64867600000000003</v>
      </c>
      <c r="F237" s="21">
        <v>0.33333299999999999</v>
      </c>
      <c r="G237" s="21">
        <v>0.33333299999999999</v>
      </c>
      <c r="H237" s="21">
        <v>0.2</v>
      </c>
    </row>
    <row r="238" spans="1:8">
      <c r="A238" s="4" t="s">
        <v>854</v>
      </c>
      <c r="B238" s="4">
        <v>4</v>
      </c>
      <c r="C238" s="21">
        <v>-0.89250300000000005</v>
      </c>
      <c r="D238" s="21">
        <v>-0.58898099999999998</v>
      </c>
      <c r="E238" s="21">
        <v>-0.74074200000000001</v>
      </c>
      <c r="F238" s="21">
        <v>0.42857099999999998</v>
      </c>
      <c r="G238" s="21">
        <v>8.3333000000000004E-2</v>
      </c>
      <c r="H238" s="21">
        <v>0.2</v>
      </c>
    </row>
    <row r="239" spans="1:8">
      <c r="A239" s="4" t="s">
        <v>854</v>
      </c>
      <c r="B239" s="4">
        <v>5</v>
      </c>
      <c r="C239" s="21">
        <v>-0.85838400000000004</v>
      </c>
      <c r="D239" s="21">
        <v>-0.57038100000000003</v>
      </c>
      <c r="E239" s="21">
        <v>-0.71438199999999996</v>
      </c>
      <c r="F239" s="21">
        <v>0.47619</v>
      </c>
      <c r="G239" s="21">
        <v>0.16666700000000001</v>
      </c>
      <c r="H239" s="21">
        <v>0.4</v>
      </c>
    </row>
    <row r="240" spans="1:8">
      <c r="A240" s="4" t="s">
        <v>854</v>
      </c>
      <c r="B240" s="4">
        <v>6</v>
      </c>
      <c r="C240" s="21">
        <v>-0.84070800000000001</v>
      </c>
      <c r="D240" s="21">
        <v>-0.48534699999999997</v>
      </c>
      <c r="E240" s="21">
        <v>-0.66302700000000003</v>
      </c>
      <c r="F240" s="21">
        <v>0.33333299999999999</v>
      </c>
      <c r="G240" s="21">
        <v>0.41666700000000001</v>
      </c>
      <c r="H240" s="21">
        <v>0.6</v>
      </c>
    </row>
    <row r="241" spans="1:8">
      <c r="A241" s="4" t="s">
        <v>854</v>
      </c>
      <c r="B241" s="4">
        <v>7</v>
      </c>
      <c r="C241" s="21">
        <v>-0.67726200000000003</v>
      </c>
      <c r="D241" s="21">
        <v>-0.28084199999999998</v>
      </c>
      <c r="E241" s="21">
        <v>-0.47905199999999998</v>
      </c>
      <c r="F241" s="21">
        <v>0.33333299999999999</v>
      </c>
      <c r="G241" s="21">
        <v>0.41666700000000001</v>
      </c>
      <c r="H241" s="21">
        <v>0.2</v>
      </c>
    </row>
    <row r="242" spans="1:8">
      <c r="A242" s="4" t="s">
        <v>854</v>
      </c>
      <c r="B242" s="4">
        <v>8</v>
      </c>
      <c r="C242" s="21">
        <v>-0.76387799999999995</v>
      </c>
      <c r="D242" s="21">
        <v>-0.32981300000000002</v>
      </c>
      <c r="E242" s="21">
        <v>-0.54684600000000005</v>
      </c>
      <c r="F242" s="21">
        <v>0.42857099999999998</v>
      </c>
      <c r="G242" s="21">
        <v>0.25</v>
      </c>
      <c r="H242" s="21">
        <v>0.2</v>
      </c>
    </row>
    <row r="243" spans="1:8">
      <c r="A243" s="4" t="s">
        <v>854</v>
      </c>
      <c r="B243" s="4">
        <v>9</v>
      </c>
      <c r="C243" s="21">
        <v>-0.74493699999999996</v>
      </c>
      <c r="D243" s="21">
        <v>-0.37704300000000002</v>
      </c>
      <c r="E243" s="21">
        <v>-0.56098999999999999</v>
      </c>
      <c r="F243" s="21">
        <v>0.33333299999999999</v>
      </c>
      <c r="G243" s="21">
        <v>0.41666700000000001</v>
      </c>
      <c r="H243" s="21">
        <v>0.2</v>
      </c>
    </row>
    <row r="244" spans="1:8">
      <c r="A244" s="4" t="s">
        <v>854</v>
      </c>
      <c r="B244" s="4">
        <v>10</v>
      </c>
      <c r="C244" s="21">
        <v>-0.88495199999999996</v>
      </c>
      <c r="D244" s="21">
        <v>-0.48399300000000001</v>
      </c>
      <c r="E244" s="21">
        <v>-0.68447199999999997</v>
      </c>
      <c r="F244" s="21">
        <v>0.33333299999999999</v>
      </c>
      <c r="G244" s="21">
        <v>0.16666700000000001</v>
      </c>
      <c r="H244" s="21">
        <v>0</v>
      </c>
    </row>
    <row r="245" spans="1:8">
      <c r="A245" s="4" t="s">
        <v>855</v>
      </c>
      <c r="B245" s="4">
        <v>1</v>
      </c>
      <c r="C245" s="21">
        <v>-0.84136200000000005</v>
      </c>
      <c r="D245" s="21">
        <v>-0.43873699999999999</v>
      </c>
      <c r="E245" s="21">
        <v>-0.64005000000000001</v>
      </c>
      <c r="F245" s="21">
        <v>0.33333299999999999</v>
      </c>
      <c r="G245" s="21">
        <v>0.41666700000000001</v>
      </c>
      <c r="H245" s="21">
        <v>0.4</v>
      </c>
    </row>
    <row r="246" spans="1:8">
      <c r="A246" s="4" t="s">
        <v>855</v>
      </c>
      <c r="B246" s="4">
        <v>2</v>
      </c>
      <c r="C246" s="21">
        <v>-0.86171900000000001</v>
      </c>
      <c r="D246" s="21">
        <v>-0.54500300000000002</v>
      </c>
      <c r="E246" s="21">
        <v>-0.70336100000000001</v>
      </c>
      <c r="F246" s="21">
        <v>0.38095200000000001</v>
      </c>
      <c r="G246" s="21">
        <v>0.16666700000000001</v>
      </c>
      <c r="H246" s="21">
        <v>0.2</v>
      </c>
    </row>
    <row r="247" spans="1:8">
      <c r="A247" s="4" t="s">
        <v>855</v>
      </c>
      <c r="B247" s="4">
        <v>3</v>
      </c>
      <c r="C247" s="21">
        <v>-0.83994400000000002</v>
      </c>
      <c r="D247" s="21">
        <v>-0.33335100000000001</v>
      </c>
      <c r="E247" s="21">
        <v>-0.58664700000000003</v>
      </c>
      <c r="F247" s="21">
        <v>0.33333299999999999</v>
      </c>
      <c r="G247" s="21">
        <v>0.16666700000000001</v>
      </c>
      <c r="H247" s="21">
        <v>0.2</v>
      </c>
    </row>
    <row r="248" spans="1:8">
      <c r="A248" s="4" t="s">
        <v>855</v>
      </c>
      <c r="B248" s="4">
        <v>4</v>
      </c>
      <c r="C248" s="21">
        <v>-0.95784899999999995</v>
      </c>
      <c r="D248" s="21">
        <v>-0.28554400000000002</v>
      </c>
      <c r="E248" s="21">
        <v>-0.62169600000000003</v>
      </c>
      <c r="F248" s="21">
        <v>0.238095</v>
      </c>
      <c r="G248" s="21">
        <v>0.25</v>
      </c>
      <c r="H248" s="21">
        <v>0</v>
      </c>
    </row>
    <row r="249" spans="1:8">
      <c r="A249" s="4" t="s">
        <v>855</v>
      </c>
      <c r="B249" s="4">
        <v>5</v>
      </c>
      <c r="C249" s="21">
        <v>-0.83937799999999996</v>
      </c>
      <c r="D249" s="21">
        <v>-0.45402900000000002</v>
      </c>
      <c r="E249" s="21">
        <v>-0.64670300000000003</v>
      </c>
      <c r="F249" s="21">
        <v>0.38095200000000001</v>
      </c>
      <c r="G249" s="21">
        <v>8.3333000000000004E-2</v>
      </c>
      <c r="H249" s="21">
        <v>0</v>
      </c>
    </row>
    <row r="250" spans="1:8">
      <c r="A250" s="4" t="s">
        <v>855</v>
      </c>
      <c r="B250" s="4">
        <v>6</v>
      </c>
      <c r="C250" s="21">
        <v>-0.79153200000000001</v>
      </c>
      <c r="D250" s="21">
        <v>-0.40714499999999998</v>
      </c>
      <c r="E250" s="21">
        <v>-0.59933899999999996</v>
      </c>
      <c r="F250" s="21">
        <v>0.61904800000000004</v>
      </c>
      <c r="G250" s="21">
        <v>0.25</v>
      </c>
      <c r="H250" s="21">
        <v>0.2</v>
      </c>
    </row>
    <row r="251" spans="1:8">
      <c r="A251" s="4" t="s">
        <v>855</v>
      </c>
      <c r="B251" s="4">
        <v>7</v>
      </c>
      <c r="C251" s="21">
        <v>-0.58447700000000002</v>
      </c>
      <c r="D251" s="21">
        <v>-0.45055000000000001</v>
      </c>
      <c r="E251" s="21">
        <v>-0.51751400000000003</v>
      </c>
      <c r="F251" s="21">
        <v>0.33333299999999999</v>
      </c>
      <c r="G251" s="21">
        <v>0.33333299999999999</v>
      </c>
      <c r="H251" s="21">
        <v>0.4</v>
      </c>
    </row>
    <row r="252" spans="1:8">
      <c r="A252" s="4" t="s">
        <v>855</v>
      </c>
      <c r="B252" s="4">
        <v>8</v>
      </c>
      <c r="C252" s="21">
        <v>-0.66881400000000002</v>
      </c>
      <c r="D252" s="21">
        <v>-0.48521999999999998</v>
      </c>
      <c r="E252" s="21">
        <v>-0.577017</v>
      </c>
      <c r="F252" s="21">
        <v>0.28571400000000002</v>
      </c>
      <c r="G252" s="21">
        <v>0.33333299999999999</v>
      </c>
      <c r="H252" s="21">
        <v>0.4</v>
      </c>
    </row>
    <row r="253" spans="1:8">
      <c r="A253" s="4" t="s">
        <v>855</v>
      </c>
      <c r="B253" s="4">
        <v>9</v>
      </c>
      <c r="C253" s="21">
        <v>-0.83001999999999998</v>
      </c>
      <c r="D253" s="21">
        <v>-0.45005499999999998</v>
      </c>
      <c r="E253" s="21">
        <v>-0.640038</v>
      </c>
      <c r="F253" s="21">
        <v>0.38095200000000001</v>
      </c>
      <c r="G253" s="21">
        <v>0.33333299999999999</v>
      </c>
      <c r="H253" s="21">
        <v>0.4</v>
      </c>
    </row>
    <row r="254" spans="1:8">
      <c r="A254" s="4" t="s">
        <v>855</v>
      </c>
      <c r="B254" s="4">
        <v>10</v>
      </c>
      <c r="C254" s="21">
        <v>-0.56925400000000004</v>
      </c>
      <c r="D254" s="21">
        <v>-0.41214800000000001</v>
      </c>
      <c r="E254" s="21">
        <v>-0.490701</v>
      </c>
      <c r="F254" s="21">
        <v>0.47619</v>
      </c>
      <c r="G254" s="21">
        <v>0.58333299999999999</v>
      </c>
      <c r="H254" s="21">
        <v>0.4</v>
      </c>
    </row>
    <row r="255" spans="1:8">
      <c r="A255" s="4" t="s">
        <v>856</v>
      </c>
      <c r="B255" s="4">
        <v>1</v>
      </c>
      <c r="C255" s="21">
        <v>-0.79380099999999998</v>
      </c>
      <c r="D255" s="21">
        <v>-0.37246899999999999</v>
      </c>
      <c r="E255" s="21">
        <v>-0.58313499999999996</v>
      </c>
      <c r="F255" s="21">
        <v>0.57142899999999996</v>
      </c>
      <c r="G255" s="21">
        <v>0.25</v>
      </c>
      <c r="H255" s="21">
        <v>0</v>
      </c>
    </row>
    <row r="256" spans="1:8">
      <c r="A256" s="4" t="s">
        <v>856</v>
      </c>
      <c r="B256" s="4">
        <v>2</v>
      </c>
      <c r="C256" s="21">
        <v>-0.57708800000000005</v>
      </c>
      <c r="D256" s="21">
        <v>-0.21346999999999999</v>
      </c>
      <c r="E256" s="21">
        <v>-0.39527899999999999</v>
      </c>
      <c r="F256" s="21">
        <v>0.42857099999999998</v>
      </c>
      <c r="G256" s="21">
        <v>0.25</v>
      </c>
      <c r="H256" s="21">
        <v>0.2</v>
      </c>
    </row>
    <row r="257" spans="1:8">
      <c r="A257" s="4" t="s">
        <v>856</v>
      </c>
      <c r="B257" s="4">
        <v>3</v>
      </c>
      <c r="C257" s="21">
        <v>-0.91147999999999996</v>
      </c>
      <c r="D257" s="21">
        <v>-0.43312</v>
      </c>
      <c r="E257" s="21">
        <v>-0.67230000000000001</v>
      </c>
      <c r="F257" s="21">
        <v>0.38095200000000001</v>
      </c>
      <c r="G257" s="21">
        <v>0.16666700000000001</v>
      </c>
      <c r="H257" s="21">
        <v>0</v>
      </c>
    </row>
    <row r="258" spans="1:8">
      <c r="A258" s="4" t="s">
        <v>856</v>
      </c>
      <c r="B258" s="4">
        <v>4</v>
      </c>
      <c r="C258" s="21">
        <v>-0.77594799999999997</v>
      </c>
      <c r="D258" s="21">
        <v>-0.28733300000000001</v>
      </c>
      <c r="E258" s="21">
        <v>-0.53164100000000003</v>
      </c>
      <c r="F258" s="21">
        <v>0.47619</v>
      </c>
      <c r="G258" s="21">
        <v>8.3333000000000004E-2</v>
      </c>
      <c r="H258" s="21">
        <v>0</v>
      </c>
    </row>
    <row r="259" spans="1:8">
      <c r="A259" s="4" t="s">
        <v>856</v>
      </c>
      <c r="B259" s="4">
        <v>5</v>
      </c>
      <c r="C259" s="21">
        <v>-0.48202</v>
      </c>
      <c r="D259" s="21">
        <v>-0.27524199999999999</v>
      </c>
      <c r="E259" s="21">
        <v>-0.378631</v>
      </c>
      <c r="F259" s="21">
        <v>0.57142899999999996</v>
      </c>
      <c r="G259" s="21">
        <v>0.5</v>
      </c>
      <c r="H259" s="21">
        <v>0.8</v>
      </c>
    </row>
    <row r="260" spans="1:8">
      <c r="A260" s="4" t="s">
        <v>856</v>
      </c>
      <c r="B260" s="4">
        <v>6</v>
      </c>
      <c r="C260" s="21">
        <v>-0.84351799999999999</v>
      </c>
      <c r="D260" s="21">
        <v>-0.49247600000000002</v>
      </c>
      <c r="E260" s="21">
        <v>-0.66799699999999995</v>
      </c>
      <c r="F260" s="21">
        <v>0.38095200000000001</v>
      </c>
      <c r="G260" s="21">
        <v>0.25</v>
      </c>
      <c r="H260" s="21">
        <v>0.4</v>
      </c>
    </row>
    <row r="261" spans="1:8">
      <c r="A261" s="4" t="s">
        <v>856</v>
      </c>
      <c r="B261" s="4">
        <v>7</v>
      </c>
      <c r="C261" s="21">
        <v>-0.84133800000000003</v>
      </c>
      <c r="D261" s="21">
        <v>-0.55565600000000004</v>
      </c>
      <c r="E261" s="21">
        <v>-0.69849700000000003</v>
      </c>
      <c r="F261" s="21">
        <v>0.19047600000000001</v>
      </c>
      <c r="G261" s="21">
        <v>0.16666700000000001</v>
      </c>
      <c r="H261" s="21">
        <v>0.2</v>
      </c>
    </row>
    <row r="262" spans="1:8">
      <c r="A262" s="4" t="s">
        <v>856</v>
      </c>
      <c r="B262" s="4">
        <v>8</v>
      </c>
      <c r="C262" s="21">
        <v>-0.45937600000000001</v>
      </c>
      <c r="D262" s="21">
        <v>-0.18532299999999999</v>
      </c>
      <c r="E262" s="21">
        <v>-0.322349</v>
      </c>
      <c r="F262" s="21">
        <v>0.238095</v>
      </c>
      <c r="G262" s="21">
        <v>0.33333299999999999</v>
      </c>
      <c r="H262" s="21">
        <v>0.2</v>
      </c>
    </row>
    <row r="263" spans="1:8">
      <c r="A263" s="4" t="s">
        <v>856</v>
      </c>
      <c r="B263" s="4">
        <v>9</v>
      </c>
      <c r="C263" s="21">
        <v>-0.60438700000000001</v>
      </c>
      <c r="D263" s="21">
        <v>-0.32487300000000002</v>
      </c>
      <c r="E263" s="21">
        <v>-0.46462999999999999</v>
      </c>
      <c r="F263" s="21">
        <v>0.33333299999999999</v>
      </c>
      <c r="G263" s="21">
        <v>0.25</v>
      </c>
      <c r="H263" s="21">
        <v>0.2</v>
      </c>
    </row>
    <row r="264" spans="1:8">
      <c r="A264" s="4" t="s">
        <v>856</v>
      </c>
      <c r="B264" s="4">
        <v>10</v>
      </c>
      <c r="C264" s="21">
        <v>-0.55579500000000004</v>
      </c>
      <c r="D264" s="21">
        <v>-0.307056</v>
      </c>
      <c r="E264" s="21">
        <v>-0.43142599999999998</v>
      </c>
      <c r="F264" s="21">
        <v>0.47619</v>
      </c>
      <c r="G264" s="21">
        <v>0.58333299999999999</v>
      </c>
      <c r="H264" s="21">
        <v>0.8</v>
      </c>
    </row>
    <row r="265" spans="1:8">
      <c r="A265" s="4" t="s">
        <v>857</v>
      </c>
      <c r="B265" s="4">
        <v>1</v>
      </c>
      <c r="C265" s="21">
        <v>-0.80609299999999995</v>
      </c>
      <c r="D265" s="21">
        <v>-0.426653</v>
      </c>
      <c r="E265" s="21">
        <v>-0.61637299999999995</v>
      </c>
      <c r="F265" s="21">
        <v>0.238095</v>
      </c>
      <c r="G265" s="21">
        <v>0.25</v>
      </c>
      <c r="H265" s="21">
        <v>0.2</v>
      </c>
    </row>
    <row r="266" spans="1:8">
      <c r="A266" s="4" t="s">
        <v>857</v>
      </c>
      <c r="B266" s="4">
        <v>2</v>
      </c>
      <c r="C266" s="21">
        <v>-0.87180000000000002</v>
      </c>
      <c r="D266" s="21">
        <v>-0.481711</v>
      </c>
      <c r="E266" s="21">
        <v>-0.67675600000000002</v>
      </c>
      <c r="F266" s="21">
        <v>0.47619</v>
      </c>
      <c r="G266" s="21">
        <v>0.33333299999999999</v>
      </c>
      <c r="H266" s="21">
        <v>0.4</v>
      </c>
    </row>
    <row r="267" spans="1:8">
      <c r="A267" s="4" t="s">
        <v>857</v>
      </c>
      <c r="B267" s="4">
        <v>3</v>
      </c>
      <c r="C267" s="21">
        <v>-0.76720699999999997</v>
      </c>
      <c r="D267" s="21">
        <v>-0.40627000000000002</v>
      </c>
      <c r="E267" s="21">
        <v>-0.58673900000000001</v>
      </c>
      <c r="F267" s="21">
        <v>0.52381</v>
      </c>
      <c r="G267" s="21">
        <v>0.16666700000000001</v>
      </c>
      <c r="H267" s="21">
        <v>0.2</v>
      </c>
    </row>
    <row r="268" spans="1:8">
      <c r="A268" s="4" t="s">
        <v>857</v>
      </c>
      <c r="B268" s="4">
        <v>4</v>
      </c>
      <c r="C268" s="21">
        <v>-0.88917100000000004</v>
      </c>
      <c r="D268" s="21">
        <v>-0.42193799999999998</v>
      </c>
      <c r="E268" s="21">
        <v>-0.65555399999999997</v>
      </c>
      <c r="F268" s="21">
        <v>0.33333299999999999</v>
      </c>
      <c r="G268" s="21">
        <v>0.25</v>
      </c>
      <c r="H268" s="21">
        <v>0.2</v>
      </c>
    </row>
    <row r="269" spans="1:8">
      <c r="A269" s="4" t="s">
        <v>857</v>
      </c>
      <c r="B269" s="4">
        <v>5</v>
      </c>
      <c r="C269" s="21">
        <v>-0.87598299999999996</v>
      </c>
      <c r="D269" s="21">
        <v>-0.46184500000000001</v>
      </c>
      <c r="E269" s="21">
        <v>-0.66891400000000001</v>
      </c>
      <c r="F269" s="21">
        <v>0.38095200000000001</v>
      </c>
      <c r="G269" s="21">
        <v>0.33333299999999999</v>
      </c>
      <c r="H269" s="21">
        <v>0.4</v>
      </c>
    </row>
    <row r="270" spans="1:8">
      <c r="A270" s="4" t="s">
        <v>857</v>
      </c>
      <c r="B270" s="4">
        <v>6</v>
      </c>
      <c r="C270" s="21">
        <v>-1.1845730000000001</v>
      </c>
      <c r="D270" s="21">
        <v>-0.32597799999999999</v>
      </c>
      <c r="E270" s="21">
        <v>-0.75527599999999995</v>
      </c>
      <c r="F270" s="21">
        <v>0.47619</v>
      </c>
      <c r="G270" s="21">
        <v>0</v>
      </c>
      <c r="H270" s="21">
        <v>0</v>
      </c>
    </row>
    <row r="271" spans="1:8">
      <c r="A271" s="4" t="s">
        <v>857</v>
      </c>
      <c r="B271" s="4">
        <v>7</v>
      </c>
      <c r="C271" s="21">
        <v>-0.97593799999999997</v>
      </c>
      <c r="D271" s="21">
        <v>-0.51136999999999999</v>
      </c>
      <c r="E271" s="21">
        <v>-0.74365400000000004</v>
      </c>
      <c r="F271" s="21">
        <v>0.47619</v>
      </c>
      <c r="G271" s="21">
        <v>0.25</v>
      </c>
      <c r="H271" s="21">
        <v>0.6</v>
      </c>
    </row>
    <row r="272" spans="1:8">
      <c r="A272" s="4" t="s">
        <v>857</v>
      </c>
      <c r="B272" s="4">
        <v>8</v>
      </c>
      <c r="C272" s="21">
        <v>-0.84150899999999995</v>
      </c>
      <c r="D272" s="21">
        <v>-0.25965899999999997</v>
      </c>
      <c r="E272" s="21">
        <v>-0.55058399999999996</v>
      </c>
      <c r="F272" s="21">
        <v>0.47619</v>
      </c>
      <c r="G272" s="21">
        <v>0.16666700000000001</v>
      </c>
      <c r="H272" s="21">
        <v>0</v>
      </c>
    </row>
    <row r="273" spans="1:8">
      <c r="A273" s="4" t="s">
        <v>857</v>
      </c>
      <c r="B273" s="4">
        <v>9</v>
      </c>
      <c r="C273" s="21">
        <v>-0.87423600000000001</v>
      </c>
      <c r="D273" s="21">
        <v>-0.29703099999999999</v>
      </c>
      <c r="E273" s="21">
        <v>-0.58563299999999996</v>
      </c>
      <c r="F273" s="21">
        <v>0.42857099999999998</v>
      </c>
      <c r="G273" s="21">
        <v>8.3333000000000004E-2</v>
      </c>
      <c r="H273" s="21">
        <v>0.2</v>
      </c>
    </row>
    <row r="274" spans="1:8">
      <c r="A274" s="4" t="s">
        <v>857</v>
      </c>
      <c r="B274" s="4">
        <v>10</v>
      </c>
      <c r="C274" s="21">
        <v>-0.64158000000000004</v>
      </c>
      <c r="D274" s="21">
        <v>-0.31121599999999999</v>
      </c>
      <c r="E274" s="21">
        <v>-0.47639799999999999</v>
      </c>
      <c r="F274" s="21">
        <v>0.238095</v>
      </c>
      <c r="G274" s="21">
        <v>0.33333299999999999</v>
      </c>
      <c r="H274" s="21">
        <v>0.2</v>
      </c>
    </row>
    <row r="275" spans="1:8">
      <c r="A275" s="4" t="s">
        <v>858</v>
      </c>
      <c r="B275" s="4">
        <v>1</v>
      </c>
      <c r="C275" s="21">
        <v>-0.76263599999999998</v>
      </c>
      <c r="D275" s="21">
        <v>-0.29090700000000003</v>
      </c>
      <c r="E275" s="21">
        <v>-0.52677200000000002</v>
      </c>
      <c r="F275" s="21">
        <v>0.33333299999999999</v>
      </c>
      <c r="G275" s="21">
        <v>0.16666700000000001</v>
      </c>
      <c r="H275" s="21">
        <v>0</v>
      </c>
    </row>
    <row r="276" spans="1:8">
      <c r="A276" s="4" t="s">
        <v>858</v>
      </c>
      <c r="B276" s="4">
        <v>2</v>
      </c>
      <c r="C276" s="21">
        <v>-0.77771999999999997</v>
      </c>
      <c r="D276" s="21">
        <v>-0.39216499999999999</v>
      </c>
      <c r="E276" s="21">
        <v>-0.58494199999999996</v>
      </c>
      <c r="F276" s="21">
        <v>0.38095200000000001</v>
      </c>
      <c r="G276" s="21">
        <v>8.3333000000000004E-2</v>
      </c>
      <c r="H276" s="21">
        <v>0</v>
      </c>
    </row>
    <row r="277" spans="1:8">
      <c r="A277" s="4" t="s">
        <v>858</v>
      </c>
      <c r="B277" s="4">
        <v>3</v>
      </c>
      <c r="C277" s="21">
        <v>-0.72562899999999997</v>
      </c>
      <c r="D277" s="21">
        <v>-0.26759300000000003</v>
      </c>
      <c r="E277" s="21">
        <v>-0.49661100000000002</v>
      </c>
      <c r="F277" s="21">
        <v>0.42857099999999998</v>
      </c>
      <c r="G277" s="21">
        <v>0.33333299999999999</v>
      </c>
      <c r="H277" s="21">
        <v>0</v>
      </c>
    </row>
    <row r="278" spans="1:8">
      <c r="A278" s="4" t="s">
        <v>858</v>
      </c>
      <c r="B278" s="4">
        <v>4</v>
      </c>
      <c r="C278" s="21">
        <v>-0.69938599999999995</v>
      </c>
      <c r="D278" s="21">
        <v>-0.56934499999999999</v>
      </c>
      <c r="E278" s="21">
        <v>-0.63436599999999999</v>
      </c>
      <c r="F278" s="21">
        <v>0.52381</v>
      </c>
      <c r="G278" s="21">
        <v>0.33333299999999999</v>
      </c>
      <c r="H278" s="21">
        <v>0.4</v>
      </c>
    </row>
    <row r="279" spans="1:8">
      <c r="A279" s="4" t="s">
        <v>858</v>
      </c>
      <c r="B279" s="4">
        <v>5</v>
      </c>
      <c r="C279" s="21">
        <v>-0.79073499999999997</v>
      </c>
      <c r="D279" s="21">
        <v>-0.476078</v>
      </c>
      <c r="E279" s="21">
        <v>-0.63340600000000002</v>
      </c>
      <c r="F279" s="21">
        <v>0.42857099999999998</v>
      </c>
      <c r="G279" s="21">
        <v>0.33333299999999999</v>
      </c>
      <c r="H279" s="21">
        <v>0.4</v>
      </c>
    </row>
    <row r="280" spans="1:8">
      <c r="A280" s="4" t="s">
        <v>858</v>
      </c>
      <c r="B280" s="4">
        <v>6</v>
      </c>
      <c r="C280" s="21">
        <v>-0.87527500000000003</v>
      </c>
      <c r="D280" s="21">
        <v>-0.58010499999999998</v>
      </c>
      <c r="E280" s="21">
        <v>-0.72768999999999995</v>
      </c>
      <c r="F280" s="21">
        <v>0.33333299999999999</v>
      </c>
      <c r="G280" s="21">
        <v>0.16666700000000001</v>
      </c>
      <c r="H280" s="21">
        <v>0.2</v>
      </c>
    </row>
    <row r="281" spans="1:8">
      <c r="A281" s="4" t="s">
        <v>858</v>
      </c>
      <c r="B281" s="4">
        <v>7</v>
      </c>
      <c r="C281" s="21">
        <v>-1.0377019999999999</v>
      </c>
      <c r="D281" s="21">
        <v>-0.43802600000000003</v>
      </c>
      <c r="E281" s="21">
        <v>-0.73786399999999996</v>
      </c>
      <c r="F281" s="21">
        <v>0.38095200000000001</v>
      </c>
      <c r="G281" s="21">
        <v>0.25</v>
      </c>
      <c r="H281" s="21">
        <v>0.2</v>
      </c>
    </row>
    <row r="282" spans="1:8">
      <c r="A282" s="4" t="s">
        <v>858</v>
      </c>
      <c r="B282" s="4">
        <v>8</v>
      </c>
      <c r="C282" s="21">
        <v>-0.95125800000000005</v>
      </c>
      <c r="D282" s="21">
        <v>-0.54573300000000002</v>
      </c>
      <c r="E282" s="21">
        <v>-0.74849500000000002</v>
      </c>
      <c r="F282" s="21">
        <v>0.28571400000000002</v>
      </c>
      <c r="G282" s="21">
        <v>0.25</v>
      </c>
      <c r="H282" s="21">
        <v>0.4</v>
      </c>
    </row>
    <row r="283" spans="1:8">
      <c r="A283" s="4" t="s">
        <v>858</v>
      </c>
      <c r="B283" s="4">
        <v>9</v>
      </c>
      <c r="C283" s="21">
        <v>-0.96650199999999997</v>
      </c>
      <c r="D283" s="21">
        <v>-0.35031600000000002</v>
      </c>
      <c r="E283" s="21">
        <v>-0.65840900000000002</v>
      </c>
      <c r="F283" s="21">
        <v>0.33333299999999999</v>
      </c>
      <c r="G283" s="21">
        <v>8.3333000000000004E-2</v>
      </c>
      <c r="H283" s="21">
        <v>0</v>
      </c>
    </row>
    <row r="284" spans="1:8">
      <c r="A284" s="4" t="s">
        <v>858</v>
      </c>
      <c r="B284" s="4">
        <v>10</v>
      </c>
      <c r="C284" s="21">
        <v>-0.40954699999999999</v>
      </c>
      <c r="D284" s="21">
        <v>-0.23418900000000001</v>
      </c>
      <c r="E284" s="21">
        <v>-0.32186799999999999</v>
      </c>
      <c r="F284" s="21">
        <v>0.33333299999999999</v>
      </c>
      <c r="G284" s="21">
        <v>0.41666700000000001</v>
      </c>
      <c r="H284" s="21">
        <v>0.4</v>
      </c>
    </row>
    <row r="285" spans="1:8">
      <c r="A285" s="4" t="s">
        <v>859</v>
      </c>
      <c r="B285" s="4">
        <v>1</v>
      </c>
      <c r="C285" s="21">
        <v>-0.84187800000000002</v>
      </c>
      <c r="D285" s="21">
        <v>-0.53570700000000004</v>
      </c>
      <c r="E285" s="21">
        <v>-0.68879199999999996</v>
      </c>
      <c r="F285" s="21">
        <v>0.38095200000000001</v>
      </c>
      <c r="G285" s="21">
        <v>0.33333299999999999</v>
      </c>
      <c r="H285" s="21">
        <v>0.4</v>
      </c>
    </row>
    <row r="286" spans="1:8">
      <c r="A286" s="4" t="s">
        <v>859</v>
      </c>
      <c r="B286" s="4">
        <v>2</v>
      </c>
      <c r="C286" s="21">
        <v>-0.69789400000000001</v>
      </c>
      <c r="D286" s="21">
        <v>-0.50447799999999998</v>
      </c>
      <c r="E286" s="21">
        <v>-0.601186</v>
      </c>
      <c r="F286" s="21">
        <v>0.238095</v>
      </c>
      <c r="G286" s="21">
        <v>0.16666700000000001</v>
      </c>
      <c r="H286" s="21">
        <v>0.4</v>
      </c>
    </row>
    <row r="287" spans="1:8">
      <c r="A287" s="4" t="s">
        <v>859</v>
      </c>
      <c r="B287" s="4">
        <v>3</v>
      </c>
      <c r="C287" s="21">
        <v>-0.87673299999999998</v>
      </c>
      <c r="D287" s="21">
        <v>-0.52366900000000005</v>
      </c>
      <c r="E287" s="21">
        <v>-0.70020099999999996</v>
      </c>
      <c r="F287" s="21">
        <v>0.33333299999999999</v>
      </c>
      <c r="G287" s="21">
        <v>0.16666700000000001</v>
      </c>
      <c r="H287" s="21">
        <v>0.2</v>
      </c>
    </row>
    <row r="288" spans="1:8">
      <c r="A288" s="4" t="s">
        <v>859</v>
      </c>
      <c r="B288" s="4">
        <v>4</v>
      </c>
      <c r="C288" s="21">
        <v>-0.93287299999999995</v>
      </c>
      <c r="D288" s="21">
        <v>-0.58272999999999997</v>
      </c>
      <c r="E288" s="21">
        <v>-0.75780099999999995</v>
      </c>
      <c r="F288" s="21">
        <v>0.52381</v>
      </c>
      <c r="G288" s="21">
        <v>8.3333000000000004E-2</v>
      </c>
      <c r="H288" s="21">
        <v>0</v>
      </c>
    </row>
    <row r="289" spans="1:8">
      <c r="A289" s="4" t="s">
        <v>859</v>
      </c>
      <c r="B289" s="4">
        <v>5</v>
      </c>
      <c r="C289" s="21">
        <v>-1.013023</v>
      </c>
      <c r="D289" s="21">
        <v>-0.44395499999999999</v>
      </c>
      <c r="E289" s="21">
        <v>-0.72848900000000005</v>
      </c>
      <c r="F289" s="21">
        <v>0.33333299999999999</v>
      </c>
      <c r="G289" s="21">
        <v>0.25</v>
      </c>
      <c r="H289" s="21">
        <v>0</v>
      </c>
    </row>
    <row r="290" spans="1:8">
      <c r="A290" s="4" t="s">
        <v>859</v>
      </c>
      <c r="B290" s="4">
        <v>6</v>
      </c>
      <c r="C290" s="21">
        <v>-0.79938399999999998</v>
      </c>
      <c r="D290" s="21">
        <v>-0.41543999999999998</v>
      </c>
      <c r="E290" s="21">
        <v>-0.60741199999999995</v>
      </c>
      <c r="F290" s="21">
        <v>0.28571400000000002</v>
      </c>
      <c r="G290" s="21">
        <v>0.25</v>
      </c>
      <c r="H290" s="21">
        <v>0.2</v>
      </c>
    </row>
    <row r="291" spans="1:8">
      <c r="A291" s="4" t="s">
        <v>859</v>
      </c>
      <c r="B291" s="4">
        <v>7</v>
      </c>
      <c r="C291" s="21">
        <v>-0.89118600000000003</v>
      </c>
      <c r="D291" s="21">
        <v>-0.44769399999999998</v>
      </c>
      <c r="E291" s="21">
        <v>-0.66944000000000004</v>
      </c>
      <c r="F291" s="21">
        <v>0.47619</v>
      </c>
      <c r="G291" s="21">
        <v>0.25</v>
      </c>
      <c r="H291" s="21">
        <v>0.4</v>
      </c>
    </row>
    <row r="292" spans="1:8">
      <c r="A292" s="4" t="s">
        <v>859</v>
      </c>
      <c r="B292" s="4">
        <v>8</v>
      </c>
      <c r="C292" s="21">
        <v>-0.93815599999999999</v>
      </c>
      <c r="D292" s="21">
        <v>-0.55786199999999997</v>
      </c>
      <c r="E292" s="21">
        <v>-0.74800900000000003</v>
      </c>
      <c r="F292" s="21">
        <v>0.38095200000000001</v>
      </c>
      <c r="G292" s="21">
        <v>0.16666700000000001</v>
      </c>
      <c r="H292" s="21">
        <v>0.2</v>
      </c>
    </row>
    <row r="293" spans="1:8">
      <c r="A293" s="4" t="s">
        <v>859</v>
      </c>
      <c r="B293" s="4">
        <v>9</v>
      </c>
      <c r="C293" s="21">
        <v>-0.69486000000000003</v>
      </c>
      <c r="D293" s="21">
        <v>-0.64938099999999999</v>
      </c>
      <c r="E293" s="21">
        <v>-0.67212099999999997</v>
      </c>
      <c r="F293" s="21">
        <v>0.47619</v>
      </c>
      <c r="G293" s="21">
        <v>0.33333299999999999</v>
      </c>
      <c r="H293" s="21">
        <v>0.2</v>
      </c>
    </row>
    <row r="294" spans="1:8">
      <c r="A294" s="4" t="s">
        <v>859</v>
      </c>
      <c r="B294" s="4">
        <v>10</v>
      </c>
      <c r="C294" s="21">
        <v>-0.72245000000000004</v>
      </c>
      <c r="D294" s="21">
        <v>-0.58305700000000005</v>
      </c>
      <c r="E294" s="21">
        <v>-0.65275399999999995</v>
      </c>
      <c r="F294" s="21">
        <v>0.38095200000000001</v>
      </c>
      <c r="G294" s="21">
        <v>0.25</v>
      </c>
      <c r="H294" s="21">
        <v>0.2</v>
      </c>
    </row>
    <row r="295" spans="1:8">
      <c r="A295" s="4" t="s">
        <v>860</v>
      </c>
      <c r="B295" s="4">
        <v>1</v>
      </c>
      <c r="C295" s="21">
        <v>-0.64425100000000002</v>
      </c>
      <c r="D295" s="21">
        <v>-0.393729</v>
      </c>
      <c r="E295" s="21">
        <v>-0.51898999999999995</v>
      </c>
      <c r="F295" s="21">
        <v>0.38095200000000001</v>
      </c>
      <c r="G295" s="21">
        <v>0.33333299999999999</v>
      </c>
      <c r="H295" s="21">
        <v>0.2</v>
      </c>
    </row>
    <row r="296" spans="1:8">
      <c r="A296" s="4" t="s">
        <v>860</v>
      </c>
      <c r="B296" s="4">
        <v>2</v>
      </c>
      <c r="C296" s="21">
        <v>-1.0223690000000001</v>
      </c>
      <c r="D296" s="21">
        <v>-0.52259199999999995</v>
      </c>
      <c r="E296" s="21">
        <v>-0.77248000000000006</v>
      </c>
      <c r="F296" s="21">
        <v>0.42857099999999998</v>
      </c>
      <c r="G296" s="21">
        <v>8.3333000000000004E-2</v>
      </c>
      <c r="H296" s="21">
        <v>0.2</v>
      </c>
    </row>
    <row r="297" spans="1:8">
      <c r="A297" s="4" t="s">
        <v>860</v>
      </c>
      <c r="B297" s="4">
        <v>3</v>
      </c>
      <c r="C297" s="21">
        <v>-0.68321100000000001</v>
      </c>
      <c r="D297" s="21">
        <v>-0.48805399999999999</v>
      </c>
      <c r="E297" s="21">
        <v>-0.58563299999999996</v>
      </c>
      <c r="F297" s="21">
        <v>0.42857099999999998</v>
      </c>
      <c r="G297" s="21">
        <v>0.16666700000000001</v>
      </c>
      <c r="H297" s="21">
        <v>0.4</v>
      </c>
    </row>
    <row r="298" spans="1:8">
      <c r="A298" s="4" t="s">
        <v>860</v>
      </c>
      <c r="B298" s="4">
        <v>4</v>
      </c>
      <c r="C298" s="21">
        <v>-0.60089199999999998</v>
      </c>
      <c r="D298" s="21">
        <v>-0.36011399999999999</v>
      </c>
      <c r="E298" s="21">
        <v>-0.48050300000000001</v>
      </c>
      <c r="F298" s="21">
        <v>0.42857099999999998</v>
      </c>
      <c r="G298" s="21">
        <v>0.41666700000000001</v>
      </c>
      <c r="H298" s="21">
        <v>0.4</v>
      </c>
    </row>
    <row r="299" spans="1:8">
      <c r="A299" s="4" t="s">
        <v>860</v>
      </c>
      <c r="B299" s="4">
        <v>5</v>
      </c>
      <c r="C299" s="21">
        <v>-0.78439800000000004</v>
      </c>
      <c r="D299" s="21">
        <v>-0.40776200000000001</v>
      </c>
      <c r="E299" s="21">
        <v>-0.59608000000000005</v>
      </c>
      <c r="F299" s="21">
        <v>0.28571400000000002</v>
      </c>
      <c r="G299" s="21">
        <v>0.25</v>
      </c>
      <c r="H299" s="21">
        <v>0</v>
      </c>
    </row>
    <row r="300" spans="1:8">
      <c r="A300" s="4" t="s">
        <v>860</v>
      </c>
      <c r="B300" s="4">
        <v>6</v>
      </c>
      <c r="C300" s="21">
        <v>-0.65942000000000001</v>
      </c>
      <c r="D300" s="21">
        <v>-0.29952200000000001</v>
      </c>
      <c r="E300" s="21">
        <v>-0.47947099999999998</v>
      </c>
      <c r="F300" s="21">
        <v>0.47619</v>
      </c>
      <c r="G300" s="21">
        <v>0.25</v>
      </c>
      <c r="H300" s="21">
        <v>0.4</v>
      </c>
    </row>
    <row r="301" spans="1:8">
      <c r="A301" s="4" t="s">
        <v>860</v>
      </c>
      <c r="B301" s="4">
        <v>7</v>
      </c>
      <c r="C301" s="21">
        <v>-0.23985000000000001</v>
      </c>
      <c r="D301" s="21">
        <v>-0.17607100000000001</v>
      </c>
      <c r="E301" s="21">
        <v>-0.20796100000000001</v>
      </c>
      <c r="F301" s="21">
        <v>0.52381</v>
      </c>
      <c r="G301" s="21">
        <v>0.5</v>
      </c>
      <c r="H301" s="21">
        <v>0.6</v>
      </c>
    </row>
    <row r="302" spans="1:8">
      <c r="A302" s="4" t="s">
        <v>860</v>
      </c>
      <c r="B302" s="4">
        <v>8</v>
      </c>
      <c r="C302" s="21">
        <v>-0.85304199999999997</v>
      </c>
      <c r="D302" s="21">
        <v>-0.50674399999999997</v>
      </c>
      <c r="E302" s="21">
        <v>-0.67989299999999997</v>
      </c>
      <c r="F302" s="21">
        <v>0.57142899999999996</v>
      </c>
      <c r="G302" s="21">
        <v>0.16666700000000001</v>
      </c>
      <c r="H302" s="21">
        <v>0.2</v>
      </c>
    </row>
    <row r="303" spans="1:8">
      <c r="A303" s="4" t="s">
        <v>860</v>
      </c>
      <c r="B303" s="4">
        <v>9</v>
      </c>
      <c r="C303" s="21">
        <v>-0.96030400000000005</v>
      </c>
      <c r="D303" s="21">
        <v>-0.33299099999999998</v>
      </c>
      <c r="E303" s="21">
        <v>-0.646648</v>
      </c>
      <c r="F303" s="21">
        <v>0.42857099999999998</v>
      </c>
      <c r="G303" s="21">
        <v>0.16666700000000001</v>
      </c>
      <c r="H303" s="21">
        <v>0</v>
      </c>
    </row>
    <row r="304" spans="1:8">
      <c r="A304" s="4" t="s">
        <v>860</v>
      </c>
      <c r="B304" s="4">
        <v>10</v>
      </c>
      <c r="C304" s="21">
        <v>-0.70651900000000001</v>
      </c>
      <c r="D304" s="21">
        <v>-0.43772499999999998</v>
      </c>
      <c r="E304" s="21">
        <v>-0.57212200000000002</v>
      </c>
      <c r="F304" s="21">
        <v>0.57142899999999996</v>
      </c>
      <c r="G304" s="21">
        <v>0.25</v>
      </c>
      <c r="H304" s="21">
        <v>0.2</v>
      </c>
    </row>
    <row r="305" spans="1:8">
      <c r="A305" s="4" t="s">
        <v>861</v>
      </c>
      <c r="B305" s="4">
        <v>1</v>
      </c>
      <c r="C305" s="21">
        <v>-0.85282999999999998</v>
      </c>
      <c r="D305" s="21">
        <v>-0.47463100000000003</v>
      </c>
      <c r="E305" s="21">
        <v>-0.66373099999999996</v>
      </c>
      <c r="F305" s="21">
        <v>0.28571400000000002</v>
      </c>
      <c r="G305" s="21">
        <v>0.25</v>
      </c>
      <c r="H305" s="21">
        <v>0.4</v>
      </c>
    </row>
    <row r="306" spans="1:8">
      <c r="A306" s="4" t="s">
        <v>861</v>
      </c>
      <c r="B306" s="4">
        <v>2</v>
      </c>
      <c r="C306" s="21">
        <v>-0.797543</v>
      </c>
      <c r="D306" s="21">
        <v>-0.37632199999999999</v>
      </c>
      <c r="E306" s="21">
        <v>-0.58693200000000001</v>
      </c>
      <c r="F306" s="21">
        <v>0.42857099999999998</v>
      </c>
      <c r="G306" s="21">
        <v>0.25</v>
      </c>
      <c r="H306" s="21">
        <v>0.4</v>
      </c>
    </row>
    <row r="307" spans="1:8">
      <c r="A307" s="4" t="s">
        <v>861</v>
      </c>
      <c r="B307" s="4">
        <v>3</v>
      </c>
      <c r="C307" s="21">
        <v>-0.69211400000000001</v>
      </c>
      <c r="D307" s="21">
        <v>-0.41718300000000003</v>
      </c>
      <c r="E307" s="21">
        <v>-0.55464800000000003</v>
      </c>
      <c r="F307" s="21">
        <v>0.33333299999999999</v>
      </c>
      <c r="G307" s="21">
        <v>0.16666700000000001</v>
      </c>
      <c r="H307" s="21">
        <v>0</v>
      </c>
    </row>
    <row r="308" spans="1:8">
      <c r="A308" s="4" t="s">
        <v>861</v>
      </c>
      <c r="B308" s="4">
        <v>4</v>
      </c>
      <c r="C308" s="21">
        <v>-0.70473699999999995</v>
      </c>
      <c r="D308" s="21">
        <v>-0.34385100000000002</v>
      </c>
      <c r="E308" s="21">
        <v>-0.52429400000000004</v>
      </c>
      <c r="F308" s="21">
        <v>0.33333299999999999</v>
      </c>
      <c r="G308" s="21">
        <v>0.25</v>
      </c>
      <c r="H308" s="21">
        <v>0.2</v>
      </c>
    </row>
    <row r="309" spans="1:8">
      <c r="A309" s="4" t="s">
        <v>861</v>
      </c>
      <c r="B309" s="4">
        <v>5</v>
      </c>
      <c r="C309" s="21">
        <v>-0.69866700000000004</v>
      </c>
      <c r="D309" s="21">
        <v>-0.32705400000000001</v>
      </c>
      <c r="E309" s="21">
        <v>-0.51285999999999998</v>
      </c>
      <c r="F309" s="21">
        <v>0.47619</v>
      </c>
      <c r="G309" s="21">
        <v>0.41666700000000001</v>
      </c>
      <c r="H309" s="21">
        <v>0.2</v>
      </c>
    </row>
    <row r="310" spans="1:8">
      <c r="A310" s="4" t="s">
        <v>861</v>
      </c>
      <c r="B310" s="4">
        <v>6</v>
      </c>
      <c r="C310" s="21">
        <v>-0.63539500000000004</v>
      </c>
      <c r="D310" s="21">
        <v>-0.43688500000000002</v>
      </c>
      <c r="E310" s="21">
        <v>-0.53613999999999995</v>
      </c>
      <c r="F310" s="21">
        <v>0.52381</v>
      </c>
      <c r="G310" s="21">
        <v>0.58333299999999999</v>
      </c>
      <c r="H310" s="21">
        <v>0.4</v>
      </c>
    </row>
    <row r="311" spans="1:8">
      <c r="A311" s="4" t="s">
        <v>861</v>
      </c>
      <c r="B311" s="4">
        <v>7</v>
      </c>
      <c r="C311" s="21">
        <v>-0.67930400000000002</v>
      </c>
      <c r="D311" s="21">
        <v>-0.30007699999999998</v>
      </c>
      <c r="E311" s="21">
        <v>-0.48969000000000001</v>
      </c>
      <c r="F311" s="21">
        <v>0.47619</v>
      </c>
      <c r="G311" s="21">
        <v>0.16666700000000001</v>
      </c>
      <c r="H311" s="21">
        <v>0</v>
      </c>
    </row>
    <row r="312" spans="1:8">
      <c r="A312" s="4" t="s">
        <v>861</v>
      </c>
      <c r="B312" s="4">
        <v>8</v>
      </c>
      <c r="C312" s="21">
        <v>-0.66253899999999999</v>
      </c>
      <c r="D312" s="21">
        <v>-0.41169899999999998</v>
      </c>
      <c r="E312" s="21">
        <v>-0.53711900000000001</v>
      </c>
      <c r="F312" s="21">
        <v>0.28571400000000002</v>
      </c>
      <c r="G312" s="21">
        <v>0.16666700000000001</v>
      </c>
      <c r="H312" s="21">
        <v>0.2</v>
      </c>
    </row>
    <row r="313" spans="1:8">
      <c r="A313" s="4" t="s">
        <v>861</v>
      </c>
      <c r="B313" s="4">
        <v>9</v>
      </c>
      <c r="C313" s="21">
        <v>-0.72742700000000005</v>
      </c>
      <c r="D313" s="21">
        <v>-0.41610200000000003</v>
      </c>
      <c r="E313" s="21">
        <v>-0.57176499999999997</v>
      </c>
      <c r="F313" s="21">
        <v>0.42857099999999998</v>
      </c>
      <c r="G313" s="21">
        <v>0.33333299999999999</v>
      </c>
      <c r="H313" s="21">
        <v>0.4</v>
      </c>
    </row>
    <row r="314" spans="1:8">
      <c r="A314" s="4" t="s">
        <v>861</v>
      </c>
      <c r="B314" s="4">
        <v>10</v>
      </c>
      <c r="C314" s="21">
        <v>-0.85131299999999999</v>
      </c>
      <c r="D314" s="21">
        <v>-0.34487899999999999</v>
      </c>
      <c r="E314" s="21">
        <v>-0.59809599999999996</v>
      </c>
      <c r="F314" s="21">
        <v>0.19047600000000001</v>
      </c>
      <c r="G314" s="21">
        <v>0.16666700000000001</v>
      </c>
      <c r="H314" s="21">
        <v>0</v>
      </c>
    </row>
    <row r="315" spans="1:8">
      <c r="A315" s="4" t="s">
        <v>862</v>
      </c>
      <c r="B315" s="4">
        <v>1</v>
      </c>
      <c r="C315" s="21">
        <v>-0.612653</v>
      </c>
      <c r="D315" s="21">
        <v>-0.413663</v>
      </c>
      <c r="E315" s="21">
        <v>-0.513158</v>
      </c>
      <c r="F315" s="21">
        <v>0.238095</v>
      </c>
      <c r="G315" s="21">
        <v>0.25</v>
      </c>
      <c r="H315" s="21">
        <v>0.2</v>
      </c>
    </row>
    <row r="316" spans="1:8">
      <c r="A316" s="4" t="s">
        <v>862</v>
      </c>
      <c r="B316" s="4">
        <v>2</v>
      </c>
      <c r="C316" s="21">
        <v>-0.55540999999999996</v>
      </c>
      <c r="D316" s="21">
        <v>-0.442355</v>
      </c>
      <c r="E316" s="21">
        <v>-0.49888199999999999</v>
      </c>
      <c r="F316" s="21">
        <v>0.52381</v>
      </c>
      <c r="G316" s="21">
        <v>0.33333299999999999</v>
      </c>
      <c r="H316" s="21">
        <v>0.6</v>
      </c>
    </row>
    <row r="317" spans="1:8">
      <c r="A317" s="4" t="s">
        <v>862</v>
      </c>
      <c r="B317" s="4">
        <v>3</v>
      </c>
      <c r="C317" s="21">
        <v>-0.87677700000000003</v>
      </c>
      <c r="D317" s="21">
        <v>-0.55228100000000002</v>
      </c>
      <c r="E317" s="21">
        <v>-0.71452899999999997</v>
      </c>
      <c r="F317" s="21">
        <v>0.57142899999999996</v>
      </c>
      <c r="G317" s="21">
        <v>0.25</v>
      </c>
      <c r="H317" s="21">
        <v>0.4</v>
      </c>
    </row>
    <row r="318" spans="1:8">
      <c r="A318" s="4" t="s">
        <v>862</v>
      </c>
      <c r="B318" s="4">
        <v>4</v>
      </c>
      <c r="C318" s="21">
        <v>-0.95368900000000001</v>
      </c>
      <c r="D318" s="21">
        <v>-0.42571199999999998</v>
      </c>
      <c r="E318" s="21">
        <v>-0.68969999999999998</v>
      </c>
      <c r="F318" s="21">
        <v>0.52381</v>
      </c>
      <c r="G318" s="21">
        <v>8.3333000000000004E-2</v>
      </c>
      <c r="H318" s="21">
        <v>0</v>
      </c>
    </row>
    <row r="319" spans="1:8">
      <c r="A319" s="4" t="s">
        <v>862</v>
      </c>
      <c r="B319" s="4">
        <v>5</v>
      </c>
      <c r="C319" s="21">
        <v>-0.63134100000000004</v>
      </c>
      <c r="D319" s="21">
        <v>-0.392961</v>
      </c>
      <c r="E319" s="21">
        <v>-0.51215100000000002</v>
      </c>
      <c r="F319" s="21">
        <v>0.28571400000000002</v>
      </c>
      <c r="G319" s="21">
        <v>0.25</v>
      </c>
      <c r="H319" s="21">
        <v>0.4</v>
      </c>
    </row>
    <row r="320" spans="1:8">
      <c r="A320" s="4" t="s">
        <v>862</v>
      </c>
      <c r="B320" s="4">
        <v>6</v>
      </c>
      <c r="C320" s="21">
        <v>-0.663686</v>
      </c>
      <c r="D320" s="21">
        <v>-0.26948499999999997</v>
      </c>
      <c r="E320" s="21">
        <v>-0.46658500000000003</v>
      </c>
      <c r="F320" s="21">
        <v>0.42857099999999998</v>
      </c>
      <c r="G320" s="21">
        <v>8.3333000000000004E-2</v>
      </c>
      <c r="H320" s="21">
        <v>0.2</v>
      </c>
    </row>
    <row r="321" spans="1:8">
      <c r="A321" s="4" t="s">
        <v>862</v>
      </c>
      <c r="B321" s="4">
        <v>7</v>
      </c>
      <c r="C321" s="21">
        <v>-0.67678700000000003</v>
      </c>
      <c r="D321" s="21">
        <v>-0.40631699999999998</v>
      </c>
      <c r="E321" s="21">
        <v>-0.54155200000000003</v>
      </c>
      <c r="F321" s="21">
        <v>0.33333299999999999</v>
      </c>
      <c r="G321" s="21">
        <v>8.3333000000000004E-2</v>
      </c>
      <c r="H321" s="21">
        <v>0</v>
      </c>
    </row>
    <row r="322" spans="1:8">
      <c r="A322" s="4" t="s">
        <v>862</v>
      </c>
      <c r="B322" s="4">
        <v>8</v>
      </c>
      <c r="C322" s="21">
        <v>-0.55277799999999999</v>
      </c>
      <c r="D322" s="21">
        <v>-0.23497699999999999</v>
      </c>
      <c r="E322" s="21">
        <v>-0.39387800000000001</v>
      </c>
      <c r="F322" s="21">
        <v>0.33333299999999999</v>
      </c>
      <c r="G322" s="21">
        <v>0.41666700000000001</v>
      </c>
      <c r="H322" s="21">
        <v>0.4</v>
      </c>
    </row>
    <row r="323" spans="1:8">
      <c r="A323" s="4" t="s">
        <v>862</v>
      </c>
      <c r="B323" s="4">
        <v>9</v>
      </c>
      <c r="C323" s="21">
        <v>-0.67443299999999995</v>
      </c>
      <c r="D323" s="21">
        <v>-0.46405600000000002</v>
      </c>
      <c r="E323" s="21">
        <v>-0.56924399999999997</v>
      </c>
      <c r="F323" s="21">
        <v>0.28571400000000002</v>
      </c>
      <c r="G323" s="21">
        <v>0.33333299999999999</v>
      </c>
      <c r="H323" s="21">
        <v>0.2</v>
      </c>
    </row>
    <row r="324" spans="1:8">
      <c r="A324" s="4" t="s">
        <v>862</v>
      </c>
      <c r="B324" s="4">
        <v>10</v>
      </c>
      <c r="C324" s="21">
        <v>-0.88152399999999997</v>
      </c>
      <c r="D324" s="21">
        <v>-0.31040200000000001</v>
      </c>
      <c r="E324" s="21">
        <v>-0.59596300000000002</v>
      </c>
      <c r="F324" s="21">
        <v>0.33333299999999999</v>
      </c>
      <c r="G324" s="21">
        <v>8.3333000000000004E-2</v>
      </c>
      <c r="H324" s="21">
        <v>0</v>
      </c>
    </row>
    <row r="325" spans="1:8">
      <c r="A325" s="4" t="s">
        <v>863</v>
      </c>
      <c r="B325" s="4">
        <v>1</v>
      </c>
      <c r="C325" s="21">
        <v>-0.62060800000000005</v>
      </c>
      <c r="D325" s="21">
        <v>-0.253998</v>
      </c>
      <c r="E325" s="21">
        <v>-0.437303</v>
      </c>
      <c r="F325" s="21">
        <v>0.66666700000000001</v>
      </c>
      <c r="G325" s="21">
        <v>0.33333299999999999</v>
      </c>
      <c r="H325" s="21">
        <v>0.6</v>
      </c>
    </row>
    <row r="326" spans="1:8">
      <c r="A326" s="4" t="s">
        <v>863</v>
      </c>
      <c r="B326" s="4">
        <v>2</v>
      </c>
      <c r="C326" s="21">
        <v>-0.48796299999999998</v>
      </c>
      <c r="D326" s="21">
        <v>-0.30624600000000002</v>
      </c>
      <c r="E326" s="21">
        <v>-0.39710400000000001</v>
      </c>
      <c r="F326" s="21">
        <v>0.42857099999999998</v>
      </c>
      <c r="G326" s="21">
        <v>0.33333299999999999</v>
      </c>
      <c r="H326" s="21">
        <v>0.4</v>
      </c>
    </row>
    <row r="327" spans="1:8">
      <c r="A327" s="4" t="s">
        <v>863</v>
      </c>
      <c r="B327" s="4">
        <v>3</v>
      </c>
      <c r="C327" s="21">
        <v>-0.84325099999999997</v>
      </c>
      <c r="D327" s="21">
        <v>-0.41643400000000003</v>
      </c>
      <c r="E327" s="21">
        <v>-0.62984300000000004</v>
      </c>
      <c r="F327" s="21">
        <v>0.33333299999999999</v>
      </c>
      <c r="G327" s="21">
        <v>8.3333000000000004E-2</v>
      </c>
      <c r="H327" s="21">
        <v>0.2</v>
      </c>
    </row>
    <row r="328" spans="1:8">
      <c r="A328" s="4" t="s">
        <v>863</v>
      </c>
      <c r="B328" s="4">
        <v>4</v>
      </c>
      <c r="C328" s="21">
        <v>-0.99933399999999994</v>
      </c>
      <c r="D328" s="21">
        <v>-0.46941500000000003</v>
      </c>
      <c r="E328" s="21">
        <v>-0.73437399999999997</v>
      </c>
      <c r="F328" s="21">
        <v>0.57142899999999996</v>
      </c>
      <c r="G328" s="21">
        <v>0.16666700000000001</v>
      </c>
      <c r="H328" s="21">
        <v>0.2</v>
      </c>
    </row>
    <row r="329" spans="1:8">
      <c r="A329" s="4" t="s">
        <v>863</v>
      </c>
      <c r="B329" s="4">
        <v>5</v>
      </c>
      <c r="C329" s="21">
        <v>-0.76322299999999998</v>
      </c>
      <c r="D329" s="21">
        <v>-0.50604300000000002</v>
      </c>
      <c r="E329" s="21">
        <v>-0.634633</v>
      </c>
      <c r="F329" s="21">
        <v>0.57142899999999996</v>
      </c>
      <c r="G329" s="21">
        <v>0.41666700000000001</v>
      </c>
      <c r="H329" s="21">
        <v>0.6</v>
      </c>
    </row>
    <row r="330" spans="1:8">
      <c r="A330" s="4" t="s">
        <v>863</v>
      </c>
      <c r="B330" s="4">
        <v>6</v>
      </c>
      <c r="C330" s="21">
        <v>-1.0926450000000001</v>
      </c>
      <c r="D330" s="21">
        <v>-0.49661</v>
      </c>
      <c r="E330" s="21">
        <v>-0.79462699999999997</v>
      </c>
      <c r="F330" s="21">
        <v>0.47619</v>
      </c>
      <c r="G330" s="21">
        <v>8.3333000000000004E-2</v>
      </c>
      <c r="H330" s="21">
        <v>0</v>
      </c>
    </row>
    <row r="331" spans="1:8">
      <c r="A331" s="4" t="s">
        <v>863</v>
      </c>
      <c r="B331" s="4">
        <v>7</v>
      </c>
      <c r="C331" s="21">
        <v>-0.80154099999999995</v>
      </c>
      <c r="D331" s="21">
        <v>-0.44169999999999998</v>
      </c>
      <c r="E331" s="21">
        <v>-0.62161999999999995</v>
      </c>
      <c r="F331" s="21">
        <v>0.28571400000000002</v>
      </c>
      <c r="G331" s="21">
        <v>8.3333000000000004E-2</v>
      </c>
      <c r="H331" s="21">
        <v>0</v>
      </c>
    </row>
    <row r="332" spans="1:8">
      <c r="A332" s="4" t="s">
        <v>863</v>
      </c>
      <c r="B332" s="4">
        <v>8</v>
      </c>
      <c r="C332" s="21">
        <v>-0.78068199999999999</v>
      </c>
      <c r="D332" s="21">
        <v>-0.409385</v>
      </c>
      <c r="E332" s="21">
        <v>-0.59503399999999995</v>
      </c>
      <c r="F332" s="21">
        <v>0.38095200000000001</v>
      </c>
      <c r="G332" s="21">
        <v>0.33333299999999999</v>
      </c>
      <c r="H332" s="21">
        <v>0.6</v>
      </c>
    </row>
    <row r="333" spans="1:8">
      <c r="A333" s="4" t="s">
        <v>863</v>
      </c>
      <c r="B333" s="4">
        <v>9</v>
      </c>
      <c r="C333" s="21">
        <v>-0.82334600000000002</v>
      </c>
      <c r="D333" s="21">
        <v>-0.43428699999999998</v>
      </c>
      <c r="E333" s="21">
        <v>-0.62881699999999996</v>
      </c>
      <c r="F333" s="21">
        <v>0.33333299999999999</v>
      </c>
      <c r="G333" s="21">
        <v>8.3333000000000004E-2</v>
      </c>
      <c r="H333" s="21">
        <v>0.2</v>
      </c>
    </row>
    <row r="334" spans="1:8">
      <c r="A334" s="4" t="s">
        <v>863</v>
      </c>
      <c r="B334" s="4">
        <v>10</v>
      </c>
      <c r="C334" s="21">
        <v>-1.0069870000000001</v>
      </c>
      <c r="D334" s="21">
        <v>-0.47476600000000002</v>
      </c>
      <c r="E334" s="21">
        <v>-0.74087700000000001</v>
      </c>
      <c r="F334" s="21">
        <v>0.28571400000000002</v>
      </c>
      <c r="G334" s="21">
        <v>0.16666700000000001</v>
      </c>
      <c r="H334" s="21">
        <v>0</v>
      </c>
    </row>
    <row r="335" spans="1:8">
      <c r="A335" s="4" t="s">
        <v>864</v>
      </c>
      <c r="B335" s="4">
        <v>1</v>
      </c>
      <c r="C335" s="21">
        <v>-0.76739299999999999</v>
      </c>
      <c r="D335" s="21">
        <v>-0.433506</v>
      </c>
      <c r="E335" s="21">
        <v>-0.60044900000000001</v>
      </c>
      <c r="F335" s="21">
        <v>0.42857099999999998</v>
      </c>
      <c r="G335" s="21">
        <v>0.25</v>
      </c>
      <c r="H335" s="21">
        <v>0.4</v>
      </c>
    </row>
    <row r="336" spans="1:8">
      <c r="A336" s="4" t="s">
        <v>864</v>
      </c>
      <c r="B336" s="4">
        <v>2</v>
      </c>
      <c r="C336" s="21">
        <v>-0.58687500000000004</v>
      </c>
      <c r="D336" s="21">
        <v>-0.34446399999999999</v>
      </c>
      <c r="E336" s="21">
        <v>-0.46566999999999997</v>
      </c>
      <c r="F336" s="21">
        <v>0.33333299999999999</v>
      </c>
      <c r="G336" s="21">
        <v>0.33333299999999999</v>
      </c>
      <c r="H336" s="21">
        <v>0.4</v>
      </c>
    </row>
    <row r="337" spans="1:8">
      <c r="A337" s="4" t="s">
        <v>864</v>
      </c>
      <c r="B337" s="4">
        <v>3</v>
      </c>
      <c r="C337" s="21">
        <v>-0.70884499999999995</v>
      </c>
      <c r="D337" s="21">
        <v>-0.44075399999999998</v>
      </c>
      <c r="E337" s="21">
        <v>-0.57479899999999995</v>
      </c>
      <c r="F337" s="21">
        <v>0.42857099999999998</v>
      </c>
      <c r="G337" s="21">
        <v>0.25</v>
      </c>
      <c r="H337" s="21">
        <v>0.2</v>
      </c>
    </row>
    <row r="338" spans="1:8">
      <c r="A338" s="4" t="s">
        <v>864</v>
      </c>
      <c r="B338" s="4">
        <v>4</v>
      </c>
      <c r="C338" s="21">
        <v>-1.085253</v>
      </c>
      <c r="D338" s="21">
        <v>-0.51241599999999998</v>
      </c>
      <c r="E338" s="21">
        <v>-0.79883400000000004</v>
      </c>
      <c r="F338" s="21">
        <v>0.38095200000000001</v>
      </c>
      <c r="G338" s="21">
        <v>8.3333000000000004E-2</v>
      </c>
      <c r="H338" s="21">
        <v>0</v>
      </c>
    </row>
    <row r="339" spans="1:8">
      <c r="A339" s="4" t="s">
        <v>864</v>
      </c>
      <c r="B339" s="4">
        <v>5</v>
      </c>
      <c r="C339" s="21">
        <v>-0.54700099999999996</v>
      </c>
      <c r="D339" s="21">
        <v>-0.27360299999999999</v>
      </c>
      <c r="E339" s="21">
        <v>-0.410302</v>
      </c>
      <c r="F339" s="21">
        <v>0.47619</v>
      </c>
      <c r="G339" s="21">
        <v>0.16666700000000001</v>
      </c>
      <c r="H339" s="21">
        <v>0.4</v>
      </c>
    </row>
    <row r="340" spans="1:8">
      <c r="A340" s="4" t="s">
        <v>864</v>
      </c>
      <c r="B340" s="4">
        <v>6</v>
      </c>
      <c r="C340" s="21">
        <v>-0.75962700000000005</v>
      </c>
      <c r="D340" s="21">
        <v>-0.31554300000000002</v>
      </c>
      <c r="E340" s="21">
        <v>-0.53758499999999998</v>
      </c>
      <c r="F340" s="21">
        <v>0.33333299999999999</v>
      </c>
      <c r="G340" s="21">
        <v>0</v>
      </c>
      <c r="H340" s="21">
        <v>0</v>
      </c>
    </row>
    <row r="341" spans="1:8">
      <c r="A341" s="4" t="s">
        <v>864</v>
      </c>
      <c r="B341" s="4">
        <v>7</v>
      </c>
      <c r="C341" s="21">
        <v>-0.63098500000000002</v>
      </c>
      <c r="D341" s="21">
        <v>-0.41615099999999999</v>
      </c>
      <c r="E341" s="21">
        <v>-0.52356800000000003</v>
      </c>
      <c r="F341" s="21">
        <v>0.38095200000000001</v>
      </c>
      <c r="G341" s="21">
        <v>0.41666700000000001</v>
      </c>
      <c r="H341" s="21">
        <v>0.6</v>
      </c>
    </row>
    <row r="342" spans="1:8">
      <c r="A342" s="4" t="s">
        <v>864</v>
      </c>
      <c r="B342" s="4">
        <v>8</v>
      </c>
      <c r="C342" s="21">
        <v>-0.915246</v>
      </c>
      <c r="D342" s="21">
        <v>-0.377</v>
      </c>
      <c r="E342" s="21">
        <v>-0.646123</v>
      </c>
      <c r="F342" s="21">
        <v>0.33333299999999999</v>
      </c>
      <c r="G342" s="21">
        <v>8.3333000000000004E-2</v>
      </c>
      <c r="H342" s="21">
        <v>0.2</v>
      </c>
    </row>
    <row r="343" spans="1:8">
      <c r="A343" s="4" t="s">
        <v>864</v>
      </c>
      <c r="B343" s="4">
        <v>9</v>
      </c>
      <c r="C343" s="21">
        <v>-0.86013099999999998</v>
      </c>
      <c r="D343" s="21">
        <v>-0.48636099999999999</v>
      </c>
      <c r="E343" s="21">
        <v>-0.67324600000000001</v>
      </c>
      <c r="F343" s="21">
        <v>0.52381</v>
      </c>
      <c r="G343" s="21">
        <v>0.16666700000000001</v>
      </c>
      <c r="H343" s="21">
        <v>0</v>
      </c>
    </row>
    <row r="344" spans="1:8">
      <c r="A344" s="4" t="s">
        <v>864</v>
      </c>
      <c r="B344" s="4">
        <v>10</v>
      </c>
      <c r="C344" s="21">
        <v>-0.87455400000000005</v>
      </c>
      <c r="D344" s="21">
        <v>-0.41360400000000003</v>
      </c>
      <c r="E344" s="21">
        <v>-0.64407899999999996</v>
      </c>
      <c r="F344" s="21">
        <v>0.57142899999999996</v>
      </c>
      <c r="G344" s="21">
        <v>8.3333000000000004E-2</v>
      </c>
      <c r="H344" s="21">
        <v>0.2</v>
      </c>
    </row>
    <row r="345" spans="1:8">
      <c r="A345" s="4" t="s">
        <v>865</v>
      </c>
      <c r="B345" s="4">
        <v>1</v>
      </c>
      <c r="C345" s="21">
        <v>-0.89754599999999995</v>
      </c>
      <c r="D345" s="21">
        <v>-0.40275100000000003</v>
      </c>
      <c r="E345" s="21">
        <v>-0.65014899999999998</v>
      </c>
      <c r="F345" s="21">
        <v>0.238095</v>
      </c>
      <c r="G345" s="21">
        <v>8.3333000000000004E-2</v>
      </c>
      <c r="H345" s="21">
        <v>0</v>
      </c>
    </row>
    <row r="346" spans="1:8">
      <c r="A346" s="4" t="s">
        <v>865</v>
      </c>
      <c r="B346" s="4">
        <v>2</v>
      </c>
      <c r="C346" s="21">
        <v>-0.660528</v>
      </c>
      <c r="D346" s="21">
        <v>-0.43727199999999999</v>
      </c>
      <c r="E346" s="21">
        <v>-0.54890000000000005</v>
      </c>
      <c r="F346" s="21">
        <v>0.33333299999999999</v>
      </c>
      <c r="G346" s="21">
        <v>0.16666700000000001</v>
      </c>
      <c r="H346" s="21">
        <v>0.2</v>
      </c>
    </row>
    <row r="347" spans="1:8">
      <c r="A347" s="4" t="s">
        <v>865</v>
      </c>
      <c r="B347" s="4">
        <v>3</v>
      </c>
      <c r="C347" s="21">
        <v>-0.50505699999999998</v>
      </c>
      <c r="D347" s="21">
        <v>-0.29606300000000002</v>
      </c>
      <c r="E347" s="21">
        <v>-0.40056000000000003</v>
      </c>
      <c r="F347" s="21">
        <v>0.33333299999999999</v>
      </c>
      <c r="G347" s="21">
        <v>0.33333299999999999</v>
      </c>
      <c r="H347" s="21">
        <v>0.4</v>
      </c>
    </row>
    <row r="348" spans="1:8">
      <c r="A348" s="4" t="s">
        <v>865</v>
      </c>
      <c r="B348" s="4">
        <v>4</v>
      </c>
      <c r="C348" s="21">
        <v>-0.74465599999999998</v>
      </c>
      <c r="D348" s="21">
        <v>-0.37399900000000003</v>
      </c>
      <c r="E348" s="21">
        <v>-0.55932700000000002</v>
      </c>
      <c r="F348" s="21">
        <v>0.42857099999999998</v>
      </c>
      <c r="G348" s="21">
        <v>0.33333299999999999</v>
      </c>
      <c r="H348" s="21">
        <v>0.2</v>
      </c>
    </row>
    <row r="349" spans="1:8">
      <c r="A349" s="4" t="s">
        <v>865</v>
      </c>
      <c r="B349" s="4">
        <v>5</v>
      </c>
      <c r="C349" s="21">
        <v>-0.63364100000000001</v>
      </c>
      <c r="D349" s="21">
        <v>-0.26097599999999999</v>
      </c>
      <c r="E349" s="21">
        <v>-0.44730799999999998</v>
      </c>
      <c r="F349" s="21">
        <v>0.42857099999999998</v>
      </c>
      <c r="G349" s="21">
        <v>0.33333299999999999</v>
      </c>
      <c r="H349" s="21">
        <v>0.2</v>
      </c>
    </row>
    <row r="350" spans="1:8">
      <c r="A350" s="4" t="s">
        <v>865</v>
      </c>
      <c r="B350" s="4">
        <v>6</v>
      </c>
      <c r="C350" s="21">
        <v>-1.0071920000000001</v>
      </c>
      <c r="D350" s="21">
        <v>-0.49343500000000001</v>
      </c>
      <c r="E350" s="21">
        <v>-0.75031300000000001</v>
      </c>
      <c r="F350" s="21">
        <v>0.42857099999999998</v>
      </c>
      <c r="G350" s="21">
        <v>8.3333000000000004E-2</v>
      </c>
      <c r="H350" s="21">
        <v>0.2</v>
      </c>
    </row>
    <row r="351" spans="1:8">
      <c r="A351" s="4" t="s">
        <v>865</v>
      </c>
      <c r="B351" s="4">
        <v>7</v>
      </c>
      <c r="C351" s="21">
        <v>-0.80062199999999994</v>
      </c>
      <c r="D351" s="21">
        <v>-0.47191300000000003</v>
      </c>
      <c r="E351" s="21">
        <v>-0.63626799999999994</v>
      </c>
      <c r="F351" s="21">
        <v>0.33333299999999999</v>
      </c>
      <c r="G351" s="21">
        <v>0.33333299999999999</v>
      </c>
      <c r="H351" s="21">
        <v>0.4</v>
      </c>
    </row>
    <row r="352" spans="1:8">
      <c r="A352" s="4" t="s">
        <v>865</v>
      </c>
      <c r="B352" s="4">
        <v>8</v>
      </c>
      <c r="C352" s="21">
        <v>-0.86752899999999999</v>
      </c>
      <c r="D352" s="21">
        <v>-0.54881000000000002</v>
      </c>
      <c r="E352" s="21">
        <v>-0.70816900000000005</v>
      </c>
      <c r="F352" s="21">
        <v>0.47619</v>
      </c>
      <c r="G352" s="21">
        <v>0.25</v>
      </c>
      <c r="H352" s="21">
        <v>0.2</v>
      </c>
    </row>
    <row r="353" spans="1:8">
      <c r="A353" s="4" t="s">
        <v>865</v>
      </c>
      <c r="B353" s="4">
        <v>9</v>
      </c>
      <c r="C353" s="21">
        <v>-1.037819</v>
      </c>
      <c r="D353" s="21">
        <v>-0.48322399999999999</v>
      </c>
      <c r="E353" s="21">
        <v>-0.76052200000000003</v>
      </c>
      <c r="F353" s="21">
        <v>0.47619</v>
      </c>
      <c r="G353" s="21">
        <v>8.3333000000000004E-2</v>
      </c>
      <c r="H353" s="21">
        <v>0.2</v>
      </c>
    </row>
    <row r="354" spans="1:8">
      <c r="A354" s="4" t="s">
        <v>865</v>
      </c>
      <c r="B354" s="4">
        <v>10</v>
      </c>
      <c r="C354" s="21">
        <v>-0.91336499999999998</v>
      </c>
      <c r="D354" s="21">
        <v>-0.51149199999999995</v>
      </c>
      <c r="E354" s="21">
        <v>-0.71242799999999995</v>
      </c>
      <c r="F354" s="21">
        <v>0.42857099999999998</v>
      </c>
      <c r="G354" s="21">
        <v>0.25</v>
      </c>
      <c r="H354" s="21">
        <v>0.2</v>
      </c>
    </row>
    <row r="355" spans="1:8">
      <c r="A355" s="4" t="s">
        <v>866</v>
      </c>
      <c r="B355" s="4">
        <v>1</v>
      </c>
      <c r="C355" s="21">
        <v>-0.81613100000000005</v>
      </c>
      <c r="D355" s="21">
        <v>-0.51001600000000002</v>
      </c>
      <c r="E355" s="21">
        <v>-0.66307300000000002</v>
      </c>
      <c r="F355" s="21">
        <v>0.28571400000000002</v>
      </c>
      <c r="G355" s="21">
        <v>8.3333000000000004E-2</v>
      </c>
      <c r="H355" s="21">
        <v>0</v>
      </c>
    </row>
    <row r="356" spans="1:8">
      <c r="A356" s="4" t="s">
        <v>866</v>
      </c>
      <c r="B356" s="4">
        <v>2</v>
      </c>
      <c r="C356" s="21">
        <v>-0.637208</v>
      </c>
      <c r="D356" s="21">
        <v>-0.50110900000000003</v>
      </c>
      <c r="E356" s="21">
        <v>-0.56915899999999997</v>
      </c>
      <c r="F356" s="21">
        <v>0.52381</v>
      </c>
      <c r="G356" s="21">
        <v>0.33333299999999999</v>
      </c>
      <c r="H356" s="21">
        <v>0.4</v>
      </c>
    </row>
    <row r="357" spans="1:8">
      <c r="A357" s="4" t="s">
        <v>866</v>
      </c>
      <c r="B357" s="4">
        <v>3</v>
      </c>
      <c r="C357" s="21">
        <v>-0.73138599999999998</v>
      </c>
      <c r="D357" s="21">
        <v>-0.556508</v>
      </c>
      <c r="E357" s="21">
        <v>-0.64394700000000005</v>
      </c>
      <c r="F357" s="21">
        <v>0.47619</v>
      </c>
      <c r="G357" s="21">
        <v>0.41666700000000001</v>
      </c>
      <c r="H357" s="21">
        <v>0.4</v>
      </c>
    </row>
    <row r="358" spans="1:8">
      <c r="A358" s="4" t="s">
        <v>866</v>
      </c>
      <c r="B358" s="4">
        <v>4</v>
      </c>
      <c r="C358" s="21">
        <v>-0.34293000000000001</v>
      </c>
      <c r="D358" s="21">
        <v>-0.26995000000000002</v>
      </c>
      <c r="E358" s="21">
        <v>-0.30643999999999999</v>
      </c>
      <c r="F358" s="21">
        <v>0.47619</v>
      </c>
      <c r="G358" s="21">
        <v>0.5</v>
      </c>
      <c r="H358" s="21">
        <v>0.4</v>
      </c>
    </row>
    <row r="359" spans="1:8">
      <c r="A359" s="4" t="s">
        <v>866</v>
      </c>
      <c r="B359" s="4">
        <v>5</v>
      </c>
      <c r="C359" s="21">
        <v>-0.54757199999999995</v>
      </c>
      <c r="D359" s="21">
        <v>-0.39150299999999999</v>
      </c>
      <c r="E359" s="21">
        <v>-0.46953699999999998</v>
      </c>
      <c r="F359" s="21">
        <v>0.42857099999999998</v>
      </c>
      <c r="G359" s="21">
        <v>0.41666700000000001</v>
      </c>
      <c r="H359" s="21">
        <v>0.4</v>
      </c>
    </row>
    <row r="360" spans="1:8">
      <c r="A360" s="4" t="s">
        <v>866</v>
      </c>
      <c r="B360" s="4">
        <v>6</v>
      </c>
      <c r="C360" s="21">
        <v>-0.77363099999999996</v>
      </c>
      <c r="D360" s="21">
        <v>-0.52144199999999996</v>
      </c>
      <c r="E360" s="21">
        <v>-0.647536</v>
      </c>
      <c r="F360" s="21">
        <v>0.42857099999999998</v>
      </c>
      <c r="G360" s="21">
        <v>0.25</v>
      </c>
      <c r="H360" s="21">
        <v>0.4</v>
      </c>
    </row>
    <row r="361" spans="1:8">
      <c r="A361" s="4" t="s">
        <v>866</v>
      </c>
      <c r="B361" s="4">
        <v>7</v>
      </c>
      <c r="C361" s="21">
        <v>-0.74421599999999999</v>
      </c>
      <c r="D361" s="21">
        <v>-0.43044700000000002</v>
      </c>
      <c r="E361" s="21">
        <v>-0.58733199999999997</v>
      </c>
      <c r="F361" s="21">
        <v>0.38095200000000001</v>
      </c>
      <c r="G361" s="21">
        <v>0.25</v>
      </c>
      <c r="H361" s="21">
        <v>0.6</v>
      </c>
    </row>
    <row r="362" spans="1:8">
      <c r="A362" s="4" t="s">
        <v>866</v>
      </c>
      <c r="B362" s="4">
        <v>8</v>
      </c>
      <c r="C362" s="21">
        <v>-1.0916110000000001</v>
      </c>
      <c r="D362" s="21">
        <v>-0.65211300000000005</v>
      </c>
      <c r="E362" s="21">
        <v>-0.87186200000000003</v>
      </c>
      <c r="F362" s="21">
        <v>0.33333299999999999</v>
      </c>
      <c r="G362" s="21">
        <v>8.3333000000000004E-2</v>
      </c>
      <c r="H362" s="21">
        <v>0.2</v>
      </c>
    </row>
    <row r="363" spans="1:8">
      <c r="A363" s="4" t="s">
        <v>866</v>
      </c>
      <c r="B363" s="4">
        <v>9</v>
      </c>
      <c r="C363" s="21">
        <v>-0.79929700000000004</v>
      </c>
      <c r="D363" s="21">
        <v>-0.51713699999999996</v>
      </c>
      <c r="E363" s="21">
        <v>-0.65821700000000005</v>
      </c>
      <c r="F363" s="21">
        <v>0.33333299999999999</v>
      </c>
      <c r="G363" s="21">
        <v>0.33333299999999999</v>
      </c>
      <c r="H363" s="21">
        <v>0.2</v>
      </c>
    </row>
    <row r="364" spans="1:8">
      <c r="A364" s="4" t="s">
        <v>866</v>
      </c>
      <c r="B364" s="4">
        <v>10</v>
      </c>
      <c r="C364" s="21">
        <v>-0.74274700000000005</v>
      </c>
      <c r="D364" s="21">
        <v>-0.25627</v>
      </c>
      <c r="E364" s="21">
        <v>-0.49950800000000001</v>
      </c>
      <c r="F364" s="21">
        <v>0.42857099999999998</v>
      </c>
      <c r="G364" s="21">
        <v>0.25</v>
      </c>
      <c r="H364" s="21">
        <v>0.2</v>
      </c>
    </row>
    <row r="365" spans="1:8">
      <c r="A365" s="4" t="s">
        <v>867</v>
      </c>
      <c r="B365" s="4">
        <v>1</v>
      </c>
      <c r="C365" s="21">
        <v>-0.95064599999999999</v>
      </c>
      <c r="D365" s="21">
        <v>-0.51715900000000004</v>
      </c>
      <c r="E365" s="21">
        <v>-0.73390200000000005</v>
      </c>
      <c r="F365" s="21">
        <v>0.47619</v>
      </c>
      <c r="G365" s="21">
        <v>0.33333299999999999</v>
      </c>
      <c r="H365" s="21">
        <v>0.2</v>
      </c>
    </row>
    <row r="366" spans="1:8">
      <c r="A366" s="4" t="s">
        <v>867</v>
      </c>
      <c r="B366" s="4">
        <v>2</v>
      </c>
      <c r="C366" s="21">
        <v>-0.90017100000000005</v>
      </c>
      <c r="D366" s="21">
        <v>-0.53089200000000003</v>
      </c>
      <c r="E366" s="21">
        <v>-0.71553100000000003</v>
      </c>
      <c r="F366" s="21">
        <v>0.52381</v>
      </c>
      <c r="G366" s="21">
        <v>8.3333000000000004E-2</v>
      </c>
      <c r="H366" s="21">
        <v>0</v>
      </c>
    </row>
    <row r="367" spans="1:8">
      <c r="A367" s="4" t="s">
        <v>867</v>
      </c>
      <c r="B367" s="4">
        <v>3</v>
      </c>
      <c r="C367" s="21">
        <v>-0.82958900000000002</v>
      </c>
      <c r="D367" s="21">
        <v>-0.46743600000000002</v>
      </c>
      <c r="E367" s="21">
        <v>-0.64851300000000001</v>
      </c>
      <c r="F367" s="21">
        <v>0.38095200000000001</v>
      </c>
      <c r="G367" s="21">
        <v>8.3333000000000004E-2</v>
      </c>
      <c r="H367" s="21">
        <v>0.2</v>
      </c>
    </row>
    <row r="368" spans="1:8">
      <c r="A368" s="4" t="s">
        <v>867</v>
      </c>
      <c r="B368" s="4">
        <v>4</v>
      </c>
      <c r="C368" s="21">
        <v>-0.75479399999999996</v>
      </c>
      <c r="D368" s="21">
        <v>-0.43375200000000003</v>
      </c>
      <c r="E368" s="21">
        <v>-0.59427300000000005</v>
      </c>
      <c r="F368" s="21">
        <v>0.42857099999999998</v>
      </c>
      <c r="G368" s="21">
        <v>0.25</v>
      </c>
      <c r="H368" s="21">
        <v>0.4</v>
      </c>
    </row>
    <row r="369" spans="1:8">
      <c r="A369" s="4" t="s">
        <v>867</v>
      </c>
      <c r="B369" s="4">
        <v>5</v>
      </c>
      <c r="C369" s="21">
        <v>-0.58267500000000005</v>
      </c>
      <c r="D369" s="21">
        <v>-0.36981599999999998</v>
      </c>
      <c r="E369" s="21">
        <v>-0.476246</v>
      </c>
      <c r="F369" s="21">
        <v>0.33333299999999999</v>
      </c>
      <c r="G369" s="21">
        <v>0.41666700000000001</v>
      </c>
      <c r="H369" s="21">
        <v>0.6</v>
      </c>
    </row>
    <row r="370" spans="1:8">
      <c r="A370" s="4" t="s">
        <v>867</v>
      </c>
      <c r="B370" s="4">
        <v>6</v>
      </c>
      <c r="C370" s="21">
        <v>-0.59093499999999999</v>
      </c>
      <c r="D370" s="21">
        <v>-0.36357099999999998</v>
      </c>
      <c r="E370" s="21">
        <v>-0.47725299999999998</v>
      </c>
      <c r="F370" s="21">
        <v>0.42857099999999998</v>
      </c>
      <c r="G370" s="21">
        <v>0.25</v>
      </c>
      <c r="H370" s="21">
        <v>0.2</v>
      </c>
    </row>
    <row r="371" spans="1:8">
      <c r="A371" s="4" t="s">
        <v>867</v>
      </c>
      <c r="B371" s="4">
        <v>7</v>
      </c>
      <c r="C371" s="21">
        <v>-0.76909300000000003</v>
      </c>
      <c r="D371" s="21">
        <v>-0.56077999999999995</v>
      </c>
      <c r="E371" s="21">
        <v>-0.66493599999999997</v>
      </c>
      <c r="F371" s="21">
        <v>0.38095200000000001</v>
      </c>
      <c r="G371" s="21">
        <v>0.16666700000000001</v>
      </c>
      <c r="H371" s="21">
        <v>0.2</v>
      </c>
    </row>
    <row r="372" spans="1:8">
      <c r="A372" s="4" t="s">
        <v>867</v>
      </c>
      <c r="B372" s="4">
        <v>8</v>
      </c>
      <c r="C372" s="21">
        <v>-0.63161</v>
      </c>
      <c r="D372" s="21">
        <v>-0.417352</v>
      </c>
      <c r="E372" s="21">
        <v>-0.52448099999999998</v>
      </c>
      <c r="F372" s="21">
        <v>0.42857099999999998</v>
      </c>
      <c r="G372" s="21">
        <v>0.16666700000000001</v>
      </c>
      <c r="H372" s="21">
        <v>0.2</v>
      </c>
    </row>
    <row r="373" spans="1:8">
      <c r="A373" s="4" t="s">
        <v>867</v>
      </c>
      <c r="B373" s="4">
        <v>9</v>
      </c>
      <c r="C373" s="21">
        <v>-0.91134700000000002</v>
      </c>
      <c r="D373" s="21">
        <v>-0.36782199999999998</v>
      </c>
      <c r="E373" s="21">
        <v>-0.63958400000000004</v>
      </c>
      <c r="F373" s="21">
        <v>0.42857099999999998</v>
      </c>
      <c r="G373" s="21">
        <v>8.3333000000000004E-2</v>
      </c>
      <c r="H373" s="21">
        <v>0</v>
      </c>
    </row>
    <row r="374" spans="1:8">
      <c r="A374" s="4" t="s">
        <v>867</v>
      </c>
      <c r="B374" s="4">
        <v>10</v>
      </c>
      <c r="C374" s="21">
        <v>-0.80906599999999995</v>
      </c>
      <c r="D374" s="21">
        <v>-0.566361</v>
      </c>
      <c r="E374" s="21">
        <v>-0.68771400000000005</v>
      </c>
      <c r="F374" s="21">
        <v>0.47619</v>
      </c>
      <c r="G374" s="21">
        <v>0.16666700000000001</v>
      </c>
      <c r="H374" s="21">
        <v>0.2</v>
      </c>
    </row>
    <row r="375" spans="1:8">
      <c r="A375" s="4" t="s">
        <v>868</v>
      </c>
      <c r="B375" s="4">
        <v>1</v>
      </c>
      <c r="C375" s="21">
        <v>-0.78278599999999998</v>
      </c>
      <c r="D375" s="21">
        <v>-0.40656900000000001</v>
      </c>
      <c r="E375" s="21">
        <v>-0.59467800000000004</v>
      </c>
      <c r="F375" s="21">
        <v>0.47619</v>
      </c>
      <c r="G375" s="21">
        <v>8.3333000000000004E-2</v>
      </c>
      <c r="H375" s="21">
        <v>0</v>
      </c>
    </row>
    <row r="376" spans="1:8">
      <c r="A376" s="4" t="s">
        <v>868</v>
      </c>
      <c r="B376" s="4">
        <v>2</v>
      </c>
      <c r="C376" s="21">
        <v>-0.43120599999999998</v>
      </c>
      <c r="D376" s="21">
        <v>-0.28969</v>
      </c>
      <c r="E376" s="21">
        <v>-0.36044799999999999</v>
      </c>
      <c r="F376" s="21">
        <v>0.52381</v>
      </c>
      <c r="G376" s="21">
        <v>0.41666700000000001</v>
      </c>
      <c r="H376" s="21">
        <v>0.2</v>
      </c>
    </row>
    <row r="377" spans="1:8">
      <c r="A377" s="4" t="s">
        <v>868</v>
      </c>
      <c r="B377" s="4">
        <v>3</v>
      </c>
      <c r="C377" s="21">
        <v>-0.56212300000000004</v>
      </c>
      <c r="D377" s="21">
        <v>-0.25051099999999998</v>
      </c>
      <c r="E377" s="21">
        <v>-0.40631699999999998</v>
      </c>
      <c r="F377" s="21">
        <v>0.47619</v>
      </c>
      <c r="G377" s="21">
        <v>0.33333299999999999</v>
      </c>
      <c r="H377" s="21">
        <v>0.6</v>
      </c>
    </row>
    <row r="378" spans="1:8">
      <c r="A378" s="4" t="s">
        <v>868</v>
      </c>
      <c r="B378" s="4">
        <v>4</v>
      </c>
      <c r="C378" s="21">
        <v>-0.61876100000000001</v>
      </c>
      <c r="D378" s="21">
        <v>-0.27452599999999999</v>
      </c>
      <c r="E378" s="21">
        <v>-0.44664300000000001</v>
      </c>
      <c r="F378" s="21">
        <v>0.42857099999999998</v>
      </c>
      <c r="G378" s="21">
        <v>0.16666700000000001</v>
      </c>
      <c r="H378" s="21">
        <v>0.2</v>
      </c>
    </row>
    <row r="379" spans="1:8">
      <c r="A379" s="4" t="s">
        <v>868</v>
      </c>
      <c r="B379" s="4">
        <v>5</v>
      </c>
      <c r="C379" s="21">
        <v>-0.84734200000000004</v>
      </c>
      <c r="D379" s="21">
        <v>-0.48640899999999998</v>
      </c>
      <c r="E379" s="21">
        <v>-0.66687600000000002</v>
      </c>
      <c r="F379" s="21">
        <v>0.47619</v>
      </c>
      <c r="G379" s="21">
        <v>0.33333299999999999</v>
      </c>
      <c r="H379" s="21">
        <v>0.2</v>
      </c>
    </row>
    <row r="380" spans="1:8">
      <c r="A380" s="4" t="s">
        <v>868</v>
      </c>
      <c r="B380" s="4">
        <v>6</v>
      </c>
      <c r="C380" s="21">
        <v>-0.94614100000000001</v>
      </c>
      <c r="D380" s="21">
        <v>-0.61014000000000002</v>
      </c>
      <c r="E380" s="21">
        <v>-0.77814000000000005</v>
      </c>
      <c r="F380" s="21">
        <v>0.33333299999999999</v>
      </c>
      <c r="G380" s="21">
        <v>0.16666700000000001</v>
      </c>
      <c r="H380" s="21">
        <v>0.2</v>
      </c>
    </row>
    <row r="381" spans="1:8">
      <c r="A381" s="4" t="s">
        <v>868</v>
      </c>
      <c r="B381" s="4">
        <v>7</v>
      </c>
      <c r="C381" s="21">
        <v>-0.95523499999999995</v>
      </c>
      <c r="D381" s="21">
        <v>-0.47607100000000002</v>
      </c>
      <c r="E381" s="21">
        <v>-0.71565299999999998</v>
      </c>
      <c r="F381" s="21">
        <v>0.42857099999999998</v>
      </c>
      <c r="G381" s="21">
        <v>0.16666700000000001</v>
      </c>
      <c r="H381" s="21">
        <v>0.2</v>
      </c>
    </row>
    <row r="382" spans="1:8">
      <c r="A382" s="4" t="s">
        <v>868</v>
      </c>
      <c r="B382" s="4">
        <v>8</v>
      </c>
      <c r="C382" s="21">
        <v>-1.0331140000000001</v>
      </c>
      <c r="D382" s="21">
        <v>-0.63436099999999995</v>
      </c>
      <c r="E382" s="21">
        <v>-0.83373799999999998</v>
      </c>
      <c r="F382" s="21">
        <v>0.47619</v>
      </c>
      <c r="G382" s="21">
        <v>0.16666700000000001</v>
      </c>
      <c r="H382" s="21">
        <v>0.2</v>
      </c>
    </row>
    <row r="383" spans="1:8">
      <c r="A383" s="4" t="s">
        <v>868</v>
      </c>
      <c r="B383" s="4">
        <v>9</v>
      </c>
      <c r="C383" s="21">
        <v>-0.74753800000000004</v>
      </c>
      <c r="D383" s="21">
        <v>-0.44653900000000002</v>
      </c>
      <c r="E383" s="21">
        <v>-0.59703799999999996</v>
      </c>
      <c r="F383" s="21">
        <v>0.47619</v>
      </c>
      <c r="G383" s="21">
        <v>0.16666700000000001</v>
      </c>
      <c r="H383" s="21">
        <v>0</v>
      </c>
    </row>
    <row r="384" spans="1:8">
      <c r="A384" s="4" t="s">
        <v>868</v>
      </c>
      <c r="B384" s="4">
        <v>10</v>
      </c>
      <c r="C384" s="21">
        <v>-0.84605699999999995</v>
      </c>
      <c r="D384" s="21">
        <v>-0.46249299999999999</v>
      </c>
      <c r="E384" s="21">
        <v>-0.65427500000000005</v>
      </c>
      <c r="F384" s="21">
        <v>0.38095200000000001</v>
      </c>
      <c r="G384" s="21">
        <v>0.25</v>
      </c>
      <c r="H384" s="21">
        <v>0</v>
      </c>
    </row>
    <row r="385" spans="1:8">
      <c r="A385" s="4" t="s">
        <v>869</v>
      </c>
      <c r="B385" s="4">
        <v>1</v>
      </c>
      <c r="C385" s="21">
        <v>-0.68150200000000005</v>
      </c>
      <c r="D385" s="21">
        <v>-0.30820599999999998</v>
      </c>
      <c r="E385" s="21">
        <v>-0.49485400000000002</v>
      </c>
      <c r="F385" s="21">
        <v>0.33333299999999999</v>
      </c>
      <c r="G385" s="21">
        <v>8.3333000000000004E-2</v>
      </c>
      <c r="H385" s="21">
        <v>0</v>
      </c>
    </row>
    <row r="386" spans="1:8">
      <c r="A386" s="4" t="s">
        <v>869</v>
      </c>
      <c r="B386" s="4">
        <v>2</v>
      </c>
      <c r="C386" s="21">
        <v>-0.96205399999999996</v>
      </c>
      <c r="D386" s="21">
        <v>-0.51086399999999998</v>
      </c>
      <c r="E386" s="21">
        <v>-0.73645899999999997</v>
      </c>
      <c r="F386" s="21">
        <v>0.42857099999999998</v>
      </c>
      <c r="G386" s="21">
        <v>0</v>
      </c>
      <c r="H386" s="21">
        <v>0</v>
      </c>
    </row>
    <row r="387" spans="1:8">
      <c r="A387" s="4" t="s">
        <v>869</v>
      </c>
      <c r="B387" s="4">
        <v>3</v>
      </c>
      <c r="C387" s="21">
        <v>-0.50163199999999997</v>
      </c>
      <c r="D387" s="21">
        <v>-0.389075</v>
      </c>
      <c r="E387" s="21">
        <v>-0.44535400000000003</v>
      </c>
      <c r="F387" s="21">
        <v>0.47619</v>
      </c>
      <c r="G387" s="21">
        <v>0.5</v>
      </c>
      <c r="H387" s="21">
        <v>0.6</v>
      </c>
    </row>
    <row r="388" spans="1:8">
      <c r="A388" s="4" t="s">
        <v>869</v>
      </c>
      <c r="B388" s="4">
        <v>4</v>
      </c>
      <c r="C388" s="21">
        <v>-0.74426099999999995</v>
      </c>
      <c r="D388" s="21">
        <v>-0.41234999999999999</v>
      </c>
      <c r="E388" s="21">
        <v>-0.57830499999999996</v>
      </c>
      <c r="F388" s="21">
        <v>0.42857099999999998</v>
      </c>
      <c r="G388" s="21">
        <v>0.33333299999999999</v>
      </c>
      <c r="H388" s="21">
        <v>0.2</v>
      </c>
    </row>
    <row r="389" spans="1:8">
      <c r="A389" s="4" t="s">
        <v>869</v>
      </c>
      <c r="B389" s="4">
        <v>5</v>
      </c>
      <c r="C389" s="21">
        <v>-0.94067299999999998</v>
      </c>
      <c r="D389" s="21">
        <v>-0.39407799999999998</v>
      </c>
      <c r="E389" s="21">
        <v>-0.66737599999999997</v>
      </c>
      <c r="F389" s="21">
        <v>9.5238000000000003E-2</v>
      </c>
      <c r="G389" s="21">
        <v>0.25</v>
      </c>
      <c r="H389" s="21">
        <v>0</v>
      </c>
    </row>
    <row r="390" spans="1:8">
      <c r="A390" s="4" t="s">
        <v>869</v>
      </c>
      <c r="B390" s="4">
        <v>6</v>
      </c>
      <c r="C390" s="21">
        <v>-0.68233699999999997</v>
      </c>
      <c r="D390" s="21">
        <v>-0.457451</v>
      </c>
      <c r="E390" s="21">
        <v>-0.56989400000000001</v>
      </c>
      <c r="F390" s="21">
        <v>0.47619</v>
      </c>
      <c r="G390" s="21">
        <v>0.33333299999999999</v>
      </c>
      <c r="H390" s="21">
        <v>0.2</v>
      </c>
    </row>
    <row r="391" spans="1:8">
      <c r="A391" s="4" t="s">
        <v>869</v>
      </c>
      <c r="B391" s="4">
        <v>7</v>
      </c>
      <c r="C391" s="21">
        <v>-0.651922</v>
      </c>
      <c r="D391" s="21">
        <v>-0.304539</v>
      </c>
      <c r="E391" s="21">
        <v>-0.47822999999999999</v>
      </c>
      <c r="F391" s="21">
        <v>0.47619</v>
      </c>
      <c r="G391" s="21">
        <v>8.3333000000000004E-2</v>
      </c>
      <c r="H391" s="21">
        <v>0.2</v>
      </c>
    </row>
    <row r="392" spans="1:8">
      <c r="A392" s="4" t="s">
        <v>869</v>
      </c>
      <c r="B392" s="4">
        <v>8</v>
      </c>
      <c r="C392" s="21">
        <v>-0.574403</v>
      </c>
      <c r="D392" s="21">
        <v>-0.24085200000000001</v>
      </c>
      <c r="E392" s="21">
        <v>-0.40762700000000002</v>
      </c>
      <c r="F392" s="21">
        <v>0.38095200000000001</v>
      </c>
      <c r="G392" s="21">
        <v>0.25</v>
      </c>
      <c r="H392" s="21">
        <v>0</v>
      </c>
    </row>
    <row r="393" spans="1:8">
      <c r="A393" s="4" t="s">
        <v>869</v>
      </c>
      <c r="B393" s="4">
        <v>9</v>
      </c>
      <c r="C393" s="21">
        <v>-0.80561300000000002</v>
      </c>
      <c r="D393" s="21">
        <v>-0.44893300000000003</v>
      </c>
      <c r="E393" s="21">
        <v>-0.62727299999999997</v>
      </c>
      <c r="F393" s="21">
        <v>0.19047600000000001</v>
      </c>
      <c r="G393" s="21">
        <v>0.16666700000000001</v>
      </c>
      <c r="H393" s="21">
        <v>0.2</v>
      </c>
    </row>
    <row r="394" spans="1:8">
      <c r="A394" s="4" t="s">
        <v>869</v>
      </c>
      <c r="B394" s="4">
        <v>10</v>
      </c>
      <c r="C394" s="21">
        <v>-0.73901899999999998</v>
      </c>
      <c r="D394" s="21">
        <v>-0.43160700000000002</v>
      </c>
      <c r="E394" s="21">
        <v>-0.58531299999999997</v>
      </c>
      <c r="F394" s="21">
        <v>0.52381</v>
      </c>
      <c r="G394" s="21">
        <v>0.33333299999999999</v>
      </c>
      <c r="H394" s="21">
        <v>0.4</v>
      </c>
    </row>
    <row r="395" spans="1:8">
      <c r="A395" s="4" t="s">
        <v>870</v>
      </c>
      <c r="B395" s="4">
        <v>1</v>
      </c>
      <c r="C395" s="21">
        <v>-0.76231499999999996</v>
      </c>
      <c r="D395" s="21">
        <v>-0.48225499999999999</v>
      </c>
      <c r="E395" s="21">
        <v>-0.62228499999999998</v>
      </c>
      <c r="F395" s="21">
        <v>0.38095200000000001</v>
      </c>
      <c r="G395" s="21">
        <v>0.25</v>
      </c>
      <c r="H395" s="21">
        <v>0.4</v>
      </c>
    </row>
    <row r="396" spans="1:8">
      <c r="A396" s="4" t="s">
        <v>870</v>
      </c>
      <c r="B396" s="4">
        <v>2</v>
      </c>
      <c r="C396" s="21">
        <v>-0.49527100000000002</v>
      </c>
      <c r="D396" s="21">
        <v>-0.33961999999999998</v>
      </c>
      <c r="E396" s="21">
        <v>-0.41744500000000001</v>
      </c>
      <c r="F396" s="21">
        <v>0.28571400000000002</v>
      </c>
      <c r="G396" s="21">
        <v>0.33333299999999999</v>
      </c>
      <c r="H396" s="21">
        <v>0.2</v>
      </c>
    </row>
    <row r="397" spans="1:8">
      <c r="A397" s="4" t="s">
        <v>870</v>
      </c>
      <c r="B397" s="4">
        <v>3</v>
      </c>
      <c r="C397" s="21">
        <v>-0.75173000000000001</v>
      </c>
      <c r="D397" s="21">
        <v>-0.30699700000000002</v>
      </c>
      <c r="E397" s="21">
        <v>-0.52936399999999995</v>
      </c>
      <c r="F397" s="21">
        <v>0.238095</v>
      </c>
      <c r="G397" s="21">
        <v>0.5</v>
      </c>
      <c r="H397" s="21">
        <v>0.6</v>
      </c>
    </row>
    <row r="398" spans="1:8">
      <c r="A398" s="4" t="s">
        <v>870</v>
      </c>
      <c r="B398" s="4">
        <v>4</v>
      </c>
      <c r="C398" s="21">
        <v>-0.87906499999999999</v>
      </c>
      <c r="D398" s="21">
        <v>-0.54963799999999996</v>
      </c>
      <c r="E398" s="21">
        <v>-0.71435199999999999</v>
      </c>
      <c r="F398" s="21">
        <v>0.61904800000000004</v>
      </c>
      <c r="G398" s="21">
        <v>0.25</v>
      </c>
      <c r="H398" s="21">
        <v>0.2</v>
      </c>
    </row>
    <row r="399" spans="1:8">
      <c r="A399" s="4" t="s">
        <v>870</v>
      </c>
      <c r="B399" s="4">
        <v>5</v>
      </c>
      <c r="C399" s="21">
        <v>-1.034295</v>
      </c>
      <c r="D399" s="21">
        <v>-0.577928</v>
      </c>
      <c r="E399" s="21">
        <v>-0.80611200000000005</v>
      </c>
      <c r="F399" s="21">
        <v>0.38095200000000001</v>
      </c>
      <c r="G399" s="21">
        <v>8.3333000000000004E-2</v>
      </c>
      <c r="H399" s="21">
        <v>0</v>
      </c>
    </row>
    <row r="400" spans="1:8">
      <c r="A400" s="4" t="s">
        <v>870</v>
      </c>
      <c r="B400" s="4">
        <v>6</v>
      </c>
      <c r="C400" s="21">
        <v>-0.72228400000000004</v>
      </c>
      <c r="D400" s="21">
        <v>-0.35605399999999998</v>
      </c>
      <c r="E400" s="21">
        <v>-0.53916900000000001</v>
      </c>
      <c r="F400" s="21">
        <v>0.238095</v>
      </c>
      <c r="G400" s="21">
        <v>0.41666700000000001</v>
      </c>
      <c r="H400" s="21">
        <v>0.4</v>
      </c>
    </row>
    <row r="401" spans="1:8">
      <c r="A401" s="4" t="s">
        <v>870</v>
      </c>
      <c r="B401" s="4">
        <v>7</v>
      </c>
      <c r="C401" s="21">
        <v>-0.62708399999999997</v>
      </c>
      <c r="D401" s="21">
        <v>-0.36626300000000001</v>
      </c>
      <c r="E401" s="21">
        <v>-0.496674</v>
      </c>
      <c r="F401" s="21">
        <v>0.33333299999999999</v>
      </c>
      <c r="G401" s="21">
        <v>0.25</v>
      </c>
      <c r="H401" s="21">
        <v>0.2</v>
      </c>
    </row>
    <row r="402" spans="1:8">
      <c r="A402" s="4" t="s">
        <v>870</v>
      </c>
      <c r="B402" s="4">
        <v>8</v>
      </c>
      <c r="C402" s="21">
        <v>-0.92908100000000005</v>
      </c>
      <c r="D402" s="21">
        <v>-0.47596100000000002</v>
      </c>
      <c r="E402" s="21">
        <v>-0.70252099999999995</v>
      </c>
      <c r="F402" s="21">
        <v>0.42857099999999998</v>
      </c>
      <c r="G402" s="21">
        <v>8.3333000000000004E-2</v>
      </c>
      <c r="H402" s="21">
        <v>0.2</v>
      </c>
    </row>
    <row r="403" spans="1:8">
      <c r="A403" s="4" t="s">
        <v>870</v>
      </c>
      <c r="B403" s="4">
        <v>9</v>
      </c>
      <c r="C403" s="21">
        <v>-0.98201300000000002</v>
      </c>
      <c r="D403" s="21">
        <v>-0.63699799999999995</v>
      </c>
      <c r="E403" s="21">
        <v>-0.80950500000000003</v>
      </c>
      <c r="F403" s="21">
        <v>0.66666700000000001</v>
      </c>
      <c r="G403" s="21">
        <v>8.3333000000000004E-2</v>
      </c>
      <c r="H403" s="21">
        <v>0.2</v>
      </c>
    </row>
    <row r="404" spans="1:8">
      <c r="A404" s="4" t="s">
        <v>870</v>
      </c>
      <c r="B404" s="4">
        <v>10</v>
      </c>
      <c r="C404" s="21">
        <v>-0.88340200000000002</v>
      </c>
      <c r="D404" s="21">
        <v>-0.49091899999999999</v>
      </c>
      <c r="E404" s="21">
        <v>-0.68716100000000002</v>
      </c>
      <c r="F404" s="21">
        <v>0.57142899999999996</v>
      </c>
      <c r="G404" s="21">
        <v>0.25</v>
      </c>
      <c r="H404" s="21">
        <v>0.2</v>
      </c>
    </row>
    <row r="405" spans="1:8">
      <c r="A405" s="4" t="s">
        <v>871</v>
      </c>
      <c r="B405" s="4">
        <v>1</v>
      </c>
      <c r="C405" s="21">
        <v>-0.44086700000000001</v>
      </c>
      <c r="D405" s="21">
        <v>-0.40932099999999999</v>
      </c>
      <c r="E405" s="21">
        <v>-0.42509400000000003</v>
      </c>
      <c r="F405" s="21">
        <v>0.57142899999999996</v>
      </c>
      <c r="G405" s="21">
        <v>0.33333299999999999</v>
      </c>
      <c r="H405" s="21">
        <v>0.2</v>
      </c>
    </row>
    <row r="406" spans="1:8">
      <c r="A406" s="4" t="s">
        <v>871</v>
      </c>
      <c r="B406" s="4">
        <v>2</v>
      </c>
      <c r="C406" s="21">
        <v>-0.92868600000000001</v>
      </c>
      <c r="D406" s="21">
        <v>-0.47664600000000001</v>
      </c>
      <c r="E406" s="21">
        <v>-0.70266600000000001</v>
      </c>
      <c r="F406" s="21">
        <v>0.38095200000000001</v>
      </c>
      <c r="G406" s="21">
        <v>8.3333000000000004E-2</v>
      </c>
      <c r="H406" s="21">
        <v>0</v>
      </c>
    </row>
    <row r="407" spans="1:8">
      <c r="A407" s="4" t="s">
        <v>871</v>
      </c>
      <c r="B407" s="4">
        <v>3</v>
      </c>
      <c r="C407" s="21">
        <v>-0.453287</v>
      </c>
      <c r="D407" s="21">
        <v>-0.35128399999999999</v>
      </c>
      <c r="E407" s="21">
        <v>-0.402285</v>
      </c>
      <c r="F407" s="21">
        <v>0.61904800000000004</v>
      </c>
      <c r="G407" s="21">
        <v>0.5</v>
      </c>
      <c r="H407" s="21">
        <v>0.6</v>
      </c>
    </row>
    <row r="408" spans="1:8">
      <c r="A408" s="4" t="s">
        <v>871</v>
      </c>
      <c r="B408" s="4">
        <v>4</v>
      </c>
      <c r="C408" s="21">
        <v>-0.79420000000000002</v>
      </c>
      <c r="D408" s="21">
        <v>-0.55110599999999998</v>
      </c>
      <c r="E408" s="21">
        <v>-0.67265299999999995</v>
      </c>
      <c r="F408" s="21">
        <v>0.33333299999999999</v>
      </c>
      <c r="G408" s="21">
        <v>0.25</v>
      </c>
      <c r="H408" s="21">
        <v>0</v>
      </c>
    </row>
    <row r="409" spans="1:8">
      <c r="A409" s="4" t="s">
        <v>871</v>
      </c>
      <c r="B409" s="4">
        <v>5</v>
      </c>
      <c r="C409" s="21">
        <v>-0.67886899999999994</v>
      </c>
      <c r="D409" s="21">
        <v>-0.57877999999999996</v>
      </c>
      <c r="E409" s="21">
        <v>-0.62882400000000005</v>
      </c>
      <c r="F409" s="21">
        <v>0.42857099999999998</v>
      </c>
      <c r="G409" s="21">
        <v>0.25</v>
      </c>
      <c r="H409" s="21">
        <v>0.4</v>
      </c>
    </row>
    <row r="410" spans="1:8">
      <c r="A410" s="4" t="s">
        <v>871</v>
      </c>
      <c r="B410" s="4">
        <v>6</v>
      </c>
      <c r="C410" s="21">
        <v>-0.74615299999999996</v>
      </c>
      <c r="D410" s="21">
        <v>-0.39047100000000001</v>
      </c>
      <c r="E410" s="21">
        <v>-0.56831200000000004</v>
      </c>
      <c r="F410" s="21">
        <v>0.47619</v>
      </c>
      <c r="G410" s="21">
        <v>0.33333299999999999</v>
      </c>
      <c r="H410" s="21">
        <v>0.4</v>
      </c>
    </row>
    <row r="411" spans="1:8">
      <c r="A411" s="4" t="s">
        <v>871</v>
      </c>
      <c r="B411" s="4">
        <v>7</v>
      </c>
      <c r="C411" s="21">
        <v>-0.98237200000000002</v>
      </c>
      <c r="D411" s="21">
        <v>-0.421734</v>
      </c>
      <c r="E411" s="21">
        <v>-0.70205300000000004</v>
      </c>
      <c r="F411" s="21">
        <v>0.47619</v>
      </c>
      <c r="G411" s="21">
        <v>8.3333000000000004E-2</v>
      </c>
      <c r="H411" s="21">
        <v>0.2</v>
      </c>
    </row>
    <row r="412" spans="1:8">
      <c r="A412" s="4" t="s">
        <v>871</v>
      </c>
      <c r="B412" s="4">
        <v>8</v>
      </c>
      <c r="C412" s="21">
        <v>-0.82784400000000002</v>
      </c>
      <c r="D412" s="21">
        <v>-0.375892</v>
      </c>
      <c r="E412" s="21">
        <v>-0.60186799999999996</v>
      </c>
      <c r="F412" s="21">
        <v>0.33333299999999999</v>
      </c>
      <c r="G412" s="21">
        <v>0</v>
      </c>
      <c r="H412" s="21">
        <v>0</v>
      </c>
    </row>
    <row r="413" spans="1:8">
      <c r="A413" s="4" t="s">
        <v>871</v>
      </c>
      <c r="B413" s="4">
        <v>9</v>
      </c>
      <c r="C413" s="21">
        <v>-0.653837</v>
      </c>
      <c r="D413" s="21">
        <v>-0.33474300000000001</v>
      </c>
      <c r="E413" s="21">
        <v>-0.49429000000000001</v>
      </c>
      <c r="F413" s="21">
        <v>0.57142899999999996</v>
      </c>
      <c r="G413" s="21">
        <v>0.41666700000000001</v>
      </c>
      <c r="H413" s="21">
        <v>0.4</v>
      </c>
    </row>
    <row r="414" spans="1:8">
      <c r="A414" s="4" t="s">
        <v>871</v>
      </c>
      <c r="B414" s="4">
        <v>10</v>
      </c>
      <c r="C414" s="21">
        <v>-0.62844800000000001</v>
      </c>
      <c r="D414" s="21">
        <v>-0.33572400000000002</v>
      </c>
      <c r="E414" s="21">
        <v>-0.48208600000000001</v>
      </c>
      <c r="F414" s="21">
        <v>0.47619</v>
      </c>
      <c r="G414" s="21">
        <v>0.33333299999999999</v>
      </c>
      <c r="H414" s="21">
        <v>0.4</v>
      </c>
    </row>
    <row r="415" spans="1:8">
      <c r="A415" s="4" t="s">
        <v>872</v>
      </c>
      <c r="B415" s="4">
        <v>1</v>
      </c>
      <c r="C415" s="21">
        <v>-0.971221</v>
      </c>
      <c r="D415" s="21">
        <v>-0.50285899999999994</v>
      </c>
      <c r="E415" s="21">
        <v>-0.73704000000000003</v>
      </c>
      <c r="F415" s="21">
        <v>0.38095200000000001</v>
      </c>
      <c r="G415" s="21">
        <v>0.25</v>
      </c>
      <c r="H415" s="21">
        <v>0.4</v>
      </c>
    </row>
    <row r="416" spans="1:8">
      <c r="A416" s="4" t="s">
        <v>872</v>
      </c>
      <c r="B416" s="4">
        <v>2</v>
      </c>
      <c r="C416" s="21">
        <v>-0.60648800000000003</v>
      </c>
      <c r="D416" s="21">
        <v>-0.37032500000000002</v>
      </c>
      <c r="E416" s="21">
        <v>-0.48840600000000001</v>
      </c>
      <c r="F416" s="21">
        <v>0.42857099999999998</v>
      </c>
      <c r="G416" s="21">
        <v>0.16666700000000001</v>
      </c>
      <c r="H416" s="21">
        <v>0.2</v>
      </c>
    </row>
    <row r="417" spans="1:8">
      <c r="A417" s="4" t="s">
        <v>872</v>
      </c>
      <c r="B417" s="4">
        <v>3</v>
      </c>
      <c r="C417" s="21">
        <v>-0.88547600000000004</v>
      </c>
      <c r="D417" s="21">
        <v>-0.62526099999999996</v>
      </c>
      <c r="E417" s="21">
        <v>-0.75536899999999996</v>
      </c>
      <c r="F417" s="21">
        <v>0.42857099999999998</v>
      </c>
      <c r="G417" s="21">
        <v>0.25</v>
      </c>
      <c r="H417" s="21">
        <v>0.6</v>
      </c>
    </row>
    <row r="418" spans="1:8">
      <c r="A418" s="4" t="s">
        <v>872</v>
      </c>
      <c r="B418" s="4">
        <v>4</v>
      </c>
      <c r="C418" s="21">
        <v>-0.79398100000000005</v>
      </c>
      <c r="D418" s="21">
        <v>-0.375552</v>
      </c>
      <c r="E418" s="21">
        <v>-0.58476700000000004</v>
      </c>
      <c r="F418" s="21">
        <v>0.57142899999999996</v>
      </c>
      <c r="G418" s="21">
        <v>0.16666700000000001</v>
      </c>
      <c r="H418" s="21">
        <v>0.2</v>
      </c>
    </row>
    <row r="419" spans="1:8">
      <c r="A419" s="4" t="s">
        <v>872</v>
      </c>
      <c r="B419" s="4">
        <v>5</v>
      </c>
      <c r="C419" s="21">
        <v>-0.91931099999999999</v>
      </c>
      <c r="D419" s="21">
        <v>-0.38006200000000001</v>
      </c>
      <c r="E419" s="21">
        <v>-0.64968599999999999</v>
      </c>
      <c r="F419" s="21">
        <v>0.42857099999999998</v>
      </c>
      <c r="G419" s="21">
        <v>0.25</v>
      </c>
      <c r="H419" s="21">
        <v>0.2</v>
      </c>
    </row>
    <row r="420" spans="1:8">
      <c r="A420" s="4" t="s">
        <v>872</v>
      </c>
      <c r="B420" s="4">
        <v>6</v>
      </c>
      <c r="C420" s="21">
        <v>-0.77565899999999999</v>
      </c>
      <c r="D420" s="21">
        <v>-0.42193399999999998</v>
      </c>
      <c r="E420" s="21">
        <v>-0.59879700000000002</v>
      </c>
      <c r="F420" s="21">
        <v>0.47619</v>
      </c>
      <c r="G420" s="21">
        <v>8.3333000000000004E-2</v>
      </c>
      <c r="H420" s="21">
        <v>0.2</v>
      </c>
    </row>
    <row r="421" spans="1:8">
      <c r="A421" s="4" t="s">
        <v>872</v>
      </c>
      <c r="B421" s="4">
        <v>7</v>
      </c>
      <c r="C421" s="21">
        <v>-1.0835600000000001</v>
      </c>
      <c r="D421" s="21">
        <v>-0.50991500000000001</v>
      </c>
      <c r="E421" s="21">
        <v>-0.79673799999999995</v>
      </c>
      <c r="F421" s="21">
        <v>0.33333299999999999</v>
      </c>
      <c r="G421" s="21">
        <v>0</v>
      </c>
      <c r="H421" s="21">
        <v>0</v>
      </c>
    </row>
    <row r="422" spans="1:8">
      <c r="A422" s="4" t="s">
        <v>872</v>
      </c>
      <c r="B422" s="4">
        <v>8</v>
      </c>
      <c r="C422" s="21">
        <v>-1.0385679999999999</v>
      </c>
      <c r="D422" s="21">
        <v>-0.324208</v>
      </c>
      <c r="E422" s="21">
        <v>-0.68138799999999999</v>
      </c>
      <c r="F422" s="21">
        <v>0.28571400000000002</v>
      </c>
      <c r="G422" s="21">
        <v>8.3333000000000004E-2</v>
      </c>
      <c r="H422" s="21">
        <v>0</v>
      </c>
    </row>
    <row r="423" spans="1:8">
      <c r="A423" s="4" t="s">
        <v>872</v>
      </c>
      <c r="B423" s="4">
        <v>9</v>
      </c>
      <c r="C423" s="21">
        <v>-0.70236200000000004</v>
      </c>
      <c r="D423" s="21">
        <v>-0.36690400000000001</v>
      </c>
      <c r="E423" s="21">
        <v>-0.53463300000000002</v>
      </c>
      <c r="F423" s="21">
        <v>0.47619</v>
      </c>
      <c r="G423" s="21">
        <v>0.41666700000000001</v>
      </c>
      <c r="H423" s="21">
        <v>0.6</v>
      </c>
    </row>
    <row r="424" spans="1:8">
      <c r="A424" s="4" t="s">
        <v>872</v>
      </c>
      <c r="B424" s="4">
        <v>10</v>
      </c>
      <c r="C424" s="21">
        <v>-0.79457199999999994</v>
      </c>
      <c r="D424" s="21">
        <v>-0.44456200000000001</v>
      </c>
      <c r="E424" s="21">
        <v>-0.61956699999999998</v>
      </c>
      <c r="F424" s="21">
        <v>0.42857099999999998</v>
      </c>
      <c r="G424" s="21">
        <v>0.25</v>
      </c>
      <c r="H424" s="21">
        <v>0.4</v>
      </c>
    </row>
    <row r="425" spans="1:8">
      <c r="A425" s="4" t="s">
        <v>873</v>
      </c>
      <c r="B425" s="4">
        <v>1</v>
      </c>
      <c r="C425" s="21">
        <v>-0.72185200000000005</v>
      </c>
      <c r="D425" s="21">
        <v>-0.41607499999999997</v>
      </c>
      <c r="E425" s="21">
        <v>-0.568963</v>
      </c>
      <c r="F425" s="21">
        <v>0.47619</v>
      </c>
      <c r="G425" s="21">
        <v>8.3333000000000004E-2</v>
      </c>
      <c r="H425" s="21">
        <v>0.2</v>
      </c>
    </row>
    <row r="426" spans="1:8">
      <c r="A426" s="4" t="s">
        <v>873</v>
      </c>
      <c r="B426" s="4">
        <v>2</v>
      </c>
      <c r="C426" s="21">
        <v>-0.68440900000000005</v>
      </c>
      <c r="D426" s="21">
        <v>-0.43655100000000002</v>
      </c>
      <c r="E426" s="21">
        <v>-0.56047999999999998</v>
      </c>
      <c r="F426" s="21">
        <v>0.38095200000000001</v>
      </c>
      <c r="G426" s="21">
        <v>8.3333000000000004E-2</v>
      </c>
      <c r="H426" s="21">
        <v>0</v>
      </c>
    </row>
    <row r="427" spans="1:8">
      <c r="A427" s="4" t="s">
        <v>873</v>
      </c>
      <c r="B427" s="4">
        <v>3</v>
      </c>
      <c r="C427" s="21">
        <v>-0.59731199999999995</v>
      </c>
      <c r="D427" s="21">
        <v>-0.33641300000000002</v>
      </c>
      <c r="E427" s="21">
        <v>-0.466862</v>
      </c>
      <c r="F427" s="21">
        <v>0.47619</v>
      </c>
      <c r="G427" s="21">
        <v>0.41666700000000001</v>
      </c>
      <c r="H427" s="21">
        <v>0.2</v>
      </c>
    </row>
    <row r="428" spans="1:8">
      <c r="A428" s="4" t="s">
        <v>873</v>
      </c>
      <c r="B428" s="4">
        <v>4</v>
      </c>
      <c r="C428" s="21">
        <v>-0.978738</v>
      </c>
      <c r="D428" s="21">
        <v>-0.34303699999999998</v>
      </c>
      <c r="E428" s="21">
        <v>-0.660887</v>
      </c>
      <c r="F428" s="21">
        <v>0.42857099999999998</v>
      </c>
      <c r="G428" s="21">
        <v>0.25</v>
      </c>
      <c r="H428" s="21">
        <v>0</v>
      </c>
    </row>
    <row r="429" spans="1:8">
      <c r="A429" s="4" t="s">
        <v>873</v>
      </c>
      <c r="B429" s="4">
        <v>5</v>
      </c>
      <c r="C429" s="21">
        <v>-0.79587399999999997</v>
      </c>
      <c r="D429" s="21">
        <v>-0.31406299999999998</v>
      </c>
      <c r="E429" s="21">
        <v>-0.55496900000000005</v>
      </c>
      <c r="F429" s="21">
        <v>0.33333299999999999</v>
      </c>
      <c r="G429" s="21">
        <v>0.16666700000000001</v>
      </c>
      <c r="H429" s="21">
        <v>0.2</v>
      </c>
    </row>
    <row r="430" spans="1:8">
      <c r="A430" s="4" t="s">
        <v>873</v>
      </c>
      <c r="B430" s="4">
        <v>6</v>
      </c>
      <c r="C430" s="21">
        <v>-0.950484</v>
      </c>
      <c r="D430" s="21">
        <v>-0.398316</v>
      </c>
      <c r="E430" s="21">
        <v>-0.6744</v>
      </c>
      <c r="F430" s="21">
        <v>0.38095200000000001</v>
      </c>
      <c r="G430" s="21">
        <v>0.25</v>
      </c>
      <c r="H430" s="21">
        <v>0</v>
      </c>
    </row>
    <row r="431" spans="1:8">
      <c r="A431" s="4" t="s">
        <v>873</v>
      </c>
      <c r="B431" s="4">
        <v>7</v>
      </c>
      <c r="C431" s="21">
        <v>-1.072268</v>
      </c>
      <c r="D431" s="21">
        <v>-0.41587200000000002</v>
      </c>
      <c r="E431" s="21">
        <v>-0.74407000000000001</v>
      </c>
      <c r="F431" s="21">
        <v>0.47619</v>
      </c>
      <c r="G431" s="21">
        <v>8.3333000000000004E-2</v>
      </c>
      <c r="H431" s="21">
        <v>0</v>
      </c>
    </row>
    <row r="432" spans="1:8">
      <c r="A432" s="4" t="s">
        <v>873</v>
      </c>
      <c r="B432" s="4">
        <v>8</v>
      </c>
      <c r="C432" s="21">
        <v>-0.69913199999999998</v>
      </c>
      <c r="D432" s="21">
        <v>-0.40808699999999998</v>
      </c>
      <c r="E432" s="21">
        <v>-0.55360900000000002</v>
      </c>
      <c r="F432" s="21">
        <v>0.42857099999999998</v>
      </c>
      <c r="G432" s="21">
        <v>0.33333299999999999</v>
      </c>
      <c r="H432" s="21">
        <v>0.2</v>
      </c>
    </row>
    <row r="433" spans="1:8">
      <c r="A433" s="4" t="s">
        <v>873</v>
      </c>
      <c r="B433" s="4">
        <v>9</v>
      </c>
      <c r="C433" s="21">
        <v>-1.104962</v>
      </c>
      <c r="D433" s="21">
        <v>-0.50451299999999999</v>
      </c>
      <c r="E433" s="21">
        <v>-0.80473700000000004</v>
      </c>
      <c r="F433" s="21">
        <v>0.47619</v>
      </c>
      <c r="G433" s="21">
        <v>0.16666700000000001</v>
      </c>
      <c r="H433" s="21">
        <v>0</v>
      </c>
    </row>
    <row r="434" spans="1:8">
      <c r="A434" s="4" t="s">
        <v>873</v>
      </c>
      <c r="B434" s="4">
        <v>10</v>
      </c>
      <c r="C434" s="21">
        <v>-0.63048999999999999</v>
      </c>
      <c r="D434" s="21">
        <v>-0.44938499999999998</v>
      </c>
      <c r="E434" s="21">
        <v>-0.539937</v>
      </c>
      <c r="F434" s="21">
        <v>0.42857099999999998</v>
      </c>
      <c r="G434" s="21">
        <v>0</v>
      </c>
      <c r="H434" s="21">
        <v>0</v>
      </c>
    </row>
    <row r="435" spans="1:8">
      <c r="A435" s="4" t="s">
        <v>874</v>
      </c>
      <c r="B435" s="4">
        <v>1</v>
      </c>
      <c r="C435" s="21">
        <v>-0.80571300000000001</v>
      </c>
      <c r="D435" s="21">
        <v>-0.33569700000000002</v>
      </c>
      <c r="E435" s="21">
        <v>-0.57070500000000002</v>
      </c>
      <c r="F435" s="21">
        <v>0.52381</v>
      </c>
      <c r="G435" s="21">
        <v>8.3333000000000004E-2</v>
      </c>
      <c r="H435" s="21">
        <v>0.2</v>
      </c>
    </row>
    <row r="436" spans="1:8">
      <c r="A436" s="4" t="s">
        <v>874</v>
      </c>
      <c r="B436" s="4">
        <v>2</v>
      </c>
      <c r="C436" s="21">
        <v>-0.98672400000000005</v>
      </c>
      <c r="D436" s="21">
        <v>-0.55213900000000005</v>
      </c>
      <c r="E436" s="21">
        <v>-0.769432</v>
      </c>
      <c r="F436" s="21">
        <v>0.28571400000000002</v>
      </c>
      <c r="G436" s="21">
        <v>0.25</v>
      </c>
      <c r="H436" s="21">
        <v>0.2</v>
      </c>
    </row>
    <row r="437" spans="1:8">
      <c r="A437" s="4" t="s">
        <v>874</v>
      </c>
      <c r="B437" s="4">
        <v>3</v>
      </c>
      <c r="C437" s="21">
        <v>-0.96223400000000003</v>
      </c>
      <c r="D437" s="21">
        <v>-0.53694299999999995</v>
      </c>
      <c r="E437" s="21">
        <v>-0.74958800000000003</v>
      </c>
      <c r="F437" s="21">
        <v>0.42857099999999998</v>
      </c>
      <c r="G437" s="21">
        <v>0.16666700000000001</v>
      </c>
      <c r="H437" s="21">
        <v>0.2</v>
      </c>
    </row>
    <row r="438" spans="1:8">
      <c r="A438" s="4" t="s">
        <v>874</v>
      </c>
      <c r="B438" s="4">
        <v>4</v>
      </c>
      <c r="C438" s="21">
        <v>-0.74301499999999998</v>
      </c>
      <c r="D438" s="21">
        <v>-0.39582699999999998</v>
      </c>
      <c r="E438" s="21">
        <v>-0.56942099999999995</v>
      </c>
      <c r="F438" s="21">
        <v>0.57142899999999996</v>
      </c>
      <c r="G438" s="21">
        <v>8.3333000000000004E-2</v>
      </c>
      <c r="H438" s="21">
        <v>0</v>
      </c>
    </row>
    <row r="439" spans="1:8">
      <c r="A439" s="4" t="s">
        <v>874</v>
      </c>
      <c r="B439" s="4">
        <v>5</v>
      </c>
      <c r="C439" s="21">
        <v>-0.97844200000000003</v>
      </c>
      <c r="D439" s="21">
        <v>-0.56160900000000002</v>
      </c>
      <c r="E439" s="21">
        <v>-0.77002599999999999</v>
      </c>
      <c r="F439" s="21">
        <v>0.42857099999999998</v>
      </c>
      <c r="G439" s="21">
        <v>0.25</v>
      </c>
      <c r="H439" s="21">
        <v>0.6</v>
      </c>
    </row>
    <row r="440" spans="1:8">
      <c r="A440" s="4" t="s">
        <v>874</v>
      </c>
      <c r="B440" s="4">
        <v>6</v>
      </c>
      <c r="C440" s="21">
        <v>-0.53669500000000003</v>
      </c>
      <c r="D440" s="21">
        <v>-0.44991599999999998</v>
      </c>
      <c r="E440" s="21">
        <v>-0.49330499999999999</v>
      </c>
      <c r="F440" s="21">
        <v>0.38095200000000001</v>
      </c>
      <c r="G440" s="21">
        <v>0.33333299999999999</v>
      </c>
      <c r="H440" s="21">
        <v>0.2</v>
      </c>
    </row>
    <row r="441" spans="1:8">
      <c r="A441" s="4" t="s">
        <v>874</v>
      </c>
      <c r="B441" s="4">
        <v>7</v>
      </c>
      <c r="C441" s="21">
        <v>-0.82039200000000001</v>
      </c>
      <c r="D441" s="21">
        <v>-0.34192</v>
      </c>
      <c r="E441" s="21">
        <v>-0.58115600000000001</v>
      </c>
      <c r="F441" s="21">
        <v>0.42857099999999998</v>
      </c>
      <c r="G441" s="21">
        <v>0.16666700000000001</v>
      </c>
      <c r="H441" s="21">
        <v>0</v>
      </c>
    </row>
    <row r="442" spans="1:8">
      <c r="A442" s="4" t="s">
        <v>874</v>
      </c>
      <c r="B442" s="4">
        <v>8</v>
      </c>
      <c r="C442" s="21">
        <v>-0.92758399999999996</v>
      </c>
      <c r="D442" s="21">
        <v>-0.54386500000000004</v>
      </c>
      <c r="E442" s="21">
        <v>-0.73572400000000004</v>
      </c>
      <c r="F442" s="21">
        <v>0.42857099999999998</v>
      </c>
      <c r="G442" s="21">
        <v>0.33333299999999999</v>
      </c>
      <c r="H442" s="21">
        <v>0.4</v>
      </c>
    </row>
    <row r="443" spans="1:8">
      <c r="A443" s="4" t="s">
        <v>874</v>
      </c>
      <c r="B443" s="4">
        <v>9</v>
      </c>
      <c r="C443" s="21">
        <v>-0.98213399999999995</v>
      </c>
      <c r="D443" s="21">
        <v>-0.42020999999999997</v>
      </c>
      <c r="E443" s="21">
        <v>-0.70117200000000002</v>
      </c>
      <c r="F443" s="21">
        <v>0.47619</v>
      </c>
      <c r="G443" s="21">
        <v>0.16666700000000001</v>
      </c>
      <c r="H443" s="21">
        <v>0</v>
      </c>
    </row>
    <row r="444" spans="1:8">
      <c r="A444" s="4" t="s">
        <v>874</v>
      </c>
      <c r="B444" s="4">
        <v>10</v>
      </c>
      <c r="C444" s="21">
        <v>-0.82638900000000004</v>
      </c>
      <c r="D444" s="21">
        <v>-0.35631200000000002</v>
      </c>
      <c r="E444" s="21">
        <v>-0.59135000000000004</v>
      </c>
      <c r="F444" s="21">
        <v>0.42857099999999998</v>
      </c>
      <c r="G444" s="21">
        <v>0.16666700000000001</v>
      </c>
      <c r="H444" s="21">
        <v>0</v>
      </c>
    </row>
    <row r="445" spans="1:8">
      <c r="A445" s="4" t="s">
        <v>875</v>
      </c>
      <c r="B445" s="4">
        <v>1</v>
      </c>
      <c r="C445" s="21">
        <v>-0.661937</v>
      </c>
      <c r="D445" s="21">
        <v>-0.30230899999999999</v>
      </c>
      <c r="E445" s="21">
        <v>-0.48212300000000002</v>
      </c>
      <c r="F445" s="21">
        <v>0.47619</v>
      </c>
      <c r="G445" s="21">
        <v>0.5</v>
      </c>
      <c r="H445" s="21">
        <v>0.6</v>
      </c>
    </row>
    <row r="446" spans="1:8">
      <c r="A446" s="4" t="s">
        <v>875</v>
      </c>
      <c r="B446" s="4">
        <v>2</v>
      </c>
      <c r="C446" s="21">
        <v>-0.91547900000000004</v>
      </c>
      <c r="D446" s="21">
        <v>-0.50576500000000002</v>
      </c>
      <c r="E446" s="21">
        <v>-0.71062199999999998</v>
      </c>
      <c r="F446" s="21">
        <v>0.42857099999999998</v>
      </c>
      <c r="G446" s="21">
        <v>0.16666700000000001</v>
      </c>
      <c r="H446" s="21">
        <v>0.2</v>
      </c>
    </row>
    <row r="447" spans="1:8">
      <c r="A447" s="4" t="s">
        <v>875</v>
      </c>
      <c r="B447" s="4">
        <v>3</v>
      </c>
      <c r="C447" s="21">
        <v>-0.65753300000000003</v>
      </c>
      <c r="D447" s="21">
        <v>-0.41995900000000003</v>
      </c>
      <c r="E447" s="21">
        <v>-0.53874599999999995</v>
      </c>
      <c r="F447" s="21">
        <v>0.28571400000000002</v>
      </c>
      <c r="G447" s="21">
        <v>0.25</v>
      </c>
      <c r="H447" s="21">
        <v>0.2</v>
      </c>
    </row>
    <row r="448" spans="1:8">
      <c r="A448" s="4" t="s">
        <v>875</v>
      </c>
      <c r="B448" s="4">
        <v>4</v>
      </c>
      <c r="C448" s="21">
        <v>-0.791991</v>
      </c>
      <c r="D448" s="21">
        <v>-0.31214199999999998</v>
      </c>
      <c r="E448" s="21">
        <v>-0.55206699999999997</v>
      </c>
      <c r="F448" s="21">
        <v>0.33333299999999999</v>
      </c>
      <c r="G448" s="21">
        <v>0.16666700000000001</v>
      </c>
      <c r="H448" s="21">
        <v>0.2</v>
      </c>
    </row>
    <row r="449" spans="1:8">
      <c r="A449" s="4" t="s">
        <v>875</v>
      </c>
      <c r="B449" s="4">
        <v>5</v>
      </c>
      <c r="C449" s="21">
        <v>-0.89277700000000004</v>
      </c>
      <c r="D449" s="21">
        <v>-0.37935600000000003</v>
      </c>
      <c r="E449" s="21">
        <v>-0.63606600000000002</v>
      </c>
      <c r="F449" s="21">
        <v>0.47619</v>
      </c>
      <c r="G449" s="21">
        <v>0.16666700000000001</v>
      </c>
      <c r="H449" s="21">
        <v>0</v>
      </c>
    </row>
    <row r="450" spans="1:8">
      <c r="A450" s="4" t="s">
        <v>875</v>
      </c>
      <c r="B450" s="4">
        <v>6</v>
      </c>
      <c r="C450" s="21">
        <v>-0.88332500000000003</v>
      </c>
      <c r="D450" s="21">
        <v>-0.46918199999999999</v>
      </c>
      <c r="E450" s="21">
        <v>-0.67625400000000002</v>
      </c>
      <c r="F450" s="21">
        <v>0.57142899999999996</v>
      </c>
      <c r="G450" s="21">
        <v>0.16666700000000001</v>
      </c>
      <c r="H450" s="21">
        <v>0.4</v>
      </c>
    </row>
    <row r="451" spans="1:8">
      <c r="A451" s="4" t="s">
        <v>875</v>
      </c>
      <c r="B451" s="4">
        <v>7</v>
      </c>
      <c r="C451" s="21">
        <v>-0.79711600000000005</v>
      </c>
      <c r="D451" s="21">
        <v>-0.24330599999999999</v>
      </c>
      <c r="E451" s="21">
        <v>-0.52021099999999998</v>
      </c>
      <c r="F451" s="21">
        <v>0.238095</v>
      </c>
      <c r="G451" s="21">
        <v>0.16666700000000001</v>
      </c>
      <c r="H451" s="21">
        <v>0</v>
      </c>
    </row>
    <row r="452" spans="1:8">
      <c r="A452" s="4" t="s">
        <v>875</v>
      </c>
      <c r="B452" s="4">
        <v>8</v>
      </c>
      <c r="C452" s="21">
        <v>-0.91649899999999995</v>
      </c>
      <c r="D452" s="21">
        <v>-0.57557899999999995</v>
      </c>
      <c r="E452" s="21">
        <v>-0.74603900000000001</v>
      </c>
      <c r="F452" s="21">
        <v>0.57142899999999996</v>
      </c>
      <c r="G452" s="21">
        <v>0.25</v>
      </c>
      <c r="H452" s="21">
        <v>0</v>
      </c>
    </row>
    <row r="453" spans="1:8">
      <c r="A453" s="4" t="s">
        <v>875</v>
      </c>
      <c r="B453" s="4">
        <v>9</v>
      </c>
      <c r="C453" s="21">
        <v>-0.46874300000000002</v>
      </c>
      <c r="D453" s="21">
        <v>-0.41170800000000002</v>
      </c>
      <c r="E453" s="21">
        <v>-0.44022499999999998</v>
      </c>
      <c r="F453" s="21">
        <v>0.52381</v>
      </c>
      <c r="G453" s="21">
        <v>0.5</v>
      </c>
      <c r="H453" s="21">
        <v>0.4</v>
      </c>
    </row>
    <row r="454" spans="1:8">
      <c r="A454" s="4" t="s">
        <v>875</v>
      </c>
      <c r="B454" s="4">
        <v>10</v>
      </c>
      <c r="C454" s="21">
        <v>-0.67013999999999996</v>
      </c>
      <c r="D454" s="21">
        <v>-0.40101100000000001</v>
      </c>
      <c r="E454" s="21">
        <v>-0.53557500000000002</v>
      </c>
      <c r="F454" s="21">
        <v>0.52381</v>
      </c>
      <c r="G454" s="21">
        <v>0.16666700000000001</v>
      </c>
      <c r="H454" s="21">
        <v>0.2</v>
      </c>
    </row>
    <row r="455" spans="1:8">
      <c r="A455" s="4" t="s">
        <v>876</v>
      </c>
      <c r="B455" s="4">
        <v>1</v>
      </c>
      <c r="C455" s="21">
        <v>-0.81283799999999995</v>
      </c>
      <c r="D455" s="21">
        <v>-0.39207700000000001</v>
      </c>
      <c r="E455" s="21">
        <v>-0.60245800000000005</v>
      </c>
      <c r="F455" s="21">
        <v>0.38095200000000001</v>
      </c>
      <c r="G455" s="21">
        <v>0.33333299999999999</v>
      </c>
      <c r="H455" s="21">
        <v>0.6</v>
      </c>
    </row>
    <row r="456" spans="1:8">
      <c r="A456" s="4" t="s">
        <v>876</v>
      </c>
      <c r="B456" s="4">
        <v>2</v>
      </c>
      <c r="C456" s="21">
        <v>-0.59973100000000001</v>
      </c>
      <c r="D456" s="21">
        <v>-0.40638099999999999</v>
      </c>
      <c r="E456" s="21">
        <v>-0.50305599999999995</v>
      </c>
      <c r="F456" s="21">
        <v>0.38095200000000001</v>
      </c>
      <c r="G456" s="21">
        <v>0.33333299999999999</v>
      </c>
      <c r="H456" s="21">
        <v>0.4</v>
      </c>
    </row>
    <row r="457" spans="1:8">
      <c r="A457" s="4" t="s">
        <v>876</v>
      </c>
      <c r="B457" s="4">
        <v>3</v>
      </c>
      <c r="C457" s="21">
        <v>-0.767266</v>
      </c>
      <c r="D457" s="21">
        <v>-0.37002299999999999</v>
      </c>
      <c r="E457" s="21">
        <v>-0.56864400000000004</v>
      </c>
      <c r="F457" s="21">
        <v>0.47619</v>
      </c>
      <c r="G457" s="21">
        <v>0.25</v>
      </c>
      <c r="H457" s="21">
        <v>0.4</v>
      </c>
    </row>
    <row r="458" spans="1:8">
      <c r="A458" s="4" t="s">
        <v>876</v>
      </c>
      <c r="B458" s="4">
        <v>4</v>
      </c>
      <c r="C458" s="21">
        <v>-0.82563299999999995</v>
      </c>
      <c r="D458" s="21">
        <v>-0.462783</v>
      </c>
      <c r="E458" s="21">
        <v>-0.644208</v>
      </c>
      <c r="F458" s="21">
        <v>0.38095200000000001</v>
      </c>
      <c r="G458" s="21">
        <v>8.3333000000000004E-2</v>
      </c>
      <c r="H458" s="21">
        <v>0</v>
      </c>
    </row>
    <row r="459" spans="1:8">
      <c r="A459" s="4" t="s">
        <v>876</v>
      </c>
      <c r="B459" s="4">
        <v>5</v>
      </c>
      <c r="C459" s="21">
        <v>-0.90265700000000004</v>
      </c>
      <c r="D459" s="21">
        <v>-0.47619499999999998</v>
      </c>
      <c r="E459" s="21">
        <v>-0.68942599999999998</v>
      </c>
      <c r="F459" s="21">
        <v>0.33333299999999999</v>
      </c>
      <c r="G459" s="21">
        <v>0.25</v>
      </c>
      <c r="H459" s="21">
        <v>0.4</v>
      </c>
    </row>
    <row r="460" spans="1:8">
      <c r="A460" s="4" t="s">
        <v>876</v>
      </c>
      <c r="B460" s="4">
        <v>6</v>
      </c>
      <c r="C460" s="21">
        <v>-0.91833900000000002</v>
      </c>
      <c r="D460" s="21">
        <v>-0.46975600000000001</v>
      </c>
      <c r="E460" s="21">
        <v>-0.694048</v>
      </c>
      <c r="F460" s="21">
        <v>0.42857099999999998</v>
      </c>
      <c r="G460" s="21">
        <v>0.25</v>
      </c>
      <c r="H460" s="21">
        <v>0.4</v>
      </c>
    </row>
    <row r="461" spans="1:8">
      <c r="A461" s="4" t="s">
        <v>876</v>
      </c>
      <c r="B461" s="4">
        <v>7</v>
      </c>
      <c r="C461" s="21">
        <v>-0.67311799999999999</v>
      </c>
      <c r="D461" s="21">
        <v>-0.38601400000000002</v>
      </c>
      <c r="E461" s="21">
        <v>-0.52956599999999998</v>
      </c>
      <c r="F461" s="21">
        <v>0.42857099999999998</v>
      </c>
      <c r="G461" s="21">
        <v>0.16666700000000001</v>
      </c>
      <c r="H461" s="21">
        <v>0</v>
      </c>
    </row>
    <row r="462" spans="1:8">
      <c r="A462" s="4" t="s">
        <v>876</v>
      </c>
      <c r="B462" s="4">
        <v>8</v>
      </c>
      <c r="C462" s="21">
        <v>-0.93588700000000002</v>
      </c>
      <c r="D462" s="21">
        <v>-0.58351699999999995</v>
      </c>
      <c r="E462" s="21">
        <v>-0.75970199999999999</v>
      </c>
      <c r="F462" s="21">
        <v>0.38095200000000001</v>
      </c>
      <c r="G462" s="21">
        <v>0.16666700000000001</v>
      </c>
      <c r="H462" s="21">
        <v>0.4</v>
      </c>
    </row>
    <row r="463" spans="1:8">
      <c r="A463" s="4" t="s">
        <v>876</v>
      </c>
      <c r="B463" s="4">
        <v>9</v>
      </c>
      <c r="C463" s="21">
        <v>-0.71249200000000001</v>
      </c>
      <c r="D463" s="21">
        <v>-0.49562899999999999</v>
      </c>
      <c r="E463" s="21">
        <v>-0.60406099999999996</v>
      </c>
      <c r="F463" s="21">
        <v>0.38095200000000001</v>
      </c>
      <c r="G463" s="21">
        <v>0.33333299999999999</v>
      </c>
      <c r="H463" s="21">
        <v>0.2</v>
      </c>
    </row>
    <row r="464" spans="1:8">
      <c r="A464" s="4" t="s">
        <v>876</v>
      </c>
      <c r="B464" s="4">
        <v>10</v>
      </c>
      <c r="C464" s="21">
        <v>-0.71797200000000005</v>
      </c>
      <c r="D464" s="21">
        <v>-0.63448899999999997</v>
      </c>
      <c r="E464" s="21">
        <v>-0.67623100000000003</v>
      </c>
      <c r="F464" s="21">
        <v>0.28571400000000002</v>
      </c>
      <c r="G464" s="21">
        <v>0.41666700000000001</v>
      </c>
      <c r="H464" s="21">
        <v>0.4</v>
      </c>
    </row>
    <row r="465" spans="1:8">
      <c r="A465" s="4" t="s">
        <v>877</v>
      </c>
      <c r="B465" s="4">
        <v>1</v>
      </c>
      <c r="C465" s="21">
        <v>-0.711067</v>
      </c>
      <c r="D465" s="21">
        <v>-0.32479599999999997</v>
      </c>
      <c r="E465" s="21">
        <v>-0.51793199999999995</v>
      </c>
      <c r="F465" s="21">
        <v>0.42857099999999998</v>
      </c>
      <c r="G465" s="21">
        <v>8.3333000000000004E-2</v>
      </c>
      <c r="H465" s="21">
        <v>0.2</v>
      </c>
    </row>
    <row r="466" spans="1:8">
      <c r="A466" s="4" t="s">
        <v>877</v>
      </c>
      <c r="B466" s="4">
        <v>2</v>
      </c>
      <c r="C466" s="21">
        <v>-0.84843800000000003</v>
      </c>
      <c r="D466" s="21">
        <v>-0.44364700000000001</v>
      </c>
      <c r="E466" s="21">
        <v>-0.64604300000000003</v>
      </c>
      <c r="F466" s="21">
        <v>0.42857099999999998</v>
      </c>
      <c r="G466" s="21">
        <v>8.3333000000000004E-2</v>
      </c>
      <c r="H466" s="21">
        <v>0</v>
      </c>
    </row>
    <row r="467" spans="1:8">
      <c r="A467" s="4" t="s">
        <v>877</v>
      </c>
      <c r="B467" s="4">
        <v>3</v>
      </c>
      <c r="C467" s="21">
        <v>-1.1140490000000001</v>
      </c>
      <c r="D467" s="21">
        <v>-0.628552</v>
      </c>
      <c r="E467" s="21">
        <v>-0.87129999999999996</v>
      </c>
      <c r="F467" s="21">
        <v>0.38095200000000001</v>
      </c>
      <c r="G467" s="21">
        <v>8.3333000000000004E-2</v>
      </c>
      <c r="H467" s="21">
        <v>0</v>
      </c>
    </row>
    <row r="468" spans="1:8">
      <c r="A468" s="4" t="s">
        <v>877</v>
      </c>
      <c r="B468" s="4">
        <v>4</v>
      </c>
      <c r="C468" s="21">
        <v>-0.87815399999999999</v>
      </c>
      <c r="D468" s="21">
        <v>-0.44165100000000002</v>
      </c>
      <c r="E468" s="21">
        <v>-0.65990300000000002</v>
      </c>
      <c r="F468" s="21">
        <v>0.33333299999999999</v>
      </c>
      <c r="G468" s="21">
        <v>0.25</v>
      </c>
      <c r="H468" s="21">
        <v>0</v>
      </c>
    </row>
    <row r="469" spans="1:8">
      <c r="A469" s="4" t="s">
        <v>877</v>
      </c>
      <c r="B469" s="4">
        <v>5</v>
      </c>
      <c r="C469" s="21">
        <v>-0.85496899999999998</v>
      </c>
      <c r="D469" s="21">
        <v>-0.49770399999999998</v>
      </c>
      <c r="E469" s="21">
        <v>-0.67633600000000005</v>
      </c>
      <c r="F469" s="21">
        <v>0.42857099999999998</v>
      </c>
      <c r="G469" s="21">
        <v>0.16666700000000001</v>
      </c>
      <c r="H469" s="21">
        <v>0</v>
      </c>
    </row>
    <row r="470" spans="1:8">
      <c r="A470" s="4" t="s">
        <v>877</v>
      </c>
      <c r="B470" s="4">
        <v>6</v>
      </c>
      <c r="C470" s="21">
        <v>-0.83377400000000002</v>
      </c>
      <c r="D470" s="21">
        <v>-0.49488700000000002</v>
      </c>
      <c r="E470" s="21">
        <v>-0.66432999999999998</v>
      </c>
      <c r="F470" s="21">
        <v>0.19047600000000001</v>
      </c>
      <c r="G470" s="21">
        <v>8.3333000000000004E-2</v>
      </c>
      <c r="H470" s="21">
        <v>0.2</v>
      </c>
    </row>
    <row r="471" spans="1:8">
      <c r="A471" s="4" t="s">
        <v>877</v>
      </c>
      <c r="B471" s="4">
        <v>7</v>
      </c>
      <c r="C471" s="21">
        <v>-0.80988800000000005</v>
      </c>
      <c r="D471" s="21">
        <v>-0.354265</v>
      </c>
      <c r="E471" s="21">
        <v>-0.58207699999999996</v>
      </c>
      <c r="F471" s="21">
        <v>0.38095200000000001</v>
      </c>
      <c r="G471" s="21">
        <v>0.25</v>
      </c>
      <c r="H471" s="21">
        <v>0</v>
      </c>
    </row>
    <row r="472" spans="1:8">
      <c r="A472" s="4" t="s">
        <v>877</v>
      </c>
      <c r="B472" s="4">
        <v>8</v>
      </c>
      <c r="C472" s="21">
        <v>-0.51086799999999999</v>
      </c>
      <c r="D472" s="21">
        <v>-0.39950200000000002</v>
      </c>
      <c r="E472" s="21">
        <v>-0.45518500000000001</v>
      </c>
      <c r="F472" s="21">
        <v>0.38095200000000001</v>
      </c>
      <c r="G472" s="21">
        <v>0.25</v>
      </c>
      <c r="H472" s="21">
        <v>0.4</v>
      </c>
    </row>
    <row r="473" spans="1:8">
      <c r="A473" s="4" t="s">
        <v>877</v>
      </c>
      <c r="B473" s="4">
        <v>9</v>
      </c>
      <c r="C473" s="21">
        <v>-0.75884399999999996</v>
      </c>
      <c r="D473" s="21">
        <v>-0.36443500000000001</v>
      </c>
      <c r="E473" s="21">
        <v>-0.561639</v>
      </c>
      <c r="F473" s="21">
        <v>0.47619</v>
      </c>
      <c r="G473" s="21">
        <v>0.25</v>
      </c>
      <c r="H473" s="21">
        <v>0.4</v>
      </c>
    </row>
    <row r="474" spans="1:8">
      <c r="A474" s="4" t="s">
        <v>877</v>
      </c>
      <c r="B474" s="4">
        <v>10</v>
      </c>
      <c r="C474" s="21">
        <v>-0.672628</v>
      </c>
      <c r="D474" s="21">
        <v>-0.54345699999999997</v>
      </c>
      <c r="E474" s="21">
        <v>-0.608043</v>
      </c>
      <c r="F474" s="21">
        <v>0.33333299999999999</v>
      </c>
      <c r="G474" s="21">
        <v>0.41666700000000001</v>
      </c>
      <c r="H474" s="21">
        <v>0.4</v>
      </c>
    </row>
    <row r="475" spans="1:8">
      <c r="A475" s="4" t="s">
        <v>878</v>
      </c>
      <c r="B475" s="4">
        <v>1</v>
      </c>
      <c r="C475" s="21">
        <v>-0.69347199999999998</v>
      </c>
      <c r="D475" s="21">
        <v>-0.52436300000000002</v>
      </c>
      <c r="E475" s="21">
        <v>-0.60891700000000004</v>
      </c>
      <c r="F475" s="21">
        <v>0.47619</v>
      </c>
      <c r="G475" s="21">
        <v>0.25</v>
      </c>
      <c r="H475" s="21">
        <v>0.6</v>
      </c>
    </row>
    <row r="476" spans="1:8">
      <c r="A476" s="4" t="s">
        <v>878</v>
      </c>
      <c r="B476" s="4">
        <v>2</v>
      </c>
      <c r="C476" s="21">
        <v>-0.62163500000000005</v>
      </c>
      <c r="D476" s="21">
        <v>-0.48169299999999998</v>
      </c>
      <c r="E476" s="21">
        <v>-0.55166400000000004</v>
      </c>
      <c r="F476" s="21">
        <v>0.19047600000000001</v>
      </c>
      <c r="G476" s="21">
        <v>0.33333299999999999</v>
      </c>
      <c r="H476" s="21">
        <v>0.4</v>
      </c>
    </row>
    <row r="477" spans="1:8">
      <c r="A477" s="4" t="s">
        <v>878</v>
      </c>
      <c r="B477" s="4">
        <v>3</v>
      </c>
      <c r="C477" s="21">
        <v>-0.61701499999999998</v>
      </c>
      <c r="D477" s="21">
        <v>-0.29566799999999999</v>
      </c>
      <c r="E477" s="21">
        <v>-0.45634200000000003</v>
      </c>
      <c r="F477" s="21">
        <v>0.38095200000000001</v>
      </c>
      <c r="G477" s="21">
        <v>0.33333299999999999</v>
      </c>
      <c r="H477" s="21">
        <v>0.2</v>
      </c>
    </row>
    <row r="478" spans="1:8">
      <c r="A478" s="4" t="s">
        <v>878</v>
      </c>
      <c r="B478" s="4">
        <v>4</v>
      </c>
      <c r="C478" s="21">
        <v>-0.83807600000000004</v>
      </c>
      <c r="D478" s="21">
        <v>-0.50712900000000005</v>
      </c>
      <c r="E478" s="21">
        <v>-0.67260299999999995</v>
      </c>
      <c r="F478" s="21">
        <v>0.47619</v>
      </c>
      <c r="G478" s="21">
        <v>8.3333000000000004E-2</v>
      </c>
      <c r="H478" s="21">
        <v>0</v>
      </c>
    </row>
    <row r="479" spans="1:8">
      <c r="A479" s="4" t="s">
        <v>878</v>
      </c>
      <c r="B479" s="4">
        <v>5</v>
      </c>
      <c r="C479" s="21">
        <v>-0.82631600000000005</v>
      </c>
      <c r="D479" s="21">
        <v>-0.53007499999999996</v>
      </c>
      <c r="E479" s="21">
        <v>-0.67819499999999999</v>
      </c>
      <c r="F479" s="21">
        <v>0.33333299999999999</v>
      </c>
      <c r="G479" s="21">
        <v>0.25</v>
      </c>
      <c r="H479" s="21">
        <v>0</v>
      </c>
    </row>
    <row r="480" spans="1:8">
      <c r="A480" s="4" t="s">
        <v>878</v>
      </c>
      <c r="B480" s="4">
        <v>6</v>
      </c>
      <c r="C480" s="21">
        <v>-0.56935500000000006</v>
      </c>
      <c r="D480" s="21">
        <v>-0.34271600000000002</v>
      </c>
      <c r="E480" s="21">
        <v>-0.45603500000000002</v>
      </c>
      <c r="F480" s="21">
        <v>0.66666700000000001</v>
      </c>
      <c r="G480" s="21">
        <v>0.25</v>
      </c>
      <c r="H480" s="21">
        <v>0</v>
      </c>
    </row>
    <row r="481" spans="1:8">
      <c r="A481" s="4" t="s">
        <v>878</v>
      </c>
      <c r="B481" s="4">
        <v>7</v>
      </c>
      <c r="C481" s="21">
        <v>-0.57913099999999995</v>
      </c>
      <c r="D481" s="21">
        <v>-0.34206300000000001</v>
      </c>
      <c r="E481" s="21">
        <v>-0.46059699999999998</v>
      </c>
      <c r="F481" s="21">
        <v>0.57142899999999996</v>
      </c>
      <c r="G481" s="21">
        <v>0.16666700000000001</v>
      </c>
      <c r="H481" s="21">
        <v>0.2</v>
      </c>
    </row>
    <row r="482" spans="1:8">
      <c r="A482" s="4" t="s">
        <v>878</v>
      </c>
      <c r="B482" s="4">
        <v>8</v>
      </c>
      <c r="C482" s="21">
        <v>-0.90593199999999996</v>
      </c>
      <c r="D482" s="21">
        <v>-0.42812800000000001</v>
      </c>
      <c r="E482" s="21">
        <v>-0.66703000000000001</v>
      </c>
      <c r="F482" s="21">
        <v>0.52381</v>
      </c>
      <c r="G482" s="21">
        <v>8.3333000000000004E-2</v>
      </c>
      <c r="H482" s="21">
        <v>0</v>
      </c>
    </row>
    <row r="483" spans="1:8">
      <c r="A483" s="4" t="s">
        <v>878</v>
      </c>
      <c r="B483" s="4">
        <v>9</v>
      </c>
      <c r="C483" s="21">
        <v>-0.66042500000000004</v>
      </c>
      <c r="D483" s="21">
        <v>-0.35838399999999998</v>
      </c>
      <c r="E483" s="21">
        <v>-0.509405</v>
      </c>
      <c r="F483" s="21">
        <v>0.28571400000000002</v>
      </c>
      <c r="G483" s="21">
        <v>0.16666700000000001</v>
      </c>
      <c r="H483" s="21">
        <v>0.2</v>
      </c>
    </row>
    <row r="484" spans="1:8">
      <c r="A484" s="4" t="s">
        <v>878</v>
      </c>
      <c r="B484" s="4">
        <v>10</v>
      </c>
      <c r="C484" s="21">
        <v>-0.84486799999999995</v>
      </c>
      <c r="D484" s="21">
        <v>-0.39135500000000001</v>
      </c>
      <c r="E484" s="21">
        <v>-0.61811199999999999</v>
      </c>
      <c r="F484" s="21">
        <v>0.42857099999999998</v>
      </c>
      <c r="G484" s="21">
        <v>0.25</v>
      </c>
      <c r="H484" s="21">
        <v>0.2</v>
      </c>
    </row>
    <row r="485" spans="1:8">
      <c r="A485" s="4" t="s">
        <v>879</v>
      </c>
      <c r="B485" s="4">
        <v>1</v>
      </c>
      <c r="C485" s="21">
        <v>-0.940195</v>
      </c>
      <c r="D485" s="21">
        <v>-0.48226799999999997</v>
      </c>
      <c r="E485" s="21">
        <v>-0.71123199999999998</v>
      </c>
      <c r="F485" s="21">
        <v>0.28571400000000002</v>
      </c>
      <c r="G485" s="21">
        <v>0.25</v>
      </c>
      <c r="H485" s="21">
        <v>0.4</v>
      </c>
    </row>
    <row r="486" spans="1:8">
      <c r="A486" s="4" t="s">
        <v>879</v>
      </c>
      <c r="B486" s="4">
        <v>2</v>
      </c>
      <c r="C486" s="21">
        <v>-0.63800000000000001</v>
      </c>
      <c r="D486" s="21">
        <v>-0.37916</v>
      </c>
      <c r="E486" s="21">
        <v>-0.50858000000000003</v>
      </c>
      <c r="F486" s="21">
        <v>0.38095200000000001</v>
      </c>
      <c r="G486" s="21">
        <v>0.16666700000000001</v>
      </c>
      <c r="H486" s="21">
        <v>0</v>
      </c>
    </row>
    <row r="487" spans="1:8">
      <c r="A487" s="4" t="s">
        <v>879</v>
      </c>
      <c r="B487" s="4">
        <v>3</v>
      </c>
      <c r="C487" s="21">
        <v>-0.64233200000000001</v>
      </c>
      <c r="D487" s="21">
        <v>-0.19131600000000001</v>
      </c>
      <c r="E487" s="21">
        <v>-0.41682399999999997</v>
      </c>
      <c r="F487" s="21">
        <v>0.28571400000000002</v>
      </c>
      <c r="G487" s="21">
        <v>0.33333299999999999</v>
      </c>
      <c r="H487" s="21">
        <v>0.2</v>
      </c>
    </row>
    <row r="488" spans="1:8">
      <c r="A488" s="4" t="s">
        <v>879</v>
      </c>
      <c r="B488" s="4">
        <v>4</v>
      </c>
      <c r="C488" s="21">
        <v>-0.70797900000000002</v>
      </c>
      <c r="D488" s="21">
        <v>-0.373498</v>
      </c>
      <c r="E488" s="21">
        <v>-0.54073899999999997</v>
      </c>
      <c r="F488" s="21">
        <v>0.42857099999999998</v>
      </c>
      <c r="G488" s="21">
        <v>0.41666700000000001</v>
      </c>
      <c r="H488" s="21">
        <v>0.2</v>
      </c>
    </row>
    <row r="489" spans="1:8">
      <c r="A489" s="4" t="s">
        <v>879</v>
      </c>
      <c r="B489" s="4">
        <v>5</v>
      </c>
      <c r="C489" s="21">
        <v>-0.87272899999999998</v>
      </c>
      <c r="D489" s="21">
        <v>-0.52947</v>
      </c>
      <c r="E489" s="21">
        <v>-0.70109999999999995</v>
      </c>
      <c r="F489" s="21">
        <v>0.38095200000000001</v>
      </c>
      <c r="G489" s="21">
        <v>8.3333000000000004E-2</v>
      </c>
      <c r="H489" s="21">
        <v>0.2</v>
      </c>
    </row>
    <row r="490" spans="1:8">
      <c r="A490" s="4" t="s">
        <v>879</v>
      </c>
      <c r="B490" s="4">
        <v>6</v>
      </c>
      <c r="C490" s="21">
        <v>-0.80800099999999997</v>
      </c>
      <c r="D490" s="21">
        <v>-0.36040899999999998</v>
      </c>
      <c r="E490" s="21">
        <v>-0.58420499999999997</v>
      </c>
      <c r="F490" s="21">
        <v>0.47619</v>
      </c>
      <c r="G490" s="21">
        <v>8.3333000000000004E-2</v>
      </c>
      <c r="H490" s="21">
        <v>0</v>
      </c>
    </row>
    <row r="491" spans="1:8">
      <c r="A491" s="4" t="s">
        <v>879</v>
      </c>
      <c r="B491" s="4">
        <v>7</v>
      </c>
      <c r="C491" s="21">
        <v>-0.81626699999999996</v>
      </c>
      <c r="D491" s="21">
        <v>-0.63296699999999995</v>
      </c>
      <c r="E491" s="21">
        <v>-0.72461699999999996</v>
      </c>
      <c r="F491" s="21">
        <v>0.38095200000000001</v>
      </c>
      <c r="G491" s="21">
        <v>0.16666700000000001</v>
      </c>
      <c r="H491" s="21">
        <v>0.4</v>
      </c>
    </row>
    <row r="492" spans="1:8">
      <c r="A492" s="4" t="s">
        <v>879</v>
      </c>
      <c r="B492" s="4">
        <v>8</v>
      </c>
      <c r="C492" s="21">
        <v>-0.90313200000000005</v>
      </c>
      <c r="D492" s="21">
        <v>-0.412748</v>
      </c>
      <c r="E492" s="21">
        <v>-0.65793999999999997</v>
      </c>
      <c r="F492" s="21">
        <v>0.38095200000000001</v>
      </c>
      <c r="G492" s="21">
        <v>0.16666700000000001</v>
      </c>
      <c r="H492" s="21">
        <v>0.2</v>
      </c>
    </row>
    <row r="493" spans="1:8">
      <c r="A493" s="4" t="s">
        <v>879</v>
      </c>
      <c r="B493" s="4">
        <v>9</v>
      </c>
      <c r="C493" s="21">
        <v>-0.67706299999999997</v>
      </c>
      <c r="D493" s="21">
        <v>-0.383133</v>
      </c>
      <c r="E493" s="21">
        <v>-0.53009799999999996</v>
      </c>
      <c r="F493" s="21">
        <v>0.33333299999999999</v>
      </c>
      <c r="G493" s="21">
        <v>0.25</v>
      </c>
      <c r="H493" s="21">
        <v>0.4</v>
      </c>
    </row>
    <row r="494" spans="1:8">
      <c r="A494" s="4" t="s">
        <v>879</v>
      </c>
      <c r="B494" s="4">
        <v>10</v>
      </c>
      <c r="C494" s="21">
        <v>-0.85233599999999998</v>
      </c>
      <c r="D494" s="21">
        <v>-0.61652899999999999</v>
      </c>
      <c r="E494" s="21">
        <v>-0.734433</v>
      </c>
      <c r="F494" s="21">
        <v>0.42857099999999998</v>
      </c>
      <c r="G494" s="21">
        <v>0.16666700000000001</v>
      </c>
      <c r="H494" s="21">
        <v>0.2</v>
      </c>
    </row>
    <row r="495" spans="1:8">
      <c r="A495" s="4" t="s">
        <v>880</v>
      </c>
      <c r="B495" s="4">
        <v>1</v>
      </c>
      <c r="C495" s="21">
        <v>-0.819546</v>
      </c>
      <c r="D495" s="21">
        <v>-0.25525799999999998</v>
      </c>
      <c r="E495" s="21">
        <v>-0.53740200000000005</v>
      </c>
      <c r="F495" s="21">
        <v>0.38095200000000001</v>
      </c>
      <c r="G495" s="21">
        <v>8.3333000000000004E-2</v>
      </c>
      <c r="H495" s="21">
        <v>0</v>
      </c>
    </row>
    <row r="496" spans="1:8">
      <c r="A496" s="4" t="s">
        <v>880</v>
      </c>
      <c r="B496" s="4">
        <v>2</v>
      </c>
      <c r="C496" s="21">
        <v>-0.79000199999999998</v>
      </c>
      <c r="D496" s="21">
        <v>-0.31359300000000001</v>
      </c>
      <c r="E496" s="21">
        <v>-0.55179800000000001</v>
      </c>
      <c r="F496" s="21">
        <v>0.28571400000000002</v>
      </c>
      <c r="G496" s="21">
        <v>0.25</v>
      </c>
      <c r="H496" s="21">
        <v>0.2</v>
      </c>
    </row>
    <row r="497" spans="1:8">
      <c r="A497" s="4" t="s">
        <v>880</v>
      </c>
      <c r="B497" s="4">
        <v>3</v>
      </c>
      <c r="C497" s="21">
        <v>-0.39840399999999998</v>
      </c>
      <c r="D497" s="21">
        <v>-0.18296000000000001</v>
      </c>
      <c r="E497" s="21">
        <v>-0.290682</v>
      </c>
      <c r="F497" s="21">
        <v>0.42857099999999998</v>
      </c>
      <c r="G497" s="21">
        <v>0.5</v>
      </c>
      <c r="H497" s="21">
        <v>0.4</v>
      </c>
    </row>
    <row r="498" spans="1:8">
      <c r="A498" s="4" t="s">
        <v>880</v>
      </c>
      <c r="B498" s="4">
        <v>4</v>
      </c>
      <c r="C498" s="21">
        <v>-0.67478099999999996</v>
      </c>
      <c r="D498" s="21">
        <v>-0.453764</v>
      </c>
      <c r="E498" s="21">
        <v>-0.564272</v>
      </c>
      <c r="F498" s="21">
        <v>0.42857099999999998</v>
      </c>
      <c r="G498" s="21">
        <v>0.25</v>
      </c>
      <c r="H498" s="21">
        <v>0.2</v>
      </c>
    </row>
    <row r="499" spans="1:8">
      <c r="A499" s="4" t="s">
        <v>880</v>
      </c>
      <c r="B499" s="4">
        <v>5</v>
      </c>
      <c r="C499" s="21">
        <v>-0.94959800000000005</v>
      </c>
      <c r="D499" s="21">
        <v>-0.62610100000000002</v>
      </c>
      <c r="E499" s="21">
        <v>-0.78785000000000005</v>
      </c>
      <c r="F499" s="21">
        <v>0.238095</v>
      </c>
      <c r="G499" s="21">
        <v>0.16666700000000001</v>
      </c>
      <c r="H499" s="21">
        <v>0.4</v>
      </c>
    </row>
    <row r="500" spans="1:8">
      <c r="A500" s="4" t="s">
        <v>880</v>
      </c>
      <c r="B500" s="4">
        <v>6</v>
      </c>
      <c r="C500" s="21">
        <v>-0.88354600000000005</v>
      </c>
      <c r="D500" s="21">
        <v>-0.49423</v>
      </c>
      <c r="E500" s="21">
        <v>-0.68888799999999994</v>
      </c>
      <c r="F500" s="21">
        <v>0.47619</v>
      </c>
      <c r="G500" s="21">
        <v>0.16666700000000001</v>
      </c>
      <c r="H500" s="21">
        <v>0.2</v>
      </c>
    </row>
    <row r="501" spans="1:8">
      <c r="A501" s="4" t="s">
        <v>880</v>
      </c>
      <c r="B501" s="4">
        <v>7</v>
      </c>
      <c r="C501" s="21">
        <v>-0.72180900000000003</v>
      </c>
      <c r="D501" s="21">
        <v>-0.306701</v>
      </c>
      <c r="E501" s="21">
        <v>-0.51425500000000002</v>
      </c>
      <c r="F501" s="21">
        <v>0.47619</v>
      </c>
      <c r="G501" s="21">
        <v>0.16666700000000001</v>
      </c>
      <c r="H501" s="21">
        <v>0</v>
      </c>
    </row>
    <row r="502" spans="1:8">
      <c r="A502" s="4" t="s">
        <v>880</v>
      </c>
      <c r="B502" s="4">
        <v>8</v>
      </c>
      <c r="C502" s="21">
        <v>-0.76528499999999999</v>
      </c>
      <c r="D502" s="21">
        <v>-0.37973400000000002</v>
      </c>
      <c r="E502" s="21">
        <v>-0.57250999999999996</v>
      </c>
      <c r="F502" s="21">
        <v>0.52381</v>
      </c>
      <c r="G502" s="21">
        <v>0.16666700000000001</v>
      </c>
      <c r="H502" s="21">
        <v>0.2</v>
      </c>
    </row>
    <row r="503" spans="1:8">
      <c r="A503" s="4" t="s">
        <v>880</v>
      </c>
      <c r="B503" s="4">
        <v>9</v>
      </c>
      <c r="C503" s="21">
        <v>-0.70919900000000002</v>
      </c>
      <c r="D503" s="21">
        <v>-0.325374</v>
      </c>
      <c r="E503" s="21">
        <v>-0.51728600000000002</v>
      </c>
      <c r="F503" s="21">
        <v>0.52381</v>
      </c>
      <c r="G503" s="21">
        <v>0.33333299999999999</v>
      </c>
      <c r="H503" s="21">
        <v>0.2</v>
      </c>
    </row>
    <row r="504" spans="1:8">
      <c r="A504" s="4" t="s">
        <v>880</v>
      </c>
      <c r="B504" s="4">
        <v>10</v>
      </c>
      <c r="C504" s="21">
        <v>-0.71798200000000001</v>
      </c>
      <c r="D504" s="21">
        <v>-0.39803899999999998</v>
      </c>
      <c r="E504" s="21">
        <v>-0.55801100000000003</v>
      </c>
      <c r="F504" s="21">
        <v>0.38095200000000001</v>
      </c>
      <c r="G504" s="21">
        <v>0.33333299999999999</v>
      </c>
      <c r="H504" s="21">
        <v>0.6</v>
      </c>
    </row>
    <row r="505" spans="1:8">
      <c r="A505" s="4" t="s">
        <v>881</v>
      </c>
      <c r="B505" s="4">
        <v>1</v>
      </c>
      <c r="C505" s="21">
        <v>-0.83145999999999998</v>
      </c>
      <c r="D505" s="21">
        <v>-0.411991</v>
      </c>
      <c r="E505" s="21">
        <v>-0.62172499999999997</v>
      </c>
      <c r="F505" s="21">
        <v>0.38095200000000001</v>
      </c>
      <c r="G505" s="21">
        <v>0.41666700000000001</v>
      </c>
      <c r="H505" s="21">
        <v>0.2</v>
      </c>
    </row>
    <row r="506" spans="1:8">
      <c r="A506" s="4" t="s">
        <v>881</v>
      </c>
      <c r="B506" s="4">
        <v>2</v>
      </c>
      <c r="C506" s="21">
        <v>-0.89563300000000001</v>
      </c>
      <c r="D506" s="21">
        <v>-0.35619699999999999</v>
      </c>
      <c r="E506" s="21">
        <v>-0.625915</v>
      </c>
      <c r="F506" s="21">
        <v>0.33333299999999999</v>
      </c>
      <c r="G506" s="21">
        <v>0.16666700000000001</v>
      </c>
      <c r="H506" s="21">
        <v>0.2</v>
      </c>
    </row>
    <row r="507" spans="1:8">
      <c r="A507" s="4" t="s">
        <v>881</v>
      </c>
      <c r="B507" s="4">
        <v>3</v>
      </c>
      <c r="C507" s="21">
        <v>-0.86753000000000002</v>
      </c>
      <c r="D507" s="21">
        <v>-0.48815199999999997</v>
      </c>
      <c r="E507" s="21">
        <v>-0.67784100000000003</v>
      </c>
      <c r="F507" s="21">
        <v>0.28571400000000002</v>
      </c>
      <c r="G507" s="21">
        <v>0.25</v>
      </c>
      <c r="H507" s="21">
        <v>0.2</v>
      </c>
    </row>
    <row r="508" spans="1:8">
      <c r="A508" s="4" t="s">
        <v>881</v>
      </c>
      <c r="B508" s="4">
        <v>4</v>
      </c>
      <c r="C508" s="21">
        <v>-0.79600400000000004</v>
      </c>
      <c r="D508" s="21">
        <v>-0.49142999999999998</v>
      </c>
      <c r="E508" s="21">
        <v>-0.64371699999999998</v>
      </c>
      <c r="F508" s="21">
        <v>0.61904800000000004</v>
      </c>
      <c r="G508" s="21">
        <v>0.25</v>
      </c>
      <c r="H508" s="21">
        <v>0.4</v>
      </c>
    </row>
    <row r="509" spans="1:8">
      <c r="A509" s="4" t="s">
        <v>881</v>
      </c>
      <c r="B509" s="4">
        <v>5</v>
      </c>
      <c r="C509" s="21">
        <v>-0.77118699999999996</v>
      </c>
      <c r="D509" s="21">
        <v>-0.46046399999999998</v>
      </c>
      <c r="E509" s="21">
        <v>-0.61582599999999998</v>
      </c>
      <c r="F509" s="21">
        <v>0.42857099999999998</v>
      </c>
      <c r="G509" s="21">
        <v>0.33333299999999999</v>
      </c>
      <c r="H509" s="21">
        <v>0.4</v>
      </c>
    </row>
    <row r="510" spans="1:8">
      <c r="A510" s="4" t="s">
        <v>881</v>
      </c>
      <c r="B510" s="4">
        <v>6</v>
      </c>
      <c r="C510" s="21">
        <v>-0.97911099999999995</v>
      </c>
      <c r="D510" s="21">
        <v>-0.42381000000000002</v>
      </c>
      <c r="E510" s="21">
        <v>-0.70145999999999997</v>
      </c>
      <c r="F510" s="21">
        <v>0.61904800000000004</v>
      </c>
      <c r="G510" s="21">
        <v>0.16666700000000001</v>
      </c>
      <c r="H510" s="21">
        <v>0</v>
      </c>
    </row>
    <row r="511" spans="1:8">
      <c r="A511" s="4" t="s">
        <v>881</v>
      </c>
      <c r="B511" s="4">
        <v>7</v>
      </c>
      <c r="C511" s="21">
        <v>-0.93787500000000001</v>
      </c>
      <c r="D511" s="21">
        <v>-0.43902200000000002</v>
      </c>
      <c r="E511" s="21">
        <v>-0.68844899999999998</v>
      </c>
      <c r="F511" s="21">
        <v>0.238095</v>
      </c>
      <c r="G511" s="21">
        <v>0.16666700000000001</v>
      </c>
      <c r="H511" s="21">
        <v>0.2</v>
      </c>
    </row>
    <row r="512" spans="1:8">
      <c r="A512" s="4" t="s">
        <v>881</v>
      </c>
      <c r="B512" s="4">
        <v>8</v>
      </c>
      <c r="C512" s="21">
        <v>-0.69983300000000004</v>
      </c>
      <c r="D512" s="21">
        <v>-0.50517100000000004</v>
      </c>
      <c r="E512" s="21">
        <v>-0.60250199999999998</v>
      </c>
      <c r="F512" s="21">
        <v>0.57142899999999996</v>
      </c>
      <c r="G512" s="21">
        <v>0.25</v>
      </c>
      <c r="H512" s="21">
        <v>0.6</v>
      </c>
    </row>
    <row r="513" spans="1:8">
      <c r="A513" s="4" t="s">
        <v>881</v>
      </c>
      <c r="B513" s="4">
        <v>9</v>
      </c>
      <c r="C513" s="21">
        <v>-0.95424100000000001</v>
      </c>
      <c r="D513" s="21">
        <v>-0.44389899999999999</v>
      </c>
      <c r="E513" s="21">
        <v>-0.69906999999999997</v>
      </c>
      <c r="F513" s="21">
        <v>0.47619</v>
      </c>
      <c r="G513" s="21">
        <v>8.3333000000000004E-2</v>
      </c>
      <c r="H513" s="21">
        <v>0.2</v>
      </c>
    </row>
    <row r="514" spans="1:8">
      <c r="A514" s="4" t="s">
        <v>881</v>
      </c>
      <c r="B514" s="4">
        <v>10</v>
      </c>
      <c r="C514" s="21">
        <v>-0.89337800000000001</v>
      </c>
      <c r="D514" s="21">
        <v>-0.44997900000000002</v>
      </c>
      <c r="E514" s="21">
        <v>-0.671678</v>
      </c>
      <c r="F514" s="21">
        <v>0.38095200000000001</v>
      </c>
      <c r="G514" s="21">
        <v>8.3333000000000004E-2</v>
      </c>
      <c r="H514" s="21">
        <v>0</v>
      </c>
    </row>
    <row r="515" spans="1:8">
      <c r="A515" s="4" t="s">
        <v>882</v>
      </c>
      <c r="B515" s="4">
        <v>1</v>
      </c>
      <c r="C515" s="21">
        <v>-0.70260100000000003</v>
      </c>
      <c r="D515" s="21">
        <v>-0.43432100000000001</v>
      </c>
      <c r="E515" s="21">
        <v>-0.56846099999999999</v>
      </c>
      <c r="F515" s="21">
        <v>0.33333299999999999</v>
      </c>
      <c r="G515" s="21">
        <v>0.41666700000000001</v>
      </c>
      <c r="H515" s="21">
        <v>0.6</v>
      </c>
    </row>
    <row r="516" spans="1:8">
      <c r="A516" s="4" t="s">
        <v>882</v>
      </c>
      <c r="B516" s="4">
        <v>2</v>
      </c>
      <c r="C516" s="21">
        <v>-0.88806399999999996</v>
      </c>
      <c r="D516" s="21">
        <v>-0.48853999999999997</v>
      </c>
      <c r="E516" s="21">
        <v>-0.68830199999999997</v>
      </c>
      <c r="F516" s="21">
        <v>0.47619</v>
      </c>
      <c r="G516" s="21">
        <v>0.16666700000000001</v>
      </c>
      <c r="H516" s="21">
        <v>0.4</v>
      </c>
    </row>
    <row r="517" spans="1:8">
      <c r="A517" s="4" t="s">
        <v>882</v>
      </c>
      <c r="B517" s="4">
        <v>3</v>
      </c>
      <c r="C517" s="21">
        <v>-0.73440700000000003</v>
      </c>
      <c r="D517" s="21">
        <v>-0.64434899999999995</v>
      </c>
      <c r="E517" s="21">
        <v>-0.68937800000000005</v>
      </c>
      <c r="F517" s="21">
        <v>0.61904800000000004</v>
      </c>
      <c r="G517" s="21">
        <v>0.25</v>
      </c>
      <c r="H517" s="21">
        <v>0.4</v>
      </c>
    </row>
    <row r="518" spans="1:8">
      <c r="A518" s="4" t="s">
        <v>882</v>
      </c>
      <c r="B518" s="4">
        <v>4</v>
      </c>
      <c r="C518" s="21">
        <v>-0.55724399999999996</v>
      </c>
      <c r="D518" s="21">
        <v>-0.28037499999999999</v>
      </c>
      <c r="E518" s="21">
        <v>-0.41880899999999999</v>
      </c>
      <c r="F518" s="21">
        <v>0.57142899999999996</v>
      </c>
      <c r="G518" s="21">
        <v>0.41666700000000001</v>
      </c>
      <c r="H518" s="21">
        <v>0.2</v>
      </c>
    </row>
    <row r="519" spans="1:8">
      <c r="A519" s="4" t="s">
        <v>882</v>
      </c>
      <c r="B519" s="4">
        <v>5</v>
      </c>
      <c r="C519" s="21">
        <v>-0.80044499999999996</v>
      </c>
      <c r="D519" s="21">
        <v>-0.60881200000000002</v>
      </c>
      <c r="E519" s="21">
        <v>-0.70462800000000003</v>
      </c>
      <c r="F519" s="21">
        <v>0.57142899999999996</v>
      </c>
      <c r="G519" s="21">
        <v>0.33333299999999999</v>
      </c>
      <c r="H519" s="21">
        <v>0.4</v>
      </c>
    </row>
    <row r="520" spans="1:8">
      <c r="A520" s="4" t="s">
        <v>882</v>
      </c>
      <c r="B520" s="4">
        <v>6</v>
      </c>
      <c r="C520" s="21">
        <v>-0.86651900000000004</v>
      </c>
      <c r="D520" s="21">
        <v>-0.57928599999999997</v>
      </c>
      <c r="E520" s="21">
        <v>-0.72290200000000004</v>
      </c>
      <c r="F520" s="21">
        <v>0.38095200000000001</v>
      </c>
      <c r="G520" s="21">
        <v>0.16666700000000001</v>
      </c>
      <c r="H520" s="21">
        <v>0.2</v>
      </c>
    </row>
    <row r="521" spans="1:8">
      <c r="A521" s="4" t="s">
        <v>882</v>
      </c>
      <c r="B521" s="4">
        <v>7</v>
      </c>
      <c r="C521" s="21">
        <v>-0.78330500000000003</v>
      </c>
      <c r="D521" s="21">
        <v>-0.45604299999999998</v>
      </c>
      <c r="E521" s="21">
        <v>-0.61967399999999995</v>
      </c>
      <c r="F521" s="21">
        <v>0.38095200000000001</v>
      </c>
      <c r="G521" s="21">
        <v>0.25</v>
      </c>
      <c r="H521" s="21">
        <v>0.4</v>
      </c>
    </row>
    <row r="522" spans="1:8">
      <c r="A522" s="4" t="s">
        <v>882</v>
      </c>
      <c r="B522" s="4">
        <v>8</v>
      </c>
      <c r="C522" s="21">
        <v>-0.79654400000000003</v>
      </c>
      <c r="D522" s="21">
        <v>-0.426678</v>
      </c>
      <c r="E522" s="21">
        <v>-0.61161100000000002</v>
      </c>
      <c r="F522" s="21">
        <v>0.38095200000000001</v>
      </c>
      <c r="G522" s="21">
        <v>0.33333299999999999</v>
      </c>
      <c r="H522" s="21">
        <v>0.2</v>
      </c>
    </row>
    <row r="523" spans="1:8">
      <c r="A523" s="4" t="s">
        <v>882</v>
      </c>
      <c r="B523" s="4">
        <v>9</v>
      </c>
      <c r="C523" s="21">
        <v>-0.82394800000000001</v>
      </c>
      <c r="D523" s="21">
        <v>-0.41065600000000002</v>
      </c>
      <c r="E523" s="21">
        <v>-0.61730200000000002</v>
      </c>
      <c r="F523" s="21">
        <v>0.61904800000000004</v>
      </c>
      <c r="G523" s="21">
        <v>8.3333000000000004E-2</v>
      </c>
      <c r="H523" s="21">
        <v>0</v>
      </c>
    </row>
    <row r="524" spans="1:8">
      <c r="A524" s="4" t="s">
        <v>882</v>
      </c>
      <c r="B524" s="4">
        <v>10</v>
      </c>
      <c r="C524" s="21">
        <v>-0.97103899999999999</v>
      </c>
      <c r="D524" s="21">
        <v>-0.49234899999999998</v>
      </c>
      <c r="E524" s="21">
        <v>-0.73169399999999996</v>
      </c>
      <c r="F524" s="21">
        <v>0.42857099999999998</v>
      </c>
      <c r="G524" s="21">
        <v>0.33333299999999999</v>
      </c>
      <c r="H524" s="21">
        <v>0.6</v>
      </c>
    </row>
    <row r="525" spans="1:8">
      <c r="A525" s="4" t="s">
        <v>883</v>
      </c>
      <c r="B525" s="4">
        <v>1</v>
      </c>
      <c r="C525" s="21">
        <v>-0.83594999999999997</v>
      </c>
      <c r="D525" s="21">
        <v>-0.39679599999999998</v>
      </c>
      <c r="E525" s="21">
        <v>-0.61637299999999995</v>
      </c>
      <c r="F525" s="21">
        <v>0.38095200000000001</v>
      </c>
      <c r="G525" s="21">
        <v>0.25</v>
      </c>
      <c r="H525" s="21">
        <v>0.2</v>
      </c>
    </row>
    <row r="526" spans="1:8">
      <c r="A526" s="4" t="s">
        <v>883</v>
      </c>
      <c r="B526" s="4">
        <v>2</v>
      </c>
      <c r="C526" s="21">
        <v>-0.74278699999999998</v>
      </c>
      <c r="D526" s="21">
        <v>-0.42558299999999999</v>
      </c>
      <c r="E526" s="21">
        <v>-0.58418499999999995</v>
      </c>
      <c r="F526" s="21">
        <v>0.47619</v>
      </c>
      <c r="G526" s="21">
        <v>0.33333299999999999</v>
      </c>
      <c r="H526" s="21">
        <v>0.2</v>
      </c>
    </row>
    <row r="527" spans="1:8">
      <c r="A527" s="4" t="s">
        <v>883</v>
      </c>
      <c r="B527" s="4">
        <v>3</v>
      </c>
      <c r="C527" s="21">
        <v>-0.86626599999999998</v>
      </c>
      <c r="D527" s="21">
        <v>-0.42887799999999998</v>
      </c>
      <c r="E527" s="21">
        <v>-0.64757200000000004</v>
      </c>
      <c r="F527" s="21">
        <v>0.38095200000000001</v>
      </c>
      <c r="G527" s="21">
        <v>0.16666700000000001</v>
      </c>
      <c r="H527" s="21">
        <v>0.2</v>
      </c>
    </row>
    <row r="528" spans="1:8">
      <c r="A528" s="4" t="s">
        <v>883</v>
      </c>
      <c r="B528" s="4">
        <v>4</v>
      </c>
      <c r="C528" s="21">
        <v>-0.81568300000000005</v>
      </c>
      <c r="D528" s="21">
        <v>-0.49908799999999998</v>
      </c>
      <c r="E528" s="21">
        <v>-0.657385</v>
      </c>
      <c r="F528" s="21">
        <v>0.33333299999999999</v>
      </c>
      <c r="G528" s="21">
        <v>0.25</v>
      </c>
      <c r="H528" s="21">
        <v>0.6</v>
      </c>
    </row>
    <row r="529" spans="1:8">
      <c r="A529" s="4" t="s">
        <v>883</v>
      </c>
      <c r="B529" s="4">
        <v>5</v>
      </c>
      <c r="C529" s="21">
        <v>-0.99523600000000001</v>
      </c>
      <c r="D529" s="21">
        <v>-0.456345</v>
      </c>
      <c r="E529" s="21">
        <v>-0.72579000000000005</v>
      </c>
      <c r="F529" s="21">
        <v>0.52381</v>
      </c>
      <c r="G529" s="21">
        <v>0.25</v>
      </c>
      <c r="H529" s="21">
        <v>0.2</v>
      </c>
    </row>
    <row r="530" spans="1:8">
      <c r="A530" s="4" t="s">
        <v>883</v>
      </c>
      <c r="B530" s="4">
        <v>6</v>
      </c>
      <c r="C530" s="21">
        <v>-0.69493199999999999</v>
      </c>
      <c r="D530" s="21">
        <v>-0.461364</v>
      </c>
      <c r="E530" s="21">
        <v>-0.578148</v>
      </c>
      <c r="F530" s="21">
        <v>0.47619</v>
      </c>
      <c r="G530" s="21">
        <v>0.33333299999999999</v>
      </c>
      <c r="H530" s="21">
        <v>0.2</v>
      </c>
    </row>
    <row r="531" spans="1:8">
      <c r="A531" s="4" t="s">
        <v>883</v>
      </c>
      <c r="B531" s="4">
        <v>7</v>
      </c>
      <c r="C531" s="21">
        <v>-1.0104409999999999</v>
      </c>
      <c r="D531" s="21">
        <v>-0.56993799999999994</v>
      </c>
      <c r="E531" s="21">
        <v>-0.79018999999999995</v>
      </c>
      <c r="F531" s="21">
        <v>0.238095</v>
      </c>
      <c r="G531" s="21">
        <v>0</v>
      </c>
      <c r="H531" s="21">
        <v>0</v>
      </c>
    </row>
    <row r="532" spans="1:8">
      <c r="A532" s="4" t="s">
        <v>883</v>
      </c>
      <c r="B532" s="4">
        <v>8</v>
      </c>
      <c r="C532" s="21">
        <v>-0.71740999999999999</v>
      </c>
      <c r="D532" s="21">
        <v>-0.52787600000000001</v>
      </c>
      <c r="E532" s="21">
        <v>-0.62264299999999995</v>
      </c>
      <c r="F532" s="21">
        <v>0.33333299999999999</v>
      </c>
      <c r="G532" s="21">
        <v>0.16666700000000001</v>
      </c>
      <c r="H532" s="21">
        <v>0.4</v>
      </c>
    </row>
    <row r="533" spans="1:8">
      <c r="A533" s="4" t="s">
        <v>883</v>
      </c>
      <c r="B533" s="4">
        <v>9</v>
      </c>
      <c r="C533" s="21">
        <v>-0.735155</v>
      </c>
      <c r="D533" s="21">
        <v>-0.35029500000000002</v>
      </c>
      <c r="E533" s="21">
        <v>-0.54272500000000001</v>
      </c>
      <c r="F533" s="21">
        <v>0.52381</v>
      </c>
      <c r="G533" s="21">
        <v>0.33333299999999999</v>
      </c>
      <c r="H533" s="21">
        <v>0.4</v>
      </c>
    </row>
    <row r="534" spans="1:8">
      <c r="A534" s="4" t="s">
        <v>883</v>
      </c>
      <c r="B534" s="4">
        <v>10</v>
      </c>
      <c r="C534" s="21">
        <v>-0.82468300000000005</v>
      </c>
      <c r="D534" s="21">
        <v>-0.62056199999999995</v>
      </c>
      <c r="E534" s="21">
        <v>-0.72262199999999999</v>
      </c>
      <c r="F534" s="21">
        <v>0.42857099999999998</v>
      </c>
      <c r="G534" s="21">
        <v>0.33333299999999999</v>
      </c>
      <c r="H534" s="21">
        <v>0.4</v>
      </c>
    </row>
    <row r="535" spans="1:8">
      <c r="A535" s="4" t="s">
        <v>884</v>
      </c>
      <c r="B535" s="4">
        <v>1</v>
      </c>
      <c r="C535" s="21">
        <v>-0.75828099999999998</v>
      </c>
      <c r="D535" s="21">
        <v>-0.54723299999999997</v>
      </c>
      <c r="E535" s="21">
        <v>-0.65275700000000003</v>
      </c>
      <c r="F535" s="21">
        <v>0.14285700000000001</v>
      </c>
      <c r="G535" s="21">
        <v>0.25</v>
      </c>
      <c r="H535" s="21">
        <v>0.2</v>
      </c>
    </row>
    <row r="536" spans="1:8">
      <c r="A536" s="4" t="s">
        <v>884</v>
      </c>
      <c r="B536" s="4">
        <v>2</v>
      </c>
      <c r="C536" s="21">
        <v>-0.57550900000000005</v>
      </c>
      <c r="D536" s="21">
        <v>-0.28481000000000001</v>
      </c>
      <c r="E536" s="21">
        <v>-0.43015999999999999</v>
      </c>
      <c r="F536" s="21">
        <v>0.42857099999999998</v>
      </c>
      <c r="G536" s="21">
        <v>0.25</v>
      </c>
      <c r="H536" s="21">
        <v>0</v>
      </c>
    </row>
    <row r="537" spans="1:8">
      <c r="A537" s="4" t="s">
        <v>884</v>
      </c>
      <c r="B537" s="4">
        <v>3</v>
      </c>
      <c r="C537" s="21">
        <v>-1.0153179999999999</v>
      </c>
      <c r="D537" s="21">
        <v>-0.44343300000000002</v>
      </c>
      <c r="E537" s="21">
        <v>-0.72937600000000002</v>
      </c>
      <c r="F537" s="21">
        <v>0.33333299999999999</v>
      </c>
      <c r="G537" s="21">
        <v>0</v>
      </c>
      <c r="H537" s="21">
        <v>0</v>
      </c>
    </row>
    <row r="538" spans="1:8">
      <c r="A538" s="4" t="s">
        <v>884</v>
      </c>
      <c r="B538" s="4">
        <v>4</v>
      </c>
      <c r="C538" s="21">
        <v>-0.693994</v>
      </c>
      <c r="D538" s="21">
        <v>-0.32509700000000002</v>
      </c>
      <c r="E538" s="21">
        <v>-0.50954500000000003</v>
      </c>
      <c r="F538" s="21">
        <v>0.38095200000000001</v>
      </c>
      <c r="G538" s="21">
        <v>0.33333299999999999</v>
      </c>
      <c r="H538" s="21">
        <v>0.2</v>
      </c>
    </row>
    <row r="539" spans="1:8">
      <c r="A539" s="4" t="s">
        <v>884</v>
      </c>
      <c r="B539" s="4">
        <v>5</v>
      </c>
      <c r="C539" s="21">
        <v>-0.743815</v>
      </c>
      <c r="D539" s="21">
        <v>-0.52522500000000005</v>
      </c>
      <c r="E539" s="21">
        <v>-0.63451999999999997</v>
      </c>
      <c r="F539" s="21">
        <v>0.42857099999999998</v>
      </c>
      <c r="G539" s="21">
        <v>0.25</v>
      </c>
      <c r="H539" s="21">
        <v>0.4</v>
      </c>
    </row>
    <row r="540" spans="1:8">
      <c r="A540" s="4" t="s">
        <v>884</v>
      </c>
      <c r="B540" s="4">
        <v>6</v>
      </c>
      <c r="C540" s="21">
        <v>-0.82408999999999999</v>
      </c>
      <c r="D540" s="21">
        <v>-0.29257</v>
      </c>
      <c r="E540" s="21">
        <v>-0.55832999999999999</v>
      </c>
      <c r="F540" s="21">
        <v>0.42857099999999998</v>
      </c>
      <c r="G540" s="21">
        <v>0.25</v>
      </c>
      <c r="H540" s="21">
        <v>0</v>
      </c>
    </row>
    <row r="541" spans="1:8">
      <c r="A541" s="4" t="s">
        <v>884</v>
      </c>
      <c r="B541" s="4">
        <v>7</v>
      </c>
      <c r="C541" s="21">
        <v>-0.51093200000000005</v>
      </c>
      <c r="D541" s="21">
        <v>-0.29752699999999999</v>
      </c>
      <c r="E541" s="21">
        <v>-0.404229</v>
      </c>
      <c r="F541" s="21">
        <v>0.238095</v>
      </c>
      <c r="G541" s="21">
        <v>0.41666700000000001</v>
      </c>
      <c r="H541" s="21">
        <v>0.4</v>
      </c>
    </row>
    <row r="542" spans="1:8">
      <c r="A542" s="4" t="s">
        <v>884</v>
      </c>
      <c r="B542" s="4">
        <v>8</v>
      </c>
      <c r="C542" s="21">
        <v>-0.34747</v>
      </c>
      <c r="D542" s="21">
        <v>-0.18704799999999999</v>
      </c>
      <c r="E542" s="21">
        <v>-0.26725900000000002</v>
      </c>
      <c r="F542" s="21">
        <v>0.38095200000000001</v>
      </c>
      <c r="G542" s="21">
        <v>0.41666700000000001</v>
      </c>
      <c r="H542" s="21">
        <v>0.2</v>
      </c>
    </row>
    <row r="543" spans="1:8">
      <c r="A543" s="4" t="s">
        <v>884</v>
      </c>
      <c r="B543" s="4">
        <v>9</v>
      </c>
      <c r="C543" s="21">
        <v>-0.72178799999999999</v>
      </c>
      <c r="D543" s="21">
        <v>-0.46542699999999998</v>
      </c>
      <c r="E543" s="21">
        <v>-0.593607</v>
      </c>
      <c r="F543" s="21">
        <v>0.28571400000000002</v>
      </c>
      <c r="G543" s="21">
        <v>0.25</v>
      </c>
      <c r="H543" s="21">
        <v>0.2</v>
      </c>
    </row>
    <row r="544" spans="1:8">
      <c r="A544" s="4" t="s">
        <v>884</v>
      </c>
      <c r="B544" s="4">
        <v>10</v>
      </c>
      <c r="C544" s="21">
        <v>-0.89918600000000004</v>
      </c>
      <c r="D544" s="21">
        <v>-0.53882399999999997</v>
      </c>
      <c r="E544" s="21">
        <v>-0.71900500000000001</v>
      </c>
      <c r="F544" s="21">
        <v>0.66666700000000001</v>
      </c>
      <c r="G544" s="21">
        <v>0.25</v>
      </c>
      <c r="H544" s="21">
        <v>0.2</v>
      </c>
    </row>
    <row r="545" spans="1:8">
      <c r="A545" s="4" t="s">
        <v>885</v>
      </c>
      <c r="B545" s="4">
        <v>1</v>
      </c>
      <c r="C545" s="21">
        <v>-0.73530799999999996</v>
      </c>
      <c r="D545" s="21">
        <v>-0.32603599999999999</v>
      </c>
      <c r="E545" s="21">
        <v>-0.53067200000000003</v>
      </c>
      <c r="F545" s="21">
        <v>0.47619</v>
      </c>
      <c r="G545" s="21">
        <v>8.3333000000000004E-2</v>
      </c>
      <c r="H545" s="21">
        <v>0.2</v>
      </c>
    </row>
    <row r="546" spans="1:8">
      <c r="A546" s="4" t="s">
        <v>885</v>
      </c>
      <c r="B546" s="4">
        <v>2</v>
      </c>
      <c r="C546" s="21">
        <v>-0.54813500000000004</v>
      </c>
      <c r="D546" s="21">
        <v>-0.199632</v>
      </c>
      <c r="E546" s="21">
        <v>-0.37388300000000002</v>
      </c>
      <c r="F546" s="21">
        <v>0.33333299999999999</v>
      </c>
      <c r="G546" s="21">
        <v>0.58333299999999999</v>
      </c>
      <c r="H546" s="21">
        <v>0.6</v>
      </c>
    </row>
    <row r="547" spans="1:8">
      <c r="A547" s="4" t="s">
        <v>885</v>
      </c>
      <c r="B547" s="4">
        <v>3</v>
      </c>
      <c r="C547" s="21">
        <v>-0.74477700000000002</v>
      </c>
      <c r="D547" s="21">
        <v>-0.517679</v>
      </c>
      <c r="E547" s="21">
        <v>-0.63122800000000001</v>
      </c>
      <c r="F547" s="21">
        <v>0.33333299999999999</v>
      </c>
      <c r="G547" s="21">
        <v>0.16666700000000001</v>
      </c>
      <c r="H547" s="21">
        <v>0</v>
      </c>
    </row>
    <row r="548" spans="1:8">
      <c r="A548" s="4" t="s">
        <v>885</v>
      </c>
      <c r="B548" s="4">
        <v>4</v>
      </c>
      <c r="C548" s="21">
        <v>-0.55660399999999999</v>
      </c>
      <c r="D548" s="21">
        <v>-0.20560100000000001</v>
      </c>
      <c r="E548" s="21">
        <v>-0.38110300000000003</v>
      </c>
      <c r="F548" s="21">
        <v>0.33333299999999999</v>
      </c>
      <c r="G548" s="21">
        <v>0.33333299999999999</v>
      </c>
      <c r="H548" s="21">
        <v>0.4</v>
      </c>
    </row>
    <row r="549" spans="1:8">
      <c r="A549" s="4" t="s">
        <v>885</v>
      </c>
      <c r="B549" s="4">
        <v>5</v>
      </c>
      <c r="C549" s="21">
        <v>-0.71274899999999997</v>
      </c>
      <c r="D549" s="21">
        <v>-0.44228400000000001</v>
      </c>
      <c r="E549" s="21">
        <v>-0.57751699999999995</v>
      </c>
      <c r="F549" s="21">
        <v>0.52381</v>
      </c>
      <c r="G549" s="21">
        <v>0.33333299999999999</v>
      </c>
      <c r="H549" s="21">
        <v>0.6</v>
      </c>
    </row>
    <row r="550" spans="1:8">
      <c r="A550" s="4" t="s">
        <v>885</v>
      </c>
      <c r="B550" s="4">
        <v>6</v>
      </c>
      <c r="C550" s="21">
        <v>-0.89727999999999997</v>
      </c>
      <c r="D550" s="21">
        <v>-0.53720299999999999</v>
      </c>
      <c r="E550" s="21">
        <v>-0.71724200000000005</v>
      </c>
      <c r="F550" s="21">
        <v>0.38095200000000001</v>
      </c>
      <c r="G550" s="21">
        <v>8.3333000000000004E-2</v>
      </c>
      <c r="H550" s="21">
        <v>0.2</v>
      </c>
    </row>
    <row r="551" spans="1:8">
      <c r="A551" s="4" t="s">
        <v>885</v>
      </c>
      <c r="B551" s="4">
        <v>7</v>
      </c>
      <c r="C551" s="21">
        <v>-0.80163099999999998</v>
      </c>
      <c r="D551" s="21">
        <v>-0.33916299999999999</v>
      </c>
      <c r="E551" s="21">
        <v>-0.57039700000000004</v>
      </c>
      <c r="F551" s="21">
        <v>0.238095</v>
      </c>
      <c r="G551" s="21">
        <v>0.25</v>
      </c>
      <c r="H551" s="21">
        <v>0.2</v>
      </c>
    </row>
    <row r="552" spans="1:8">
      <c r="A552" s="4" t="s">
        <v>885</v>
      </c>
      <c r="B552" s="4">
        <v>8</v>
      </c>
      <c r="C552" s="21">
        <v>-1.1757</v>
      </c>
      <c r="D552" s="21">
        <v>-0.61419599999999996</v>
      </c>
      <c r="E552" s="21">
        <v>-0.89494799999999997</v>
      </c>
      <c r="F552" s="21">
        <v>0.38095200000000001</v>
      </c>
      <c r="G552" s="21">
        <v>0</v>
      </c>
      <c r="H552" s="21">
        <v>0</v>
      </c>
    </row>
    <row r="553" spans="1:8">
      <c r="A553" s="4" t="s">
        <v>885</v>
      </c>
      <c r="B553" s="4">
        <v>9</v>
      </c>
      <c r="C553" s="21">
        <v>-0.57911000000000001</v>
      </c>
      <c r="D553" s="21">
        <v>-0.31857099999999999</v>
      </c>
      <c r="E553" s="21">
        <v>-0.44884099999999999</v>
      </c>
      <c r="F553" s="21">
        <v>0.33333299999999999</v>
      </c>
      <c r="G553" s="21">
        <v>0.5</v>
      </c>
      <c r="H553" s="21">
        <v>0.6</v>
      </c>
    </row>
    <row r="554" spans="1:8">
      <c r="A554" s="4" t="s">
        <v>885</v>
      </c>
      <c r="B554" s="4">
        <v>10</v>
      </c>
      <c r="C554" s="21">
        <v>-0.63847799999999999</v>
      </c>
      <c r="D554" s="21">
        <v>-0.26162299999999999</v>
      </c>
      <c r="E554" s="21">
        <v>-0.45005000000000001</v>
      </c>
      <c r="F554" s="21">
        <v>0.38095200000000001</v>
      </c>
      <c r="G554" s="21">
        <v>0.25</v>
      </c>
      <c r="H554" s="21">
        <v>0.4</v>
      </c>
    </row>
    <row r="555" spans="1:8">
      <c r="A555" s="4" t="s">
        <v>886</v>
      </c>
      <c r="B555" s="4">
        <v>1</v>
      </c>
      <c r="C555" s="21">
        <v>-0.878077</v>
      </c>
      <c r="D555" s="21">
        <v>-0.43015999999999999</v>
      </c>
      <c r="E555" s="21">
        <v>-0.65411799999999998</v>
      </c>
      <c r="F555" s="21">
        <v>0.57142899999999996</v>
      </c>
      <c r="G555" s="21">
        <v>0.33333299999999999</v>
      </c>
      <c r="H555" s="21">
        <v>0.2</v>
      </c>
    </row>
    <row r="556" spans="1:8">
      <c r="A556" s="4" t="s">
        <v>886</v>
      </c>
      <c r="B556" s="4">
        <v>2</v>
      </c>
      <c r="C556" s="21">
        <v>-0.636432</v>
      </c>
      <c r="D556" s="21">
        <v>-0.46875</v>
      </c>
      <c r="E556" s="21">
        <v>-0.55259100000000005</v>
      </c>
      <c r="F556" s="21">
        <v>0.42857099999999998</v>
      </c>
      <c r="G556" s="21">
        <v>0.33333299999999999</v>
      </c>
      <c r="H556" s="21">
        <v>0.4</v>
      </c>
    </row>
    <row r="557" spans="1:8">
      <c r="A557" s="4" t="s">
        <v>886</v>
      </c>
      <c r="B557" s="4">
        <v>3</v>
      </c>
      <c r="C557" s="21">
        <v>-0.75126999999999999</v>
      </c>
      <c r="D557" s="21">
        <v>-0.2112</v>
      </c>
      <c r="E557" s="21">
        <v>-0.48123500000000002</v>
      </c>
      <c r="F557" s="21">
        <v>0.33333299999999999</v>
      </c>
      <c r="G557" s="21">
        <v>8.3333000000000004E-2</v>
      </c>
      <c r="H557" s="21">
        <v>0</v>
      </c>
    </row>
    <row r="558" spans="1:8">
      <c r="A558" s="4" t="s">
        <v>886</v>
      </c>
      <c r="B558" s="4">
        <v>4</v>
      </c>
      <c r="C558" s="21">
        <v>-0.59834500000000002</v>
      </c>
      <c r="D558" s="21">
        <v>-0.37968800000000003</v>
      </c>
      <c r="E558" s="21">
        <v>-0.48901600000000001</v>
      </c>
      <c r="F558" s="21">
        <v>0.33333299999999999</v>
      </c>
      <c r="G558" s="21">
        <v>0.25</v>
      </c>
      <c r="H558" s="21">
        <v>0.2</v>
      </c>
    </row>
    <row r="559" spans="1:8">
      <c r="A559" s="4" t="s">
        <v>886</v>
      </c>
      <c r="B559" s="4">
        <v>5</v>
      </c>
      <c r="C559" s="21">
        <v>-0.55959599999999998</v>
      </c>
      <c r="D559" s="21">
        <v>-0.35599199999999998</v>
      </c>
      <c r="E559" s="21">
        <v>-0.45779399999999998</v>
      </c>
      <c r="F559" s="21">
        <v>0.52381</v>
      </c>
      <c r="G559" s="21">
        <v>0.33333299999999999</v>
      </c>
      <c r="H559" s="21">
        <v>0.2</v>
      </c>
    </row>
    <row r="560" spans="1:8">
      <c r="A560" s="4" t="s">
        <v>886</v>
      </c>
      <c r="B560" s="4">
        <v>6</v>
      </c>
      <c r="C560" s="21">
        <v>-0.52064500000000002</v>
      </c>
      <c r="D560" s="21">
        <v>-0.33767399999999997</v>
      </c>
      <c r="E560" s="21">
        <v>-0.42915999999999999</v>
      </c>
      <c r="F560" s="21">
        <v>0.42857099999999998</v>
      </c>
      <c r="G560" s="21">
        <v>0.16666700000000001</v>
      </c>
      <c r="H560" s="21">
        <v>0.2</v>
      </c>
    </row>
    <row r="561" spans="1:8">
      <c r="A561" s="4" t="s">
        <v>886</v>
      </c>
      <c r="B561" s="4">
        <v>7</v>
      </c>
      <c r="C561" s="21">
        <v>-0.76239199999999996</v>
      </c>
      <c r="D561" s="21">
        <v>-0.67276899999999995</v>
      </c>
      <c r="E561" s="21">
        <v>-0.71758100000000002</v>
      </c>
      <c r="F561" s="21">
        <v>0.38095200000000001</v>
      </c>
      <c r="G561" s="21">
        <v>0.33333299999999999</v>
      </c>
      <c r="H561" s="21">
        <v>0.4</v>
      </c>
    </row>
    <row r="562" spans="1:8">
      <c r="A562" s="4" t="s">
        <v>886</v>
      </c>
      <c r="B562" s="4">
        <v>8</v>
      </c>
      <c r="C562" s="21">
        <v>-0.83919100000000002</v>
      </c>
      <c r="D562" s="21">
        <v>-0.57233199999999995</v>
      </c>
      <c r="E562" s="21">
        <v>-0.70576099999999997</v>
      </c>
      <c r="F562" s="21">
        <v>0.42857099999999998</v>
      </c>
      <c r="G562" s="21">
        <v>0.16666700000000001</v>
      </c>
      <c r="H562" s="21">
        <v>0</v>
      </c>
    </row>
    <row r="563" spans="1:8">
      <c r="A563" s="4" t="s">
        <v>886</v>
      </c>
      <c r="B563" s="4">
        <v>9</v>
      </c>
      <c r="C563" s="21">
        <v>-0.80569000000000002</v>
      </c>
      <c r="D563" s="21">
        <v>-0.44898900000000003</v>
      </c>
      <c r="E563" s="21">
        <v>-0.62733899999999998</v>
      </c>
      <c r="F563" s="21">
        <v>0.33333299999999999</v>
      </c>
      <c r="G563" s="21">
        <v>8.3333000000000004E-2</v>
      </c>
      <c r="H563" s="21">
        <v>0.2</v>
      </c>
    </row>
    <row r="564" spans="1:8">
      <c r="A564" s="4" t="s">
        <v>886</v>
      </c>
      <c r="B564" s="4">
        <v>10</v>
      </c>
      <c r="C564" s="21">
        <v>-0.94214500000000001</v>
      </c>
      <c r="D564" s="21">
        <v>-0.44858300000000001</v>
      </c>
      <c r="E564" s="21">
        <v>-0.69536399999999998</v>
      </c>
      <c r="F564" s="21">
        <v>0.42857099999999998</v>
      </c>
      <c r="G564" s="21">
        <v>8.3333000000000004E-2</v>
      </c>
      <c r="H564" s="21">
        <v>0.2</v>
      </c>
    </row>
    <row r="565" spans="1:8">
      <c r="A565" s="4" t="s">
        <v>887</v>
      </c>
      <c r="B565" s="4">
        <v>1</v>
      </c>
      <c r="C565" s="21">
        <v>-0.876328</v>
      </c>
      <c r="D565" s="21">
        <v>-0.56620899999999996</v>
      </c>
      <c r="E565" s="21">
        <v>-0.72126800000000002</v>
      </c>
      <c r="F565" s="21">
        <v>0.33333299999999999</v>
      </c>
      <c r="G565" s="21">
        <v>0.25</v>
      </c>
      <c r="H565" s="21">
        <v>0.2</v>
      </c>
    </row>
    <row r="566" spans="1:8">
      <c r="A566" s="4" t="s">
        <v>887</v>
      </c>
      <c r="B566" s="4">
        <v>2</v>
      </c>
      <c r="C566" s="21">
        <v>-0.79436700000000005</v>
      </c>
      <c r="D566" s="21">
        <v>-0.43150500000000003</v>
      </c>
      <c r="E566" s="21">
        <v>-0.61293600000000004</v>
      </c>
      <c r="F566" s="21">
        <v>0.38095200000000001</v>
      </c>
      <c r="G566" s="21">
        <v>0.25</v>
      </c>
      <c r="H566" s="21">
        <v>0.2</v>
      </c>
    </row>
    <row r="567" spans="1:8">
      <c r="A567" s="4" t="s">
        <v>887</v>
      </c>
      <c r="B567" s="4">
        <v>3</v>
      </c>
      <c r="C567" s="21">
        <v>-0.47115899999999999</v>
      </c>
      <c r="D567" s="21">
        <v>-0.40449000000000002</v>
      </c>
      <c r="E567" s="21">
        <v>-0.43782399999999999</v>
      </c>
      <c r="F567" s="21">
        <v>0.38095200000000001</v>
      </c>
      <c r="G567" s="21">
        <v>0.33333299999999999</v>
      </c>
      <c r="H567" s="21">
        <v>0.2</v>
      </c>
    </row>
    <row r="568" spans="1:8">
      <c r="A568" s="4" t="s">
        <v>887</v>
      </c>
      <c r="B568" s="4">
        <v>4</v>
      </c>
      <c r="C568" s="21">
        <v>-0.84649799999999997</v>
      </c>
      <c r="D568" s="21">
        <v>-0.467806</v>
      </c>
      <c r="E568" s="21">
        <v>-0.65715199999999996</v>
      </c>
      <c r="F568" s="21">
        <v>0.42857099999999998</v>
      </c>
      <c r="G568" s="21">
        <v>0.16666700000000001</v>
      </c>
      <c r="H568" s="21">
        <v>0.2</v>
      </c>
    </row>
    <row r="569" spans="1:8">
      <c r="A569" s="4" t="s">
        <v>887</v>
      </c>
      <c r="B569" s="4">
        <v>5</v>
      </c>
      <c r="C569" s="21">
        <v>-0.712677</v>
      </c>
      <c r="D569" s="21">
        <v>-0.50050499999999998</v>
      </c>
      <c r="E569" s="21">
        <v>-0.60659099999999999</v>
      </c>
      <c r="F569" s="21">
        <v>0.42857099999999998</v>
      </c>
      <c r="G569" s="21">
        <v>0.33333299999999999</v>
      </c>
      <c r="H569" s="21">
        <v>0.4</v>
      </c>
    </row>
    <row r="570" spans="1:8">
      <c r="A570" s="4" t="s">
        <v>887</v>
      </c>
      <c r="B570" s="4">
        <v>6</v>
      </c>
      <c r="C570" s="21">
        <v>-0.57272299999999998</v>
      </c>
      <c r="D570" s="21">
        <v>-0.388625</v>
      </c>
      <c r="E570" s="21">
        <v>-0.48067399999999999</v>
      </c>
      <c r="F570" s="21">
        <v>0.47619</v>
      </c>
      <c r="G570" s="21">
        <v>0.33333299999999999</v>
      </c>
      <c r="H570" s="21">
        <v>0.4</v>
      </c>
    </row>
    <row r="571" spans="1:8">
      <c r="A571" s="4" t="s">
        <v>887</v>
      </c>
      <c r="B571" s="4">
        <v>7</v>
      </c>
      <c r="C571" s="21">
        <v>-0.65026799999999996</v>
      </c>
      <c r="D571" s="21">
        <v>-0.40222400000000003</v>
      </c>
      <c r="E571" s="21">
        <v>-0.52624599999999999</v>
      </c>
      <c r="F571" s="21">
        <v>0.38095200000000001</v>
      </c>
      <c r="G571" s="21">
        <v>0.16666700000000001</v>
      </c>
      <c r="H571" s="21">
        <v>0</v>
      </c>
    </row>
    <row r="572" spans="1:8">
      <c r="A572" s="4" t="s">
        <v>887</v>
      </c>
      <c r="B572" s="4">
        <v>8</v>
      </c>
      <c r="C572" s="21">
        <v>-1.046092</v>
      </c>
      <c r="D572" s="21">
        <v>-0.47065699999999999</v>
      </c>
      <c r="E572" s="21">
        <v>-0.75837399999999999</v>
      </c>
      <c r="F572" s="21">
        <v>0.38095200000000001</v>
      </c>
      <c r="G572" s="21">
        <v>8.3333000000000004E-2</v>
      </c>
      <c r="H572" s="21">
        <v>0</v>
      </c>
    </row>
    <row r="573" spans="1:8">
      <c r="A573" s="4" t="s">
        <v>887</v>
      </c>
      <c r="B573" s="4">
        <v>9</v>
      </c>
      <c r="C573" s="21">
        <v>-0.78176500000000004</v>
      </c>
      <c r="D573" s="21">
        <v>-0.398511</v>
      </c>
      <c r="E573" s="21">
        <v>-0.59013800000000005</v>
      </c>
      <c r="F573" s="21">
        <v>0.47619</v>
      </c>
      <c r="G573" s="21">
        <v>0.16666700000000001</v>
      </c>
      <c r="H573" s="21">
        <v>0.2</v>
      </c>
    </row>
    <row r="574" spans="1:8">
      <c r="A574" s="4" t="s">
        <v>887</v>
      </c>
      <c r="B574" s="4">
        <v>10</v>
      </c>
      <c r="C574" s="21">
        <v>-0.97615799999999997</v>
      </c>
      <c r="D574" s="21">
        <v>-0.38711800000000002</v>
      </c>
      <c r="E574" s="21">
        <v>-0.68163799999999997</v>
      </c>
      <c r="F574" s="21">
        <v>0.42857099999999998</v>
      </c>
      <c r="G574" s="21">
        <v>0.16666700000000001</v>
      </c>
      <c r="H574" s="21">
        <v>0</v>
      </c>
    </row>
    <row r="575" spans="1:8">
      <c r="A575" s="4" t="s">
        <v>888</v>
      </c>
      <c r="B575" s="4">
        <v>1</v>
      </c>
      <c r="C575" s="21">
        <v>-0.83241200000000004</v>
      </c>
      <c r="D575" s="21">
        <v>-0.465507</v>
      </c>
      <c r="E575" s="21">
        <v>-0.64895899999999995</v>
      </c>
      <c r="F575" s="21">
        <v>0.33333299999999999</v>
      </c>
      <c r="G575" s="21">
        <v>0.25</v>
      </c>
      <c r="H575" s="21">
        <v>0</v>
      </c>
    </row>
    <row r="576" spans="1:8">
      <c r="A576" s="4" t="s">
        <v>888</v>
      </c>
      <c r="B576" s="4">
        <v>2</v>
      </c>
      <c r="C576" s="21">
        <v>-0.697326</v>
      </c>
      <c r="D576" s="21">
        <v>-0.30553200000000003</v>
      </c>
      <c r="E576" s="21">
        <v>-0.50142900000000001</v>
      </c>
      <c r="F576" s="21">
        <v>0.28571400000000002</v>
      </c>
      <c r="G576" s="21">
        <v>0.16666700000000001</v>
      </c>
      <c r="H576" s="21">
        <v>0.2</v>
      </c>
    </row>
    <row r="577" spans="1:8">
      <c r="A577" s="4" t="s">
        <v>888</v>
      </c>
      <c r="B577" s="4">
        <v>3</v>
      </c>
      <c r="C577" s="21">
        <v>-0.79190099999999997</v>
      </c>
      <c r="D577" s="21">
        <v>-0.42063899999999999</v>
      </c>
      <c r="E577" s="21">
        <v>-0.60626999999999998</v>
      </c>
      <c r="F577" s="21">
        <v>0.42857099999999998</v>
      </c>
      <c r="G577" s="21">
        <v>0.16666700000000001</v>
      </c>
      <c r="H577" s="21">
        <v>0</v>
      </c>
    </row>
    <row r="578" spans="1:8">
      <c r="A578" s="4" t="s">
        <v>888</v>
      </c>
      <c r="B578" s="4">
        <v>4</v>
      </c>
      <c r="C578" s="21">
        <v>-0.92151799999999995</v>
      </c>
      <c r="D578" s="21">
        <v>-0.51502700000000001</v>
      </c>
      <c r="E578" s="21">
        <v>-0.71827200000000002</v>
      </c>
      <c r="F578" s="21">
        <v>0.42857099999999998</v>
      </c>
      <c r="G578" s="21">
        <v>0</v>
      </c>
      <c r="H578" s="21">
        <v>0</v>
      </c>
    </row>
    <row r="579" spans="1:8">
      <c r="A579" s="4" t="s">
        <v>888</v>
      </c>
      <c r="B579" s="4">
        <v>5</v>
      </c>
      <c r="C579" s="21">
        <v>-0.90596900000000002</v>
      </c>
      <c r="D579" s="21">
        <v>-0.39962999999999999</v>
      </c>
      <c r="E579" s="21">
        <v>-0.65279900000000002</v>
      </c>
      <c r="F579" s="21">
        <v>0.19047600000000001</v>
      </c>
      <c r="G579" s="21">
        <v>0.25</v>
      </c>
      <c r="H579" s="21">
        <v>0.4</v>
      </c>
    </row>
    <row r="580" spans="1:8">
      <c r="A580" s="4" t="s">
        <v>888</v>
      </c>
      <c r="B580" s="4">
        <v>6</v>
      </c>
      <c r="C580" s="21">
        <v>-0.819465</v>
      </c>
      <c r="D580" s="21">
        <v>-0.60118899999999997</v>
      </c>
      <c r="E580" s="21">
        <v>-0.71032700000000004</v>
      </c>
      <c r="F580" s="21">
        <v>0.38095200000000001</v>
      </c>
      <c r="G580" s="21">
        <v>0.25</v>
      </c>
      <c r="H580" s="21">
        <v>0</v>
      </c>
    </row>
    <row r="581" spans="1:8">
      <c r="A581" s="4" t="s">
        <v>888</v>
      </c>
      <c r="B581" s="4">
        <v>7</v>
      </c>
      <c r="C581" s="21">
        <v>-0.88570000000000004</v>
      </c>
      <c r="D581" s="21">
        <v>-0.51091699999999995</v>
      </c>
      <c r="E581" s="21">
        <v>-0.69830899999999996</v>
      </c>
      <c r="F581" s="21">
        <v>0.33333299999999999</v>
      </c>
      <c r="G581" s="21">
        <v>0.16666700000000001</v>
      </c>
      <c r="H581" s="21">
        <v>0.2</v>
      </c>
    </row>
    <row r="582" spans="1:8">
      <c r="A582" s="4" t="s">
        <v>888</v>
      </c>
      <c r="B582" s="4">
        <v>8</v>
      </c>
      <c r="C582" s="21">
        <v>-0.93072500000000002</v>
      </c>
      <c r="D582" s="21">
        <v>-0.49974000000000002</v>
      </c>
      <c r="E582" s="21">
        <v>-0.71523199999999998</v>
      </c>
      <c r="F582" s="21">
        <v>0.47619</v>
      </c>
      <c r="G582" s="21">
        <v>0.16666700000000001</v>
      </c>
      <c r="H582" s="21">
        <v>0</v>
      </c>
    </row>
    <row r="583" spans="1:8">
      <c r="A583" s="4" t="s">
        <v>888</v>
      </c>
      <c r="B583" s="4">
        <v>9</v>
      </c>
      <c r="C583" s="21">
        <v>-0.76010200000000006</v>
      </c>
      <c r="D583" s="21">
        <v>-0.61100600000000005</v>
      </c>
      <c r="E583" s="21">
        <v>-0.685554</v>
      </c>
      <c r="F583" s="21">
        <v>0.42857099999999998</v>
      </c>
      <c r="G583" s="21">
        <v>0.25</v>
      </c>
      <c r="H583" s="21">
        <v>0.2</v>
      </c>
    </row>
    <row r="584" spans="1:8">
      <c r="A584" s="4" t="s">
        <v>888</v>
      </c>
      <c r="B584" s="4">
        <v>10</v>
      </c>
      <c r="C584" s="21">
        <v>-0.78283499999999995</v>
      </c>
      <c r="D584" s="21">
        <v>-0.31903999999999999</v>
      </c>
      <c r="E584" s="21">
        <v>-0.55093700000000001</v>
      </c>
      <c r="F584" s="21">
        <v>0.61904800000000004</v>
      </c>
      <c r="G584" s="21">
        <v>0.25</v>
      </c>
      <c r="H584" s="21">
        <v>0.4</v>
      </c>
    </row>
    <row r="585" spans="1:8">
      <c r="A585" s="4" t="s">
        <v>889</v>
      </c>
      <c r="B585" s="4">
        <v>1</v>
      </c>
      <c r="C585" s="21">
        <v>-1.01318</v>
      </c>
      <c r="D585" s="21">
        <v>-0.38478299999999999</v>
      </c>
      <c r="E585" s="21">
        <v>-0.69898199999999999</v>
      </c>
      <c r="F585" s="21">
        <v>0.19047600000000001</v>
      </c>
      <c r="G585" s="21">
        <v>8.3333000000000004E-2</v>
      </c>
      <c r="H585" s="21">
        <v>0</v>
      </c>
    </row>
    <row r="586" spans="1:8">
      <c r="A586" s="4" t="s">
        <v>889</v>
      </c>
      <c r="B586" s="4">
        <v>2</v>
      </c>
      <c r="C586" s="21">
        <v>-0.80213400000000001</v>
      </c>
      <c r="D586" s="21">
        <v>-0.35856900000000003</v>
      </c>
      <c r="E586" s="21">
        <v>-0.58035199999999998</v>
      </c>
      <c r="F586" s="21">
        <v>0.42857099999999998</v>
      </c>
      <c r="G586" s="21">
        <v>0.33333299999999999</v>
      </c>
      <c r="H586" s="21">
        <v>0.4</v>
      </c>
    </row>
    <row r="587" spans="1:8">
      <c r="A587" s="4" t="s">
        <v>889</v>
      </c>
      <c r="B587" s="4">
        <v>3</v>
      </c>
      <c r="C587" s="21">
        <v>-0.80214300000000005</v>
      </c>
      <c r="D587" s="21">
        <v>-0.47082000000000002</v>
      </c>
      <c r="E587" s="21">
        <v>-0.63648099999999996</v>
      </c>
      <c r="F587" s="21">
        <v>0.28571400000000002</v>
      </c>
      <c r="G587" s="21">
        <v>0.16666700000000001</v>
      </c>
      <c r="H587" s="21">
        <v>0</v>
      </c>
    </row>
    <row r="588" spans="1:8">
      <c r="A588" s="4" t="s">
        <v>889</v>
      </c>
      <c r="B588" s="4">
        <v>4</v>
      </c>
      <c r="C588" s="21">
        <v>-0.38146600000000003</v>
      </c>
      <c r="D588" s="21">
        <v>-0.176783</v>
      </c>
      <c r="E588" s="21">
        <v>-0.27912500000000001</v>
      </c>
      <c r="F588" s="21">
        <v>0.38095200000000001</v>
      </c>
      <c r="G588" s="21">
        <v>0.41666700000000001</v>
      </c>
      <c r="H588" s="21">
        <v>0.4</v>
      </c>
    </row>
    <row r="589" spans="1:8">
      <c r="A589" s="4" t="s">
        <v>889</v>
      </c>
      <c r="B589" s="4">
        <v>5</v>
      </c>
      <c r="C589" s="21">
        <v>-0.72875199999999996</v>
      </c>
      <c r="D589" s="21">
        <v>-0.340671</v>
      </c>
      <c r="E589" s="21">
        <v>-0.53471199999999997</v>
      </c>
      <c r="F589" s="21">
        <v>0.38095200000000001</v>
      </c>
      <c r="G589" s="21">
        <v>0.16666700000000001</v>
      </c>
      <c r="H589" s="21">
        <v>0</v>
      </c>
    </row>
    <row r="590" spans="1:8">
      <c r="A590" s="4" t="s">
        <v>889</v>
      </c>
      <c r="B590" s="4">
        <v>6</v>
      </c>
      <c r="C590" s="21">
        <v>-0.82735800000000004</v>
      </c>
      <c r="D590" s="21">
        <v>-0.491836</v>
      </c>
      <c r="E590" s="21">
        <v>-0.65959699999999999</v>
      </c>
      <c r="F590" s="21">
        <v>0.52381</v>
      </c>
      <c r="G590" s="21">
        <v>0.25</v>
      </c>
      <c r="H590" s="21">
        <v>0.2</v>
      </c>
    </row>
    <row r="591" spans="1:8">
      <c r="A591" s="4" t="s">
        <v>889</v>
      </c>
      <c r="B591" s="4">
        <v>7</v>
      </c>
      <c r="C591" s="21">
        <v>-0.72313099999999997</v>
      </c>
      <c r="D591" s="21">
        <v>-0.45290599999999998</v>
      </c>
      <c r="E591" s="21">
        <v>-0.58801899999999996</v>
      </c>
      <c r="F591" s="21">
        <v>0.33333299999999999</v>
      </c>
      <c r="G591" s="21">
        <v>0.16666700000000001</v>
      </c>
      <c r="H591" s="21">
        <v>0</v>
      </c>
    </row>
    <row r="592" spans="1:8">
      <c r="A592" s="4" t="s">
        <v>889</v>
      </c>
      <c r="B592" s="4">
        <v>8</v>
      </c>
      <c r="C592" s="21">
        <v>-0.65734599999999999</v>
      </c>
      <c r="D592" s="21">
        <v>-0.382525</v>
      </c>
      <c r="E592" s="21">
        <v>-0.51993500000000004</v>
      </c>
      <c r="F592" s="21">
        <v>0.57142899999999996</v>
      </c>
      <c r="G592" s="21">
        <v>0.5</v>
      </c>
      <c r="H592" s="21">
        <v>0.4</v>
      </c>
    </row>
    <row r="593" spans="1:8">
      <c r="A593" s="4" t="s">
        <v>889</v>
      </c>
      <c r="B593" s="4">
        <v>9</v>
      </c>
      <c r="C593" s="21">
        <v>-0.83847499999999997</v>
      </c>
      <c r="D593" s="21">
        <v>-0.42505199999999999</v>
      </c>
      <c r="E593" s="21">
        <v>-0.63176399999999999</v>
      </c>
      <c r="F593" s="21">
        <v>0.52381</v>
      </c>
      <c r="G593" s="21">
        <v>0.25</v>
      </c>
      <c r="H593" s="21">
        <v>0.2</v>
      </c>
    </row>
    <row r="594" spans="1:8">
      <c r="A594" s="4" t="s">
        <v>889</v>
      </c>
      <c r="B594" s="4">
        <v>10</v>
      </c>
      <c r="C594" s="21">
        <v>-0.55282699999999996</v>
      </c>
      <c r="D594" s="21">
        <v>-0.12889200000000001</v>
      </c>
      <c r="E594" s="21">
        <v>-0.34086</v>
      </c>
      <c r="F594" s="21">
        <v>0.47619</v>
      </c>
      <c r="G594" s="21">
        <v>0.41666700000000001</v>
      </c>
      <c r="H594" s="21">
        <v>0.4</v>
      </c>
    </row>
    <row r="595" spans="1:8">
      <c r="A595" s="4" t="s">
        <v>890</v>
      </c>
      <c r="B595" s="4">
        <v>1</v>
      </c>
      <c r="C595" s="21">
        <v>-0.68568700000000005</v>
      </c>
      <c r="D595" s="21">
        <v>-0.471723</v>
      </c>
      <c r="E595" s="21">
        <v>-0.57870500000000002</v>
      </c>
      <c r="F595" s="21">
        <v>0.38095200000000001</v>
      </c>
      <c r="G595" s="21">
        <v>0.25</v>
      </c>
      <c r="H595" s="21">
        <v>0</v>
      </c>
    </row>
    <row r="596" spans="1:8">
      <c r="A596" s="4" t="s">
        <v>890</v>
      </c>
      <c r="B596" s="4">
        <v>2</v>
      </c>
      <c r="C596" s="21">
        <v>-0.83750800000000003</v>
      </c>
      <c r="D596" s="21">
        <v>-0.46181299999999997</v>
      </c>
      <c r="E596" s="21">
        <v>-0.64966100000000004</v>
      </c>
      <c r="F596" s="21">
        <v>0.42857099999999998</v>
      </c>
      <c r="G596" s="21">
        <v>8.3333000000000004E-2</v>
      </c>
      <c r="H596" s="21">
        <v>0.2</v>
      </c>
    </row>
    <row r="597" spans="1:8">
      <c r="A597" s="4" t="s">
        <v>890</v>
      </c>
      <c r="B597" s="4">
        <v>3</v>
      </c>
      <c r="C597" s="21">
        <v>-0.73221899999999995</v>
      </c>
      <c r="D597" s="21">
        <v>-0.420352</v>
      </c>
      <c r="E597" s="21">
        <v>-0.57628500000000005</v>
      </c>
      <c r="F597" s="21">
        <v>0.42857099999999998</v>
      </c>
      <c r="G597" s="21">
        <v>0.33333299999999999</v>
      </c>
      <c r="H597" s="21">
        <v>0.4</v>
      </c>
    </row>
    <row r="598" spans="1:8">
      <c r="A598" s="4" t="s">
        <v>890</v>
      </c>
      <c r="B598" s="4">
        <v>4</v>
      </c>
      <c r="C598" s="21">
        <v>-0.68292900000000001</v>
      </c>
      <c r="D598" s="21">
        <v>-0.383017</v>
      </c>
      <c r="E598" s="21">
        <v>-0.53297300000000003</v>
      </c>
      <c r="F598" s="21">
        <v>0.47619</v>
      </c>
      <c r="G598" s="21">
        <v>0.33333299999999999</v>
      </c>
      <c r="H598" s="21">
        <v>0.4</v>
      </c>
    </row>
    <row r="599" spans="1:8">
      <c r="A599" s="4" t="s">
        <v>890</v>
      </c>
      <c r="B599" s="4">
        <v>5</v>
      </c>
      <c r="C599" s="21">
        <v>-0.78380700000000003</v>
      </c>
      <c r="D599" s="21">
        <v>-0.50019999999999998</v>
      </c>
      <c r="E599" s="21">
        <v>-0.64200400000000002</v>
      </c>
      <c r="F599" s="21">
        <v>0.42857099999999998</v>
      </c>
      <c r="G599" s="21">
        <v>0.25</v>
      </c>
      <c r="H599" s="21">
        <v>0.2</v>
      </c>
    </row>
    <row r="600" spans="1:8">
      <c r="A600" s="4" t="s">
        <v>890</v>
      </c>
      <c r="B600" s="4">
        <v>6</v>
      </c>
      <c r="C600" s="21">
        <v>-1.083035</v>
      </c>
      <c r="D600" s="21">
        <v>-0.55211200000000005</v>
      </c>
      <c r="E600" s="21">
        <v>-0.81757400000000002</v>
      </c>
      <c r="F600" s="21">
        <v>0.47619</v>
      </c>
      <c r="G600" s="21">
        <v>0.25</v>
      </c>
      <c r="H600" s="21">
        <v>0.6</v>
      </c>
    </row>
    <row r="601" spans="1:8">
      <c r="A601" s="4" t="s">
        <v>890</v>
      </c>
      <c r="B601" s="4">
        <v>7</v>
      </c>
      <c r="C601" s="21">
        <v>-0.72458900000000004</v>
      </c>
      <c r="D601" s="21">
        <v>-0.352578</v>
      </c>
      <c r="E601" s="21">
        <v>-0.53858399999999995</v>
      </c>
      <c r="F601" s="21">
        <v>0.61904800000000004</v>
      </c>
      <c r="G601" s="21">
        <v>0.25</v>
      </c>
      <c r="H601" s="21">
        <v>0</v>
      </c>
    </row>
    <row r="602" spans="1:8">
      <c r="A602" s="4" t="s">
        <v>890</v>
      </c>
      <c r="B602" s="4">
        <v>8</v>
      </c>
      <c r="C602" s="21">
        <v>-0.83022099999999999</v>
      </c>
      <c r="D602" s="21">
        <v>-0.58362499999999995</v>
      </c>
      <c r="E602" s="21">
        <v>-0.70692299999999997</v>
      </c>
      <c r="F602" s="21">
        <v>0.33333299999999999</v>
      </c>
      <c r="G602" s="21">
        <v>0.25</v>
      </c>
      <c r="H602" s="21">
        <v>0.2</v>
      </c>
    </row>
    <row r="603" spans="1:8">
      <c r="A603" s="4" t="s">
        <v>890</v>
      </c>
      <c r="B603" s="4">
        <v>9</v>
      </c>
      <c r="C603" s="21">
        <v>-0.80422199999999999</v>
      </c>
      <c r="D603" s="21">
        <v>-0.39901999999999999</v>
      </c>
      <c r="E603" s="21">
        <v>-0.60162099999999996</v>
      </c>
      <c r="F603" s="21">
        <v>0.57142899999999996</v>
      </c>
      <c r="G603" s="21">
        <v>0.25</v>
      </c>
      <c r="H603" s="21">
        <v>0.2</v>
      </c>
    </row>
    <row r="604" spans="1:8">
      <c r="A604" s="4" t="s">
        <v>890</v>
      </c>
      <c r="B604" s="4">
        <v>10</v>
      </c>
      <c r="C604" s="21">
        <v>-0.81146499999999999</v>
      </c>
      <c r="D604" s="21">
        <v>-0.30945299999999998</v>
      </c>
      <c r="E604" s="21">
        <v>-0.56045900000000004</v>
      </c>
      <c r="F604" s="21">
        <v>0.38095200000000001</v>
      </c>
      <c r="G604" s="21">
        <v>0.41666700000000001</v>
      </c>
      <c r="H604" s="21">
        <v>0.2</v>
      </c>
    </row>
    <row r="605" spans="1:8">
      <c r="A605" s="4" t="s">
        <v>891</v>
      </c>
      <c r="B605" s="4">
        <v>1</v>
      </c>
      <c r="C605" s="21">
        <v>-0.68339499999999997</v>
      </c>
      <c r="D605" s="21">
        <v>-0.36243399999999998</v>
      </c>
      <c r="E605" s="21">
        <v>-0.52291399999999999</v>
      </c>
      <c r="F605" s="21">
        <v>0.42857099999999998</v>
      </c>
      <c r="G605" s="21">
        <v>0.33333299999999999</v>
      </c>
      <c r="H605" s="21">
        <v>0.2</v>
      </c>
    </row>
    <row r="606" spans="1:8">
      <c r="A606" s="4" t="s">
        <v>891</v>
      </c>
      <c r="B606" s="4">
        <v>2</v>
      </c>
      <c r="C606" s="21">
        <v>-0.80434099999999997</v>
      </c>
      <c r="D606" s="21">
        <v>-0.33808100000000002</v>
      </c>
      <c r="E606" s="21">
        <v>-0.57121100000000002</v>
      </c>
      <c r="F606" s="21">
        <v>0.33333299999999999</v>
      </c>
      <c r="G606" s="21">
        <v>8.3333000000000004E-2</v>
      </c>
      <c r="H606" s="21">
        <v>0</v>
      </c>
    </row>
    <row r="607" spans="1:8">
      <c r="A607" s="4" t="s">
        <v>891</v>
      </c>
      <c r="B607" s="4">
        <v>3</v>
      </c>
      <c r="C607" s="21">
        <v>-0.49715399999999998</v>
      </c>
      <c r="D607" s="21">
        <v>-0.34884199999999999</v>
      </c>
      <c r="E607" s="21">
        <v>-0.42299799999999999</v>
      </c>
      <c r="F607" s="21">
        <v>0.38095200000000001</v>
      </c>
      <c r="G607" s="21">
        <v>0.58333299999999999</v>
      </c>
      <c r="H607" s="21">
        <v>0.6</v>
      </c>
    </row>
    <row r="608" spans="1:8">
      <c r="A608" s="4" t="s">
        <v>891</v>
      </c>
      <c r="B608" s="4">
        <v>4</v>
      </c>
      <c r="C608" s="21">
        <v>-0.87795900000000004</v>
      </c>
      <c r="D608" s="21">
        <v>-0.32011200000000001</v>
      </c>
      <c r="E608" s="21">
        <v>-0.59903600000000001</v>
      </c>
      <c r="F608" s="21">
        <v>0.38095200000000001</v>
      </c>
      <c r="G608" s="21">
        <v>0.5</v>
      </c>
      <c r="H608" s="21">
        <v>0.4</v>
      </c>
    </row>
    <row r="609" spans="1:8">
      <c r="A609" s="4" t="s">
        <v>891</v>
      </c>
      <c r="B609" s="4">
        <v>5</v>
      </c>
      <c r="C609" s="21">
        <v>-0.85001499999999997</v>
      </c>
      <c r="D609" s="21">
        <v>-0.587669</v>
      </c>
      <c r="E609" s="21">
        <v>-0.71884199999999998</v>
      </c>
      <c r="F609" s="21">
        <v>0.52381</v>
      </c>
      <c r="G609" s="21">
        <v>0.16666700000000001</v>
      </c>
      <c r="H609" s="21">
        <v>0.2</v>
      </c>
    </row>
    <row r="610" spans="1:8">
      <c r="A610" s="4" t="s">
        <v>891</v>
      </c>
      <c r="B610" s="4">
        <v>6</v>
      </c>
      <c r="C610" s="21">
        <v>-0.92398800000000003</v>
      </c>
      <c r="D610" s="21">
        <v>-0.52865799999999996</v>
      </c>
      <c r="E610" s="21">
        <v>-0.72632300000000005</v>
      </c>
      <c r="F610" s="21">
        <v>0.33333299999999999</v>
      </c>
      <c r="G610" s="21">
        <v>8.3333000000000004E-2</v>
      </c>
      <c r="H610" s="21">
        <v>0</v>
      </c>
    </row>
    <row r="611" spans="1:8">
      <c r="A611" s="4" t="s">
        <v>891</v>
      </c>
      <c r="B611" s="4">
        <v>7</v>
      </c>
      <c r="C611" s="21">
        <v>-0.67828699999999997</v>
      </c>
      <c r="D611" s="21">
        <v>-0.238039</v>
      </c>
      <c r="E611" s="21">
        <v>-0.45816299999999999</v>
      </c>
      <c r="F611" s="21">
        <v>0.52381</v>
      </c>
      <c r="G611" s="21">
        <v>0.25</v>
      </c>
      <c r="H611" s="21">
        <v>0.2</v>
      </c>
    </row>
    <row r="612" spans="1:8">
      <c r="A612" s="4" t="s">
        <v>891</v>
      </c>
      <c r="B612" s="4">
        <v>8</v>
      </c>
      <c r="C612" s="21">
        <v>-0.86347200000000002</v>
      </c>
      <c r="D612" s="21">
        <v>-0.55775600000000003</v>
      </c>
      <c r="E612" s="21">
        <v>-0.71061399999999997</v>
      </c>
      <c r="F612" s="21">
        <v>0.28571400000000002</v>
      </c>
      <c r="G612" s="21">
        <v>0.16666700000000001</v>
      </c>
      <c r="H612" s="21">
        <v>0.4</v>
      </c>
    </row>
    <row r="613" spans="1:8">
      <c r="A613" s="4" t="s">
        <v>891</v>
      </c>
      <c r="B613" s="4">
        <v>9</v>
      </c>
      <c r="C613" s="21">
        <v>-0.96616999999999997</v>
      </c>
      <c r="D613" s="21">
        <v>-0.47674299999999997</v>
      </c>
      <c r="E613" s="21">
        <v>-0.72145700000000001</v>
      </c>
      <c r="F613" s="21">
        <v>0.19047600000000001</v>
      </c>
      <c r="G613" s="21">
        <v>8.3333000000000004E-2</v>
      </c>
      <c r="H613" s="21">
        <v>0.2</v>
      </c>
    </row>
    <row r="614" spans="1:8">
      <c r="A614" s="4" t="s">
        <v>891</v>
      </c>
      <c r="B614" s="4">
        <v>10</v>
      </c>
      <c r="C614" s="21">
        <v>-0.94784999999999997</v>
      </c>
      <c r="D614" s="21">
        <v>-0.435282</v>
      </c>
      <c r="E614" s="21">
        <v>-0.69156600000000001</v>
      </c>
      <c r="F614" s="21">
        <v>0.38095200000000001</v>
      </c>
      <c r="G614" s="21">
        <v>0.16666700000000001</v>
      </c>
      <c r="H614" s="21">
        <v>0</v>
      </c>
    </row>
    <row r="615" spans="1:8">
      <c r="A615" s="4" t="s">
        <v>892</v>
      </c>
      <c r="B615" s="4">
        <v>1</v>
      </c>
      <c r="C615" s="21">
        <v>-0.72943100000000005</v>
      </c>
      <c r="D615" s="21">
        <v>-0.52421899999999999</v>
      </c>
      <c r="E615" s="21">
        <v>-0.62682499999999997</v>
      </c>
      <c r="F615" s="21">
        <v>0.38095200000000001</v>
      </c>
      <c r="G615" s="21">
        <v>0.41666700000000001</v>
      </c>
      <c r="H615" s="21">
        <v>0.6</v>
      </c>
    </row>
    <row r="616" spans="1:8">
      <c r="A616" s="4" t="s">
        <v>892</v>
      </c>
      <c r="B616" s="4">
        <v>2</v>
      </c>
      <c r="C616" s="21">
        <v>-0.53928799999999999</v>
      </c>
      <c r="D616" s="21">
        <v>-0.44609700000000002</v>
      </c>
      <c r="E616" s="21">
        <v>-0.49269299999999999</v>
      </c>
      <c r="F616" s="21">
        <v>0.38095200000000001</v>
      </c>
      <c r="G616" s="21">
        <v>0.16666700000000001</v>
      </c>
      <c r="H616" s="21">
        <v>0.2</v>
      </c>
    </row>
    <row r="617" spans="1:8">
      <c r="A617" s="4" t="s">
        <v>892</v>
      </c>
      <c r="B617" s="4">
        <v>3</v>
      </c>
      <c r="C617" s="21">
        <v>-1.0291300000000001</v>
      </c>
      <c r="D617" s="21">
        <v>-0.589337</v>
      </c>
      <c r="E617" s="21">
        <v>-0.80923299999999998</v>
      </c>
      <c r="F617" s="21">
        <v>0.38095200000000001</v>
      </c>
      <c r="G617" s="21">
        <v>0.25</v>
      </c>
      <c r="H617" s="21">
        <v>0.4</v>
      </c>
    </row>
    <row r="618" spans="1:8">
      <c r="A618" s="4" t="s">
        <v>892</v>
      </c>
      <c r="B618" s="4">
        <v>4</v>
      </c>
      <c r="C618" s="21">
        <v>-0.74694499999999997</v>
      </c>
      <c r="D618" s="21">
        <v>-0.31265100000000001</v>
      </c>
      <c r="E618" s="21">
        <v>-0.52979799999999999</v>
      </c>
      <c r="F618" s="21">
        <v>0.33333299999999999</v>
      </c>
      <c r="G618" s="21">
        <v>0.25</v>
      </c>
      <c r="H618" s="21">
        <v>0.2</v>
      </c>
    </row>
    <row r="619" spans="1:8">
      <c r="A619" s="4" t="s">
        <v>892</v>
      </c>
      <c r="B619" s="4">
        <v>5</v>
      </c>
      <c r="C619" s="21">
        <v>-0.82087600000000005</v>
      </c>
      <c r="D619" s="21">
        <v>-0.46342899999999998</v>
      </c>
      <c r="E619" s="21">
        <v>-0.64215199999999995</v>
      </c>
      <c r="F619" s="21">
        <v>0.52381</v>
      </c>
      <c r="G619" s="21">
        <v>0.33333299999999999</v>
      </c>
      <c r="H619" s="21">
        <v>0.2</v>
      </c>
    </row>
    <row r="620" spans="1:8">
      <c r="A620" s="4" t="s">
        <v>892</v>
      </c>
      <c r="B620" s="4">
        <v>6</v>
      </c>
      <c r="C620" s="21">
        <v>-0.604657</v>
      </c>
      <c r="D620" s="21">
        <v>-0.37300100000000003</v>
      </c>
      <c r="E620" s="21">
        <v>-0.48882900000000001</v>
      </c>
      <c r="F620" s="21">
        <v>0.28571400000000002</v>
      </c>
      <c r="G620" s="21">
        <v>0.33333299999999999</v>
      </c>
      <c r="H620" s="21">
        <v>0.2</v>
      </c>
    </row>
    <row r="621" spans="1:8">
      <c r="A621" s="4" t="s">
        <v>892</v>
      </c>
      <c r="B621" s="4">
        <v>7</v>
      </c>
      <c r="C621" s="21">
        <v>-0.373726</v>
      </c>
      <c r="D621" s="21">
        <v>-0.42518699999999998</v>
      </c>
      <c r="E621" s="21">
        <v>-0.39945700000000001</v>
      </c>
      <c r="F621" s="21">
        <v>0.42857099999999998</v>
      </c>
      <c r="G621" s="21">
        <v>0.5</v>
      </c>
      <c r="H621" s="21">
        <v>0.6</v>
      </c>
    </row>
    <row r="622" spans="1:8">
      <c r="A622" s="4" t="s">
        <v>892</v>
      </c>
      <c r="B622" s="4">
        <v>8</v>
      </c>
      <c r="C622" s="21">
        <v>-0.90675099999999997</v>
      </c>
      <c r="D622" s="21">
        <v>-0.42892000000000002</v>
      </c>
      <c r="E622" s="21">
        <v>-0.66783499999999996</v>
      </c>
      <c r="F622" s="21">
        <v>0.28571400000000002</v>
      </c>
      <c r="G622" s="21">
        <v>0.25</v>
      </c>
      <c r="H622" s="21">
        <v>0.4</v>
      </c>
    </row>
    <row r="623" spans="1:8">
      <c r="A623" s="4" t="s">
        <v>892</v>
      </c>
      <c r="B623" s="4">
        <v>9</v>
      </c>
      <c r="C623" s="21">
        <v>-0.970889</v>
      </c>
      <c r="D623" s="21">
        <v>-0.39179000000000003</v>
      </c>
      <c r="E623" s="21">
        <v>-0.68133900000000003</v>
      </c>
      <c r="F623" s="21">
        <v>0.38095200000000001</v>
      </c>
      <c r="G623" s="21">
        <v>8.3333000000000004E-2</v>
      </c>
      <c r="H623" s="21">
        <v>0.2</v>
      </c>
    </row>
    <row r="624" spans="1:8">
      <c r="A624" s="4" t="s">
        <v>892</v>
      </c>
      <c r="B624" s="4">
        <v>10</v>
      </c>
      <c r="C624" s="21">
        <v>-0.78057600000000005</v>
      </c>
      <c r="D624" s="21">
        <v>-0.52136700000000002</v>
      </c>
      <c r="E624" s="21">
        <v>-0.650972</v>
      </c>
      <c r="F624" s="21">
        <v>0.33333299999999999</v>
      </c>
      <c r="G624" s="21">
        <v>0.25</v>
      </c>
      <c r="H624" s="21">
        <v>0.4</v>
      </c>
    </row>
    <row r="625" spans="1:8">
      <c r="A625" s="4" t="s">
        <v>893</v>
      </c>
      <c r="B625" s="4">
        <v>1</v>
      </c>
      <c r="C625" s="21">
        <v>-0.68726500000000001</v>
      </c>
      <c r="D625" s="21">
        <v>-0.492255</v>
      </c>
      <c r="E625" s="21">
        <v>-0.58975999999999995</v>
      </c>
      <c r="F625" s="21">
        <v>0.42857099999999998</v>
      </c>
      <c r="G625" s="21">
        <v>0.33333299999999999</v>
      </c>
      <c r="H625" s="21">
        <v>0.2</v>
      </c>
    </row>
    <row r="626" spans="1:8">
      <c r="A626" s="4" t="s">
        <v>893</v>
      </c>
      <c r="B626" s="4">
        <v>2</v>
      </c>
      <c r="C626" s="21">
        <v>-0.80732800000000005</v>
      </c>
      <c r="D626" s="21">
        <v>-0.44036500000000001</v>
      </c>
      <c r="E626" s="21">
        <v>-0.62384700000000004</v>
      </c>
      <c r="F626" s="21">
        <v>0.238095</v>
      </c>
      <c r="G626" s="21">
        <v>0.16666700000000001</v>
      </c>
      <c r="H626" s="21">
        <v>0.2</v>
      </c>
    </row>
    <row r="627" spans="1:8">
      <c r="A627" s="4" t="s">
        <v>893</v>
      </c>
      <c r="B627" s="4">
        <v>3</v>
      </c>
      <c r="C627" s="21">
        <v>-0.80371300000000001</v>
      </c>
      <c r="D627" s="21">
        <v>-0.50464799999999999</v>
      </c>
      <c r="E627" s="21">
        <v>-0.65418100000000001</v>
      </c>
      <c r="F627" s="21">
        <v>0.28571400000000002</v>
      </c>
      <c r="G627" s="21">
        <v>0.25</v>
      </c>
      <c r="H627" s="21">
        <v>0.2</v>
      </c>
    </row>
    <row r="628" spans="1:8">
      <c r="A628" s="4" t="s">
        <v>893</v>
      </c>
      <c r="B628" s="4">
        <v>4</v>
      </c>
      <c r="C628" s="21">
        <v>-0.66339099999999995</v>
      </c>
      <c r="D628" s="21">
        <v>-0.29294999999999999</v>
      </c>
      <c r="E628" s="21">
        <v>-0.47816999999999998</v>
      </c>
      <c r="F628" s="21">
        <v>0.61904800000000004</v>
      </c>
      <c r="G628" s="21">
        <v>0.33333299999999999</v>
      </c>
      <c r="H628" s="21">
        <v>0.2</v>
      </c>
    </row>
    <row r="629" spans="1:8">
      <c r="A629" s="4" t="s">
        <v>893</v>
      </c>
      <c r="B629" s="4">
        <v>5</v>
      </c>
      <c r="C629" s="21">
        <v>-0.82027499999999998</v>
      </c>
      <c r="D629" s="21">
        <v>-0.63542600000000005</v>
      </c>
      <c r="E629" s="21">
        <v>-0.72785</v>
      </c>
      <c r="F629" s="21">
        <v>0.52381</v>
      </c>
      <c r="G629" s="21">
        <v>0.33333299999999999</v>
      </c>
      <c r="H629" s="21">
        <v>0.2</v>
      </c>
    </row>
    <row r="630" spans="1:8">
      <c r="A630" s="4" t="s">
        <v>893</v>
      </c>
      <c r="B630" s="4">
        <v>6</v>
      </c>
      <c r="C630" s="21">
        <v>-0.80528900000000003</v>
      </c>
      <c r="D630" s="21">
        <v>-0.43235800000000002</v>
      </c>
      <c r="E630" s="21">
        <v>-0.61882400000000004</v>
      </c>
      <c r="F630" s="21">
        <v>0.57142899999999996</v>
      </c>
      <c r="G630" s="21">
        <v>0.16666700000000001</v>
      </c>
      <c r="H630" s="21">
        <v>0.2</v>
      </c>
    </row>
    <row r="631" spans="1:8">
      <c r="A631" s="4" t="s">
        <v>893</v>
      </c>
      <c r="B631" s="4">
        <v>7</v>
      </c>
      <c r="C631" s="21">
        <v>-0.61853499999999995</v>
      </c>
      <c r="D631" s="21">
        <v>-0.22620799999999999</v>
      </c>
      <c r="E631" s="21">
        <v>-0.42237200000000003</v>
      </c>
      <c r="F631" s="21">
        <v>0.42857099999999998</v>
      </c>
      <c r="G631" s="21">
        <v>0.41666700000000001</v>
      </c>
      <c r="H631" s="21">
        <v>0.4</v>
      </c>
    </row>
    <row r="632" spans="1:8">
      <c r="A632" s="4" t="s">
        <v>893</v>
      </c>
      <c r="B632" s="4">
        <v>8</v>
      </c>
      <c r="C632" s="21">
        <v>-0.72737600000000002</v>
      </c>
      <c r="D632" s="21">
        <v>-0.51570199999999999</v>
      </c>
      <c r="E632" s="21">
        <v>-0.62153899999999995</v>
      </c>
      <c r="F632" s="21">
        <v>0.28571400000000002</v>
      </c>
      <c r="G632" s="21">
        <v>8.3333000000000004E-2</v>
      </c>
      <c r="H632" s="21">
        <v>0.2</v>
      </c>
    </row>
    <row r="633" spans="1:8">
      <c r="A633" s="4" t="s">
        <v>893</v>
      </c>
      <c r="B633" s="4">
        <v>9</v>
      </c>
      <c r="C633" s="21">
        <v>-0.90406299999999995</v>
      </c>
      <c r="D633" s="21">
        <v>-0.52434800000000004</v>
      </c>
      <c r="E633" s="21">
        <v>-0.71420499999999998</v>
      </c>
      <c r="F633" s="21">
        <v>0.28571400000000002</v>
      </c>
      <c r="G633" s="21">
        <v>0.25</v>
      </c>
      <c r="H633" s="21">
        <v>0.2</v>
      </c>
    </row>
    <row r="634" spans="1:8">
      <c r="A634" s="4" t="s">
        <v>893</v>
      </c>
      <c r="B634" s="4">
        <v>10</v>
      </c>
      <c r="C634" s="21">
        <v>-0.84258299999999997</v>
      </c>
      <c r="D634" s="21">
        <v>-0.42172999999999999</v>
      </c>
      <c r="E634" s="21">
        <v>-0.63215699999999997</v>
      </c>
      <c r="F634" s="21">
        <v>0.47619</v>
      </c>
      <c r="G634" s="21">
        <v>0.25</v>
      </c>
      <c r="H634" s="21">
        <v>0.2</v>
      </c>
    </row>
    <row r="635" spans="1:8">
      <c r="A635" s="4" t="s">
        <v>894</v>
      </c>
      <c r="B635" s="4">
        <v>1</v>
      </c>
      <c r="C635" s="21">
        <v>-0.81029600000000002</v>
      </c>
      <c r="D635" s="21">
        <v>-0.49913999999999997</v>
      </c>
      <c r="E635" s="21">
        <v>-0.65471800000000002</v>
      </c>
      <c r="F635" s="21">
        <v>0.2</v>
      </c>
      <c r="G635" s="21">
        <v>0.4</v>
      </c>
      <c r="H635" s="21">
        <v>0.2</v>
      </c>
    </row>
    <row r="636" spans="1:8">
      <c r="A636" s="4" t="s">
        <v>894</v>
      </c>
      <c r="B636" s="4">
        <v>2</v>
      </c>
      <c r="C636" s="21">
        <v>-0.73322600000000004</v>
      </c>
      <c r="D636" s="21">
        <v>-0.31739000000000001</v>
      </c>
      <c r="E636" s="21">
        <v>-0.525308</v>
      </c>
      <c r="F636" s="21">
        <v>0.2</v>
      </c>
      <c r="G636" s="21">
        <v>0.3</v>
      </c>
      <c r="H636" s="21">
        <v>0.2</v>
      </c>
    </row>
    <row r="637" spans="1:8">
      <c r="A637" s="4" t="s">
        <v>894</v>
      </c>
      <c r="B637" s="4">
        <v>3</v>
      </c>
      <c r="C637" s="21">
        <v>-0.764486</v>
      </c>
      <c r="D637" s="21">
        <v>-0.48863400000000001</v>
      </c>
      <c r="E637" s="21">
        <v>-0.62656000000000001</v>
      </c>
      <c r="F637" s="21">
        <v>0.5</v>
      </c>
      <c r="G637" s="21">
        <v>0.3</v>
      </c>
      <c r="H637" s="21">
        <v>0.2</v>
      </c>
    </row>
    <row r="638" spans="1:8">
      <c r="A638" s="4" t="s">
        <v>894</v>
      </c>
      <c r="B638" s="4">
        <v>4</v>
      </c>
      <c r="C638" s="21">
        <v>-0.64093900000000004</v>
      </c>
      <c r="D638" s="21">
        <v>-0.12527199999999999</v>
      </c>
      <c r="E638" s="21">
        <v>-0.38310499999999997</v>
      </c>
      <c r="F638" s="21">
        <v>0.35</v>
      </c>
      <c r="G638" s="21">
        <v>0.3</v>
      </c>
      <c r="H638" s="21">
        <v>0.2</v>
      </c>
    </row>
    <row r="639" spans="1:8">
      <c r="A639" s="4" t="s">
        <v>894</v>
      </c>
      <c r="B639" s="4">
        <v>5</v>
      </c>
      <c r="C639" s="21">
        <v>-0.78541099999999997</v>
      </c>
      <c r="D639" s="21">
        <v>-0.29205300000000001</v>
      </c>
      <c r="E639" s="21">
        <v>-0.53873199999999999</v>
      </c>
      <c r="F639" s="21">
        <v>0.25</v>
      </c>
      <c r="G639" s="21">
        <v>0</v>
      </c>
      <c r="H639" s="21">
        <v>0</v>
      </c>
    </row>
    <row r="640" spans="1:8">
      <c r="A640" s="4" t="s">
        <v>894</v>
      </c>
      <c r="B640" s="4">
        <v>6</v>
      </c>
      <c r="C640" s="21">
        <v>-0.53307300000000002</v>
      </c>
      <c r="D640" s="21">
        <v>-0.32978400000000002</v>
      </c>
      <c r="E640" s="21">
        <v>-0.43142900000000001</v>
      </c>
      <c r="F640" s="21">
        <v>0.4</v>
      </c>
      <c r="G640" s="21">
        <v>0.3</v>
      </c>
      <c r="H640" s="21">
        <v>0.2</v>
      </c>
    </row>
    <row r="641" spans="1:8">
      <c r="A641" s="4" t="s">
        <v>894</v>
      </c>
      <c r="B641" s="4">
        <v>7</v>
      </c>
      <c r="C641" s="21">
        <v>-0.78750699999999996</v>
      </c>
      <c r="D641" s="21">
        <v>-0.39808300000000002</v>
      </c>
      <c r="E641" s="21">
        <v>-0.59279499999999996</v>
      </c>
      <c r="F641" s="21">
        <v>0.15</v>
      </c>
      <c r="G641" s="21">
        <v>0.4</v>
      </c>
      <c r="H641" s="21">
        <v>0.2</v>
      </c>
    </row>
    <row r="642" spans="1:8">
      <c r="A642" s="4" t="s">
        <v>894</v>
      </c>
      <c r="B642" s="4">
        <v>8</v>
      </c>
      <c r="C642" s="21">
        <v>-1.008813</v>
      </c>
      <c r="D642" s="21">
        <v>-0.776559</v>
      </c>
      <c r="E642" s="21">
        <v>-0.89268599999999998</v>
      </c>
      <c r="F642" s="21">
        <v>0.55000000000000004</v>
      </c>
      <c r="G642" s="21">
        <v>0.1</v>
      </c>
      <c r="H642" s="21">
        <v>0.2</v>
      </c>
    </row>
    <row r="643" spans="1:8">
      <c r="A643" s="4" t="s">
        <v>894</v>
      </c>
      <c r="B643" s="4">
        <v>9</v>
      </c>
      <c r="C643" s="21">
        <v>-0.633741</v>
      </c>
      <c r="D643" s="21">
        <v>-0.27158399999999999</v>
      </c>
      <c r="E643" s="21">
        <v>-0.45266299999999998</v>
      </c>
      <c r="F643" s="21">
        <v>0.45</v>
      </c>
      <c r="G643" s="21">
        <v>0.4</v>
      </c>
      <c r="H643" s="21">
        <v>0.4</v>
      </c>
    </row>
    <row r="644" spans="1:8">
      <c r="A644" s="4" t="s">
        <v>894</v>
      </c>
      <c r="B644" s="4">
        <v>10</v>
      </c>
      <c r="C644" s="21">
        <v>-0.54495700000000002</v>
      </c>
      <c r="D644" s="21">
        <v>-0.33050499999999999</v>
      </c>
      <c r="E644" s="21">
        <v>-0.43773099999999998</v>
      </c>
      <c r="F644" s="21">
        <v>0.4</v>
      </c>
      <c r="G644" s="21">
        <v>0.2</v>
      </c>
      <c r="H644" s="21">
        <v>0.2</v>
      </c>
    </row>
    <row r="645" spans="1:8">
      <c r="A645" s="4" t="s">
        <v>895</v>
      </c>
      <c r="B645" s="4">
        <v>1</v>
      </c>
      <c r="C645" s="21">
        <v>-0.86420799999999998</v>
      </c>
      <c r="D645" s="21">
        <v>-0.61790699999999998</v>
      </c>
      <c r="E645" s="21">
        <v>-0.74105799999999999</v>
      </c>
      <c r="F645" s="21">
        <v>0.238095</v>
      </c>
      <c r="G645" s="21">
        <v>0.25</v>
      </c>
      <c r="H645" s="21">
        <v>0.2</v>
      </c>
    </row>
    <row r="646" spans="1:8">
      <c r="A646" s="4" t="s">
        <v>895</v>
      </c>
      <c r="B646" s="4">
        <v>2</v>
      </c>
      <c r="C646" s="21">
        <v>-0.48085299999999997</v>
      </c>
      <c r="D646" s="21">
        <v>-0.403644</v>
      </c>
      <c r="E646" s="21">
        <v>-0.442249</v>
      </c>
      <c r="F646" s="21">
        <v>0.38095200000000001</v>
      </c>
      <c r="G646" s="21">
        <v>0.33333299999999999</v>
      </c>
      <c r="H646" s="21">
        <v>0.4</v>
      </c>
    </row>
    <row r="647" spans="1:8">
      <c r="A647" s="4" t="s">
        <v>895</v>
      </c>
      <c r="B647" s="4">
        <v>3</v>
      </c>
      <c r="C647" s="21">
        <v>-0.72065999999999997</v>
      </c>
      <c r="D647" s="21">
        <v>-0.42964400000000003</v>
      </c>
      <c r="E647" s="21">
        <v>-0.575152</v>
      </c>
      <c r="F647" s="21">
        <v>0.47619</v>
      </c>
      <c r="G647" s="21">
        <v>0.33333299999999999</v>
      </c>
      <c r="H647" s="21">
        <v>0.4</v>
      </c>
    </row>
    <row r="648" spans="1:8">
      <c r="A648" s="4" t="s">
        <v>895</v>
      </c>
      <c r="B648" s="4">
        <v>4</v>
      </c>
      <c r="C648" s="21">
        <v>-0.80151099999999997</v>
      </c>
      <c r="D648" s="21">
        <v>-0.41690700000000003</v>
      </c>
      <c r="E648" s="21">
        <v>-0.609209</v>
      </c>
      <c r="F648" s="21">
        <v>0.28571400000000002</v>
      </c>
      <c r="G648" s="21">
        <v>0.25</v>
      </c>
      <c r="H648" s="21">
        <v>0.2</v>
      </c>
    </row>
    <row r="649" spans="1:8">
      <c r="A649" s="4" t="s">
        <v>895</v>
      </c>
      <c r="B649" s="4">
        <v>5</v>
      </c>
      <c r="C649" s="21">
        <v>-0.59898099999999999</v>
      </c>
      <c r="D649" s="21">
        <v>-0.43173</v>
      </c>
      <c r="E649" s="21">
        <v>-0.51535500000000001</v>
      </c>
      <c r="F649" s="21">
        <v>0.28571400000000002</v>
      </c>
      <c r="G649" s="21">
        <v>0.33333299999999999</v>
      </c>
      <c r="H649" s="21">
        <v>0.6</v>
      </c>
    </row>
    <row r="650" spans="1:8">
      <c r="A650" s="4" t="s">
        <v>895</v>
      </c>
      <c r="B650" s="4">
        <v>6</v>
      </c>
      <c r="C650" s="21">
        <v>-0.99060700000000002</v>
      </c>
      <c r="D650" s="21">
        <v>-0.34767199999999998</v>
      </c>
      <c r="E650" s="21">
        <v>-0.66913999999999996</v>
      </c>
      <c r="F650" s="21">
        <v>0.19047600000000001</v>
      </c>
      <c r="G650" s="21">
        <v>8.3333000000000004E-2</v>
      </c>
      <c r="H650" s="21">
        <v>0</v>
      </c>
    </row>
    <row r="651" spans="1:8">
      <c r="A651" s="4" t="s">
        <v>895</v>
      </c>
      <c r="B651" s="4">
        <v>7</v>
      </c>
      <c r="C651" s="21">
        <v>-0.81918899999999994</v>
      </c>
      <c r="D651" s="21">
        <v>-0.37543700000000002</v>
      </c>
      <c r="E651" s="21">
        <v>-0.59731299999999998</v>
      </c>
      <c r="F651" s="21">
        <v>0.238095</v>
      </c>
      <c r="G651" s="21">
        <v>0.25</v>
      </c>
      <c r="H651" s="21">
        <v>0.2</v>
      </c>
    </row>
    <row r="652" spans="1:8">
      <c r="A652" s="4" t="s">
        <v>895</v>
      </c>
      <c r="B652" s="4">
        <v>8</v>
      </c>
      <c r="C652" s="21">
        <v>-0.78578899999999996</v>
      </c>
      <c r="D652" s="21">
        <v>-0.59452000000000005</v>
      </c>
      <c r="E652" s="21">
        <v>-0.69015499999999996</v>
      </c>
      <c r="F652" s="21">
        <v>0.38095200000000001</v>
      </c>
      <c r="G652" s="21">
        <v>0.16666700000000001</v>
      </c>
      <c r="H652" s="21">
        <v>0.2</v>
      </c>
    </row>
    <row r="653" spans="1:8">
      <c r="A653" s="4" t="s">
        <v>895</v>
      </c>
      <c r="B653" s="4">
        <v>9</v>
      </c>
      <c r="C653" s="21">
        <v>-0.90460700000000005</v>
      </c>
      <c r="D653" s="21">
        <v>-0.52107899999999996</v>
      </c>
      <c r="E653" s="21">
        <v>-0.712843</v>
      </c>
      <c r="F653" s="21">
        <v>0.238095</v>
      </c>
      <c r="G653" s="21">
        <v>8.3333000000000004E-2</v>
      </c>
      <c r="H653" s="21">
        <v>0.2</v>
      </c>
    </row>
    <row r="654" spans="1:8">
      <c r="A654" s="4" t="s">
        <v>895</v>
      </c>
      <c r="B654" s="4">
        <v>10</v>
      </c>
      <c r="C654" s="21">
        <v>-0.62796300000000005</v>
      </c>
      <c r="D654" s="21">
        <v>-0.33251700000000001</v>
      </c>
      <c r="E654" s="21">
        <v>-0.48024</v>
      </c>
      <c r="F654" s="21">
        <v>0.47619</v>
      </c>
      <c r="G654" s="21">
        <v>0.25</v>
      </c>
      <c r="H654" s="21">
        <v>0.2</v>
      </c>
    </row>
    <row r="655" spans="1:8">
      <c r="A655" s="4" t="s">
        <v>896</v>
      </c>
      <c r="B655" s="4">
        <v>1</v>
      </c>
      <c r="C655" s="21">
        <v>-0.80862800000000001</v>
      </c>
      <c r="D655" s="21">
        <v>-0.52358099999999996</v>
      </c>
      <c r="E655" s="21">
        <v>-0.66610400000000003</v>
      </c>
      <c r="F655" s="21">
        <v>0.33333299999999999</v>
      </c>
      <c r="G655" s="21">
        <v>0.25</v>
      </c>
      <c r="H655" s="21">
        <v>0.2</v>
      </c>
    </row>
    <row r="656" spans="1:8">
      <c r="A656" s="4" t="s">
        <v>896</v>
      </c>
      <c r="B656" s="4">
        <v>2</v>
      </c>
      <c r="C656" s="21">
        <v>-0.89278400000000002</v>
      </c>
      <c r="D656" s="21">
        <v>-0.50090599999999996</v>
      </c>
      <c r="E656" s="21">
        <v>-0.69684500000000005</v>
      </c>
      <c r="F656" s="21">
        <v>0.52381</v>
      </c>
      <c r="G656" s="21">
        <v>8.3333000000000004E-2</v>
      </c>
      <c r="H656" s="21">
        <v>0.2</v>
      </c>
    </row>
    <row r="657" spans="1:8">
      <c r="A657" s="4" t="s">
        <v>896</v>
      </c>
      <c r="B657" s="4">
        <v>3</v>
      </c>
      <c r="C657" s="21">
        <v>-0.75497199999999998</v>
      </c>
      <c r="D657" s="21">
        <v>-0.54043600000000003</v>
      </c>
      <c r="E657" s="21">
        <v>-0.64770399999999995</v>
      </c>
      <c r="F657" s="21">
        <v>0.28571400000000002</v>
      </c>
      <c r="G657" s="21">
        <v>0.41666700000000001</v>
      </c>
      <c r="H657" s="21">
        <v>0.2</v>
      </c>
    </row>
    <row r="658" spans="1:8">
      <c r="A658" s="4" t="s">
        <v>896</v>
      </c>
      <c r="B658" s="4">
        <v>4</v>
      </c>
      <c r="C658" s="21">
        <v>-0.78878000000000004</v>
      </c>
      <c r="D658" s="21">
        <v>-0.50384099999999998</v>
      </c>
      <c r="E658" s="21">
        <v>-0.64631099999999997</v>
      </c>
      <c r="F658" s="21">
        <v>0.33333299999999999</v>
      </c>
      <c r="G658" s="21">
        <v>8.3333000000000004E-2</v>
      </c>
      <c r="H658" s="21">
        <v>0.2</v>
      </c>
    </row>
    <row r="659" spans="1:8">
      <c r="A659" s="4" t="s">
        <v>896</v>
      </c>
      <c r="B659" s="4">
        <v>5</v>
      </c>
      <c r="C659" s="21">
        <v>-0.83597999999999995</v>
      </c>
      <c r="D659" s="21">
        <v>-0.37547799999999998</v>
      </c>
      <c r="E659" s="21">
        <v>-0.60572899999999996</v>
      </c>
      <c r="F659" s="21">
        <v>0.42857099999999998</v>
      </c>
      <c r="G659" s="21">
        <v>0.33333299999999999</v>
      </c>
      <c r="H659" s="21">
        <v>0.2</v>
      </c>
    </row>
    <row r="660" spans="1:8">
      <c r="A660" s="4" t="s">
        <v>896</v>
      </c>
      <c r="B660" s="4">
        <v>6</v>
      </c>
      <c r="C660" s="21">
        <v>-0.66772900000000002</v>
      </c>
      <c r="D660" s="21">
        <v>-0.39519399999999999</v>
      </c>
      <c r="E660" s="21">
        <v>-0.53146199999999999</v>
      </c>
      <c r="F660" s="21">
        <v>0.61904800000000004</v>
      </c>
      <c r="G660" s="21">
        <v>0.25</v>
      </c>
      <c r="H660" s="21">
        <v>0.2</v>
      </c>
    </row>
    <row r="661" spans="1:8">
      <c r="A661" s="4" t="s">
        <v>896</v>
      </c>
      <c r="B661" s="4">
        <v>7</v>
      </c>
      <c r="C661" s="21">
        <v>-0.55906199999999995</v>
      </c>
      <c r="D661" s="21">
        <v>-0.31081399999999998</v>
      </c>
      <c r="E661" s="21">
        <v>-0.43493799999999999</v>
      </c>
      <c r="F661" s="21">
        <v>0.52381</v>
      </c>
      <c r="G661" s="21">
        <v>0.5</v>
      </c>
      <c r="H661" s="21">
        <v>0.4</v>
      </c>
    </row>
    <row r="662" spans="1:8">
      <c r="A662" s="4" t="s">
        <v>896</v>
      </c>
      <c r="B662" s="4">
        <v>8</v>
      </c>
      <c r="C662" s="21">
        <v>-0.94917799999999997</v>
      </c>
      <c r="D662" s="21">
        <v>-0.51761199999999996</v>
      </c>
      <c r="E662" s="21">
        <v>-0.73339500000000002</v>
      </c>
      <c r="F662" s="21">
        <v>0.42857099999999998</v>
      </c>
      <c r="G662" s="21">
        <v>0.25</v>
      </c>
      <c r="H662" s="21">
        <v>0.2</v>
      </c>
    </row>
    <row r="663" spans="1:8">
      <c r="A663" s="4" t="s">
        <v>896</v>
      </c>
      <c r="B663" s="4">
        <v>9</v>
      </c>
      <c r="C663" s="21">
        <v>-0.76993500000000004</v>
      </c>
      <c r="D663" s="21">
        <v>-0.23714199999999999</v>
      </c>
      <c r="E663" s="21">
        <v>-0.50353899999999996</v>
      </c>
      <c r="F663" s="21">
        <v>0.52381</v>
      </c>
      <c r="G663" s="21">
        <v>0.25</v>
      </c>
      <c r="H663" s="21">
        <v>0</v>
      </c>
    </row>
    <row r="664" spans="1:8">
      <c r="A664" s="4" t="s">
        <v>896</v>
      </c>
      <c r="B664" s="4">
        <v>10</v>
      </c>
      <c r="C664" s="21">
        <v>-0.88146800000000003</v>
      </c>
      <c r="D664" s="21">
        <v>-0.30305500000000002</v>
      </c>
      <c r="E664" s="21">
        <v>-0.59226100000000004</v>
      </c>
      <c r="F664" s="21">
        <v>0.47619</v>
      </c>
      <c r="G664" s="21">
        <v>0.25</v>
      </c>
      <c r="H664" s="21">
        <v>0.4</v>
      </c>
    </row>
    <row r="665" spans="1:8">
      <c r="A665" s="4" t="s">
        <v>897</v>
      </c>
      <c r="B665" s="4">
        <v>1</v>
      </c>
      <c r="C665" s="21">
        <v>-0.76153400000000004</v>
      </c>
      <c r="D665" s="21">
        <v>-0.53869800000000001</v>
      </c>
      <c r="E665" s="21">
        <v>-0.65011600000000003</v>
      </c>
      <c r="F665" s="21">
        <v>0.61904800000000004</v>
      </c>
      <c r="G665" s="21">
        <v>0.25</v>
      </c>
      <c r="H665" s="21">
        <v>0.2</v>
      </c>
    </row>
    <row r="666" spans="1:8">
      <c r="A666" s="4" t="s">
        <v>897</v>
      </c>
      <c r="B666" s="4">
        <v>2</v>
      </c>
      <c r="C666" s="21">
        <v>-1.059348</v>
      </c>
      <c r="D666" s="21">
        <v>-0.45676899999999998</v>
      </c>
      <c r="E666" s="21">
        <v>-0.75805800000000001</v>
      </c>
      <c r="F666" s="21">
        <v>0.238095</v>
      </c>
      <c r="G666" s="21">
        <v>8.3333000000000004E-2</v>
      </c>
      <c r="H666" s="21">
        <v>0</v>
      </c>
    </row>
    <row r="667" spans="1:8">
      <c r="A667" s="4" t="s">
        <v>897</v>
      </c>
      <c r="B667" s="4">
        <v>3</v>
      </c>
      <c r="C667" s="21">
        <v>-0.43777100000000002</v>
      </c>
      <c r="D667" s="21">
        <v>-0.26553399999999999</v>
      </c>
      <c r="E667" s="21">
        <v>-0.35165200000000002</v>
      </c>
      <c r="F667" s="21">
        <v>0.42857099999999998</v>
      </c>
      <c r="G667" s="21">
        <v>0.5</v>
      </c>
      <c r="H667" s="21">
        <v>0.6</v>
      </c>
    </row>
    <row r="668" spans="1:8">
      <c r="A668" s="4" t="s">
        <v>897</v>
      </c>
      <c r="B668" s="4">
        <v>4</v>
      </c>
      <c r="C668" s="21">
        <v>-0.89796299999999996</v>
      </c>
      <c r="D668" s="21">
        <v>-0.60442600000000002</v>
      </c>
      <c r="E668" s="21">
        <v>-0.75119499999999995</v>
      </c>
      <c r="F668" s="21">
        <v>0.52381</v>
      </c>
      <c r="G668" s="21">
        <v>0.16666700000000001</v>
      </c>
      <c r="H668" s="21">
        <v>0.2</v>
      </c>
    </row>
    <row r="669" spans="1:8">
      <c r="A669" s="4" t="s">
        <v>897</v>
      </c>
      <c r="B669" s="4">
        <v>5</v>
      </c>
      <c r="C669" s="21">
        <v>-0.77092400000000005</v>
      </c>
      <c r="D669" s="21">
        <v>-0.45770300000000003</v>
      </c>
      <c r="E669" s="21">
        <v>-0.61431400000000003</v>
      </c>
      <c r="F669" s="21">
        <v>0.42857099999999998</v>
      </c>
      <c r="G669" s="21">
        <v>8.3333000000000004E-2</v>
      </c>
      <c r="H669" s="21">
        <v>0</v>
      </c>
    </row>
    <row r="670" spans="1:8">
      <c r="A670" s="4" t="s">
        <v>897</v>
      </c>
      <c r="B670" s="4">
        <v>6</v>
      </c>
      <c r="C670" s="21">
        <v>-0.98132399999999997</v>
      </c>
      <c r="D670" s="21">
        <v>-0.47878599999999999</v>
      </c>
      <c r="E670" s="21">
        <v>-0.73005500000000001</v>
      </c>
      <c r="F670" s="21">
        <v>0.42857099999999998</v>
      </c>
      <c r="G670" s="21">
        <v>8.3333000000000004E-2</v>
      </c>
      <c r="H670" s="21">
        <v>0</v>
      </c>
    </row>
    <row r="671" spans="1:8">
      <c r="A671" s="4" t="s">
        <v>897</v>
      </c>
      <c r="B671" s="4">
        <v>7</v>
      </c>
      <c r="C671" s="21">
        <v>-0.75428600000000001</v>
      </c>
      <c r="D671" s="21">
        <v>-0.37753900000000001</v>
      </c>
      <c r="E671" s="21">
        <v>-0.56591199999999997</v>
      </c>
      <c r="F671" s="21">
        <v>0.38095200000000001</v>
      </c>
      <c r="G671" s="21">
        <v>0.16666700000000001</v>
      </c>
      <c r="H671" s="21">
        <v>0.2</v>
      </c>
    </row>
    <row r="672" spans="1:8">
      <c r="A672" s="4" t="s">
        <v>897</v>
      </c>
      <c r="B672" s="4">
        <v>8</v>
      </c>
      <c r="C672" s="21">
        <v>-0.79950399999999999</v>
      </c>
      <c r="D672" s="21">
        <v>-0.367865</v>
      </c>
      <c r="E672" s="21">
        <v>-0.58368500000000001</v>
      </c>
      <c r="F672" s="21">
        <v>0.28571400000000002</v>
      </c>
      <c r="G672" s="21">
        <v>8.3333000000000004E-2</v>
      </c>
      <c r="H672" s="21">
        <v>0</v>
      </c>
    </row>
    <row r="673" spans="1:8">
      <c r="A673" s="4" t="s">
        <v>897</v>
      </c>
      <c r="B673" s="4">
        <v>9</v>
      </c>
      <c r="C673" s="21">
        <v>-1.0497570000000001</v>
      </c>
      <c r="D673" s="21">
        <v>-0.46368599999999999</v>
      </c>
      <c r="E673" s="21">
        <v>-0.75672099999999998</v>
      </c>
      <c r="F673" s="21">
        <v>0.47619</v>
      </c>
      <c r="G673" s="21">
        <v>0.16666700000000001</v>
      </c>
      <c r="H673" s="21">
        <v>0.4</v>
      </c>
    </row>
    <row r="674" spans="1:8">
      <c r="A674" s="4" t="s">
        <v>897</v>
      </c>
      <c r="B674" s="4">
        <v>10</v>
      </c>
      <c r="C674" s="21">
        <v>-0.85333599999999998</v>
      </c>
      <c r="D674" s="21">
        <v>-0.460478</v>
      </c>
      <c r="E674" s="21">
        <v>-0.65690700000000002</v>
      </c>
      <c r="F674" s="21">
        <v>0.28571400000000002</v>
      </c>
      <c r="G674" s="21">
        <v>0.25</v>
      </c>
      <c r="H674" s="21">
        <v>0.2</v>
      </c>
    </row>
    <row r="675" spans="1:8">
      <c r="A675" s="4" t="s">
        <v>898</v>
      </c>
      <c r="B675" s="4">
        <v>1</v>
      </c>
      <c r="C675" s="21">
        <v>-0.85631000000000002</v>
      </c>
      <c r="D675" s="21">
        <v>-0.55591299999999999</v>
      </c>
      <c r="E675" s="21">
        <v>-0.70611199999999996</v>
      </c>
      <c r="F675" s="21">
        <v>0.42857099999999998</v>
      </c>
      <c r="G675" s="21">
        <v>8.3333000000000004E-2</v>
      </c>
      <c r="H675" s="21">
        <v>0.2</v>
      </c>
    </row>
    <row r="676" spans="1:8">
      <c r="A676" s="4" t="s">
        <v>898</v>
      </c>
      <c r="B676" s="4">
        <v>2</v>
      </c>
      <c r="C676" s="21">
        <v>-0.73340499999999997</v>
      </c>
      <c r="D676" s="21">
        <v>-0.43755699999999997</v>
      </c>
      <c r="E676" s="21">
        <v>-0.58548100000000003</v>
      </c>
      <c r="F676" s="21">
        <v>0.57142899999999996</v>
      </c>
      <c r="G676" s="21">
        <v>0.33333299999999999</v>
      </c>
      <c r="H676" s="21">
        <v>0.6</v>
      </c>
    </row>
    <row r="677" spans="1:8">
      <c r="A677" s="4" t="s">
        <v>898</v>
      </c>
      <c r="B677" s="4">
        <v>3</v>
      </c>
      <c r="C677" s="21">
        <v>-1.002953</v>
      </c>
      <c r="D677" s="21">
        <v>-0.449243</v>
      </c>
      <c r="E677" s="21">
        <v>-0.72609800000000002</v>
      </c>
      <c r="F677" s="21">
        <v>0.38095200000000001</v>
      </c>
      <c r="G677" s="21">
        <v>0.25</v>
      </c>
      <c r="H677" s="21">
        <v>0.4</v>
      </c>
    </row>
    <row r="678" spans="1:8">
      <c r="A678" s="4" t="s">
        <v>898</v>
      </c>
      <c r="B678" s="4">
        <v>4</v>
      </c>
      <c r="C678" s="21">
        <v>-0.66921799999999998</v>
      </c>
      <c r="D678" s="21">
        <v>-0.431479</v>
      </c>
      <c r="E678" s="21">
        <v>-0.55034899999999998</v>
      </c>
      <c r="F678" s="21">
        <v>0.57142899999999996</v>
      </c>
      <c r="G678" s="21">
        <v>0.25</v>
      </c>
      <c r="H678" s="21">
        <v>0</v>
      </c>
    </row>
    <row r="679" spans="1:8">
      <c r="A679" s="4" t="s">
        <v>898</v>
      </c>
      <c r="B679" s="4">
        <v>5</v>
      </c>
      <c r="C679" s="21">
        <v>-0.408555</v>
      </c>
      <c r="D679" s="21">
        <v>-0.16791500000000001</v>
      </c>
      <c r="E679" s="21">
        <v>-0.28823500000000002</v>
      </c>
      <c r="F679" s="21">
        <v>0.47619</v>
      </c>
      <c r="G679" s="21">
        <v>0.41666700000000001</v>
      </c>
      <c r="H679" s="21">
        <v>0.6</v>
      </c>
    </row>
    <row r="680" spans="1:8">
      <c r="A680" s="4" t="s">
        <v>898</v>
      </c>
      <c r="B680" s="4">
        <v>6</v>
      </c>
      <c r="C680" s="21">
        <v>-0.57617300000000005</v>
      </c>
      <c r="D680" s="21">
        <v>-0.41108899999999998</v>
      </c>
      <c r="E680" s="21">
        <v>-0.49363099999999999</v>
      </c>
      <c r="F680" s="21">
        <v>0.33333299999999999</v>
      </c>
      <c r="G680" s="21">
        <v>0.16666700000000001</v>
      </c>
      <c r="H680" s="21">
        <v>0</v>
      </c>
    </row>
    <row r="681" spans="1:8">
      <c r="A681" s="4" t="s">
        <v>898</v>
      </c>
      <c r="B681" s="4">
        <v>7</v>
      </c>
      <c r="C681" s="21">
        <v>-0.92240699999999998</v>
      </c>
      <c r="D681" s="21">
        <v>-0.464312</v>
      </c>
      <c r="E681" s="21">
        <v>-0.69335999999999998</v>
      </c>
      <c r="F681" s="21">
        <v>0.71428599999999998</v>
      </c>
      <c r="G681" s="21">
        <v>8.3333000000000004E-2</v>
      </c>
      <c r="H681" s="21">
        <v>0</v>
      </c>
    </row>
    <row r="682" spans="1:8">
      <c r="A682" s="4" t="s">
        <v>898</v>
      </c>
      <c r="B682" s="4">
        <v>8</v>
      </c>
      <c r="C682" s="21">
        <v>-0.86888900000000002</v>
      </c>
      <c r="D682" s="21">
        <v>-0.51983699999999999</v>
      </c>
      <c r="E682" s="21">
        <v>-0.69436299999999995</v>
      </c>
      <c r="F682" s="21">
        <v>0.33333299999999999</v>
      </c>
      <c r="G682" s="21">
        <v>0.25</v>
      </c>
      <c r="H682" s="21">
        <v>0.4</v>
      </c>
    </row>
    <row r="683" spans="1:8">
      <c r="A683" s="4" t="s">
        <v>898</v>
      </c>
      <c r="B683" s="4">
        <v>9</v>
      </c>
      <c r="C683" s="21">
        <v>-0.88327999999999995</v>
      </c>
      <c r="D683" s="21">
        <v>-0.60238100000000006</v>
      </c>
      <c r="E683" s="21">
        <v>-0.74282999999999999</v>
      </c>
      <c r="F683" s="21">
        <v>0.33333299999999999</v>
      </c>
      <c r="G683" s="21">
        <v>8.3333000000000004E-2</v>
      </c>
      <c r="H683" s="21">
        <v>0.2</v>
      </c>
    </row>
    <row r="684" spans="1:8">
      <c r="A684" s="4" t="s">
        <v>898</v>
      </c>
      <c r="B684" s="4">
        <v>10</v>
      </c>
      <c r="C684" s="21">
        <v>-0.70762899999999995</v>
      </c>
      <c r="D684" s="21">
        <v>-0.52865799999999996</v>
      </c>
      <c r="E684" s="21">
        <v>-0.61814400000000003</v>
      </c>
      <c r="F684" s="21">
        <v>0.33333299999999999</v>
      </c>
      <c r="G684" s="21">
        <v>0.25</v>
      </c>
      <c r="H684" s="21">
        <v>0.4</v>
      </c>
    </row>
    <row r="685" spans="1:8">
      <c r="A685" s="4" t="s">
        <v>899</v>
      </c>
      <c r="B685" s="4">
        <v>1</v>
      </c>
      <c r="C685" s="21">
        <v>-0.77096399999999998</v>
      </c>
      <c r="D685" s="21">
        <v>-0.433338</v>
      </c>
      <c r="E685" s="21">
        <v>-0.60215099999999999</v>
      </c>
      <c r="F685" s="21">
        <v>0.47619</v>
      </c>
      <c r="G685" s="21">
        <v>0.33333299999999999</v>
      </c>
      <c r="H685" s="21">
        <v>0.4</v>
      </c>
    </row>
    <row r="686" spans="1:8">
      <c r="A686" s="4" t="s">
        <v>899</v>
      </c>
      <c r="B686" s="4">
        <v>2</v>
      </c>
      <c r="C686" s="21">
        <v>-1.1251370000000001</v>
      </c>
      <c r="D686" s="21">
        <v>-0.57065100000000002</v>
      </c>
      <c r="E686" s="21">
        <v>-0.84789400000000004</v>
      </c>
      <c r="F686" s="21">
        <v>0.61904800000000004</v>
      </c>
      <c r="G686" s="21">
        <v>0.33333299999999999</v>
      </c>
      <c r="H686" s="21">
        <v>0.2</v>
      </c>
    </row>
    <row r="687" spans="1:8">
      <c r="A687" s="4" t="s">
        <v>899</v>
      </c>
      <c r="B687" s="4">
        <v>3</v>
      </c>
      <c r="C687" s="21">
        <v>-0.69737800000000005</v>
      </c>
      <c r="D687" s="21">
        <v>-0.48835400000000001</v>
      </c>
      <c r="E687" s="21">
        <v>-0.592866</v>
      </c>
      <c r="F687" s="21">
        <v>0.19047600000000001</v>
      </c>
      <c r="G687" s="21">
        <v>0.33333299999999999</v>
      </c>
      <c r="H687" s="21">
        <v>0.6</v>
      </c>
    </row>
    <row r="688" spans="1:8">
      <c r="A688" s="4" t="s">
        <v>899</v>
      </c>
      <c r="B688" s="4">
        <v>4</v>
      </c>
      <c r="C688" s="21">
        <v>-0.94069499999999995</v>
      </c>
      <c r="D688" s="21">
        <v>-0.57740899999999995</v>
      </c>
      <c r="E688" s="21">
        <v>-0.75905199999999995</v>
      </c>
      <c r="F688" s="21">
        <v>0.19047600000000001</v>
      </c>
      <c r="G688" s="21">
        <v>8.3333000000000004E-2</v>
      </c>
      <c r="H688" s="21">
        <v>0</v>
      </c>
    </row>
    <row r="689" spans="1:8">
      <c r="A689" s="4" t="s">
        <v>899</v>
      </c>
      <c r="B689" s="4">
        <v>5</v>
      </c>
      <c r="C689" s="21">
        <v>-0.45501399999999997</v>
      </c>
      <c r="D689" s="21">
        <v>-0.19339200000000001</v>
      </c>
      <c r="E689" s="21">
        <v>-0.32420300000000002</v>
      </c>
      <c r="F689" s="21">
        <v>0.52381</v>
      </c>
      <c r="G689" s="21">
        <v>0.33333299999999999</v>
      </c>
      <c r="H689" s="21">
        <v>0.4</v>
      </c>
    </row>
    <row r="690" spans="1:8">
      <c r="A690" s="4" t="s">
        <v>899</v>
      </c>
      <c r="B690" s="4">
        <v>6</v>
      </c>
      <c r="C690" s="21">
        <v>-0.902142</v>
      </c>
      <c r="D690" s="21">
        <v>-0.48865799999999998</v>
      </c>
      <c r="E690" s="21">
        <v>-0.69540000000000002</v>
      </c>
      <c r="F690" s="21">
        <v>0.42857099999999998</v>
      </c>
      <c r="G690" s="21">
        <v>0</v>
      </c>
      <c r="H690" s="21">
        <v>0</v>
      </c>
    </row>
    <row r="691" spans="1:8">
      <c r="A691" s="4" t="s">
        <v>899</v>
      </c>
      <c r="B691" s="4">
        <v>7</v>
      </c>
      <c r="C691" s="21">
        <v>-0.33484599999999998</v>
      </c>
      <c r="D691" s="21">
        <v>-0.60522600000000004</v>
      </c>
      <c r="E691" s="21">
        <v>-0.47003600000000001</v>
      </c>
      <c r="F691" s="21">
        <v>0.28571400000000002</v>
      </c>
      <c r="G691" s="21">
        <v>0.5</v>
      </c>
      <c r="H691" s="21">
        <v>0.6</v>
      </c>
    </row>
    <row r="692" spans="1:8">
      <c r="A692" s="4" t="s">
        <v>899</v>
      </c>
      <c r="B692" s="4">
        <v>8</v>
      </c>
      <c r="C692" s="21">
        <v>-0.71786300000000003</v>
      </c>
      <c r="D692" s="21">
        <v>-0.42137400000000003</v>
      </c>
      <c r="E692" s="21">
        <v>-0.56961899999999999</v>
      </c>
      <c r="F692" s="21">
        <v>0.42857099999999998</v>
      </c>
      <c r="G692" s="21">
        <v>0.33333299999999999</v>
      </c>
      <c r="H692" s="21">
        <v>0</v>
      </c>
    </row>
    <row r="693" spans="1:8">
      <c r="A693" s="4" t="s">
        <v>899</v>
      </c>
      <c r="B693" s="4">
        <v>9</v>
      </c>
      <c r="C693" s="21">
        <v>-0.82386800000000004</v>
      </c>
      <c r="D693" s="21">
        <v>-0.40497699999999998</v>
      </c>
      <c r="E693" s="21">
        <v>-0.61442200000000002</v>
      </c>
      <c r="F693" s="21">
        <v>0.33333299999999999</v>
      </c>
      <c r="G693" s="21">
        <v>0.25</v>
      </c>
      <c r="H693" s="21">
        <v>0.2</v>
      </c>
    </row>
    <row r="694" spans="1:8">
      <c r="A694" s="4" t="s">
        <v>899</v>
      </c>
      <c r="B694" s="4">
        <v>10</v>
      </c>
      <c r="C694" s="21">
        <v>-0.64827900000000005</v>
      </c>
      <c r="D694" s="21">
        <v>-0.32149499999999998</v>
      </c>
      <c r="E694" s="21">
        <v>-0.48488700000000001</v>
      </c>
      <c r="F694" s="21">
        <v>0.47619</v>
      </c>
      <c r="G694" s="21">
        <v>0.16666700000000001</v>
      </c>
      <c r="H694" s="21">
        <v>0.2</v>
      </c>
    </row>
    <row r="695" spans="1:8">
      <c r="A695" s="4" t="s">
        <v>900</v>
      </c>
      <c r="B695" s="4">
        <v>1</v>
      </c>
      <c r="C695" s="21">
        <v>-0.98985400000000001</v>
      </c>
      <c r="D695" s="21">
        <v>-0.51520200000000005</v>
      </c>
      <c r="E695" s="21">
        <v>-0.75252799999999997</v>
      </c>
      <c r="F695" s="21">
        <v>0.52381</v>
      </c>
      <c r="G695" s="21">
        <v>0.16666700000000001</v>
      </c>
      <c r="H695" s="21">
        <v>0.2</v>
      </c>
    </row>
    <row r="696" spans="1:8">
      <c r="A696" s="4" t="s">
        <v>900</v>
      </c>
      <c r="B696" s="4">
        <v>2</v>
      </c>
      <c r="C696" s="21">
        <v>-0.74766200000000005</v>
      </c>
      <c r="D696" s="21">
        <v>-0.50020200000000004</v>
      </c>
      <c r="E696" s="21">
        <v>-0.62393200000000004</v>
      </c>
      <c r="F696" s="21">
        <v>0.42857099999999998</v>
      </c>
      <c r="G696" s="21">
        <v>8.3333000000000004E-2</v>
      </c>
      <c r="H696" s="21">
        <v>0.2</v>
      </c>
    </row>
    <row r="697" spans="1:8">
      <c r="A697" s="4" t="s">
        <v>900</v>
      </c>
      <c r="B697" s="4">
        <v>3</v>
      </c>
      <c r="C697" s="21">
        <v>-0.86898200000000003</v>
      </c>
      <c r="D697" s="21">
        <v>-0.50523200000000001</v>
      </c>
      <c r="E697" s="21">
        <v>-0.68710700000000002</v>
      </c>
      <c r="F697" s="21">
        <v>0.61904800000000004</v>
      </c>
      <c r="G697" s="21">
        <v>0.16666700000000001</v>
      </c>
      <c r="H697" s="21">
        <v>0.2</v>
      </c>
    </row>
    <row r="698" spans="1:8">
      <c r="A698" s="4" t="s">
        <v>900</v>
      </c>
      <c r="B698" s="4">
        <v>4</v>
      </c>
      <c r="C698" s="21">
        <v>-0.99922999999999995</v>
      </c>
      <c r="D698" s="21">
        <v>-0.50717800000000002</v>
      </c>
      <c r="E698" s="21">
        <v>-0.75320399999999998</v>
      </c>
      <c r="F698" s="21">
        <v>0.28571400000000002</v>
      </c>
      <c r="G698" s="21">
        <v>0.16666700000000001</v>
      </c>
      <c r="H698" s="21">
        <v>0.2</v>
      </c>
    </row>
    <row r="699" spans="1:8">
      <c r="A699" s="4" t="s">
        <v>900</v>
      </c>
      <c r="B699" s="4">
        <v>5</v>
      </c>
      <c r="C699" s="21">
        <v>-0.60623800000000005</v>
      </c>
      <c r="D699" s="21">
        <v>-0.45283600000000002</v>
      </c>
      <c r="E699" s="21">
        <v>-0.52953700000000004</v>
      </c>
      <c r="F699" s="21">
        <v>0.47619</v>
      </c>
      <c r="G699" s="21">
        <v>0.25</v>
      </c>
      <c r="H699" s="21">
        <v>0.2</v>
      </c>
    </row>
    <row r="700" spans="1:8">
      <c r="A700" s="4" t="s">
        <v>900</v>
      </c>
      <c r="B700" s="4">
        <v>6</v>
      </c>
      <c r="C700" s="21">
        <v>-0.54868799999999995</v>
      </c>
      <c r="D700" s="21">
        <v>-0.39457199999999998</v>
      </c>
      <c r="E700" s="21">
        <v>-0.47162999999999999</v>
      </c>
      <c r="F700" s="21">
        <v>0.57142899999999996</v>
      </c>
      <c r="G700" s="21">
        <v>0.41666700000000001</v>
      </c>
      <c r="H700" s="21">
        <v>0.6</v>
      </c>
    </row>
    <row r="701" spans="1:8">
      <c r="A701" s="4" t="s">
        <v>900</v>
      </c>
      <c r="B701" s="4">
        <v>7</v>
      </c>
      <c r="C701" s="21">
        <v>-0.62703799999999998</v>
      </c>
      <c r="D701" s="21">
        <v>-0.45561299999999999</v>
      </c>
      <c r="E701" s="21">
        <v>-0.54132499999999995</v>
      </c>
      <c r="F701" s="21">
        <v>0.33333299999999999</v>
      </c>
      <c r="G701" s="21">
        <v>0.33333299999999999</v>
      </c>
      <c r="H701" s="21">
        <v>0.2</v>
      </c>
    </row>
    <row r="702" spans="1:8">
      <c r="A702" s="4" t="s">
        <v>900</v>
      </c>
      <c r="B702" s="4">
        <v>8</v>
      </c>
      <c r="C702" s="21">
        <v>-0.97343999999999997</v>
      </c>
      <c r="D702" s="21">
        <v>-0.46805200000000002</v>
      </c>
      <c r="E702" s="21">
        <v>-0.720746</v>
      </c>
      <c r="F702" s="21">
        <v>0.38095200000000001</v>
      </c>
      <c r="G702" s="21">
        <v>8.3333000000000004E-2</v>
      </c>
      <c r="H702" s="21">
        <v>0</v>
      </c>
    </row>
    <row r="703" spans="1:8">
      <c r="A703" s="4" t="s">
        <v>900</v>
      </c>
      <c r="B703" s="4">
        <v>9</v>
      </c>
      <c r="C703" s="21">
        <v>-0.621637</v>
      </c>
      <c r="D703" s="21">
        <v>-0.38453199999999998</v>
      </c>
      <c r="E703" s="21">
        <v>-0.50308399999999998</v>
      </c>
      <c r="F703" s="21">
        <v>0.42857099999999998</v>
      </c>
      <c r="G703" s="21">
        <v>0.25</v>
      </c>
      <c r="H703" s="21">
        <v>0.4</v>
      </c>
    </row>
    <row r="704" spans="1:8">
      <c r="A704" s="4" t="s">
        <v>900</v>
      </c>
      <c r="B704" s="4">
        <v>10</v>
      </c>
      <c r="C704" s="21">
        <v>-0.93391999999999997</v>
      </c>
      <c r="D704" s="21">
        <v>-0.51943799999999996</v>
      </c>
      <c r="E704" s="21">
        <v>-0.72667899999999996</v>
      </c>
      <c r="F704" s="21">
        <v>0.57142899999999996</v>
      </c>
      <c r="G704" s="21">
        <v>0.33333299999999999</v>
      </c>
      <c r="H704" s="21">
        <v>0.4</v>
      </c>
    </row>
    <row r="705" spans="1:8">
      <c r="A705" s="4" t="s">
        <v>901</v>
      </c>
      <c r="B705" s="4">
        <v>1</v>
      </c>
      <c r="C705" s="21">
        <v>-1.0045569999999999</v>
      </c>
      <c r="D705" s="21">
        <v>-0.32896199999999998</v>
      </c>
      <c r="E705" s="21">
        <v>-0.66675899999999999</v>
      </c>
      <c r="F705" s="21">
        <v>0.57142899999999996</v>
      </c>
      <c r="G705" s="21">
        <v>0.16666700000000001</v>
      </c>
      <c r="H705" s="21">
        <v>0.2</v>
      </c>
    </row>
    <row r="706" spans="1:8">
      <c r="A706" s="4" t="s">
        <v>901</v>
      </c>
      <c r="B706" s="4">
        <v>2</v>
      </c>
      <c r="C706" s="21">
        <v>-0.66369599999999995</v>
      </c>
      <c r="D706" s="21">
        <v>-0.39017499999999999</v>
      </c>
      <c r="E706" s="21">
        <v>-0.52693500000000004</v>
      </c>
      <c r="F706" s="21">
        <v>0.52381</v>
      </c>
      <c r="G706" s="21">
        <v>0.33333299999999999</v>
      </c>
      <c r="H706" s="21">
        <v>0.6</v>
      </c>
    </row>
    <row r="707" spans="1:8">
      <c r="A707" s="4" t="s">
        <v>901</v>
      </c>
      <c r="B707" s="4">
        <v>3</v>
      </c>
      <c r="C707" s="21">
        <v>-0.62946100000000005</v>
      </c>
      <c r="D707" s="21">
        <v>-0.499529</v>
      </c>
      <c r="E707" s="21">
        <v>-0.56449499999999997</v>
      </c>
      <c r="F707" s="21">
        <v>0.57142899999999996</v>
      </c>
      <c r="G707" s="21">
        <v>0.41666700000000001</v>
      </c>
      <c r="H707" s="21">
        <v>0.4</v>
      </c>
    </row>
    <row r="708" spans="1:8">
      <c r="A708" s="4" t="s">
        <v>901</v>
      </c>
      <c r="B708" s="4">
        <v>4</v>
      </c>
      <c r="C708" s="21">
        <v>-1.0158100000000001</v>
      </c>
      <c r="D708" s="21">
        <v>-0.498525</v>
      </c>
      <c r="E708" s="21">
        <v>-0.75716799999999995</v>
      </c>
      <c r="F708" s="21">
        <v>0.238095</v>
      </c>
      <c r="G708" s="21">
        <v>8.3333000000000004E-2</v>
      </c>
      <c r="H708" s="21">
        <v>0.2</v>
      </c>
    </row>
    <row r="709" spans="1:8">
      <c r="A709" s="4" t="s">
        <v>901</v>
      </c>
      <c r="B709" s="4">
        <v>5</v>
      </c>
      <c r="C709" s="21">
        <v>-0.62502899999999995</v>
      </c>
      <c r="D709" s="21">
        <v>-0.35218300000000002</v>
      </c>
      <c r="E709" s="21">
        <v>-0.48860599999999998</v>
      </c>
      <c r="F709" s="21">
        <v>0.33333299999999999</v>
      </c>
      <c r="G709" s="21">
        <v>0.33333299999999999</v>
      </c>
      <c r="H709" s="21">
        <v>0.4</v>
      </c>
    </row>
    <row r="710" spans="1:8">
      <c r="A710" s="4" t="s">
        <v>901</v>
      </c>
      <c r="B710" s="4">
        <v>6</v>
      </c>
      <c r="C710" s="21">
        <v>-0.88031599999999999</v>
      </c>
      <c r="D710" s="21">
        <v>-0.55822300000000002</v>
      </c>
      <c r="E710" s="21">
        <v>-0.71926900000000005</v>
      </c>
      <c r="F710" s="21">
        <v>0.28571400000000002</v>
      </c>
      <c r="G710" s="21">
        <v>0.16666700000000001</v>
      </c>
      <c r="H710" s="21">
        <v>0</v>
      </c>
    </row>
    <row r="711" spans="1:8">
      <c r="A711" s="4" t="s">
        <v>901</v>
      </c>
      <c r="B711" s="4">
        <v>7</v>
      </c>
      <c r="C711" s="21">
        <v>-0.87143700000000002</v>
      </c>
      <c r="D711" s="21">
        <v>-0.44686799999999999</v>
      </c>
      <c r="E711" s="21">
        <v>-0.65915299999999999</v>
      </c>
      <c r="F711" s="21">
        <v>0.33333299999999999</v>
      </c>
      <c r="G711" s="21">
        <v>0.16666700000000001</v>
      </c>
      <c r="H711" s="21">
        <v>0.2</v>
      </c>
    </row>
    <row r="712" spans="1:8">
      <c r="A712" s="4" t="s">
        <v>901</v>
      </c>
      <c r="B712" s="4">
        <v>8</v>
      </c>
      <c r="C712" s="21">
        <v>-0.72585500000000003</v>
      </c>
      <c r="D712" s="21">
        <v>-0.38521899999999998</v>
      </c>
      <c r="E712" s="21">
        <v>-0.55553699999999995</v>
      </c>
      <c r="F712" s="21">
        <v>0.38095200000000001</v>
      </c>
      <c r="G712" s="21">
        <v>0.33333299999999999</v>
      </c>
      <c r="H712" s="21">
        <v>0.2</v>
      </c>
    </row>
    <row r="713" spans="1:8">
      <c r="A713" s="4" t="s">
        <v>901</v>
      </c>
      <c r="B713" s="4">
        <v>9</v>
      </c>
      <c r="C713" s="21">
        <v>-0.90705499999999994</v>
      </c>
      <c r="D713" s="21">
        <v>-0.59442099999999998</v>
      </c>
      <c r="E713" s="21">
        <v>-0.75073800000000002</v>
      </c>
      <c r="F713" s="21">
        <v>0.38095200000000001</v>
      </c>
      <c r="G713" s="21">
        <v>0.16666700000000001</v>
      </c>
      <c r="H713" s="21">
        <v>0.4</v>
      </c>
    </row>
    <row r="714" spans="1:8">
      <c r="A714" s="4" t="s">
        <v>901</v>
      </c>
      <c r="B714" s="4">
        <v>10</v>
      </c>
      <c r="C714" s="21">
        <v>-1.023161</v>
      </c>
      <c r="D714" s="21">
        <v>-0.59456500000000001</v>
      </c>
      <c r="E714" s="21">
        <v>-0.808863</v>
      </c>
      <c r="F714" s="21">
        <v>0.33333299999999999</v>
      </c>
      <c r="G714" s="21">
        <v>0</v>
      </c>
      <c r="H714" s="21">
        <v>0</v>
      </c>
    </row>
    <row r="715" spans="1:8">
      <c r="A715" s="4" t="s">
        <v>902</v>
      </c>
      <c r="B715" s="4">
        <v>1</v>
      </c>
      <c r="C715" s="21">
        <v>-0.91718599999999995</v>
      </c>
      <c r="D715" s="21">
        <v>-0.47670400000000002</v>
      </c>
      <c r="E715" s="21">
        <v>-0.69694500000000004</v>
      </c>
      <c r="F715" s="21">
        <v>0.61904800000000004</v>
      </c>
      <c r="G715" s="21">
        <v>0.16666700000000001</v>
      </c>
      <c r="H715" s="21">
        <v>0</v>
      </c>
    </row>
    <row r="716" spans="1:8">
      <c r="A716" s="4" t="s">
        <v>902</v>
      </c>
      <c r="B716" s="4">
        <v>2</v>
      </c>
      <c r="C716" s="21">
        <v>-0.68171000000000004</v>
      </c>
      <c r="D716" s="21">
        <v>-0.44552399999999998</v>
      </c>
      <c r="E716" s="21">
        <v>-0.56361700000000003</v>
      </c>
      <c r="F716" s="21">
        <v>0.42857099999999998</v>
      </c>
      <c r="G716" s="21">
        <v>0.33333299999999999</v>
      </c>
      <c r="H716" s="21">
        <v>0.4</v>
      </c>
    </row>
    <row r="717" spans="1:8">
      <c r="A717" s="4" t="s">
        <v>902</v>
      </c>
      <c r="B717" s="4">
        <v>3</v>
      </c>
      <c r="C717" s="21">
        <v>-0.82340599999999997</v>
      </c>
      <c r="D717" s="21">
        <v>-0.42668800000000001</v>
      </c>
      <c r="E717" s="21">
        <v>-0.62504700000000002</v>
      </c>
      <c r="F717" s="21">
        <v>0.42857099999999998</v>
      </c>
      <c r="G717" s="21">
        <v>0.33333299999999999</v>
      </c>
      <c r="H717" s="21">
        <v>0.4</v>
      </c>
    </row>
    <row r="718" spans="1:8">
      <c r="A718" s="4" t="s">
        <v>902</v>
      </c>
      <c r="B718" s="4">
        <v>4</v>
      </c>
      <c r="C718" s="21">
        <v>-0.62169399999999997</v>
      </c>
      <c r="D718" s="21">
        <v>-0.23529700000000001</v>
      </c>
      <c r="E718" s="21">
        <v>-0.42849500000000001</v>
      </c>
      <c r="F718" s="21">
        <v>0.33333299999999999</v>
      </c>
      <c r="G718" s="21">
        <v>0.25</v>
      </c>
      <c r="H718" s="21">
        <v>0.4</v>
      </c>
    </row>
    <row r="719" spans="1:8">
      <c r="A719" s="4" t="s">
        <v>902</v>
      </c>
      <c r="B719" s="4">
        <v>5</v>
      </c>
      <c r="C719" s="21">
        <v>-0.47835899999999998</v>
      </c>
      <c r="D719" s="21">
        <v>-0.34510999999999997</v>
      </c>
      <c r="E719" s="21">
        <v>-0.41173500000000002</v>
      </c>
      <c r="F719" s="21">
        <v>0.52381</v>
      </c>
      <c r="G719" s="21">
        <v>0.66666700000000001</v>
      </c>
      <c r="H719" s="21">
        <v>0.6</v>
      </c>
    </row>
    <row r="720" spans="1:8">
      <c r="A720" s="4" t="s">
        <v>902</v>
      </c>
      <c r="B720" s="4">
        <v>6</v>
      </c>
      <c r="C720" s="21">
        <v>-0.96362099999999995</v>
      </c>
      <c r="D720" s="21">
        <v>-0.529752</v>
      </c>
      <c r="E720" s="21">
        <v>-0.74668699999999999</v>
      </c>
      <c r="F720" s="21">
        <v>0.38095200000000001</v>
      </c>
      <c r="G720" s="21">
        <v>8.3333000000000004E-2</v>
      </c>
      <c r="H720" s="21">
        <v>0.2</v>
      </c>
    </row>
    <row r="721" spans="1:8">
      <c r="A721" s="4" t="s">
        <v>902</v>
      </c>
      <c r="B721" s="4">
        <v>7</v>
      </c>
      <c r="C721" s="21">
        <v>-0.59836900000000004</v>
      </c>
      <c r="D721" s="21">
        <v>-0.43417899999999998</v>
      </c>
      <c r="E721" s="21">
        <v>-0.51627400000000001</v>
      </c>
      <c r="F721" s="21">
        <v>0.42857099999999998</v>
      </c>
      <c r="G721" s="21">
        <v>0.33333299999999999</v>
      </c>
      <c r="H721" s="21">
        <v>0.4</v>
      </c>
    </row>
    <row r="722" spans="1:8">
      <c r="A722" s="4" t="s">
        <v>902</v>
      </c>
      <c r="B722" s="4">
        <v>8</v>
      </c>
      <c r="C722" s="21">
        <v>-0.98598399999999997</v>
      </c>
      <c r="D722" s="21">
        <v>-0.581511</v>
      </c>
      <c r="E722" s="21">
        <v>-0.783748</v>
      </c>
      <c r="F722" s="21">
        <v>0.238095</v>
      </c>
      <c r="G722" s="21">
        <v>8.3333000000000004E-2</v>
      </c>
      <c r="H722" s="21">
        <v>0.2</v>
      </c>
    </row>
    <row r="723" spans="1:8">
      <c r="A723" s="4" t="s">
        <v>902</v>
      </c>
      <c r="B723" s="4">
        <v>9</v>
      </c>
      <c r="C723" s="21">
        <v>-0.62248199999999998</v>
      </c>
      <c r="D723" s="21">
        <v>-0.21640999999999999</v>
      </c>
      <c r="E723" s="21">
        <v>-0.41944599999999999</v>
      </c>
      <c r="F723" s="21">
        <v>0.28571400000000002</v>
      </c>
      <c r="G723" s="21">
        <v>0.41666700000000001</v>
      </c>
      <c r="H723" s="21">
        <v>0.2</v>
      </c>
    </row>
    <row r="724" spans="1:8">
      <c r="A724" s="4" t="s">
        <v>902</v>
      </c>
      <c r="B724" s="4">
        <v>10</v>
      </c>
      <c r="C724" s="21">
        <v>-0.81142700000000001</v>
      </c>
      <c r="D724" s="21">
        <v>-0.46090300000000001</v>
      </c>
      <c r="E724" s="21">
        <v>-0.63616499999999998</v>
      </c>
      <c r="F724" s="21">
        <v>0.57142899999999996</v>
      </c>
      <c r="G724" s="21">
        <v>0.33333299999999999</v>
      </c>
      <c r="H724" s="21">
        <v>0.4</v>
      </c>
    </row>
    <row r="725" spans="1:8">
      <c r="A725" s="4" t="s">
        <v>903</v>
      </c>
      <c r="B725" s="4">
        <v>1</v>
      </c>
      <c r="C725" s="21">
        <v>-0.99826899999999996</v>
      </c>
      <c r="D725" s="21">
        <v>-0.44068800000000002</v>
      </c>
      <c r="E725" s="21">
        <v>-0.71947799999999995</v>
      </c>
      <c r="F725" s="21">
        <v>0.33333299999999999</v>
      </c>
      <c r="G725" s="21">
        <v>0.16666700000000001</v>
      </c>
      <c r="H725" s="21">
        <v>0.2</v>
      </c>
    </row>
    <row r="726" spans="1:8">
      <c r="A726" s="4" t="s">
        <v>903</v>
      </c>
      <c r="B726" s="4">
        <v>2</v>
      </c>
      <c r="C726" s="21">
        <v>-0.586225</v>
      </c>
      <c r="D726" s="21">
        <v>-0.34749600000000003</v>
      </c>
      <c r="E726" s="21">
        <v>-0.46686</v>
      </c>
      <c r="F726" s="21">
        <v>0.47619</v>
      </c>
      <c r="G726" s="21">
        <v>0.41666700000000001</v>
      </c>
      <c r="H726" s="21">
        <v>0.6</v>
      </c>
    </row>
    <row r="727" spans="1:8">
      <c r="A727" s="4" t="s">
        <v>903</v>
      </c>
      <c r="B727" s="4">
        <v>3</v>
      </c>
      <c r="C727" s="21">
        <v>-0.77834899999999996</v>
      </c>
      <c r="D727" s="21">
        <v>-0.42455999999999999</v>
      </c>
      <c r="E727" s="21">
        <v>-0.60145499999999996</v>
      </c>
      <c r="F727" s="21">
        <v>0.57142899999999996</v>
      </c>
      <c r="G727" s="21">
        <v>0.25</v>
      </c>
      <c r="H727" s="21">
        <v>0.2</v>
      </c>
    </row>
    <row r="728" spans="1:8">
      <c r="A728" s="4" t="s">
        <v>903</v>
      </c>
      <c r="B728" s="4">
        <v>4</v>
      </c>
      <c r="C728" s="21">
        <v>-0.95247800000000005</v>
      </c>
      <c r="D728" s="21">
        <v>-0.40398600000000001</v>
      </c>
      <c r="E728" s="21">
        <v>-0.67823199999999995</v>
      </c>
      <c r="F728" s="21">
        <v>0.38095200000000001</v>
      </c>
      <c r="G728" s="21">
        <v>8.3333000000000004E-2</v>
      </c>
      <c r="H728" s="21">
        <v>0.2</v>
      </c>
    </row>
    <row r="729" spans="1:8">
      <c r="A729" s="4" t="s">
        <v>903</v>
      </c>
      <c r="B729" s="4">
        <v>5</v>
      </c>
      <c r="C729" s="21">
        <v>-0.81819399999999998</v>
      </c>
      <c r="D729" s="21">
        <v>-0.48886499999999999</v>
      </c>
      <c r="E729" s="21">
        <v>-0.65353000000000006</v>
      </c>
      <c r="F729" s="21">
        <v>0.38095200000000001</v>
      </c>
      <c r="G729" s="21">
        <v>0.5</v>
      </c>
      <c r="H729" s="21">
        <v>0.2</v>
      </c>
    </row>
    <row r="730" spans="1:8">
      <c r="A730" s="4" t="s">
        <v>903</v>
      </c>
      <c r="B730" s="4">
        <v>6</v>
      </c>
      <c r="C730" s="21">
        <v>-0.58562400000000003</v>
      </c>
      <c r="D730" s="21">
        <v>-0.33817799999999998</v>
      </c>
      <c r="E730" s="21">
        <v>-0.46190100000000001</v>
      </c>
      <c r="F730" s="21">
        <v>0.42857099999999998</v>
      </c>
      <c r="G730" s="21">
        <v>0.16666700000000001</v>
      </c>
      <c r="H730" s="21">
        <v>0.4</v>
      </c>
    </row>
    <row r="731" spans="1:8">
      <c r="A731" s="4" t="s">
        <v>903</v>
      </c>
      <c r="B731" s="4">
        <v>7</v>
      </c>
      <c r="C731" s="21">
        <v>-0.83726999999999996</v>
      </c>
      <c r="D731" s="21">
        <v>-0.46228399999999997</v>
      </c>
      <c r="E731" s="21">
        <v>-0.64977700000000005</v>
      </c>
      <c r="F731" s="21">
        <v>0.33333299999999999</v>
      </c>
      <c r="G731" s="21">
        <v>0.33333299999999999</v>
      </c>
      <c r="H731" s="21">
        <v>0.2</v>
      </c>
    </row>
    <row r="732" spans="1:8">
      <c r="A732" s="4" t="s">
        <v>903</v>
      </c>
      <c r="B732" s="4">
        <v>8</v>
      </c>
      <c r="C732" s="21">
        <v>-0.77991500000000002</v>
      </c>
      <c r="D732" s="21">
        <v>-0.47072799999999998</v>
      </c>
      <c r="E732" s="21">
        <v>-0.62532200000000004</v>
      </c>
      <c r="F732" s="21">
        <v>0.38095200000000001</v>
      </c>
      <c r="G732" s="21">
        <v>0.25</v>
      </c>
      <c r="H732" s="21">
        <v>0</v>
      </c>
    </row>
    <row r="733" spans="1:8">
      <c r="A733" s="4" t="s">
        <v>903</v>
      </c>
      <c r="B733" s="4">
        <v>9</v>
      </c>
      <c r="C733" s="21">
        <v>-0.67793199999999998</v>
      </c>
      <c r="D733" s="21">
        <v>-0.58592500000000003</v>
      </c>
      <c r="E733" s="21">
        <v>-0.63192800000000005</v>
      </c>
      <c r="F733" s="21">
        <v>0.52381</v>
      </c>
      <c r="G733" s="21">
        <v>0.33333299999999999</v>
      </c>
      <c r="H733" s="21">
        <v>0.4</v>
      </c>
    </row>
    <row r="734" spans="1:8">
      <c r="A734" s="4" t="s">
        <v>903</v>
      </c>
      <c r="B734" s="4">
        <v>10</v>
      </c>
      <c r="C734" s="21">
        <v>-0.97380699999999998</v>
      </c>
      <c r="D734" s="21">
        <v>-0.431085</v>
      </c>
      <c r="E734" s="21">
        <v>-0.70244600000000001</v>
      </c>
      <c r="F734" s="21">
        <v>0.38095200000000001</v>
      </c>
      <c r="G734" s="21">
        <v>0.25</v>
      </c>
      <c r="H734" s="21">
        <v>0.2</v>
      </c>
    </row>
    <row r="735" spans="1:8">
      <c r="A735" s="4" t="s">
        <v>904</v>
      </c>
      <c r="B735" s="4">
        <v>1</v>
      </c>
      <c r="C735" s="21">
        <v>-1.035684</v>
      </c>
      <c r="D735" s="21">
        <v>-0.52108399999999999</v>
      </c>
      <c r="E735" s="21">
        <v>-0.77838399999999996</v>
      </c>
      <c r="F735" s="21">
        <v>0.47619</v>
      </c>
      <c r="G735" s="21">
        <v>0</v>
      </c>
      <c r="H735" s="21">
        <v>0</v>
      </c>
    </row>
    <row r="736" spans="1:8">
      <c r="A736" s="4" t="s">
        <v>904</v>
      </c>
      <c r="B736" s="4">
        <v>2</v>
      </c>
      <c r="C736" s="21">
        <v>-0.54419600000000001</v>
      </c>
      <c r="D736" s="21">
        <v>-0.349823</v>
      </c>
      <c r="E736" s="21">
        <v>-0.44700899999999999</v>
      </c>
      <c r="F736" s="21">
        <v>0.33333299999999999</v>
      </c>
      <c r="G736" s="21">
        <v>0.25</v>
      </c>
      <c r="H736" s="21">
        <v>0.2</v>
      </c>
    </row>
    <row r="737" spans="1:8">
      <c r="A737" s="4" t="s">
        <v>904</v>
      </c>
      <c r="B737" s="4">
        <v>3</v>
      </c>
      <c r="C737" s="21">
        <v>-0.64000199999999996</v>
      </c>
      <c r="D737" s="21">
        <v>-0.39490199999999998</v>
      </c>
      <c r="E737" s="21">
        <v>-0.51745200000000002</v>
      </c>
      <c r="F737" s="21">
        <v>0.28571400000000002</v>
      </c>
      <c r="G737" s="21">
        <v>0.5</v>
      </c>
      <c r="H737" s="21">
        <v>0.4</v>
      </c>
    </row>
    <row r="738" spans="1:8">
      <c r="A738" s="4" t="s">
        <v>904</v>
      </c>
      <c r="B738" s="4">
        <v>4</v>
      </c>
      <c r="C738" s="21">
        <v>-0.65276000000000001</v>
      </c>
      <c r="D738" s="21">
        <v>-0.34201300000000001</v>
      </c>
      <c r="E738" s="21">
        <v>-0.49738700000000002</v>
      </c>
      <c r="F738" s="21">
        <v>0.238095</v>
      </c>
      <c r="G738" s="21">
        <v>0.5</v>
      </c>
      <c r="H738" s="21">
        <v>0.8</v>
      </c>
    </row>
    <row r="739" spans="1:8">
      <c r="A739" s="4" t="s">
        <v>904</v>
      </c>
      <c r="B739" s="4">
        <v>5</v>
      </c>
      <c r="C739" s="21">
        <v>-0.85017900000000002</v>
      </c>
      <c r="D739" s="21">
        <v>-0.46617700000000001</v>
      </c>
      <c r="E739" s="21">
        <v>-0.65817800000000004</v>
      </c>
      <c r="F739" s="21">
        <v>0.28571400000000002</v>
      </c>
      <c r="G739" s="21">
        <v>0.16666700000000001</v>
      </c>
      <c r="H739" s="21">
        <v>0.2</v>
      </c>
    </row>
    <row r="740" spans="1:8">
      <c r="A740" s="4" t="s">
        <v>904</v>
      </c>
      <c r="B740" s="4">
        <v>6</v>
      </c>
      <c r="C740" s="21">
        <v>-0.66990499999999997</v>
      </c>
      <c r="D740" s="21">
        <v>-0.30167100000000002</v>
      </c>
      <c r="E740" s="21">
        <v>-0.485788</v>
      </c>
      <c r="F740" s="21">
        <v>0.47619</v>
      </c>
      <c r="G740" s="21">
        <v>0.25</v>
      </c>
      <c r="H740" s="21">
        <v>0.2</v>
      </c>
    </row>
    <row r="741" spans="1:8">
      <c r="A741" s="4" t="s">
        <v>904</v>
      </c>
      <c r="B741" s="4">
        <v>7</v>
      </c>
      <c r="C741" s="21">
        <v>-0.81606199999999995</v>
      </c>
      <c r="D741" s="21">
        <v>-0.39988200000000002</v>
      </c>
      <c r="E741" s="21">
        <v>-0.60797199999999996</v>
      </c>
      <c r="F741" s="21">
        <v>0.33333299999999999</v>
      </c>
      <c r="G741" s="21">
        <v>0.16666700000000001</v>
      </c>
      <c r="H741" s="21">
        <v>0.2</v>
      </c>
    </row>
    <row r="742" spans="1:8">
      <c r="A742" s="4" t="s">
        <v>904</v>
      </c>
      <c r="B742" s="4">
        <v>8</v>
      </c>
      <c r="C742" s="21">
        <v>-0.82326600000000005</v>
      </c>
      <c r="D742" s="21">
        <v>-0.40259699999999998</v>
      </c>
      <c r="E742" s="21">
        <v>-0.61293200000000003</v>
      </c>
      <c r="F742" s="21">
        <v>0.28571400000000002</v>
      </c>
      <c r="G742" s="21">
        <v>0.16666700000000001</v>
      </c>
      <c r="H742" s="21">
        <v>0</v>
      </c>
    </row>
    <row r="743" spans="1:8">
      <c r="A743" s="4" t="s">
        <v>904</v>
      </c>
      <c r="B743" s="4">
        <v>9</v>
      </c>
      <c r="C743" s="21">
        <v>-0.77745600000000004</v>
      </c>
      <c r="D743" s="21">
        <v>-0.43982500000000002</v>
      </c>
      <c r="E743" s="21">
        <v>-0.60864099999999999</v>
      </c>
      <c r="F743" s="21">
        <v>0.38095200000000001</v>
      </c>
      <c r="G743" s="21">
        <v>0.16666700000000001</v>
      </c>
      <c r="H743" s="21">
        <v>0</v>
      </c>
    </row>
    <row r="744" spans="1:8">
      <c r="A744" s="4" t="s">
        <v>904</v>
      </c>
      <c r="B744" s="4">
        <v>10</v>
      </c>
      <c r="C744" s="21">
        <v>-0.48887599999999998</v>
      </c>
      <c r="D744" s="21">
        <v>-0.27495399999999998</v>
      </c>
      <c r="E744" s="21">
        <v>-0.381915</v>
      </c>
      <c r="F744" s="21">
        <v>0.33333299999999999</v>
      </c>
      <c r="G744" s="21">
        <v>0.41666700000000001</v>
      </c>
      <c r="H744" s="21">
        <v>0.4</v>
      </c>
    </row>
    <row r="745" spans="1:8">
      <c r="A745" s="4" t="s">
        <v>905</v>
      </c>
      <c r="B745" s="4">
        <v>1</v>
      </c>
      <c r="C745" s="21">
        <v>-0.65625699999999998</v>
      </c>
      <c r="D745" s="21">
        <v>-0.43280299999999999</v>
      </c>
      <c r="E745" s="21">
        <v>-0.54452999999999996</v>
      </c>
      <c r="F745" s="21">
        <v>0.33333299999999999</v>
      </c>
      <c r="G745" s="21">
        <v>0.33333299999999999</v>
      </c>
      <c r="H745" s="21">
        <v>0.4</v>
      </c>
    </row>
    <row r="746" spans="1:8">
      <c r="A746" s="4" t="s">
        <v>905</v>
      </c>
      <c r="B746" s="4">
        <v>2</v>
      </c>
      <c r="C746" s="21">
        <v>-0.98677899999999996</v>
      </c>
      <c r="D746" s="21">
        <v>-0.38991900000000002</v>
      </c>
      <c r="E746" s="21">
        <v>-0.68834899999999999</v>
      </c>
      <c r="F746" s="21">
        <v>0.52381</v>
      </c>
      <c r="G746" s="21">
        <v>0.25</v>
      </c>
      <c r="H746" s="21">
        <v>0.4</v>
      </c>
    </row>
    <row r="747" spans="1:8">
      <c r="A747" s="4" t="s">
        <v>905</v>
      </c>
      <c r="B747" s="4">
        <v>3</v>
      </c>
      <c r="C747" s="21">
        <v>-0.72253599999999996</v>
      </c>
      <c r="D747" s="21">
        <v>-0.40675099999999997</v>
      </c>
      <c r="E747" s="21">
        <v>-0.56464400000000003</v>
      </c>
      <c r="F747" s="21">
        <v>0.42857099999999998</v>
      </c>
      <c r="G747" s="21">
        <v>8.3333000000000004E-2</v>
      </c>
      <c r="H747" s="21">
        <v>0.2</v>
      </c>
    </row>
    <row r="748" spans="1:8">
      <c r="A748" s="4" t="s">
        <v>905</v>
      </c>
      <c r="B748" s="4">
        <v>4</v>
      </c>
      <c r="C748" s="21">
        <v>-0.89901500000000001</v>
      </c>
      <c r="D748" s="21">
        <v>-0.54062399999999999</v>
      </c>
      <c r="E748" s="21">
        <v>-0.71981899999999999</v>
      </c>
      <c r="F748" s="21">
        <v>0.61904800000000004</v>
      </c>
      <c r="G748" s="21">
        <v>0.25</v>
      </c>
      <c r="H748" s="21">
        <v>0.2</v>
      </c>
    </row>
    <row r="749" spans="1:8">
      <c r="A749" s="4" t="s">
        <v>905</v>
      </c>
      <c r="B749" s="4">
        <v>5</v>
      </c>
      <c r="C749" s="21">
        <v>-0.43777100000000002</v>
      </c>
      <c r="D749" s="21">
        <v>-0.255828</v>
      </c>
      <c r="E749" s="21">
        <v>-0.3468</v>
      </c>
      <c r="F749" s="21">
        <v>0.42857099999999998</v>
      </c>
      <c r="G749" s="21">
        <v>0.41666700000000001</v>
      </c>
      <c r="H749" s="21">
        <v>0.4</v>
      </c>
    </row>
    <row r="750" spans="1:8">
      <c r="A750" s="4" t="s">
        <v>905</v>
      </c>
      <c r="B750" s="4">
        <v>6</v>
      </c>
      <c r="C750" s="21">
        <v>-0.37171300000000002</v>
      </c>
      <c r="D750" s="21">
        <v>-0.17152000000000001</v>
      </c>
      <c r="E750" s="21">
        <v>-0.27161600000000002</v>
      </c>
      <c r="F750" s="21">
        <v>0.238095</v>
      </c>
      <c r="G750" s="21">
        <v>0.33333299999999999</v>
      </c>
      <c r="H750" s="21">
        <v>0.4</v>
      </c>
    </row>
    <row r="751" spans="1:8">
      <c r="A751" s="4" t="s">
        <v>905</v>
      </c>
      <c r="B751" s="4">
        <v>7</v>
      </c>
      <c r="C751" s="21">
        <v>-0.87473299999999998</v>
      </c>
      <c r="D751" s="21">
        <v>-0.44198799999999999</v>
      </c>
      <c r="E751" s="21">
        <v>-0.65836099999999997</v>
      </c>
      <c r="F751" s="21">
        <v>0.42857099999999998</v>
      </c>
      <c r="G751" s="21">
        <v>0.16666700000000001</v>
      </c>
      <c r="H751" s="21">
        <v>0.2</v>
      </c>
    </row>
    <row r="752" spans="1:8">
      <c r="A752" s="4" t="s">
        <v>905</v>
      </c>
      <c r="B752" s="4">
        <v>8</v>
      </c>
      <c r="C752" s="21">
        <v>-0.79690499999999997</v>
      </c>
      <c r="D752" s="21">
        <v>-0.46372000000000002</v>
      </c>
      <c r="E752" s="21">
        <v>-0.63031199999999998</v>
      </c>
      <c r="F752" s="21">
        <v>0.33333299999999999</v>
      </c>
      <c r="G752" s="21">
        <v>0.25</v>
      </c>
      <c r="H752" s="21">
        <v>0.2</v>
      </c>
    </row>
    <row r="753" spans="1:8">
      <c r="A753" s="4" t="s">
        <v>905</v>
      </c>
      <c r="B753" s="4">
        <v>9</v>
      </c>
      <c r="C753" s="21">
        <v>-0.74095900000000003</v>
      </c>
      <c r="D753" s="21">
        <v>-0.345466</v>
      </c>
      <c r="E753" s="21">
        <v>-0.54321200000000003</v>
      </c>
      <c r="F753" s="21">
        <v>0.42857099999999998</v>
      </c>
      <c r="G753" s="21">
        <v>0.33333299999999999</v>
      </c>
      <c r="H753" s="21">
        <v>0.2</v>
      </c>
    </row>
    <row r="754" spans="1:8">
      <c r="A754" s="4" t="s">
        <v>905</v>
      </c>
      <c r="B754" s="4">
        <v>10</v>
      </c>
      <c r="C754" s="21">
        <v>-0.92216799999999999</v>
      </c>
      <c r="D754" s="21">
        <v>-0.484099</v>
      </c>
      <c r="E754" s="21">
        <v>-0.70313400000000004</v>
      </c>
      <c r="F754" s="21">
        <v>0.33333299999999999</v>
      </c>
      <c r="G754" s="21">
        <v>0.16666700000000001</v>
      </c>
      <c r="H754" s="21">
        <v>0.2</v>
      </c>
    </row>
    <row r="755" spans="1:8">
      <c r="A755" s="4" t="s">
        <v>906</v>
      </c>
      <c r="B755" s="4">
        <v>1</v>
      </c>
      <c r="C755" s="21">
        <v>-0.39713100000000001</v>
      </c>
      <c r="D755" s="21">
        <v>-0.26594699999999999</v>
      </c>
      <c r="E755" s="21">
        <v>-0.33153899999999997</v>
      </c>
      <c r="F755" s="21">
        <v>0.38095200000000001</v>
      </c>
      <c r="G755" s="21">
        <v>0.41666700000000001</v>
      </c>
      <c r="H755" s="21">
        <v>0.6</v>
      </c>
    </row>
    <row r="756" spans="1:8">
      <c r="A756" s="4" t="s">
        <v>906</v>
      </c>
      <c r="B756" s="4">
        <v>2</v>
      </c>
      <c r="C756" s="21">
        <v>-0.66691999999999996</v>
      </c>
      <c r="D756" s="21">
        <v>-0.354018</v>
      </c>
      <c r="E756" s="21">
        <v>-0.51046899999999995</v>
      </c>
      <c r="F756" s="21">
        <v>0.33333299999999999</v>
      </c>
      <c r="G756" s="21">
        <v>0.33333299999999999</v>
      </c>
      <c r="H756" s="21">
        <v>0.2</v>
      </c>
    </row>
    <row r="757" spans="1:8">
      <c r="A757" s="4" t="s">
        <v>906</v>
      </c>
      <c r="B757" s="4">
        <v>3</v>
      </c>
      <c r="C757" s="21">
        <v>-1.1921790000000001</v>
      </c>
      <c r="D757" s="21">
        <v>-0.56675900000000001</v>
      </c>
      <c r="E757" s="21">
        <v>-0.87946899999999995</v>
      </c>
      <c r="F757" s="21">
        <v>0.33333299999999999</v>
      </c>
      <c r="G757" s="21">
        <v>0.16666700000000001</v>
      </c>
      <c r="H757" s="21">
        <v>0.2</v>
      </c>
    </row>
    <row r="758" spans="1:8">
      <c r="A758" s="4" t="s">
        <v>906</v>
      </c>
      <c r="B758" s="4">
        <v>4</v>
      </c>
      <c r="C758" s="21">
        <v>-0.60070599999999996</v>
      </c>
      <c r="D758" s="21">
        <v>-0.312056</v>
      </c>
      <c r="E758" s="21">
        <v>-0.45638099999999998</v>
      </c>
      <c r="F758" s="21">
        <v>0.238095</v>
      </c>
      <c r="G758" s="21">
        <v>0.33333299999999999</v>
      </c>
      <c r="H758" s="21">
        <v>0.2</v>
      </c>
    </row>
    <row r="759" spans="1:8">
      <c r="A759" s="4" t="s">
        <v>906</v>
      </c>
      <c r="B759" s="4">
        <v>5</v>
      </c>
      <c r="C759" s="21">
        <v>-0.79370600000000002</v>
      </c>
      <c r="D759" s="21">
        <v>-0.42158299999999999</v>
      </c>
      <c r="E759" s="21">
        <v>-0.60764499999999999</v>
      </c>
      <c r="F759" s="21">
        <v>0.52381</v>
      </c>
      <c r="G759" s="21">
        <v>0.16666700000000001</v>
      </c>
      <c r="H759" s="21">
        <v>0.2</v>
      </c>
    </row>
    <row r="760" spans="1:8">
      <c r="A760" s="4" t="s">
        <v>906</v>
      </c>
      <c r="B760" s="4">
        <v>6</v>
      </c>
      <c r="C760" s="21">
        <v>-0.69258299999999995</v>
      </c>
      <c r="D760" s="21">
        <v>-0.39566200000000001</v>
      </c>
      <c r="E760" s="21">
        <v>-0.54412300000000002</v>
      </c>
      <c r="F760" s="21">
        <v>0.33333299999999999</v>
      </c>
      <c r="G760" s="21">
        <v>0.25</v>
      </c>
      <c r="H760" s="21">
        <v>0.2</v>
      </c>
    </row>
    <row r="761" spans="1:8">
      <c r="A761" s="4" t="s">
        <v>906</v>
      </c>
      <c r="B761" s="4">
        <v>7</v>
      </c>
      <c r="C761" s="21">
        <v>-0.89819499999999997</v>
      </c>
      <c r="D761" s="21">
        <v>-0.48772399999999999</v>
      </c>
      <c r="E761" s="21">
        <v>-0.69296000000000002</v>
      </c>
      <c r="F761" s="21">
        <v>0.28571400000000002</v>
      </c>
      <c r="G761" s="21">
        <v>8.3333000000000004E-2</v>
      </c>
      <c r="H761" s="21">
        <v>0</v>
      </c>
    </row>
    <row r="762" spans="1:8">
      <c r="A762" s="4" t="s">
        <v>906</v>
      </c>
      <c r="B762" s="4">
        <v>8</v>
      </c>
      <c r="C762" s="21">
        <v>-0.77569200000000005</v>
      </c>
      <c r="D762" s="21">
        <v>-0.546991</v>
      </c>
      <c r="E762" s="21">
        <v>-0.66134199999999999</v>
      </c>
      <c r="F762" s="21">
        <v>0.33333299999999999</v>
      </c>
      <c r="G762" s="21">
        <v>0.25</v>
      </c>
      <c r="H762" s="21">
        <v>0.4</v>
      </c>
    </row>
    <row r="763" spans="1:8">
      <c r="A763" s="4" t="s">
        <v>906</v>
      </c>
      <c r="B763" s="4">
        <v>9</v>
      </c>
      <c r="C763" s="21">
        <v>-0.68928299999999998</v>
      </c>
      <c r="D763" s="21">
        <v>-0.54055799999999998</v>
      </c>
      <c r="E763" s="21">
        <v>-0.61492000000000002</v>
      </c>
      <c r="F763" s="21">
        <v>0.38095200000000001</v>
      </c>
      <c r="G763" s="21">
        <v>0.33333299999999999</v>
      </c>
      <c r="H763" s="21">
        <v>0.4</v>
      </c>
    </row>
    <row r="764" spans="1:8">
      <c r="A764" s="4" t="s">
        <v>906</v>
      </c>
      <c r="B764" s="4">
        <v>10</v>
      </c>
      <c r="C764" s="21">
        <v>-0.48012500000000002</v>
      </c>
      <c r="D764" s="21">
        <v>-0.25105899999999998</v>
      </c>
      <c r="E764" s="21">
        <v>-0.36559199999999997</v>
      </c>
      <c r="F764" s="21">
        <v>0.57142899999999996</v>
      </c>
      <c r="G764" s="21">
        <v>0.33333299999999999</v>
      </c>
      <c r="H764" s="21">
        <v>0</v>
      </c>
    </row>
    <row r="765" spans="1:8">
      <c r="A765" s="4" t="s">
        <v>907</v>
      </c>
      <c r="B765" s="4">
        <v>1</v>
      </c>
      <c r="C765" s="21">
        <v>-0.82634300000000005</v>
      </c>
      <c r="D765" s="21">
        <v>-0.54305899999999996</v>
      </c>
      <c r="E765" s="21">
        <v>-0.684701</v>
      </c>
      <c r="F765" s="21">
        <v>0.238095</v>
      </c>
      <c r="G765" s="21">
        <v>0.25</v>
      </c>
      <c r="H765" s="21">
        <v>0.2</v>
      </c>
    </row>
    <row r="766" spans="1:8">
      <c r="A766" s="4" t="s">
        <v>907</v>
      </c>
      <c r="B766" s="4">
        <v>2</v>
      </c>
      <c r="C766" s="21">
        <v>-0.65998100000000004</v>
      </c>
      <c r="D766" s="21">
        <v>-0.45718999999999999</v>
      </c>
      <c r="E766" s="21">
        <v>-0.55858600000000003</v>
      </c>
      <c r="F766" s="21">
        <v>0.42857099999999998</v>
      </c>
      <c r="G766" s="21">
        <v>0.41666700000000001</v>
      </c>
      <c r="H766" s="21">
        <v>0.4</v>
      </c>
    </row>
    <row r="767" spans="1:8">
      <c r="A767" s="4" t="s">
        <v>907</v>
      </c>
      <c r="B767" s="4">
        <v>3</v>
      </c>
      <c r="C767" s="21">
        <v>-0.80889100000000003</v>
      </c>
      <c r="D767" s="21">
        <v>-0.25986100000000001</v>
      </c>
      <c r="E767" s="21">
        <v>-0.53437599999999996</v>
      </c>
      <c r="F767" s="21">
        <v>0.238095</v>
      </c>
      <c r="G767" s="21">
        <v>0.16666700000000001</v>
      </c>
      <c r="H767" s="21">
        <v>0</v>
      </c>
    </row>
    <row r="768" spans="1:8">
      <c r="A768" s="4" t="s">
        <v>907</v>
      </c>
      <c r="B768" s="4">
        <v>4</v>
      </c>
      <c r="C768" s="21">
        <v>-0.89334499999999994</v>
      </c>
      <c r="D768" s="21">
        <v>-0.50226599999999999</v>
      </c>
      <c r="E768" s="21">
        <v>-0.69780500000000001</v>
      </c>
      <c r="F768" s="21">
        <v>0.42857099999999998</v>
      </c>
      <c r="G768" s="21">
        <v>0</v>
      </c>
      <c r="H768" s="21">
        <v>0</v>
      </c>
    </row>
    <row r="769" spans="1:8">
      <c r="A769" s="4" t="s">
        <v>907</v>
      </c>
      <c r="B769" s="4">
        <v>5</v>
      </c>
      <c r="C769" s="21">
        <v>-0.68414399999999997</v>
      </c>
      <c r="D769" s="21">
        <v>-0.31441000000000002</v>
      </c>
      <c r="E769" s="21">
        <v>-0.49927700000000003</v>
      </c>
      <c r="F769" s="21">
        <v>0.52381</v>
      </c>
      <c r="G769" s="21">
        <v>0.33333299999999999</v>
      </c>
      <c r="H769" s="21">
        <v>0.4</v>
      </c>
    </row>
    <row r="770" spans="1:8">
      <c r="A770" s="4" t="s">
        <v>907</v>
      </c>
      <c r="B770" s="4">
        <v>6</v>
      </c>
      <c r="C770" s="21">
        <v>-0.64868899999999996</v>
      </c>
      <c r="D770" s="21">
        <v>-0.402667</v>
      </c>
      <c r="E770" s="21">
        <v>-0.52567799999999998</v>
      </c>
      <c r="F770" s="21">
        <v>0.28571400000000002</v>
      </c>
      <c r="G770" s="21">
        <v>0.33333299999999999</v>
      </c>
      <c r="H770" s="21">
        <v>0.6</v>
      </c>
    </row>
    <row r="771" spans="1:8">
      <c r="A771" s="4" t="s">
        <v>907</v>
      </c>
      <c r="B771" s="4">
        <v>7</v>
      </c>
      <c r="C771" s="21">
        <v>-0.89966299999999999</v>
      </c>
      <c r="D771" s="21">
        <v>-0.54333399999999998</v>
      </c>
      <c r="E771" s="21">
        <v>-0.721499</v>
      </c>
      <c r="F771" s="21">
        <v>0.52381</v>
      </c>
      <c r="G771" s="21">
        <v>0.16666700000000001</v>
      </c>
      <c r="H771" s="21">
        <v>0.2</v>
      </c>
    </row>
    <row r="772" spans="1:8">
      <c r="A772" s="4" t="s">
        <v>907</v>
      </c>
      <c r="B772" s="4">
        <v>8</v>
      </c>
      <c r="C772" s="21">
        <v>-0.88084700000000005</v>
      </c>
      <c r="D772" s="21">
        <v>-0.48300599999999999</v>
      </c>
      <c r="E772" s="21">
        <v>-0.68192699999999995</v>
      </c>
      <c r="F772" s="21">
        <v>0.38095200000000001</v>
      </c>
      <c r="G772" s="21">
        <v>0.25</v>
      </c>
      <c r="H772" s="21">
        <v>0.4</v>
      </c>
    </row>
    <row r="773" spans="1:8">
      <c r="A773" s="4" t="s">
        <v>907</v>
      </c>
      <c r="B773" s="4">
        <v>9</v>
      </c>
      <c r="C773" s="21">
        <v>-0.642177</v>
      </c>
      <c r="D773" s="21">
        <v>-0.337177</v>
      </c>
      <c r="E773" s="21">
        <v>-0.48967699999999997</v>
      </c>
      <c r="F773" s="21">
        <v>0.42857099999999998</v>
      </c>
      <c r="G773" s="21">
        <v>0.25</v>
      </c>
      <c r="H773" s="21">
        <v>0.2</v>
      </c>
    </row>
    <row r="774" spans="1:8">
      <c r="A774" s="4" t="s">
        <v>907</v>
      </c>
      <c r="B774" s="4">
        <v>10</v>
      </c>
      <c r="C774" s="21">
        <v>-0.79572200000000004</v>
      </c>
      <c r="D774" s="21">
        <v>-0.401258</v>
      </c>
      <c r="E774" s="21">
        <v>-0.59848999999999997</v>
      </c>
      <c r="F774" s="21">
        <v>0.33333299999999999</v>
      </c>
      <c r="G774" s="21">
        <v>0.33333299999999999</v>
      </c>
      <c r="H774" s="21">
        <v>0.4</v>
      </c>
    </row>
    <row r="775" spans="1:8">
      <c r="A775" s="4" t="s">
        <v>908</v>
      </c>
      <c r="B775" s="4">
        <v>1</v>
      </c>
      <c r="C775" s="21">
        <v>-0.66741200000000001</v>
      </c>
      <c r="D775" s="21">
        <v>-0.39534900000000001</v>
      </c>
      <c r="E775" s="21">
        <v>-0.53138099999999999</v>
      </c>
      <c r="F775" s="21">
        <v>0.42857099999999998</v>
      </c>
      <c r="G775" s="21">
        <v>0.25</v>
      </c>
      <c r="H775" s="21">
        <v>0.2</v>
      </c>
    </row>
    <row r="776" spans="1:8">
      <c r="A776" s="4" t="s">
        <v>908</v>
      </c>
      <c r="B776" s="4">
        <v>2</v>
      </c>
      <c r="C776" s="21">
        <v>-0.37975199999999998</v>
      </c>
      <c r="D776" s="21">
        <v>-0.256886</v>
      </c>
      <c r="E776" s="21">
        <v>-0.31831900000000002</v>
      </c>
      <c r="F776" s="21">
        <v>0.38095200000000001</v>
      </c>
      <c r="G776" s="21">
        <v>0.41666700000000001</v>
      </c>
      <c r="H776" s="21">
        <v>0.4</v>
      </c>
    </row>
    <row r="777" spans="1:8">
      <c r="A777" s="4" t="s">
        <v>908</v>
      </c>
      <c r="B777" s="4">
        <v>3</v>
      </c>
      <c r="C777" s="21">
        <v>-0.91716299999999995</v>
      </c>
      <c r="D777" s="21">
        <v>-0.563249</v>
      </c>
      <c r="E777" s="21">
        <v>-0.74020600000000003</v>
      </c>
      <c r="F777" s="21">
        <v>0.28571400000000002</v>
      </c>
      <c r="G777" s="21">
        <v>8.3333000000000004E-2</v>
      </c>
      <c r="H777" s="21">
        <v>0.2</v>
      </c>
    </row>
    <row r="778" spans="1:8">
      <c r="A778" s="4" t="s">
        <v>908</v>
      </c>
      <c r="B778" s="4">
        <v>4</v>
      </c>
      <c r="C778" s="21">
        <v>-1.1055250000000001</v>
      </c>
      <c r="D778" s="21">
        <v>-0.40926299999999999</v>
      </c>
      <c r="E778" s="21">
        <v>-0.75739400000000001</v>
      </c>
      <c r="F778" s="21">
        <v>0.38095200000000001</v>
      </c>
      <c r="G778" s="21">
        <v>8.3333000000000004E-2</v>
      </c>
      <c r="H778" s="21">
        <v>0</v>
      </c>
    </row>
    <row r="779" spans="1:8">
      <c r="A779" s="4" t="s">
        <v>908</v>
      </c>
      <c r="B779" s="4">
        <v>5</v>
      </c>
      <c r="C779" s="21">
        <v>-0.95973900000000001</v>
      </c>
      <c r="D779" s="21">
        <v>-0.489705</v>
      </c>
      <c r="E779" s="21">
        <v>-0.72472199999999998</v>
      </c>
      <c r="F779" s="21">
        <v>0.28571400000000002</v>
      </c>
      <c r="G779" s="21">
        <v>8.3333000000000004E-2</v>
      </c>
      <c r="H779" s="21">
        <v>0</v>
      </c>
    </row>
    <row r="780" spans="1:8">
      <c r="A780" s="4" t="s">
        <v>908</v>
      </c>
      <c r="B780" s="4">
        <v>6</v>
      </c>
      <c r="C780" s="21">
        <v>-0.85715699999999995</v>
      </c>
      <c r="D780" s="21">
        <v>-0.46585199999999999</v>
      </c>
      <c r="E780" s="21">
        <v>-0.66150399999999998</v>
      </c>
      <c r="F780" s="21">
        <v>0.19047600000000001</v>
      </c>
      <c r="G780" s="21">
        <v>0.16666700000000001</v>
      </c>
      <c r="H780" s="21">
        <v>0</v>
      </c>
    </row>
    <row r="781" spans="1:8">
      <c r="A781" s="4" t="s">
        <v>908</v>
      </c>
      <c r="B781" s="4">
        <v>7</v>
      </c>
      <c r="C781" s="21">
        <v>-0.86133899999999997</v>
      </c>
      <c r="D781" s="21">
        <v>-0.32771899999999998</v>
      </c>
      <c r="E781" s="21">
        <v>-0.59452899999999997</v>
      </c>
      <c r="F781" s="21">
        <v>0.42857099999999998</v>
      </c>
      <c r="G781" s="21">
        <v>0.16666700000000001</v>
      </c>
      <c r="H781" s="21">
        <v>0</v>
      </c>
    </row>
    <row r="782" spans="1:8">
      <c r="A782" s="4" t="s">
        <v>908</v>
      </c>
      <c r="B782" s="4">
        <v>8</v>
      </c>
      <c r="C782" s="21">
        <v>-0.81052500000000005</v>
      </c>
      <c r="D782" s="21">
        <v>-0.63378800000000002</v>
      </c>
      <c r="E782" s="21">
        <v>-0.72215700000000005</v>
      </c>
      <c r="F782" s="21">
        <v>0.47619</v>
      </c>
      <c r="G782" s="21">
        <v>0.25</v>
      </c>
      <c r="H782" s="21">
        <v>0.2</v>
      </c>
    </row>
    <row r="783" spans="1:8">
      <c r="A783" s="4" t="s">
        <v>908</v>
      </c>
      <c r="B783" s="4">
        <v>9</v>
      </c>
      <c r="C783" s="21">
        <v>-0.96352400000000005</v>
      </c>
      <c r="D783" s="21">
        <v>-0.39560899999999999</v>
      </c>
      <c r="E783" s="21">
        <v>-0.679566</v>
      </c>
      <c r="F783" s="21">
        <v>0.47619</v>
      </c>
      <c r="G783" s="21">
        <v>0.25</v>
      </c>
      <c r="H783" s="21">
        <v>0.2</v>
      </c>
    </row>
    <row r="784" spans="1:8">
      <c r="A784" s="4" t="s">
        <v>908</v>
      </c>
      <c r="B784" s="4">
        <v>10</v>
      </c>
      <c r="C784" s="21">
        <v>-0.59723499999999996</v>
      </c>
      <c r="D784" s="21">
        <v>-0.40442299999999998</v>
      </c>
      <c r="E784" s="21">
        <v>-0.50082899999999997</v>
      </c>
      <c r="F784" s="21">
        <v>0.47619</v>
      </c>
      <c r="G784" s="21">
        <v>0.41666700000000001</v>
      </c>
      <c r="H784" s="21">
        <v>0.4</v>
      </c>
    </row>
    <row r="785" spans="1:8">
      <c r="A785" s="4" t="s">
        <v>909</v>
      </c>
      <c r="B785" s="4">
        <v>1</v>
      </c>
      <c r="C785" s="21">
        <v>-0.93234300000000003</v>
      </c>
      <c r="D785" s="21">
        <v>-0.57110899999999998</v>
      </c>
      <c r="E785" s="21">
        <v>-0.75172600000000001</v>
      </c>
      <c r="F785" s="21">
        <v>0.28571400000000002</v>
      </c>
      <c r="G785" s="21">
        <v>0.25</v>
      </c>
      <c r="H785" s="21">
        <v>0.2</v>
      </c>
    </row>
    <row r="786" spans="1:8">
      <c r="A786" s="4" t="s">
        <v>909</v>
      </c>
      <c r="B786" s="4">
        <v>2</v>
      </c>
      <c r="C786" s="21">
        <v>-0.55533200000000005</v>
      </c>
      <c r="D786" s="21">
        <v>-0.61765199999999998</v>
      </c>
      <c r="E786" s="21">
        <v>-0.58649200000000001</v>
      </c>
      <c r="F786" s="21">
        <v>0.47619</v>
      </c>
      <c r="G786" s="21">
        <v>0.33333299999999999</v>
      </c>
      <c r="H786" s="21">
        <v>0.6</v>
      </c>
    </row>
    <row r="787" spans="1:8">
      <c r="A787" s="4" t="s">
        <v>909</v>
      </c>
      <c r="B787" s="4">
        <v>3</v>
      </c>
      <c r="C787" s="21">
        <v>-0.92954400000000004</v>
      </c>
      <c r="D787" s="21">
        <v>-0.40039799999999998</v>
      </c>
      <c r="E787" s="21">
        <v>-0.66497099999999998</v>
      </c>
      <c r="F787" s="21">
        <v>0.28571400000000002</v>
      </c>
      <c r="G787" s="21">
        <v>0</v>
      </c>
      <c r="H787" s="21">
        <v>0</v>
      </c>
    </row>
    <row r="788" spans="1:8">
      <c r="A788" s="4" t="s">
        <v>909</v>
      </c>
      <c r="B788" s="4">
        <v>4</v>
      </c>
      <c r="C788" s="21">
        <v>-0.81124600000000002</v>
      </c>
      <c r="D788" s="21">
        <v>-0.387042</v>
      </c>
      <c r="E788" s="21">
        <v>-0.59914400000000001</v>
      </c>
      <c r="F788" s="21">
        <v>0.33333299999999999</v>
      </c>
      <c r="G788" s="21">
        <v>0.16666700000000001</v>
      </c>
      <c r="H788" s="21">
        <v>0</v>
      </c>
    </row>
    <row r="789" spans="1:8">
      <c r="A789" s="4" t="s">
        <v>909</v>
      </c>
      <c r="B789" s="4">
        <v>5</v>
      </c>
      <c r="C789" s="21">
        <v>-0.92720199999999997</v>
      </c>
      <c r="D789" s="21">
        <v>-0.447799</v>
      </c>
      <c r="E789" s="21">
        <v>-0.6875</v>
      </c>
      <c r="F789" s="21">
        <v>0.52381</v>
      </c>
      <c r="G789" s="21">
        <v>0.16666700000000001</v>
      </c>
      <c r="H789" s="21">
        <v>0</v>
      </c>
    </row>
    <row r="790" spans="1:8">
      <c r="A790" s="4" t="s">
        <v>909</v>
      </c>
      <c r="B790" s="4">
        <v>6</v>
      </c>
      <c r="C790" s="21">
        <v>-0.361792</v>
      </c>
      <c r="D790" s="21">
        <v>-0.13458300000000001</v>
      </c>
      <c r="E790" s="21">
        <v>-0.24818799999999999</v>
      </c>
      <c r="F790" s="21">
        <v>0.38095200000000001</v>
      </c>
      <c r="G790" s="21">
        <v>0.41666700000000001</v>
      </c>
      <c r="H790" s="21">
        <v>0.2</v>
      </c>
    </row>
    <row r="791" spans="1:8">
      <c r="A791" s="4" t="s">
        <v>909</v>
      </c>
      <c r="B791" s="4">
        <v>7</v>
      </c>
      <c r="C791" s="21">
        <v>-0.73079899999999998</v>
      </c>
      <c r="D791" s="21">
        <v>-0.49217100000000003</v>
      </c>
      <c r="E791" s="21">
        <v>-0.61148499999999995</v>
      </c>
      <c r="F791" s="21">
        <v>0.42857099999999998</v>
      </c>
      <c r="G791" s="21">
        <v>0.25</v>
      </c>
      <c r="H791" s="21">
        <v>0.2</v>
      </c>
    </row>
    <row r="792" spans="1:8">
      <c r="A792" s="4" t="s">
        <v>909</v>
      </c>
      <c r="B792" s="4">
        <v>8</v>
      </c>
      <c r="C792" s="21">
        <v>-0.63750499999999999</v>
      </c>
      <c r="D792" s="21">
        <v>-0.330461</v>
      </c>
      <c r="E792" s="21">
        <v>-0.483983</v>
      </c>
      <c r="F792" s="21">
        <v>0.19047600000000001</v>
      </c>
      <c r="G792" s="21">
        <v>0.41666700000000001</v>
      </c>
      <c r="H792" s="21">
        <v>0.8</v>
      </c>
    </row>
    <row r="793" spans="1:8">
      <c r="A793" s="4" t="s">
        <v>909</v>
      </c>
      <c r="B793" s="4">
        <v>9</v>
      </c>
      <c r="C793" s="21">
        <v>-0.77974200000000005</v>
      </c>
      <c r="D793" s="21">
        <v>-0.49663099999999999</v>
      </c>
      <c r="E793" s="21">
        <v>-0.63818699999999995</v>
      </c>
      <c r="F793" s="21">
        <v>0.47619</v>
      </c>
      <c r="G793" s="21">
        <v>0.5</v>
      </c>
      <c r="H793" s="21">
        <v>0.6</v>
      </c>
    </row>
    <row r="794" spans="1:8">
      <c r="A794" s="4" t="s">
        <v>909</v>
      </c>
      <c r="B794" s="4">
        <v>10</v>
      </c>
      <c r="C794" s="21">
        <v>-0.55768200000000001</v>
      </c>
      <c r="D794" s="21">
        <v>-0.25858799999999998</v>
      </c>
      <c r="E794" s="21">
        <v>-0.40813500000000003</v>
      </c>
      <c r="F794" s="21">
        <v>0.33333299999999999</v>
      </c>
      <c r="G794" s="21">
        <v>0.41666700000000001</v>
      </c>
      <c r="H794" s="21">
        <v>0.4</v>
      </c>
    </row>
    <row r="795" spans="1:8">
      <c r="A795" s="4" t="s">
        <v>910</v>
      </c>
      <c r="B795" s="4">
        <v>1</v>
      </c>
      <c r="C795" s="21">
        <v>-0.54727099999999995</v>
      </c>
      <c r="D795" s="21">
        <v>-0.21873300000000001</v>
      </c>
      <c r="E795" s="21">
        <v>-0.38300200000000001</v>
      </c>
      <c r="F795" s="21">
        <v>0.52381</v>
      </c>
      <c r="G795" s="21">
        <v>0.25</v>
      </c>
      <c r="H795" s="21">
        <v>0</v>
      </c>
    </row>
    <row r="796" spans="1:8">
      <c r="A796" s="4" t="s">
        <v>910</v>
      </c>
      <c r="B796" s="4">
        <v>2</v>
      </c>
      <c r="C796" s="21">
        <v>-0.88051400000000002</v>
      </c>
      <c r="D796" s="21">
        <v>-0.52588299999999999</v>
      </c>
      <c r="E796" s="21">
        <v>-0.70319900000000002</v>
      </c>
      <c r="F796" s="21">
        <v>0.238095</v>
      </c>
      <c r="G796" s="21">
        <v>0.25</v>
      </c>
      <c r="H796" s="21">
        <v>0.2</v>
      </c>
    </row>
    <row r="797" spans="1:8">
      <c r="A797" s="4" t="s">
        <v>910</v>
      </c>
      <c r="B797" s="4">
        <v>3</v>
      </c>
      <c r="C797" s="21">
        <v>-0.86045499999999997</v>
      </c>
      <c r="D797" s="21">
        <v>-0.54899699999999996</v>
      </c>
      <c r="E797" s="21">
        <v>-0.70472599999999996</v>
      </c>
      <c r="F797" s="21">
        <v>0.52381</v>
      </c>
      <c r="G797" s="21">
        <v>0.16666700000000001</v>
      </c>
      <c r="H797" s="21">
        <v>0.4</v>
      </c>
    </row>
    <row r="798" spans="1:8">
      <c r="A798" s="4" t="s">
        <v>910</v>
      </c>
      <c r="B798" s="4">
        <v>4</v>
      </c>
      <c r="C798" s="21">
        <v>-0.63252200000000003</v>
      </c>
      <c r="D798" s="21">
        <v>-0.33130500000000002</v>
      </c>
      <c r="E798" s="21">
        <v>-0.48191299999999998</v>
      </c>
      <c r="F798" s="21">
        <v>0.52381</v>
      </c>
      <c r="G798" s="21">
        <v>0.16666700000000001</v>
      </c>
      <c r="H798" s="21">
        <v>0.2</v>
      </c>
    </row>
    <row r="799" spans="1:8">
      <c r="A799" s="4" t="s">
        <v>910</v>
      </c>
      <c r="B799" s="4">
        <v>5</v>
      </c>
      <c r="C799" s="21">
        <v>-0.56951700000000005</v>
      </c>
      <c r="D799" s="21">
        <v>-0.314857</v>
      </c>
      <c r="E799" s="21">
        <v>-0.442187</v>
      </c>
      <c r="F799" s="21">
        <v>0.47619</v>
      </c>
      <c r="G799" s="21">
        <v>0.25</v>
      </c>
      <c r="H799" s="21">
        <v>0.2</v>
      </c>
    </row>
    <row r="800" spans="1:8">
      <c r="A800" s="4" t="s">
        <v>910</v>
      </c>
      <c r="B800" s="4">
        <v>6</v>
      </c>
      <c r="C800" s="21">
        <v>-0.94440199999999996</v>
      </c>
      <c r="D800" s="21">
        <v>-0.473634</v>
      </c>
      <c r="E800" s="21">
        <v>-0.70901800000000004</v>
      </c>
      <c r="F800" s="21">
        <v>0.38095200000000001</v>
      </c>
      <c r="G800" s="21">
        <v>8.3333000000000004E-2</v>
      </c>
      <c r="H800" s="21">
        <v>0</v>
      </c>
    </row>
    <row r="801" spans="1:8">
      <c r="A801" s="4" t="s">
        <v>910</v>
      </c>
      <c r="B801" s="4">
        <v>7</v>
      </c>
      <c r="C801" s="21">
        <v>-0.83685799999999999</v>
      </c>
      <c r="D801" s="21">
        <v>-0.47164699999999998</v>
      </c>
      <c r="E801" s="21">
        <v>-0.65425299999999997</v>
      </c>
      <c r="F801" s="21">
        <v>0.47619</v>
      </c>
      <c r="G801" s="21">
        <v>0.41666700000000001</v>
      </c>
      <c r="H801" s="21">
        <v>0.2</v>
      </c>
    </row>
    <row r="802" spans="1:8">
      <c r="A802" s="4" t="s">
        <v>910</v>
      </c>
      <c r="B802" s="4">
        <v>8</v>
      </c>
      <c r="C802" s="21">
        <v>-0.90426600000000001</v>
      </c>
      <c r="D802" s="21">
        <v>-0.43255199999999999</v>
      </c>
      <c r="E802" s="21">
        <v>-0.66840900000000003</v>
      </c>
      <c r="F802" s="21">
        <v>0.38095200000000001</v>
      </c>
      <c r="G802" s="21">
        <v>0.16666700000000001</v>
      </c>
      <c r="H802" s="21">
        <v>0.4</v>
      </c>
    </row>
    <row r="803" spans="1:8">
      <c r="A803" s="4" t="s">
        <v>910</v>
      </c>
      <c r="B803" s="4">
        <v>9</v>
      </c>
      <c r="C803" s="21">
        <v>-1.0084690000000001</v>
      </c>
      <c r="D803" s="21">
        <v>-0.42608600000000002</v>
      </c>
      <c r="E803" s="21">
        <v>-0.71727799999999997</v>
      </c>
      <c r="F803" s="21">
        <v>0.238095</v>
      </c>
      <c r="G803" s="21">
        <v>0.25</v>
      </c>
      <c r="H803" s="21">
        <v>0.2</v>
      </c>
    </row>
    <row r="804" spans="1:8">
      <c r="A804" s="4" t="s">
        <v>910</v>
      </c>
      <c r="B804" s="4">
        <v>10</v>
      </c>
      <c r="C804" s="21">
        <v>-0.81000799999999995</v>
      </c>
      <c r="D804" s="21">
        <v>-0.39960200000000001</v>
      </c>
      <c r="E804" s="21">
        <v>-0.60480500000000004</v>
      </c>
      <c r="F804" s="21">
        <v>0.33333299999999999</v>
      </c>
      <c r="G804" s="21">
        <v>8.3333000000000004E-2</v>
      </c>
      <c r="H804" s="21">
        <v>0.2</v>
      </c>
    </row>
    <row r="805" spans="1:8">
      <c r="A805" s="4" t="s">
        <v>911</v>
      </c>
      <c r="B805" s="4">
        <v>1</v>
      </c>
      <c r="C805" s="21">
        <v>-0.767235</v>
      </c>
      <c r="D805" s="21">
        <v>-0.51261900000000005</v>
      </c>
      <c r="E805" s="21">
        <v>-0.63992700000000002</v>
      </c>
      <c r="F805" s="21">
        <v>0.47619</v>
      </c>
      <c r="G805" s="21">
        <v>0.33333299999999999</v>
      </c>
      <c r="H805" s="21">
        <v>0.4</v>
      </c>
    </row>
    <row r="806" spans="1:8">
      <c r="A806" s="4" t="s">
        <v>911</v>
      </c>
      <c r="B806" s="4">
        <v>2</v>
      </c>
      <c r="C806" s="21">
        <v>-0.79554000000000002</v>
      </c>
      <c r="D806" s="21">
        <v>-0.41643599999999997</v>
      </c>
      <c r="E806" s="21">
        <v>-0.60598799999999997</v>
      </c>
      <c r="F806" s="21">
        <v>0.42857099999999998</v>
      </c>
      <c r="G806" s="21">
        <v>0.25</v>
      </c>
      <c r="H806" s="21">
        <v>0.2</v>
      </c>
    </row>
    <row r="807" spans="1:8">
      <c r="A807" s="4" t="s">
        <v>911</v>
      </c>
      <c r="B807" s="4">
        <v>3</v>
      </c>
      <c r="C807" s="21">
        <v>-0.94570699999999996</v>
      </c>
      <c r="D807" s="21">
        <v>-0.46585599999999999</v>
      </c>
      <c r="E807" s="21">
        <v>-0.70578200000000002</v>
      </c>
      <c r="F807" s="21">
        <v>0.38095200000000001</v>
      </c>
      <c r="G807" s="21">
        <v>0.25</v>
      </c>
      <c r="H807" s="21">
        <v>0</v>
      </c>
    </row>
    <row r="808" spans="1:8">
      <c r="A808" s="4" t="s">
        <v>911</v>
      </c>
      <c r="B808" s="4">
        <v>4</v>
      </c>
      <c r="C808" s="21">
        <v>-0.60809100000000005</v>
      </c>
      <c r="D808" s="21">
        <v>-0.33587800000000001</v>
      </c>
      <c r="E808" s="21">
        <v>-0.47198499999999999</v>
      </c>
      <c r="F808" s="21">
        <v>0.238095</v>
      </c>
      <c r="G808" s="21">
        <v>0.25</v>
      </c>
      <c r="H808" s="21">
        <v>0.2</v>
      </c>
    </row>
    <row r="809" spans="1:8">
      <c r="A809" s="4" t="s">
        <v>911</v>
      </c>
      <c r="B809" s="4">
        <v>5</v>
      </c>
      <c r="C809" s="21">
        <v>-0.688662</v>
      </c>
      <c r="D809" s="21">
        <v>-0.19020400000000001</v>
      </c>
      <c r="E809" s="21">
        <v>-0.43943300000000002</v>
      </c>
      <c r="F809" s="21">
        <v>0.47619</v>
      </c>
      <c r="G809" s="21">
        <v>0.16666700000000001</v>
      </c>
      <c r="H809" s="21">
        <v>0</v>
      </c>
    </row>
    <row r="810" spans="1:8">
      <c r="A810" s="4" t="s">
        <v>911</v>
      </c>
      <c r="B810" s="4">
        <v>6</v>
      </c>
      <c r="C810" s="21">
        <v>-0.52505800000000002</v>
      </c>
      <c r="D810" s="21">
        <v>-0.42389500000000002</v>
      </c>
      <c r="E810" s="21">
        <v>-0.47447600000000001</v>
      </c>
      <c r="F810" s="21">
        <v>0.28571400000000002</v>
      </c>
      <c r="G810" s="21">
        <v>0.5</v>
      </c>
      <c r="H810" s="21">
        <v>0.8</v>
      </c>
    </row>
    <row r="811" spans="1:8">
      <c r="A811" s="4" t="s">
        <v>911</v>
      </c>
      <c r="B811" s="4">
        <v>7</v>
      </c>
      <c r="C811" s="21">
        <v>-0.75787499999999997</v>
      </c>
      <c r="D811" s="21">
        <v>-0.44584400000000002</v>
      </c>
      <c r="E811" s="21">
        <v>-0.60185900000000003</v>
      </c>
      <c r="F811" s="21">
        <v>0.61904800000000004</v>
      </c>
      <c r="G811" s="21">
        <v>0.25</v>
      </c>
      <c r="H811" s="21">
        <v>0.4</v>
      </c>
    </row>
    <row r="812" spans="1:8">
      <c r="A812" s="4" t="s">
        <v>911</v>
      </c>
      <c r="B812" s="4">
        <v>8</v>
      </c>
      <c r="C812" s="21">
        <v>-0.82126100000000002</v>
      </c>
      <c r="D812" s="21">
        <v>-0.48011999999999999</v>
      </c>
      <c r="E812" s="21">
        <v>-0.65068999999999999</v>
      </c>
      <c r="F812" s="21">
        <v>0.38095200000000001</v>
      </c>
      <c r="G812" s="21">
        <v>0.25</v>
      </c>
      <c r="H812" s="21">
        <v>0.2</v>
      </c>
    </row>
    <row r="813" spans="1:8">
      <c r="A813" s="4" t="s">
        <v>911</v>
      </c>
      <c r="B813" s="4">
        <v>9</v>
      </c>
      <c r="C813" s="21">
        <v>-0.920242</v>
      </c>
      <c r="D813" s="21">
        <v>-0.55901500000000004</v>
      </c>
      <c r="E813" s="21">
        <v>-0.73962899999999998</v>
      </c>
      <c r="F813" s="21">
        <v>0.28571400000000002</v>
      </c>
      <c r="G813" s="21">
        <v>0.16666700000000001</v>
      </c>
      <c r="H813" s="21">
        <v>0.2</v>
      </c>
    </row>
    <row r="814" spans="1:8">
      <c r="A814" s="4" t="s">
        <v>911</v>
      </c>
      <c r="B814" s="4">
        <v>10</v>
      </c>
      <c r="C814" s="21">
        <v>-0.93393300000000001</v>
      </c>
      <c r="D814" s="21">
        <v>-0.46156000000000003</v>
      </c>
      <c r="E814" s="21">
        <v>-0.69774599999999998</v>
      </c>
      <c r="F814" s="21">
        <v>0.33333299999999999</v>
      </c>
      <c r="G814" s="21">
        <v>0.25</v>
      </c>
      <c r="H814" s="21">
        <v>0.2</v>
      </c>
    </row>
    <row r="815" spans="1:8">
      <c r="A815" s="4" t="s">
        <v>912</v>
      </c>
      <c r="B815" s="4">
        <v>1</v>
      </c>
      <c r="C815" s="21">
        <v>-0.86531499999999995</v>
      </c>
      <c r="D815" s="21">
        <v>-0.37162499999999998</v>
      </c>
      <c r="E815" s="21">
        <v>-0.61846999999999996</v>
      </c>
      <c r="F815" s="21">
        <v>0.33333299999999999</v>
      </c>
      <c r="G815" s="21">
        <v>0.25</v>
      </c>
      <c r="H815" s="21">
        <v>0.2</v>
      </c>
    </row>
    <row r="816" spans="1:8">
      <c r="A816" s="4" t="s">
        <v>912</v>
      </c>
      <c r="B816" s="4">
        <v>2</v>
      </c>
      <c r="C816" s="21">
        <v>-0.602599</v>
      </c>
      <c r="D816" s="21">
        <v>-0.41144599999999998</v>
      </c>
      <c r="E816" s="21">
        <v>-0.507023</v>
      </c>
      <c r="F816" s="21">
        <v>0.42857099999999998</v>
      </c>
      <c r="G816" s="21">
        <v>0.5</v>
      </c>
      <c r="H816" s="21">
        <v>0.4</v>
      </c>
    </row>
    <row r="817" spans="1:8">
      <c r="A817" s="4" t="s">
        <v>912</v>
      </c>
      <c r="B817" s="4">
        <v>3</v>
      </c>
      <c r="C817" s="21">
        <v>-0.63405199999999995</v>
      </c>
      <c r="D817" s="21">
        <v>-0.41186800000000001</v>
      </c>
      <c r="E817" s="21">
        <v>-0.52295999999999998</v>
      </c>
      <c r="F817" s="21">
        <v>0.38095200000000001</v>
      </c>
      <c r="G817" s="21">
        <v>0.33333299999999999</v>
      </c>
      <c r="H817" s="21">
        <v>0.6</v>
      </c>
    </row>
    <row r="818" spans="1:8">
      <c r="A818" s="4" t="s">
        <v>912</v>
      </c>
      <c r="B818" s="4">
        <v>4</v>
      </c>
      <c r="C818" s="21">
        <v>-0.63958000000000004</v>
      </c>
      <c r="D818" s="21">
        <v>-0.39248300000000003</v>
      </c>
      <c r="E818" s="21">
        <v>-0.51603100000000002</v>
      </c>
      <c r="F818" s="21">
        <v>0.42857099999999998</v>
      </c>
      <c r="G818" s="21">
        <v>0.33333299999999999</v>
      </c>
      <c r="H818" s="21">
        <v>0.6</v>
      </c>
    </row>
    <row r="819" spans="1:8">
      <c r="A819" s="4" t="s">
        <v>912</v>
      </c>
      <c r="B819" s="4">
        <v>5</v>
      </c>
      <c r="C819" s="21">
        <v>-0.86756599999999995</v>
      </c>
      <c r="D819" s="21">
        <v>-0.565357</v>
      </c>
      <c r="E819" s="21">
        <v>-0.71646200000000004</v>
      </c>
      <c r="F819" s="21">
        <v>0.33333299999999999</v>
      </c>
      <c r="G819" s="21">
        <v>0.16666700000000001</v>
      </c>
      <c r="H819" s="21">
        <v>0.2</v>
      </c>
    </row>
    <row r="820" spans="1:8">
      <c r="A820" s="4" t="s">
        <v>912</v>
      </c>
      <c r="B820" s="4">
        <v>6</v>
      </c>
      <c r="C820" s="21">
        <v>-0.915404</v>
      </c>
      <c r="D820" s="21">
        <v>-0.51323600000000003</v>
      </c>
      <c r="E820" s="21">
        <v>-0.71431999999999995</v>
      </c>
      <c r="F820" s="21">
        <v>0.28571400000000002</v>
      </c>
      <c r="G820" s="21">
        <v>8.3333000000000004E-2</v>
      </c>
      <c r="H820" s="21">
        <v>0.2</v>
      </c>
    </row>
    <row r="821" spans="1:8">
      <c r="A821" s="4" t="s">
        <v>912</v>
      </c>
      <c r="B821" s="4">
        <v>7</v>
      </c>
      <c r="C821" s="21">
        <v>-0.66382200000000002</v>
      </c>
      <c r="D821" s="21">
        <v>-0.35962100000000002</v>
      </c>
      <c r="E821" s="21">
        <v>-0.51172099999999998</v>
      </c>
      <c r="F821" s="21">
        <v>0.33333299999999999</v>
      </c>
      <c r="G821" s="21">
        <v>8.3333000000000004E-2</v>
      </c>
      <c r="H821" s="21">
        <v>0</v>
      </c>
    </row>
    <row r="822" spans="1:8">
      <c r="A822" s="4" t="s">
        <v>912</v>
      </c>
      <c r="B822" s="4">
        <v>8</v>
      </c>
      <c r="C822" s="21">
        <v>-0.78091299999999997</v>
      </c>
      <c r="D822" s="21">
        <v>-0.54952299999999998</v>
      </c>
      <c r="E822" s="21">
        <v>-0.66521799999999998</v>
      </c>
      <c r="F822" s="21">
        <v>0.33333299999999999</v>
      </c>
      <c r="G822" s="21">
        <v>0.25</v>
      </c>
      <c r="H822" s="21">
        <v>0.4</v>
      </c>
    </row>
    <row r="823" spans="1:8">
      <c r="A823" s="4" t="s">
        <v>912</v>
      </c>
      <c r="B823" s="4">
        <v>9</v>
      </c>
      <c r="C823" s="21">
        <v>-1.016122</v>
      </c>
      <c r="D823" s="21">
        <v>-0.51615</v>
      </c>
      <c r="E823" s="21">
        <v>-0.76613600000000004</v>
      </c>
      <c r="F823" s="21">
        <v>0.52381</v>
      </c>
      <c r="G823" s="21">
        <v>0.25</v>
      </c>
      <c r="H823" s="21">
        <v>0.2</v>
      </c>
    </row>
    <row r="824" spans="1:8">
      <c r="A824" s="4" t="s">
        <v>912</v>
      </c>
      <c r="B824" s="4">
        <v>10</v>
      </c>
      <c r="C824" s="21">
        <v>-0.66386400000000001</v>
      </c>
      <c r="D824" s="21">
        <v>-0.34818700000000002</v>
      </c>
      <c r="E824" s="21">
        <v>-0.50602599999999998</v>
      </c>
      <c r="F824" s="21">
        <v>0.52381</v>
      </c>
      <c r="G824" s="21">
        <v>0.33333299999999999</v>
      </c>
      <c r="H824" s="21">
        <v>0.2</v>
      </c>
    </row>
    <row r="825" spans="1:8">
      <c r="A825" s="4" t="s">
        <v>913</v>
      </c>
      <c r="B825" s="4">
        <v>1</v>
      </c>
      <c r="C825" s="21">
        <v>-0.79215999999999998</v>
      </c>
      <c r="D825" s="21">
        <v>-0.47998299999999999</v>
      </c>
      <c r="E825" s="21">
        <v>-0.63607100000000005</v>
      </c>
      <c r="F825" s="21">
        <v>0.28571400000000002</v>
      </c>
      <c r="G825" s="21">
        <v>0.25</v>
      </c>
      <c r="H825" s="21">
        <v>0.2</v>
      </c>
    </row>
    <row r="826" spans="1:8">
      <c r="A826" s="4" t="s">
        <v>913</v>
      </c>
      <c r="B826" s="4">
        <v>2</v>
      </c>
      <c r="C826" s="21">
        <v>-0.85012900000000002</v>
      </c>
      <c r="D826" s="21">
        <v>-0.42677700000000002</v>
      </c>
      <c r="E826" s="21">
        <v>-0.63845300000000005</v>
      </c>
      <c r="F826" s="21">
        <v>0.33333299999999999</v>
      </c>
      <c r="G826" s="21">
        <v>0.33333299999999999</v>
      </c>
      <c r="H826" s="21">
        <v>0.6</v>
      </c>
    </row>
    <row r="827" spans="1:8">
      <c r="A827" s="4" t="s">
        <v>913</v>
      </c>
      <c r="B827" s="4">
        <v>3</v>
      </c>
      <c r="C827" s="21">
        <v>-0.87526599999999999</v>
      </c>
      <c r="D827" s="21">
        <v>-0.57014600000000004</v>
      </c>
      <c r="E827" s="21">
        <v>-0.72270599999999996</v>
      </c>
      <c r="F827" s="21">
        <v>0.238095</v>
      </c>
      <c r="G827" s="21">
        <v>8.3333000000000004E-2</v>
      </c>
      <c r="H827" s="21">
        <v>0.2</v>
      </c>
    </row>
    <row r="828" spans="1:8">
      <c r="A828" s="4" t="s">
        <v>913</v>
      </c>
      <c r="B828" s="4">
        <v>4</v>
      </c>
      <c r="C828" s="21">
        <v>-0.65976900000000005</v>
      </c>
      <c r="D828" s="21">
        <v>-0.408192</v>
      </c>
      <c r="E828" s="21">
        <v>-0.53398000000000001</v>
      </c>
      <c r="F828" s="21">
        <v>0.47619</v>
      </c>
      <c r="G828" s="21">
        <v>0.41666700000000001</v>
      </c>
      <c r="H828" s="21">
        <v>0.2</v>
      </c>
    </row>
    <row r="829" spans="1:8">
      <c r="A829" s="4" t="s">
        <v>913</v>
      </c>
      <c r="B829" s="4">
        <v>5</v>
      </c>
      <c r="C829" s="21">
        <v>-1.0102439999999999</v>
      </c>
      <c r="D829" s="21">
        <v>-0.51766800000000002</v>
      </c>
      <c r="E829" s="21">
        <v>-0.76395599999999997</v>
      </c>
      <c r="F829" s="21">
        <v>0.28571400000000002</v>
      </c>
      <c r="G829" s="21">
        <v>8.3333000000000004E-2</v>
      </c>
      <c r="H829" s="21">
        <v>0.2</v>
      </c>
    </row>
    <row r="830" spans="1:8">
      <c r="A830" s="4" t="s">
        <v>913</v>
      </c>
      <c r="B830" s="4">
        <v>6</v>
      </c>
      <c r="C830" s="21">
        <v>-0.85252700000000003</v>
      </c>
      <c r="D830" s="21">
        <v>-0.50697400000000004</v>
      </c>
      <c r="E830" s="21">
        <v>-0.67975099999999999</v>
      </c>
      <c r="F830" s="21">
        <v>0.28571400000000002</v>
      </c>
      <c r="G830" s="21">
        <v>0.25</v>
      </c>
      <c r="H830" s="21">
        <v>0.2</v>
      </c>
    </row>
    <row r="831" spans="1:8">
      <c r="A831" s="4" t="s">
        <v>913</v>
      </c>
      <c r="B831" s="4">
        <v>7</v>
      </c>
      <c r="C831" s="21">
        <v>-0.80118400000000001</v>
      </c>
      <c r="D831" s="21">
        <v>-0.40325100000000003</v>
      </c>
      <c r="E831" s="21">
        <v>-0.60221800000000003</v>
      </c>
      <c r="F831" s="21">
        <v>0.33333299999999999</v>
      </c>
      <c r="G831" s="21">
        <v>0.16666700000000001</v>
      </c>
      <c r="H831" s="21">
        <v>0.2</v>
      </c>
    </row>
    <row r="832" spans="1:8">
      <c r="A832" s="4" t="s">
        <v>913</v>
      </c>
      <c r="B832" s="4">
        <v>8</v>
      </c>
      <c r="C832" s="21">
        <v>-0.82007799999999997</v>
      </c>
      <c r="D832" s="21">
        <v>-0.41018100000000002</v>
      </c>
      <c r="E832" s="21">
        <v>-0.61512999999999995</v>
      </c>
      <c r="F832" s="21">
        <v>0.28571400000000002</v>
      </c>
      <c r="G832" s="21">
        <v>0.33333299999999999</v>
      </c>
      <c r="H832" s="21">
        <v>0.2</v>
      </c>
    </row>
    <row r="833" spans="1:8">
      <c r="A833" s="4" t="s">
        <v>913</v>
      </c>
      <c r="B833" s="4">
        <v>9</v>
      </c>
      <c r="C833" s="21">
        <v>-1.1879</v>
      </c>
      <c r="D833" s="21">
        <v>-0.64273899999999995</v>
      </c>
      <c r="E833" s="21">
        <v>-0.91531899999999999</v>
      </c>
      <c r="F833" s="21">
        <v>0.19047600000000001</v>
      </c>
      <c r="G833" s="21">
        <v>8.3333000000000004E-2</v>
      </c>
      <c r="H833" s="21">
        <v>0.2</v>
      </c>
    </row>
    <row r="834" spans="1:8">
      <c r="A834" s="4" t="s">
        <v>913</v>
      </c>
      <c r="B834" s="4">
        <v>10</v>
      </c>
      <c r="C834" s="21">
        <v>-0.92573300000000003</v>
      </c>
      <c r="D834" s="21">
        <v>-0.54245100000000002</v>
      </c>
      <c r="E834" s="21">
        <v>-0.73409199999999997</v>
      </c>
      <c r="F834" s="21">
        <v>0.42857099999999998</v>
      </c>
      <c r="G834" s="21">
        <v>8.3333000000000004E-2</v>
      </c>
      <c r="H834" s="21">
        <v>0.2</v>
      </c>
    </row>
    <row r="835" spans="1:8">
      <c r="A835" s="4" t="s">
        <v>914</v>
      </c>
      <c r="B835" s="4">
        <v>1</v>
      </c>
      <c r="C835" s="21">
        <v>-0.81103999999999998</v>
      </c>
      <c r="D835" s="21">
        <v>-0.43204500000000001</v>
      </c>
      <c r="E835" s="21">
        <v>-0.62154200000000004</v>
      </c>
      <c r="F835" s="21">
        <v>0.52381</v>
      </c>
      <c r="G835" s="21">
        <v>8.3333000000000004E-2</v>
      </c>
      <c r="H835" s="21">
        <v>0</v>
      </c>
    </row>
    <row r="836" spans="1:8">
      <c r="A836" s="4" t="s">
        <v>914</v>
      </c>
      <c r="B836" s="4">
        <v>2</v>
      </c>
      <c r="C836" s="21">
        <v>-0.71867700000000001</v>
      </c>
      <c r="D836" s="21">
        <v>-0.33768100000000001</v>
      </c>
      <c r="E836" s="21">
        <v>-0.52817899999999995</v>
      </c>
      <c r="F836" s="21">
        <v>0.38095200000000001</v>
      </c>
      <c r="G836" s="21">
        <v>0.25</v>
      </c>
      <c r="H836" s="21">
        <v>0.4</v>
      </c>
    </row>
    <row r="837" spans="1:8">
      <c r="A837" s="4" t="s">
        <v>914</v>
      </c>
      <c r="B837" s="4">
        <v>3</v>
      </c>
      <c r="C837" s="21">
        <v>-0.66579100000000002</v>
      </c>
      <c r="D837" s="21">
        <v>-0.44960600000000001</v>
      </c>
      <c r="E837" s="21">
        <v>-0.55769899999999994</v>
      </c>
      <c r="F837" s="21">
        <v>0.42857099999999998</v>
      </c>
      <c r="G837" s="21">
        <v>0.25</v>
      </c>
      <c r="H837" s="21">
        <v>0</v>
      </c>
    </row>
    <row r="838" spans="1:8">
      <c r="A838" s="4" t="s">
        <v>914</v>
      </c>
      <c r="B838" s="4">
        <v>4</v>
      </c>
      <c r="C838" s="21">
        <v>-0.85273200000000005</v>
      </c>
      <c r="D838" s="21">
        <v>-0.54888199999999998</v>
      </c>
      <c r="E838" s="21">
        <v>-0.70080699999999996</v>
      </c>
      <c r="F838" s="21">
        <v>0.38095200000000001</v>
      </c>
      <c r="G838" s="21">
        <v>0.16666700000000001</v>
      </c>
      <c r="H838" s="21">
        <v>0.2</v>
      </c>
    </row>
    <row r="839" spans="1:8">
      <c r="A839" s="4" t="s">
        <v>914</v>
      </c>
      <c r="B839" s="4">
        <v>5</v>
      </c>
      <c r="C839" s="21">
        <v>-0.99814099999999994</v>
      </c>
      <c r="D839" s="21">
        <v>-0.34694399999999997</v>
      </c>
      <c r="E839" s="21">
        <v>-0.672543</v>
      </c>
      <c r="F839" s="21">
        <v>0.28571400000000002</v>
      </c>
      <c r="G839" s="21">
        <v>0</v>
      </c>
      <c r="H839" s="21">
        <v>0</v>
      </c>
    </row>
    <row r="840" spans="1:8">
      <c r="A840" s="4" t="s">
        <v>914</v>
      </c>
      <c r="B840" s="4">
        <v>6</v>
      </c>
      <c r="C840" s="21">
        <v>-0.69142199999999998</v>
      </c>
      <c r="D840" s="21">
        <v>-0.36983899999999997</v>
      </c>
      <c r="E840" s="21">
        <v>-0.53063099999999996</v>
      </c>
      <c r="F840" s="21">
        <v>0.42857099999999998</v>
      </c>
      <c r="G840" s="21">
        <v>8.3333000000000004E-2</v>
      </c>
      <c r="H840" s="21">
        <v>0</v>
      </c>
    </row>
    <row r="841" spans="1:8">
      <c r="A841" s="4" t="s">
        <v>914</v>
      </c>
      <c r="B841" s="4">
        <v>7</v>
      </c>
      <c r="C841" s="21">
        <v>-0.91580799999999996</v>
      </c>
      <c r="D841" s="21">
        <v>-0.37895200000000001</v>
      </c>
      <c r="E841" s="21">
        <v>-0.64737999999999996</v>
      </c>
      <c r="F841" s="21">
        <v>0.19047600000000001</v>
      </c>
      <c r="G841" s="21">
        <v>0.16666700000000001</v>
      </c>
      <c r="H841" s="21">
        <v>0</v>
      </c>
    </row>
    <row r="842" spans="1:8">
      <c r="A842" s="4" t="s">
        <v>914</v>
      </c>
      <c r="B842" s="4">
        <v>8</v>
      </c>
      <c r="C842" s="21">
        <v>-0.95732700000000004</v>
      </c>
      <c r="D842" s="21">
        <v>-0.55573300000000003</v>
      </c>
      <c r="E842" s="21">
        <v>-0.75653000000000004</v>
      </c>
      <c r="F842" s="21">
        <v>0.28571400000000002</v>
      </c>
      <c r="G842" s="21">
        <v>0.16666700000000001</v>
      </c>
      <c r="H842" s="21">
        <v>0</v>
      </c>
    </row>
    <row r="843" spans="1:8">
      <c r="A843" s="4" t="s">
        <v>914</v>
      </c>
      <c r="B843" s="4">
        <v>9</v>
      </c>
      <c r="C843" s="21">
        <v>-0.49000100000000002</v>
      </c>
      <c r="D843" s="21">
        <v>-0.316942</v>
      </c>
      <c r="E843" s="21">
        <v>-0.40347100000000002</v>
      </c>
      <c r="F843" s="21">
        <v>0.42857099999999998</v>
      </c>
      <c r="G843" s="21">
        <v>0.33333299999999999</v>
      </c>
      <c r="H843" s="21">
        <v>0.4</v>
      </c>
    </row>
    <row r="844" spans="1:8">
      <c r="A844" s="4" t="s">
        <v>914</v>
      </c>
      <c r="B844" s="4">
        <v>10</v>
      </c>
      <c r="C844" s="21">
        <v>-0.841449</v>
      </c>
      <c r="D844" s="21">
        <v>-0.54619200000000001</v>
      </c>
      <c r="E844" s="21">
        <v>-0.69381999999999999</v>
      </c>
      <c r="F844" s="21">
        <v>0.47619</v>
      </c>
      <c r="G844" s="21">
        <v>0.33333299999999999</v>
      </c>
      <c r="H844" s="21">
        <v>0.4</v>
      </c>
    </row>
    <row r="845" spans="1:8">
      <c r="A845" s="4" t="s">
        <v>915</v>
      </c>
      <c r="B845" s="4">
        <v>1</v>
      </c>
      <c r="C845" s="21">
        <v>-0.67531399999999997</v>
      </c>
      <c r="D845" s="21">
        <v>-0.29198299999999999</v>
      </c>
      <c r="E845" s="21">
        <v>-0.48364800000000002</v>
      </c>
      <c r="F845" s="21">
        <v>0.238095</v>
      </c>
      <c r="G845" s="21">
        <v>0.33333299999999999</v>
      </c>
      <c r="H845" s="21">
        <v>0.4</v>
      </c>
    </row>
    <row r="846" spans="1:8">
      <c r="A846" s="4" t="s">
        <v>915</v>
      </c>
      <c r="B846" s="4">
        <v>2</v>
      </c>
      <c r="C846" s="21">
        <v>-0.90691999999999995</v>
      </c>
      <c r="D846" s="21">
        <v>-0.53855399999999998</v>
      </c>
      <c r="E846" s="21">
        <v>-0.72273699999999996</v>
      </c>
      <c r="F846" s="21">
        <v>0.33333299999999999</v>
      </c>
      <c r="G846" s="21">
        <v>0.25</v>
      </c>
      <c r="H846" s="21">
        <v>0</v>
      </c>
    </row>
    <row r="847" spans="1:8">
      <c r="A847" s="4" t="s">
        <v>915</v>
      </c>
      <c r="B847" s="4">
        <v>3</v>
      </c>
      <c r="C847" s="21">
        <v>-0.69532499999999997</v>
      </c>
      <c r="D847" s="21">
        <v>-0.470022</v>
      </c>
      <c r="E847" s="21">
        <v>-0.582673</v>
      </c>
      <c r="F847" s="21">
        <v>0.28571400000000002</v>
      </c>
      <c r="G847" s="21">
        <v>0.25</v>
      </c>
      <c r="H847" s="21">
        <v>0.2</v>
      </c>
    </row>
    <row r="848" spans="1:8">
      <c r="A848" s="4" t="s">
        <v>915</v>
      </c>
      <c r="B848" s="4">
        <v>4</v>
      </c>
      <c r="C848" s="21">
        <v>-0.55088499999999996</v>
      </c>
      <c r="D848" s="21">
        <v>-0.35743599999999998</v>
      </c>
      <c r="E848" s="21">
        <v>-0.45416000000000001</v>
      </c>
      <c r="F848" s="21">
        <v>0.47619</v>
      </c>
      <c r="G848" s="21">
        <v>0.58333299999999999</v>
      </c>
      <c r="H848" s="21">
        <v>0.6</v>
      </c>
    </row>
    <row r="849" spans="1:8">
      <c r="A849" s="4" t="s">
        <v>915</v>
      </c>
      <c r="B849" s="4">
        <v>5</v>
      </c>
      <c r="C849" s="21">
        <v>-0.87056500000000003</v>
      </c>
      <c r="D849" s="21">
        <v>-0.53312999999999999</v>
      </c>
      <c r="E849" s="21">
        <v>-0.701847</v>
      </c>
      <c r="F849" s="21">
        <v>0.47619</v>
      </c>
      <c r="G849" s="21">
        <v>0.16666700000000001</v>
      </c>
      <c r="H849" s="21">
        <v>0.2</v>
      </c>
    </row>
    <row r="850" spans="1:8">
      <c r="A850" s="4" t="s">
        <v>915</v>
      </c>
      <c r="B850" s="4">
        <v>6</v>
      </c>
      <c r="C850" s="21">
        <v>-0.90709600000000001</v>
      </c>
      <c r="D850" s="21">
        <v>-0.41992299999999999</v>
      </c>
      <c r="E850" s="21">
        <v>-0.66350900000000002</v>
      </c>
      <c r="F850" s="21">
        <v>0.42857099999999998</v>
      </c>
      <c r="G850" s="21">
        <v>8.3333000000000004E-2</v>
      </c>
      <c r="H850" s="21">
        <v>0</v>
      </c>
    </row>
    <row r="851" spans="1:8">
      <c r="A851" s="4" t="s">
        <v>915</v>
      </c>
      <c r="B851" s="4">
        <v>7</v>
      </c>
      <c r="C851" s="21">
        <v>-0.73697800000000002</v>
      </c>
      <c r="D851" s="21">
        <v>-0.60426199999999997</v>
      </c>
      <c r="E851" s="21">
        <v>-0.67061999999999999</v>
      </c>
      <c r="F851" s="21">
        <v>0.47619</v>
      </c>
      <c r="G851" s="21">
        <v>0.25</v>
      </c>
      <c r="H851" s="21">
        <v>0.4</v>
      </c>
    </row>
    <row r="852" spans="1:8">
      <c r="A852" s="4" t="s">
        <v>915</v>
      </c>
      <c r="B852" s="4">
        <v>8</v>
      </c>
      <c r="C852" s="21">
        <v>-1.0104679999999999</v>
      </c>
      <c r="D852" s="21">
        <v>-0.46379500000000001</v>
      </c>
      <c r="E852" s="21">
        <v>-0.73713099999999998</v>
      </c>
      <c r="F852" s="21">
        <v>0.42857099999999998</v>
      </c>
      <c r="G852" s="21">
        <v>0.16666700000000001</v>
      </c>
      <c r="H852" s="21">
        <v>0.4</v>
      </c>
    </row>
    <row r="853" spans="1:8">
      <c r="A853" s="4" t="s">
        <v>915</v>
      </c>
      <c r="B853" s="4">
        <v>9</v>
      </c>
      <c r="C853" s="21">
        <v>-0.85628199999999999</v>
      </c>
      <c r="D853" s="21">
        <v>-0.55724899999999999</v>
      </c>
      <c r="E853" s="21">
        <v>-0.70676499999999998</v>
      </c>
      <c r="F853" s="21">
        <v>0.42857099999999998</v>
      </c>
      <c r="G853" s="21">
        <v>0.25</v>
      </c>
      <c r="H853" s="21">
        <v>0.4</v>
      </c>
    </row>
    <row r="854" spans="1:8">
      <c r="A854" s="4" t="s">
        <v>915</v>
      </c>
      <c r="B854" s="4">
        <v>10</v>
      </c>
      <c r="C854" s="21">
        <v>-1.0359229999999999</v>
      </c>
      <c r="D854" s="21">
        <v>-0.522397</v>
      </c>
      <c r="E854" s="21">
        <v>-0.77915999999999996</v>
      </c>
      <c r="F854" s="21">
        <v>0.52381</v>
      </c>
      <c r="G854" s="21">
        <v>0.16666700000000001</v>
      </c>
      <c r="H854" s="21">
        <v>0.2</v>
      </c>
    </row>
    <row r="855" spans="1:8">
      <c r="A855" s="4" t="s">
        <v>916</v>
      </c>
      <c r="B855" s="4">
        <v>1</v>
      </c>
      <c r="C855" s="21">
        <v>-0.91580899999999998</v>
      </c>
      <c r="D855" s="21">
        <v>-0.40779700000000002</v>
      </c>
      <c r="E855" s="21">
        <v>-0.66180300000000003</v>
      </c>
      <c r="F855" s="21">
        <v>0.47619</v>
      </c>
      <c r="G855" s="21">
        <v>0.16666700000000001</v>
      </c>
      <c r="H855" s="21">
        <v>0.2</v>
      </c>
    </row>
    <row r="856" spans="1:8">
      <c r="A856" s="4" t="s">
        <v>916</v>
      </c>
      <c r="B856" s="4">
        <v>2</v>
      </c>
      <c r="C856" s="21">
        <v>-0.89271900000000004</v>
      </c>
      <c r="D856" s="21">
        <v>-0.372919</v>
      </c>
      <c r="E856" s="21">
        <v>-0.63281900000000002</v>
      </c>
      <c r="F856" s="21">
        <v>0.28571400000000002</v>
      </c>
      <c r="G856" s="21">
        <v>0.25</v>
      </c>
      <c r="H856" s="21">
        <v>0</v>
      </c>
    </row>
    <row r="857" spans="1:8">
      <c r="A857" s="4" t="s">
        <v>916</v>
      </c>
      <c r="B857" s="4">
        <v>3</v>
      </c>
      <c r="C857" s="21">
        <v>-0.85785999999999996</v>
      </c>
      <c r="D857" s="21">
        <v>-0.36957800000000002</v>
      </c>
      <c r="E857" s="21">
        <v>-0.61371900000000001</v>
      </c>
      <c r="F857" s="21">
        <v>0.52381</v>
      </c>
      <c r="G857" s="21">
        <v>0.16666700000000001</v>
      </c>
      <c r="H857" s="21">
        <v>0.2</v>
      </c>
    </row>
    <row r="858" spans="1:8">
      <c r="A858" s="4" t="s">
        <v>916</v>
      </c>
      <c r="B858" s="4">
        <v>4</v>
      </c>
      <c r="C858" s="21">
        <v>-0.85082199999999997</v>
      </c>
      <c r="D858" s="21">
        <v>-0.47230699999999998</v>
      </c>
      <c r="E858" s="21">
        <v>-0.66156400000000004</v>
      </c>
      <c r="F858" s="21">
        <v>0.33333299999999999</v>
      </c>
      <c r="G858" s="21">
        <v>8.3333000000000004E-2</v>
      </c>
      <c r="H858" s="21">
        <v>0.2</v>
      </c>
    </row>
    <row r="859" spans="1:8">
      <c r="A859" s="4" t="s">
        <v>916</v>
      </c>
      <c r="B859" s="4">
        <v>5</v>
      </c>
      <c r="C859" s="21">
        <v>-0.83763100000000001</v>
      </c>
      <c r="D859" s="21">
        <v>-0.49240299999999998</v>
      </c>
      <c r="E859" s="21">
        <v>-0.66501699999999997</v>
      </c>
      <c r="F859" s="21">
        <v>0.38095200000000001</v>
      </c>
      <c r="G859" s="21">
        <v>0.16666700000000001</v>
      </c>
      <c r="H859" s="21">
        <v>0.4</v>
      </c>
    </row>
    <row r="860" spans="1:8">
      <c r="A860" s="4" t="s">
        <v>916</v>
      </c>
      <c r="B860" s="4">
        <v>6</v>
      </c>
      <c r="C860" s="21">
        <v>-0.61058199999999996</v>
      </c>
      <c r="D860" s="21">
        <v>-0.31412800000000002</v>
      </c>
      <c r="E860" s="21">
        <v>-0.46235500000000002</v>
      </c>
      <c r="F860" s="21">
        <v>0.33333299999999999</v>
      </c>
      <c r="G860" s="21">
        <v>0.41666700000000001</v>
      </c>
      <c r="H860" s="21">
        <v>0.6</v>
      </c>
    </row>
    <row r="861" spans="1:8">
      <c r="A861" s="4" t="s">
        <v>916</v>
      </c>
      <c r="B861" s="4">
        <v>7</v>
      </c>
      <c r="C861" s="21">
        <v>-0.80345500000000003</v>
      </c>
      <c r="D861" s="21">
        <v>-0.39613999999999999</v>
      </c>
      <c r="E861" s="21">
        <v>-0.59979800000000005</v>
      </c>
      <c r="F861" s="21">
        <v>0.52381</v>
      </c>
      <c r="G861" s="21">
        <v>0.16666700000000001</v>
      </c>
      <c r="H861" s="21">
        <v>0.2</v>
      </c>
    </row>
    <row r="862" spans="1:8">
      <c r="A862" s="4" t="s">
        <v>916</v>
      </c>
      <c r="B862" s="4">
        <v>8</v>
      </c>
      <c r="C862" s="21">
        <v>-0.858039</v>
      </c>
      <c r="D862" s="21">
        <v>-0.50251199999999996</v>
      </c>
      <c r="E862" s="21">
        <v>-0.68027599999999999</v>
      </c>
      <c r="F862" s="21">
        <v>0.238095</v>
      </c>
      <c r="G862" s="21">
        <v>0.25</v>
      </c>
      <c r="H862" s="21">
        <v>0.2</v>
      </c>
    </row>
    <row r="863" spans="1:8">
      <c r="A863" s="4" t="s">
        <v>916</v>
      </c>
      <c r="B863" s="4">
        <v>9</v>
      </c>
      <c r="C863" s="21">
        <v>-0.621645</v>
      </c>
      <c r="D863" s="21">
        <v>-0.404167</v>
      </c>
      <c r="E863" s="21">
        <v>-0.51290599999999997</v>
      </c>
      <c r="F863" s="21">
        <v>0.33333299999999999</v>
      </c>
      <c r="G863" s="21">
        <v>0.16666700000000001</v>
      </c>
      <c r="H863" s="21">
        <v>0.2</v>
      </c>
    </row>
    <row r="864" spans="1:8">
      <c r="A864" s="4" t="s">
        <v>916</v>
      </c>
      <c r="B864" s="4">
        <v>10</v>
      </c>
      <c r="C864" s="21">
        <v>-0.79655799999999999</v>
      </c>
      <c r="D864" s="21">
        <v>-0.401034</v>
      </c>
      <c r="E864" s="21">
        <v>-0.59879599999999999</v>
      </c>
      <c r="F864" s="21">
        <v>0.38095200000000001</v>
      </c>
      <c r="G864" s="21">
        <v>0.33333299999999999</v>
      </c>
      <c r="H864" s="21">
        <v>0.2</v>
      </c>
    </row>
    <row r="865" spans="1:8">
      <c r="A865" s="4" t="s">
        <v>917</v>
      </c>
      <c r="B865" s="4">
        <v>1</v>
      </c>
      <c r="C865" s="21">
        <v>-0.70047499999999996</v>
      </c>
      <c r="D865" s="21">
        <v>-0.35079199999999999</v>
      </c>
      <c r="E865" s="21">
        <v>-0.52563300000000002</v>
      </c>
      <c r="F865" s="21">
        <v>0.47619</v>
      </c>
      <c r="G865" s="21">
        <v>0.25</v>
      </c>
      <c r="H865" s="21">
        <v>0.2</v>
      </c>
    </row>
    <row r="866" spans="1:8">
      <c r="A866" s="4" t="s">
        <v>917</v>
      </c>
      <c r="B866" s="4">
        <v>2</v>
      </c>
      <c r="C866" s="21">
        <v>-0.89754199999999995</v>
      </c>
      <c r="D866" s="21">
        <v>-0.48663699999999999</v>
      </c>
      <c r="E866" s="21">
        <v>-0.69208899999999995</v>
      </c>
      <c r="F866" s="21">
        <v>0.66666700000000001</v>
      </c>
      <c r="G866" s="21">
        <v>0.5</v>
      </c>
      <c r="H866" s="21">
        <v>0.6</v>
      </c>
    </row>
    <row r="867" spans="1:8">
      <c r="A867" s="4" t="s">
        <v>917</v>
      </c>
      <c r="B867" s="4">
        <v>3</v>
      </c>
      <c r="C867" s="21">
        <v>-0.87823899999999999</v>
      </c>
      <c r="D867" s="21">
        <v>-0.41485699999999998</v>
      </c>
      <c r="E867" s="21">
        <v>-0.64654800000000001</v>
      </c>
      <c r="F867" s="21">
        <v>0.38095200000000001</v>
      </c>
      <c r="G867" s="21">
        <v>0.16666700000000001</v>
      </c>
      <c r="H867" s="21">
        <v>0.2</v>
      </c>
    </row>
    <row r="868" spans="1:8">
      <c r="A868" s="4" t="s">
        <v>917</v>
      </c>
      <c r="B868" s="4">
        <v>4</v>
      </c>
      <c r="C868" s="21">
        <v>-0.65277499999999999</v>
      </c>
      <c r="D868" s="21">
        <v>-0.36325200000000002</v>
      </c>
      <c r="E868" s="21">
        <v>-0.50801399999999997</v>
      </c>
      <c r="F868" s="21">
        <v>0.33333299999999999</v>
      </c>
      <c r="G868" s="21">
        <v>0.16666700000000001</v>
      </c>
      <c r="H868" s="21">
        <v>0.2</v>
      </c>
    </row>
    <row r="869" spans="1:8">
      <c r="A869" s="4" t="s">
        <v>917</v>
      </c>
      <c r="B869" s="4">
        <v>5</v>
      </c>
      <c r="C869" s="21">
        <v>-0.88850200000000001</v>
      </c>
      <c r="D869" s="21">
        <v>-0.56876000000000004</v>
      </c>
      <c r="E869" s="21">
        <v>-0.72863100000000003</v>
      </c>
      <c r="F869" s="21">
        <v>0.42857099999999998</v>
      </c>
      <c r="G869" s="21">
        <v>0.16666700000000001</v>
      </c>
      <c r="H869" s="21">
        <v>0.2</v>
      </c>
    </row>
    <row r="870" spans="1:8">
      <c r="A870" s="4" t="s">
        <v>917</v>
      </c>
      <c r="B870" s="4">
        <v>6</v>
      </c>
      <c r="C870" s="21">
        <v>-0.71873500000000001</v>
      </c>
      <c r="D870" s="21">
        <v>-0.56376499999999996</v>
      </c>
      <c r="E870" s="21">
        <v>-0.64124999999999999</v>
      </c>
      <c r="F870" s="21">
        <v>0.52381</v>
      </c>
      <c r="G870" s="21">
        <v>0.33333299999999999</v>
      </c>
      <c r="H870" s="21">
        <v>0.4</v>
      </c>
    </row>
    <row r="871" spans="1:8">
      <c r="A871" s="4" t="s">
        <v>917</v>
      </c>
      <c r="B871" s="4">
        <v>7</v>
      </c>
      <c r="C871" s="21">
        <v>-0.58523700000000001</v>
      </c>
      <c r="D871" s="21">
        <v>-0.34390900000000002</v>
      </c>
      <c r="E871" s="21">
        <v>-0.46457300000000001</v>
      </c>
      <c r="F871" s="21">
        <v>0.57142899999999996</v>
      </c>
      <c r="G871" s="21">
        <v>0.41666700000000001</v>
      </c>
      <c r="H871" s="21">
        <v>0.6</v>
      </c>
    </row>
    <row r="872" spans="1:8">
      <c r="A872" s="4" t="s">
        <v>917</v>
      </c>
      <c r="B872" s="4">
        <v>8</v>
      </c>
      <c r="C872" s="21">
        <v>-0.55796599999999996</v>
      </c>
      <c r="D872" s="21">
        <v>-0.35720600000000002</v>
      </c>
      <c r="E872" s="21">
        <v>-0.45758599999999999</v>
      </c>
      <c r="F872" s="21">
        <v>0.52381</v>
      </c>
      <c r="G872" s="21">
        <v>0.33333299999999999</v>
      </c>
      <c r="H872" s="21">
        <v>0.4</v>
      </c>
    </row>
    <row r="873" spans="1:8">
      <c r="A873" s="4" t="s">
        <v>917</v>
      </c>
      <c r="B873" s="4">
        <v>9</v>
      </c>
      <c r="C873" s="21">
        <v>-0.97217799999999999</v>
      </c>
      <c r="D873" s="21">
        <v>-0.62351999999999996</v>
      </c>
      <c r="E873" s="21">
        <v>-0.79784900000000003</v>
      </c>
      <c r="F873" s="21">
        <v>0.38095200000000001</v>
      </c>
      <c r="G873" s="21">
        <v>0.16666700000000001</v>
      </c>
      <c r="H873" s="21">
        <v>0.2</v>
      </c>
    </row>
    <row r="874" spans="1:8">
      <c r="A874" s="4" t="s">
        <v>917</v>
      </c>
      <c r="B874" s="4">
        <v>10</v>
      </c>
      <c r="C874" s="21">
        <v>-0.70389400000000002</v>
      </c>
      <c r="D874" s="21">
        <v>-0.32484099999999999</v>
      </c>
      <c r="E874" s="21">
        <v>-0.51436700000000002</v>
      </c>
      <c r="F874" s="21">
        <v>0.47619</v>
      </c>
      <c r="G874" s="21">
        <v>0.25</v>
      </c>
      <c r="H874" s="21">
        <v>0</v>
      </c>
    </row>
    <row r="875" spans="1:8">
      <c r="A875" s="4" t="s">
        <v>918</v>
      </c>
      <c r="B875" s="4">
        <v>1</v>
      </c>
      <c r="C875" s="21">
        <v>-1.0642670000000001</v>
      </c>
      <c r="D875" s="21">
        <v>-0.42213600000000001</v>
      </c>
      <c r="E875" s="21">
        <v>-0.743201</v>
      </c>
      <c r="F875" s="21">
        <v>0.42857099999999998</v>
      </c>
      <c r="G875" s="21">
        <v>8.3333000000000004E-2</v>
      </c>
      <c r="H875" s="21">
        <v>0</v>
      </c>
    </row>
    <row r="876" spans="1:8">
      <c r="A876" s="4" t="s">
        <v>918</v>
      </c>
      <c r="B876" s="4">
        <v>2</v>
      </c>
      <c r="C876" s="21">
        <v>-0.78284900000000002</v>
      </c>
      <c r="D876" s="21">
        <v>-0.364124</v>
      </c>
      <c r="E876" s="21">
        <v>-0.57348600000000005</v>
      </c>
      <c r="F876" s="21">
        <v>0.38095200000000001</v>
      </c>
      <c r="G876" s="21">
        <v>0.5</v>
      </c>
      <c r="H876" s="21">
        <v>0.6</v>
      </c>
    </row>
    <row r="877" spans="1:8">
      <c r="A877" s="4" t="s">
        <v>918</v>
      </c>
      <c r="B877" s="4">
        <v>3</v>
      </c>
      <c r="C877" s="21">
        <v>-0.82598300000000002</v>
      </c>
      <c r="D877" s="21">
        <v>-0.32886599999999999</v>
      </c>
      <c r="E877" s="21">
        <v>-0.57742400000000005</v>
      </c>
      <c r="F877" s="21">
        <v>0.33333299999999999</v>
      </c>
      <c r="G877" s="21">
        <v>0.33333299999999999</v>
      </c>
      <c r="H877" s="21">
        <v>0.2</v>
      </c>
    </row>
    <row r="878" spans="1:8">
      <c r="A878" s="4" t="s">
        <v>918</v>
      </c>
      <c r="B878" s="4">
        <v>4</v>
      </c>
      <c r="C878" s="21">
        <v>-1.015976</v>
      </c>
      <c r="D878" s="21">
        <v>-0.75402800000000003</v>
      </c>
      <c r="E878" s="21">
        <v>-0.88500199999999996</v>
      </c>
      <c r="F878" s="21">
        <v>0.38095200000000001</v>
      </c>
      <c r="G878" s="21">
        <v>0.16666700000000001</v>
      </c>
      <c r="H878" s="21">
        <v>0.4</v>
      </c>
    </row>
    <row r="879" spans="1:8">
      <c r="A879" s="4" t="s">
        <v>918</v>
      </c>
      <c r="B879" s="4">
        <v>5</v>
      </c>
      <c r="C879" s="21">
        <v>-0.72040099999999996</v>
      </c>
      <c r="D879" s="21">
        <v>-0.36378199999999999</v>
      </c>
      <c r="E879" s="21">
        <v>-0.54209099999999999</v>
      </c>
      <c r="F879" s="21">
        <v>0.66666700000000001</v>
      </c>
      <c r="G879" s="21">
        <v>0.16666700000000001</v>
      </c>
      <c r="H879" s="21">
        <v>0.2</v>
      </c>
    </row>
    <row r="880" spans="1:8">
      <c r="A880" s="4" t="s">
        <v>918</v>
      </c>
      <c r="B880" s="4">
        <v>6</v>
      </c>
      <c r="C880" s="21">
        <v>-0.80136200000000002</v>
      </c>
      <c r="D880" s="21">
        <v>-0.50051800000000002</v>
      </c>
      <c r="E880" s="21">
        <v>-0.65093999999999996</v>
      </c>
      <c r="F880" s="21">
        <v>0.238095</v>
      </c>
      <c r="G880" s="21">
        <v>0.25</v>
      </c>
      <c r="H880" s="21">
        <v>0.2</v>
      </c>
    </row>
    <row r="881" spans="1:8">
      <c r="A881" s="4" t="s">
        <v>918</v>
      </c>
      <c r="B881" s="4">
        <v>7</v>
      </c>
      <c r="C881" s="21">
        <v>-0.57933299999999999</v>
      </c>
      <c r="D881" s="21">
        <v>-0.42956699999999998</v>
      </c>
      <c r="E881" s="21">
        <v>-0.50444999999999995</v>
      </c>
      <c r="F881" s="21">
        <v>0.42857099999999998</v>
      </c>
      <c r="G881" s="21">
        <v>0.33333299999999999</v>
      </c>
      <c r="H881" s="21">
        <v>0.2</v>
      </c>
    </row>
    <row r="882" spans="1:8">
      <c r="A882" s="4" t="s">
        <v>918</v>
      </c>
      <c r="B882" s="4">
        <v>8</v>
      </c>
      <c r="C882" s="21">
        <v>-0.96233999999999997</v>
      </c>
      <c r="D882" s="21">
        <v>-0.54720999999999997</v>
      </c>
      <c r="E882" s="21">
        <v>-0.75477499999999997</v>
      </c>
      <c r="F882" s="21">
        <v>0.28571400000000002</v>
      </c>
      <c r="G882" s="21">
        <v>8.3333000000000004E-2</v>
      </c>
      <c r="H882" s="21">
        <v>0.2</v>
      </c>
    </row>
    <row r="883" spans="1:8">
      <c r="A883" s="4" t="s">
        <v>918</v>
      </c>
      <c r="B883" s="4">
        <v>9</v>
      </c>
      <c r="C883" s="21">
        <v>-0.81344099999999997</v>
      </c>
      <c r="D883" s="21">
        <v>-0.36216300000000001</v>
      </c>
      <c r="E883" s="21">
        <v>-0.58780200000000005</v>
      </c>
      <c r="F883" s="21">
        <v>0.42857099999999998</v>
      </c>
      <c r="G883" s="21">
        <v>0.25</v>
      </c>
      <c r="H883" s="21">
        <v>0</v>
      </c>
    </row>
    <row r="884" spans="1:8">
      <c r="A884" s="4" t="s">
        <v>918</v>
      </c>
      <c r="B884" s="4">
        <v>10</v>
      </c>
      <c r="C884" s="21">
        <v>-0.610398</v>
      </c>
      <c r="D884" s="21">
        <v>-0.38333400000000001</v>
      </c>
      <c r="E884" s="21">
        <v>-0.49686599999999997</v>
      </c>
      <c r="F884" s="21">
        <v>0.47619</v>
      </c>
      <c r="G884" s="21">
        <v>0.16666700000000001</v>
      </c>
      <c r="H884" s="21">
        <v>0.2</v>
      </c>
    </row>
    <row r="885" spans="1:8">
      <c r="A885" s="4" t="s">
        <v>919</v>
      </c>
      <c r="B885" s="4">
        <v>1</v>
      </c>
      <c r="C885" s="21">
        <v>-0.92263899999999999</v>
      </c>
      <c r="D885" s="21">
        <v>-0.41169299999999998</v>
      </c>
      <c r="E885" s="21">
        <v>-0.66716600000000004</v>
      </c>
      <c r="F885" s="21">
        <v>0.52381</v>
      </c>
      <c r="G885" s="21">
        <v>0.25</v>
      </c>
      <c r="H885" s="21">
        <v>0.6</v>
      </c>
    </row>
    <row r="886" spans="1:8">
      <c r="A886" s="4" t="s">
        <v>919</v>
      </c>
      <c r="B886" s="4">
        <v>2</v>
      </c>
      <c r="C886" s="21">
        <v>-0.67133699999999996</v>
      </c>
      <c r="D886" s="21">
        <v>-0.43193199999999998</v>
      </c>
      <c r="E886" s="21">
        <v>-0.55163499999999999</v>
      </c>
      <c r="F886" s="21">
        <v>0.42857099999999998</v>
      </c>
      <c r="G886" s="21">
        <v>0.33333299999999999</v>
      </c>
      <c r="H886" s="21">
        <v>0.2</v>
      </c>
    </row>
    <row r="887" spans="1:8">
      <c r="A887" s="4" t="s">
        <v>919</v>
      </c>
      <c r="B887" s="4">
        <v>3</v>
      </c>
      <c r="C887" s="21">
        <v>-0.60248599999999997</v>
      </c>
      <c r="D887" s="21">
        <v>-0.48296099999999997</v>
      </c>
      <c r="E887" s="21">
        <v>-0.54272399999999998</v>
      </c>
      <c r="F887" s="21">
        <v>0.28571400000000002</v>
      </c>
      <c r="G887" s="21">
        <v>0.5</v>
      </c>
      <c r="H887" s="21">
        <v>0.4</v>
      </c>
    </row>
    <row r="888" spans="1:8">
      <c r="A888" s="4" t="s">
        <v>919</v>
      </c>
      <c r="B888" s="4">
        <v>4</v>
      </c>
      <c r="C888" s="21">
        <v>-0.74497199999999997</v>
      </c>
      <c r="D888" s="21">
        <v>-0.36327700000000002</v>
      </c>
      <c r="E888" s="21">
        <v>-0.55412499999999998</v>
      </c>
      <c r="F888" s="21">
        <v>0.238095</v>
      </c>
      <c r="G888" s="21">
        <v>0.25</v>
      </c>
      <c r="H888" s="21">
        <v>0</v>
      </c>
    </row>
    <row r="889" spans="1:8">
      <c r="A889" s="4" t="s">
        <v>919</v>
      </c>
      <c r="B889" s="4">
        <v>5</v>
      </c>
      <c r="C889" s="21">
        <v>-0.553091</v>
      </c>
      <c r="D889" s="21">
        <v>-0.293626</v>
      </c>
      <c r="E889" s="21">
        <v>-0.42335800000000001</v>
      </c>
      <c r="F889" s="21">
        <v>0.33333299999999999</v>
      </c>
      <c r="G889" s="21">
        <v>0.25</v>
      </c>
      <c r="H889" s="21">
        <v>0</v>
      </c>
    </row>
    <row r="890" spans="1:8">
      <c r="A890" s="4" t="s">
        <v>919</v>
      </c>
      <c r="B890" s="4">
        <v>6</v>
      </c>
      <c r="C890" s="21">
        <v>-0.88523200000000002</v>
      </c>
      <c r="D890" s="21">
        <v>-0.42580600000000002</v>
      </c>
      <c r="E890" s="21">
        <v>-0.65551899999999996</v>
      </c>
      <c r="F890" s="21">
        <v>0.47619</v>
      </c>
      <c r="G890" s="21">
        <v>0.25</v>
      </c>
      <c r="H890" s="21">
        <v>0.2</v>
      </c>
    </row>
    <row r="891" spans="1:8">
      <c r="A891" s="4" t="s">
        <v>919</v>
      </c>
      <c r="B891" s="4">
        <v>7</v>
      </c>
      <c r="C891" s="21">
        <v>-1.043255</v>
      </c>
      <c r="D891" s="21">
        <v>-0.43148599999999998</v>
      </c>
      <c r="E891" s="21">
        <v>-0.737371</v>
      </c>
      <c r="F891" s="21">
        <v>0.42857099999999998</v>
      </c>
      <c r="G891" s="21">
        <v>0.16666700000000001</v>
      </c>
      <c r="H891" s="21">
        <v>0</v>
      </c>
    </row>
    <row r="892" spans="1:8">
      <c r="A892" s="4" t="s">
        <v>919</v>
      </c>
      <c r="B892" s="4">
        <v>8</v>
      </c>
      <c r="C892" s="21">
        <v>-0.77976000000000001</v>
      </c>
      <c r="D892" s="21">
        <v>-0.65424499999999997</v>
      </c>
      <c r="E892" s="21">
        <v>-0.71700299999999995</v>
      </c>
      <c r="F892" s="21">
        <v>0.28571400000000002</v>
      </c>
      <c r="G892" s="21">
        <v>0.33333299999999999</v>
      </c>
      <c r="H892" s="21">
        <v>0.4</v>
      </c>
    </row>
    <row r="893" spans="1:8">
      <c r="A893" s="4" t="s">
        <v>919</v>
      </c>
      <c r="B893" s="4">
        <v>9</v>
      </c>
      <c r="C893" s="21">
        <v>-0.51554599999999995</v>
      </c>
      <c r="D893" s="21">
        <v>-0.332428</v>
      </c>
      <c r="E893" s="21">
        <v>-0.423987</v>
      </c>
      <c r="F893" s="21">
        <v>0.42857099999999998</v>
      </c>
      <c r="G893" s="21">
        <v>0.41666700000000001</v>
      </c>
      <c r="H893" s="21">
        <v>0.6</v>
      </c>
    </row>
    <row r="894" spans="1:8">
      <c r="A894" s="4" t="s">
        <v>919</v>
      </c>
      <c r="B894" s="4">
        <v>10</v>
      </c>
      <c r="C894" s="21">
        <v>-0.83774800000000005</v>
      </c>
      <c r="D894" s="21">
        <v>-0.41682900000000001</v>
      </c>
      <c r="E894" s="21">
        <v>-0.62728799999999996</v>
      </c>
      <c r="F894" s="21">
        <v>0.238095</v>
      </c>
      <c r="G894" s="21">
        <v>0.16666700000000001</v>
      </c>
      <c r="H894" s="21">
        <v>0</v>
      </c>
    </row>
    <row r="895" spans="1:8">
      <c r="A895" s="4" t="s">
        <v>920</v>
      </c>
      <c r="B895" s="4">
        <v>1</v>
      </c>
      <c r="C895" s="21">
        <v>-0.91514099999999998</v>
      </c>
      <c r="D895" s="21">
        <v>-0.42182999999999998</v>
      </c>
      <c r="E895" s="21">
        <v>-0.66848600000000002</v>
      </c>
      <c r="F895" s="21">
        <v>0.238095</v>
      </c>
      <c r="G895" s="21">
        <v>8.3333000000000004E-2</v>
      </c>
      <c r="H895" s="21">
        <v>0.2</v>
      </c>
    </row>
    <row r="896" spans="1:8">
      <c r="A896" s="4" t="s">
        <v>920</v>
      </c>
      <c r="B896" s="4">
        <v>2</v>
      </c>
      <c r="C896" s="21">
        <v>-0.935006</v>
      </c>
      <c r="D896" s="21">
        <v>-0.41022999999999998</v>
      </c>
      <c r="E896" s="21">
        <v>-0.67261800000000005</v>
      </c>
      <c r="F896" s="21">
        <v>0.38095200000000001</v>
      </c>
      <c r="G896" s="21">
        <v>0</v>
      </c>
      <c r="H896" s="21">
        <v>0</v>
      </c>
    </row>
    <row r="897" spans="1:8">
      <c r="A897" s="4" t="s">
        <v>920</v>
      </c>
      <c r="B897" s="4">
        <v>3</v>
      </c>
      <c r="C897" s="21">
        <v>-0.84029699999999996</v>
      </c>
      <c r="D897" s="21">
        <v>-0.40571600000000002</v>
      </c>
      <c r="E897" s="21">
        <v>-0.62300599999999995</v>
      </c>
      <c r="F897" s="21">
        <v>0.238095</v>
      </c>
      <c r="G897" s="21">
        <v>0.25</v>
      </c>
      <c r="H897" s="21">
        <v>0.4</v>
      </c>
    </row>
    <row r="898" spans="1:8">
      <c r="A898" s="4" t="s">
        <v>920</v>
      </c>
      <c r="B898" s="4">
        <v>4</v>
      </c>
      <c r="C898" s="21">
        <v>-0.76610599999999995</v>
      </c>
      <c r="D898" s="21">
        <v>-0.45074999999999998</v>
      </c>
      <c r="E898" s="21">
        <v>-0.60842799999999997</v>
      </c>
      <c r="F898" s="21">
        <v>0.38095200000000001</v>
      </c>
      <c r="G898" s="21">
        <v>0.25</v>
      </c>
      <c r="H898" s="21">
        <v>0</v>
      </c>
    </row>
    <row r="899" spans="1:8">
      <c r="A899" s="4" t="s">
        <v>920</v>
      </c>
      <c r="B899" s="4">
        <v>5</v>
      </c>
      <c r="C899" s="21">
        <v>-0.62261900000000003</v>
      </c>
      <c r="D899" s="21">
        <v>-0.25067699999999998</v>
      </c>
      <c r="E899" s="21">
        <v>-0.43664799999999998</v>
      </c>
      <c r="F899" s="21">
        <v>0.38095200000000001</v>
      </c>
      <c r="G899" s="21">
        <v>0.41666700000000001</v>
      </c>
      <c r="H899" s="21">
        <v>0.4</v>
      </c>
    </row>
    <row r="900" spans="1:8">
      <c r="A900" s="4" t="s">
        <v>920</v>
      </c>
      <c r="B900" s="4">
        <v>6</v>
      </c>
      <c r="C900" s="21">
        <v>-0.63566999999999996</v>
      </c>
      <c r="D900" s="21">
        <v>-0.38670399999999999</v>
      </c>
      <c r="E900" s="21">
        <v>-0.51118699999999995</v>
      </c>
      <c r="F900" s="21">
        <v>0.33333299999999999</v>
      </c>
      <c r="G900" s="21">
        <v>0.41666700000000001</v>
      </c>
      <c r="H900" s="21">
        <v>0.6</v>
      </c>
    </row>
    <row r="901" spans="1:8">
      <c r="A901" s="4" t="s">
        <v>920</v>
      </c>
      <c r="B901" s="4">
        <v>7</v>
      </c>
      <c r="C901" s="21">
        <v>-0.74849900000000003</v>
      </c>
      <c r="D901" s="21">
        <v>-0.362981</v>
      </c>
      <c r="E901" s="21">
        <v>-0.55574000000000001</v>
      </c>
      <c r="F901" s="21">
        <v>0.47619</v>
      </c>
      <c r="G901" s="21">
        <v>0.25</v>
      </c>
      <c r="H901" s="21">
        <v>0</v>
      </c>
    </row>
    <row r="902" spans="1:8">
      <c r="A902" s="4" t="s">
        <v>920</v>
      </c>
      <c r="B902" s="4">
        <v>8</v>
      </c>
      <c r="C902" s="21">
        <v>-0.61449799999999999</v>
      </c>
      <c r="D902" s="21">
        <v>-0.24868000000000001</v>
      </c>
      <c r="E902" s="21">
        <v>-0.431589</v>
      </c>
      <c r="F902" s="21">
        <v>0.38095200000000001</v>
      </c>
      <c r="G902" s="21">
        <v>0.33333299999999999</v>
      </c>
      <c r="H902" s="21">
        <v>0.4</v>
      </c>
    </row>
    <row r="903" spans="1:8">
      <c r="A903" s="4" t="s">
        <v>920</v>
      </c>
      <c r="B903" s="4">
        <v>9</v>
      </c>
      <c r="C903" s="21">
        <v>-0.65642999999999996</v>
      </c>
      <c r="D903" s="21">
        <v>-0.36138100000000001</v>
      </c>
      <c r="E903" s="21">
        <v>-0.50890599999999997</v>
      </c>
      <c r="F903" s="21">
        <v>0.42857099999999998</v>
      </c>
      <c r="G903" s="21">
        <v>0.25</v>
      </c>
      <c r="H903" s="21">
        <v>0.2</v>
      </c>
    </row>
    <row r="904" spans="1:8">
      <c r="A904" s="4" t="s">
        <v>920</v>
      </c>
      <c r="B904" s="4">
        <v>10</v>
      </c>
      <c r="C904" s="21">
        <v>-0.64734499999999995</v>
      </c>
      <c r="D904" s="21">
        <v>-0.48168699999999998</v>
      </c>
      <c r="E904" s="21">
        <v>-0.56451600000000002</v>
      </c>
      <c r="F904" s="21">
        <v>0.238095</v>
      </c>
      <c r="G904" s="21">
        <v>0.5</v>
      </c>
      <c r="H904" s="21">
        <v>0.6</v>
      </c>
    </row>
    <row r="905" spans="1:8">
      <c r="A905" s="4" t="s">
        <v>921</v>
      </c>
      <c r="B905" s="4">
        <v>1</v>
      </c>
      <c r="C905" s="21">
        <v>-0.53099799999999997</v>
      </c>
      <c r="D905" s="21">
        <v>-0.43889800000000001</v>
      </c>
      <c r="E905" s="21">
        <v>-0.48494799999999999</v>
      </c>
      <c r="F905" s="21">
        <v>0.28571400000000002</v>
      </c>
      <c r="G905" s="21">
        <v>0.25</v>
      </c>
      <c r="H905" s="21">
        <v>0.6</v>
      </c>
    </row>
    <row r="906" spans="1:8">
      <c r="A906" s="4" t="s">
        <v>921</v>
      </c>
      <c r="B906" s="4">
        <v>2</v>
      </c>
      <c r="C906" s="21">
        <v>-0.92806200000000005</v>
      </c>
      <c r="D906" s="21">
        <v>-0.47148000000000001</v>
      </c>
      <c r="E906" s="21">
        <v>-0.69977100000000003</v>
      </c>
      <c r="F906" s="21">
        <v>0.47619</v>
      </c>
      <c r="G906" s="21">
        <v>0</v>
      </c>
      <c r="H906" s="21">
        <v>0</v>
      </c>
    </row>
    <row r="907" spans="1:8">
      <c r="A907" s="4" t="s">
        <v>921</v>
      </c>
      <c r="B907" s="4">
        <v>3</v>
      </c>
      <c r="C907" s="21">
        <v>-0.49956200000000001</v>
      </c>
      <c r="D907" s="21">
        <v>-0.40828199999999998</v>
      </c>
      <c r="E907" s="21">
        <v>-0.45392199999999999</v>
      </c>
      <c r="F907" s="21">
        <v>0.38095200000000001</v>
      </c>
      <c r="G907" s="21">
        <v>0.58333299999999999</v>
      </c>
      <c r="H907" s="21">
        <v>0.6</v>
      </c>
    </row>
    <row r="908" spans="1:8">
      <c r="A908" s="4" t="s">
        <v>921</v>
      </c>
      <c r="B908" s="4">
        <v>4</v>
      </c>
      <c r="C908" s="21">
        <v>-0.96011299999999999</v>
      </c>
      <c r="D908" s="21">
        <v>-0.40872999999999998</v>
      </c>
      <c r="E908" s="21">
        <v>-0.68442199999999997</v>
      </c>
      <c r="F908" s="21">
        <v>0.38095200000000001</v>
      </c>
      <c r="G908" s="21">
        <v>0.16666700000000001</v>
      </c>
      <c r="H908" s="21">
        <v>0.2</v>
      </c>
    </row>
    <row r="909" spans="1:8">
      <c r="A909" s="4" t="s">
        <v>921</v>
      </c>
      <c r="B909" s="4">
        <v>5</v>
      </c>
      <c r="C909" s="21">
        <v>-0.54581299999999999</v>
      </c>
      <c r="D909" s="21">
        <v>-0.35294399999999998</v>
      </c>
      <c r="E909" s="21">
        <v>-0.449378</v>
      </c>
      <c r="F909" s="21">
        <v>0.52381</v>
      </c>
      <c r="G909" s="21">
        <v>0.25</v>
      </c>
      <c r="H909" s="21">
        <v>0.2</v>
      </c>
    </row>
    <row r="910" spans="1:8">
      <c r="A910" s="4" t="s">
        <v>921</v>
      </c>
      <c r="B910" s="4">
        <v>6</v>
      </c>
      <c r="C910" s="21">
        <v>-0.69166300000000003</v>
      </c>
      <c r="D910" s="21">
        <v>-0.38089000000000001</v>
      </c>
      <c r="E910" s="21">
        <v>-0.53627599999999997</v>
      </c>
      <c r="F910" s="21">
        <v>0.28571400000000002</v>
      </c>
      <c r="G910" s="21">
        <v>0.41666700000000001</v>
      </c>
      <c r="H910" s="21">
        <v>0.6</v>
      </c>
    </row>
    <row r="911" spans="1:8">
      <c r="A911" s="4" t="s">
        <v>921</v>
      </c>
      <c r="B911" s="4">
        <v>7</v>
      </c>
      <c r="C911" s="21">
        <v>-0.94156399999999996</v>
      </c>
      <c r="D911" s="21">
        <v>-0.66034899999999996</v>
      </c>
      <c r="E911" s="21">
        <v>-0.80095700000000003</v>
      </c>
      <c r="F911" s="21">
        <v>0.57142899999999996</v>
      </c>
      <c r="G911" s="21">
        <v>0.33333299999999999</v>
      </c>
      <c r="H911" s="21">
        <v>0.2</v>
      </c>
    </row>
    <row r="912" spans="1:8">
      <c r="A912" s="4" t="s">
        <v>921</v>
      </c>
      <c r="B912" s="4">
        <v>8</v>
      </c>
      <c r="C912" s="21">
        <v>-0.75456999999999996</v>
      </c>
      <c r="D912" s="21">
        <v>-0.45585300000000001</v>
      </c>
      <c r="E912" s="21">
        <v>-0.60521100000000005</v>
      </c>
      <c r="F912" s="21">
        <v>0.238095</v>
      </c>
      <c r="G912" s="21">
        <v>0.25</v>
      </c>
      <c r="H912" s="21">
        <v>0.2</v>
      </c>
    </row>
    <row r="913" spans="1:8">
      <c r="A913" s="4" t="s">
        <v>921</v>
      </c>
      <c r="B913" s="4">
        <v>9</v>
      </c>
      <c r="C913" s="21">
        <v>-0.71941699999999997</v>
      </c>
      <c r="D913" s="21">
        <v>-0.49790600000000002</v>
      </c>
      <c r="E913" s="21">
        <v>-0.60866100000000001</v>
      </c>
      <c r="F913" s="21">
        <v>0.61904800000000004</v>
      </c>
      <c r="G913" s="21">
        <v>0.33333299999999999</v>
      </c>
      <c r="H913" s="21">
        <v>0.4</v>
      </c>
    </row>
    <row r="914" spans="1:8">
      <c r="A914" s="4" t="s">
        <v>921</v>
      </c>
      <c r="B914" s="4">
        <v>10</v>
      </c>
      <c r="C914" s="21">
        <v>-1.171087</v>
      </c>
      <c r="D914" s="21">
        <v>-0.43903300000000001</v>
      </c>
      <c r="E914" s="21">
        <v>-0.80506</v>
      </c>
      <c r="F914" s="21">
        <v>0.238095</v>
      </c>
      <c r="G914" s="21">
        <v>0</v>
      </c>
      <c r="H914" s="21">
        <v>0</v>
      </c>
    </row>
    <row r="915" spans="1:8">
      <c r="A915" s="4" t="s">
        <v>922</v>
      </c>
      <c r="B915" s="4">
        <v>1</v>
      </c>
      <c r="C915" s="21">
        <v>-0.77872699999999995</v>
      </c>
      <c r="D915" s="21">
        <v>-0.43632199999999999</v>
      </c>
      <c r="E915" s="21">
        <v>-0.60752399999999995</v>
      </c>
      <c r="F915" s="21">
        <v>0.38095200000000001</v>
      </c>
      <c r="G915" s="21">
        <v>0.33333299999999999</v>
      </c>
      <c r="H915" s="21">
        <v>0.6</v>
      </c>
    </row>
    <row r="916" spans="1:8">
      <c r="A916" s="4" t="s">
        <v>922</v>
      </c>
      <c r="B916" s="4">
        <v>2</v>
      </c>
      <c r="C916" s="21">
        <v>-0.64878000000000002</v>
      </c>
      <c r="D916" s="21">
        <v>-0.355966</v>
      </c>
      <c r="E916" s="21">
        <v>-0.50237299999999996</v>
      </c>
      <c r="F916" s="21">
        <v>0.28571400000000002</v>
      </c>
      <c r="G916" s="21">
        <v>0.33333299999999999</v>
      </c>
      <c r="H916" s="21">
        <v>0</v>
      </c>
    </row>
    <row r="917" spans="1:8">
      <c r="A917" s="4" t="s">
        <v>922</v>
      </c>
      <c r="B917" s="4">
        <v>3</v>
      </c>
      <c r="C917" s="21">
        <v>-0.68043399999999998</v>
      </c>
      <c r="D917" s="21">
        <v>-0.40031</v>
      </c>
      <c r="E917" s="21">
        <v>-0.54037199999999996</v>
      </c>
      <c r="F917" s="21">
        <v>0.38095200000000001</v>
      </c>
      <c r="G917" s="21">
        <v>0.33333299999999999</v>
      </c>
      <c r="H917" s="21">
        <v>0.4</v>
      </c>
    </row>
    <row r="918" spans="1:8">
      <c r="A918" s="4" t="s">
        <v>922</v>
      </c>
      <c r="B918" s="4">
        <v>4</v>
      </c>
      <c r="C918" s="21">
        <v>-0.68669899999999995</v>
      </c>
      <c r="D918" s="21">
        <v>-0.49728600000000001</v>
      </c>
      <c r="E918" s="21">
        <v>-0.59199199999999996</v>
      </c>
      <c r="F918" s="21">
        <v>0.52381</v>
      </c>
      <c r="G918" s="21">
        <v>0.33333299999999999</v>
      </c>
      <c r="H918" s="21">
        <v>0.2</v>
      </c>
    </row>
    <row r="919" spans="1:8">
      <c r="A919" s="4" t="s">
        <v>922</v>
      </c>
      <c r="B919" s="4">
        <v>5</v>
      </c>
      <c r="C919" s="21">
        <v>-0.758382</v>
      </c>
      <c r="D919" s="21">
        <v>-0.58286800000000005</v>
      </c>
      <c r="E919" s="21">
        <v>-0.67062500000000003</v>
      </c>
      <c r="F919" s="21">
        <v>0.47619</v>
      </c>
      <c r="G919" s="21">
        <v>8.3333000000000004E-2</v>
      </c>
      <c r="H919" s="21">
        <v>0.2</v>
      </c>
    </row>
    <row r="920" spans="1:8">
      <c r="A920" s="4" t="s">
        <v>922</v>
      </c>
      <c r="B920" s="4">
        <v>6</v>
      </c>
      <c r="C920" s="21">
        <v>-0.77896100000000001</v>
      </c>
      <c r="D920" s="21">
        <v>-0.38536500000000001</v>
      </c>
      <c r="E920" s="21">
        <v>-0.58216299999999999</v>
      </c>
      <c r="F920" s="21">
        <v>0.33333299999999999</v>
      </c>
      <c r="G920" s="21">
        <v>8.3333000000000004E-2</v>
      </c>
      <c r="H920" s="21">
        <v>0.2</v>
      </c>
    </row>
    <row r="921" spans="1:8">
      <c r="A921" s="4" t="s">
        <v>922</v>
      </c>
      <c r="B921" s="4">
        <v>7</v>
      </c>
      <c r="C921" s="21">
        <v>-0.77054100000000003</v>
      </c>
      <c r="D921" s="21">
        <v>-0.63156199999999996</v>
      </c>
      <c r="E921" s="21">
        <v>-0.70105099999999998</v>
      </c>
      <c r="F921" s="21">
        <v>0.47619</v>
      </c>
      <c r="G921" s="21">
        <v>0.16666700000000001</v>
      </c>
      <c r="H921" s="21">
        <v>0.2</v>
      </c>
    </row>
    <row r="922" spans="1:8">
      <c r="A922" s="4" t="s">
        <v>922</v>
      </c>
      <c r="B922" s="4">
        <v>8</v>
      </c>
      <c r="C922" s="21">
        <v>-0.75684200000000001</v>
      </c>
      <c r="D922" s="21">
        <v>-0.43041600000000002</v>
      </c>
      <c r="E922" s="21">
        <v>-0.59362899999999996</v>
      </c>
      <c r="F922" s="21">
        <v>0.42857099999999998</v>
      </c>
      <c r="G922" s="21">
        <v>0.16666700000000001</v>
      </c>
      <c r="H922" s="21">
        <v>0.2</v>
      </c>
    </row>
    <row r="923" spans="1:8">
      <c r="A923" s="4" t="s">
        <v>922</v>
      </c>
      <c r="B923" s="4">
        <v>9</v>
      </c>
      <c r="C923" s="21">
        <v>-0.638243</v>
      </c>
      <c r="D923" s="21">
        <v>-0.40876099999999999</v>
      </c>
      <c r="E923" s="21">
        <v>-0.52350200000000002</v>
      </c>
      <c r="F923" s="21">
        <v>0.33333299999999999</v>
      </c>
      <c r="G923" s="21">
        <v>0.41666700000000001</v>
      </c>
      <c r="H923" s="21">
        <v>0.4</v>
      </c>
    </row>
    <row r="924" spans="1:8">
      <c r="A924" s="4" t="s">
        <v>922</v>
      </c>
      <c r="B924" s="4">
        <v>10</v>
      </c>
      <c r="C924" s="21">
        <v>-0.91833100000000001</v>
      </c>
      <c r="D924" s="21">
        <v>-0.40006700000000001</v>
      </c>
      <c r="E924" s="21">
        <v>-0.65919899999999998</v>
      </c>
      <c r="F924" s="21">
        <v>0.28571400000000002</v>
      </c>
      <c r="G924" s="21">
        <v>8.3333000000000004E-2</v>
      </c>
      <c r="H924" s="21">
        <v>0</v>
      </c>
    </row>
    <row r="925" spans="1:8">
      <c r="A925" s="4" t="s">
        <v>923</v>
      </c>
      <c r="B925" s="4">
        <v>1</v>
      </c>
      <c r="C925" s="21">
        <v>-0.74019100000000004</v>
      </c>
      <c r="D925" s="21">
        <v>-0.391204</v>
      </c>
      <c r="E925" s="21">
        <v>-0.56569800000000003</v>
      </c>
      <c r="F925" s="21">
        <v>0.33333299999999999</v>
      </c>
      <c r="G925" s="21">
        <v>0</v>
      </c>
      <c r="H925" s="21">
        <v>0</v>
      </c>
    </row>
    <row r="926" spans="1:8">
      <c r="A926" s="4" t="s">
        <v>923</v>
      </c>
      <c r="B926" s="4">
        <v>2</v>
      </c>
      <c r="C926" s="21">
        <v>-0.87112900000000004</v>
      </c>
      <c r="D926" s="21">
        <v>-0.50040700000000005</v>
      </c>
      <c r="E926" s="21">
        <v>-0.68576800000000004</v>
      </c>
      <c r="F926" s="21">
        <v>0.38095200000000001</v>
      </c>
      <c r="G926" s="21">
        <v>0.16666700000000001</v>
      </c>
      <c r="H926" s="21">
        <v>0.2</v>
      </c>
    </row>
    <row r="927" spans="1:8">
      <c r="A927" s="4" t="s">
        <v>923</v>
      </c>
      <c r="B927" s="4">
        <v>3</v>
      </c>
      <c r="C927" s="21">
        <v>-0.76687300000000003</v>
      </c>
      <c r="D927" s="21">
        <v>-0.29549799999999998</v>
      </c>
      <c r="E927" s="21">
        <v>-0.53118600000000005</v>
      </c>
      <c r="F927" s="21">
        <v>0.42857099999999998</v>
      </c>
      <c r="G927" s="21">
        <v>0.25</v>
      </c>
      <c r="H927" s="21">
        <v>0.2</v>
      </c>
    </row>
    <row r="928" spans="1:8">
      <c r="A928" s="4" t="s">
        <v>923</v>
      </c>
      <c r="B928" s="4">
        <v>4</v>
      </c>
      <c r="C928" s="21">
        <v>-0.63853700000000002</v>
      </c>
      <c r="D928" s="21">
        <v>-0.27492299999999997</v>
      </c>
      <c r="E928" s="21">
        <v>-0.45673000000000002</v>
      </c>
      <c r="F928" s="21">
        <v>0.38095200000000001</v>
      </c>
      <c r="G928" s="21">
        <v>0.41666700000000001</v>
      </c>
      <c r="H928" s="21">
        <v>0.6</v>
      </c>
    </row>
    <row r="929" spans="1:8">
      <c r="A929" s="4" t="s">
        <v>923</v>
      </c>
      <c r="B929" s="4">
        <v>5</v>
      </c>
      <c r="C929" s="21">
        <v>-0.97653500000000004</v>
      </c>
      <c r="D929" s="21">
        <v>-0.57779999999999998</v>
      </c>
      <c r="E929" s="21">
        <v>-0.77716799999999997</v>
      </c>
      <c r="F929" s="21">
        <v>0.42857099999999998</v>
      </c>
      <c r="G929" s="21">
        <v>8.3333000000000004E-2</v>
      </c>
      <c r="H929" s="21">
        <v>0.2</v>
      </c>
    </row>
    <row r="930" spans="1:8">
      <c r="A930" s="4" t="s">
        <v>923</v>
      </c>
      <c r="B930" s="4">
        <v>6</v>
      </c>
      <c r="C930" s="21">
        <v>-0.72624500000000003</v>
      </c>
      <c r="D930" s="21">
        <v>-0.379162</v>
      </c>
      <c r="E930" s="21">
        <v>-0.55270300000000006</v>
      </c>
      <c r="F930" s="21">
        <v>0.52381</v>
      </c>
      <c r="G930" s="21">
        <v>0.16666700000000001</v>
      </c>
      <c r="H930" s="21">
        <v>0.2</v>
      </c>
    </row>
    <row r="931" spans="1:8">
      <c r="A931" s="4" t="s">
        <v>923</v>
      </c>
      <c r="B931" s="4">
        <v>7</v>
      </c>
      <c r="C931" s="21">
        <v>-0.72318199999999999</v>
      </c>
      <c r="D931" s="21">
        <v>-0.63049999999999995</v>
      </c>
      <c r="E931" s="21">
        <v>-0.67684100000000003</v>
      </c>
      <c r="F931" s="21">
        <v>0.38095200000000001</v>
      </c>
      <c r="G931" s="21">
        <v>0.33333299999999999</v>
      </c>
      <c r="H931" s="21">
        <v>0.4</v>
      </c>
    </row>
    <row r="932" spans="1:8">
      <c r="A932" s="4" t="s">
        <v>923</v>
      </c>
      <c r="B932" s="4">
        <v>8</v>
      </c>
      <c r="C932" s="21">
        <v>-0.66733699999999996</v>
      </c>
      <c r="D932" s="21">
        <v>-0.328237</v>
      </c>
      <c r="E932" s="21">
        <v>-0.49778699999999998</v>
      </c>
      <c r="F932" s="21">
        <v>0.42857099999999998</v>
      </c>
      <c r="G932" s="21">
        <v>0.33333299999999999</v>
      </c>
      <c r="H932" s="21">
        <v>0.6</v>
      </c>
    </row>
    <row r="933" spans="1:8">
      <c r="A933" s="4" t="s">
        <v>923</v>
      </c>
      <c r="B933" s="4">
        <v>9</v>
      </c>
      <c r="C933" s="21">
        <v>-0.67763200000000001</v>
      </c>
      <c r="D933" s="21">
        <v>-0.55638500000000002</v>
      </c>
      <c r="E933" s="21">
        <v>-0.61700900000000003</v>
      </c>
      <c r="F933" s="21">
        <v>0.57142899999999996</v>
      </c>
      <c r="G933" s="21">
        <v>8.3333000000000004E-2</v>
      </c>
      <c r="H933" s="21">
        <v>0.2</v>
      </c>
    </row>
    <row r="934" spans="1:8">
      <c r="A934" s="4" t="s">
        <v>923</v>
      </c>
      <c r="B934" s="4">
        <v>10</v>
      </c>
      <c r="C934" s="21">
        <v>-0.88903699999999997</v>
      </c>
      <c r="D934" s="21">
        <v>-0.50911700000000004</v>
      </c>
      <c r="E934" s="21">
        <v>-0.69907699999999995</v>
      </c>
      <c r="F934" s="21">
        <v>0.42857099999999998</v>
      </c>
      <c r="G934" s="21">
        <v>0.33333299999999999</v>
      </c>
      <c r="H934" s="21">
        <v>0.8</v>
      </c>
    </row>
    <row r="935" spans="1:8">
      <c r="A935" s="4" t="s">
        <v>924</v>
      </c>
      <c r="B935" s="4">
        <v>1</v>
      </c>
      <c r="C935" s="21">
        <v>-0.698048</v>
      </c>
      <c r="D935" s="21">
        <v>-0.57095399999999996</v>
      </c>
      <c r="E935" s="21">
        <v>-0.63450099999999998</v>
      </c>
      <c r="F935" s="21">
        <v>0.38095200000000001</v>
      </c>
      <c r="G935" s="21">
        <v>0.33333299999999999</v>
      </c>
      <c r="H935" s="21">
        <v>0.4</v>
      </c>
    </row>
    <row r="936" spans="1:8">
      <c r="A936" s="4" t="s">
        <v>924</v>
      </c>
      <c r="B936" s="4">
        <v>2</v>
      </c>
      <c r="C936" s="21">
        <v>-1.0094879999999999</v>
      </c>
      <c r="D936" s="21">
        <v>-0.39212599999999997</v>
      </c>
      <c r="E936" s="21">
        <v>-0.70080699999999996</v>
      </c>
      <c r="F936" s="21">
        <v>0.42857099999999998</v>
      </c>
      <c r="G936" s="21">
        <v>0.16666700000000001</v>
      </c>
      <c r="H936" s="21">
        <v>0.2</v>
      </c>
    </row>
    <row r="937" spans="1:8">
      <c r="A937" s="4" t="s">
        <v>924</v>
      </c>
      <c r="B937" s="4">
        <v>3</v>
      </c>
      <c r="C937" s="21">
        <v>-0.686338</v>
      </c>
      <c r="D937" s="21">
        <v>-0.41296100000000002</v>
      </c>
      <c r="E937" s="21">
        <v>-0.54964999999999997</v>
      </c>
      <c r="F937" s="21">
        <v>0.52381</v>
      </c>
      <c r="G937" s="21">
        <v>0.41666700000000001</v>
      </c>
      <c r="H937" s="21">
        <v>0.4</v>
      </c>
    </row>
    <row r="938" spans="1:8">
      <c r="A938" s="4" t="s">
        <v>924</v>
      </c>
      <c r="B938" s="4">
        <v>4</v>
      </c>
      <c r="C938" s="21">
        <v>-0.49680999999999997</v>
      </c>
      <c r="D938" s="21">
        <v>-0.33023000000000002</v>
      </c>
      <c r="E938" s="21">
        <v>-0.41352</v>
      </c>
      <c r="F938" s="21">
        <v>0.42857099999999998</v>
      </c>
      <c r="G938" s="21">
        <v>0.33333299999999999</v>
      </c>
      <c r="H938" s="21">
        <v>0.6</v>
      </c>
    </row>
    <row r="939" spans="1:8">
      <c r="A939" s="4" t="s">
        <v>924</v>
      </c>
      <c r="B939" s="4">
        <v>5</v>
      </c>
      <c r="C939" s="21">
        <v>-0.88107199999999997</v>
      </c>
      <c r="D939" s="21">
        <v>-0.55164999999999997</v>
      </c>
      <c r="E939" s="21">
        <v>-0.71636100000000003</v>
      </c>
      <c r="F939" s="21">
        <v>0.38095200000000001</v>
      </c>
      <c r="G939" s="21">
        <v>0.25</v>
      </c>
      <c r="H939" s="21">
        <v>0.4</v>
      </c>
    </row>
    <row r="940" spans="1:8">
      <c r="A940" s="4" t="s">
        <v>924</v>
      </c>
      <c r="B940" s="4">
        <v>6</v>
      </c>
      <c r="C940" s="21">
        <v>-0.66050200000000003</v>
      </c>
      <c r="D940" s="21">
        <v>-0.46754600000000002</v>
      </c>
      <c r="E940" s="21">
        <v>-0.56402399999999997</v>
      </c>
      <c r="F940" s="21">
        <v>0.38095200000000001</v>
      </c>
      <c r="G940" s="21">
        <v>0.33333299999999999</v>
      </c>
      <c r="H940" s="21">
        <v>0.6</v>
      </c>
    </row>
    <row r="941" spans="1:8">
      <c r="A941" s="4" t="s">
        <v>924</v>
      </c>
      <c r="B941" s="4">
        <v>7</v>
      </c>
      <c r="C941" s="21">
        <v>-0.61322900000000002</v>
      </c>
      <c r="D941" s="21">
        <v>-0.34425499999999998</v>
      </c>
      <c r="E941" s="21">
        <v>-0.478742</v>
      </c>
      <c r="F941" s="21">
        <v>0.28571400000000002</v>
      </c>
      <c r="G941" s="21">
        <v>0.5</v>
      </c>
      <c r="H941" s="21">
        <v>0.2</v>
      </c>
    </row>
    <row r="942" spans="1:8">
      <c r="A942" s="4" t="s">
        <v>924</v>
      </c>
      <c r="B942" s="4">
        <v>8</v>
      </c>
      <c r="C942" s="21">
        <v>-0.91804799999999998</v>
      </c>
      <c r="D942" s="21">
        <v>-0.46465200000000001</v>
      </c>
      <c r="E942" s="21">
        <v>-0.69135000000000002</v>
      </c>
      <c r="F942" s="21">
        <v>0.33333299999999999</v>
      </c>
      <c r="G942" s="21">
        <v>0</v>
      </c>
      <c r="H942" s="21">
        <v>0</v>
      </c>
    </row>
    <row r="943" spans="1:8">
      <c r="A943" s="4" t="s">
        <v>924</v>
      </c>
      <c r="B943" s="4">
        <v>9</v>
      </c>
      <c r="C943" s="21">
        <v>-0.76247699999999996</v>
      </c>
      <c r="D943" s="21">
        <v>-0.288858</v>
      </c>
      <c r="E943" s="21">
        <v>-0.52566800000000002</v>
      </c>
      <c r="F943" s="21">
        <v>0.238095</v>
      </c>
      <c r="G943" s="21">
        <v>0.41666700000000001</v>
      </c>
      <c r="H943" s="21">
        <v>0.4</v>
      </c>
    </row>
    <row r="944" spans="1:8">
      <c r="A944" s="4" t="s">
        <v>924</v>
      </c>
      <c r="B944" s="4">
        <v>10</v>
      </c>
      <c r="C944" s="21">
        <v>-0.71856600000000004</v>
      </c>
      <c r="D944" s="21">
        <v>-0.40368799999999999</v>
      </c>
      <c r="E944" s="21">
        <v>-0.56112700000000004</v>
      </c>
      <c r="F944" s="21">
        <v>0.38095200000000001</v>
      </c>
      <c r="G944" s="21">
        <v>0.16666700000000001</v>
      </c>
      <c r="H944" s="21">
        <v>0</v>
      </c>
    </row>
    <row r="945" spans="1:8">
      <c r="A945" s="4" t="s">
        <v>925</v>
      </c>
      <c r="B945" s="4">
        <v>1</v>
      </c>
      <c r="C945" s="21">
        <v>-0.80977200000000005</v>
      </c>
      <c r="D945" s="21">
        <v>-0.44522499999999998</v>
      </c>
      <c r="E945" s="21">
        <v>-0.62749900000000003</v>
      </c>
      <c r="F945" s="21">
        <v>0.42857099999999998</v>
      </c>
      <c r="G945" s="21">
        <v>0.25</v>
      </c>
      <c r="H945" s="21">
        <v>0.2</v>
      </c>
    </row>
    <row r="946" spans="1:8">
      <c r="A946" s="4" t="s">
        <v>925</v>
      </c>
      <c r="B946" s="4">
        <v>2</v>
      </c>
      <c r="C946" s="21">
        <v>-0.63094099999999997</v>
      </c>
      <c r="D946" s="21">
        <v>-0.413246</v>
      </c>
      <c r="E946" s="21">
        <v>-0.52209300000000003</v>
      </c>
      <c r="F946" s="21">
        <v>0.38095200000000001</v>
      </c>
      <c r="G946" s="21">
        <v>0.41666700000000001</v>
      </c>
      <c r="H946" s="21">
        <v>0.4</v>
      </c>
    </row>
    <row r="947" spans="1:8">
      <c r="A947" s="4" t="s">
        <v>925</v>
      </c>
      <c r="B947" s="4">
        <v>3</v>
      </c>
      <c r="C947" s="21">
        <v>-0.74845600000000001</v>
      </c>
      <c r="D947" s="21">
        <v>-0.48482999999999998</v>
      </c>
      <c r="E947" s="21">
        <v>-0.61664300000000005</v>
      </c>
      <c r="F947" s="21">
        <v>0.52381</v>
      </c>
      <c r="G947" s="21">
        <v>0.5</v>
      </c>
      <c r="H947" s="21">
        <v>0.4</v>
      </c>
    </row>
    <row r="948" spans="1:8">
      <c r="A948" s="4" t="s">
        <v>925</v>
      </c>
      <c r="B948" s="4">
        <v>4</v>
      </c>
      <c r="C948" s="21">
        <v>-0.75509999999999999</v>
      </c>
      <c r="D948" s="21">
        <v>-0.53761000000000003</v>
      </c>
      <c r="E948" s="21">
        <v>-0.64635500000000001</v>
      </c>
      <c r="F948" s="21">
        <v>0.33333299999999999</v>
      </c>
      <c r="G948" s="21">
        <v>0.16666700000000001</v>
      </c>
      <c r="H948" s="21">
        <v>0.2</v>
      </c>
    </row>
    <row r="949" spans="1:8">
      <c r="A949" s="4" t="s">
        <v>925</v>
      </c>
      <c r="B949" s="4">
        <v>5</v>
      </c>
      <c r="C949" s="21">
        <v>-0.85328499999999996</v>
      </c>
      <c r="D949" s="21">
        <v>-0.41933900000000002</v>
      </c>
      <c r="E949" s="21">
        <v>-0.63631199999999999</v>
      </c>
      <c r="F949" s="21">
        <v>0.47619</v>
      </c>
      <c r="G949" s="21">
        <v>0.33333299999999999</v>
      </c>
      <c r="H949" s="21">
        <v>0.4</v>
      </c>
    </row>
    <row r="950" spans="1:8">
      <c r="A950" s="4" t="s">
        <v>925</v>
      </c>
      <c r="B950" s="4">
        <v>6</v>
      </c>
      <c r="C950" s="21">
        <v>-0.92479</v>
      </c>
      <c r="D950" s="21">
        <v>-0.49281700000000001</v>
      </c>
      <c r="E950" s="21">
        <v>-0.70880399999999999</v>
      </c>
      <c r="F950" s="21">
        <v>0.38095200000000001</v>
      </c>
      <c r="G950" s="21">
        <v>0.33333299999999999</v>
      </c>
      <c r="H950" s="21">
        <v>0.2</v>
      </c>
    </row>
    <row r="951" spans="1:8">
      <c r="A951" s="4" t="s">
        <v>925</v>
      </c>
      <c r="B951" s="4">
        <v>7</v>
      </c>
      <c r="C951" s="21">
        <v>-0.65189200000000003</v>
      </c>
      <c r="D951" s="21">
        <v>-0.50500100000000003</v>
      </c>
      <c r="E951" s="21">
        <v>-0.57844700000000004</v>
      </c>
      <c r="F951" s="21">
        <v>0.238095</v>
      </c>
      <c r="G951" s="21">
        <v>0.25</v>
      </c>
      <c r="H951" s="21">
        <v>0.4</v>
      </c>
    </row>
    <row r="952" spans="1:8">
      <c r="A952" s="4" t="s">
        <v>925</v>
      </c>
      <c r="B952" s="4">
        <v>8</v>
      </c>
      <c r="C952" s="21">
        <v>-0.58631800000000001</v>
      </c>
      <c r="D952" s="21">
        <v>-0.47981800000000002</v>
      </c>
      <c r="E952" s="21">
        <v>-0.53306799999999999</v>
      </c>
      <c r="F952" s="21">
        <v>0.38095200000000001</v>
      </c>
      <c r="G952" s="21">
        <v>0.25</v>
      </c>
      <c r="H952" s="21">
        <v>0.4</v>
      </c>
    </row>
    <row r="953" spans="1:8">
      <c r="A953" s="4" t="s">
        <v>925</v>
      </c>
      <c r="B953" s="4">
        <v>9</v>
      </c>
      <c r="C953" s="21">
        <v>-0.38829200000000003</v>
      </c>
      <c r="D953" s="21">
        <v>-0.21871399999999999</v>
      </c>
      <c r="E953" s="21">
        <v>-0.30350300000000002</v>
      </c>
      <c r="F953" s="21">
        <v>0.42857099999999998</v>
      </c>
      <c r="G953" s="21">
        <v>0.41666700000000001</v>
      </c>
      <c r="H953" s="21">
        <v>0.4</v>
      </c>
    </row>
    <row r="954" spans="1:8">
      <c r="A954" s="4" t="s">
        <v>925</v>
      </c>
      <c r="B954" s="4">
        <v>10</v>
      </c>
      <c r="C954" s="21">
        <v>-0.72725799999999996</v>
      </c>
      <c r="D954" s="21">
        <v>-0.28923500000000002</v>
      </c>
      <c r="E954" s="21">
        <v>-0.508247</v>
      </c>
      <c r="F954" s="21">
        <v>0.42857099999999998</v>
      </c>
      <c r="G954" s="21">
        <v>8.3333000000000004E-2</v>
      </c>
      <c r="H954" s="21">
        <v>0</v>
      </c>
    </row>
    <row r="955" spans="1:8">
      <c r="A955" s="4" t="s">
        <v>926</v>
      </c>
      <c r="B955" s="4">
        <v>1</v>
      </c>
      <c r="C955" s="21">
        <v>-0.57084699999999999</v>
      </c>
      <c r="D955" s="21">
        <v>-0.26127600000000001</v>
      </c>
      <c r="E955" s="21">
        <v>-0.41606100000000001</v>
      </c>
      <c r="F955" s="21">
        <v>0.47619</v>
      </c>
      <c r="G955" s="21">
        <v>0.33333299999999999</v>
      </c>
      <c r="H955" s="21">
        <v>0.4</v>
      </c>
    </row>
    <row r="956" spans="1:8">
      <c r="A956" s="4" t="s">
        <v>926</v>
      </c>
      <c r="B956" s="4">
        <v>2</v>
      </c>
      <c r="C956" s="21">
        <v>-0.83808400000000005</v>
      </c>
      <c r="D956" s="21">
        <v>-0.32807199999999997</v>
      </c>
      <c r="E956" s="21">
        <v>-0.58307799999999999</v>
      </c>
      <c r="F956" s="21">
        <v>0.42857099999999998</v>
      </c>
      <c r="G956" s="21">
        <v>8.3333000000000004E-2</v>
      </c>
      <c r="H956" s="21">
        <v>0.2</v>
      </c>
    </row>
    <row r="957" spans="1:8">
      <c r="A957" s="4" t="s">
        <v>926</v>
      </c>
      <c r="B957" s="4">
        <v>3</v>
      </c>
      <c r="C957" s="21">
        <v>-1.0033000000000001</v>
      </c>
      <c r="D957" s="21">
        <v>-0.50465000000000004</v>
      </c>
      <c r="E957" s="21">
        <v>-0.75397499999999995</v>
      </c>
      <c r="F957" s="21">
        <v>0.42857099999999998</v>
      </c>
      <c r="G957" s="21">
        <v>0.16666700000000001</v>
      </c>
      <c r="H957" s="21">
        <v>0.2</v>
      </c>
    </row>
    <row r="958" spans="1:8">
      <c r="A958" s="4" t="s">
        <v>926</v>
      </c>
      <c r="B958" s="4">
        <v>4</v>
      </c>
      <c r="C958" s="21">
        <v>-0.75475199999999998</v>
      </c>
      <c r="D958" s="21">
        <v>-0.39286500000000002</v>
      </c>
      <c r="E958" s="21">
        <v>-0.57380900000000001</v>
      </c>
      <c r="F958" s="21">
        <v>0.28571400000000002</v>
      </c>
      <c r="G958" s="21">
        <v>0.25</v>
      </c>
      <c r="H958" s="21">
        <v>0.2</v>
      </c>
    </row>
    <row r="959" spans="1:8">
      <c r="A959" s="4" t="s">
        <v>926</v>
      </c>
      <c r="B959" s="4">
        <v>5</v>
      </c>
      <c r="C959" s="21">
        <v>-0.86501700000000004</v>
      </c>
      <c r="D959" s="21">
        <v>-0.38477600000000001</v>
      </c>
      <c r="E959" s="21">
        <v>-0.62489700000000004</v>
      </c>
      <c r="F959" s="21">
        <v>0.42857099999999998</v>
      </c>
      <c r="G959" s="21">
        <v>0.16666700000000001</v>
      </c>
      <c r="H959" s="21">
        <v>0</v>
      </c>
    </row>
    <row r="960" spans="1:8">
      <c r="A960" s="4" t="s">
        <v>926</v>
      </c>
      <c r="B960" s="4">
        <v>6</v>
      </c>
      <c r="C960" s="21">
        <v>-1.0472900000000001</v>
      </c>
      <c r="D960" s="21">
        <v>-0.43497999999999998</v>
      </c>
      <c r="E960" s="21">
        <v>-0.74113499999999999</v>
      </c>
      <c r="F960" s="21">
        <v>0.52381</v>
      </c>
      <c r="G960" s="21">
        <v>0.16666700000000001</v>
      </c>
      <c r="H960" s="21">
        <v>0</v>
      </c>
    </row>
    <row r="961" spans="1:8">
      <c r="A961" s="4" t="s">
        <v>926</v>
      </c>
      <c r="B961" s="4">
        <v>7</v>
      </c>
      <c r="C961" s="21">
        <v>-1.0008980000000001</v>
      </c>
      <c r="D961" s="21">
        <v>-0.64059699999999997</v>
      </c>
      <c r="E961" s="21">
        <v>-0.82074800000000003</v>
      </c>
      <c r="F961" s="21">
        <v>0.42857099999999998</v>
      </c>
      <c r="G961" s="21">
        <v>0.25</v>
      </c>
      <c r="H961" s="21">
        <v>0.2</v>
      </c>
    </row>
    <row r="962" spans="1:8">
      <c r="A962" s="4" t="s">
        <v>926</v>
      </c>
      <c r="B962" s="4">
        <v>8</v>
      </c>
      <c r="C962" s="21">
        <v>-0.90068800000000004</v>
      </c>
      <c r="D962" s="21">
        <v>-0.47382099999999999</v>
      </c>
      <c r="E962" s="21">
        <v>-0.68725400000000003</v>
      </c>
      <c r="F962" s="21">
        <v>0.38095200000000001</v>
      </c>
      <c r="G962" s="21">
        <v>0.25</v>
      </c>
      <c r="H962" s="21">
        <v>0.2</v>
      </c>
    </row>
    <row r="963" spans="1:8">
      <c r="A963" s="4" t="s">
        <v>926</v>
      </c>
      <c r="B963" s="4">
        <v>9</v>
      </c>
      <c r="C963" s="21">
        <v>-0.81523299999999999</v>
      </c>
      <c r="D963" s="21">
        <v>-0.49104399999999998</v>
      </c>
      <c r="E963" s="21">
        <v>-0.65313900000000003</v>
      </c>
      <c r="F963" s="21">
        <v>0.33333299999999999</v>
      </c>
      <c r="G963" s="21">
        <v>0.25</v>
      </c>
      <c r="H963" s="21">
        <v>0.2</v>
      </c>
    </row>
    <row r="964" spans="1:8">
      <c r="A964" s="4" t="s">
        <v>926</v>
      </c>
      <c r="B964" s="4">
        <v>10</v>
      </c>
      <c r="C964" s="21">
        <v>-0.98102800000000001</v>
      </c>
      <c r="D964" s="21">
        <v>-0.35958000000000001</v>
      </c>
      <c r="E964" s="21">
        <v>-0.67030400000000001</v>
      </c>
      <c r="F964" s="21">
        <v>0.52381</v>
      </c>
      <c r="G964" s="21">
        <v>0</v>
      </c>
      <c r="H964" s="21">
        <v>0</v>
      </c>
    </row>
    <row r="965" spans="1:8">
      <c r="A965" s="4"/>
      <c r="B965" s="4"/>
      <c r="C965" s="4"/>
      <c r="D965" s="4"/>
      <c r="E965" s="4"/>
      <c r="F965" s="4"/>
      <c r="G965" s="4"/>
      <c r="H965" s="4"/>
    </row>
    <row r="966" spans="1:8">
      <c r="A966" s="4"/>
      <c r="B966" s="5" t="s">
        <v>809</v>
      </c>
      <c r="C966" s="17">
        <f>COUNT(E5:E964)</f>
        <v>960</v>
      </c>
      <c r="D966" s="4"/>
      <c r="E966" s="4"/>
      <c r="F966" s="4"/>
      <c r="G966" s="4"/>
      <c r="H966" s="4"/>
    </row>
    <row r="967" spans="1:8">
      <c r="A967" s="4"/>
      <c r="B967" s="5" t="s">
        <v>931</v>
      </c>
      <c r="C967" s="17">
        <f>AVERAGE(E5:E964)</f>
        <v>-0.60255728645833473</v>
      </c>
      <c r="D967" s="4"/>
      <c r="E967" s="4"/>
      <c r="F967" s="4"/>
      <c r="G967" s="4"/>
      <c r="H967" s="4"/>
    </row>
    <row r="968" spans="1:8">
      <c r="A968" s="4"/>
      <c r="B968" s="5" t="s">
        <v>932</v>
      </c>
      <c r="C968" s="17">
        <f>STDEVP(E5:E964)</f>
        <v>0.11297277074244912</v>
      </c>
      <c r="D968" s="4"/>
      <c r="E968" s="4"/>
      <c r="F968" s="4"/>
      <c r="G968" s="4"/>
      <c r="H968" s="4"/>
    </row>
    <row r="969" spans="1:8">
      <c r="A969" s="4"/>
      <c r="B969" s="5" t="s">
        <v>934</v>
      </c>
      <c r="C969" s="17">
        <f>MAX(E5:E964)</f>
        <v>-0.20796100000000001</v>
      </c>
      <c r="D969" s="4"/>
      <c r="E969" s="4"/>
      <c r="F969" s="4"/>
      <c r="G969" s="4"/>
      <c r="H969" s="4"/>
    </row>
    <row r="970" spans="1:8">
      <c r="A970" s="4"/>
      <c r="B970" s="5" t="s">
        <v>927</v>
      </c>
      <c r="C970" s="17">
        <f>AVERAGE(C5:C964)</f>
        <v>-0.7776409416666662</v>
      </c>
      <c r="D970" s="4"/>
      <c r="E970" s="4"/>
      <c r="F970" s="4"/>
      <c r="G970" s="4"/>
      <c r="H970" s="4"/>
    </row>
    <row r="971" spans="1:8">
      <c r="A971" s="4"/>
      <c r="B971" s="5" t="s">
        <v>966</v>
      </c>
      <c r="C971" s="17">
        <f>MAX(C5:C964)</f>
        <v>-0.23985000000000001</v>
      </c>
      <c r="D971" s="4"/>
      <c r="E971" s="4"/>
      <c r="F971" s="4"/>
      <c r="G971" s="4"/>
      <c r="H971" s="4"/>
    </row>
    <row r="972" spans="1:8">
      <c r="A972" s="4"/>
      <c r="B972" s="5" t="s">
        <v>929</v>
      </c>
      <c r="C972" s="17">
        <f>AVERAGE(D5:D964)</f>
        <v>-0.42747363645833314</v>
      </c>
      <c r="D972" s="4"/>
      <c r="E972" s="4"/>
      <c r="F972" s="4"/>
      <c r="G972" s="4"/>
      <c r="H972" s="4"/>
    </row>
    <row r="973" spans="1:8">
      <c r="A973" s="4"/>
      <c r="B973" s="5" t="s">
        <v>967</v>
      </c>
      <c r="C973" s="17">
        <f>MAX(D5:D964)</f>
        <v>-6.9783999999999999E-2</v>
      </c>
      <c r="D973" s="4"/>
      <c r="E973" s="4"/>
      <c r="F973" s="4"/>
      <c r="G973" s="4"/>
      <c r="H973" s="4"/>
    </row>
    <row r="974" spans="1:8">
      <c r="A974" s="4"/>
      <c r="B974" s="5" t="s">
        <v>935</v>
      </c>
      <c r="C974" s="17">
        <f>AVERAGE(F5:F964)</f>
        <v>0.39997248854166373</v>
      </c>
      <c r="D974" s="4"/>
      <c r="E974" s="4"/>
      <c r="F974" s="4"/>
      <c r="G974" s="4"/>
      <c r="H974" s="4"/>
    </row>
    <row r="975" spans="1:8">
      <c r="A975" s="4"/>
      <c r="B975" s="5" t="s">
        <v>936</v>
      </c>
      <c r="C975" s="17">
        <f>AVERAGE(G5:G964)</f>
        <v>0.24074651354166685</v>
      </c>
      <c r="D975" s="4"/>
      <c r="E975" s="4"/>
      <c r="F975" s="4"/>
      <c r="G975" s="4"/>
      <c r="H975" s="4"/>
    </row>
    <row r="976" spans="1:8">
      <c r="A976" s="4"/>
      <c r="B976" s="5" t="s">
        <v>968</v>
      </c>
      <c r="C976" s="17">
        <f>AVERAGE(H5:H964)</f>
        <v>0.24041666666666545</v>
      </c>
      <c r="D976" s="4"/>
      <c r="E976" s="4"/>
      <c r="F976" s="4"/>
      <c r="G976" s="4"/>
      <c r="H976" s="4"/>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dimension ref="A1:M16"/>
  <sheetViews>
    <sheetView workbookViewId="0"/>
  </sheetViews>
  <sheetFormatPr defaultColWidth="8.7109375" defaultRowHeight="15"/>
  <cols>
    <col min="1" max="1" width="28" customWidth="1"/>
    <col min="2" max="2" width="74" customWidth="1"/>
    <col min="5" max="15" width="14" customWidth="1"/>
  </cols>
  <sheetData>
    <row r="1" spans="1:13" ht="15.75">
      <c r="A1" s="2" t="s">
        <v>969</v>
      </c>
      <c r="B1" s="4"/>
      <c r="C1" s="4"/>
      <c r="D1" s="4"/>
      <c r="E1" s="4"/>
      <c r="F1" s="4"/>
      <c r="G1" s="4"/>
      <c r="H1" s="4"/>
      <c r="I1" s="4"/>
      <c r="J1" s="4"/>
      <c r="K1" s="4"/>
      <c r="L1" s="4"/>
      <c r="M1" s="4"/>
    </row>
    <row r="2" spans="1:13">
      <c r="A2" s="4"/>
      <c r="B2" s="4"/>
      <c r="C2" s="4"/>
      <c r="D2" s="4"/>
      <c r="E2" s="4"/>
      <c r="F2" s="4"/>
      <c r="G2" s="4"/>
      <c r="H2" s="4"/>
      <c r="I2" s="4"/>
      <c r="J2" s="4"/>
      <c r="K2" s="4"/>
      <c r="L2" s="4"/>
      <c r="M2" s="4"/>
    </row>
    <row r="3" spans="1:13" ht="26.25">
      <c r="A3" s="9" t="s">
        <v>970</v>
      </c>
      <c r="B3" s="9" t="s">
        <v>971</v>
      </c>
      <c r="C3" s="9" t="s">
        <v>809</v>
      </c>
      <c r="D3" s="9" t="s">
        <v>972</v>
      </c>
      <c r="E3" s="9" t="s">
        <v>973</v>
      </c>
      <c r="F3" s="9" t="s">
        <v>974</v>
      </c>
      <c r="G3" s="9" t="s">
        <v>932</v>
      </c>
      <c r="H3" s="9" t="s">
        <v>975</v>
      </c>
      <c r="I3" s="9" t="s">
        <v>976</v>
      </c>
      <c r="J3" s="9" t="s">
        <v>977</v>
      </c>
      <c r="K3" s="9" t="s">
        <v>476</v>
      </c>
      <c r="L3" s="9" t="s">
        <v>480</v>
      </c>
      <c r="M3" s="9" t="s">
        <v>484</v>
      </c>
    </row>
    <row r="4" spans="1:13">
      <c r="A4" s="5" t="s">
        <v>978</v>
      </c>
      <c r="B4" s="3" t="s">
        <v>979</v>
      </c>
      <c r="C4" s="4">
        <v>200</v>
      </c>
      <c r="D4" s="17">
        <f>'Reference 200 Scores'!$C$207</f>
        <v>0.50180614000000023</v>
      </c>
      <c r="E4" s="17">
        <f>'Reference 200 Scores'!$C$209</f>
        <v>0.51145330499999997</v>
      </c>
      <c r="F4" s="17">
        <f>'Reference 200 Scores'!$C$211</f>
        <v>0.50662971999999995</v>
      </c>
      <c r="G4" s="17">
        <f>'Reference 200 Scores'!$C$212</f>
        <v>0.13482705632602734</v>
      </c>
      <c r="H4" s="17">
        <f>'Reference 200 Scores'!$C$213</f>
        <v>-0.207817</v>
      </c>
      <c r="I4" s="17">
        <f>'Reference 200 Scores'!$C$214</f>
        <v>0.75856299999999999</v>
      </c>
      <c r="J4" s="21">
        <v>0.60119999999999996</v>
      </c>
      <c r="K4" s="17">
        <f>'Reference 200 Scores'!$C$215</f>
        <v>0.9785295000000005</v>
      </c>
      <c r="L4" s="17">
        <f>'Reference 200 Scores'!$C$216</f>
        <v>0.93569299999999944</v>
      </c>
      <c r="M4" s="21">
        <v>0.91080000000000005</v>
      </c>
    </row>
    <row r="5" spans="1:13">
      <c r="A5" s="5" t="s">
        <v>980</v>
      </c>
      <c r="B5" s="3" t="s">
        <v>981</v>
      </c>
      <c r="C5" s="4">
        <v>96</v>
      </c>
      <c r="D5" s="17">
        <f>'TPsiC OTHER 96 Scores'!$C$103</f>
        <v>0.48926154166666674</v>
      </c>
      <c r="E5" s="17">
        <f>'TPsiC OTHER 96 Scores'!$C$105</f>
        <v>0.49896635416666696</v>
      </c>
      <c r="F5" s="17">
        <f>'TPsiC OTHER 96 Scores'!$C$107</f>
        <v>0.49411401041666664</v>
      </c>
      <c r="G5" s="17">
        <f>'TPsiC OTHER 96 Scores'!$C$108</f>
        <v>0.11664139598372056</v>
      </c>
      <c r="H5" s="17">
        <f>'TPsiC OTHER 96 Scores'!$C$109</f>
        <v>2.8775999999999999E-2</v>
      </c>
      <c r="I5" s="17">
        <f>'TPsiC OTHER 96 Scores'!$C$110</f>
        <v>0.68728999999999996</v>
      </c>
      <c r="J5" s="21">
        <v>0.58730000000000004</v>
      </c>
      <c r="K5" s="17">
        <f>'TPsiC OTHER 96 Scores'!$C$111</f>
        <v>0.98311666666666631</v>
      </c>
      <c r="L5" s="17">
        <f>'TPsiC OTHER 96 Scores'!$C$112</f>
        <v>0.94097708333333363</v>
      </c>
      <c r="M5" s="21">
        <v>0.91039999999999999</v>
      </c>
    </row>
    <row r="6" spans="1:13">
      <c r="A6" s="5" t="s">
        <v>982</v>
      </c>
      <c r="B6" s="3" t="s">
        <v>983</v>
      </c>
      <c r="C6" s="4">
        <v>62</v>
      </c>
      <c r="D6" s="17">
        <f>'MBSW 62 Scores'!$C$69</f>
        <v>0.42117990322580634</v>
      </c>
      <c r="E6" s="17">
        <f>'MBSW 62 Scores'!$C$71</f>
        <v>0.42381003225806446</v>
      </c>
      <c r="F6" s="17">
        <f>'MBSW 62 Scores'!$C$73</f>
        <v>0.42249503225806451</v>
      </c>
      <c r="G6" s="17">
        <f>'MBSW 62 Scores'!$C$74</f>
        <v>0.11061869587504511</v>
      </c>
      <c r="H6" s="17">
        <f>'MBSW 62 Scores'!$C$75</f>
        <v>0.240871</v>
      </c>
      <c r="I6" s="17">
        <f>'MBSW 62 Scores'!$C$76</f>
        <v>0.69798899999999997</v>
      </c>
      <c r="J6" s="21">
        <v>0.61450000000000005</v>
      </c>
      <c r="K6" s="17">
        <f>'MBSW 62 Scores'!$C$77</f>
        <v>0.95930645161290284</v>
      </c>
      <c r="L6" s="17">
        <f>'MBSW 62 Scores'!$C$78</f>
        <v>0.95161935483870941</v>
      </c>
      <c r="M6" s="21">
        <v>0.93869999999999998</v>
      </c>
    </row>
    <row r="7" spans="1:13">
      <c r="A7" s="22" t="s">
        <v>984</v>
      </c>
      <c r="B7" s="23" t="s">
        <v>985</v>
      </c>
      <c r="C7" s="24">
        <v>9</v>
      </c>
      <c r="D7" s="25">
        <f>'Cand+Decoy Scores'!$C$31</f>
        <v>-0.31209212976253969</v>
      </c>
      <c r="E7" s="25" t="e">
        <f>'Cand+Decoy Scores'!$C$33</f>
        <v>#VALUE!</v>
      </c>
      <c r="F7" s="25" t="e">
        <f>'Cand+Decoy Scores'!$C$29</f>
        <v>#VALUE!</v>
      </c>
      <c r="G7" s="26">
        <v>0.1507</v>
      </c>
      <c r="H7" s="26">
        <v>-0.49409999999999998</v>
      </c>
      <c r="I7" s="25">
        <f>'Cand+Decoy Scores'!$C$36</f>
        <v>3.8199999999999998E-2</v>
      </c>
      <c r="J7" s="25">
        <f>'Cand+Decoy Scores'!$C$37</f>
        <v>0.44394444444444436</v>
      </c>
      <c r="K7" s="25">
        <f>'Cand+Decoy Scores'!$C$39</f>
        <v>0.91537777777777785</v>
      </c>
      <c r="L7" s="26">
        <v>0.60189999999999999</v>
      </c>
      <c r="M7" s="26">
        <v>0.55559999999999998</v>
      </c>
    </row>
    <row r="8" spans="1:13">
      <c r="A8" s="27" t="s">
        <v>986</v>
      </c>
      <c r="B8" s="7" t="s">
        <v>987</v>
      </c>
      <c r="C8" s="28">
        <v>13</v>
      </c>
      <c r="D8" s="29">
        <f>'Cand+Decoy Scores'!$C$32</f>
        <v>-0.36574238735476461</v>
      </c>
      <c r="E8" s="29" t="e">
        <f>'Cand+Decoy Scores'!$C$34</f>
        <v>#VALUE!</v>
      </c>
      <c r="F8" s="29" t="e">
        <f>'Cand+Decoy Scores'!$C$30</f>
        <v>#VALUE!</v>
      </c>
      <c r="G8" s="30">
        <v>9.4799999999999995E-2</v>
      </c>
      <c r="H8" s="30">
        <v>-0.47760000000000002</v>
      </c>
      <c r="I8" s="29">
        <f>'Cand+Decoy Scores'!$C$35</f>
        <v>-0.18790000000000001</v>
      </c>
      <c r="J8" s="29">
        <f>'Cand+Decoy Scores'!$C$38</f>
        <v>0.31256923076923077</v>
      </c>
      <c r="K8" s="29">
        <f>'Cand+Decoy Scores'!$C$40</f>
        <v>0.9194461538461538</v>
      </c>
      <c r="L8" s="30">
        <v>0.66669999999999996</v>
      </c>
      <c r="M8" s="30">
        <v>0.63080000000000003</v>
      </c>
    </row>
    <row r="9" spans="1:13">
      <c r="A9" s="27" t="s">
        <v>988</v>
      </c>
      <c r="B9" s="7" t="s">
        <v>989</v>
      </c>
      <c r="C9" s="28">
        <v>960</v>
      </c>
      <c r="D9" s="29">
        <f>'Permutation Null'!$C$970</f>
        <v>-0.7776409416666662</v>
      </c>
      <c r="E9" s="29">
        <f>'Permutation Null'!$C$972</f>
        <v>-0.42747363645833314</v>
      </c>
      <c r="F9" s="29">
        <f>'Permutation Null'!$C$967</f>
        <v>-0.60255728645833473</v>
      </c>
      <c r="G9" s="29">
        <f>'Permutation Null'!$C$968</f>
        <v>0.11297277074244912</v>
      </c>
      <c r="H9" s="30">
        <v>-0.9153</v>
      </c>
      <c r="I9" s="29">
        <f>'Permutation Null'!$C$969</f>
        <v>-0.20796100000000001</v>
      </c>
      <c r="J9" s="29" t="s">
        <v>990</v>
      </c>
      <c r="K9" s="29">
        <f>'Permutation Null'!$C$974</f>
        <v>0.39997248854166373</v>
      </c>
      <c r="L9" s="29">
        <f>'Permutation Null'!$C$975</f>
        <v>0.24074651354166685</v>
      </c>
      <c r="M9" s="29">
        <f>'Permutation Null'!$C$976</f>
        <v>0.24041666666666545</v>
      </c>
    </row>
    <row r="10" spans="1:13">
      <c r="A10" s="4"/>
      <c r="B10" s="4"/>
      <c r="C10" s="4"/>
      <c r="D10" s="4"/>
      <c r="E10" s="4"/>
      <c r="F10" s="4"/>
      <c r="G10" s="4"/>
      <c r="H10" s="4"/>
      <c r="I10" s="4"/>
      <c r="J10" s="4"/>
      <c r="K10" s="4"/>
      <c r="L10" s="4"/>
      <c r="M10" s="4"/>
    </row>
    <row r="11" spans="1:13" ht="15.75">
      <c r="A11" s="2" t="s">
        <v>991</v>
      </c>
      <c r="B11" s="4"/>
      <c r="C11" s="4"/>
      <c r="D11" s="4"/>
      <c r="E11" s="4"/>
      <c r="F11" s="4"/>
      <c r="G11" s="4"/>
      <c r="H11" s="4"/>
      <c r="I11" s="4"/>
      <c r="J11" s="4"/>
      <c r="K11" s="4"/>
      <c r="L11" s="4"/>
      <c r="M11" s="4"/>
    </row>
    <row r="12" spans="1:13" ht="25.5">
      <c r="A12" s="5" t="s">
        <v>992</v>
      </c>
      <c r="B12" s="3" t="s">
        <v>993</v>
      </c>
      <c r="C12" s="4"/>
      <c r="D12" s="4"/>
      <c r="E12" s="4"/>
      <c r="F12" s="4"/>
      <c r="G12" s="4"/>
      <c r="H12" s="4"/>
      <c r="I12" s="4"/>
      <c r="J12" s="4"/>
      <c r="K12" s="4"/>
      <c r="L12" s="4"/>
      <c r="M12" s="4"/>
    </row>
    <row r="13" spans="1:13" ht="25.5">
      <c r="A13" s="5" t="s">
        <v>994</v>
      </c>
      <c r="B13" s="3" t="s">
        <v>995</v>
      </c>
      <c r="C13" s="4"/>
      <c r="D13" s="4"/>
      <c r="E13" s="4"/>
      <c r="F13" s="4"/>
      <c r="G13" s="4"/>
      <c r="H13" s="4"/>
      <c r="I13" s="4"/>
      <c r="J13" s="4"/>
      <c r="K13" s="4"/>
      <c r="L13" s="4"/>
      <c r="M13" s="4"/>
    </row>
    <row r="14" spans="1:13" ht="25.5">
      <c r="A14" s="5" t="s">
        <v>996</v>
      </c>
      <c r="B14" s="3" t="s">
        <v>997</v>
      </c>
      <c r="C14" s="4"/>
      <c r="D14" s="4"/>
      <c r="E14" s="4"/>
      <c r="F14" s="4"/>
      <c r="G14" s="4"/>
      <c r="H14" s="4"/>
      <c r="I14" s="4"/>
      <c r="J14" s="4"/>
      <c r="K14" s="4"/>
      <c r="L14" s="4"/>
      <c r="M14" s="4"/>
    </row>
    <row r="15" spans="1:13" ht="25.5">
      <c r="A15" s="5" t="s">
        <v>998</v>
      </c>
      <c r="B15" s="3" t="s">
        <v>999</v>
      </c>
      <c r="C15" s="4"/>
      <c r="D15" s="4"/>
      <c r="E15" s="4"/>
      <c r="F15" s="4"/>
      <c r="G15" s="4"/>
      <c r="H15" s="4"/>
      <c r="I15" s="4"/>
      <c r="J15" s="4"/>
      <c r="K15" s="4"/>
      <c r="L15" s="4"/>
      <c r="M15" s="4"/>
    </row>
    <row r="16" spans="1:13" ht="25.5">
      <c r="A16" s="5" t="s">
        <v>1000</v>
      </c>
      <c r="B16" s="3" t="s">
        <v>1001</v>
      </c>
      <c r="C16" s="4"/>
      <c r="D16" s="4"/>
      <c r="E16" s="4"/>
      <c r="F16" s="4"/>
      <c r="G16" s="4"/>
      <c r="H16" s="4"/>
      <c r="I16" s="4"/>
      <c r="J16" s="4"/>
      <c r="K16" s="4"/>
      <c r="L16" s="4"/>
      <c r="M16" s="4"/>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dimension ref="A1:H41"/>
  <sheetViews>
    <sheetView workbookViewId="0"/>
  </sheetViews>
  <sheetFormatPr defaultColWidth="8.7109375" defaultRowHeight="15"/>
  <cols>
    <col min="1" max="1" width="46" customWidth="1"/>
    <col min="2" max="2" width="16" customWidth="1"/>
    <col min="3" max="3" width="14" customWidth="1"/>
    <col min="4" max="4" width="12" customWidth="1"/>
    <col min="5" max="7" width="10" customWidth="1"/>
    <col min="8" max="8" width="34" customWidth="1"/>
  </cols>
  <sheetData>
    <row r="1" spans="1:8" ht="15.75">
      <c r="A1" s="2" t="s">
        <v>1002</v>
      </c>
      <c r="B1" s="4"/>
      <c r="C1" s="4"/>
      <c r="D1" s="4"/>
      <c r="E1" s="4"/>
      <c r="F1" s="4"/>
      <c r="G1" s="4"/>
      <c r="H1" s="4"/>
    </row>
    <row r="2" spans="1:8" ht="63.75">
      <c r="A2" s="3" t="s">
        <v>1003</v>
      </c>
      <c r="B2" s="4"/>
      <c r="C2" s="4"/>
      <c r="D2" s="4"/>
      <c r="E2" s="4"/>
      <c r="F2" s="4"/>
      <c r="G2" s="4"/>
      <c r="H2" s="4"/>
    </row>
    <row r="3" spans="1:8">
      <c r="A3" s="4"/>
      <c r="B3" s="4"/>
      <c r="C3" s="4"/>
      <c r="D3" s="4"/>
      <c r="E3" s="4"/>
      <c r="F3" s="4"/>
      <c r="G3" s="4"/>
      <c r="H3" s="4"/>
    </row>
    <row r="4" spans="1:8">
      <c r="A4" s="4"/>
      <c r="B4" s="4"/>
      <c r="C4" s="4"/>
      <c r="D4" s="4"/>
      <c r="E4" s="4"/>
      <c r="F4" s="4"/>
      <c r="G4" s="4"/>
      <c r="H4" s="4"/>
    </row>
    <row r="5" spans="1:8">
      <c r="A5" s="9" t="s">
        <v>1004</v>
      </c>
      <c r="B5" s="9" t="s">
        <v>1005</v>
      </c>
      <c r="C5" s="9" t="s">
        <v>1006</v>
      </c>
      <c r="D5" s="9" t="s">
        <v>72</v>
      </c>
      <c r="E5" s="9" t="s">
        <v>1007</v>
      </c>
      <c r="F5" s="9" t="s">
        <v>1008</v>
      </c>
      <c r="G5" s="9" t="s">
        <v>1009</v>
      </c>
      <c r="H5" s="9" t="s">
        <v>1010</v>
      </c>
    </row>
    <row r="6" spans="1:8">
      <c r="A6" s="5" t="s">
        <v>1011</v>
      </c>
      <c r="B6" s="21">
        <v>-0.31209999999999999</v>
      </c>
      <c r="C6" s="21">
        <v>-0.36570000000000003</v>
      </c>
      <c r="D6" s="21">
        <v>50</v>
      </c>
      <c r="E6" s="21">
        <v>-0.56759999999999999</v>
      </c>
      <c r="F6" s="18">
        <v>0.57030000000000003</v>
      </c>
      <c r="G6" s="21">
        <v>0.5726</v>
      </c>
      <c r="H6" s="10" t="s">
        <v>1012</v>
      </c>
    </row>
    <row r="7" spans="1:8">
      <c r="A7" s="5" t="s">
        <v>1013</v>
      </c>
      <c r="B7" s="21">
        <v>-0.23169999999999999</v>
      </c>
      <c r="C7" s="21">
        <v>-0.31380000000000002</v>
      </c>
      <c r="D7" s="21">
        <v>37</v>
      </c>
      <c r="E7" s="21">
        <v>-1.4357</v>
      </c>
      <c r="F7" s="18">
        <v>0.15110000000000001</v>
      </c>
      <c r="G7" s="21">
        <v>0.68379999999999996</v>
      </c>
      <c r="H7" s="10" t="s">
        <v>1014</v>
      </c>
    </row>
    <row r="8" spans="1:8">
      <c r="A8" s="5" t="s">
        <v>459</v>
      </c>
      <c r="B8" s="21">
        <v>-0.27189999999999998</v>
      </c>
      <c r="C8" s="21">
        <v>-0.33979999999999999</v>
      </c>
      <c r="D8" s="21">
        <v>44</v>
      </c>
      <c r="E8" s="21">
        <v>-0.96830000000000005</v>
      </c>
      <c r="F8" s="18">
        <v>0.33289999999999997</v>
      </c>
      <c r="G8" s="21">
        <v>0.62390000000000001</v>
      </c>
      <c r="H8" s="10" t="s">
        <v>1012</v>
      </c>
    </row>
    <row r="9" spans="1:8">
      <c r="A9" s="5" t="s">
        <v>1015</v>
      </c>
      <c r="B9" s="21">
        <v>0.9153</v>
      </c>
      <c r="C9" s="21">
        <v>0.9194</v>
      </c>
      <c r="D9" s="21">
        <v>53.5</v>
      </c>
      <c r="E9" s="21">
        <v>-0.33389999999999997</v>
      </c>
      <c r="F9" s="18">
        <v>0.73850000000000005</v>
      </c>
      <c r="G9" s="21">
        <v>0.45729999999999998</v>
      </c>
      <c r="H9" s="28" t="s">
        <v>1016</v>
      </c>
    </row>
    <row r="10" spans="1:8">
      <c r="A10" s="5" t="s">
        <v>1017</v>
      </c>
      <c r="B10" s="21">
        <v>0.60189999999999999</v>
      </c>
      <c r="C10" s="21">
        <v>0.66669999999999996</v>
      </c>
      <c r="D10" s="21">
        <v>38</v>
      </c>
      <c r="E10" s="21">
        <v>-1.369</v>
      </c>
      <c r="F10" s="18">
        <v>0.17100000000000001</v>
      </c>
      <c r="G10" s="21">
        <v>0.32479999999999998</v>
      </c>
      <c r="H10" s="28" t="s">
        <v>1016</v>
      </c>
    </row>
    <row r="11" spans="1:8">
      <c r="A11" s="5" t="s">
        <v>1018</v>
      </c>
      <c r="B11" s="21">
        <v>0.55559999999999998</v>
      </c>
      <c r="C11" s="21">
        <v>0.63080000000000003</v>
      </c>
      <c r="D11" s="21">
        <v>46.5</v>
      </c>
      <c r="E11" s="21">
        <v>-0.80130000000000001</v>
      </c>
      <c r="F11" s="18">
        <v>0.4229</v>
      </c>
      <c r="G11" s="21">
        <v>0.39739999999999998</v>
      </c>
      <c r="H11" s="28" t="s">
        <v>1016</v>
      </c>
    </row>
    <row r="12" spans="1:8">
      <c r="A12" s="5" t="s">
        <v>1019</v>
      </c>
      <c r="B12" s="21">
        <v>0.9365</v>
      </c>
      <c r="C12" s="21">
        <v>0.91210000000000002</v>
      </c>
      <c r="D12" s="21">
        <v>48.5</v>
      </c>
      <c r="E12" s="21">
        <v>-0.66779999999999995</v>
      </c>
      <c r="F12" s="18">
        <v>0.50429999999999997</v>
      </c>
      <c r="G12" s="21">
        <v>0.58550000000000002</v>
      </c>
      <c r="H12" s="10" t="s">
        <v>1012</v>
      </c>
    </row>
    <row r="13" spans="1:8">
      <c r="A13" s="5" t="s">
        <v>1020</v>
      </c>
      <c r="B13" s="21">
        <v>0.44390000000000002</v>
      </c>
      <c r="C13" s="21">
        <v>0.31259999999999999</v>
      </c>
      <c r="D13" s="21">
        <v>16.5</v>
      </c>
      <c r="E13" s="21">
        <v>-2.8047</v>
      </c>
      <c r="F13" s="18">
        <v>5.0000000000000001E-3</v>
      </c>
      <c r="G13" s="21">
        <v>0.85899999999999999</v>
      </c>
      <c r="H13" s="31" t="s">
        <v>1021</v>
      </c>
    </row>
    <row r="14" spans="1:8">
      <c r="A14" s="5" t="s">
        <v>1022</v>
      </c>
      <c r="B14" s="21">
        <v>0.47620000000000001</v>
      </c>
      <c r="C14" s="21">
        <v>0.30399999999999999</v>
      </c>
      <c r="D14" s="21">
        <v>14</v>
      </c>
      <c r="E14" s="21">
        <v>-2.9716</v>
      </c>
      <c r="F14" s="18">
        <v>3.0000000000000001E-3</v>
      </c>
      <c r="G14" s="21">
        <v>0.88029999999999997</v>
      </c>
      <c r="H14" s="31" t="s">
        <v>1021</v>
      </c>
    </row>
    <row r="15" spans="1:8">
      <c r="A15" s="4"/>
      <c r="B15" s="4"/>
      <c r="C15" s="4"/>
      <c r="D15" s="4"/>
      <c r="E15" s="4"/>
      <c r="F15" s="4"/>
      <c r="G15" s="4"/>
      <c r="H15" s="4"/>
    </row>
    <row r="16" spans="1:8" ht="15.75">
      <c r="A16" s="2" t="s">
        <v>1023</v>
      </c>
      <c r="B16" s="4"/>
      <c r="C16" s="4"/>
      <c r="D16" s="4"/>
      <c r="E16" s="4"/>
      <c r="F16" s="4"/>
      <c r="G16" s="4"/>
      <c r="H16" s="4"/>
    </row>
    <row r="17" spans="1:8">
      <c r="A17" s="5" t="s">
        <v>1024</v>
      </c>
      <c r="B17" s="4"/>
      <c r="C17" s="4"/>
      <c r="D17" s="18">
        <v>0.46800000000000003</v>
      </c>
      <c r="E17" s="4"/>
      <c r="F17" s="4"/>
      <c r="G17" s="4"/>
      <c r="H17" s="4"/>
    </row>
    <row r="18" spans="1:8">
      <c r="A18" s="5" t="s">
        <v>1025</v>
      </c>
      <c r="B18" s="4"/>
      <c r="C18" s="4"/>
      <c r="D18" s="18">
        <v>0.61799999999999999</v>
      </c>
      <c r="E18" s="4"/>
      <c r="F18" s="4"/>
      <c r="G18" s="4"/>
      <c r="H18" s="4"/>
    </row>
    <row r="19" spans="1:8">
      <c r="A19" s="5" t="s">
        <v>1026</v>
      </c>
      <c r="B19" s="4"/>
      <c r="C19" s="4"/>
      <c r="D19" s="18">
        <v>0.26600000000000001</v>
      </c>
      <c r="E19" s="4"/>
      <c r="F19" s="4"/>
      <c r="G19" s="4"/>
      <c r="H19" s="4"/>
    </row>
    <row r="20" spans="1:8">
      <c r="A20" s="5" t="s">
        <v>1027</v>
      </c>
      <c r="B20" s="4"/>
      <c r="C20" s="4"/>
      <c r="D20" s="18">
        <v>0.56140000000000001</v>
      </c>
      <c r="E20" s="4"/>
      <c r="F20" s="4"/>
      <c r="G20" s="4"/>
      <c r="H20" s="4"/>
    </row>
    <row r="21" spans="1:8">
      <c r="A21" s="5" t="s">
        <v>1028</v>
      </c>
      <c r="B21" s="4"/>
      <c r="C21" s="4"/>
      <c r="D21" s="18">
        <v>-3.5000000000000001E-3</v>
      </c>
      <c r="E21" s="4"/>
      <c r="F21" s="4"/>
      <c r="G21" s="4"/>
      <c r="H21" s="4"/>
    </row>
    <row r="22" spans="1:8">
      <c r="A22" s="5" t="s">
        <v>1029</v>
      </c>
      <c r="B22" s="4"/>
      <c r="C22" s="4"/>
      <c r="D22" s="18">
        <v>2.3999999999999998E-3</v>
      </c>
      <c r="E22" s="4"/>
      <c r="F22" s="4"/>
      <c r="G22" s="4"/>
      <c r="H22" s="4"/>
    </row>
    <row r="23" spans="1:8">
      <c r="A23" s="5" t="s">
        <v>1030</v>
      </c>
      <c r="B23" s="4"/>
      <c r="C23" s="4"/>
      <c r="D23" s="18">
        <v>58</v>
      </c>
      <c r="E23" s="4"/>
      <c r="F23" s="4"/>
      <c r="G23" s="4"/>
      <c r="H23" s="4"/>
    </row>
    <row r="24" spans="1:8">
      <c r="A24" s="5" t="s">
        <v>1031</v>
      </c>
      <c r="B24" s="4"/>
      <c r="C24" s="4"/>
      <c r="D24" s="18">
        <v>-3.3000000000000002E-2</v>
      </c>
      <c r="E24" s="4"/>
      <c r="F24" s="4"/>
      <c r="G24" s="4"/>
      <c r="H24" s="4"/>
    </row>
    <row r="25" spans="1:8">
      <c r="A25" s="27" t="s">
        <v>1032</v>
      </c>
      <c r="B25" s="4"/>
      <c r="C25" s="4"/>
      <c r="D25" s="32">
        <v>0.97299999999999998</v>
      </c>
      <c r="E25" s="4"/>
      <c r="F25" s="4"/>
      <c r="G25" s="4"/>
      <c r="H25" s="4"/>
    </row>
    <row r="26" spans="1:8">
      <c r="A26" s="27" t="s">
        <v>1033</v>
      </c>
      <c r="B26" s="4"/>
      <c r="C26" s="4"/>
      <c r="D26" s="32">
        <v>0.496</v>
      </c>
      <c r="E26" s="4"/>
      <c r="F26" s="4"/>
      <c r="G26" s="4"/>
      <c r="H26" s="4"/>
    </row>
    <row r="27" spans="1:8">
      <c r="A27" s="4"/>
      <c r="B27" s="4"/>
      <c r="C27" s="4"/>
      <c r="D27" s="4"/>
      <c r="E27" s="4"/>
      <c r="F27" s="4"/>
      <c r="G27" s="4"/>
      <c r="H27" s="4"/>
    </row>
    <row r="28" spans="1:8" ht="15.75">
      <c r="A28" s="2" t="s">
        <v>1034</v>
      </c>
      <c r="B28" s="4"/>
      <c r="C28" s="4"/>
      <c r="D28" s="4"/>
      <c r="E28" s="4"/>
      <c r="F28" s="4"/>
      <c r="G28" s="4"/>
      <c r="H28" s="4"/>
    </row>
    <row r="29" spans="1:8" ht="15" customHeight="1">
      <c r="A29" s="1" t="s">
        <v>1035</v>
      </c>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4"/>
      <c r="B35" s="4"/>
      <c r="C35" s="4"/>
      <c r="D35" s="4"/>
      <c r="E35" s="4"/>
      <c r="F35" s="4"/>
      <c r="G35" s="4"/>
      <c r="H35" s="4"/>
    </row>
    <row r="36" spans="1:8" ht="15.75">
      <c r="A36" s="2" t="s">
        <v>1036</v>
      </c>
      <c r="B36" s="4"/>
      <c r="C36" s="4"/>
      <c r="D36" s="4"/>
      <c r="E36" s="4"/>
      <c r="F36" s="4"/>
      <c r="G36" s="4"/>
      <c r="H36" s="4"/>
    </row>
    <row r="37" spans="1:8" ht="15" customHeight="1">
      <c r="A37" s="1" t="s">
        <v>1037</v>
      </c>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sheetData>
  <mergeCells count="2">
    <mergeCell ref="A29:H34"/>
    <mergeCell ref="A37:H4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dimension ref="A1:J20"/>
  <sheetViews>
    <sheetView workbookViewId="0"/>
  </sheetViews>
  <sheetFormatPr defaultColWidth="8.7109375" defaultRowHeight="15"/>
  <cols>
    <col min="1" max="1" width="30" customWidth="1"/>
    <col min="2" max="2" width="32" customWidth="1"/>
    <col min="3" max="4" width="10" customWidth="1"/>
    <col min="5" max="6" width="20" customWidth="1"/>
    <col min="7" max="7" width="14" customWidth="1"/>
    <col min="8" max="8" width="18" customWidth="1"/>
    <col min="9" max="10" width="16" customWidth="1"/>
  </cols>
  <sheetData>
    <row r="1" spans="1:10" ht="15.75">
      <c r="A1" s="2" t="s">
        <v>1038</v>
      </c>
      <c r="B1" s="4"/>
      <c r="C1" s="4"/>
      <c r="D1" s="4"/>
      <c r="E1" s="4"/>
      <c r="F1" s="4"/>
      <c r="G1" s="4"/>
      <c r="H1" s="4"/>
      <c r="I1" s="4"/>
      <c r="J1" s="4"/>
    </row>
    <row r="2" spans="1:10">
      <c r="A2" s="4" t="s">
        <v>1039</v>
      </c>
      <c r="B2" s="4"/>
      <c r="C2" s="4"/>
      <c r="D2" s="4"/>
      <c r="E2" s="4"/>
      <c r="F2" s="4"/>
      <c r="G2" s="4"/>
      <c r="H2" s="4"/>
      <c r="I2" s="4"/>
      <c r="J2" s="4"/>
    </row>
    <row r="3" spans="1:10">
      <c r="A3" s="4"/>
      <c r="B3" s="4"/>
      <c r="C3" s="4"/>
      <c r="D3" s="4"/>
      <c r="E3" s="4"/>
      <c r="F3" s="4"/>
      <c r="G3" s="4"/>
      <c r="H3" s="4"/>
      <c r="I3" s="4"/>
      <c r="J3" s="4"/>
    </row>
    <row r="4" spans="1:10">
      <c r="A4" s="4"/>
      <c r="B4" s="4"/>
      <c r="C4" s="4"/>
      <c r="D4" s="4"/>
      <c r="E4" s="4"/>
      <c r="F4" s="4"/>
      <c r="G4" s="4"/>
      <c r="H4" s="4"/>
      <c r="I4" s="4"/>
      <c r="J4" s="4"/>
    </row>
    <row r="5" spans="1:10" ht="26.25">
      <c r="A5" s="9" t="s">
        <v>1040</v>
      </c>
      <c r="B5" s="9" t="s">
        <v>1041</v>
      </c>
      <c r="C5" s="9" t="s">
        <v>1042</v>
      </c>
      <c r="D5" s="9" t="s">
        <v>1009</v>
      </c>
      <c r="E5" s="9" t="s">
        <v>1043</v>
      </c>
      <c r="F5" s="9" t="s">
        <v>1044</v>
      </c>
      <c r="G5" s="9" t="s">
        <v>1045</v>
      </c>
      <c r="H5" s="9" t="s">
        <v>1046</v>
      </c>
      <c r="I5" s="9" t="s">
        <v>1047</v>
      </c>
      <c r="J5" s="9" t="s">
        <v>1048</v>
      </c>
    </row>
    <row r="6" spans="1:10">
      <c r="A6" s="5" t="s">
        <v>1011</v>
      </c>
      <c r="B6" s="4" t="s">
        <v>1049</v>
      </c>
      <c r="C6" s="4">
        <v>960</v>
      </c>
      <c r="D6" s="21">
        <v>1</v>
      </c>
      <c r="E6" s="21">
        <v>-0.2399</v>
      </c>
      <c r="F6" s="21">
        <v>-5.1900000000000002E-2</v>
      </c>
      <c r="G6" s="21">
        <v>0.18790000000000001</v>
      </c>
      <c r="H6" s="21">
        <v>-0.1459</v>
      </c>
      <c r="I6" s="4">
        <v>1</v>
      </c>
      <c r="J6" s="4">
        <v>8</v>
      </c>
    </row>
    <row r="7" spans="1:10">
      <c r="A7" s="5" t="s">
        <v>1011</v>
      </c>
      <c r="B7" s="4" t="s">
        <v>1050</v>
      </c>
      <c r="C7" s="4">
        <v>13</v>
      </c>
      <c r="D7" s="21">
        <v>1</v>
      </c>
      <c r="E7" s="21">
        <v>-0.1983</v>
      </c>
      <c r="F7" s="21">
        <v>-5.1900000000000002E-2</v>
      </c>
      <c r="G7" s="21">
        <v>0.1464</v>
      </c>
      <c r="H7" s="21">
        <v>-0.12509999999999999</v>
      </c>
      <c r="I7" s="4">
        <v>1</v>
      </c>
      <c r="J7" s="4">
        <v>8</v>
      </c>
    </row>
    <row r="8" spans="1:10">
      <c r="A8" s="5" t="s">
        <v>1013</v>
      </c>
      <c r="B8" s="4" t="s">
        <v>1049</v>
      </c>
      <c r="C8" s="4">
        <v>960</v>
      </c>
      <c r="D8" s="21">
        <v>1</v>
      </c>
      <c r="E8" s="21">
        <v>-6.9800000000000001E-2</v>
      </c>
      <c r="F8" s="21">
        <v>0.1095</v>
      </c>
      <c r="G8" s="21">
        <v>0.17929999999999999</v>
      </c>
      <c r="H8" s="21">
        <v>1.9900000000000001E-2</v>
      </c>
      <c r="I8" s="4">
        <v>1</v>
      </c>
      <c r="J8" s="4">
        <v>8</v>
      </c>
    </row>
    <row r="9" spans="1:10">
      <c r="A9" s="5" t="s">
        <v>1013</v>
      </c>
      <c r="B9" s="4" t="s">
        <v>1050</v>
      </c>
      <c r="C9" s="4">
        <v>13</v>
      </c>
      <c r="D9" s="21">
        <v>1</v>
      </c>
      <c r="E9" s="21">
        <v>-0.14599999999999999</v>
      </c>
      <c r="F9" s="21">
        <v>0.1095</v>
      </c>
      <c r="G9" s="21">
        <v>0.2555</v>
      </c>
      <c r="H9" s="21">
        <v>-1.83E-2</v>
      </c>
      <c r="I9" s="4">
        <v>1</v>
      </c>
      <c r="J9" s="4">
        <v>8</v>
      </c>
    </row>
    <row r="10" spans="1:10">
      <c r="A10" s="5" t="s">
        <v>459</v>
      </c>
      <c r="B10" s="4" t="s">
        <v>1049</v>
      </c>
      <c r="C10" s="4">
        <v>960</v>
      </c>
      <c r="D10" s="21">
        <v>1</v>
      </c>
      <c r="E10" s="21">
        <v>-0.20799999999999999</v>
      </c>
      <c r="F10" s="21">
        <v>2.8799999999999999E-2</v>
      </c>
      <c r="G10" s="21">
        <v>0.23669999999999999</v>
      </c>
      <c r="H10" s="21">
        <v>-8.9599999999999999E-2</v>
      </c>
      <c r="I10" s="4">
        <v>1</v>
      </c>
      <c r="J10" s="4">
        <v>8</v>
      </c>
    </row>
    <row r="11" spans="1:10">
      <c r="A11" s="33" t="s">
        <v>459</v>
      </c>
      <c r="B11" s="31" t="s">
        <v>1050</v>
      </c>
      <c r="C11" s="31">
        <v>13</v>
      </c>
      <c r="D11" s="34">
        <v>1</v>
      </c>
      <c r="E11" s="34">
        <v>-0.18790000000000001</v>
      </c>
      <c r="F11" s="34">
        <v>2.8799999999999999E-2</v>
      </c>
      <c r="G11" s="34">
        <v>0.21659999999999999</v>
      </c>
      <c r="H11" s="34">
        <v>-7.9500000000000001E-2</v>
      </c>
      <c r="I11" s="31">
        <v>1</v>
      </c>
      <c r="J11" s="31">
        <v>8</v>
      </c>
    </row>
    <row r="12" spans="1:10">
      <c r="A12" s="4"/>
      <c r="B12" s="4"/>
      <c r="C12" s="4"/>
      <c r="D12" s="4"/>
      <c r="E12" s="4"/>
      <c r="F12" s="4"/>
      <c r="G12" s="4"/>
      <c r="H12" s="4"/>
      <c r="I12" s="4"/>
      <c r="J12" s="4"/>
    </row>
    <row r="13" spans="1:10" ht="15.75">
      <c r="A13" s="2" t="s">
        <v>1051</v>
      </c>
      <c r="B13" s="4"/>
      <c r="C13" s="4"/>
      <c r="D13" s="4"/>
      <c r="E13" s="4"/>
      <c r="F13" s="4"/>
      <c r="G13" s="4"/>
      <c r="H13" s="4"/>
      <c r="I13" s="4"/>
      <c r="J13" s="4"/>
    </row>
    <row r="14" spans="1:10" ht="25.5">
      <c r="A14" s="5" t="s">
        <v>1052</v>
      </c>
      <c r="B14" s="4"/>
      <c r="C14" s="4"/>
      <c r="D14" s="21">
        <v>-0.18790000000000001</v>
      </c>
      <c r="E14" s="3" t="s">
        <v>1053</v>
      </c>
      <c r="F14" s="4"/>
      <c r="G14" s="4"/>
      <c r="H14" s="4"/>
      <c r="I14" s="4"/>
      <c r="J14" s="4"/>
    </row>
    <row r="15" spans="1:10" ht="25.5">
      <c r="A15" s="5" t="s">
        <v>1054</v>
      </c>
      <c r="B15" s="4"/>
      <c r="C15" s="4"/>
      <c r="D15" s="21">
        <v>2.8799999999999999E-2</v>
      </c>
      <c r="E15" s="3" t="s">
        <v>1055</v>
      </c>
      <c r="F15" s="4"/>
      <c r="G15" s="4"/>
      <c r="H15" s="4"/>
      <c r="I15" s="4"/>
      <c r="J15" s="4"/>
    </row>
    <row r="16" spans="1:10" ht="89.25">
      <c r="A16" s="33" t="s">
        <v>1056</v>
      </c>
      <c r="B16" s="31"/>
      <c r="C16" s="31"/>
      <c r="D16" s="34">
        <v>-7.9500000000000001E-2</v>
      </c>
      <c r="E16" s="8" t="s">
        <v>1057</v>
      </c>
      <c r="F16" s="4"/>
      <c r="G16" s="4"/>
      <c r="H16" s="4"/>
      <c r="I16" s="4"/>
      <c r="J16" s="4"/>
    </row>
    <row r="17" spans="1:10">
      <c r="A17" s="5" t="s">
        <v>1058</v>
      </c>
      <c r="B17" s="4"/>
      <c r="C17" s="4"/>
      <c r="D17" s="12">
        <v>1</v>
      </c>
      <c r="E17" s="3" t="s">
        <v>1059</v>
      </c>
      <c r="F17" s="4"/>
      <c r="G17" s="4"/>
      <c r="H17" s="4"/>
      <c r="I17" s="4"/>
      <c r="J17" s="4"/>
    </row>
    <row r="18" spans="1:10">
      <c r="A18" s="5" t="s">
        <v>44</v>
      </c>
      <c r="B18" s="4"/>
      <c r="C18" s="4"/>
      <c r="D18" s="12">
        <v>2</v>
      </c>
      <c r="E18" s="3" t="s">
        <v>1059</v>
      </c>
      <c r="F18" s="4"/>
      <c r="G18" s="4"/>
      <c r="H18" s="4"/>
      <c r="I18" s="4"/>
      <c r="J18" s="4"/>
    </row>
    <row r="19" spans="1:10">
      <c r="A19" s="5" t="s">
        <v>1060</v>
      </c>
      <c r="B19" s="4"/>
      <c r="C19" s="4"/>
      <c r="D19" s="12">
        <v>7</v>
      </c>
      <c r="E19" s="3" t="s">
        <v>1059</v>
      </c>
      <c r="F19" s="4"/>
      <c r="G19" s="4"/>
      <c r="H19" s="4"/>
      <c r="I19" s="4"/>
      <c r="J19" s="4"/>
    </row>
    <row r="20" spans="1:10" ht="51">
      <c r="A20" s="5" t="s">
        <v>1061</v>
      </c>
      <c r="B20" s="4"/>
      <c r="C20" s="4"/>
      <c r="D20" s="21">
        <v>-8.9599999999999999E-2</v>
      </c>
      <c r="E20" s="3" t="s">
        <v>1062</v>
      </c>
      <c r="F20" s="4"/>
      <c r="G20" s="4"/>
      <c r="H20" s="4"/>
      <c r="I20" s="4"/>
      <c r="J20" s="4"/>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dimension ref="A1:I26"/>
  <sheetViews>
    <sheetView workbookViewId="0"/>
  </sheetViews>
  <sheetFormatPr defaultColWidth="8.7109375" defaultRowHeight="15"/>
  <cols>
    <col min="1" max="1" width="28" customWidth="1"/>
    <col min="2" max="2" width="12" customWidth="1"/>
    <col min="3" max="3" width="14" customWidth="1"/>
    <col min="4" max="4" width="12" customWidth="1"/>
    <col min="5" max="5" width="18" customWidth="1"/>
    <col min="6" max="6" width="20" customWidth="1"/>
    <col min="7" max="7" width="24" customWidth="1"/>
    <col min="8" max="8" width="22" customWidth="1"/>
    <col min="9" max="9" width="34" customWidth="1"/>
  </cols>
  <sheetData>
    <row r="1" spans="1:9" ht="15.75">
      <c r="A1" s="2" t="s">
        <v>1063</v>
      </c>
      <c r="B1" s="4"/>
      <c r="C1" s="4"/>
      <c r="D1" s="4"/>
      <c r="E1" s="4"/>
      <c r="F1" s="4"/>
      <c r="G1" s="4"/>
      <c r="H1" s="4"/>
      <c r="I1" s="4"/>
    </row>
    <row r="2" spans="1:9" ht="102">
      <c r="A2" s="3" t="s">
        <v>1064</v>
      </c>
      <c r="B2" s="4"/>
      <c r="C2" s="4"/>
      <c r="D2" s="4"/>
      <c r="E2" s="4"/>
      <c r="F2" s="4"/>
      <c r="G2" s="4"/>
      <c r="H2" s="4"/>
      <c r="I2" s="4"/>
    </row>
    <row r="3" spans="1:9">
      <c r="A3" s="4"/>
      <c r="B3" s="4"/>
      <c r="C3" s="4"/>
      <c r="D3" s="4"/>
      <c r="E3" s="4"/>
      <c r="F3" s="4"/>
      <c r="G3" s="4"/>
      <c r="H3" s="4"/>
      <c r="I3" s="4"/>
    </row>
    <row r="4" spans="1:9">
      <c r="A4" s="4"/>
      <c r="B4" s="4"/>
      <c r="C4" s="4"/>
      <c r="D4" s="4"/>
      <c r="E4" s="4"/>
      <c r="F4" s="4"/>
      <c r="G4" s="4"/>
      <c r="H4" s="4"/>
      <c r="I4" s="4"/>
    </row>
    <row r="5" spans="1:9">
      <c r="A5" s="9" t="s">
        <v>1065</v>
      </c>
      <c r="B5" s="9" t="s">
        <v>1066</v>
      </c>
      <c r="C5" s="9" t="s">
        <v>1067</v>
      </c>
      <c r="D5" s="9" t="s">
        <v>1068</v>
      </c>
      <c r="E5" s="9" t="s">
        <v>1069</v>
      </c>
      <c r="F5" s="9" t="s">
        <v>1070</v>
      </c>
      <c r="G5" s="9" t="s">
        <v>1071</v>
      </c>
      <c r="H5" s="9" t="s">
        <v>1072</v>
      </c>
      <c r="I5" s="9" t="s">
        <v>1073</v>
      </c>
    </row>
    <row r="6" spans="1:9">
      <c r="A6" s="5" t="s">
        <v>459</v>
      </c>
      <c r="B6" s="18">
        <v>0.46600000000000003</v>
      </c>
      <c r="C6" s="18">
        <v>-0.27189999999999998</v>
      </c>
      <c r="D6" s="18">
        <v>-0.33979999999999999</v>
      </c>
      <c r="E6" s="18">
        <v>-0.60260000000000002</v>
      </c>
      <c r="F6" s="18">
        <v>1</v>
      </c>
      <c r="G6" s="18">
        <v>0.62390000000000001</v>
      </c>
      <c r="H6" s="18">
        <v>0.33289999999999997</v>
      </c>
      <c r="I6" s="28" t="s">
        <v>1074</v>
      </c>
    </row>
    <row r="7" spans="1:9">
      <c r="A7" s="5" t="s">
        <v>1075</v>
      </c>
      <c r="B7" s="18">
        <v>0.46250000000000002</v>
      </c>
      <c r="C7" s="18">
        <v>-0.31209999999999999</v>
      </c>
      <c r="D7" s="18">
        <v>-0.36570000000000003</v>
      </c>
      <c r="E7" s="18">
        <v>-0.77759999999999996</v>
      </c>
      <c r="F7" s="18">
        <v>1</v>
      </c>
      <c r="G7" s="18">
        <v>0.5726</v>
      </c>
      <c r="H7" s="18">
        <v>0.57030000000000003</v>
      </c>
      <c r="I7" s="28" t="s">
        <v>1074</v>
      </c>
    </row>
    <row r="8" spans="1:9">
      <c r="A8" s="5" t="s">
        <v>1076</v>
      </c>
      <c r="B8" s="18">
        <v>0.46949999999999997</v>
      </c>
      <c r="C8" s="18">
        <v>-0.23169999999999999</v>
      </c>
      <c r="D8" s="18">
        <v>-0.31380000000000002</v>
      </c>
      <c r="E8" s="18">
        <v>-0.42749999999999999</v>
      </c>
      <c r="F8" s="18">
        <v>1</v>
      </c>
      <c r="G8" s="18">
        <v>0.68379999999999996</v>
      </c>
      <c r="H8" s="18">
        <v>0.15110000000000001</v>
      </c>
      <c r="I8" s="28" t="s">
        <v>1074</v>
      </c>
    </row>
    <row r="9" spans="1:9">
      <c r="A9" s="5" t="s">
        <v>1015</v>
      </c>
      <c r="B9" s="18">
        <v>0.9738</v>
      </c>
      <c r="C9" s="18">
        <v>0.9153</v>
      </c>
      <c r="D9" s="18">
        <v>0.9194</v>
      </c>
      <c r="E9" s="18">
        <v>0.4</v>
      </c>
      <c r="F9" s="18">
        <v>0.89870000000000005</v>
      </c>
      <c r="G9" s="18">
        <v>0.45729999999999998</v>
      </c>
      <c r="H9" s="18">
        <v>0.73850000000000005</v>
      </c>
      <c r="I9" s="28" t="s">
        <v>1077</v>
      </c>
    </row>
    <row r="10" spans="1:9">
      <c r="A10" s="5" t="s">
        <v>1017</v>
      </c>
      <c r="B10" s="18">
        <v>0.94510000000000005</v>
      </c>
      <c r="C10" s="18">
        <v>0.60189999999999999</v>
      </c>
      <c r="D10" s="18">
        <v>0.66669999999999996</v>
      </c>
      <c r="E10" s="18">
        <v>0.2407</v>
      </c>
      <c r="F10" s="18">
        <v>0.9839</v>
      </c>
      <c r="G10" s="18">
        <v>0.32479999999999998</v>
      </c>
      <c r="H10" s="18">
        <v>0.17100000000000001</v>
      </c>
      <c r="I10" s="28" t="s">
        <v>1077</v>
      </c>
    </row>
    <row r="11" spans="1:9">
      <c r="A11" s="5" t="s">
        <v>1018</v>
      </c>
      <c r="B11" s="18">
        <v>0.92149999999999999</v>
      </c>
      <c r="C11" s="18">
        <v>0.55559999999999998</v>
      </c>
      <c r="D11" s="18">
        <v>0.63080000000000003</v>
      </c>
      <c r="E11" s="18">
        <v>0.2404</v>
      </c>
      <c r="F11" s="18">
        <v>0.91890000000000005</v>
      </c>
      <c r="G11" s="18">
        <v>0.39739999999999998</v>
      </c>
      <c r="H11" s="18">
        <v>0.4229</v>
      </c>
      <c r="I11" s="28" t="s">
        <v>1077</v>
      </c>
    </row>
    <row r="12" spans="1:9">
      <c r="A12" s="5" t="s">
        <v>386</v>
      </c>
      <c r="B12" s="18">
        <v>0.59799999999999998</v>
      </c>
      <c r="C12" s="18">
        <v>0.44390000000000002</v>
      </c>
      <c r="D12" s="18">
        <v>0.31259999999999999</v>
      </c>
      <c r="E12" s="4" t="s">
        <v>1078</v>
      </c>
      <c r="F12" s="18">
        <v>0.999</v>
      </c>
      <c r="G12" s="18">
        <v>0.85899999999999999</v>
      </c>
      <c r="H12" s="18">
        <v>5.0000000000000001E-3</v>
      </c>
      <c r="I12" s="31" t="s">
        <v>1079</v>
      </c>
    </row>
    <row r="13" spans="1:9">
      <c r="A13" s="5" t="s">
        <v>1022</v>
      </c>
      <c r="B13" s="18">
        <v>0.72409999999999997</v>
      </c>
      <c r="C13" s="18">
        <v>0.47620000000000001</v>
      </c>
      <c r="D13" s="18">
        <v>0.30399999999999999</v>
      </c>
      <c r="E13" s="4" t="s">
        <v>1078</v>
      </c>
      <c r="F13" s="18">
        <v>0.99950000000000006</v>
      </c>
      <c r="G13" s="18">
        <v>0.88029999999999997</v>
      </c>
      <c r="H13" s="18">
        <v>3.0000000000000001E-3</v>
      </c>
      <c r="I13" s="31" t="s">
        <v>1079</v>
      </c>
    </row>
    <row r="14" spans="1:9">
      <c r="A14" s="5" t="s">
        <v>1080</v>
      </c>
      <c r="B14" s="18">
        <v>0.86709999999999998</v>
      </c>
      <c r="C14" s="18">
        <v>0.1111</v>
      </c>
      <c r="D14" s="18">
        <v>7.6899999999999996E-2</v>
      </c>
      <c r="E14" s="4" t="s">
        <v>1078</v>
      </c>
      <c r="F14" s="18">
        <v>0.89510000000000001</v>
      </c>
      <c r="G14" s="18">
        <v>0.5171</v>
      </c>
      <c r="H14" s="18">
        <v>0.89380000000000004</v>
      </c>
      <c r="I14" s="28" t="s">
        <v>1074</v>
      </c>
    </row>
    <row r="15" spans="1:9">
      <c r="A15" s="5" t="s">
        <v>1081</v>
      </c>
      <c r="B15" s="18">
        <v>1</v>
      </c>
      <c r="C15" s="18">
        <v>0.55559999999999998</v>
      </c>
      <c r="D15" s="18">
        <v>0.69230000000000003</v>
      </c>
      <c r="E15" s="4" t="s">
        <v>1078</v>
      </c>
      <c r="F15" s="18">
        <v>0.65380000000000005</v>
      </c>
      <c r="G15" s="18">
        <v>0.43159999999999998</v>
      </c>
      <c r="H15" s="18">
        <v>0.59319999999999995</v>
      </c>
      <c r="I15" s="28" t="s">
        <v>1077</v>
      </c>
    </row>
    <row r="16" spans="1:9">
      <c r="A16" s="4"/>
      <c r="B16" s="4"/>
      <c r="C16" s="4"/>
      <c r="D16" s="4"/>
      <c r="E16" s="4"/>
      <c r="F16" s="4"/>
      <c r="G16" s="4"/>
      <c r="H16" s="4"/>
      <c r="I16" s="4"/>
    </row>
    <row r="17" spans="1:9">
      <c r="A17" s="4"/>
      <c r="B17" s="4"/>
      <c r="C17" s="4"/>
      <c r="D17" s="4"/>
      <c r="E17" s="4"/>
      <c r="F17" s="4"/>
      <c r="G17" s="4"/>
      <c r="H17" s="4"/>
      <c r="I17" s="4"/>
    </row>
    <row r="18" spans="1:9" ht="15.75">
      <c r="A18" s="2" t="s">
        <v>1082</v>
      </c>
      <c r="B18" s="4"/>
      <c r="C18" s="4"/>
      <c r="D18" s="4"/>
      <c r="E18" s="4"/>
      <c r="F18" s="4"/>
      <c r="G18" s="4"/>
      <c r="H18" s="4"/>
      <c r="I18" s="4"/>
    </row>
    <row r="19" spans="1:9" ht="39">
      <c r="A19" s="9" t="s">
        <v>970</v>
      </c>
      <c r="B19" s="9" t="s">
        <v>809</v>
      </c>
      <c r="C19" s="9" t="s">
        <v>1083</v>
      </c>
      <c r="D19" s="9" t="s">
        <v>1084</v>
      </c>
      <c r="E19" s="9" t="s">
        <v>59</v>
      </c>
      <c r="F19" s="4"/>
      <c r="G19" s="4"/>
      <c r="H19" s="4"/>
      <c r="I19" s="4"/>
    </row>
    <row r="20" spans="1:9">
      <c r="A20" s="5" t="s">
        <v>1085</v>
      </c>
      <c r="B20" s="4">
        <v>96</v>
      </c>
      <c r="C20" s="12">
        <v>96</v>
      </c>
      <c r="D20" s="35">
        <v>1</v>
      </c>
      <c r="E20" s="4" t="s">
        <v>1086</v>
      </c>
      <c r="F20" s="4"/>
      <c r="G20" s="4"/>
      <c r="H20" s="4"/>
      <c r="I20" s="4"/>
    </row>
    <row r="21" spans="1:9">
      <c r="A21" s="5" t="s">
        <v>1087</v>
      </c>
      <c r="B21" s="4">
        <v>9</v>
      </c>
      <c r="C21" s="12">
        <v>9</v>
      </c>
      <c r="D21" s="35">
        <v>1</v>
      </c>
      <c r="E21" s="4" t="s">
        <v>1088</v>
      </c>
      <c r="F21" s="4"/>
      <c r="G21" s="4"/>
      <c r="H21" s="4"/>
      <c r="I21" s="4"/>
    </row>
    <row r="22" spans="1:9">
      <c r="A22" s="5" t="s">
        <v>1089</v>
      </c>
      <c r="B22" s="4">
        <v>13</v>
      </c>
      <c r="C22" s="12">
        <v>12</v>
      </c>
      <c r="D22" s="35">
        <v>0.92310000000000003</v>
      </c>
      <c r="E22" s="4" t="s">
        <v>1090</v>
      </c>
      <c r="F22" s="4"/>
      <c r="G22" s="4"/>
      <c r="H22" s="4"/>
      <c r="I22" s="4"/>
    </row>
    <row r="23" spans="1:9">
      <c r="A23" s="4"/>
      <c r="B23" s="4"/>
      <c r="C23" s="4"/>
      <c r="D23" s="4"/>
      <c r="E23" s="4"/>
      <c r="F23" s="4"/>
      <c r="G23" s="4"/>
      <c r="H23" s="4"/>
      <c r="I23" s="4"/>
    </row>
    <row r="24" spans="1:9" ht="15" customHeight="1">
      <c r="A24" s="1" t="s">
        <v>1091</v>
      </c>
      <c r="B24" s="1"/>
      <c r="C24" s="1"/>
      <c r="D24" s="1"/>
      <c r="E24" s="1"/>
      <c r="F24" s="1"/>
      <c r="G24" s="1"/>
      <c r="H24" s="1"/>
      <c r="I24" s="1"/>
    </row>
    <row r="25" spans="1:9">
      <c r="A25" s="1"/>
      <c r="B25" s="1"/>
      <c r="C25" s="1"/>
      <c r="D25" s="1"/>
      <c r="E25" s="1"/>
      <c r="F25" s="1"/>
      <c r="G25" s="1"/>
      <c r="H25" s="1"/>
      <c r="I25" s="1"/>
    </row>
    <row r="26" spans="1:9">
      <c r="A26" s="1"/>
      <c r="B26" s="1"/>
      <c r="C26" s="1"/>
      <c r="D26" s="1"/>
      <c r="E26" s="1"/>
      <c r="F26" s="1"/>
      <c r="G26" s="1"/>
      <c r="H26" s="1"/>
      <c r="I26" s="1"/>
    </row>
  </sheetData>
  <mergeCells count="1">
    <mergeCell ref="A24:I26"/>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dimension ref="A1:I21"/>
  <sheetViews>
    <sheetView workbookViewId="0"/>
  </sheetViews>
  <sheetFormatPr defaultColWidth="8.7109375" defaultRowHeight="15"/>
  <cols>
    <col min="1" max="1" width="10" customWidth="1"/>
    <col min="2" max="2" width="12" customWidth="1"/>
    <col min="3" max="3" width="16" customWidth="1"/>
    <col min="4" max="7" width="14" customWidth="1"/>
    <col min="8" max="8" width="18" customWidth="1"/>
    <col min="9" max="9" width="22" customWidth="1"/>
  </cols>
  <sheetData>
    <row r="1" spans="1:9" ht="15.75">
      <c r="A1" s="2" t="s">
        <v>1092</v>
      </c>
      <c r="B1" s="4"/>
      <c r="C1" s="4"/>
      <c r="D1" s="4"/>
      <c r="E1" s="4"/>
      <c r="F1" s="4"/>
      <c r="G1" s="4"/>
      <c r="H1" s="4"/>
      <c r="I1" s="4"/>
    </row>
    <row r="2" spans="1:9">
      <c r="A2" s="4"/>
      <c r="B2" s="4"/>
      <c r="C2" s="4"/>
      <c r="D2" s="4"/>
      <c r="E2" s="4"/>
      <c r="F2" s="4"/>
      <c r="G2" s="4"/>
      <c r="H2" s="4"/>
      <c r="I2" s="4"/>
    </row>
    <row r="3" spans="1:9" ht="26.25">
      <c r="A3" s="9" t="s">
        <v>374</v>
      </c>
      <c r="B3" s="9" t="s">
        <v>1093</v>
      </c>
      <c r="C3" s="9" t="s">
        <v>1094</v>
      </c>
      <c r="D3" s="9" t="s">
        <v>1095</v>
      </c>
      <c r="E3" s="9" t="s">
        <v>1096</v>
      </c>
      <c r="F3" s="9" t="s">
        <v>748</v>
      </c>
      <c r="G3" s="9" t="s">
        <v>761</v>
      </c>
      <c r="H3" s="9" t="s">
        <v>1097</v>
      </c>
      <c r="I3" s="9" t="s">
        <v>1098</v>
      </c>
    </row>
    <row r="4" spans="1:9">
      <c r="A4" s="4">
        <v>8</v>
      </c>
      <c r="B4" s="4" t="s">
        <v>72</v>
      </c>
      <c r="C4" s="13">
        <f>INDEX('Emission Matrix'!$B$3:$BU$6,MATCH(B4,'Emission Matrix'!$A$3:$A$6,0),A4)</f>
        <v>0.97549019607843135</v>
      </c>
      <c r="D4" s="36" t="s">
        <v>1099</v>
      </c>
      <c r="E4" s="36" t="s">
        <v>1100</v>
      </c>
      <c r="F4" s="36" t="s">
        <v>1101</v>
      </c>
      <c r="G4" s="36" t="s">
        <v>1102</v>
      </c>
      <c r="H4" s="35">
        <v>0.21310000000000001</v>
      </c>
      <c r="I4" s="10" t="s">
        <v>1103</v>
      </c>
    </row>
    <row r="5" spans="1:9">
      <c r="A5" s="4">
        <v>14</v>
      </c>
      <c r="B5" s="4" t="s">
        <v>73</v>
      </c>
      <c r="C5" s="13">
        <f>INDEX('Emission Matrix'!$B$3:$BU$6,MATCH(B5,'Emission Matrix'!$A$3:$A$6,0),A5)</f>
        <v>0.97549019607843135</v>
      </c>
      <c r="D5" s="36" t="s">
        <v>1099</v>
      </c>
      <c r="E5" s="36" t="s">
        <v>1100</v>
      </c>
      <c r="F5" s="36" t="s">
        <v>1104</v>
      </c>
      <c r="G5" s="36" t="s">
        <v>1105</v>
      </c>
      <c r="H5" s="35">
        <v>0.1855</v>
      </c>
      <c r="I5" s="31" t="s">
        <v>1106</v>
      </c>
    </row>
    <row r="6" spans="1:9">
      <c r="A6" s="4">
        <v>21</v>
      </c>
      <c r="B6" s="4" t="s">
        <v>73</v>
      </c>
      <c r="C6" s="13">
        <f>INDEX('Emission Matrix'!$B$3:$BU$6,MATCH(B6,'Emission Matrix'!$A$3:$A$6,0),A6)</f>
        <v>0.88235294117647056</v>
      </c>
      <c r="D6" s="36" t="s">
        <v>1107</v>
      </c>
      <c r="E6" s="36" t="s">
        <v>1108</v>
      </c>
      <c r="F6" s="36" t="s">
        <v>1109</v>
      </c>
      <c r="G6" s="36" t="s">
        <v>1110</v>
      </c>
      <c r="H6" s="35">
        <v>0.1855</v>
      </c>
      <c r="I6" s="28" t="s">
        <v>1111</v>
      </c>
    </row>
    <row r="7" spans="1:9">
      <c r="A7" s="4">
        <v>33</v>
      </c>
      <c r="B7" s="4" t="s">
        <v>72</v>
      </c>
      <c r="C7" s="13">
        <f>INDEX('Emission Matrix'!$B$3:$BU$6,MATCH(B7,'Emission Matrix'!$A$3:$A$6,0),A7)</f>
        <v>0.97549019607843135</v>
      </c>
      <c r="D7" s="36" t="s">
        <v>1112</v>
      </c>
      <c r="E7" s="36" t="s">
        <v>1113</v>
      </c>
      <c r="F7" s="36" t="s">
        <v>1104</v>
      </c>
      <c r="G7" s="36" t="s">
        <v>1114</v>
      </c>
      <c r="H7" s="35">
        <v>0.21310000000000001</v>
      </c>
      <c r="I7" s="28" t="s">
        <v>1111</v>
      </c>
    </row>
    <row r="8" spans="1:9">
      <c r="A8" s="4">
        <v>48</v>
      </c>
      <c r="B8" s="4" t="s">
        <v>71</v>
      </c>
      <c r="C8" s="13">
        <f>INDEX('Emission Matrix'!$B$3:$BU$6,MATCH(B8,'Emission Matrix'!$A$3:$A$6,0),A8)</f>
        <v>0.82843137254901966</v>
      </c>
      <c r="D8" s="36" t="s">
        <v>1115</v>
      </c>
      <c r="E8" s="36" t="s">
        <v>1116</v>
      </c>
      <c r="F8" s="36" t="s">
        <v>1117</v>
      </c>
      <c r="G8" s="36" t="s">
        <v>1118</v>
      </c>
      <c r="H8" s="35">
        <v>0.27650000000000002</v>
      </c>
      <c r="I8" s="31" t="s">
        <v>1106</v>
      </c>
    </row>
    <row r="9" spans="1:9">
      <c r="A9" s="4">
        <v>53</v>
      </c>
      <c r="B9" s="4" t="s">
        <v>70</v>
      </c>
      <c r="C9" s="13">
        <f>INDEX('Emission Matrix'!$B$3:$BU$6,MATCH(B9,'Emission Matrix'!$A$3:$A$6,0),A9)</f>
        <v>0.96568627450980393</v>
      </c>
      <c r="D9" s="36" t="s">
        <v>1119</v>
      </c>
      <c r="E9" s="36" t="s">
        <v>1120</v>
      </c>
      <c r="F9" s="36" t="s">
        <v>1101</v>
      </c>
      <c r="G9" s="36" t="s">
        <v>1102</v>
      </c>
      <c r="H9" s="35">
        <v>0.32490000000000002</v>
      </c>
      <c r="I9" s="10" t="s">
        <v>1103</v>
      </c>
    </row>
    <row r="10" spans="1:9">
      <c r="A10" s="4">
        <v>54</v>
      </c>
      <c r="B10" s="4" t="s">
        <v>72</v>
      </c>
      <c r="C10" s="13">
        <f>INDEX('Emission Matrix'!$B$3:$BU$6,MATCH(B10,'Emission Matrix'!$A$3:$A$6,0),A10)</f>
        <v>0.97549019607843135</v>
      </c>
      <c r="D10" s="36" t="s">
        <v>1121</v>
      </c>
      <c r="E10" s="36" t="s">
        <v>1100</v>
      </c>
      <c r="F10" s="36" t="s">
        <v>1122</v>
      </c>
      <c r="G10" s="36" t="s">
        <v>1123</v>
      </c>
      <c r="H10" s="35">
        <v>0.21310000000000001</v>
      </c>
      <c r="I10" s="28" t="s">
        <v>1111</v>
      </c>
    </row>
    <row r="11" spans="1:9">
      <c r="A11" s="4">
        <v>55</v>
      </c>
      <c r="B11" s="4" t="s">
        <v>72</v>
      </c>
      <c r="C11" s="13">
        <f>INDEX('Emission Matrix'!$B$3:$BU$6,MATCH(B11,'Emission Matrix'!$A$3:$A$6,0),A11)</f>
        <v>0.97058823529411764</v>
      </c>
      <c r="D11" s="36" t="s">
        <v>1107</v>
      </c>
      <c r="E11" s="36" t="s">
        <v>1113</v>
      </c>
      <c r="F11" s="36" t="s">
        <v>1124</v>
      </c>
      <c r="G11" s="36" t="s">
        <v>1114</v>
      </c>
      <c r="H11" s="35">
        <v>0.21310000000000001</v>
      </c>
      <c r="I11" s="31" t="s">
        <v>1106</v>
      </c>
    </row>
    <row r="12" spans="1:9">
      <c r="A12" s="4">
        <v>56</v>
      </c>
      <c r="B12" s="4" t="s">
        <v>71</v>
      </c>
      <c r="C12" s="13">
        <f>INDEX('Emission Matrix'!$B$3:$BU$6,MATCH(B12,'Emission Matrix'!$A$3:$A$6,0),A12)</f>
        <v>0.96568627450980393</v>
      </c>
      <c r="D12" s="36" t="s">
        <v>1125</v>
      </c>
      <c r="E12" s="36" t="s">
        <v>1100</v>
      </c>
      <c r="F12" s="36" t="s">
        <v>1101</v>
      </c>
      <c r="G12" s="36" t="s">
        <v>1102</v>
      </c>
      <c r="H12" s="35">
        <v>0.27650000000000002</v>
      </c>
      <c r="I12" s="10" t="s">
        <v>1103</v>
      </c>
    </row>
    <row r="13" spans="1:9">
      <c r="A13" s="4">
        <v>57</v>
      </c>
      <c r="B13" s="4" t="s">
        <v>70</v>
      </c>
      <c r="C13" s="13">
        <f>INDEX('Emission Matrix'!$B$3:$BU$6,MATCH(B13,'Emission Matrix'!$A$3:$A$6,0),A13)</f>
        <v>0.60098522167487689</v>
      </c>
      <c r="D13" s="36" t="s">
        <v>1126</v>
      </c>
      <c r="E13" s="36" t="s">
        <v>1127</v>
      </c>
      <c r="F13" s="36" t="s">
        <v>1128</v>
      </c>
      <c r="G13" s="36" t="s">
        <v>1129</v>
      </c>
      <c r="H13" s="35">
        <v>0.32490000000000002</v>
      </c>
      <c r="I13" s="28" t="s">
        <v>1111</v>
      </c>
    </row>
    <row r="14" spans="1:9">
      <c r="A14" s="4">
        <v>58</v>
      </c>
      <c r="B14" s="4" t="s">
        <v>73</v>
      </c>
      <c r="C14" s="13">
        <f>INDEX('Emission Matrix'!$B$3:$BU$6,MATCH(B14,'Emission Matrix'!$A$3:$A$6,0),A14)</f>
        <v>0.97549019607843135</v>
      </c>
      <c r="D14" s="36" t="s">
        <v>1125</v>
      </c>
      <c r="E14" s="36" t="s">
        <v>1100</v>
      </c>
      <c r="F14" s="36" t="s">
        <v>1130</v>
      </c>
      <c r="G14" s="36" t="s">
        <v>1110</v>
      </c>
      <c r="H14" s="35">
        <v>0.1855</v>
      </c>
      <c r="I14" s="28" t="s">
        <v>1111</v>
      </c>
    </row>
    <row r="15" spans="1:9">
      <c r="A15" s="4">
        <v>61</v>
      </c>
      <c r="B15" s="4" t="s">
        <v>71</v>
      </c>
      <c r="C15" s="13">
        <f>INDEX('Emission Matrix'!$B$3:$BU$6,MATCH(B15,'Emission Matrix'!$A$3:$A$6,0),A15)</f>
        <v>0.97549019607843135</v>
      </c>
      <c r="D15" s="36" t="s">
        <v>1119</v>
      </c>
      <c r="E15" s="36" t="s">
        <v>1120</v>
      </c>
      <c r="F15" s="36" t="s">
        <v>1101</v>
      </c>
      <c r="G15" s="36" t="s">
        <v>1102</v>
      </c>
      <c r="H15" s="35">
        <v>0.27650000000000002</v>
      </c>
      <c r="I15" s="10" t="s">
        <v>1103</v>
      </c>
    </row>
    <row r="16" spans="1:9">
      <c r="A16" s="4"/>
      <c r="B16" s="4"/>
      <c r="C16" s="4"/>
      <c r="D16" s="4"/>
      <c r="E16" s="4"/>
      <c r="F16" s="4"/>
      <c r="G16" s="4"/>
      <c r="H16" s="4"/>
      <c r="I16" s="4"/>
    </row>
    <row r="17" spans="1:9">
      <c r="A17" s="5" t="s">
        <v>1131</v>
      </c>
      <c r="B17" s="4"/>
      <c r="C17" s="4"/>
      <c r="D17" s="5" t="s">
        <v>1132</v>
      </c>
      <c r="E17" s="5" t="s">
        <v>1133</v>
      </c>
      <c r="F17" s="5" t="s">
        <v>1134</v>
      </c>
      <c r="G17" s="5" t="s">
        <v>1135</v>
      </c>
      <c r="H17" s="4"/>
      <c r="I17" s="4"/>
    </row>
    <row r="18" spans="1:9">
      <c r="A18" s="4"/>
      <c r="B18" s="4"/>
      <c r="C18" s="4"/>
      <c r="D18" s="4"/>
      <c r="E18" s="4"/>
      <c r="F18" s="4"/>
      <c r="G18" s="4"/>
      <c r="H18" s="4"/>
      <c r="I18" s="4"/>
    </row>
    <row r="19" spans="1:9" ht="15" customHeight="1">
      <c r="A19" s="1" t="s">
        <v>1136</v>
      </c>
      <c r="B19" s="1"/>
      <c r="C19" s="1"/>
      <c r="D19" s="1"/>
      <c r="E19" s="1"/>
      <c r="F19" s="1"/>
      <c r="G19" s="1"/>
      <c r="H19" s="1"/>
      <c r="I19" s="1"/>
    </row>
    <row r="20" spans="1:9">
      <c r="A20" s="1"/>
      <c r="B20" s="1"/>
      <c r="C20" s="1"/>
      <c r="D20" s="1"/>
      <c r="E20" s="1"/>
      <c r="F20" s="1"/>
      <c r="G20" s="1"/>
      <c r="H20" s="1"/>
      <c r="I20" s="1"/>
    </row>
    <row r="21" spans="1:9">
      <c r="A21" s="1"/>
      <c r="B21" s="1"/>
      <c r="C21" s="1"/>
      <c r="D21" s="1"/>
      <c r="E21" s="1"/>
      <c r="F21" s="1"/>
      <c r="G21" s="1"/>
      <c r="H21" s="1"/>
      <c r="I21" s="1"/>
    </row>
  </sheetData>
  <mergeCells count="1">
    <mergeCell ref="A19:I21"/>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dimension ref="A1:I76"/>
  <sheetViews>
    <sheetView workbookViewId="0"/>
  </sheetViews>
  <sheetFormatPr defaultColWidth="8.7109375" defaultRowHeight="15"/>
  <cols>
    <col min="1" max="1" width="10" customWidth="1"/>
    <col min="2" max="2" width="18" customWidth="1"/>
    <col min="3" max="3" width="14" customWidth="1"/>
    <col min="4" max="5" width="16" customWidth="1"/>
    <col min="6" max="6" width="18" customWidth="1"/>
    <col min="7" max="7" width="16" customWidth="1"/>
    <col min="8" max="9" width="18" customWidth="1"/>
  </cols>
  <sheetData>
    <row r="1" spans="1:9" ht="15.75">
      <c r="A1" s="2" t="s">
        <v>1137</v>
      </c>
      <c r="B1" s="4"/>
      <c r="C1" s="4"/>
      <c r="D1" s="4"/>
      <c r="E1" s="4"/>
      <c r="F1" s="4"/>
      <c r="G1" s="4"/>
      <c r="H1" s="4"/>
      <c r="I1" s="4"/>
    </row>
    <row r="2" spans="1:9">
      <c r="A2" s="4" t="s">
        <v>1138</v>
      </c>
      <c r="B2" s="4"/>
      <c r="C2" s="4"/>
      <c r="D2" s="4"/>
      <c r="E2" s="4"/>
      <c r="F2" s="4"/>
      <c r="G2" s="4"/>
      <c r="H2" s="4"/>
      <c r="I2" s="4"/>
    </row>
    <row r="3" spans="1:9">
      <c r="A3" s="4"/>
      <c r="B3" s="4"/>
      <c r="C3" s="4"/>
      <c r="D3" s="4"/>
      <c r="E3" s="4"/>
      <c r="F3" s="4"/>
      <c r="G3" s="4"/>
      <c r="H3" s="4"/>
      <c r="I3" s="4"/>
    </row>
    <row r="4" spans="1:9" ht="26.25">
      <c r="A4" s="9" t="s">
        <v>374</v>
      </c>
      <c r="B4" s="9" t="s">
        <v>774</v>
      </c>
      <c r="C4" s="9" t="s">
        <v>1139</v>
      </c>
      <c r="D4" s="9" t="s">
        <v>1140</v>
      </c>
      <c r="E4" s="9" t="s">
        <v>1141</v>
      </c>
      <c r="F4" s="9" t="s">
        <v>1142</v>
      </c>
      <c r="G4" s="9" t="s">
        <v>1143</v>
      </c>
      <c r="H4" s="9" t="s">
        <v>1144</v>
      </c>
      <c r="I4" s="9" t="s">
        <v>1145</v>
      </c>
    </row>
    <row r="5" spans="1:9">
      <c r="A5" s="10">
        <v>57</v>
      </c>
      <c r="B5" s="10" t="s">
        <v>783</v>
      </c>
      <c r="C5" s="10" t="s">
        <v>70</v>
      </c>
      <c r="D5" s="37">
        <v>0.60799999999999998</v>
      </c>
      <c r="E5" s="38">
        <v>0.64870000000000005</v>
      </c>
      <c r="F5" s="38">
        <v>-2.6781000000000001</v>
      </c>
      <c r="G5" s="38">
        <v>-1.4274</v>
      </c>
      <c r="H5" s="38">
        <v>3.3268</v>
      </c>
      <c r="I5" s="32">
        <v>-1.2506999999999999</v>
      </c>
    </row>
    <row r="6" spans="1:9">
      <c r="A6" s="10">
        <v>30</v>
      </c>
      <c r="B6" s="10" t="s">
        <v>781</v>
      </c>
      <c r="C6" s="10" t="s">
        <v>70</v>
      </c>
      <c r="D6" s="37">
        <v>0.75</v>
      </c>
      <c r="E6" s="38">
        <v>0.56540000000000001</v>
      </c>
      <c r="F6" s="38">
        <v>-2.6103999999999998</v>
      </c>
      <c r="G6" s="38">
        <v>-1.4107000000000001</v>
      </c>
      <c r="H6" s="38">
        <v>3.1758000000000002</v>
      </c>
      <c r="I6" s="32">
        <v>-1.1997</v>
      </c>
    </row>
    <row r="7" spans="1:9">
      <c r="A7" s="10">
        <v>58</v>
      </c>
      <c r="B7" s="10" t="s">
        <v>783</v>
      </c>
      <c r="C7" s="10" t="s">
        <v>73</v>
      </c>
      <c r="D7" s="37">
        <v>0.99</v>
      </c>
      <c r="E7" s="38">
        <v>1.5928</v>
      </c>
      <c r="F7" s="38">
        <v>-1.5284</v>
      </c>
      <c r="G7" s="38">
        <v>-1.0177</v>
      </c>
      <c r="H7" s="38">
        <v>3.1212</v>
      </c>
      <c r="I7" s="32">
        <v>-0.51070000000000004</v>
      </c>
    </row>
    <row r="8" spans="1:9">
      <c r="A8" s="10">
        <v>21</v>
      </c>
      <c r="B8" s="10" t="s">
        <v>780</v>
      </c>
      <c r="C8" s="10" t="s">
        <v>73</v>
      </c>
      <c r="D8" s="37">
        <v>0.89500000000000002</v>
      </c>
      <c r="E8" s="38">
        <v>1.3875999999999999</v>
      </c>
      <c r="F8" s="38">
        <v>-1.6554</v>
      </c>
      <c r="G8" s="38">
        <v>-0.31919999999999998</v>
      </c>
      <c r="H8" s="38">
        <v>3.0428999999999999</v>
      </c>
      <c r="I8" s="32">
        <v>-1.3362000000000001</v>
      </c>
    </row>
    <row r="9" spans="1:9">
      <c r="A9" s="10">
        <v>37</v>
      </c>
      <c r="B9" s="10" t="s">
        <v>781</v>
      </c>
      <c r="C9" s="10" t="s">
        <v>73</v>
      </c>
      <c r="D9" s="37">
        <v>0.755</v>
      </c>
      <c r="E9" s="38">
        <v>0.90839999999999999</v>
      </c>
      <c r="F9" s="38">
        <v>-1.3720000000000001</v>
      </c>
      <c r="G9" s="38">
        <v>-0.35849999999999999</v>
      </c>
      <c r="H9" s="38">
        <v>2.2805</v>
      </c>
      <c r="I9" s="32">
        <v>-1.0135000000000001</v>
      </c>
    </row>
    <row r="10" spans="1:9">
      <c r="A10" s="10">
        <v>40</v>
      </c>
      <c r="B10" s="10" t="s">
        <v>781</v>
      </c>
      <c r="C10" s="10" t="s">
        <v>71</v>
      </c>
      <c r="D10" s="37">
        <v>0.71499999999999997</v>
      </c>
      <c r="E10" s="38">
        <v>0.62290000000000001</v>
      </c>
      <c r="F10" s="38">
        <v>-1.5955999999999999</v>
      </c>
      <c r="G10" s="38">
        <v>-1.7110000000000001</v>
      </c>
      <c r="H10" s="38">
        <v>2.2185000000000001</v>
      </c>
      <c r="I10" s="38">
        <v>0.11550000000000001</v>
      </c>
    </row>
    <row r="11" spans="1:9">
      <c r="A11" s="10">
        <v>54</v>
      </c>
      <c r="B11" s="10" t="s">
        <v>783</v>
      </c>
      <c r="C11" s="10" t="s">
        <v>72</v>
      </c>
      <c r="D11" s="37">
        <v>0.99</v>
      </c>
      <c r="E11" s="38">
        <v>1.29</v>
      </c>
      <c r="F11" s="38">
        <v>-0.73219999999999996</v>
      </c>
      <c r="G11" s="38">
        <v>-3.8899999999999997E-2</v>
      </c>
      <c r="H11" s="38">
        <v>2.0222000000000002</v>
      </c>
      <c r="I11" s="32">
        <v>-0.69330000000000003</v>
      </c>
    </row>
    <row r="12" spans="1:9">
      <c r="A12" s="10">
        <v>10</v>
      </c>
      <c r="B12" s="10" t="s">
        <v>780</v>
      </c>
      <c r="C12" s="10" t="s">
        <v>70</v>
      </c>
      <c r="D12" s="37">
        <v>0.96</v>
      </c>
      <c r="E12" s="38">
        <v>0.94979999999999998</v>
      </c>
      <c r="F12" s="38">
        <v>-1.0365</v>
      </c>
      <c r="G12" s="38">
        <v>-2.5910000000000002</v>
      </c>
      <c r="H12" s="38">
        <v>1.9863</v>
      </c>
      <c r="I12" s="38">
        <v>1.5545</v>
      </c>
    </row>
    <row r="13" spans="1:9">
      <c r="A13" s="10">
        <v>16</v>
      </c>
      <c r="B13" s="10" t="s">
        <v>780</v>
      </c>
      <c r="C13" s="10" t="s">
        <v>72</v>
      </c>
      <c r="D13" s="37">
        <v>0.59399999999999997</v>
      </c>
      <c r="E13" s="38">
        <v>0.52680000000000005</v>
      </c>
      <c r="F13" s="38">
        <v>-1.4277</v>
      </c>
      <c r="G13" s="38">
        <v>-0.2099</v>
      </c>
      <c r="H13" s="38">
        <v>1.9544999999999999</v>
      </c>
      <c r="I13" s="32">
        <v>-1.2178</v>
      </c>
    </row>
    <row r="14" spans="1:9">
      <c r="A14" s="10">
        <v>62</v>
      </c>
      <c r="B14" s="10" t="s">
        <v>783</v>
      </c>
      <c r="C14" s="10" t="s">
        <v>71</v>
      </c>
      <c r="D14" s="37">
        <v>0.84499999999999997</v>
      </c>
      <c r="E14" s="38">
        <v>0.64690000000000003</v>
      </c>
      <c r="F14" s="38">
        <v>-1.0879000000000001</v>
      </c>
      <c r="G14" s="38">
        <v>-1.1665000000000001</v>
      </c>
      <c r="H14" s="38">
        <v>1.7347999999999999</v>
      </c>
      <c r="I14" s="38">
        <v>7.8600000000000003E-2</v>
      </c>
    </row>
    <row r="15" spans="1:9">
      <c r="A15" s="10">
        <v>14</v>
      </c>
      <c r="B15" s="10" t="s">
        <v>780</v>
      </c>
      <c r="C15" s="10" t="s">
        <v>73</v>
      </c>
      <c r="D15" s="37">
        <v>0.99</v>
      </c>
      <c r="E15" s="38">
        <v>1.6598999999999999</v>
      </c>
      <c r="F15" s="38">
        <v>-6.0299999999999999E-2</v>
      </c>
      <c r="G15" s="38">
        <v>-0.76370000000000005</v>
      </c>
      <c r="H15" s="38">
        <v>1.7202</v>
      </c>
      <c r="I15" s="38">
        <v>0.70340000000000003</v>
      </c>
    </row>
    <row r="16" spans="1:9">
      <c r="A16" s="10">
        <v>38</v>
      </c>
      <c r="B16" s="10" t="s">
        <v>781</v>
      </c>
      <c r="C16" s="10" t="s">
        <v>73</v>
      </c>
      <c r="D16" s="37">
        <v>0.73499999999999999</v>
      </c>
      <c r="E16" s="38">
        <v>0.7762</v>
      </c>
      <c r="F16" s="38">
        <v>-0.91039999999999999</v>
      </c>
      <c r="G16" s="38">
        <v>-0.81879999999999997</v>
      </c>
      <c r="H16" s="38">
        <v>1.6866000000000001</v>
      </c>
      <c r="I16" s="32">
        <v>-9.1600000000000001E-2</v>
      </c>
    </row>
    <row r="17" spans="1:9">
      <c r="A17" s="10">
        <v>9</v>
      </c>
      <c r="B17" s="10" t="s">
        <v>780</v>
      </c>
      <c r="C17" s="10" t="s">
        <v>73</v>
      </c>
      <c r="D17" s="37">
        <v>0.6583</v>
      </c>
      <c r="E17" s="38">
        <v>0.5212</v>
      </c>
      <c r="F17" s="38">
        <v>-1.1313</v>
      </c>
      <c r="G17" s="38">
        <v>-0.4546</v>
      </c>
      <c r="H17" s="38">
        <v>1.6525000000000001</v>
      </c>
      <c r="I17" s="32">
        <v>-0.67659999999999998</v>
      </c>
    </row>
    <row r="18" spans="1:9">
      <c r="A18" s="10">
        <v>32</v>
      </c>
      <c r="B18" s="10" t="s">
        <v>781</v>
      </c>
      <c r="C18" s="10" t="s">
        <v>71</v>
      </c>
      <c r="D18" s="37">
        <v>0.67500000000000004</v>
      </c>
      <c r="E18" s="38">
        <v>0.72119999999999995</v>
      </c>
      <c r="F18" s="38">
        <v>-0.84960000000000002</v>
      </c>
      <c r="G18" s="38">
        <v>-1.2955000000000001</v>
      </c>
      <c r="H18" s="38">
        <v>1.5708</v>
      </c>
      <c r="I18" s="38">
        <v>0.44590000000000002</v>
      </c>
    </row>
    <row r="19" spans="1:9">
      <c r="A19" s="10">
        <v>25</v>
      </c>
      <c r="B19" s="10" t="s">
        <v>780</v>
      </c>
      <c r="C19" s="10" t="s">
        <v>71</v>
      </c>
      <c r="D19" s="37">
        <v>0.89</v>
      </c>
      <c r="E19" s="38">
        <v>0.72170000000000001</v>
      </c>
      <c r="F19" s="38">
        <v>-0.80449999999999999</v>
      </c>
      <c r="G19" s="38">
        <v>-1.3436999999999999</v>
      </c>
      <c r="H19" s="38">
        <v>1.5262</v>
      </c>
      <c r="I19" s="38">
        <v>0.5393</v>
      </c>
    </row>
    <row r="20" spans="1:9">
      <c r="A20" s="4">
        <v>33</v>
      </c>
      <c r="B20" s="4" t="s">
        <v>781</v>
      </c>
      <c r="C20" s="4" t="s">
        <v>72</v>
      </c>
      <c r="D20" s="35">
        <v>0.99</v>
      </c>
      <c r="E20" s="18">
        <v>1.2774000000000001</v>
      </c>
      <c r="F20" s="18">
        <v>-9.9099999999999994E-2</v>
      </c>
      <c r="G20" s="18">
        <v>0.39939999999999998</v>
      </c>
      <c r="H20" s="18">
        <v>1.3765000000000001</v>
      </c>
      <c r="I20" s="32">
        <v>-0.4985</v>
      </c>
    </row>
    <row r="21" spans="1:9">
      <c r="A21" s="4">
        <v>71</v>
      </c>
      <c r="B21" s="4" t="s">
        <v>784</v>
      </c>
      <c r="C21" s="4" t="s">
        <v>71</v>
      </c>
      <c r="D21" s="35">
        <v>0.52</v>
      </c>
      <c r="E21" s="18">
        <v>0.23230000000000001</v>
      </c>
      <c r="F21" s="18">
        <v>-1.0701000000000001</v>
      </c>
      <c r="G21" s="18">
        <v>-1.1931</v>
      </c>
      <c r="H21" s="18">
        <v>1.3025</v>
      </c>
      <c r="I21" s="18">
        <v>0.123</v>
      </c>
    </row>
    <row r="22" spans="1:9">
      <c r="A22" s="4">
        <v>26</v>
      </c>
      <c r="B22" s="4" t="s">
        <v>781</v>
      </c>
      <c r="C22" s="4" t="s">
        <v>70</v>
      </c>
      <c r="D22" s="35">
        <v>0.5</v>
      </c>
      <c r="E22" s="18">
        <v>7.3099999999999998E-2</v>
      </c>
      <c r="F22" s="18">
        <v>-1.1823999999999999</v>
      </c>
      <c r="G22" s="18">
        <v>-0.93659999999999999</v>
      </c>
      <c r="H22" s="18">
        <v>1.2555000000000001</v>
      </c>
      <c r="I22" s="32">
        <v>-0.24579999999999999</v>
      </c>
    </row>
    <row r="23" spans="1:9">
      <c r="A23" s="4">
        <v>72</v>
      </c>
      <c r="B23" s="4" t="s">
        <v>784</v>
      </c>
      <c r="C23" s="4" t="s">
        <v>71</v>
      </c>
      <c r="D23" s="35">
        <v>0.72499999999999998</v>
      </c>
      <c r="E23" s="18">
        <v>0.47360000000000002</v>
      </c>
      <c r="F23" s="18">
        <v>-0.76559999999999995</v>
      </c>
      <c r="G23" s="18">
        <v>-0.89270000000000005</v>
      </c>
      <c r="H23" s="18">
        <v>1.2392000000000001</v>
      </c>
      <c r="I23" s="18">
        <v>0.12709999999999999</v>
      </c>
    </row>
    <row r="24" spans="1:9">
      <c r="A24" s="4">
        <v>11</v>
      </c>
      <c r="B24" s="4" t="s">
        <v>780</v>
      </c>
      <c r="C24" s="4" t="s">
        <v>71</v>
      </c>
      <c r="D24" s="35">
        <v>0.73499999999999999</v>
      </c>
      <c r="E24" s="18">
        <v>0.2351</v>
      </c>
      <c r="F24" s="18">
        <v>-0.98229999999999995</v>
      </c>
      <c r="G24" s="18">
        <v>-1.139</v>
      </c>
      <c r="H24" s="18">
        <v>1.2175</v>
      </c>
      <c r="I24" s="18">
        <v>0.15670000000000001</v>
      </c>
    </row>
    <row r="25" spans="1:9">
      <c r="A25" s="4">
        <v>66</v>
      </c>
      <c r="B25" s="4" t="s">
        <v>784</v>
      </c>
      <c r="C25" s="4" t="s">
        <v>71</v>
      </c>
      <c r="D25" s="35">
        <v>0.52500000000000002</v>
      </c>
      <c r="E25" s="18">
        <v>0.2089</v>
      </c>
      <c r="F25" s="18">
        <v>-0.8226</v>
      </c>
      <c r="G25" s="18">
        <v>-0.30830000000000002</v>
      </c>
      <c r="H25" s="18">
        <v>1.0314000000000001</v>
      </c>
      <c r="I25" s="32">
        <v>-0.51429999999999998</v>
      </c>
    </row>
    <row r="26" spans="1:9">
      <c r="A26" s="4">
        <v>48</v>
      </c>
      <c r="B26" s="4" t="s">
        <v>782</v>
      </c>
      <c r="C26" s="4" t="s">
        <v>71</v>
      </c>
      <c r="D26" s="35">
        <v>0.84</v>
      </c>
      <c r="E26" s="18">
        <v>0.82230000000000003</v>
      </c>
      <c r="F26" s="18">
        <v>-0.2079</v>
      </c>
      <c r="G26" s="18">
        <v>-1.8869</v>
      </c>
      <c r="H26" s="18">
        <v>1.0302</v>
      </c>
      <c r="I26" s="18">
        <v>1.6789000000000001</v>
      </c>
    </row>
    <row r="27" spans="1:9">
      <c r="A27" s="4">
        <v>60</v>
      </c>
      <c r="B27" s="4" t="s">
        <v>783</v>
      </c>
      <c r="C27" s="4" t="s">
        <v>72</v>
      </c>
      <c r="D27" s="35">
        <v>0.78500000000000003</v>
      </c>
      <c r="E27" s="18">
        <v>0.67700000000000005</v>
      </c>
      <c r="F27" s="18">
        <v>-0.35039999999999999</v>
      </c>
      <c r="G27" s="18">
        <v>-0.60829999999999995</v>
      </c>
      <c r="H27" s="18">
        <v>1.0273000000000001</v>
      </c>
      <c r="I27" s="18">
        <v>0.25790000000000002</v>
      </c>
    </row>
    <row r="28" spans="1:9">
      <c r="A28" s="4">
        <v>55</v>
      </c>
      <c r="B28" s="4" t="s">
        <v>783</v>
      </c>
      <c r="C28" s="4" t="s">
        <v>72</v>
      </c>
      <c r="D28" s="35">
        <v>0.98499999999999999</v>
      </c>
      <c r="E28" s="18">
        <v>1.4570000000000001</v>
      </c>
      <c r="F28" s="18">
        <v>0.437</v>
      </c>
      <c r="G28" s="18">
        <v>0.39550000000000002</v>
      </c>
      <c r="H28" s="18">
        <v>1.02</v>
      </c>
      <c r="I28" s="18">
        <v>4.1500000000000002E-2</v>
      </c>
    </row>
    <row r="29" spans="1:9">
      <c r="A29" s="4">
        <v>52</v>
      </c>
      <c r="B29" s="4" t="s">
        <v>783</v>
      </c>
      <c r="C29" s="4" t="s">
        <v>70</v>
      </c>
      <c r="D29" s="35">
        <v>0.84</v>
      </c>
      <c r="E29" s="18">
        <v>0.56620000000000004</v>
      </c>
      <c r="F29" s="18">
        <v>-0.44130000000000003</v>
      </c>
      <c r="G29" s="18">
        <v>-1.0046999999999999</v>
      </c>
      <c r="H29" s="18">
        <v>1.0074000000000001</v>
      </c>
      <c r="I29" s="18">
        <v>0.5635</v>
      </c>
    </row>
    <row r="30" spans="1:9">
      <c r="A30" s="4">
        <v>20</v>
      </c>
      <c r="B30" s="4" t="s">
        <v>780</v>
      </c>
      <c r="C30" s="4" t="s">
        <v>72</v>
      </c>
      <c r="D30" s="35">
        <v>0.59799999999999998</v>
      </c>
      <c r="E30" s="18">
        <v>0.43309999999999998</v>
      </c>
      <c r="F30" s="18">
        <v>-0.41930000000000001</v>
      </c>
      <c r="G30" s="18">
        <v>-0.15310000000000001</v>
      </c>
      <c r="H30" s="18">
        <v>0.85240000000000005</v>
      </c>
      <c r="I30" s="32">
        <v>-0.26619999999999999</v>
      </c>
    </row>
    <row r="31" spans="1:9">
      <c r="A31" s="4">
        <v>2</v>
      </c>
      <c r="B31" s="4" t="s">
        <v>778</v>
      </c>
      <c r="C31" s="4" t="s">
        <v>70</v>
      </c>
      <c r="D31" s="35">
        <v>0.53</v>
      </c>
      <c r="E31" s="18">
        <v>0.26050000000000001</v>
      </c>
      <c r="F31" s="18">
        <v>-0.57650000000000001</v>
      </c>
      <c r="G31" s="18">
        <v>-1.2659</v>
      </c>
      <c r="H31" s="18">
        <v>0.83699999999999997</v>
      </c>
      <c r="I31" s="18">
        <v>0.68940000000000001</v>
      </c>
    </row>
    <row r="32" spans="1:9">
      <c r="A32" s="4">
        <v>45</v>
      </c>
      <c r="B32" s="4" t="s">
        <v>782</v>
      </c>
      <c r="C32" s="4" t="s">
        <v>70</v>
      </c>
      <c r="D32" s="35">
        <v>0.75760000000000005</v>
      </c>
      <c r="E32" s="18">
        <v>0.42780000000000001</v>
      </c>
      <c r="F32" s="18">
        <v>-0.39360000000000001</v>
      </c>
      <c r="G32" s="18">
        <v>-0.41639999999999999</v>
      </c>
      <c r="H32" s="18">
        <v>0.82140000000000002</v>
      </c>
      <c r="I32" s="18">
        <v>2.2800000000000001E-2</v>
      </c>
    </row>
    <row r="33" spans="1:9">
      <c r="A33" s="4">
        <v>59</v>
      </c>
      <c r="B33" s="4" t="s">
        <v>783</v>
      </c>
      <c r="C33" s="4" t="s">
        <v>73</v>
      </c>
      <c r="D33" s="35">
        <v>0.45500000000000002</v>
      </c>
      <c r="E33" s="18">
        <v>0.47710000000000002</v>
      </c>
      <c r="F33" s="18">
        <v>-0.30919999999999997</v>
      </c>
      <c r="G33" s="18">
        <v>0.2215</v>
      </c>
      <c r="H33" s="18">
        <v>0.7863</v>
      </c>
      <c r="I33" s="32">
        <v>-0.53069999999999995</v>
      </c>
    </row>
    <row r="34" spans="1:9">
      <c r="A34" s="4">
        <v>46</v>
      </c>
      <c r="B34" s="4" t="s">
        <v>782</v>
      </c>
      <c r="C34" s="4" t="s">
        <v>70</v>
      </c>
      <c r="D34" s="35">
        <v>0.81069999999999998</v>
      </c>
      <c r="E34" s="18">
        <v>0.27800000000000002</v>
      </c>
      <c r="F34" s="18">
        <v>-0.49149999999999999</v>
      </c>
      <c r="G34" s="18">
        <v>-0.93910000000000005</v>
      </c>
      <c r="H34" s="18">
        <v>0.76949999999999996</v>
      </c>
      <c r="I34" s="18">
        <v>0.4476</v>
      </c>
    </row>
    <row r="35" spans="1:9">
      <c r="A35" s="4">
        <v>24</v>
      </c>
      <c r="B35" s="4" t="s">
        <v>780</v>
      </c>
      <c r="C35" s="4" t="s">
        <v>70</v>
      </c>
      <c r="D35" s="35">
        <v>0.75</v>
      </c>
      <c r="E35" s="18">
        <v>0.19450000000000001</v>
      </c>
      <c r="F35" s="18">
        <v>-0.55800000000000005</v>
      </c>
      <c r="G35" s="18">
        <v>-0.87690000000000001</v>
      </c>
      <c r="H35" s="18">
        <v>0.75239999999999996</v>
      </c>
      <c r="I35" s="18">
        <v>0.31890000000000002</v>
      </c>
    </row>
    <row r="36" spans="1:9">
      <c r="A36" s="4">
        <v>69</v>
      </c>
      <c r="B36" s="4" t="s">
        <v>784</v>
      </c>
      <c r="C36" s="4" t="s">
        <v>71</v>
      </c>
      <c r="D36" s="35">
        <v>0.44</v>
      </c>
      <c r="E36" s="18">
        <v>-8.6999999999999994E-3</v>
      </c>
      <c r="F36" s="18">
        <v>-0.61439999999999995</v>
      </c>
      <c r="G36" s="18">
        <v>-0.4677</v>
      </c>
      <c r="H36" s="18">
        <v>0.60560000000000003</v>
      </c>
      <c r="I36" s="32">
        <v>-0.1467</v>
      </c>
    </row>
    <row r="37" spans="1:9">
      <c r="A37" s="4">
        <v>13</v>
      </c>
      <c r="B37" s="4" t="s">
        <v>780</v>
      </c>
      <c r="C37" s="4" t="s">
        <v>71</v>
      </c>
      <c r="D37" s="35">
        <v>0.65</v>
      </c>
      <c r="E37" s="18">
        <v>0.30449999999999999</v>
      </c>
      <c r="F37" s="18">
        <v>-0.29089999999999999</v>
      </c>
      <c r="G37" s="18">
        <v>-0.49130000000000001</v>
      </c>
      <c r="H37" s="18">
        <v>0.59540000000000004</v>
      </c>
      <c r="I37" s="18">
        <v>0.20039999999999999</v>
      </c>
    </row>
    <row r="38" spans="1:9">
      <c r="A38" s="4">
        <v>1</v>
      </c>
      <c r="B38" s="4" t="s">
        <v>778</v>
      </c>
      <c r="C38" s="4" t="s">
        <v>70</v>
      </c>
      <c r="D38" s="35">
        <v>0.76</v>
      </c>
      <c r="E38" s="18">
        <v>0.35980000000000001</v>
      </c>
      <c r="F38" s="18">
        <v>-0.20530000000000001</v>
      </c>
      <c r="G38" s="18">
        <v>-0.7329</v>
      </c>
      <c r="H38" s="18">
        <v>0.56510000000000005</v>
      </c>
      <c r="I38" s="18">
        <v>0.52769999999999995</v>
      </c>
    </row>
    <row r="39" spans="1:9">
      <c r="A39" s="4">
        <v>22</v>
      </c>
      <c r="B39" s="4" t="s">
        <v>780</v>
      </c>
      <c r="C39" s="4" t="s">
        <v>70</v>
      </c>
      <c r="D39" s="35">
        <v>0.72499999999999998</v>
      </c>
      <c r="E39" s="18">
        <v>0.1065</v>
      </c>
      <c r="F39" s="18">
        <v>-0.44629999999999997</v>
      </c>
      <c r="G39" s="18">
        <v>-0.1343</v>
      </c>
      <c r="H39" s="18">
        <v>0.55279999999999996</v>
      </c>
      <c r="I39" s="32">
        <v>-0.312</v>
      </c>
    </row>
    <row r="40" spans="1:9">
      <c r="A40" s="4">
        <v>4</v>
      </c>
      <c r="B40" s="4" t="s">
        <v>778</v>
      </c>
      <c r="C40" s="4" t="s">
        <v>70</v>
      </c>
      <c r="D40" s="35">
        <v>0.44500000000000001</v>
      </c>
      <c r="E40" s="18">
        <v>-3.4500000000000003E-2</v>
      </c>
      <c r="F40" s="18">
        <v>-0.57120000000000004</v>
      </c>
      <c r="G40" s="18">
        <v>-0.30830000000000002</v>
      </c>
      <c r="H40" s="18">
        <v>0.53669999999999995</v>
      </c>
      <c r="I40" s="32">
        <v>-0.26290000000000002</v>
      </c>
    </row>
    <row r="41" spans="1:9">
      <c r="A41" s="4">
        <v>47</v>
      </c>
      <c r="B41" s="4" t="s">
        <v>782</v>
      </c>
      <c r="C41" s="4" t="s">
        <v>72</v>
      </c>
      <c r="D41" s="35">
        <v>0.67500000000000004</v>
      </c>
      <c r="E41" s="18">
        <v>0.67449999999999999</v>
      </c>
      <c r="F41" s="18">
        <v>0.20250000000000001</v>
      </c>
      <c r="G41" s="18">
        <v>-0.08</v>
      </c>
      <c r="H41" s="18">
        <v>0.47199999999999998</v>
      </c>
      <c r="I41" s="18">
        <v>0.28249999999999997</v>
      </c>
    </row>
    <row r="42" spans="1:9">
      <c r="A42" s="4">
        <v>23</v>
      </c>
      <c r="B42" s="4" t="s">
        <v>780</v>
      </c>
      <c r="C42" s="4" t="s">
        <v>73</v>
      </c>
      <c r="D42" s="35">
        <v>0.60499999999999998</v>
      </c>
      <c r="E42" s="18">
        <v>9.2899999999999996E-2</v>
      </c>
      <c r="F42" s="18">
        <v>-0.35439999999999999</v>
      </c>
      <c r="G42" s="18">
        <v>-6.8099999999999994E-2</v>
      </c>
      <c r="H42" s="18">
        <v>0.44719999999999999</v>
      </c>
      <c r="I42" s="32">
        <v>-0.2863</v>
      </c>
    </row>
    <row r="43" spans="1:9">
      <c r="A43" s="4">
        <v>65</v>
      </c>
      <c r="B43" s="4" t="s">
        <v>783</v>
      </c>
      <c r="C43" s="4" t="s">
        <v>72</v>
      </c>
      <c r="D43" s="35">
        <v>0.3518</v>
      </c>
      <c r="E43" s="18">
        <v>-5.3699999999999998E-2</v>
      </c>
      <c r="F43" s="18">
        <v>-0.49320000000000003</v>
      </c>
      <c r="G43" s="18">
        <v>-0.3291</v>
      </c>
      <c r="H43" s="18">
        <v>0.4395</v>
      </c>
      <c r="I43" s="32">
        <v>-0.1641</v>
      </c>
    </row>
    <row r="44" spans="1:9">
      <c r="A44" s="4">
        <v>44</v>
      </c>
      <c r="B44" s="4" t="s">
        <v>781</v>
      </c>
      <c r="C44" s="4" t="s">
        <v>73</v>
      </c>
      <c r="D44" s="35">
        <v>0.5</v>
      </c>
      <c r="E44" s="18">
        <v>0.29409999999999997</v>
      </c>
      <c r="F44" s="18">
        <v>-0.12659999999999999</v>
      </c>
      <c r="G44" s="18">
        <v>0.41410000000000002</v>
      </c>
      <c r="H44" s="18">
        <v>0.42070000000000002</v>
      </c>
      <c r="I44" s="32">
        <v>-0.54069999999999996</v>
      </c>
    </row>
    <row r="45" spans="1:9">
      <c r="A45" s="4">
        <v>49</v>
      </c>
      <c r="B45" s="4" t="s">
        <v>783</v>
      </c>
      <c r="C45" s="4" t="s">
        <v>70</v>
      </c>
      <c r="D45" s="35">
        <v>0.505</v>
      </c>
      <c r="E45" s="18">
        <v>6.2199999999999998E-2</v>
      </c>
      <c r="F45" s="18">
        <v>-0.34260000000000002</v>
      </c>
      <c r="G45" s="18">
        <v>-0.47610000000000002</v>
      </c>
      <c r="H45" s="18">
        <v>0.40479999999999999</v>
      </c>
      <c r="I45" s="18">
        <v>0.13350000000000001</v>
      </c>
    </row>
    <row r="46" spans="1:9">
      <c r="A46" s="4">
        <v>15</v>
      </c>
      <c r="B46" s="4" t="s">
        <v>780</v>
      </c>
      <c r="C46" s="4" t="s">
        <v>70</v>
      </c>
      <c r="D46" s="35">
        <v>0.81410000000000005</v>
      </c>
      <c r="E46" s="18">
        <v>0.81559999999999999</v>
      </c>
      <c r="F46" s="18">
        <v>0.45729999999999998</v>
      </c>
      <c r="G46" s="18">
        <v>-1.8415999999999999</v>
      </c>
      <c r="H46" s="18">
        <v>0.35830000000000001</v>
      </c>
      <c r="I46" s="18">
        <v>2.2989000000000002</v>
      </c>
    </row>
    <row r="47" spans="1:9">
      <c r="A47" s="4">
        <v>3</v>
      </c>
      <c r="B47" s="4" t="s">
        <v>778</v>
      </c>
      <c r="C47" s="4" t="s">
        <v>70</v>
      </c>
      <c r="D47" s="35">
        <v>0.43</v>
      </c>
      <c r="E47" s="18">
        <v>0.15340000000000001</v>
      </c>
      <c r="F47" s="18">
        <v>-0.17499999999999999</v>
      </c>
      <c r="G47" s="18">
        <v>-0.51370000000000005</v>
      </c>
      <c r="H47" s="18">
        <v>0.32829999999999998</v>
      </c>
      <c r="I47" s="18">
        <v>0.3387</v>
      </c>
    </row>
    <row r="48" spans="1:9">
      <c r="A48" s="4">
        <v>63</v>
      </c>
      <c r="B48" s="4" t="s">
        <v>783</v>
      </c>
      <c r="C48" s="4" t="s">
        <v>71</v>
      </c>
      <c r="D48" s="35">
        <v>0.48499999999999999</v>
      </c>
      <c r="E48" s="18">
        <v>0.22589999999999999</v>
      </c>
      <c r="F48" s="18">
        <v>-0.10050000000000001</v>
      </c>
      <c r="G48" s="18">
        <v>-0.33710000000000001</v>
      </c>
      <c r="H48" s="18">
        <v>0.32629999999999998</v>
      </c>
      <c r="I48" s="18">
        <v>0.2366</v>
      </c>
    </row>
    <row r="49" spans="1:9">
      <c r="A49" s="4">
        <v>31</v>
      </c>
      <c r="B49" s="4" t="s">
        <v>781</v>
      </c>
      <c r="C49" s="4" t="s">
        <v>71</v>
      </c>
      <c r="D49" s="35">
        <v>0.36</v>
      </c>
      <c r="E49" s="18">
        <v>0.1265</v>
      </c>
      <c r="F49" s="18">
        <v>-0.19040000000000001</v>
      </c>
      <c r="G49" s="18">
        <v>-0.2077</v>
      </c>
      <c r="H49" s="18">
        <v>0.31690000000000002</v>
      </c>
      <c r="I49" s="18">
        <v>1.7299999999999999E-2</v>
      </c>
    </row>
    <row r="50" spans="1:9">
      <c r="A50" s="4">
        <v>42</v>
      </c>
      <c r="B50" s="4" t="s">
        <v>781</v>
      </c>
      <c r="C50" s="4" t="s">
        <v>70</v>
      </c>
      <c r="D50" s="35">
        <v>0.52500000000000002</v>
      </c>
      <c r="E50" s="18">
        <v>3.5900000000000001E-2</v>
      </c>
      <c r="F50" s="18">
        <v>-0.22059999999999999</v>
      </c>
      <c r="G50" s="18">
        <v>-0.12330000000000001</v>
      </c>
      <c r="H50" s="18">
        <v>0.25659999999999999</v>
      </c>
      <c r="I50" s="32">
        <v>-9.74E-2</v>
      </c>
    </row>
    <row r="51" spans="1:9">
      <c r="A51" s="4">
        <v>17</v>
      </c>
      <c r="B51" s="4" t="s">
        <v>780</v>
      </c>
      <c r="C51" s="4" t="s">
        <v>72</v>
      </c>
      <c r="D51" s="35">
        <v>0.57869999999999999</v>
      </c>
      <c r="E51" s="18">
        <v>0.35270000000000001</v>
      </c>
      <c r="F51" s="18">
        <v>0.1487</v>
      </c>
      <c r="G51" s="18">
        <v>-0.84930000000000005</v>
      </c>
      <c r="H51" s="18">
        <v>0.2041</v>
      </c>
      <c r="I51" s="18">
        <v>0.998</v>
      </c>
    </row>
    <row r="52" spans="1:9">
      <c r="A52" s="4">
        <v>35</v>
      </c>
      <c r="B52" s="4" t="s">
        <v>781</v>
      </c>
      <c r="C52" s="4" t="s">
        <v>73</v>
      </c>
      <c r="D52" s="35">
        <v>0.31</v>
      </c>
      <c r="E52" s="18">
        <v>0.1113</v>
      </c>
      <c r="F52" s="18">
        <v>-6.7500000000000004E-2</v>
      </c>
      <c r="G52" s="18">
        <v>-3.4599999999999999E-2</v>
      </c>
      <c r="H52" s="18">
        <v>0.17879999999999999</v>
      </c>
      <c r="I52" s="32">
        <v>-3.2800000000000003E-2</v>
      </c>
    </row>
    <row r="53" spans="1:9">
      <c r="A53" s="4">
        <v>50</v>
      </c>
      <c r="B53" s="4" t="s">
        <v>783</v>
      </c>
      <c r="C53" s="4" t="s">
        <v>71</v>
      </c>
      <c r="D53" s="35">
        <v>0.435</v>
      </c>
      <c r="E53" s="18">
        <v>7.8200000000000006E-2</v>
      </c>
      <c r="F53" s="18">
        <v>-9.2799999999999994E-2</v>
      </c>
      <c r="G53" s="18">
        <v>-0.21099999999999999</v>
      </c>
      <c r="H53" s="18">
        <v>0.17100000000000001</v>
      </c>
      <c r="I53" s="18">
        <v>0.1183</v>
      </c>
    </row>
    <row r="54" spans="1:9">
      <c r="A54" s="4">
        <v>12</v>
      </c>
      <c r="B54" s="4" t="s">
        <v>780</v>
      </c>
      <c r="C54" s="4" t="s">
        <v>72</v>
      </c>
      <c r="D54" s="35">
        <v>0.6</v>
      </c>
      <c r="E54" s="18">
        <v>1.4500000000000001E-2</v>
      </c>
      <c r="F54" s="18">
        <v>-0.13789999999999999</v>
      </c>
      <c r="G54" s="18">
        <v>0.29859999999999998</v>
      </c>
      <c r="H54" s="18">
        <v>0.1525</v>
      </c>
      <c r="I54" s="32">
        <v>-0.4365</v>
      </c>
    </row>
    <row r="55" spans="1:9">
      <c r="A55" s="4">
        <v>41</v>
      </c>
      <c r="B55" s="4" t="s">
        <v>781</v>
      </c>
      <c r="C55" s="4" t="s">
        <v>71</v>
      </c>
      <c r="D55" s="35">
        <v>0.38500000000000001</v>
      </c>
      <c r="E55" s="18">
        <v>7.6200000000000004E-2</v>
      </c>
      <c r="F55" s="18">
        <v>-5.0900000000000001E-2</v>
      </c>
      <c r="G55" s="18">
        <v>-1.14E-2</v>
      </c>
      <c r="H55" s="18">
        <v>0.127</v>
      </c>
      <c r="I55" s="32">
        <v>-3.95E-2</v>
      </c>
    </row>
    <row r="56" spans="1:9">
      <c r="A56" s="4">
        <v>28</v>
      </c>
      <c r="B56" s="4" t="s">
        <v>781</v>
      </c>
      <c r="C56" s="4" t="s">
        <v>71</v>
      </c>
      <c r="D56" s="35">
        <v>0.51500000000000001</v>
      </c>
      <c r="E56" s="18">
        <v>0.03</v>
      </c>
      <c r="F56" s="18">
        <v>-8.9200000000000002E-2</v>
      </c>
      <c r="G56" s="18">
        <v>-0.19400000000000001</v>
      </c>
      <c r="H56" s="18">
        <v>0.1192</v>
      </c>
      <c r="I56" s="18">
        <v>0.10489999999999999</v>
      </c>
    </row>
    <row r="57" spans="1:9">
      <c r="A57" s="4">
        <v>29</v>
      </c>
      <c r="B57" s="4" t="s">
        <v>781</v>
      </c>
      <c r="C57" s="4" t="s">
        <v>70</v>
      </c>
      <c r="D57" s="35">
        <v>0.38500000000000001</v>
      </c>
      <c r="E57" s="18">
        <v>3.0499999999999999E-2</v>
      </c>
      <c r="F57" s="18">
        <v>-6.8500000000000005E-2</v>
      </c>
      <c r="G57" s="18">
        <v>5.9200000000000003E-2</v>
      </c>
      <c r="H57" s="18">
        <v>9.9000000000000005E-2</v>
      </c>
      <c r="I57" s="32">
        <v>-0.12770000000000001</v>
      </c>
    </row>
    <row r="58" spans="1:9">
      <c r="A58" s="4">
        <v>27</v>
      </c>
      <c r="B58" s="4" t="s">
        <v>781</v>
      </c>
      <c r="C58" s="4" t="s">
        <v>71</v>
      </c>
      <c r="D58" s="35">
        <v>0.46500000000000002</v>
      </c>
      <c r="E58" s="18">
        <v>0.15540000000000001</v>
      </c>
      <c r="F58" s="18">
        <v>6.1800000000000001E-2</v>
      </c>
      <c r="G58" s="18">
        <v>-0.15709999999999999</v>
      </c>
      <c r="H58" s="18">
        <v>9.3600000000000003E-2</v>
      </c>
      <c r="I58" s="18">
        <v>0.21890000000000001</v>
      </c>
    </row>
    <row r="59" spans="1:9">
      <c r="A59" s="4">
        <v>70</v>
      </c>
      <c r="B59" s="4" t="s">
        <v>784</v>
      </c>
      <c r="C59" s="4" t="s">
        <v>70</v>
      </c>
      <c r="D59" s="35">
        <v>0.375</v>
      </c>
      <c r="E59" s="18">
        <v>4.4499999999999998E-2</v>
      </c>
      <c r="F59" s="18">
        <v>-3.4000000000000002E-2</v>
      </c>
      <c r="G59" s="18">
        <v>-0.17319999999999999</v>
      </c>
      <c r="H59" s="18">
        <v>7.85E-2</v>
      </c>
      <c r="I59" s="18">
        <v>0.13930000000000001</v>
      </c>
    </row>
    <row r="60" spans="1:9">
      <c r="A60" s="4">
        <v>64</v>
      </c>
      <c r="B60" s="4" t="s">
        <v>783</v>
      </c>
      <c r="C60" s="4" t="s">
        <v>70</v>
      </c>
      <c r="D60" s="35">
        <v>0.46</v>
      </c>
      <c r="E60" s="18">
        <v>5.8000000000000003E-2</v>
      </c>
      <c r="F60" s="18">
        <v>1.11E-2</v>
      </c>
      <c r="G60" s="18">
        <v>-1.43E-2</v>
      </c>
      <c r="H60" s="18">
        <v>4.6899999999999997E-2</v>
      </c>
      <c r="I60" s="18">
        <v>2.5399999999999999E-2</v>
      </c>
    </row>
    <row r="61" spans="1:9">
      <c r="A61" s="4">
        <v>6</v>
      </c>
      <c r="B61" s="4" t="s">
        <v>778</v>
      </c>
      <c r="C61" s="4" t="s">
        <v>71</v>
      </c>
      <c r="D61" s="35">
        <v>0.32500000000000001</v>
      </c>
      <c r="E61" s="18">
        <v>-8.0699999999999994E-2</v>
      </c>
      <c r="F61" s="18">
        <v>-0.1187</v>
      </c>
      <c r="G61" s="18">
        <v>-2.64E-2</v>
      </c>
      <c r="H61" s="18">
        <v>3.7999999999999999E-2</v>
      </c>
      <c r="I61" s="32">
        <v>-9.2299999999999993E-2</v>
      </c>
    </row>
    <row r="62" spans="1:9">
      <c r="A62" s="4">
        <v>67</v>
      </c>
      <c r="B62" s="4" t="s">
        <v>784</v>
      </c>
      <c r="C62" s="4" t="s">
        <v>70</v>
      </c>
      <c r="D62" s="35">
        <v>0.375</v>
      </c>
      <c r="E62" s="18">
        <v>-5.16E-2</v>
      </c>
      <c r="F62" s="18">
        <v>-7.6300000000000007E-2</v>
      </c>
      <c r="G62" s="18">
        <v>-6.8099999999999994E-2</v>
      </c>
      <c r="H62" s="18">
        <v>2.47E-2</v>
      </c>
      <c r="I62" s="32">
        <v>-8.2000000000000007E-3</v>
      </c>
    </row>
    <row r="63" spans="1:9">
      <c r="A63" s="4">
        <v>8</v>
      </c>
      <c r="B63" s="4" t="s">
        <v>779</v>
      </c>
      <c r="C63" s="4" t="s">
        <v>72</v>
      </c>
      <c r="D63" s="35">
        <v>0.99</v>
      </c>
      <c r="E63" s="18">
        <v>1.5209999999999999</v>
      </c>
      <c r="F63" s="18">
        <v>1.5209999999999999</v>
      </c>
      <c r="G63" s="18">
        <v>1.5209999999999999</v>
      </c>
      <c r="H63" s="18">
        <v>0</v>
      </c>
      <c r="I63" s="18">
        <v>0</v>
      </c>
    </row>
    <row r="64" spans="1:9">
      <c r="A64" s="4">
        <v>68</v>
      </c>
      <c r="B64" s="4" t="s">
        <v>784</v>
      </c>
      <c r="C64" s="4" t="s">
        <v>70</v>
      </c>
      <c r="D64" s="35">
        <v>0.435</v>
      </c>
      <c r="E64" s="18">
        <v>4.4900000000000002E-2</v>
      </c>
      <c r="F64" s="18">
        <v>4.7399999999999998E-2</v>
      </c>
      <c r="G64" s="18">
        <v>-0.30680000000000002</v>
      </c>
      <c r="H64" s="18">
        <v>-2.5000000000000001E-3</v>
      </c>
      <c r="I64" s="18">
        <v>0.35420000000000001</v>
      </c>
    </row>
    <row r="65" spans="1:9">
      <c r="A65" s="4">
        <v>51</v>
      </c>
      <c r="B65" s="4" t="s">
        <v>783</v>
      </c>
      <c r="C65" s="4" t="s">
        <v>70</v>
      </c>
      <c r="D65" s="35">
        <v>0.4975</v>
      </c>
      <c r="E65" s="18">
        <v>0.1535</v>
      </c>
      <c r="F65" s="18">
        <v>0.1782</v>
      </c>
      <c r="G65" s="18">
        <v>-0.2843</v>
      </c>
      <c r="H65" s="18">
        <v>-2.47E-2</v>
      </c>
      <c r="I65" s="18">
        <v>0.46250000000000002</v>
      </c>
    </row>
    <row r="66" spans="1:9">
      <c r="A66" s="4">
        <v>18</v>
      </c>
      <c r="B66" s="4" t="s">
        <v>780</v>
      </c>
      <c r="C66" s="4" t="s">
        <v>70</v>
      </c>
      <c r="D66" s="35">
        <v>0.995</v>
      </c>
      <c r="E66" s="18">
        <v>1.0720000000000001</v>
      </c>
      <c r="F66" s="18">
        <v>1.1045</v>
      </c>
      <c r="G66" s="18">
        <v>1.1045</v>
      </c>
      <c r="H66" s="18">
        <v>-3.2500000000000001E-2</v>
      </c>
      <c r="I66" s="18">
        <v>0</v>
      </c>
    </row>
    <row r="67" spans="1:9">
      <c r="A67" s="4">
        <v>43</v>
      </c>
      <c r="B67" s="4" t="s">
        <v>781</v>
      </c>
      <c r="C67" s="4" t="s">
        <v>70</v>
      </c>
      <c r="D67" s="35">
        <v>0.5</v>
      </c>
      <c r="E67" s="18">
        <v>0.15790000000000001</v>
      </c>
      <c r="F67" s="18">
        <v>0.19309999999999999</v>
      </c>
      <c r="G67" s="18">
        <v>-0.17449999999999999</v>
      </c>
      <c r="H67" s="18">
        <v>-3.5200000000000002E-2</v>
      </c>
      <c r="I67" s="18">
        <v>0.36770000000000003</v>
      </c>
    </row>
    <row r="68" spans="1:9">
      <c r="A68" s="4">
        <v>7</v>
      </c>
      <c r="B68" s="4" t="s">
        <v>778</v>
      </c>
      <c r="C68" s="4" t="s">
        <v>70</v>
      </c>
      <c r="D68" s="35">
        <v>0.52500000000000002</v>
      </c>
      <c r="E68" s="18">
        <v>0.1837</v>
      </c>
      <c r="F68" s="18">
        <v>0.22919999999999999</v>
      </c>
      <c r="G68" s="18">
        <v>-0.27560000000000001</v>
      </c>
      <c r="H68" s="18">
        <v>-4.5499999999999999E-2</v>
      </c>
      <c r="I68" s="18">
        <v>0.50480000000000003</v>
      </c>
    </row>
    <row r="69" spans="1:9">
      <c r="A69" s="4">
        <v>39</v>
      </c>
      <c r="B69" s="4" t="s">
        <v>781</v>
      </c>
      <c r="C69" s="4" t="s">
        <v>70</v>
      </c>
      <c r="D69" s="35">
        <v>0.36</v>
      </c>
      <c r="E69" s="18">
        <v>0.1067</v>
      </c>
      <c r="F69" s="18">
        <v>0.1573</v>
      </c>
      <c r="G69" s="18">
        <v>-8.9399999999999993E-2</v>
      </c>
      <c r="H69" s="18">
        <v>-5.0500000000000003E-2</v>
      </c>
      <c r="I69" s="18">
        <v>0.2467</v>
      </c>
    </row>
    <row r="70" spans="1:9">
      <c r="A70" s="4">
        <v>56</v>
      </c>
      <c r="B70" s="4" t="s">
        <v>783</v>
      </c>
      <c r="C70" s="4" t="s">
        <v>71</v>
      </c>
      <c r="D70" s="35">
        <v>0.98</v>
      </c>
      <c r="E70" s="18">
        <v>1.1967000000000001</v>
      </c>
      <c r="F70" s="18">
        <v>1.2506999999999999</v>
      </c>
      <c r="G70" s="18">
        <v>1.2506999999999999</v>
      </c>
      <c r="H70" s="18">
        <v>-5.3999999999999999E-2</v>
      </c>
      <c r="I70" s="18">
        <v>0</v>
      </c>
    </row>
    <row r="71" spans="1:9">
      <c r="A71" s="4">
        <v>53</v>
      </c>
      <c r="B71" s="4" t="s">
        <v>783</v>
      </c>
      <c r="C71" s="4" t="s">
        <v>70</v>
      </c>
      <c r="D71" s="35">
        <v>0.98</v>
      </c>
      <c r="E71" s="18">
        <v>1.0141</v>
      </c>
      <c r="F71" s="18">
        <v>1.0893999999999999</v>
      </c>
      <c r="G71" s="18">
        <v>1.0893999999999999</v>
      </c>
      <c r="H71" s="18">
        <v>-7.5300000000000006E-2</v>
      </c>
      <c r="I71" s="18">
        <v>0</v>
      </c>
    </row>
    <row r="72" spans="1:9">
      <c r="A72" s="4">
        <v>61</v>
      </c>
      <c r="B72" s="4" t="s">
        <v>783</v>
      </c>
      <c r="C72" s="4" t="s">
        <v>71</v>
      </c>
      <c r="D72" s="35">
        <v>0.99</v>
      </c>
      <c r="E72" s="18">
        <v>1.1778999999999999</v>
      </c>
      <c r="F72" s="18">
        <v>1.2607999999999999</v>
      </c>
      <c r="G72" s="18">
        <v>1.2607999999999999</v>
      </c>
      <c r="H72" s="18">
        <v>-8.2900000000000001E-2</v>
      </c>
      <c r="I72" s="18">
        <v>0</v>
      </c>
    </row>
    <row r="73" spans="1:9">
      <c r="A73" s="4">
        <v>36</v>
      </c>
      <c r="B73" s="4" t="s">
        <v>781</v>
      </c>
      <c r="C73" s="4" t="s">
        <v>72</v>
      </c>
      <c r="D73" s="35">
        <v>0.36</v>
      </c>
      <c r="E73" s="18">
        <v>6.6600000000000006E-2</v>
      </c>
      <c r="F73" s="18">
        <v>0.15079999999999999</v>
      </c>
      <c r="G73" s="18">
        <v>0.15079999999999999</v>
      </c>
      <c r="H73" s="18">
        <v>-8.4199999999999997E-2</v>
      </c>
      <c r="I73" s="18">
        <v>0</v>
      </c>
    </row>
    <row r="74" spans="1:9">
      <c r="A74" s="4">
        <v>19</v>
      </c>
      <c r="B74" s="4" t="s">
        <v>780</v>
      </c>
      <c r="C74" s="4" t="s">
        <v>70</v>
      </c>
      <c r="D74" s="35">
        <v>0.98499999999999999</v>
      </c>
      <c r="E74" s="18">
        <v>0.98699999999999999</v>
      </c>
      <c r="F74" s="18">
        <v>1.0944</v>
      </c>
      <c r="G74" s="18">
        <v>1.0944</v>
      </c>
      <c r="H74" s="18">
        <v>-0.1074</v>
      </c>
      <c r="I74" s="18">
        <v>0</v>
      </c>
    </row>
    <row r="75" spans="1:9">
      <c r="A75" s="4">
        <v>5</v>
      </c>
      <c r="B75" s="4" t="s">
        <v>778</v>
      </c>
      <c r="C75" s="4" t="s">
        <v>71</v>
      </c>
      <c r="D75" s="35">
        <v>0.39500000000000002</v>
      </c>
      <c r="E75" s="18">
        <v>2.3400000000000001E-2</v>
      </c>
      <c r="F75" s="18">
        <v>0.1857</v>
      </c>
      <c r="G75" s="18">
        <v>-0.37019999999999997</v>
      </c>
      <c r="H75" s="18">
        <v>-0.1623</v>
      </c>
      <c r="I75" s="18">
        <v>0.55600000000000005</v>
      </c>
    </row>
    <row r="76" spans="1:9">
      <c r="A76" s="4">
        <v>34</v>
      </c>
      <c r="B76" s="4" t="s">
        <v>781</v>
      </c>
      <c r="C76" s="4" t="s">
        <v>70</v>
      </c>
      <c r="D76" s="35">
        <v>0.33500000000000002</v>
      </c>
      <c r="E76" s="18">
        <v>5.3199999999999997E-2</v>
      </c>
      <c r="F76" s="18">
        <v>0.24610000000000001</v>
      </c>
      <c r="G76" s="18">
        <v>0.25409999999999999</v>
      </c>
      <c r="H76" s="18">
        <v>-0.19289999999999999</v>
      </c>
      <c r="I76" s="32">
        <v>-8.0000000000000002E-3</v>
      </c>
    </row>
  </sheetData>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dimension ref="A1:W40"/>
  <sheetViews>
    <sheetView tabSelected="1"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cols>
    <col min="1" max="1" width="12" customWidth="1"/>
    <col min="2" max="2" width="8" customWidth="1"/>
    <col min="3" max="3" width="10" customWidth="1"/>
    <col min="4" max="4" width="8" customWidth="1"/>
    <col min="5" max="5" width="12" customWidth="1"/>
    <col min="6" max="6" width="20" customWidth="1"/>
    <col min="7" max="7" width="22" customWidth="1"/>
    <col min="8" max="8" width="16" customWidth="1"/>
    <col min="9" max="9" width="14" customWidth="1"/>
    <col min="10" max="10" width="20" customWidth="1"/>
    <col min="11" max="11" width="16" customWidth="1"/>
    <col min="12" max="12" width="18" customWidth="1"/>
    <col min="13" max="13" width="22" customWidth="1"/>
    <col min="14" max="16" width="14" customWidth="1"/>
    <col min="17" max="17" width="16" customWidth="1"/>
    <col min="18" max="18" width="14" customWidth="1"/>
    <col min="19" max="19" width="18" customWidth="1"/>
    <col min="20" max="22" width="14" customWidth="1"/>
    <col min="23" max="23" width="16" customWidth="1"/>
  </cols>
  <sheetData>
    <row r="1" spans="1:23" ht="15.75">
      <c r="A1" s="2" t="s">
        <v>1146</v>
      </c>
      <c r="B1" s="4"/>
      <c r="C1" s="4"/>
      <c r="D1" s="4"/>
      <c r="E1" s="4"/>
      <c r="F1" s="4"/>
      <c r="G1" s="4"/>
      <c r="H1" s="4"/>
      <c r="I1" s="4"/>
      <c r="J1" s="4"/>
      <c r="K1" s="4"/>
      <c r="L1" s="4"/>
      <c r="M1" s="4"/>
      <c r="N1" s="4"/>
      <c r="O1" s="4"/>
      <c r="P1" s="4"/>
      <c r="Q1" s="4"/>
      <c r="R1" s="4"/>
      <c r="S1" s="4"/>
      <c r="T1" s="4"/>
      <c r="U1" s="4"/>
      <c r="V1" s="4"/>
      <c r="W1" s="4"/>
    </row>
    <row r="2" spans="1:23" ht="255">
      <c r="A2" s="3" t="s">
        <v>1147</v>
      </c>
      <c r="B2" s="4"/>
      <c r="C2" s="4"/>
      <c r="D2" s="4"/>
      <c r="E2" s="4"/>
      <c r="F2" s="4"/>
      <c r="G2" s="4"/>
      <c r="H2" s="4"/>
      <c r="I2" s="4"/>
      <c r="J2" s="4"/>
      <c r="K2" s="4"/>
      <c r="L2" s="4"/>
      <c r="M2" s="4"/>
      <c r="N2" s="4"/>
      <c r="O2" s="4"/>
      <c r="P2" s="4"/>
      <c r="Q2" s="4"/>
      <c r="R2" s="4"/>
      <c r="S2" s="4"/>
      <c r="T2" s="4"/>
      <c r="U2" s="4"/>
      <c r="V2" s="4"/>
      <c r="W2" s="4"/>
    </row>
    <row r="3" spans="1:23">
      <c r="A3" s="4"/>
      <c r="B3" s="4"/>
      <c r="C3" s="4"/>
      <c r="D3" s="4"/>
      <c r="E3" s="4"/>
      <c r="F3" s="4"/>
      <c r="G3" s="4"/>
      <c r="H3" s="4"/>
      <c r="I3" s="4"/>
      <c r="J3" s="4"/>
      <c r="K3" s="4"/>
      <c r="L3" s="4"/>
      <c r="M3" s="4"/>
      <c r="N3" s="4"/>
      <c r="O3" s="4"/>
      <c r="P3" s="4"/>
      <c r="Q3" s="4"/>
      <c r="R3" s="4"/>
      <c r="S3" s="4"/>
      <c r="T3" s="4"/>
      <c r="U3" s="4"/>
      <c r="V3" s="4"/>
      <c r="W3" s="4"/>
    </row>
    <row r="4" spans="1:23" ht="26.25">
      <c r="A4" s="9" t="s">
        <v>1148</v>
      </c>
      <c r="B4" s="9" t="s">
        <v>671</v>
      </c>
      <c r="C4" s="9" t="s">
        <v>828</v>
      </c>
      <c r="D4" s="9" t="s">
        <v>1149</v>
      </c>
      <c r="E4" s="9" t="s">
        <v>386</v>
      </c>
      <c r="F4" s="9" t="s">
        <v>793</v>
      </c>
      <c r="G4" s="9" t="s">
        <v>794</v>
      </c>
      <c r="H4" s="9" t="s">
        <v>1150</v>
      </c>
      <c r="I4" s="9" t="s">
        <v>1151</v>
      </c>
      <c r="J4" s="9" t="s">
        <v>1152</v>
      </c>
      <c r="K4" s="9" t="s">
        <v>1153</v>
      </c>
      <c r="L4" s="9" t="s">
        <v>1154</v>
      </c>
      <c r="M4" s="9" t="s">
        <v>1155</v>
      </c>
      <c r="N4" s="9" t="s">
        <v>476</v>
      </c>
      <c r="O4" s="9" t="s">
        <v>480</v>
      </c>
      <c r="P4" s="9" t="s">
        <v>484</v>
      </c>
      <c r="Q4" s="9" t="s">
        <v>795</v>
      </c>
      <c r="R4" s="9" t="s">
        <v>1156</v>
      </c>
      <c r="S4" s="9" t="s">
        <v>1157</v>
      </c>
      <c r="T4" s="9" t="s">
        <v>1158</v>
      </c>
      <c r="U4" s="9" t="s">
        <v>1159</v>
      </c>
      <c r="V4" s="9" t="s">
        <v>1160</v>
      </c>
      <c r="W4" s="9" t="s">
        <v>1161</v>
      </c>
    </row>
    <row r="5" spans="1:23">
      <c r="A5" s="4" t="s">
        <v>759</v>
      </c>
      <c r="B5" s="4" t="s">
        <v>758</v>
      </c>
      <c r="C5" s="4" t="s">
        <v>314</v>
      </c>
      <c r="D5" s="4">
        <v>71</v>
      </c>
      <c r="E5" s="39">
        <v>0.64790000000000003</v>
      </c>
      <c r="F5" s="17">
        <v>3.7499999999999999E-2</v>
      </c>
      <c r="G5" s="17">
        <v>3.8899999999999997E-2</v>
      </c>
      <c r="H5" s="15">
        <v>3.8199999999999998E-2</v>
      </c>
      <c r="I5" s="40">
        <v>-3.58</v>
      </c>
      <c r="J5" s="17">
        <v>1E-3</v>
      </c>
      <c r="K5" s="17">
        <v>7.1400000000000005E-2</v>
      </c>
      <c r="L5" s="41" t="s">
        <v>1079</v>
      </c>
      <c r="M5" s="41" t="s">
        <v>1079</v>
      </c>
      <c r="N5" s="36" t="s">
        <v>1162</v>
      </c>
      <c r="O5" s="36" t="s">
        <v>797</v>
      </c>
      <c r="P5" s="36" t="s">
        <v>798</v>
      </c>
      <c r="Q5" s="36" t="s">
        <v>314</v>
      </c>
      <c r="R5" s="36" t="s">
        <v>788</v>
      </c>
      <c r="S5" s="36" t="s">
        <v>1079</v>
      </c>
      <c r="T5" s="40">
        <v>64.790000000000006</v>
      </c>
      <c r="U5" s="40">
        <v>-32.9</v>
      </c>
      <c r="V5" s="42">
        <v>-33.32</v>
      </c>
      <c r="W5" s="4" t="s">
        <v>1163</v>
      </c>
    </row>
    <row r="6" spans="1:23">
      <c r="A6" s="4" t="s">
        <v>753</v>
      </c>
      <c r="B6" s="4" t="s">
        <v>749</v>
      </c>
      <c r="C6" s="4" t="s">
        <v>328</v>
      </c>
      <c r="D6" s="4">
        <v>86</v>
      </c>
      <c r="E6" s="39">
        <v>0.44440000000000002</v>
      </c>
      <c r="F6" s="17">
        <v>-0.18820000000000001</v>
      </c>
      <c r="G6" s="17">
        <v>-9.8699999999999996E-2</v>
      </c>
      <c r="H6" s="15">
        <v>-0.1434</v>
      </c>
      <c r="I6" s="40">
        <v>-5.0999999999999996</v>
      </c>
      <c r="J6" s="17">
        <v>1E-3</v>
      </c>
      <c r="K6" s="17">
        <v>7.1400000000000005E-2</v>
      </c>
      <c r="L6" s="41" t="s">
        <v>1079</v>
      </c>
      <c r="M6" s="43" t="s">
        <v>1164</v>
      </c>
      <c r="N6" s="36" t="s">
        <v>1162</v>
      </c>
      <c r="O6" s="36" t="s">
        <v>797</v>
      </c>
      <c r="P6" s="36" t="s">
        <v>798</v>
      </c>
      <c r="Q6" s="36" t="s">
        <v>328</v>
      </c>
      <c r="R6" s="36" t="s">
        <v>1164</v>
      </c>
      <c r="S6" s="36" t="s">
        <v>1164</v>
      </c>
      <c r="T6" s="40">
        <v>45.35</v>
      </c>
      <c r="U6" s="40">
        <v>-20.3</v>
      </c>
      <c r="V6" s="44">
        <v>-22.27</v>
      </c>
      <c r="W6" s="4" t="s">
        <v>1165</v>
      </c>
    </row>
    <row r="7" spans="1:23">
      <c r="A7" s="4" t="s">
        <v>754</v>
      </c>
      <c r="B7" s="4" t="s">
        <v>749</v>
      </c>
      <c r="C7" s="4" t="s">
        <v>328</v>
      </c>
      <c r="D7" s="4">
        <v>88</v>
      </c>
      <c r="E7" s="39">
        <v>0.45829999999999999</v>
      </c>
      <c r="F7" s="17">
        <v>-0.31719999999999998</v>
      </c>
      <c r="G7" s="17">
        <v>-0.16209999999999999</v>
      </c>
      <c r="H7" s="15">
        <v>-0.23960000000000001</v>
      </c>
      <c r="I7" s="40">
        <v>-5.9</v>
      </c>
      <c r="J7" s="17">
        <v>2.0999999999999999E-3</v>
      </c>
      <c r="K7" s="17">
        <v>0.28570000000000001</v>
      </c>
      <c r="L7" s="43" t="s">
        <v>1164</v>
      </c>
      <c r="M7" s="43" t="s">
        <v>1164</v>
      </c>
      <c r="N7" s="36" t="s">
        <v>1162</v>
      </c>
      <c r="O7" s="36" t="s">
        <v>803</v>
      </c>
      <c r="P7" s="36" t="s">
        <v>804</v>
      </c>
      <c r="Q7" s="36" t="s">
        <v>328</v>
      </c>
      <c r="R7" s="36" t="s">
        <v>1164</v>
      </c>
      <c r="S7" s="36" t="s">
        <v>1079</v>
      </c>
      <c r="T7" s="40">
        <v>43.18</v>
      </c>
      <c r="U7" s="40">
        <v>-29.4</v>
      </c>
      <c r="V7" s="45">
        <v>-30.55</v>
      </c>
      <c r="W7" s="4" t="s">
        <v>1166</v>
      </c>
    </row>
    <row r="8" spans="1:23">
      <c r="A8" s="4" t="s">
        <v>755</v>
      </c>
      <c r="B8" s="4" t="s">
        <v>749</v>
      </c>
      <c r="C8" s="4" t="s">
        <v>328</v>
      </c>
      <c r="D8" s="4">
        <v>92</v>
      </c>
      <c r="E8" s="39">
        <v>0.54930000000000001</v>
      </c>
      <c r="F8" s="17">
        <v>-0.30349999999999999</v>
      </c>
      <c r="G8" s="17">
        <v>-0.188</v>
      </c>
      <c r="H8" s="15">
        <v>-0.24579999999999999</v>
      </c>
      <c r="I8" s="40">
        <v>-5.95</v>
      </c>
      <c r="J8" s="17">
        <v>2.0999999999999999E-3</v>
      </c>
      <c r="K8" s="17">
        <v>0.28570000000000001</v>
      </c>
      <c r="L8" s="43" t="s">
        <v>1164</v>
      </c>
      <c r="M8" s="43" t="s">
        <v>1164</v>
      </c>
      <c r="N8" s="36" t="s">
        <v>1162</v>
      </c>
      <c r="O8" s="36" t="s">
        <v>805</v>
      </c>
      <c r="P8" s="36" t="s">
        <v>800</v>
      </c>
      <c r="Q8" s="36" t="s">
        <v>328</v>
      </c>
      <c r="R8" s="36" t="s">
        <v>1164</v>
      </c>
      <c r="S8" s="36" t="s">
        <v>1079</v>
      </c>
      <c r="T8" s="40">
        <v>47.83</v>
      </c>
      <c r="U8" s="40">
        <v>-20.6</v>
      </c>
      <c r="V8" s="45">
        <v>-22.04</v>
      </c>
      <c r="W8" s="4" t="s">
        <v>1166</v>
      </c>
    </row>
    <row r="9" spans="1:23">
      <c r="A9" s="4" t="s">
        <v>757</v>
      </c>
      <c r="B9" s="4" t="s">
        <v>758</v>
      </c>
      <c r="C9" s="4" t="s">
        <v>314</v>
      </c>
      <c r="D9" s="4">
        <v>70</v>
      </c>
      <c r="E9" s="39">
        <v>0.3286</v>
      </c>
      <c r="F9" s="17">
        <v>-0.34670000000000001</v>
      </c>
      <c r="G9" s="17">
        <v>-0.2298</v>
      </c>
      <c r="H9" s="15">
        <v>-0.2883</v>
      </c>
      <c r="I9" s="40">
        <v>-6.31</v>
      </c>
      <c r="J9" s="17">
        <v>8.3000000000000001E-3</v>
      </c>
      <c r="K9" s="17">
        <v>0.35709999999999997</v>
      </c>
      <c r="L9" s="43" t="s">
        <v>1164</v>
      </c>
      <c r="M9" s="43" t="s">
        <v>1164</v>
      </c>
      <c r="N9" s="36" t="s">
        <v>1162</v>
      </c>
      <c r="O9" s="36" t="s">
        <v>805</v>
      </c>
      <c r="P9" s="36" t="s">
        <v>802</v>
      </c>
      <c r="Q9" s="36" t="s">
        <v>314</v>
      </c>
      <c r="R9" s="36" t="s">
        <v>1164</v>
      </c>
      <c r="S9" s="36" t="s">
        <v>1164</v>
      </c>
      <c r="T9" s="40">
        <v>32.86</v>
      </c>
      <c r="U9" s="40">
        <v>-14.1</v>
      </c>
      <c r="V9" s="45">
        <v>-15.35</v>
      </c>
      <c r="W9" s="4" t="s">
        <v>1166</v>
      </c>
    </row>
    <row r="10" spans="1:23">
      <c r="A10" s="4" t="s">
        <v>751</v>
      </c>
      <c r="B10" s="4" t="s">
        <v>749</v>
      </c>
      <c r="C10" s="4" t="s">
        <v>750</v>
      </c>
      <c r="D10" s="4">
        <v>70</v>
      </c>
      <c r="E10" s="39">
        <v>0.44290000000000002</v>
      </c>
      <c r="F10" s="17">
        <v>-0.28439999999999999</v>
      </c>
      <c r="G10" s="17">
        <v>-0.29349999999999998</v>
      </c>
      <c r="H10" s="15">
        <v>-0.28899999999999998</v>
      </c>
      <c r="I10" s="40">
        <v>-6.32</v>
      </c>
      <c r="J10" s="17">
        <v>8.3000000000000001E-3</v>
      </c>
      <c r="K10" s="17">
        <v>0.35709999999999997</v>
      </c>
      <c r="L10" s="43" t="s">
        <v>1164</v>
      </c>
      <c r="M10" s="43" t="s">
        <v>1164</v>
      </c>
      <c r="N10" s="36" t="s">
        <v>1167</v>
      </c>
      <c r="O10" s="36" t="s">
        <v>805</v>
      </c>
      <c r="P10" s="36" t="s">
        <v>806</v>
      </c>
      <c r="Q10" s="36" t="s">
        <v>750</v>
      </c>
      <c r="R10" s="36" t="s">
        <v>1164</v>
      </c>
      <c r="S10" s="36" t="s">
        <v>1164</v>
      </c>
      <c r="T10" s="40">
        <v>44.29</v>
      </c>
      <c r="U10" s="40">
        <v>-16.5</v>
      </c>
      <c r="V10" s="45">
        <v>-18.52</v>
      </c>
      <c r="W10" s="4" t="s">
        <v>1166</v>
      </c>
    </row>
    <row r="11" spans="1:23">
      <c r="A11" s="4" t="s">
        <v>747</v>
      </c>
      <c r="B11" s="4" t="s">
        <v>749</v>
      </c>
      <c r="C11" s="4" t="s">
        <v>750</v>
      </c>
      <c r="D11" s="4">
        <v>70</v>
      </c>
      <c r="E11" s="39">
        <v>0.3</v>
      </c>
      <c r="F11" s="17">
        <v>-0.3725</v>
      </c>
      <c r="G11" s="17">
        <v>-0.26390000000000002</v>
      </c>
      <c r="H11" s="15">
        <v>-0.31819999999999998</v>
      </c>
      <c r="I11" s="40">
        <v>-6.56</v>
      </c>
      <c r="J11" s="17">
        <v>1.14E-2</v>
      </c>
      <c r="K11" s="17">
        <v>0.42859999999999998</v>
      </c>
      <c r="L11" s="43" t="s">
        <v>1164</v>
      </c>
      <c r="M11" s="43" t="s">
        <v>1164</v>
      </c>
      <c r="N11" s="36" t="s">
        <v>1162</v>
      </c>
      <c r="O11" s="36" t="s">
        <v>805</v>
      </c>
      <c r="P11" s="36" t="s">
        <v>802</v>
      </c>
      <c r="Q11" s="36" t="s">
        <v>750</v>
      </c>
      <c r="R11" s="36" t="s">
        <v>1164</v>
      </c>
      <c r="S11" s="36" t="s">
        <v>1164</v>
      </c>
      <c r="T11" s="40">
        <v>30</v>
      </c>
      <c r="U11" s="40">
        <v>-16.399999999999999</v>
      </c>
      <c r="V11" s="45">
        <v>-17.940000000000001</v>
      </c>
      <c r="W11" s="4" t="s">
        <v>1166</v>
      </c>
    </row>
    <row r="12" spans="1:23">
      <c r="A12" s="4" t="s">
        <v>752</v>
      </c>
      <c r="B12" s="4" t="s">
        <v>749</v>
      </c>
      <c r="C12" s="4" t="s">
        <v>750</v>
      </c>
      <c r="D12" s="4">
        <v>80</v>
      </c>
      <c r="E12" s="39">
        <v>0.33800000000000002</v>
      </c>
      <c r="F12" s="17">
        <v>-0.5262</v>
      </c>
      <c r="G12" s="17">
        <v>-0.40739999999999998</v>
      </c>
      <c r="H12" s="15">
        <v>-0.46679999999999999</v>
      </c>
      <c r="I12" s="40">
        <v>-7.8</v>
      </c>
      <c r="J12" s="17">
        <v>0.1197</v>
      </c>
      <c r="K12" s="17">
        <v>0.92859999999999998</v>
      </c>
      <c r="L12" s="43" t="s">
        <v>1164</v>
      </c>
      <c r="M12" s="43" t="s">
        <v>1164</v>
      </c>
      <c r="N12" s="36" t="s">
        <v>1167</v>
      </c>
      <c r="O12" s="36" t="s">
        <v>803</v>
      </c>
      <c r="P12" s="36" t="s">
        <v>802</v>
      </c>
      <c r="Q12" s="36" t="s">
        <v>750</v>
      </c>
      <c r="R12" s="36" t="s">
        <v>1164</v>
      </c>
      <c r="S12" s="36" t="s">
        <v>1164</v>
      </c>
      <c r="T12" s="40">
        <v>35</v>
      </c>
      <c r="U12" s="40">
        <v>-19.3</v>
      </c>
      <c r="V12" s="45">
        <v>-20.2</v>
      </c>
      <c r="W12" s="4" t="s">
        <v>1166</v>
      </c>
    </row>
    <row r="13" spans="1:23">
      <c r="A13" s="4" t="s">
        <v>756</v>
      </c>
      <c r="B13" s="4" t="s">
        <v>749</v>
      </c>
      <c r="C13" s="4" t="s">
        <v>328</v>
      </c>
      <c r="D13" s="4">
        <v>93</v>
      </c>
      <c r="E13" s="39">
        <v>0.48609999999999998</v>
      </c>
      <c r="F13" s="17">
        <v>-0.50770000000000004</v>
      </c>
      <c r="G13" s="17">
        <v>-0.48049999999999998</v>
      </c>
      <c r="H13" s="15">
        <v>-0.49409999999999998</v>
      </c>
      <c r="I13" s="40">
        <v>-8.0299999999999994</v>
      </c>
      <c r="J13" s="17">
        <v>0.17380000000000001</v>
      </c>
      <c r="K13" s="17">
        <v>1</v>
      </c>
      <c r="L13" s="43" t="s">
        <v>1164</v>
      </c>
      <c r="M13" s="43" t="s">
        <v>1164</v>
      </c>
      <c r="N13" s="36" t="s">
        <v>1162</v>
      </c>
      <c r="O13" s="36" t="s">
        <v>808</v>
      </c>
      <c r="P13" s="36" t="s">
        <v>804</v>
      </c>
      <c r="Q13" s="36" t="s">
        <v>328</v>
      </c>
      <c r="R13" s="36" t="s">
        <v>1164</v>
      </c>
      <c r="S13" s="36" t="s">
        <v>1079</v>
      </c>
      <c r="T13" s="40">
        <v>47.83</v>
      </c>
      <c r="U13" s="40">
        <v>-20.6</v>
      </c>
      <c r="V13" s="45">
        <v>-22.04</v>
      </c>
      <c r="W13" s="4" t="s">
        <v>1166</v>
      </c>
    </row>
    <row r="14" spans="1:23">
      <c r="A14" s="4"/>
      <c r="B14" s="4"/>
      <c r="C14" s="4"/>
      <c r="D14" s="4"/>
      <c r="E14" s="4"/>
      <c r="F14" s="4"/>
      <c r="G14" s="4"/>
      <c r="H14" s="4"/>
      <c r="I14" s="4"/>
      <c r="J14" s="4"/>
      <c r="K14" s="4"/>
      <c r="L14" s="4"/>
      <c r="M14" s="4"/>
      <c r="N14" s="4"/>
      <c r="O14" s="4"/>
      <c r="P14" s="4"/>
      <c r="Q14" s="4"/>
      <c r="R14" s="4"/>
      <c r="S14" s="4"/>
      <c r="T14" s="4"/>
      <c r="U14" s="4"/>
      <c r="V14" s="4"/>
      <c r="W14" s="4"/>
    </row>
    <row r="15" spans="1:23" ht="15.75">
      <c r="A15" s="2" t="s">
        <v>1168</v>
      </c>
      <c r="B15" s="4"/>
      <c r="C15" s="4"/>
      <c r="D15" s="4"/>
      <c r="E15" s="4"/>
      <c r="F15" s="4"/>
      <c r="G15" s="4"/>
      <c r="H15" s="4"/>
      <c r="I15" s="4"/>
      <c r="J15" s="4"/>
      <c r="K15" s="4"/>
      <c r="L15" s="4"/>
      <c r="M15" s="4"/>
      <c r="N15" s="4"/>
      <c r="O15" s="4"/>
      <c r="P15" s="4"/>
      <c r="Q15" s="4"/>
      <c r="R15" s="4"/>
      <c r="S15" s="4"/>
      <c r="T15" s="4"/>
      <c r="U15" s="4"/>
      <c r="V15" s="4"/>
      <c r="W15" s="4"/>
    </row>
    <row r="16" spans="1:23" ht="39">
      <c r="A16" s="9" t="s">
        <v>1169</v>
      </c>
      <c r="B16" s="9" t="s">
        <v>459</v>
      </c>
      <c r="C16" s="9" t="s">
        <v>476</v>
      </c>
      <c r="D16" s="9" t="s">
        <v>480</v>
      </c>
      <c r="E16" s="9" t="s">
        <v>386</v>
      </c>
      <c r="F16" s="4"/>
      <c r="G16" s="4"/>
      <c r="H16" s="4"/>
      <c r="I16" s="4"/>
      <c r="J16" s="4"/>
      <c r="K16" s="4"/>
      <c r="L16" s="4"/>
      <c r="M16" s="4"/>
      <c r="N16" s="4"/>
      <c r="O16" s="4"/>
      <c r="P16" s="4"/>
      <c r="Q16" s="4"/>
      <c r="R16" s="4"/>
      <c r="S16" s="4"/>
      <c r="T16" s="4"/>
      <c r="U16" s="4"/>
      <c r="V16" s="4"/>
      <c r="W16" s="4"/>
    </row>
    <row r="17" spans="1:23">
      <c r="A17" s="5" t="s">
        <v>1170</v>
      </c>
      <c r="B17" s="21">
        <v>0.46600000000000003</v>
      </c>
      <c r="C17" s="18">
        <v>0.97399999999999998</v>
      </c>
      <c r="D17" s="18">
        <v>0.94499999999999995</v>
      </c>
      <c r="E17" s="18">
        <v>0.59799999999999998</v>
      </c>
      <c r="F17" s="4"/>
      <c r="G17" s="4"/>
      <c r="H17" s="4"/>
      <c r="I17" s="4"/>
      <c r="J17" s="4"/>
      <c r="K17" s="4"/>
      <c r="L17" s="4"/>
      <c r="M17" s="4"/>
      <c r="N17" s="4"/>
      <c r="O17" s="4"/>
      <c r="P17" s="4"/>
      <c r="Q17" s="4"/>
      <c r="R17" s="4"/>
      <c r="S17" s="4"/>
      <c r="T17" s="4"/>
      <c r="U17" s="4"/>
      <c r="V17" s="4"/>
      <c r="W17" s="4"/>
    </row>
    <row r="18" spans="1:23">
      <c r="A18" s="5" t="s">
        <v>1171</v>
      </c>
      <c r="B18" s="21">
        <v>2.8799999999999999E-2</v>
      </c>
      <c r="C18" s="4" t="s">
        <v>77</v>
      </c>
      <c r="D18" s="4" t="s">
        <v>77</v>
      </c>
      <c r="E18" s="4" t="s">
        <v>77</v>
      </c>
      <c r="F18" s="4"/>
      <c r="G18" s="4"/>
      <c r="H18" s="4"/>
      <c r="I18" s="4"/>
      <c r="J18" s="4"/>
      <c r="K18" s="4"/>
      <c r="L18" s="4"/>
      <c r="M18" s="4"/>
      <c r="N18" s="4"/>
      <c r="O18" s="4"/>
      <c r="P18" s="4"/>
      <c r="Q18" s="4"/>
      <c r="R18" s="4"/>
      <c r="S18" s="4"/>
      <c r="T18" s="4"/>
      <c r="U18" s="4"/>
      <c r="V18" s="4"/>
      <c r="W18" s="4"/>
    </row>
    <row r="19" spans="1:23">
      <c r="A19" s="33" t="s">
        <v>1172</v>
      </c>
      <c r="B19" s="34">
        <v>-7.9500000000000001E-2</v>
      </c>
      <c r="C19" s="31" t="s">
        <v>77</v>
      </c>
      <c r="D19" s="31" t="s">
        <v>77</v>
      </c>
      <c r="E19" s="31" t="s">
        <v>77</v>
      </c>
      <c r="F19" s="4"/>
      <c r="G19" s="4"/>
      <c r="H19" s="4"/>
      <c r="I19" s="4"/>
      <c r="J19" s="4"/>
      <c r="K19" s="4"/>
      <c r="L19" s="4"/>
      <c r="M19" s="4"/>
      <c r="N19" s="4"/>
      <c r="O19" s="4"/>
      <c r="P19" s="4"/>
      <c r="Q19" s="4"/>
      <c r="R19" s="4"/>
      <c r="S19" s="4"/>
      <c r="T19" s="4"/>
      <c r="U19" s="4"/>
      <c r="V19" s="4"/>
      <c r="W19" s="4"/>
    </row>
    <row r="20" spans="1:23">
      <c r="A20" s="5" t="s">
        <v>1052</v>
      </c>
      <c r="B20" s="21">
        <v>-0.18790000000000001</v>
      </c>
      <c r="C20" s="4" t="s">
        <v>77</v>
      </c>
      <c r="D20" s="4" t="s">
        <v>77</v>
      </c>
      <c r="E20" s="4" t="s">
        <v>77</v>
      </c>
      <c r="F20" s="4"/>
      <c r="G20" s="4"/>
      <c r="H20" s="4"/>
      <c r="I20" s="4"/>
      <c r="J20" s="4"/>
      <c r="K20" s="4"/>
      <c r="L20" s="4"/>
      <c r="M20" s="4"/>
      <c r="N20" s="4"/>
      <c r="O20" s="4"/>
      <c r="P20" s="4"/>
      <c r="Q20" s="4"/>
      <c r="R20" s="4"/>
      <c r="S20" s="4"/>
      <c r="T20" s="4"/>
      <c r="U20" s="4"/>
      <c r="V20" s="4"/>
      <c r="W20" s="4"/>
    </row>
    <row r="21" spans="1:23">
      <c r="A21" s="27" t="s">
        <v>1173</v>
      </c>
      <c r="B21" s="30">
        <v>-0.33979999999999999</v>
      </c>
      <c r="C21" s="32">
        <v>0.91900000000000004</v>
      </c>
      <c r="D21" s="32">
        <v>0.66700000000000004</v>
      </c>
      <c r="E21" s="32">
        <v>0.313</v>
      </c>
      <c r="F21" s="4"/>
      <c r="G21" s="4"/>
      <c r="H21" s="4"/>
      <c r="I21" s="4"/>
      <c r="J21" s="4"/>
      <c r="K21" s="4"/>
      <c r="L21" s="4"/>
      <c r="M21" s="4"/>
      <c r="N21" s="4"/>
      <c r="O21" s="4"/>
      <c r="P21" s="4"/>
      <c r="Q21" s="4"/>
      <c r="R21" s="4"/>
      <c r="S21" s="4"/>
      <c r="T21" s="4"/>
      <c r="U21" s="4"/>
      <c r="V21" s="4"/>
      <c r="W21" s="4"/>
    </row>
    <row r="22" spans="1:23">
      <c r="A22" s="5" t="s">
        <v>1174</v>
      </c>
      <c r="B22" s="21">
        <v>-0.60260000000000002</v>
      </c>
      <c r="C22" s="18">
        <v>0.4</v>
      </c>
      <c r="D22" s="18">
        <v>0.24099999999999999</v>
      </c>
      <c r="E22" s="4" t="s">
        <v>1175</v>
      </c>
      <c r="F22" s="4"/>
      <c r="G22" s="4"/>
      <c r="H22" s="4"/>
      <c r="I22" s="4"/>
      <c r="J22" s="4"/>
      <c r="K22" s="4"/>
      <c r="L22" s="4"/>
      <c r="M22" s="4"/>
      <c r="N22" s="4"/>
      <c r="O22" s="4"/>
      <c r="P22" s="4"/>
      <c r="Q22" s="4"/>
      <c r="R22" s="4"/>
      <c r="S22" s="4"/>
      <c r="T22" s="4"/>
      <c r="U22" s="4"/>
      <c r="V22" s="4"/>
      <c r="W22" s="4"/>
    </row>
    <row r="23" spans="1:23">
      <c r="A23" s="4"/>
      <c r="B23" s="4"/>
      <c r="C23" s="4"/>
      <c r="D23" s="4"/>
      <c r="E23" s="4"/>
      <c r="F23" s="4"/>
      <c r="G23" s="4"/>
      <c r="H23" s="4"/>
      <c r="I23" s="4"/>
      <c r="J23" s="4"/>
      <c r="K23" s="4"/>
      <c r="L23" s="4"/>
      <c r="M23" s="4"/>
      <c r="N23" s="4"/>
      <c r="O23" s="4"/>
      <c r="P23" s="4"/>
      <c r="Q23" s="4"/>
      <c r="R23" s="4"/>
      <c r="S23" s="4"/>
      <c r="T23" s="4"/>
      <c r="U23" s="4"/>
      <c r="V23" s="4"/>
      <c r="W23" s="4"/>
    </row>
    <row r="24" spans="1:23">
      <c r="A24" s="4"/>
      <c r="B24" s="4"/>
      <c r="C24" s="4"/>
      <c r="D24" s="4"/>
      <c r="E24" s="4"/>
      <c r="F24" s="4"/>
      <c r="G24" s="4"/>
      <c r="H24" s="4"/>
      <c r="I24" s="4"/>
      <c r="J24" s="4"/>
      <c r="K24" s="4"/>
      <c r="L24" s="4"/>
      <c r="M24" s="4"/>
      <c r="N24" s="4"/>
      <c r="O24" s="4"/>
      <c r="P24" s="4"/>
      <c r="Q24" s="4"/>
      <c r="R24" s="4"/>
      <c r="S24" s="4"/>
      <c r="T24" s="4"/>
      <c r="U24" s="4"/>
      <c r="V24" s="4"/>
      <c r="W24" s="4"/>
    </row>
    <row r="25" spans="1:23" ht="15.75">
      <c r="A25" s="2" t="s">
        <v>1176</v>
      </c>
      <c r="B25" s="4"/>
      <c r="C25" s="4"/>
      <c r="D25" s="4"/>
      <c r="E25" s="4"/>
      <c r="F25" s="4"/>
      <c r="G25" s="4"/>
      <c r="H25" s="4"/>
      <c r="I25" s="4"/>
      <c r="J25" s="4"/>
      <c r="K25" s="4"/>
      <c r="L25" s="4"/>
      <c r="M25" s="4"/>
      <c r="N25" s="4"/>
      <c r="O25" s="4"/>
      <c r="P25" s="4"/>
      <c r="Q25" s="4"/>
      <c r="R25" s="4"/>
      <c r="S25" s="4"/>
      <c r="T25" s="4"/>
      <c r="U25" s="4"/>
      <c r="V25" s="4"/>
      <c r="W25" s="4"/>
    </row>
    <row r="26" spans="1:23" ht="15" customHeight="1">
      <c r="A26" s="46" t="s">
        <v>1163</v>
      </c>
      <c r="B26" s="1" t="s">
        <v>1177</v>
      </c>
      <c r="C26" s="1"/>
      <c r="D26" s="1"/>
      <c r="E26" s="1"/>
      <c r="F26" s="1"/>
      <c r="G26" s="1"/>
      <c r="H26" s="1"/>
      <c r="I26" s="1"/>
      <c r="J26" s="1"/>
      <c r="K26" s="1"/>
      <c r="L26" s="1"/>
      <c r="M26" s="1"/>
      <c r="N26" s="1"/>
      <c r="O26" s="1"/>
      <c r="P26" s="1"/>
      <c r="Q26" s="1"/>
      <c r="R26" s="1"/>
      <c r="S26" s="1"/>
      <c r="T26" s="1"/>
      <c r="U26" s="1"/>
      <c r="V26" s="1"/>
      <c r="W26" s="4"/>
    </row>
    <row r="27" spans="1:23" ht="15" customHeight="1">
      <c r="A27" s="47" t="s">
        <v>1165</v>
      </c>
      <c r="B27" s="1" t="s">
        <v>1178</v>
      </c>
      <c r="C27" s="1"/>
      <c r="D27" s="1"/>
      <c r="E27" s="1"/>
      <c r="F27" s="1"/>
      <c r="G27" s="1"/>
      <c r="H27" s="1"/>
      <c r="I27" s="1"/>
      <c r="J27" s="1"/>
      <c r="K27" s="1"/>
      <c r="L27" s="1"/>
      <c r="M27" s="1"/>
      <c r="N27" s="1"/>
      <c r="O27" s="1"/>
      <c r="P27" s="1"/>
      <c r="Q27" s="1"/>
      <c r="R27" s="1"/>
      <c r="S27" s="1"/>
      <c r="T27" s="1"/>
      <c r="U27" s="1"/>
      <c r="V27" s="1"/>
      <c r="W27" s="4"/>
    </row>
    <row r="28" spans="1:23" ht="15" customHeight="1">
      <c r="A28" s="48" t="s">
        <v>1166</v>
      </c>
      <c r="B28" s="1" t="s">
        <v>1179</v>
      </c>
      <c r="C28" s="1"/>
      <c r="D28" s="1"/>
      <c r="E28" s="1"/>
      <c r="F28" s="1"/>
      <c r="G28" s="1"/>
      <c r="H28" s="1"/>
      <c r="I28" s="1"/>
      <c r="J28" s="1"/>
      <c r="K28" s="1"/>
      <c r="L28" s="1"/>
      <c r="M28" s="1"/>
      <c r="N28" s="1"/>
      <c r="O28" s="1"/>
      <c r="P28" s="1"/>
      <c r="Q28" s="1"/>
      <c r="R28" s="1"/>
      <c r="S28" s="1"/>
      <c r="T28" s="1"/>
      <c r="U28" s="1"/>
      <c r="V28" s="1"/>
      <c r="W28" s="4"/>
    </row>
    <row r="29" spans="1:23">
      <c r="A29" s="4"/>
      <c r="B29" s="4"/>
      <c r="C29" s="4"/>
      <c r="D29" s="4"/>
      <c r="E29" s="4"/>
      <c r="F29" s="4"/>
      <c r="G29" s="4"/>
      <c r="H29" s="4"/>
      <c r="I29" s="4"/>
      <c r="J29" s="4"/>
      <c r="K29" s="4"/>
      <c r="L29" s="4"/>
      <c r="M29" s="4"/>
      <c r="N29" s="4"/>
      <c r="O29" s="4"/>
      <c r="P29" s="4"/>
      <c r="Q29" s="4"/>
      <c r="R29" s="4"/>
      <c r="S29" s="4"/>
      <c r="T29" s="4"/>
      <c r="U29" s="4"/>
      <c r="V29" s="4"/>
      <c r="W29" s="4"/>
    </row>
    <row r="30" spans="1:23">
      <c r="A30" s="4"/>
      <c r="B30" s="4"/>
      <c r="C30" s="4"/>
      <c r="D30" s="4"/>
      <c r="E30" s="4"/>
      <c r="F30" s="4"/>
      <c r="G30" s="4"/>
      <c r="H30" s="4"/>
      <c r="I30" s="4"/>
      <c r="J30" s="4"/>
      <c r="K30" s="4"/>
      <c r="L30" s="4"/>
      <c r="M30" s="4"/>
      <c r="N30" s="4"/>
      <c r="O30" s="4"/>
      <c r="P30" s="4"/>
      <c r="Q30" s="4"/>
      <c r="R30" s="4"/>
      <c r="S30" s="4"/>
      <c r="T30" s="4"/>
      <c r="U30" s="4"/>
      <c r="V30" s="4"/>
      <c r="W30" s="4"/>
    </row>
    <row r="31" spans="1:23" ht="15.75">
      <c r="A31" s="2" t="s">
        <v>1180</v>
      </c>
      <c r="B31" s="4"/>
      <c r="C31" s="4"/>
      <c r="D31" s="4"/>
      <c r="E31" s="4"/>
      <c r="F31" s="4"/>
      <c r="G31" s="4"/>
      <c r="H31" s="4"/>
      <c r="I31" s="4"/>
      <c r="J31" s="4"/>
      <c r="K31" s="4"/>
      <c r="L31" s="4"/>
      <c r="M31" s="4"/>
      <c r="N31" s="4"/>
      <c r="O31" s="4"/>
      <c r="P31" s="4"/>
      <c r="Q31" s="4"/>
      <c r="R31" s="4"/>
      <c r="S31" s="4"/>
      <c r="T31" s="4"/>
      <c r="U31" s="4"/>
      <c r="V31" s="4"/>
      <c r="W31" s="4"/>
    </row>
    <row r="32" spans="1:23">
      <c r="A32" s="5" t="s">
        <v>1163</v>
      </c>
      <c r="B32" s="5">
        <v>1</v>
      </c>
      <c r="C32" s="4" t="s">
        <v>759</v>
      </c>
      <c r="D32" s="4"/>
      <c r="E32" s="4"/>
      <c r="F32" s="4"/>
      <c r="G32" s="4"/>
      <c r="H32" s="4"/>
      <c r="I32" s="4"/>
      <c r="J32" s="4"/>
      <c r="K32" s="4"/>
      <c r="L32" s="4"/>
      <c r="M32" s="4"/>
      <c r="N32" s="4"/>
      <c r="O32" s="4"/>
      <c r="P32" s="4"/>
      <c r="Q32" s="4"/>
      <c r="R32" s="4"/>
      <c r="S32" s="4"/>
      <c r="T32" s="4"/>
      <c r="U32" s="4"/>
      <c r="V32" s="4"/>
      <c r="W32" s="4"/>
    </row>
    <row r="33" spans="1:23">
      <c r="A33" s="5" t="s">
        <v>1165</v>
      </c>
      <c r="B33" s="5">
        <v>1</v>
      </c>
      <c r="C33" s="4" t="s">
        <v>753</v>
      </c>
      <c r="D33" s="4"/>
      <c r="E33" s="4"/>
      <c r="F33" s="4"/>
      <c r="G33" s="4"/>
      <c r="H33" s="4"/>
      <c r="I33" s="4"/>
      <c r="J33" s="4"/>
      <c r="K33" s="4"/>
      <c r="L33" s="4"/>
      <c r="M33" s="4"/>
      <c r="N33" s="4"/>
      <c r="O33" s="4"/>
      <c r="P33" s="4"/>
      <c r="Q33" s="4"/>
      <c r="R33" s="4"/>
      <c r="S33" s="4"/>
      <c r="T33" s="4"/>
      <c r="U33" s="4"/>
      <c r="V33" s="4"/>
      <c r="W33" s="4"/>
    </row>
    <row r="34" spans="1:23">
      <c r="A34" s="5" t="s">
        <v>1166</v>
      </c>
      <c r="B34" s="5">
        <v>7</v>
      </c>
      <c r="C34" s="4" t="s">
        <v>1181</v>
      </c>
      <c r="D34" s="4"/>
      <c r="E34" s="4"/>
      <c r="F34" s="4"/>
      <c r="G34" s="4"/>
      <c r="H34" s="4"/>
      <c r="I34" s="4"/>
      <c r="J34" s="4"/>
      <c r="K34" s="4"/>
      <c r="L34" s="4"/>
      <c r="M34" s="4"/>
      <c r="N34" s="4"/>
      <c r="O34" s="4"/>
      <c r="P34" s="4"/>
      <c r="Q34" s="4"/>
      <c r="R34" s="4"/>
      <c r="S34" s="4"/>
      <c r="T34" s="4"/>
      <c r="U34" s="4"/>
      <c r="V34" s="4"/>
      <c r="W34" s="4"/>
    </row>
    <row r="35" spans="1:23">
      <c r="A35" s="4"/>
      <c r="B35" s="4"/>
      <c r="C35" s="4"/>
      <c r="D35" s="4"/>
      <c r="E35" s="4"/>
      <c r="F35" s="4"/>
      <c r="G35" s="4"/>
      <c r="H35" s="4"/>
      <c r="I35" s="4"/>
      <c r="J35" s="4"/>
      <c r="K35" s="4"/>
      <c r="L35" s="4"/>
      <c r="M35" s="4"/>
      <c r="N35" s="4"/>
      <c r="O35" s="4"/>
      <c r="P35" s="4"/>
      <c r="Q35" s="4"/>
      <c r="R35" s="4"/>
      <c r="S35" s="4"/>
      <c r="T35" s="4"/>
      <c r="U35" s="4"/>
      <c r="V35" s="4"/>
      <c r="W35" s="4"/>
    </row>
    <row r="36" spans="1:23" ht="15.75">
      <c r="A36" s="2" t="s">
        <v>1182</v>
      </c>
      <c r="B36" s="4"/>
      <c r="C36" s="4"/>
      <c r="D36" s="4"/>
      <c r="E36" s="4"/>
      <c r="F36" s="4"/>
      <c r="G36" s="4"/>
      <c r="H36" s="4"/>
      <c r="I36" s="4"/>
      <c r="J36" s="4"/>
      <c r="K36" s="4"/>
      <c r="L36" s="4"/>
      <c r="M36" s="4"/>
      <c r="N36" s="4"/>
      <c r="O36" s="4"/>
      <c r="P36" s="4"/>
      <c r="Q36" s="4"/>
      <c r="R36" s="4"/>
      <c r="S36" s="4"/>
      <c r="T36" s="4"/>
      <c r="U36" s="4"/>
      <c r="V36" s="4"/>
      <c r="W36" s="4"/>
    </row>
    <row r="37" spans="1:23" ht="15" customHeight="1">
      <c r="A37" s="1" t="s">
        <v>1183</v>
      </c>
      <c r="B37" s="1"/>
      <c r="C37" s="1"/>
      <c r="D37" s="1"/>
      <c r="E37" s="1"/>
      <c r="F37" s="1"/>
      <c r="G37" s="1"/>
      <c r="H37" s="1"/>
      <c r="I37" s="1"/>
      <c r="J37" s="1"/>
      <c r="K37" s="1"/>
      <c r="L37" s="1"/>
      <c r="M37" s="1"/>
      <c r="N37" s="1"/>
      <c r="O37" s="1"/>
      <c r="P37" s="1"/>
      <c r="Q37" s="1"/>
      <c r="R37" s="1"/>
      <c r="S37" s="1"/>
      <c r="T37" s="1"/>
      <c r="U37" s="1"/>
      <c r="V37" s="1"/>
      <c r="W37" s="4"/>
    </row>
    <row r="38" spans="1:23">
      <c r="A38" s="1"/>
      <c r="B38" s="1"/>
      <c r="C38" s="1"/>
      <c r="D38" s="1"/>
      <c r="E38" s="1"/>
      <c r="F38" s="1"/>
      <c r="G38" s="1"/>
      <c r="H38" s="1"/>
      <c r="I38" s="1"/>
      <c r="J38" s="1"/>
      <c r="K38" s="1"/>
      <c r="L38" s="1"/>
      <c r="M38" s="1"/>
      <c r="N38" s="1"/>
      <c r="O38" s="1"/>
      <c r="P38" s="1"/>
      <c r="Q38" s="1"/>
      <c r="R38" s="1"/>
      <c r="S38" s="1"/>
      <c r="T38" s="1"/>
      <c r="U38" s="1"/>
      <c r="V38" s="1"/>
      <c r="W38" s="4"/>
    </row>
    <row r="39" spans="1:23">
      <c r="A39" s="1"/>
      <c r="B39" s="1"/>
      <c r="C39" s="1"/>
      <c r="D39" s="1"/>
      <c r="E39" s="1"/>
      <c r="F39" s="1"/>
      <c r="G39" s="1"/>
      <c r="H39" s="1"/>
      <c r="I39" s="1"/>
      <c r="J39" s="1"/>
      <c r="K39" s="1"/>
      <c r="L39" s="1"/>
      <c r="M39" s="1"/>
      <c r="N39" s="1"/>
      <c r="O39" s="1"/>
      <c r="P39" s="1"/>
      <c r="Q39" s="1"/>
      <c r="R39" s="1"/>
      <c r="S39" s="1"/>
      <c r="T39" s="1"/>
      <c r="U39" s="1"/>
      <c r="V39" s="1"/>
      <c r="W39" s="4"/>
    </row>
    <row r="40" spans="1:23">
      <c r="A40" s="1"/>
      <c r="B40" s="1"/>
      <c r="C40" s="1"/>
      <c r="D40" s="1"/>
      <c r="E40" s="1"/>
      <c r="F40" s="1"/>
      <c r="G40" s="1"/>
      <c r="H40" s="1"/>
      <c r="I40" s="1"/>
      <c r="J40" s="1"/>
      <c r="K40" s="1"/>
      <c r="L40" s="1"/>
      <c r="M40" s="1"/>
      <c r="N40" s="1"/>
      <c r="O40" s="1"/>
      <c r="P40" s="1"/>
      <c r="Q40" s="1"/>
      <c r="R40" s="1"/>
      <c r="S40" s="1"/>
      <c r="T40" s="1"/>
      <c r="U40" s="1"/>
      <c r="V40" s="1"/>
      <c r="W40" s="4"/>
    </row>
  </sheetData>
  <mergeCells count="4">
    <mergeCell ref="B26:V26"/>
    <mergeCell ref="B27:V27"/>
    <mergeCell ref="B28:V28"/>
    <mergeCell ref="A37:V40"/>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dimension ref="A1:G16"/>
  <sheetViews>
    <sheetView workbookViewId="0"/>
  </sheetViews>
  <sheetFormatPr defaultColWidth="8.7109375" defaultRowHeight="15"/>
  <cols>
    <col min="1" max="1" width="26" customWidth="1"/>
    <col min="2" max="2" width="8" customWidth="1"/>
    <col min="3" max="3" width="22" customWidth="1"/>
    <col min="4" max="4" width="24" customWidth="1"/>
    <col min="5" max="5" width="22" customWidth="1"/>
    <col min="6" max="6" width="26" customWidth="1"/>
    <col min="7" max="7" width="74" customWidth="1"/>
  </cols>
  <sheetData>
    <row r="1" spans="1:7" ht="15.75">
      <c r="A1" s="2" t="s">
        <v>1184</v>
      </c>
      <c r="B1" s="4"/>
      <c r="C1" s="4"/>
      <c r="D1" s="4"/>
      <c r="E1" s="4"/>
      <c r="F1" s="4"/>
      <c r="G1" s="4"/>
    </row>
    <row r="2" spans="1:7">
      <c r="A2" s="4" t="s">
        <v>1185</v>
      </c>
      <c r="B2" s="4"/>
      <c r="C2" s="4"/>
      <c r="D2" s="4"/>
      <c r="E2" s="4"/>
      <c r="F2" s="4"/>
      <c r="G2" s="4"/>
    </row>
    <row r="3" spans="1:7">
      <c r="A3" s="4"/>
      <c r="B3" s="4"/>
      <c r="C3" s="4"/>
      <c r="D3" s="4"/>
      <c r="E3" s="4"/>
      <c r="F3" s="4"/>
      <c r="G3" s="4"/>
    </row>
    <row r="4" spans="1:7">
      <c r="A4" s="9" t="s">
        <v>1186</v>
      </c>
      <c r="B4" s="9" t="s">
        <v>809</v>
      </c>
      <c r="C4" s="9" t="s">
        <v>1187</v>
      </c>
      <c r="D4" s="9" t="s">
        <v>1188</v>
      </c>
      <c r="E4" s="9" t="s">
        <v>1189</v>
      </c>
      <c r="F4" s="9" t="s">
        <v>1190</v>
      </c>
      <c r="G4" s="9" t="s">
        <v>1191</v>
      </c>
    </row>
    <row r="5" spans="1:7" ht="25.5">
      <c r="A5" s="5" t="s">
        <v>978</v>
      </c>
      <c r="B5" s="4">
        <v>200</v>
      </c>
      <c r="C5" s="18">
        <v>0.91500000000000004</v>
      </c>
      <c r="D5" s="18">
        <v>0.47599999999999998</v>
      </c>
      <c r="E5" s="18">
        <v>0.63100000000000001</v>
      </c>
      <c r="F5" s="18">
        <v>0.39</v>
      </c>
      <c r="G5" s="3" t="s">
        <v>1192</v>
      </c>
    </row>
    <row r="6" spans="1:7" ht="25.5">
      <c r="A6" s="5" t="s">
        <v>980</v>
      </c>
      <c r="B6" s="4">
        <v>96</v>
      </c>
      <c r="C6" s="18">
        <v>0.93100000000000005</v>
      </c>
      <c r="D6" s="18">
        <v>5.8999999999999997E-2</v>
      </c>
      <c r="E6" s="18">
        <v>0.47299999999999998</v>
      </c>
      <c r="F6" s="18">
        <v>4.0000000000000001E-3</v>
      </c>
      <c r="G6" s="3" t="s">
        <v>1193</v>
      </c>
    </row>
    <row r="7" spans="1:7">
      <c r="A7" s="5" t="s">
        <v>1194</v>
      </c>
      <c r="B7" s="4">
        <v>62</v>
      </c>
      <c r="C7" s="18">
        <v>0.91</v>
      </c>
      <c r="D7" s="18">
        <v>0.371</v>
      </c>
      <c r="E7" s="18">
        <v>0.14699999999999999</v>
      </c>
      <c r="F7" s="18">
        <v>0.214</v>
      </c>
      <c r="G7" s="3" t="s">
        <v>1195</v>
      </c>
    </row>
    <row r="8" spans="1:7" ht="38.25">
      <c r="A8" s="5" t="s">
        <v>1196</v>
      </c>
      <c r="B8" s="4">
        <v>9</v>
      </c>
      <c r="C8" s="18">
        <v>0.93700000000000006</v>
      </c>
      <c r="D8" s="18">
        <v>-0.313</v>
      </c>
      <c r="E8" s="18">
        <v>0.878</v>
      </c>
      <c r="F8" s="18">
        <v>-0.23899999999999999</v>
      </c>
      <c r="G8" s="3" t="s">
        <v>1197</v>
      </c>
    </row>
    <row r="9" spans="1:7" ht="25.5">
      <c r="A9" s="5" t="s">
        <v>1198</v>
      </c>
      <c r="B9" s="4">
        <v>13</v>
      </c>
      <c r="C9" s="18">
        <v>0.68799999999999994</v>
      </c>
      <c r="D9" s="18">
        <v>2.7E-2</v>
      </c>
      <c r="E9" s="18">
        <v>0.39900000000000002</v>
      </c>
      <c r="F9" s="18">
        <v>0.3</v>
      </c>
      <c r="G9" s="3" t="s">
        <v>1199</v>
      </c>
    </row>
    <row r="10" spans="1:7" ht="38.25">
      <c r="A10" s="5" t="s">
        <v>1200</v>
      </c>
      <c r="B10" s="4">
        <v>960</v>
      </c>
      <c r="C10" s="18">
        <v>0.51300000000000001</v>
      </c>
      <c r="D10" s="18">
        <v>6.6000000000000003E-2</v>
      </c>
      <c r="E10" s="18">
        <v>0.58599999999999997</v>
      </c>
      <c r="F10" s="18">
        <v>8.5999999999999993E-2</v>
      </c>
      <c r="G10" s="3" t="s">
        <v>1201</v>
      </c>
    </row>
    <row r="11" spans="1:7">
      <c r="A11" s="4"/>
      <c r="B11" s="4"/>
      <c r="C11" s="4"/>
      <c r="D11" s="4"/>
      <c r="E11" s="4"/>
      <c r="F11" s="4"/>
      <c r="G11" s="4"/>
    </row>
    <row r="12" spans="1:7" ht="15.75">
      <c r="A12" s="2" t="s">
        <v>1202</v>
      </c>
      <c r="B12" s="4"/>
      <c r="C12" s="4"/>
      <c r="D12" s="4"/>
      <c r="E12" s="4"/>
      <c r="F12" s="4"/>
      <c r="G12" s="4"/>
    </row>
    <row r="13" spans="1:7">
      <c r="A13" s="9" t="s">
        <v>1203</v>
      </c>
      <c r="B13" s="9" t="s">
        <v>809</v>
      </c>
      <c r="C13" s="9" t="s">
        <v>1204</v>
      </c>
      <c r="D13" s="9" t="s">
        <v>1191</v>
      </c>
      <c r="E13" s="4"/>
      <c r="F13" s="4"/>
      <c r="G13" s="4"/>
    </row>
    <row r="14" spans="1:7" ht="38.25">
      <c r="A14" s="4" t="s">
        <v>1205</v>
      </c>
      <c r="B14" s="4">
        <v>9</v>
      </c>
      <c r="C14" s="18">
        <v>0.63400000000000001</v>
      </c>
      <c r="D14" s="3" t="s">
        <v>1206</v>
      </c>
      <c r="E14" s="4"/>
      <c r="F14" s="4"/>
      <c r="G14" s="4"/>
    </row>
    <row r="15" spans="1:7" ht="25.5">
      <c r="A15" s="4" t="s">
        <v>1207</v>
      </c>
      <c r="B15" s="4">
        <v>9</v>
      </c>
      <c r="C15" s="18">
        <v>-0.59299999999999997</v>
      </c>
      <c r="D15" s="3" t="s">
        <v>1208</v>
      </c>
      <c r="E15" s="4"/>
      <c r="F15" s="4"/>
      <c r="G15" s="4"/>
    </row>
    <row r="16" spans="1:7" ht="76.5">
      <c r="A16" s="4" t="s">
        <v>1209</v>
      </c>
      <c r="B16" s="4">
        <v>9</v>
      </c>
      <c r="C16" s="18">
        <v>-0.76500000000000001</v>
      </c>
      <c r="D16" s="3" t="s">
        <v>1210</v>
      </c>
      <c r="E16" s="4"/>
      <c r="F16" s="4"/>
      <c r="G16" s="4"/>
    </row>
  </sheetData>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dimension ref="A1:D46"/>
  <sheetViews>
    <sheetView workbookViewId="0"/>
  </sheetViews>
  <sheetFormatPr defaultColWidth="8.7109375" defaultRowHeight="15"/>
  <cols>
    <col min="1" max="1" width="52" customWidth="1"/>
    <col min="2" max="2" width="40" customWidth="1"/>
    <col min="3" max="3" width="16" customWidth="1"/>
    <col min="4" max="4" width="12" customWidth="1"/>
  </cols>
  <sheetData>
    <row r="1" spans="1:4" ht="15.75">
      <c r="A1" s="2" t="s">
        <v>1211</v>
      </c>
      <c r="B1" s="4"/>
      <c r="C1" s="4"/>
      <c r="D1" s="4"/>
    </row>
    <row r="2" spans="1:4">
      <c r="A2" s="4" t="s">
        <v>1212</v>
      </c>
      <c r="B2" s="4"/>
      <c r="C2" s="4"/>
      <c r="D2" s="4"/>
    </row>
    <row r="3" spans="1:4">
      <c r="A3" s="4"/>
      <c r="B3" s="4"/>
      <c r="C3" s="4"/>
      <c r="D3" s="4"/>
    </row>
    <row r="4" spans="1:4">
      <c r="A4" s="9" t="s">
        <v>1213</v>
      </c>
      <c r="B4" s="9" t="s">
        <v>1214</v>
      </c>
      <c r="C4" s="9" t="s">
        <v>1093</v>
      </c>
      <c r="D4" s="9" t="s">
        <v>1215</v>
      </c>
    </row>
    <row r="5" spans="1:4">
      <c r="A5" s="4" t="s">
        <v>1216</v>
      </c>
      <c r="B5" s="4">
        <f>COUNT('Reference 200 Scores'!$A$5:$A$204)</f>
        <v>200</v>
      </c>
      <c r="C5" s="4">
        <v>200</v>
      </c>
      <c r="D5" s="4" t="str">
        <f t="shared" ref="D5:D42" si="0">IF(ABS(IF(ISNUMBER(B5),B5,IF(B5=C5,1,0))-IF(ISNUMBER(C5),C5,1))&lt;0.0001,"PASS","FAIL")</f>
        <v>PASS</v>
      </c>
    </row>
    <row r="6" spans="1:4">
      <c r="A6" s="4" t="s">
        <v>1217</v>
      </c>
      <c r="B6" s="4">
        <f>COUNT('Frequency 1-72'!$A$2:$A$73)</f>
        <v>72</v>
      </c>
      <c r="C6" s="4">
        <v>72</v>
      </c>
      <c r="D6" s="4" t="str">
        <f t="shared" si="0"/>
        <v>PASS</v>
      </c>
    </row>
    <row r="7" spans="1:4">
      <c r="A7" s="4" t="s">
        <v>1218</v>
      </c>
      <c r="B7" s="4">
        <f>COUNTA('Transition Stepwise'!$B$2:$B$1137)/16</f>
        <v>71</v>
      </c>
      <c r="C7" s="4">
        <v>71</v>
      </c>
      <c r="D7" s="4" t="str">
        <f t="shared" si="0"/>
        <v>PASS</v>
      </c>
    </row>
    <row r="8" spans="1:4">
      <c r="A8" s="4" t="s">
        <v>1219</v>
      </c>
      <c r="B8" s="4">
        <f>COUNT('Emission Stepwise'!$H$2:$H$289)</f>
        <v>288</v>
      </c>
      <c r="C8" s="4">
        <v>288</v>
      </c>
      <c r="D8" s="4" t="str">
        <f t="shared" si="0"/>
        <v>PASS</v>
      </c>
    </row>
    <row r="9" spans="1:4">
      <c r="A9" s="4" t="s">
        <v>1220</v>
      </c>
      <c r="B9" s="4">
        <f>COUNT('Transition Stepwise'!$J$2:$J$1137)</f>
        <v>1136</v>
      </c>
      <c r="C9" s="4">
        <v>1136</v>
      </c>
      <c r="D9" s="4" t="str">
        <f t="shared" si="0"/>
        <v>PASS</v>
      </c>
    </row>
    <row r="10" spans="1:4">
      <c r="A10" s="4" t="s">
        <v>1221</v>
      </c>
      <c r="B10" s="4">
        <f>COUNTIF('Frequency 1-72'!$G$2:$G$73,0)</f>
        <v>0</v>
      </c>
      <c r="C10" s="4">
        <v>0</v>
      </c>
      <c r="D10" s="4" t="str">
        <f t="shared" si="0"/>
        <v>PASS</v>
      </c>
    </row>
    <row r="11" spans="1:4">
      <c r="A11" s="4" t="s">
        <v>1222</v>
      </c>
      <c r="B11" s="49" t="b">
        <f>IF(COUNTIF('Database + Frequency'!$E$214:$BX$214,200)=72,TRUE(),FALSE())</f>
        <v>1</v>
      </c>
      <c r="C11" s="49" t="b">
        <f>TRUE()</f>
        <v>1</v>
      </c>
      <c r="D11" s="4" t="str">
        <f t="shared" si="0"/>
        <v>PASS</v>
      </c>
    </row>
    <row r="12" spans="1:4">
      <c r="A12" s="4" t="s">
        <v>1223</v>
      </c>
      <c r="B12" s="49" t="b">
        <f>IF(COUNTIF('Frequency 1-72'!$H$2:$H$73,200)=72,TRUE(),FALSE())</f>
        <v>1</v>
      </c>
      <c r="C12" s="49" t="b">
        <f>TRUE()</f>
        <v>1</v>
      </c>
      <c r="D12" s="4" t="str">
        <f t="shared" si="0"/>
        <v>PASS</v>
      </c>
    </row>
    <row r="13" spans="1:4">
      <c r="A13" s="4" t="s">
        <v>1224</v>
      </c>
      <c r="B13" s="4">
        <f>MIN('Emission Matrix'!$B$7:$BU$7)</f>
        <v>1</v>
      </c>
      <c r="C13" s="4">
        <v>1</v>
      </c>
      <c r="D13" s="4" t="str">
        <f t="shared" si="0"/>
        <v>PASS</v>
      </c>
    </row>
    <row r="14" spans="1:4">
      <c r="A14" s="4" t="s">
        <v>1225</v>
      </c>
      <c r="B14" s="4">
        <f>MAX('Emission Matrix'!$B$7:$BU$7)</f>
        <v>1</v>
      </c>
      <c r="C14" s="4">
        <v>1</v>
      </c>
      <c r="D14" s="4" t="str">
        <f t="shared" si="0"/>
        <v>PASS</v>
      </c>
    </row>
    <row r="15" spans="1:4">
      <c r="A15" s="4" t="s">
        <v>1226</v>
      </c>
      <c r="B15" s="4">
        <f>MIN('Emission Matrix'!$B$15:$BU$15)</f>
        <v>1</v>
      </c>
      <c r="C15" s="4">
        <v>1</v>
      </c>
      <c r="D15" s="4" t="str">
        <f t="shared" si="0"/>
        <v>PASS</v>
      </c>
    </row>
    <row r="16" spans="1:4">
      <c r="A16" s="4" t="s">
        <v>1227</v>
      </c>
      <c r="B16" s="4">
        <f>MAX('Emission Matrix'!$B$15:$BU$15)</f>
        <v>1</v>
      </c>
      <c r="C16" s="4">
        <v>1</v>
      </c>
      <c r="D16" s="4" t="str">
        <f t="shared" si="0"/>
        <v>PASS</v>
      </c>
    </row>
    <row r="17" spans="1:4">
      <c r="A17" s="4" t="s">
        <v>1228</v>
      </c>
      <c r="B17" s="4">
        <f>MIN('Transition Stepwise'!$N$2:$N$1137)</f>
        <v>1</v>
      </c>
      <c r="C17" s="4">
        <v>1</v>
      </c>
      <c r="D17" s="4" t="str">
        <f t="shared" si="0"/>
        <v>PASS</v>
      </c>
    </row>
    <row r="18" spans="1:4">
      <c r="A18" s="4" t="s">
        <v>1229</v>
      </c>
      <c r="B18" s="4">
        <f>MAX('Transition Stepwise'!$N$2:$N$1137)</f>
        <v>1</v>
      </c>
      <c r="C18" s="4">
        <v>1</v>
      </c>
      <c r="D18" s="4" t="str">
        <f t="shared" si="0"/>
        <v>PASS</v>
      </c>
    </row>
    <row r="19" spans="1:4">
      <c r="A19" s="4" t="s">
        <v>1230</v>
      </c>
      <c r="B19" s="4">
        <f>ROUND(SUM(Background!$C$4:$C$7),9)</f>
        <v>1</v>
      </c>
      <c r="C19" s="4">
        <v>1</v>
      </c>
      <c r="D19" s="4" t="str">
        <f t="shared" si="0"/>
        <v>PASS</v>
      </c>
    </row>
    <row r="20" spans="1:4">
      <c r="A20" s="4" t="s">
        <v>1231</v>
      </c>
      <c r="B20" s="4">
        <f>ROUND(SUM(Background!$D$12:$D$27),9)</f>
        <v>4</v>
      </c>
      <c r="C20" s="4">
        <v>4</v>
      </c>
      <c r="D20" s="4" t="str">
        <f t="shared" si="0"/>
        <v>PASS</v>
      </c>
    </row>
    <row r="21" spans="1:4">
      <c r="A21" s="4" t="s">
        <v>1232</v>
      </c>
      <c r="B21" s="4">
        <f>SUM(Background!$C$12:$C$27)-SUM('Transition Stepwise'!$F$2:$F$1137)</f>
        <v>0</v>
      </c>
      <c r="C21" s="4">
        <v>0</v>
      </c>
      <c r="D21" s="4" t="str">
        <f t="shared" si="0"/>
        <v>PASS</v>
      </c>
    </row>
    <row r="22" spans="1:4">
      <c r="A22" s="4" t="s">
        <v>1233</v>
      </c>
      <c r="B22" s="4">
        <f>COUNTA('TPsiC OTHER 96 Scores'!$A$5:$A$100)</f>
        <v>96</v>
      </c>
      <c r="C22" s="4">
        <v>96</v>
      </c>
      <c r="D22" s="4" t="str">
        <f t="shared" si="0"/>
        <v>PASS</v>
      </c>
    </row>
    <row r="23" spans="1:4">
      <c r="A23" s="4" t="s">
        <v>1234</v>
      </c>
      <c r="B23" s="4">
        <f>COUNTA('MBSW 62 Scores'!$A$5:$A$66)</f>
        <v>62</v>
      </c>
      <c r="C23" s="4">
        <v>62</v>
      </c>
      <c r="D23" s="4" t="str">
        <f t="shared" si="0"/>
        <v>PASS</v>
      </c>
    </row>
    <row r="24" spans="1:4">
      <c r="A24" s="4" t="s">
        <v>1235</v>
      </c>
      <c r="B24" s="4">
        <f>COUNTA('Cand+Decoy Scores'!$A$5:$A$26)</f>
        <v>22</v>
      </c>
      <c r="C24" s="4">
        <v>22</v>
      </c>
      <c r="D24" s="4" t="str">
        <f t="shared" si="0"/>
        <v>PASS</v>
      </c>
    </row>
    <row r="25" spans="1:4">
      <c r="A25" s="4" t="s">
        <v>1236</v>
      </c>
      <c r="B25" s="4">
        <f>COUNTIF('Cand+Decoy Scores'!$B$5:$B$26,"PREDICTED")</f>
        <v>9</v>
      </c>
      <c r="C25" s="4">
        <v>9</v>
      </c>
      <c r="D25" s="4" t="str">
        <f t="shared" si="0"/>
        <v>PASS</v>
      </c>
    </row>
    <row r="26" spans="1:4">
      <c r="A26" s="4" t="s">
        <v>1237</v>
      </c>
      <c r="B26" s="4">
        <f>COUNTIF('Cand+Decoy Scores'!$B$5:$B$26,"DECOY")</f>
        <v>13</v>
      </c>
      <c r="C26" s="4">
        <v>13</v>
      </c>
      <c r="D26" s="4" t="str">
        <f t="shared" si="0"/>
        <v>PASS</v>
      </c>
    </row>
    <row r="27" spans="1:4">
      <c r="A27" s="4" t="s">
        <v>1238</v>
      </c>
      <c r="B27" s="4">
        <f>COUNT('Cand+Decoy Per-Position'!$H$2:$H$1585)</f>
        <v>1570</v>
      </c>
      <c r="C27" s="4">
        <v>1570</v>
      </c>
      <c r="D27" s="4" t="str">
        <f t="shared" si="0"/>
        <v>PASS</v>
      </c>
    </row>
    <row r="28" spans="1:4">
      <c r="A28" s="4" t="s">
        <v>1239</v>
      </c>
      <c r="B28" s="4">
        <f>COUNTIF('Cand+Decoy Per-Transition'!$E$2:$E$1563,"yes")</f>
        <v>1535</v>
      </c>
      <c r="C28" s="4">
        <v>1535</v>
      </c>
      <c r="D28" s="4" t="str">
        <f t="shared" si="0"/>
        <v>PASS</v>
      </c>
    </row>
    <row r="29" spans="1:4">
      <c r="A29" s="4" t="s">
        <v>1240</v>
      </c>
      <c r="B29" s="4">
        <f>COUNTIF('Cand+Decoy Per-Transition'!$E$2:$E$1563,"dropped (gap)")</f>
        <v>27</v>
      </c>
      <c r="C29" s="4">
        <v>27</v>
      </c>
      <c r="D29" s="4" t="str">
        <f t="shared" si="0"/>
        <v>PASS</v>
      </c>
    </row>
    <row r="30" spans="1:4">
      <c r="A30" s="4" t="s">
        <v>1241</v>
      </c>
      <c r="B30" s="4">
        <f>COUNT('Permutation Null'!$E$5:$E$964)</f>
        <v>960</v>
      </c>
      <c r="C30" s="4">
        <v>960</v>
      </c>
      <c r="D30" s="4" t="str">
        <f t="shared" si="0"/>
        <v>PASS</v>
      </c>
    </row>
    <row r="31" spans="1:4">
      <c r="A31" s="4" t="s">
        <v>1242</v>
      </c>
      <c r="B31" s="4">
        <f>COUNTA('TPsiC OTHER 96 Scores'!$A$5:$A$100)+COUNTA('MBSW 62 Scores'!$A$5:$A$66)</f>
        <v>158</v>
      </c>
      <c r="C31" s="4">
        <v>158</v>
      </c>
      <c r="D31" s="4" t="str">
        <f t="shared" si="0"/>
        <v>PASS</v>
      </c>
    </row>
    <row r="32" spans="1:4">
      <c r="A32" s="4" t="s">
        <v>1243</v>
      </c>
      <c r="B32" s="17">
        <f>'Cand+Decoy Scores'!$C$31</f>
        <v>-0.31209212976253969</v>
      </c>
      <c r="C32" s="4">
        <v>-0.31209999999999999</v>
      </c>
      <c r="D32" s="4" t="str">
        <f t="shared" si="0"/>
        <v>PASS</v>
      </c>
    </row>
    <row r="33" spans="1:4">
      <c r="A33" s="4" t="s">
        <v>1244</v>
      </c>
      <c r="B33" s="17" t="e">
        <f>'Cand+Decoy Scores'!$C$33</f>
        <v>#VALUE!</v>
      </c>
      <c r="C33" s="4">
        <v>-0.23169999999999999</v>
      </c>
      <c r="D33" s="4" t="e">
        <f t="shared" si="0"/>
        <v>#VALUE!</v>
      </c>
    </row>
    <row r="34" spans="1:4">
      <c r="A34" s="4" t="s">
        <v>1245</v>
      </c>
      <c r="B34" s="17" t="e">
        <f>'Cand+Decoy Scores'!$C$29</f>
        <v>#VALUE!</v>
      </c>
      <c r="C34" s="4">
        <v>-0.27189999999999998</v>
      </c>
      <c r="D34" s="4" t="e">
        <f t="shared" si="0"/>
        <v>#VALUE!</v>
      </c>
    </row>
    <row r="35" spans="1:4">
      <c r="A35" s="4" t="s">
        <v>1246</v>
      </c>
      <c r="B35" s="17">
        <f>'Cand+Decoy Scores'!$C$32</f>
        <v>-0.36574238735476461</v>
      </c>
      <c r="C35" s="4">
        <v>-0.36570000000000003</v>
      </c>
      <c r="D35" s="4" t="str">
        <f t="shared" si="0"/>
        <v>PASS</v>
      </c>
    </row>
    <row r="36" spans="1:4">
      <c r="A36" s="4" t="s">
        <v>1247</v>
      </c>
      <c r="B36" s="17" t="e">
        <f>'Cand+Decoy Scores'!$C$34</f>
        <v>#VALUE!</v>
      </c>
      <c r="C36" s="4">
        <v>-0.31380000000000002</v>
      </c>
      <c r="D36" s="4" t="e">
        <f t="shared" si="0"/>
        <v>#VALUE!</v>
      </c>
    </row>
    <row r="37" spans="1:4">
      <c r="A37" s="4" t="s">
        <v>1248</v>
      </c>
      <c r="B37" s="17" t="e">
        <f>'Cand+Decoy Scores'!$C$30</f>
        <v>#VALUE!</v>
      </c>
      <c r="C37" s="4">
        <v>-0.33979999999999999</v>
      </c>
      <c r="D37" s="4" t="e">
        <f t="shared" si="0"/>
        <v>#VALUE!</v>
      </c>
    </row>
    <row r="38" spans="1:4">
      <c r="A38" s="4" t="s">
        <v>1249</v>
      </c>
      <c r="B38" s="17">
        <f>'Cand+Decoy Scores'!$C$37</f>
        <v>0.44394444444444436</v>
      </c>
      <c r="C38" s="4">
        <v>0.44390000000000002</v>
      </c>
      <c r="D38" s="4" t="str">
        <f t="shared" si="0"/>
        <v>PASS</v>
      </c>
    </row>
    <row r="39" spans="1:4">
      <c r="A39" s="4" t="s">
        <v>1250</v>
      </c>
      <c r="B39" s="17">
        <f>'Cand+Decoy Scores'!$C$38</f>
        <v>0.31256923076923077</v>
      </c>
      <c r="C39" s="4">
        <v>0.31259999999999999</v>
      </c>
      <c r="D39" s="4" t="str">
        <f t="shared" si="0"/>
        <v>PASS</v>
      </c>
    </row>
    <row r="40" spans="1:4">
      <c r="A40" s="4" t="s">
        <v>1251</v>
      </c>
      <c r="B40" s="17" t="e">
        <f>'Cand+Decoy Scores'!$C$41</f>
        <v>#VALUE!</v>
      </c>
      <c r="C40" s="4">
        <v>0.46810000000000002</v>
      </c>
      <c r="D40" s="4" t="e">
        <f t="shared" si="0"/>
        <v>#VALUE!</v>
      </c>
    </row>
    <row r="41" spans="1:4">
      <c r="A41" s="4" t="s">
        <v>1252</v>
      </c>
      <c r="B41" s="49" t="b">
        <f>IF('Cand+Decoy Scores'!$C$35&lt;MIN('TPsiC OTHER 96 Scores'!$F$5:$F$100),TRUE(),FALSE())</f>
        <v>1</v>
      </c>
      <c r="C41" s="49" t="b">
        <f>TRUE()</f>
        <v>1</v>
      </c>
      <c r="D41" s="4" t="str">
        <f t="shared" si="0"/>
        <v>PASS</v>
      </c>
    </row>
    <row r="42" spans="1:4">
      <c r="A42" s="4" t="s">
        <v>1253</v>
      </c>
      <c r="B42" s="4">
        <f>COUNTA('Summary Table'!$A$5:$A$13)</f>
        <v>9</v>
      </c>
      <c r="C42" s="4">
        <v>9</v>
      </c>
      <c r="D42" s="4" t="str">
        <f t="shared" si="0"/>
        <v>PASS</v>
      </c>
    </row>
    <row r="43" spans="1:4">
      <c r="A43" s="4"/>
      <c r="B43" s="4"/>
      <c r="C43" s="4"/>
      <c r="D43" s="4"/>
    </row>
    <row r="44" spans="1:4">
      <c r="A44" s="5" t="s">
        <v>1254</v>
      </c>
      <c r="B44" s="5" t="str">
        <f>IF(COUNTIF(D5:D42,"PASS")=38,"PASS","CHECK")</f>
        <v>CHECK</v>
      </c>
      <c r="C44" s="4"/>
      <c r="D44" s="4"/>
    </row>
    <row r="45" spans="1:4">
      <c r="A45" s="4"/>
      <c r="B45" s="4"/>
      <c r="C45" s="4"/>
      <c r="D45" s="4"/>
    </row>
    <row r="46" spans="1:4" ht="76.5">
      <c r="A46" s="3" t="s">
        <v>1255</v>
      </c>
      <c r="B46" s="4"/>
      <c r="C46" s="4"/>
      <c r="D46" s="4"/>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27</vt:i4>
      </vt:variant>
    </vt:vector>
  </HeadingPairs>
  <TitlesOfParts>
    <vt:vector size="27" baseType="lpstr">
      <vt:lpstr>Read Me</vt:lpstr>
      <vt:lpstr>Database + Frequency</vt:lpstr>
      <vt:lpstr>Frequency 1-72</vt:lpstr>
      <vt:lpstr>Background</vt:lpstr>
      <vt:lpstr>Formulas</vt:lpstr>
      <vt:lpstr>Emission Stepwise</vt:lpstr>
      <vt:lpstr>Emission Matrix</vt:lpstr>
      <vt:lpstr>Transition Stepwise</vt:lpstr>
      <vt:lpstr>Transition Count Matrices</vt:lpstr>
      <vt:lpstr>Transition Prob Matrices</vt:lpstr>
      <vt:lpstr>Cand+Decoy Sequences</vt:lpstr>
      <vt:lpstr>Cand+Decoy Per-Position</vt:lpstr>
      <vt:lpstr>Cand+Decoy Per-Transition</vt:lpstr>
      <vt:lpstr>Cand+Decoy Scores</vt:lpstr>
      <vt:lpstr>TPsiC OTHER 96 Scores</vt:lpstr>
      <vt:lpstr>MBSW 62 Scores</vt:lpstr>
      <vt:lpstr>Reference 200 Scores</vt:lpstr>
      <vt:lpstr>Permutation Null</vt:lpstr>
      <vt:lpstr>Six-Set Comparison</vt:lpstr>
      <vt:lpstr>Decoy Discrimination</vt:lpstr>
      <vt:lpstr>Threshold Analysis</vt:lpstr>
      <vt:lpstr>Feature Discrimination</vt:lpstr>
      <vt:lpstr>Invariant Comparison</vt:lpstr>
      <vt:lpstr>Position Deficit</vt:lpstr>
      <vt:lpstr>Summary Table</vt:lpstr>
      <vt:lpstr>Correlations</vt:lpstr>
      <vt:lpstr>Verification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2026-10-12T20:06:34Z</dcterms:created>
  <dcterms:modified xsi:type="dcterms:W3CDTF">2026-10-30T15:20:12Z</dcterms:modified>
  <dc:language>en-US</dc:language>
</cp:coreProperties>
</file>