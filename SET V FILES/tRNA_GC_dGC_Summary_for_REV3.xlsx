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_tRNAs" sheetId="2" state="visible" r:id="rId4"/>
    <sheet name="Statistics" sheetId="3" state="visible" r:id="rId5"/>
    <sheet name="Notes" sheetId="4" state="visible" r:id="rId6"/>
  </sheets>
  <definedNames>
    <definedName function="false" hidden="true" localSheetId="1" name="_xlnm._FilterDatabase" vbProcedure="false">All_tRNAs!$A$1:$M$381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<sst xmlns="http://schemas.openxmlformats.org/spreadsheetml/2006/main" count="1271" uniqueCount="477">
  <si>
    <t xml:space="preserve">G+C distribution in tRNA stems vs non-stem regions - comparison of datasets</t>
  </si>
  <si>
    <t xml:space="preserve">Mean values per dataset (positions 1-72 only; 73 and CCA excluded). ΔGC = GC_stem − GC_nonstem, in percentage points.</t>
  </si>
  <si>
    <t xml:space="preserve">Dataset</t>
  </si>
  <si>
    <t xml:space="preserve">Group</t>
  </si>
  <si>
    <t xml:space="preserve">n (tRNAs)</t>
  </si>
  <si>
    <t xml:space="preserve">Mean Length (nt)</t>
  </si>
  <si>
    <t xml:space="preserve">Mean Overall G+C %</t>
  </si>
  <si>
    <t xml:space="preserve">Mean 4 stems G+C %</t>
  </si>
  <si>
    <t xml:space="preserve">Mean 3D BP G+C %</t>
  </si>
  <si>
    <t xml:space="preserve">Mean 4 stems + 3D G+C %</t>
  </si>
  <si>
    <t xml:space="preserve">Mean 4 loops G+C %</t>
  </si>
  <si>
    <t xml:space="preserve">Mean Pos 8, 9, 26 G+C %</t>
  </si>
  <si>
    <t xml:space="preserve">Mean GC_stem %</t>
  </si>
  <si>
    <t xml:space="preserve">Mean GC_nonstem %</t>
  </si>
  <si>
    <t xml:space="preserve">Mean ΔGC (stem − non-stem)</t>
  </si>
  <si>
    <t xml:space="preserve">SD of ΔGC</t>
  </si>
  <si>
    <t xml:space="preserve">Min ΔGC</t>
  </si>
  <si>
    <t xml:space="preserve">Max ΔGC</t>
  </si>
  <si>
    <t xml:space="preserve">tRNAs with ΔGC &gt; 0</t>
  </si>
  <si>
    <t xml:space="preserve">T-psi-C database set 1</t>
  </si>
  <si>
    <t xml:space="preserve">Natural</t>
  </si>
  <si>
    <t xml:space="preserve">T-psi-C database set 2</t>
  </si>
  <si>
    <t xml:space="preserve">MBSW genomic tRNAs</t>
  </si>
  <si>
    <t xml:space="preserve">Predicted tRNAs</t>
  </si>
  <si>
    <t xml:space="preserve">Predicted</t>
  </si>
  <si>
    <t xml:space="preserve">Random candidates</t>
  </si>
  <si>
    <t xml:space="preserve">Random</t>
  </si>
  <si>
    <t xml:space="preserve">All natural tRNAs (3 sets combined)</t>
  </si>
  <si>
    <t xml:space="preserve">Chart data (linked to table above)</t>
  </si>
  <si>
    <t xml:space="preserve">GC_stem %</t>
  </si>
  <si>
    <t xml:space="preserve">GC_nonstem %</t>
  </si>
  <si>
    <t xml:space="preserve">ΔGC</t>
  </si>
  <si>
    <t xml:space="preserve">T-psi-C set 1 (n=199)</t>
  </si>
  <si>
    <t xml:space="preserve">T-psi-C set 2 (n=96)</t>
  </si>
  <si>
    <t xml:space="preserve">MBSW genomic (n=63)</t>
  </si>
  <si>
    <t xml:space="preserve">Predicted (n=9)</t>
  </si>
  <si>
    <t xml:space="preserve">Random (n=13)</t>
  </si>
  <si>
    <t xml:space="preserve">Overall</t>
  </si>
  <si>
    <t xml:space="preserve">4 stems</t>
  </si>
  <si>
    <t xml:space="preserve">3D BP</t>
  </si>
  <si>
    <t xml:space="preserve">4 loops</t>
  </si>
  <si>
    <t xml:space="preserve">Pos 8, 9, 26</t>
  </si>
  <si>
    <t xml:space="preserve">tRNA</t>
  </si>
  <si>
    <t xml:space="preserve">Length (nt)</t>
  </si>
  <si>
    <t xml:space="preserve">Overall G+C %</t>
  </si>
  <si>
    <t xml:space="preserve">4 stems G+C %</t>
  </si>
  <si>
    <t xml:space="preserve">3D BP G+C %</t>
  </si>
  <si>
    <t xml:space="preserve">4 stems + 3D G+C %</t>
  </si>
  <si>
    <t xml:space="preserve">4 loops G+C %</t>
  </si>
  <si>
    <t xml:space="preserve">Pos 8, 9, 26 G+C %</t>
  </si>
  <si>
    <t xml:space="preserve">ΔGC (stem − non-stem)</t>
  </si>
  <si>
    <t xml:space="preserve">tdbR00000589 Arg-UCU</t>
  </si>
  <si>
    <t xml:space="preserve">tdbR00000588 Asp-GUC</t>
  </si>
  <si>
    <t xml:space="preserve">tdbR00000583 Cys-GCA</t>
  </si>
  <si>
    <t xml:space="preserve">tdbR00000581 Lys-CUU</t>
  </si>
  <si>
    <t xml:space="preserve">tdbR00000580 Lys-UUU</t>
  </si>
  <si>
    <t xml:space="preserve">tdbR00000586 Met-CAU</t>
  </si>
  <si>
    <t xml:space="preserve">tdbR00000587 Met-CAU</t>
  </si>
  <si>
    <t xml:space="preserve">tdbR00000579 Pro-CGG</t>
  </si>
  <si>
    <t xml:space="preserve">tdbR00000584 Pro-GGG</t>
  </si>
  <si>
    <t xml:space="preserve">tdbR00000585 Thr-CGU</t>
  </si>
  <si>
    <t xml:space="preserve">tdbR00000582 Tyr-GUA</t>
  </si>
  <si>
    <t xml:space="preserve">tdbR00000007 Ala-UGC</t>
  </si>
  <si>
    <t xml:space="preserve">tdbR00000354 Arg-ACG</t>
  </si>
  <si>
    <t xml:space="preserve">tdbR00000116 Gly-UCC</t>
  </si>
  <si>
    <t xml:space="preserve">tdbR00000156 Ile-CAU</t>
  </si>
  <si>
    <t xml:space="preserve">tdbR00000507 Ile-CAU</t>
  </si>
  <si>
    <t xml:space="preserve">tdbR00000219 Leu-CAG</t>
  </si>
  <si>
    <t xml:space="preserve">tdbR00000179 Lys-UUU</t>
  </si>
  <si>
    <t xml:space="preserve">tdbR00000274 Met-CAU</t>
  </si>
  <si>
    <t xml:space="preserve">tdbR00000065 Phe-GAA</t>
  </si>
  <si>
    <t xml:space="preserve">tdbR00000316 Pro-UGG</t>
  </si>
  <si>
    <t xml:space="preserve">tdbR00000387 Ser-UGA</t>
  </si>
  <si>
    <t xml:space="preserve">tdbR00000436 Thr-UGU</t>
  </si>
  <si>
    <t xml:space="preserve">tdbR00000483 Trp-CCA</t>
  </si>
  <si>
    <t xml:space="preserve">tdbR00000453 Val-UAC</t>
  </si>
  <si>
    <t xml:space="preserve">tdbR00000102 Phe-GAA</t>
  </si>
  <si>
    <t xml:space="preserve">tdbR00000376 Arg-UCU</t>
  </si>
  <si>
    <t xml:space="preserve">tdbR00000374 Arg-CCG</t>
  </si>
  <si>
    <t xml:space="preserve">tdbR00000375 Arg-CCU</t>
  </si>
  <si>
    <t xml:space="preserve">tdbR00000367 Arg-UCG</t>
  </si>
  <si>
    <t xml:space="preserve">tdbR00000342 Gln-CUG</t>
  </si>
  <si>
    <t xml:space="preserve">tdbR00000247 Leu-UAG</t>
  </si>
  <si>
    <t xml:space="preserve">tdbR00000266 Leu-AAG</t>
  </si>
  <si>
    <t xml:space="preserve">tdbR00000445 Thr-AGU</t>
  </si>
  <si>
    <t xml:space="preserve">tdbR00000497 Trp-CCA</t>
  </si>
  <si>
    <t xml:space="preserve">tdbR00000565 Tyr-GUA</t>
  </si>
  <si>
    <t xml:space="preserve">tdbR00000008 Ala-GGC</t>
  </si>
  <si>
    <t xml:space="preserve">tdbR00000359 Arg-CCG</t>
  </si>
  <si>
    <t xml:space="preserve">tdbR00000332 Gln-CUG</t>
  </si>
  <si>
    <t xml:space="preserve">tdbR00000117 Gly-CCC</t>
  </si>
  <si>
    <t xml:space="preserve">tdbR00000118 Gly-GCC</t>
  </si>
  <si>
    <t xml:space="preserve">tdbR00000159 Ile-GAU</t>
  </si>
  <si>
    <t xml:space="preserve">tdbR00000623 Pro-CGG</t>
  </si>
  <si>
    <t xml:space="preserve">tdbR00000390 Ser-CGA</t>
  </si>
  <si>
    <t xml:space="preserve">tdbR00000437 Thr-GGU</t>
  </si>
  <si>
    <t xml:space="preserve">tdbR00000438 Thr-GGU</t>
  </si>
  <si>
    <t xml:space="preserve">tdbR00000454 Val-GAC</t>
  </si>
  <si>
    <t xml:space="preserve">tdbR00000002 Ala-CGC</t>
  </si>
  <si>
    <t xml:space="preserve">tdbR00000003 Ala-GGC</t>
  </si>
  <si>
    <t xml:space="preserve">tdbR00000004 Ala-UGC</t>
  </si>
  <si>
    <t xml:space="preserve">tdbR00000349 Arg-CCG</t>
  </si>
  <si>
    <t xml:space="preserve">tdbR00000106 Gly-CCC</t>
  </si>
  <si>
    <t xml:space="preserve">tdbR00000151 Ile-GAU</t>
  </si>
  <si>
    <t xml:space="preserve">tdbR00000063 Phe-GAA</t>
  </si>
  <si>
    <t xml:space="preserve">tdbR00000313 Pro-UGG</t>
  </si>
  <si>
    <t xml:space="preserve">tdbR00000431 Thr-CGU</t>
  </si>
  <si>
    <t xml:space="preserve">tdbR00000432 Thr-GGU</t>
  </si>
  <si>
    <t xml:space="preserve">tdbR00000449 Val-CAC</t>
  </si>
  <si>
    <t xml:space="preserve">tdbR00000450 Val-GAC</t>
  </si>
  <si>
    <t xml:space="preserve">tdbR00000110 Gly-GCC</t>
  </si>
  <si>
    <t xml:space="preserve">tdbR00000005 Ala-UGC</t>
  </si>
  <si>
    <t xml:space="preserve">tdbR00000353 Arg-UCU</t>
  </si>
  <si>
    <t xml:space="preserve">tdbR00000024 Asp-GUC</t>
  </si>
  <si>
    <t xml:space="preserve">tdbR00000331 Gln-UUG</t>
  </si>
  <si>
    <t xml:space="preserve">tdbR00000044 Glu-UUC</t>
  </si>
  <si>
    <t xml:space="preserve">tdbR00000111 Gly-UCC</t>
  </si>
  <si>
    <t xml:space="preserve">tdbR00000139 His-GUG</t>
  </si>
  <si>
    <t xml:space="preserve">tdbR00000154 Ile-GAU</t>
  </si>
  <si>
    <t xml:space="preserve">tdbR00000153 Ile-CAU</t>
  </si>
  <si>
    <t xml:space="preserve">tdbR00000504 Ile-CAU</t>
  </si>
  <si>
    <t xml:space="preserve">tdbR00000217 Leu-UAA</t>
  </si>
  <si>
    <t xml:space="preserve">tdbR00000216 Leu-CAA</t>
  </si>
  <si>
    <t xml:space="preserve">tdbR00000218 Leu-UAG</t>
  </si>
  <si>
    <t xml:space="preserve">tdbR00000178 Lys-UUU</t>
  </si>
  <si>
    <t xml:space="preserve">tdbR00000177 Lys-CUU</t>
  </si>
  <si>
    <t xml:space="preserve">tdbR00000273 Met-CAU</t>
  </si>
  <si>
    <t xml:space="preserve">tdbR00000064 Phe-GAA</t>
  </si>
  <si>
    <t xml:space="preserve">tdbR00000314 Pro-UGG</t>
  </si>
  <si>
    <t xml:space="preserve">tdbR00000385 Ser-UGA</t>
  </si>
  <si>
    <t xml:space="preserve">tdbR00000433 Thr-AGU</t>
  </si>
  <si>
    <t xml:space="preserve">tdbR00000434 Thr-UGU</t>
  </si>
  <si>
    <t xml:space="preserve">tdbR00000480 Trp-UCA</t>
  </si>
  <si>
    <t xml:space="preserve">tdbR00000479 Trp-CCA</t>
  </si>
  <si>
    <t xml:space="preserve">tdbR00000451 Val-UAC</t>
  </si>
  <si>
    <t xml:space="preserve">tdbR00000006 Ala-UGC</t>
  </si>
  <si>
    <t xml:space="preserve">tdbR00000112 Gly-UCC</t>
  </si>
  <si>
    <t xml:space="preserve">tdbR00000155 Ile-GAU</t>
  </si>
  <si>
    <t xml:space="preserve">tdbR00000505 Ile-CAU</t>
  </si>
  <si>
    <t xml:space="preserve">tdbR00000315 Pro-UGG</t>
  </si>
  <si>
    <t xml:space="preserve">tdbR00000452 Val-UAC</t>
  </si>
  <si>
    <t xml:space="preserve">tdbR00000617 Gln-UUG</t>
  </si>
  <si>
    <t xml:space="preserve">tdbR00000613 Glu-CUC</t>
  </si>
  <si>
    <t xml:space="preserve">tdbR00000614 Ile-CAU</t>
  </si>
  <si>
    <t xml:space="preserve">tdbR00000616 Lys-CUU</t>
  </si>
  <si>
    <t xml:space="preserve">tdbR00000615 Trp-CCA</t>
  </si>
  <si>
    <t xml:space="preserve">tdbR00000624 Ala-UGC</t>
  </si>
  <si>
    <t xml:space="preserve">tdbR00000625 Ala-UGC</t>
  </si>
  <si>
    <t xml:space="preserve">tdbR00000643 Cys-GCA</t>
  </si>
  <si>
    <t xml:space="preserve">tdbR00000662 Asp-GUC</t>
  </si>
  <si>
    <t xml:space="preserve">tdbR00000666 Glu-UUC</t>
  </si>
  <si>
    <t xml:space="preserve">tdbR00000670 Phe-GAA</t>
  </si>
  <si>
    <t xml:space="preserve">tdbR00000685 His-GUG</t>
  </si>
  <si>
    <t xml:space="preserve">tdbR00000687 Ile-UAU</t>
  </si>
  <si>
    <t xml:space="preserve">tdbR00000690 Ile-AAU</t>
  </si>
  <si>
    <t xml:space="preserve">tdbR00000694 Lys-UUU</t>
  </si>
  <si>
    <t xml:space="preserve">tdbR00000705 Lys-CUU</t>
  </si>
  <si>
    <t xml:space="preserve">tdbR00000727 Asn-GUU</t>
  </si>
  <si>
    <t xml:space="preserve">tdbR00000785 Ser-ACU</t>
  </si>
  <si>
    <t xml:space="preserve">tdbR00000801 Thr-CGU</t>
  </si>
  <si>
    <t xml:space="preserve">tdbR00000868 Thr-AGU</t>
  </si>
  <si>
    <t xml:space="preserve">tdbR00000886 Ile-CAU</t>
  </si>
  <si>
    <t xml:space="preserve">tdbR00000923 Ala-GGC</t>
  </si>
  <si>
    <t xml:space="preserve">tdbR00000924 Ala-CGC</t>
  </si>
  <si>
    <t xml:space="preserve">tdbR00000925 Ala-UGC</t>
  </si>
  <si>
    <t xml:space="preserve">tdbR00000928 Arg-CCU</t>
  </si>
  <si>
    <t xml:space="preserve">tdbR00000929 Arg-UCU</t>
  </si>
  <si>
    <t xml:space="preserve">tdbR00000930 Asn-GUU</t>
  </si>
  <si>
    <t xml:space="preserve">tdbR00000931 Asn-GUU</t>
  </si>
  <si>
    <t xml:space="preserve">tdbR00000932 Cys-GCA</t>
  </si>
  <si>
    <t xml:space="preserve">tdbR00000933 Cys-GCA</t>
  </si>
  <si>
    <t xml:space="preserve">tdbR00000934 Cys-GCA</t>
  </si>
  <si>
    <t xml:space="preserve">tdbR00000935 Gln-CUG</t>
  </si>
  <si>
    <t xml:space="preserve">tdbR00000936 Gln-UUG</t>
  </si>
  <si>
    <t xml:space="preserve">tdbR00000938 Gly-GCC</t>
  </si>
  <si>
    <t xml:space="preserve">tdbR00000939 Gly-CCC</t>
  </si>
  <si>
    <t xml:space="preserve">tdbR00000940 Gly-UCC</t>
  </si>
  <si>
    <t xml:space="preserve">tdbR00000941 His-GUG</t>
  </si>
  <si>
    <t xml:space="preserve">tdbR00000946 Lys-CUU</t>
  </si>
  <si>
    <t xml:space="preserve">tdbR00000948 Met-CAU</t>
  </si>
  <si>
    <t xml:space="preserve">tdbR00000949 Met-CAU</t>
  </si>
  <si>
    <t xml:space="preserve">tdbR00000950 Met-CAU</t>
  </si>
  <si>
    <t xml:space="preserve">tdbR00000951 Phe-GAA</t>
  </si>
  <si>
    <t xml:space="preserve">tdbR00000953 Pro-GGG</t>
  </si>
  <si>
    <t xml:space="preserve">tdbR00000954 Pro-CGG</t>
  </si>
  <si>
    <t xml:space="preserve">tdbR00000955 Pro-UGG</t>
  </si>
  <si>
    <t xml:space="preserve">tdbR00000964 Ser-UGA</t>
  </si>
  <si>
    <t xml:space="preserve">tdbR00000966 Thr-GGU</t>
  </si>
  <si>
    <t xml:space="preserve">tdbR00000967 Thr-UGU</t>
  </si>
  <si>
    <t xml:space="preserve">tdbR00000968 Thr-CGU</t>
  </si>
  <si>
    <t xml:space="preserve">tdbR00000969 Trp-CCA</t>
  </si>
  <si>
    <t xml:space="preserve">tdbR00000970 Trp-CCA</t>
  </si>
  <si>
    <t xml:space="preserve">tdbR00000971 Trp-CCA</t>
  </si>
  <si>
    <t xml:space="preserve">tdbR00000972 Tyr-GUA</t>
  </si>
  <si>
    <t xml:space="preserve">tdbR00000974 Val-GAC</t>
  </si>
  <si>
    <t xml:space="preserve">tdbR00000975 Val-GAC</t>
  </si>
  <si>
    <t xml:space="preserve">tdbR00000976 Val-CAC</t>
  </si>
  <si>
    <t xml:space="preserve">tdbR00000977 Val-UAC</t>
  </si>
  <si>
    <t xml:space="preserve">tdbPDB000006 Ile-CAU</t>
  </si>
  <si>
    <t xml:space="preserve">tdbPDB000026 Tyr-GUA</t>
  </si>
  <si>
    <t xml:space="preserve">tdbPDB000031 Cys-GCA</t>
  </si>
  <si>
    <t xml:space="preserve">tdbPDB000033 Cys-GCA</t>
  </si>
  <si>
    <t xml:space="preserve">tdbPDB000045 Cys-CUA</t>
  </si>
  <si>
    <t xml:space="preserve">tdbPDB000046 Cys-UCA</t>
  </si>
  <si>
    <t xml:space="preserve">tdbR00000601 Pyr-CUA</t>
  </si>
  <si>
    <t xml:space="preserve">tdbR00001017 Thr-GGU</t>
  </si>
  <si>
    <t xml:space="preserve">tdbR00001022 Gly-GCC</t>
  </si>
  <si>
    <t xml:space="preserve">tdbR00001023 Ala-GGC</t>
  </si>
  <si>
    <t xml:space="preserve">tdbR00001024 Ala-UGC</t>
  </si>
  <si>
    <t xml:space="preserve">tdbR00001027 Arg-CCG</t>
  </si>
  <si>
    <t xml:space="preserve">tdbR00001030 Asn-GUU</t>
  </si>
  <si>
    <t xml:space="preserve">tdbR00001031 Asn-GUU</t>
  </si>
  <si>
    <t xml:space="preserve">tdbR00001032 Cys-GCA</t>
  </si>
  <si>
    <t xml:space="preserve">tdbR00001033 Cys-GCA</t>
  </si>
  <si>
    <t xml:space="preserve">tdbR00001036 Gly-UCC</t>
  </si>
  <si>
    <t xml:space="preserve">tdbR00001038 Ile-GAU</t>
  </si>
  <si>
    <t xml:space="preserve">tdbR00001045 Leu-GAG</t>
  </si>
  <si>
    <t xml:space="preserve">tdbR00001050 Met-CAU</t>
  </si>
  <si>
    <t xml:space="preserve">tdbR00001052 Phe-GAA</t>
  </si>
  <si>
    <t xml:space="preserve">tdbR00001053 Pro-GGG</t>
  </si>
  <si>
    <t xml:space="preserve">tdbR00001054 Pro-UGG</t>
  </si>
  <si>
    <t xml:space="preserve">tdbR00001058 Ser-UGA</t>
  </si>
  <si>
    <t xml:space="preserve">tdbR00001059 Thr-GGU</t>
  </si>
  <si>
    <t xml:space="preserve">tdbR00001060 Thr-UGU</t>
  </si>
  <si>
    <t xml:space="preserve">tdbR00001061 Thr-UGU</t>
  </si>
  <si>
    <t xml:space="preserve">tdbR00001062 Trp-CCA</t>
  </si>
  <si>
    <t xml:space="preserve">tdbR00001063 Val-GAC</t>
  </si>
  <si>
    <t xml:space="preserve">tdbR00001064 Val-GAC</t>
  </si>
  <si>
    <t xml:space="preserve">tdbR00001065 Val-UAC</t>
  </si>
  <si>
    <t xml:space="preserve">tdbR00000501 Ile-CAU</t>
  </si>
  <si>
    <t xml:space="preserve">tdbR00000018 Cys-GCA</t>
  </si>
  <si>
    <t xml:space="preserve">tdbR00001192 Trp-CCA</t>
  </si>
  <si>
    <t xml:space="preserve">tdbR00001095 Val-UAC</t>
  </si>
  <si>
    <t xml:space="preserve">tdbR00001096 Val-GAC</t>
  </si>
  <si>
    <t xml:space="preserve">tdbR00001162 Asn-GUU</t>
  </si>
  <si>
    <t xml:space="preserve">tdbR00001163 Arg-UCU</t>
  </si>
  <si>
    <t xml:space="preserve">tdbR00000035 Asp-GUC</t>
  </si>
  <si>
    <t xml:space="preserve">tdbR00001167 Glu-UUC</t>
  </si>
  <si>
    <t xml:space="preserve">tdbR00001170 His-GUG</t>
  </si>
  <si>
    <t xml:space="preserve">tdbR00001171 Ile-AAU</t>
  </si>
  <si>
    <t xml:space="preserve">tdbR00001172 Ile-UAU</t>
  </si>
  <si>
    <t xml:space="preserve">tdbR00001176 Lys-CUU</t>
  </si>
  <si>
    <t xml:space="preserve">tdbR00001178 Met-CAU</t>
  </si>
  <si>
    <t xml:space="preserve">tdbR00001179 Phe-GAA</t>
  </si>
  <si>
    <t xml:space="preserve">tdbR00001185 Thr-AGU</t>
  </si>
  <si>
    <t xml:space="preserve">tdbR00001187 Tyr-GUA</t>
  </si>
  <si>
    <t xml:space="preserve">tdbR00001188 Val-UAC</t>
  </si>
  <si>
    <t xml:space="preserve">tdbR00001189 Val-CAC</t>
  </si>
  <si>
    <t xml:space="preserve">tdbR00001190 Val-AAC</t>
  </si>
  <si>
    <t xml:space="preserve">tdbR00000502 Ile-CAU</t>
  </si>
  <si>
    <t xml:space="preserve">tdbR00000271 Met-CAU</t>
  </si>
  <si>
    <t xml:space="preserve">tdbR00000311 Pro-CGG</t>
  </si>
  <si>
    <t xml:space="preserve">tdbR00000500 Ile-CAU</t>
  </si>
  <si>
    <t xml:space="preserve">tdbR00000001 Ala-CGC</t>
  </si>
  <si>
    <t xml:space="preserve">tdbR00000499 Ile-CAU</t>
  </si>
  <si>
    <t xml:space="preserve">tdbR00000380 Ser-CGA</t>
  </si>
  <si>
    <t xml:space="preserve">tdbR00000430 Thr-GGU</t>
  </si>
  <si>
    <t xml:space="preserve">tdbR00000446 Val-CAC</t>
  </si>
  <si>
    <t xml:space="preserve">tdbR00000447 Val-CAC</t>
  </si>
  <si>
    <t xml:space="preserve">tdbR00000448 Val-GAC</t>
  </si>
  <si>
    <t xml:space="preserve">tdbR00000060 Glu-UUC</t>
  </si>
  <si>
    <t xml:space="preserve">tdbR00000147 His-GUG</t>
  </si>
  <si>
    <t xml:space="preserve">tdbR00000533 Ile-CAU</t>
  </si>
  <si>
    <t xml:space="preserve">tdbR00000202 Lys-UUU</t>
  </si>
  <si>
    <t xml:space="preserve">tdbR00000201 Lys-CUU</t>
  </si>
  <si>
    <t xml:space="preserve">tdbR00000095 Phe-GAA</t>
  </si>
  <si>
    <t xml:space="preserve">tdbR00000564 Tyr-GUA</t>
  </si>
  <si>
    <t xml:space="preserve">tdbR00000473 Val-CAC</t>
  </si>
  <si>
    <t xml:space="preserve">tdbR00000472 Val-AAC</t>
  </si>
  <si>
    <t xml:space="preserve">tdbR00000474 Val-UAC</t>
  </si>
  <si>
    <t xml:space="preserve">tdbR00000014 Ala-AGC</t>
  </si>
  <si>
    <t xml:space="preserve">tdbR00000015 Ala-AGC</t>
  </si>
  <si>
    <t xml:space="preserve">tdbR00000173 Ile-AAU</t>
  </si>
  <si>
    <t xml:space="preserve">tdbR00000093 Phe-GAA</t>
  </si>
  <si>
    <t xml:space="preserve">tdbR00000094 Phe-GAA</t>
  </si>
  <si>
    <t xml:space="preserve">tdbR00000576 Asp-GUC</t>
  </si>
  <si>
    <t xml:space="preserve">tdbR00000573 Gln-UUG</t>
  </si>
  <si>
    <t xml:space="preserve">tdbR00000578 Glu-UUC</t>
  </si>
  <si>
    <t xml:space="preserve">tdbR00000577 Glu-CUC</t>
  </si>
  <si>
    <t xml:space="preserve">tdbR00000572 Lys-UUU</t>
  </si>
  <si>
    <t xml:space="preserve">tdbR00000575 Thr-CGU</t>
  </si>
  <si>
    <t xml:space="preserve">tdbR00000574 Trp-CCA</t>
  </si>
  <si>
    <t xml:space="preserve">tdbR00000204 Lys-CUU</t>
  </si>
  <si>
    <t xml:space="preserve">tdbR00000203 Lys-UUU</t>
  </si>
  <si>
    <t xml:space="preserve">tdbR00000205 Lys-UUU</t>
  </si>
  <si>
    <t xml:space="preserve">tdbR00000206 Lys-UUU</t>
  </si>
  <si>
    <t xml:space="preserve">tdbR00000563 Tyr-GUA</t>
  </si>
  <si>
    <t xml:space="preserve">tdbR00000061 Glu-CUC</t>
  </si>
  <si>
    <t xml:space="preserve">tdbR00000174 Ile-AAU</t>
  </si>
  <si>
    <t xml:space="preserve">tdbR00000208 Lys-CUU</t>
  </si>
  <si>
    <t xml:space="preserve">tdbR00000100 Phe-GAA</t>
  </si>
  <si>
    <t xml:space="preserve">tdbR00000377 Arg-ACG</t>
  </si>
  <si>
    <t xml:space="preserve">tdbR00000378 Arg-ACG</t>
  </si>
  <si>
    <t xml:space="preserve">tdbR00000343 Gln-CUG</t>
  </si>
  <si>
    <t xml:space="preserve">tdbR00000344 Gln-JUG</t>
  </si>
  <si>
    <t xml:space="preserve">tdbR00000101 Phe-GAA</t>
  </si>
  <si>
    <t xml:space="preserve">tdbR00000537 Ile-CAU</t>
  </si>
  <si>
    <t xml:space="preserve">tdbR00000039 Asp-GUC</t>
  </si>
  <si>
    <t xml:space="preserve">tdbR00000532 Ile-CAU</t>
  </si>
  <si>
    <t xml:space="preserve">tdbR00000200 Lys-UUU</t>
  </si>
  <si>
    <t xml:space="preserve">tdbR00000198 Lys-CUU</t>
  </si>
  <si>
    <t xml:space="preserve">tdbR00000199 Lys-CUU</t>
  </si>
  <si>
    <t xml:space="preserve">tdbR00000287 Met-CAU</t>
  </si>
  <si>
    <t xml:space="preserve">tdbR00000092 Phe-GAA</t>
  </si>
  <si>
    <t xml:space="preserve">tdbR00000471 Val-AAC</t>
  </si>
  <si>
    <t xml:space="preserve">tdbR00000037 Asp-GUC</t>
  </si>
  <si>
    <t xml:space="preserve">tdbR00000469 Val-AAC</t>
  </si>
  <si>
    <t xml:space="preserve">tdbR00000038 Asp-GUC</t>
  </si>
  <si>
    <t xml:space="preserve">tdbR00000341 Gln-CUG</t>
  </si>
  <si>
    <t xml:space="preserve">tdbR00000059 Glu-UUC</t>
  </si>
  <si>
    <t xml:space="preserve">tdbR00000197 Lys-UUU</t>
  </si>
  <si>
    <t xml:space="preserve">tdbR00000195 Lys-CUU</t>
  </si>
  <si>
    <t xml:space="preserve">tdbR00000196 Lys-CUU</t>
  </si>
  <si>
    <t xml:space="preserve">tdbR00000462 Val-UAC</t>
  </si>
  <si>
    <t xml:space="preserve">tdbR00000120 Gly-CCC</t>
  </si>
  <si>
    <t xml:space="preserve">tdbR00000121 Gly-UCC</t>
  </si>
  <si>
    <t xml:space="preserve">tdbR00000141 His-GUG</t>
  </si>
  <si>
    <t xml:space="preserve">tdbR00000317 Pro-CGG</t>
  </si>
  <si>
    <t xml:space="preserve">tdbR00000318 Pro-GGG</t>
  </si>
  <si>
    <t xml:space="preserve">tdbR00000319 Pro-UGG</t>
  </si>
  <si>
    <t xml:space="preserve">tdbR00000337 Gln-CUA</t>
  </si>
  <si>
    <t xml:space="preserve">tdbR00000338 Gln-UUA</t>
  </si>
  <si>
    <t xml:space="preserve">tdbR00000339 Gln-UUG</t>
  </si>
  <si>
    <t xml:space="preserve">tdbR00000523 Ile-CAU</t>
  </si>
  <si>
    <t xml:space="preserve">tdbR00000503 Ile-CAU</t>
  </si>
  <si>
    <t xml:space="preserve">tdbR00000272 Met-CAU</t>
  </si>
  <si>
    <t xml:space="preserve">tdbR00000025 Asp-GUC</t>
  </si>
  <si>
    <t xml:space="preserve">tdbR00000157 Ile-GAU</t>
  </si>
  <si>
    <t xml:space="preserve">tdbR00000508 Ile-CAU</t>
  </si>
  <si>
    <t xml:space="preserve">tdbR00000509 Ile-CAU</t>
  </si>
  <si>
    <t xml:space="preserve">tdbR00000275 Met-CAU</t>
  </si>
  <si>
    <t xml:space="preserve">tdbR00000066 Phe-GAA</t>
  </si>
  <si>
    <t xml:space="preserve">tdbR00000016 Ala-AGC</t>
  </si>
  <si>
    <t xml:space="preserve">tdbR00000017 Ala-AGC</t>
  </si>
  <si>
    <t xml:space="preserve">tdbR00000345 Gln-NUG</t>
  </si>
  <si>
    <t xml:space="preserve">tdbR00000346 Gln-NUG</t>
  </si>
  <si>
    <t xml:space="preserve">tdbR00000062 Glu-CUC</t>
  </si>
  <si>
    <t xml:space="preserve">tdbR00000149 His-GUG</t>
  </si>
  <si>
    <t xml:space="preserve">tdbR00000289 Met-CAU</t>
  </si>
  <si>
    <t xml:space="preserve">tdbR00000540 Ile-CAU</t>
  </si>
  <si>
    <t xml:space="preserve">tdbR00000103 Phe-GAA</t>
  </si>
  <si>
    <t xml:space="preserve">tdbR00000566 Tyr-GUA</t>
  </si>
  <si>
    <t xml:space="preserve">tdbR00000567 Tyr-GUA</t>
  </si>
  <si>
    <t xml:space="preserve">tdbR00001067 Ala-UGC</t>
  </si>
  <si>
    <t xml:space="preserve">tdbR00001091 Met-CAU</t>
  </si>
  <si>
    <t xml:space="preserve">tdbR00001092 Met-CAU</t>
  </si>
  <si>
    <t xml:space="preserve">tRNA-Ala-CGC-1-1</t>
  </si>
  <si>
    <t xml:space="preserve">tRNA-Ala-GGC-1-1</t>
  </si>
  <si>
    <t xml:space="preserve">tRNA-Ala-TGC-1-1</t>
  </si>
  <si>
    <t xml:space="preserve">tRNA-Arg-CCG-1-1</t>
  </si>
  <si>
    <t xml:space="preserve">tRNA-Arg-CCT-1-1</t>
  </si>
  <si>
    <t xml:space="preserve">tRNA-Arg-GCG-1-1</t>
  </si>
  <si>
    <t xml:space="preserve">tRNA-Arg-TCG-1-1</t>
  </si>
  <si>
    <t xml:space="preserve">tRNA-Arg-TCT-1-1</t>
  </si>
  <si>
    <t xml:space="preserve">tRNA-Asn-GTT-1-1</t>
  </si>
  <si>
    <t xml:space="preserve">tRNA-Asn-GTT-1-2</t>
  </si>
  <si>
    <t xml:space="preserve">tRNA-Asp-GTC-1-1</t>
  </si>
  <si>
    <t xml:space="preserve">tRNA-Cys-GCA-1-1</t>
  </si>
  <si>
    <t xml:space="preserve">tRNA-Cys-GCA-1-2</t>
  </si>
  <si>
    <t xml:space="preserve">tRNA-Cys-GCA-2-1</t>
  </si>
  <si>
    <t xml:space="preserve">tRNA-Cys-GCA-3-1</t>
  </si>
  <si>
    <t xml:space="preserve">tRNA-Gln-CTG-1-1</t>
  </si>
  <si>
    <t xml:space="preserve">tRNA-Gln-TTG-1-1</t>
  </si>
  <si>
    <t xml:space="preserve">tRNA-Glu-CTC-1-1</t>
  </si>
  <si>
    <t xml:space="preserve">tRNA-Glu-TTC-1-1</t>
  </si>
  <si>
    <t xml:space="preserve">tRNA-Glu-TTC-1-2</t>
  </si>
  <si>
    <t xml:space="preserve">tRNA-Gly-CCC-1-1</t>
  </si>
  <si>
    <t xml:space="preserve">tRNA-Gly-GCC-1-1</t>
  </si>
  <si>
    <t xml:space="preserve">tRNA-Gly-GCC-2-1</t>
  </si>
  <si>
    <t xml:space="preserve">tRNA-Gly-GCC-2-2</t>
  </si>
  <si>
    <t xml:space="preserve">tRNA-Gly-TCC-1-1</t>
  </si>
  <si>
    <t xml:space="preserve">tRNA-His-GTG-1-1</t>
  </si>
  <si>
    <t xml:space="preserve">tRNA-Ile-GAT-1-1</t>
  </si>
  <si>
    <t xml:space="preserve">tRNA-Ile-GAT-1-2</t>
  </si>
  <si>
    <t xml:space="preserve">tRNA-Ile2-CAT-1-1</t>
  </si>
  <si>
    <t xml:space="preserve">tRNA-iMet-CAT-1-1</t>
  </si>
  <si>
    <t xml:space="preserve">tRNA-iMet-CAT-1-2</t>
  </si>
  <si>
    <t xml:space="preserve">tRNA-iMet-CAT-1-3</t>
  </si>
  <si>
    <t xml:space="preserve">tRNA-Leu-CAA-1-1</t>
  </si>
  <si>
    <t xml:space="preserve">tRNA-Leu-CAG-1-1</t>
  </si>
  <si>
    <t xml:space="preserve">tRNA-Leu-GAG-1-1</t>
  </si>
  <si>
    <t xml:space="preserve">tRNA-Leu-GAG-1-2</t>
  </si>
  <si>
    <t xml:space="preserve">tRNA-Leu-TAA-1-1</t>
  </si>
  <si>
    <t xml:space="preserve">tRNA-Leu-TAA-2-1</t>
  </si>
  <si>
    <t xml:space="preserve">tRNA-Leu-TAA-3-1</t>
  </si>
  <si>
    <t xml:space="preserve">tRNA-Leu-TAG-1-1</t>
  </si>
  <si>
    <t xml:space="preserve">tRNA-Lys-CTT-1-1</t>
  </si>
  <si>
    <t xml:space="preserve">tRNA-Lys-TTT-1-1</t>
  </si>
  <si>
    <t xml:space="preserve">tRNA-Met-CAT-1-1</t>
  </si>
  <si>
    <t xml:space="preserve">tRNA-Phe-GAA-1-1</t>
  </si>
  <si>
    <t xml:space="preserve">tRNA-Phe-GAA-1-2</t>
  </si>
  <si>
    <t xml:space="preserve">tRNA-Pro-CGG-1-1</t>
  </si>
  <si>
    <t xml:space="preserve">tRNA-Pro-GGG-1-1</t>
  </si>
  <si>
    <t xml:space="preserve">tRNA-Pro-TGG-1-1</t>
  </si>
  <si>
    <t xml:space="preserve">tRNA-Ser-CGA-1-1</t>
  </si>
  <si>
    <t xml:space="preserve">tRNA-Ser-GCT-1-1</t>
  </si>
  <si>
    <t xml:space="preserve">tRNA-Ser-GGA-1-1</t>
  </si>
  <si>
    <t xml:space="preserve">tRNA-Ser-TGA-1-1</t>
  </si>
  <si>
    <t xml:space="preserve">tRNA-Thr-CGT-1-1</t>
  </si>
  <si>
    <t xml:space="preserve">tRNA-Thr-GGT-1-1</t>
  </si>
  <si>
    <t xml:space="preserve">tRNA-Thr-TGT-1-1</t>
  </si>
  <si>
    <t xml:space="preserve">tRNA-Thr-TGT-2-1</t>
  </si>
  <si>
    <t xml:space="preserve">tRNA-Trp-CCA-1-1</t>
  </si>
  <si>
    <t xml:space="preserve">tRNA-Tyr-GTA-1-1</t>
  </si>
  <si>
    <t xml:space="preserve">tRNA-Und-NNN-1-1</t>
  </si>
  <si>
    <t xml:space="preserve">tRNA-Val-CAC-1-1</t>
  </si>
  <si>
    <t xml:space="preserve">tRNA-Val-GAC-1-1</t>
  </si>
  <si>
    <t xml:space="preserve">tRNA-Val-GAC-1-2</t>
  </si>
  <si>
    <t xml:space="preserve">tRNA-Val-TAC-1-1</t>
  </si>
  <si>
    <t xml:space="preserve">trna1</t>
  </si>
  <si>
    <t xml:space="preserve">trna9</t>
  </si>
  <si>
    <t xml:space="preserve">trna20</t>
  </si>
  <si>
    <t xml:space="preserve">trna64</t>
  </si>
  <si>
    <t xml:space="preserve">trna590</t>
  </si>
  <si>
    <t xml:space="preserve">trna958</t>
  </si>
  <si>
    <t xml:space="preserve">trna1091</t>
  </si>
  <si>
    <t xml:space="preserve">trna1395</t>
  </si>
  <si>
    <t xml:space="preserve">trna1470</t>
  </si>
  <si>
    <t xml:space="preserve">R_5_18</t>
  </si>
  <si>
    <t xml:space="preserve">R_5_71</t>
  </si>
  <si>
    <t xml:space="preserve">R_7_43</t>
  </si>
  <si>
    <t xml:space="preserve">R_10_33</t>
  </si>
  <si>
    <t xml:space="preserve">R_18_105</t>
  </si>
  <si>
    <t xml:space="preserve">R_20_255</t>
  </si>
  <si>
    <t xml:space="preserve">R_26_624</t>
  </si>
  <si>
    <t xml:space="preserve">R_27_667</t>
  </si>
  <si>
    <t xml:space="preserve">R_28_773</t>
  </si>
  <si>
    <t xml:space="preserve">R_43_1746</t>
  </si>
  <si>
    <t xml:space="preserve">R_43_1753</t>
  </si>
  <si>
    <t xml:space="preserve">R_44_1837</t>
  </si>
  <si>
    <t xml:space="preserve">R_49_2131</t>
  </si>
  <si>
    <t xml:space="preserve">Statistical tests on ΔGC (computed in Python, SciPy; values are fixed numbers, not formulas)</t>
  </si>
  <si>
    <t xml:space="preserve">Test 1: Is ΔGC different from 0 within each dataset? (Wilcoxon signed-rank, two-sided, GC_stem vs GC_nonstem paired)</t>
  </si>
  <si>
    <t xml:space="preserve">n</t>
  </si>
  <si>
    <t xml:space="preserve">Median ΔGC</t>
  </si>
  <si>
    <t xml:space="preserve">W statistic</t>
  </si>
  <si>
    <t xml:space="preserve">p-value</t>
  </si>
  <si>
    <t xml:space="preserve">Significant (p &lt; 0.05)</t>
  </si>
  <si>
    <t xml:space="preserve">Yes</t>
  </si>
  <si>
    <t xml:space="preserve">No</t>
  </si>
  <si>
    <t xml:space="preserve">Test 2: Do datasets differ in ΔGC? (Mann-Whitney U, two-sided)</t>
  </si>
  <si>
    <t xml:space="preserve">n (A / B)</t>
  </si>
  <si>
    <t xml:space="preserve">Median ΔGC A</t>
  </si>
  <si>
    <t xml:space="preserve">Median ΔGC B</t>
  </si>
  <si>
    <t xml:space="preserve">U statistic</t>
  </si>
  <si>
    <t xml:space="preserve">Predicted tRNAs  vs  Random candidates</t>
  </si>
  <si>
    <t xml:space="preserve">9 / 13</t>
  </si>
  <si>
    <t xml:space="preserve">Predicted tRNAs  vs  All natural tRNAs</t>
  </si>
  <si>
    <t xml:space="preserve">9 / 358</t>
  </si>
  <si>
    <t xml:space="preserve">Random candidates  vs  All natural tRNAs</t>
  </si>
  <si>
    <t xml:space="preserve">13 / 358</t>
  </si>
  <si>
    <t xml:space="preserve">Predicted tRNAs  vs  MBSW genomic tRNAs</t>
  </si>
  <si>
    <t xml:space="preserve">9 / 63</t>
  </si>
  <si>
    <t xml:space="preserve">Random candidates  vs  MBSW genomic tRNAs</t>
  </si>
  <si>
    <t xml:space="preserve">13 / 63</t>
  </si>
  <si>
    <t xml:space="preserve">T-psi-C database set 1  vs  T-psi-C database set 2</t>
  </si>
  <si>
    <t xml:space="preserve">199 / 96</t>
  </si>
  <si>
    <t xml:space="preserve">MBSW genomic tRNAs  vs  T-psi-C sets 1+2</t>
  </si>
  <si>
    <t xml:space="preserve">63 / 295</t>
  </si>
  <si>
    <t xml:space="preserve">Test 3: Kruskal-Wallis across all 5 datasets</t>
  </si>
  <si>
    <t xml:space="preserve">H statistic</t>
  </si>
  <si>
    <t xml:space="preserve">ΔGC ~ dataset</t>
  </si>
  <si>
    <t xml:space="preserve">Note: the predicted (n=9) and random (n=13) sets are small, so these tests have limited power; report medians and the per-tRNA values alongside p-values.</t>
  </si>
  <si>
    <t xml:space="preserve">Sources and definitions</t>
  </si>
  <si>
    <t xml:space="preserve">T-psi-C database set 1: T-psi-C database (trna_data_rev3_200_tpsic, 22 species) - from TpsiC_200_tRNA_GC_content_stems_3D_loops_dGC.xlsx</t>
  </si>
  <si>
    <t xml:space="preserve">T-psi-C database set 2: T-psi-C database (random_100_T_psi_c_trna, 16 species) - from TpsiC_tRNA_GC_content_stems_3D_loops_dGC.xlsx</t>
  </si>
  <si>
    <t xml:space="preserve">MBSW genomic tRNAs: M. barkeri str. Wiesmoor genome, tRNAscan-SE - from MBSW_tRNA_GC_content_stems_3D_loops_v2_dGC.xlsx</t>
  </si>
  <si>
    <t xml:space="preserve">Predicted tRNAs: Predicted split tRNAs (this study) - from tRNA_GC_content_stems_3D_loops_dGC.xlsx</t>
  </si>
  <si>
    <t xml:space="preserve">Random candidates: Random-sequence candidates - from Random_tRNA_GC_content_stems_3D_loops_dGC.xlsx</t>
  </si>
  <si>
    <t xml:space="preserve">Overlap: T-psi-C set 1 and set 2 share no tRNA IDs, so the combined natural group has no double counting.</t>
  </si>
  <si>
    <t xml:space="preserve">All values are for canonical positions 1-72 (Sprinzl numbering); the discriminator base 73 and the 3′ CCA (74-76) are excluded.</t>
  </si>
  <si>
    <t xml:space="preserve">GC_stem = G+C % of the 4 stems (acceptor 1-7/66-72, D 10-13/22-25, AC 27-31/39-43, T 49-53/61-65; 42 nt).</t>
  </si>
  <si>
    <t xml:space="preserve">GC_nonstem = G+C % of all other nucleotides in 1-72: D-loop, anticodon loop, variable loop, TΨC-loop and positions 8, 9, 26.</t>
  </si>
  <si>
    <t xml:space="preserve">ΔGC = GC_stem − GC_nonstem, in percentage points. A positive ΔGC means G+C is concentrated in the base-paired stems.</t>
  </si>
  <si>
    <t xml:space="preserve">3D BP = the 7 tertiary pairs 8-14, 15-48, 18-55, 19-56, 26-44, 32-38, 54-58 (14 nt); most of these nucleotides sit in loops, so 3D and loop values overlap.</t>
  </si>
  <si>
    <t xml:space="preserve">The Summary table is calculated with formulas from the All_tRNAs sheet; All_tRNAs holds the per-tRNA values copied from the five dataset workbooks. Statistics were computed in Python (SciPy) and are fixed values.</t>
  </si>
  <si>
    <t xml:space="preserve">Special cases in each dataset (e.g. tRNA-Pyl, mitochondrial-type tRNAs, initiator tRNAs, G-1 of tRNA-His) are described in the Notes sheet of the corresponding dataset workbook.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</si>
</sst>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"/>
    <numFmt numFmtId="167" formatCode="0.0%"/>
    <numFmt numFmtId="168" formatCode="0%"/>
    <numFmt numFmtId="169" formatCode="0.00E+00"/>
    <numFmt numFmtId="170" formatCode="0.000"/>
    <numFmt numFmtId="171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C6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GC_stem vs GC_nonstem and ΔGC by dataset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Summary!B14</c:f>
              <c:strCache>
                <c:ptCount val="1"/>
                <c:pt idx="0">
                  <c:v>GC_stem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Summary!$A$15:$A$19</c:f>
              <c:strCache>
                <c:ptCount val="5"/>
                <c:pt idx="0">
                  <c:v>T-psi-C set 1 (n=199)</c:v>
                </c:pt>
                <c:pt idx="1">
                  <c:v>T-psi-C set 2 (n=96)</c:v>
                </c:pt>
                <c:pt idx="2">
                  <c:v>MBSW genomic (n=63)</c:v>
                </c:pt>
                <c:pt idx="3">
                  <c:v>Predicted (n=9)</c:v>
                </c:pt>
                <c:pt idx="4">
                  <c:v>Random (n=13)</c:v>
                </c:pt>
              </c:strCache>
            </c:strRef>
          </c:cat>
          <c:val>
            <c:numRef>
              <c:f>Summary!$B$15:$B$19</c:f>
              <c:numCache>
                <c:formatCode>0.0%</c:formatCode>
                <c:ptCount val="5"/>
                <c:pt idx="0">
                  <c:v>0.730078966259871</c:v>
                </c:pt>
                <c:pt idx="1">
                  <c:v>0.710565476190476</c:v>
                </c:pt>
                <c:pt idx="2">
                  <c:v>0.743386243386243</c:v>
                </c:pt>
                <c:pt idx="3">
                  <c:v>0.476190476190476</c:v>
                </c:pt>
                <c:pt idx="4">
                  <c:v>0.304029304029304</c:v>
                </c:pt>
              </c:numCache>
            </c:numRef>
          </c:val>
        </c:ser>
        <c:ser>
          <c:idx val="1"/>
          <c:order val="1"/>
          <c:tx>
            <c:strRef>
              <c:f>Summary!C14</c:f>
              <c:strCache>
                <c:ptCount val="1"/>
                <c:pt idx="0">
                  <c:v>GC_nonstem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Summary!$A$15:$A$19</c:f>
              <c:strCache>
                <c:ptCount val="5"/>
                <c:pt idx="0">
                  <c:v>T-psi-C set 1 (n=199)</c:v>
                </c:pt>
                <c:pt idx="1">
                  <c:v>T-psi-C set 2 (n=96)</c:v>
                </c:pt>
                <c:pt idx="2">
                  <c:v>MBSW genomic (n=63)</c:v>
                </c:pt>
                <c:pt idx="3">
                  <c:v>Predicted (n=9)</c:v>
                </c:pt>
                <c:pt idx="4">
                  <c:v>Random (n=13)</c:v>
                </c:pt>
              </c:strCache>
            </c:strRef>
          </c:cat>
          <c:val>
            <c:numRef>
              <c:f>Summary!$C$15:$C$19</c:f>
              <c:numCache>
                <c:formatCode>0.0%</c:formatCode>
                <c:ptCount val="5"/>
                <c:pt idx="0">
                  <c:v>0.412367293542256</c:v>
                </c:pt>
                <c:pt idx="1">
                  <c:v>0.40601145783675</c:v>
                </c:pt>
                <c:pt idx="2">
                  <c:v>0.434923274650633</c:v>
                </c:pt>
                <c:pt idx="3">
                  <c:v>0.377840674371511</c:v>
                </c:pt>
                <c:pt idx="4">
                  <c:v>0.3044226171712</c:v>
                </c:pt>
              </c:numCache>
            </c:numRef>
          </c:val>
        </c:ser>
        <c:ser>
          <c:idx val="2"/>
          <c:order val="2"/>
          <c:tx>
            <c:strRef>
              <c:f>Summary!D14</c:f>
              <c:strCache>
                <c:ptCount val="1"/>
                <c:pt idx="0">
                  <c:v>ΔGC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Summary!$A$15:$A$19</c:f>
              <c:strCache>
                <c:ptCount val="5"/>
                <c:pt idx="0">
                  <c:v>T-psi-C set 1 (n=199)</c:v>
                </c:pt>
                <c:pt idx="1">
                  <c:v>T-psi-C set 2 (n=96)</c:v>
                </c:pt>
                <c:pt idx="2">
                  <c:v>MBSW genomic (n=63)</c:v>
                </c:pt>
                <c:pt idx="3">
                  <c:v>Predicted (n=9)</c:v>
                </c:pt>
                <c:pt idx="4">
                  <c:v>Random (n=13)</c:v>
                </c:pt>
              </c:strCache>
            </c:strRef>
          </c:cat>
          <c:val>
            <c:numRef>
              <c:f>Summary!$D$15:$D$19</c:f>
              <c:numCache>
                <c:formatCode>0.0%</c:formatCode>
                <c:ptCount val="5"/>
                <c:pt idx="0">
                  <c:v>0.317711672717615</c:v>
                </c:pt>
                <c:pt idx="1">
                  <c:v>0.304554018353727</c:v>
                </c:pt>
                <c:pt idx="2">
                  <c:v>0.30846296873561</c:v>
                </c:pt>
                <c:pt idx="3">
                  <c:v>0.0983498018189651</c:v>
                </c:pt>
                <c:pt idx="4">
                  <c:v>-0.000393313141895719</c:v>
                </c:pt>
              </c:numCache>
            </c:numRef>
          </c:val>
        </c:ser>
        <c:gapWidth val="150"/>
        <c:overlap val="0"/>
        <c:axId val="15823020"/>
        <c:axId val="18555795"/>
      </c:barChart>
      <c:catAx>
        <c:axId val="158230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55795"/>
        <c:crosses val="autoZero"/>
        <c:auto val="1"/>
        <c:lblAlgn val="ctr"/>
        <c:lblOffset val="100"/>
        <c:noMultiLvlLbl val="0"/>
      </c:catAx>
      <c:valAx>
        <c:axId val="1855579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G+C (%) / ΔGC (points)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23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G+C by structural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Summary!B21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Summary!$A$22:$A$26</c:f>
              <c:strCache>
                <c:ptCount val="5"/>
                <c:pt idx="0">
                  <c:v>T-psi-C set 1 (n=199)</c:v>
                </c:pt>
                <c:pt idx="1">
                  <c:v>T-psi-C set 2 (n=96)</c:v>
                </c:pt>
                <c:pt idx="2">
                  <c:v>MBSW genomic (n=63)</c:v>
                </c:pt>
                <c:pt idx="3">
                  <c:v>Predicted (n=9)</c:v>
                </c:pt>
                <c:pt idx="4">
                  <c:v>Random (n=13)</c:v>
                </c:pt>
              </c:strCache>
            </c:strRef>
          </c:cat>
          <c:val>
            <c:numRef>
              <c:f>Summary!$B$22:$B$26</c:f>
              <c:numCache>
                <c:formatCode>0.0%</c:formatCode>
                <c:ptCount val="5"/>
                <c:pt idx="0">
                  <c:v>0.595412021380944</c:v>
                </c:pt>
                <c:pt idx="1">
                  <c:v>0.5836705745988</c:v>
                </c:pt>
                <c:pt idx="2">
                  <c:v>0.608982748044986</c:v>
                </c:pt>
                <c:pt idx="3">
                  <c:v>0.431610691341607</c:v>
                </c:pt>
                <c:pt idx="4">
                  <c:v>0.304170547805978</c:v>
                </c:pt>
              </c:numCache>
            </c:numRef>
          </c:val>
        </c:ser>
        <c:ser>
          <c:idx val="1"/>
          <c:order val="1"/>
          <c:tx>
            <c:strRef>
              <c:f>Summary!C21</c:f>
              <c:strCache>
                <c:ptCount val="1"/>
                <c:pt idx="0">
                  <c:v>4 stems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Summary!$A$22:$A$26</c:f>
              <c:strCache>
                <c:ptCount val="5"/>
                <c:pt idx="0">
                  <c:v>T-psi-C set 1 (n=199)</c:v>
                </c:pt>
                <c:pt idx="1">
                  <c:v>T-psi-C set 2 (n=96)</c:v>
                </c:pt>
                <c:pt idx="2">
                  <c:v>MBSW genomic (n=63)</c:v>
                </c:pt>
                <c:pt idx="3">
                  <c:v>Predicted (n=9)</c:v>
                </c:pt>
                <c:pt idx="4">
                  <c:v>Random (n=13)</c:v>
                </c:pt>
              </c:strCache>
            </c:strRef>
          </c:cat>
          <c:val>
            <c:numRef>
              <c:f>Summary!$C$22:$C$26</c:f>
              <c:numCache>
                <c:formatCode>0.0%</c:formatCode>
                <c:ptCount val="5"/>
                <c:pt idx="0">
                  <c:v>0.730078966259871</c:v>
                </c:pt>
                <c:pt idx="1">
                  <c:v>0.710565476190476</c:v>
                </c:pt>
                <c:pt idx="2">
                  <c:v>0.743386243386243</c:v>
                </c:pt>
                <c:pt idx="3">
                  <c:v>0.476190476190476</c:v>
                </c:pt>
                <c:pt idx="4">
                  <c:v>0.304029304029304</c:v>
                </c:pt>
              </c:numCache>
            </c:numRef>
          </c:val>
        </c:ser>
        <c:ser>
          <c:idx val="2"/>
          <c:order val="2"/>
          <c:tx>
            <c:strRef>
              <c:f>Summary!D21</c:f>
              <c:strCache>
                <c:ptCount val="1"/>
                <c:pt idx="0">
                  <c:v>3D BP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Summary!$A$22:$A$26</c:f>
              <c:strCache>
                <c:ptCount val="5"/>
                <c:pt idx="0">
                  <c:v>T-psi-C set 1 (n=199)</c:v>
                </c:pt>
                <c:pt idx="1">
                  <c:v>T-psi-C set 2 (n=96)</c:v>
                </c:pt>
                <c:pt idx="2">
                  <c:v>MBSW genomic (n=63)</c:v>
                </c:pt>
                <c:pt idx="3">
                  <c:v>Predicted (n=9)</c:v>
                </c:pt>
                <c:pt idx="4">
                  <c:v>Random (n=13)</c:v>
                </c:pt>
              </c:strCache>
            </c:strRef>
          </c:cat>
          <c:val>
            <c:numRef>
              <c:f>Summary!$D$22:$D$26</c:f>
              <c:numCache>
                <c:formatCode>0.0%</c:formatCode>
                <c:ptCount val="5"/>
                <c:pt idx="0">
                  <c:v>0.455491744436468</c:v>
                </c:pt>
                <c:pt idx="1">
                  <c:v>0.46577380952381</c:v>
                </c:pt>
                <c:pt idx="2">
                  <c:v>0.482993197278912</c:v>
                </c:pt>
                <c:pt idx="3">
                  <c:v>0.420634920634921</c:v>
                </c:pt>
                <c:pt idx="4">
                  <c:v>0.39010989010989</c:v>
                </c:pt>
              </c:numCache>
            </c:numRef>
          </c:val>
        </c:ser>
        <c:ser>
          <c:idx val="3"/>
          <c:order val="3"/>
          <c:tx>
            <c:strRef>
              <c:f>Summary!E21</c:f>
              <c:strCache>
                <c:ptCount val="1"/>
                <c:pt idx="0">
                  <c:v>4 loops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Summary!$A$22:$A$26</c:f>
              <c:strCache>
                <c:ptCount val="5"/>
                <c:pt idx="0">
                  <c:v>T-psi-C set 1 (n=199)</c:v>
                </c:pt>
                <c:pt idx="1">
                  <c:v>T-psi-C set 2 (n=96)</c:v>
                </c:pt>
                <c:pt idx="2">
                  <c:v>MBSW genomic (n=63)</c:v>
                </c:pt>
                <c:pt idx="3">
                  <c:v>Predicted (n=9)</c:v>
                </c:pt>
                <c:pt idx="4">
                  <c:v>Random (n=13)</c:v>
                </c:pt>
              </c:strCache>
            </c:strRef>
          </c:cat>
          <c:val>
            <c:numRef>
              <c:f>Summary!$E$22:$E$26</c:f>
              <c:numCache>
                <c:formatCode>0.0%</c:formatCode>
                <c:ptCount val="5"/>
                <c:pt idx="0">
                  <c:v>0.425870124208827</c:v>
                </c:pt>
                <c:pt idx="1">
                  <c:v>0.416535512699306</c:v>
                </c:pt>
                <c:pt idx="2">
                  <c:v>0.442048709275685</c:v>
                </c:pt>
                <c:pt idx="3">
                  <c:v>0.388854473369957</c:v>
                </c:pt>
                <c:pt idx="4">
                  <c:v>0.31583763340596</c:v>
                </c:pt>
              </c:numCache>
            </c:numRef>
          </c:val>
        </c:ser>
        <c:ser>
          <c:idx val="4"/>
          <c:order val="4"/>
          <c:tx>
            <c:strRef>
              <c:f>Summary!F21</c:f>
              <c:strCache>
                <c:ptCount val="1"/>
                <c:pt idx="0">
                  <c:v>Pos 8, 9, 26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Summary!$A$22:$A$26</c:f>
              <c:strCache>
                <c:ptCount val="5"/>
                <c:pt idx="0">
                  <c:v>T-psi-C set 1 (n=199)</c:v>
                </c:pt>
                <c:pt idx="1">
                  <c:v>T-psi-C set 2 (n=96)</c:v>
                </c:pt>
                <c:pt idx="2">
                  <c:v>MBSW genomic (n=63)</c:v>
                </c:pt>
                <c:pt idx="3">
                  <c:v>Predicted (n=9)</c:v>
                </c:pt>
                <c:pt idx="4">
                  <c:v>Random (n=13)</c:v>
                </c:pt>
              </c:strCache>
            </c:strRef>
          </c:cat>
          <c:val>
            <c:numRef>
              <c:f>Summary!$F$22:$F$26</c:f>
              <c:numCache>
                <c:formatCode>0.0%</c:formatCode>
                <c:ptCount val="5"/>
                <c:pt idx="0">
                  <c:v>0.288107202680067</c:v>
                </c:pt>
                <c:pt idx="1">
                  <c:v>0.3125</c:v>
                </c:pt>
                <c:pt idx="2">
                  <c:v>0.365079365079365</c:v>
                </c:pt>
                <c:pt idx="3">
                  <c:v>0.222222222222222</c:v>
                </c:pt>
                <c:pt idx="4">
                  <c:v>0.179487179487179</c:v>
                </c:pt>
              </c:numCache>
            </c:numRef>
          </c:val>
        </c:ser>
        <c:gapWidth val="150"/>
        <c:overlap val="0"/>
        <c:axId val="38898775"/>
        <c:axId val="54141977"/>
      </c:barChart>
      <c:catAx>
        <c:axId val="38898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41977"/>
        <c:crosses val="autoZero"/>
        <c:auto val="1"/>
        <c:lblAlgn val="ctr"/>
        <c:lblOffset val="100"/>
        <c:noMultiLvlLbl val="0"/>
      </c:catAx>
      <c:valAx>
        <c:axId val="5414197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G+C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98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25200</xdr:rowOff>
    </xdr:from>
    <xdr:to>
      <xdr:col>13</xdr:col>
      <xdr:colOff>556560</xdr:colOff>
      <xdr:row>26</xdr:row>
      <xdr:rowOff>106560</xdr:rowOff>
    </xdr:to>
    <xdr:graphicFrame>
      <xdr:nvGraphicFramePr>
        <xdr:cNvPr id="0" name="Chart 1"/>
        <xdr:cNvGraphicFramePr/>
      </xdr:nvGraphicFramePr>
      <xdr:xfrm>
        <a:off x="5181120" y="2666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105480</xdr:rowOff>
    </xdr:from>
    <xdr:to>
      <xdr:col>13</xdr:col>
      <xdr:colOff>556560</xdr:colOff>
      <xdr:row>46</xdr:row>
      <xdr:rowOff>106560</xdr:rowOff>
    </xdr:to>
    <xdr:graphicFrame>
      <xdr:nvGraphicFramePr>
        <xdr:cNvPr id="1" name="Chart 2"/>
        <xdr:cNvGraphicFramePr/>
      </xdr:nvGraphicFramePr>
      <xdr:xfrm>
        <a:off x="5181120" y="6477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4" min="3" style="0" width="9"/>
    <col collapsed="false" customWidth="true" hidden="false" outlineLevel="0" max="13" min="5" style="0" width="10.51"/>
    <col collapsed="false" customWidth="true" hidden="false" outlineLevel="0" max="16" min="14" style="0" width="9"/>
    <col collapsed="false" customWidth="true" hidden="false" outlineLevel="0" max="17" min="17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4" t="s">
        <v>19</v>
      </c>
      <c r="B5" s="5" t="s">
        <v>20</v>
      </c>
      <c r="C5" s="6" t="n">
        <f aca="false">COUNTIF(All_tRNAs!$A$2:$A$381,A5)</f>
        <v>199</v>
      </c>
      <c r="D5" s="7" t="n">
        <f aca="false">AVERAGEIF(All_tRNAs!$A$2:$A$381,$A5,All_tRNAs!$D$2:$D$381)</f>
        <v>73.0150753768844</v>
      </c>
      <c r="E5" s="8" t="n">
        <f aca="false">AVERAGEIF(All_tRNAs!$A$2:$A$381,$A5,All_tRNAs!$E$2:$E$381)</f>
        <v>0.595412021380944</v>
      </c>
      <c r="F5" s="8" t="n">
        <f aca="false">AVERAGEIF(All_tRNAs!$A$2:$A$381,$A5,All_tRNAs!$F$2:$F$381)</f>
        <v>0.730078966259871</v>
      </c>
      <c r="G5" s="8" t="n">
        <f aca="false">AVERAGEIF(All_tRNAs!$A$2:$A$381,$A5,All_tRNAs!$G$2:$G$381)</f>
        <v>0.455491744436468</v>
      </c>
      <c r="H5" s="8" t="n">
        <f aca="false">AVERAGEIF(All_tRNAs!$A$2:$A$381,$A5,All_tRNAs!$H$2:$H$381)</f>
        <v>0.66143216080402</v>
      </c>
      <c r="I5" s="8" t="n">
        <f aca="false">AVERAGEIF(All_tRNAs!$A$2:$A$381,$A5,All_tRNAs!$I$2:$I$381)</f>
        <v>0.425870124208827</v>
      </c>
      <c r="J5" s="8" t="n">
        <f aca="false">AVERAGEIF(All_tRNAs!$A$2:$A$381,$A5,All_tRNAs!$J$2:$J$381)</f>
        <v>0.288107202680067</v>
      </c>
      <c r="K5" s="8" t="n">
        <f aca="false">AVERAGEIF(All_tRNAs!$A$2:$A$381,$A5,All_tRNAs!$K$2:$K$381)</f>
        <v>0.730078966259871</v>
      </c>
      <c r="L5" s="8" t="n">
        <f aca="false">AVERAGEIF(All_tRNAs!$A$2:$A$381,$A5,All_tRNAs!$L$2:$L$381)</f>
        <v>0.412367293542256</v>
      </c>
      <c r="M5" s="9" t="n">
        <f aca="false">AVERAGEIF(All_tRNAs!$A$2:$A$381,$A5,All_tRNAs!$M$2:$M$381)</f>
        <v>0.317711672717615</v>
      </c>
      <c r="N5" s="8" t="n">
        <f aca="false">SQRT(SUMPRODUCT((All_tRNAs!$A$2:$A$381=$A5)*(All_tRNAs!$M$2:$M$381-M5)^2)/(C5-1))</f>
        <v>0.1037560912236</v>
      </c>
      <c r="O5" s="8" t="n">
        <f aca="false">SUMPRODUCT(MIN(All_tRNAs!$M$2:$M$381+(All_tRNAs!$A$2:$A$381&lt;&gt;$A5)*10))</f>
        <v>0.0119047619047619</v>
      </c>
      <c r="P5" s="8" t="n">
        <f aca="false">SUMPRODUCT(MAX(All_tRNAs!$M$2:$M$381-(All_tRNAs!$A$2:$A$381&lt;&gt;$A5)*10))</f>
        <v>0.565284178187404</v>
      </c>
      <c r="Q5" s="10" t="str">
        <f aca="false">COUNTIFS(All_tRNAs!$A$2:$A$381,$A5,All_tRNAs!$M$2:$M$381,"&gt;0")&amp;" / "&amp;C5</f>
        <v>199 / 199</v>
      </c>
    </row>
    <row r="6" customFormat="false" ht="15" hidden="false" customHeight="false" outlineLevel="0" collapsed="false">
      <c r="A6" s="4" t="s">
        <v>21</v>
      </c>
      <c r="B6" s="5" t="s">
        <v>20</v>
      </c>
      <c r="C6" s="6" t="n">
        <f aca="false">COUNTIF(All_tRNAs!$A$2:$A$381,A6)</f>
        <v>96</v>
      </c>
      <c r="D6" s="7" t="n">
        <f aca="false">AVERAGEIF(All_tRNAs!$A$2:$A$381,$A6,All_tRNAs!$D$2:$D$381)</f>
        <v>71.9895833333333</v>
      </c>
      <c r="E6" s="8" t="n">
        <f aca="false">AVERAGEIF(All_tRNAs!$A$2:$A$381,$A6,All_tRNAs!$E$2:$E$381)</f>
        <v>0.5836705745988</v>
      </c>
      <c r="F6" s="8" t="n">
        <f aca="false">AVERAGEIF(All_tRNAs!$A$2:$A$381,$A6,All_tRNAs!$F$2:$F$381)</f>
        <v>0.710565476190476</v>
      </c>
      <c r="G6" s="8" t="n">
        <f aca="false">AVERAGEIF(All_tRNAs!$A$2:$A$381,$A6,All_tRNAs!$G$2:$G$381)</f>
        <v>0.46577380952381</v>
      </c>
      <c r="H6" s="8" t="n">
        <f aca="false">AVERAGEIF(All_tRNAs!$A$2:$A$381,$A6,All_tRNAs!$H$2:$H$381)</f>
        <v>0.64936755952381</v>
      </c>
      <c r="I6" s="8" t="n">
        <f aca="false">AVERAGEIF(All_tRNAs!$A$2:$A$381,$A6,All_tRNAs!$I$2:$I$381)</f>
        <v>0.416535512699306</v>
      </c>
      <c r="J6" s="8" t="n">
        <f aca="false">AVERAGEIF(All_tRNAs!$A$2:$A$381,$A6,All_tRNAs!$J$2:$J$381)</f>
        <v>0.3125</v>
      </c>
      <c r="K6" s="8" t="n">
        <f aca="false">AVERAGEIF(All_tRNAs!$A$2:$A$381,$A6,All_tRNAs!$K$2:$K$381)</f>
        <v>0.710565476190476</v>
      </c>
      <c r="L6" s="8" t="n">
        <f aca="false">AVERAGEIF(All_tRNAs!$A$2:$A$381,$A6,All_tRNAs!$L$2:$L$381)</f>
        <v>0.40601145783675</v>
      </c>
      <c r="M6" s="9" t="n">
        <f aca="false">AVERAGEIF(All_tRNAs!$A$2:$A$381,$A6,All_tRNAs!$M$2:$M$381)</f>
        <v>0.304554018353727</v>
      </c>
      <c r="N6" s="8" t="n">
        <f aca="false">SQRT(SUMPRODUCT((All_tRNAs!$A$2:$A$381=$A6)*(All_tRNAs!$M$2:$M$381-M6)^2)/(C6-1))</f>
        <v>0.093468548889711</v>
      </c>
      <c r="O6" s="8" t="n">
        <f aca="false">SUMPRODUCT(MIN(All_tRNAs!$M$2:$M$381+(All_tRNAs!$A$2:$A$381&lt;&gt;$A6)*10))</f>
        <v>0.128571428571429</v>
      </c>
      <c r="P6" s="8" t="n">
        <f aca="false">SUMPRODUCT(MAX(All_tRNAs!$M$2:$M$381-(All_tRNAs!$A$2:$A$381&lt;&gt;$A6)*10))</f>
        <v>0.547619047619048</v>
      </c>
      <c r="Q6" s="10" t="str">
        <f aca="false">COUNTIFS(All_tRNAs!$A$2:$A$381,$A6,All_tRNAs!$M$2:$M$381,"&gt;0")&amp;" / "&amp;C6</f>
        <v>96 / 96</v>
      </c>
    </row>
    <row r="7" customFormat="false" ht="15" hidden="false" customHeight="false" outlineLevel="0" collapsed="false">
      <c r="A7" s="4" t="s">
        <v>22</v>
      </c>
      <c r="B7" s="5" t="s">
        <v>20</v>
      </c>
      <c r="C7" s="6" t="n">
        <f aca="false">COUNTIF(All_tRNAs!$A$2:$A$381,A7)</f>
        <v>63</v>
      </c>
      <c r="D7" s="7" t="n">
        <f aca="false">AVERAGEIF(All_tRNAs!$A$2:$A$381,$A7,All_tRNAs!$D$2:$D$381)</f>
        <v>74.4920634920635</v>
      </c>
      <c r="E7" s="8" t="n">
        <f aca="false">AVERAGEIF(All_tRNAs!$A$2:$A$381,$A7,All_tRNAs!$E$2:$E$381)</f>
        <v>0.608982748044986</v>
      </c>
      <c r="F7" s="8" t="n">
        <f aca="false">AVERAGEIF(All_tRNAs!$A$2:$A$381,$A7,All_tRNAs!$F$2:$F$381)</f>
        <v>0.743386243386243</v>
      </c>
      <c r="G7" s="8" t="n">
        <f aca="false">AVERAGEIF(All_tRNAs!$A$2:$A$381,$A7,All_tRNAs!$G$2:$G$381)</f>
        <v>0.482993197278912</v>
      </c>
      <c r="H7" s="8" t="n">
        <f aca="false">AVERAGEIF(All_tRNAs!$A$2:$A$381,$A7,All_tRNAs!$H$2:$H$381)</f>
        <v>0.67828798185941</v>
      </c>
      <c r="I7" s="8" t="n">
        <f aca="false">AVERAGEIF(All_tRNAs!$A$2:$A$381,$A7,All_tRNAs!$I$2:$I$381)</f>
        <v>0.442048709275685</v>
      </c>
      <c r="J7" s="8" t="n">
        <f aca="false">AVERAGEIF(All_tRNAs!$A$2:$A$381,$A7,All_tRNAs!$J$2:$J$381)</f>
        <v>0.365079365079365</v>
      </c>
      <c r="K7" s="8" t="n">
        <f aca="false">AVERAGEIF(All_tRNAs!$A$2:$A$381,$A7,All_tRNAs!$K$2:$K$381)</f>
        <v>0.743386243386243</v>
      </c>
      <c r="L7" s="8" t="n">
        <f aca="false">AVERAGEIF(All_tRNAs!$A$2:$A$381,$A7,All_tRNAs!$L$2:$L$381)</f>
        <v>0.434923274650633</v>
      </c>
      <c r="M7" s="9" t="n">
        <f aca="false">AVERAGEIF(All_tRNAs!$A$2:$A$381,$A7,All_tRNAs!$M$2:$M$381)</f>
        <v>0.30846296873561</v>
      </c>
      <c r="N7" s="8" t="n">
        <f aca="false">SQRT(SUMPRODUCT((All_tRNAs!$A$2:$A$381=$A7)*(All_tRNAs!$M$2:$M$381-M7)^2)/(C7-1))</f>
        <v>0.0754428910853593</v>
      </c>
      <c r="O7" s="8" t="n">
        <f aca="false">SUMPRODUCT(MIN(All_tRNAs!$M$2:$M$381+(All_tRNAs!$A$2:$A$381&lt;&gt;$A7)*10))</f>
        <v>0.120535714285714</v>
      </c>
      <c r="P7" s="8" t="n">
        <f aca="false">SUMPRODUCT(MAX(All_tRNAs!$M$2:$M$381-(All_tRNAs!$A$2:$A$381&lt;&gt;$A7)*10))</f>
        <v>0.458333333333333</v>
      </c>
      <c r="Q7" s="10" t="str">
        <f aca="false">COUNTIFS(All_tRNAs!$A$2:$A$381,$A7,All_tRNAs!$M$2:$M$381,"&gt;0")&amp;" / "&amp;C7</f>
        <v>63 / 63</v>
      </c>
    </row>
    <row r="8" customFormat="false" ht="15" hidden="false" customHeight="false" outlineLevel="0" collapsed="false">
      <c r="A8" s="11" t="s">
        <v>23</v>
      </c>
      <c r="B8" s="12" t="s">
        <v>24</v>
      </c>
      <c r="C8" s="6" t="n">
        <f aca="false">COUNTIF(All_tRNAs!$A$2:$A$381,A8)</f>
        <v>9</v>
      </c>
      <c r="D8" s="7" t="n">
        <f aca="false">AVERAGEIF(All_tRNAs!$A$2:$A$381,$A8,All_tRNAs!$D$2:$D$381)</f>
        <v>80</v>
      </c>
      <c r="E8" s="8" t="n">
        <f aca="false">AVERAGEIF(All_tRNAs!$A$2:$A$381,$A8,All_tRNAs!$E$2:$E$381)</f>
        <v>0.431610691341607</v>
      </c>
      <c r="F8" s="8" t="n">
        <f aca="false">AVERAGEIF(All_tRNAs!$A$2:$A$381,$A8,All_tRNAs!$F$2:$F$381)</f>
        <v>0.476190476190476</v>
      </c>
      <c r="G8" s="8" t="n">
        <f aca="false">AVERAGEIF(All_tRNAs!$A$2:$A$381,$A8,All_tRNAs!$G$2:$G$381)</f>
        <v>0.420634920634921</v>
      </c>
      <c r="H8" s="8" t="n">
        <f aca="false">AVERAGEIF(All_tRNAs!$A$2:$A$381,$A8,All_tRNAs!$H$2:$H$381)</f>
        <v>0.462301587301587</v>
      </c>
      <c r="I8" s="8" t="n">
        <f aca="false">AVERAGEIF(All_tRNAs!$A$2:$A$381,$A8,All_tRNAs!$I$2:$I$381)</f>
        <v>0.388854473369957</v>
      </c>
      <c r="J8" s="8" t="n">
        <f aca="false">AVERAGEIF(All_tRNAs!$A$2:$A$381,$A8,All_tRNAs!$J$2:$J$381)</f>
        <v>0.222222222222222</v>
      </c>
      <c r="K8" s="8" t="n">
        <f aca="false">AVERAGEIF(All_tRNAs!$A$2:$A$381,$A8,All_tRNAs!$K$2:$K$381)</f>
        <v>0.476190476190476</v>
      </c>
      <c r="L8" s="8" t="n">
        <f aca="false">AVERAGEIF(All_tRNAs!$A$2:$A$381,$A8,All_tRNAs!$L$2:$L$381)</f>
        <v>0.377840674371511</v>
      </c>
      <c r="M8" s="9" t="n">
        <f aca="false">AVERAGEIF(All_tRNAs!$A$2:$A$381,$A8,All_tRNAs!$M$2:$M$381)</f>
        <v>0.0983498018189651</v>
      </c>
      <c r="N8" s="8" t="n">
        <f aca="false">SQRT(SUMPRODUCT((All_tRNAs!$A$2:$A$381=$A8)*(All_tRNAs!$M$2:$M$381-M8)^2)/(C8-1))</f>
        <v>0.129296231947654</v>
      </c>
      <c r="O8" s="8" t="n">
        <f aca="false">SUMPRODUCT(MIN(All_tRNAs!$M$2:$M$381+(All_tRNAs!$A$2:$A$381&lt;&gt;$A8)*10))</f>
        <v>-0.0420168067226891</v>
      </c>
      <c r="P8" s="8" t="n">
        <f aca="false">SUMPRODUCT(MAX(All_tRNAs!$M$2:$M$381-(All_tRNAs!$A$2:$A$381&lt;&gt;$A8)*10))</f>
        <v>0.395730706075534</v>
      </c>
      <c r="Q8" s="10" t="str">
        <f aca="false">COUNTIFS(All_tRNAs!$A$2:$A$381,$A8,All_tRNAs!$M$2:$M$381,"&gt;0")&amp;" / "&amp;C8</f>
        <v>7 / 9</v>
      </c>
    </row>
    <row r="9" customFormat="false" ht="15" hidden="false" customHeight="false" outlineLevel="0" collapsed="false">
      <c r="A9" s="13" t="s">
        <v>25</v>
      </c>
      <c r="B9" s="14" t="s">
        <v>26</v>
      </c>
      <c r="C9" s="6" t="n">
        <f aca="false">COUNTIF(All_tRNAs!$A$2:$A$381,A9)</f>
        <v>13</v>
      </c>
      <c r="D9" s="7" t="n">
        <f aca="false">AVERAGEIF(All_tRNAs!$A$2:$A$381,$A9,All_tRNAs!$D$2:$D$381)</f>
        <v>81.5384615384615</v>
      </c>
      <c r="E9" s="8" t="n">
        <f aca="false">AVERAGEIF(All_tRNAs!$A$2:$A$381,$A9,All_tRNAs!$E$2:$E$381)</f>
        <v>0.304170547805978</v>
      </c>
      <c r="F9" s="8" t="n">
        <f aca="false">AVERAGEIF(All_tRNAs!$A$2:$A$381,$A9,All_tRNAs!$F$2:$F$381)</f>
        <v>0.304029304029304</v>
      </c>
      <c r="G9" s="8" t="n">
        <f aca="false">AVERAGEIF(All_tRNAs!$A$2:$A$381,$A9,All_tRNAs!$G$2:$G$381)</f>
        <v>0.39010989010989</v>
      </c>
      <c r="H9" s="8" t="n">
        <f aca="false">AVERAGEIF(All_tRNAs!$A$2:$A$381,$A9,All_tRNAs!$H$2:$H$381)</f>
        <v>0.32554945054945</v>
      </c>
      <c r="I9" s="8" t="n">
        <f aca="false">AVERAGEIF(All_tRNAs!$A$2:$A$381,$A9,All_tRNAs!$I$2:$I$381)</f>
        <v>0.31583763340596</v>
      </c>
      <c r="J9" s="8" t="n">
        <f aca="false">AVERAGEIF(All_tRNAs!$A$2:$A$381,$A9,All_tRNAs!$J$2:$J$381)</f>
        <v>0.179487179487179</v>
      </c>
      <c r="K9" s="8" t="n">
        <f aca="false">AVERAGEIF(All_tRNAs!$A$2:$A$381,$A9,All_tRNAs!$K$2:$K$381)</f>
        <v>0.304029304029304</v>
      </c>
      <c r="L9" s="8" t="n">
        <f aca="false">AVERAGEIF(All_tRNAs!$A$2:$A$381,$A9,All_tRNAs!$L$2:$L$381)</f>
        <v>0.3044226171712</v>
      </c>
      <c r="M9" s="9" t="n">
        <f aca="false">AVERAGEIF(All_tRNAs!$A$2:$A$381,$A9,All_tRNAs!$M$2:$M$381)</f>
        <v>-0.000393313141895719</v>
      </c>
      <c r="N9" s="8" t="n">
        <f aca="false">SQRT(SUMPRODUCT((All_tRNAs!$A$2:$A$381=$A9)*(All_tRNAs!$M$2:$M$381-M9)^2)/(C9-1))</f>
        <v>0.0953391629022521</v>
      </c>
      <c r="O9" s="8" t="n">
        <f aca="false">SUMPRODUCT(MIN(All_tRNAs!$M$2:$M$381+(All_tRNAs!$A$2:$A$381&lt;&gt;$A9)*10))</f>
        <v>-0.178095238095238</v>
      </c>
      <c r="P9" s="8" t="n">
        <f aca="false">SUMPRODUCT(MAX(All_tRNAs!$M$2:$M$381-(All_tRNAs!$A$2:$A$381&lt;&gt;$A9)*10))</f>
        <v>0.147840531561462</v>
      </c>
      <c r="Q9" s="10" t="str">
        <f aca="false">COUNTIFS(All_tRNAs!$A$2:$A$381,$A9,All_tRNAs!$M$2:$M$381,"&gt;0")&amp;" / "&amp;C9</f>
        <v>7 / 13</v>
      </c>
    </row>
    <row r="10" customFormat="false" ht="26.85" hidden="false" customHeight="false" outlineLevel="0" collapsed="false">
      <c r="A10" s="15" t="s">
        <v>27</v>
      </c>
      <c r="B10" s="16" t="s">
        <v>20</v>
      </c>
      <c r="C10" s="17" t="n">
        <f aca="false">COUNTIF(All_tRNAs!$B$2:$B$381,B10)</f>
        <v>358</v>
      </c>
      <c r="D10" s="18" t="n">
        <f aca="false">AVERAGEIF(All_tRNAs!$B$2:$B$381,$B10,All_tRNAs!$D$2:$D$381)</f>
        <v>73</v>
      </c>
      <c r="E10" s="19" t="n">
        <f aca="false">AVERAGEIF(All_tRNAs!$B$2:$B$381,$B10,All_tRNAs!$E$2:$E$381)</f>
        <v>0.594651621628846</v>
      </c>
      <c r="F10" s="19" t="n">
        <f aca="false">AVERAGEIF(All_tRNAs!$B$2:$B$381,$B10,All_tRNAs!$F$2:$F$381)</f>
        <v>0.727188081936685</v>
      </c>
      <c r="G10" s="19" t="n">
        <f aca="false">AVERAGEIF(All_tRNAs!$B$2:$B$381,$B10,All_tRNAs!$G$2:$G$381)</f>
        <v>0.463088587390263</v>
      </c>
      <c r="H10" s="19" t="n">
        <f aca="false">AVERAGEIF(All_tRNAs!$B$2:$B$381,$B10,All_tRNAs!$H$2:$H$381)</f>
        <v>0.66116320830008</v>
      </c>
      <c r="I10" s="19" t="n">
        <f aca="false">AVERAGEIF(All_tRNAs!$B$2:$B$381,$B10,All_tRNAs!$I$2:$I$381)</f>
        <v>0.426214057600721</v>
      </c>
      <c r="J10" s="19" t="n">
        <f aca="false">AVERAGEIF(All_tRNAs!$B$2:$B$381,$B10,All_tRNAs!$J$2:$J$381)</f>
        <v>0.308193668528864</v>
      </c>
      <c r="K10" s="19" t="n">
        <f aca="false">AVERAGEIF(All_tRNAs!$B$2:$B$381,$B10,All_tRNAs!$K$2:$K$381)</f>
        <v>0.727188081936685</v>
      </c>
      <c r="L10" s="19" t="n">
        <f aca="false">AVERAGEIF(All_tRNAs!$B$2:$B$381,$B10,All_tRNAs!$L$2:$L$381)</f>
        <v>0.414632283995047</v>
      </c>
      <c r="M10" s="20" t="n">
        <f aca="false">AVERAGEIF(All_tRNAs!$B$2:$B$381,$B10,All_tRNAs!$M$2:$M$381)</f>
        <v>0.312555797941638</v>
      </c>
      <c r="N10" s="19" t="n">
        <f aca="false">SQRT(SUMPRODUCT((All_tRNAs!$B$2:$B$381=$B10)*(All_tRNAs!$M$2:$M$381-M10)^2)/(C10-1))</f>
        <v>0.0965346760279694</v>
      </c>
      <c r="O10" s="19" t="n">
        <f aca="false">SUMPRODUCT(MIN(All_tRNAs!$M$2:$M$381+(All_tRNAs!$B$2:$B$381&lt;&gt;$B10)*10))</f>
        <v>0.0119047619047619</v>
      </c>
      <c r="P10" s="19" t="n">
        <f aca="false">SUMPRODUCT(MAX(All_tRNAs!$M$2:$M$381-(All_tRNAs!$B$2:$B$381&lt;&gt;$B10)*10))</f>
        <v>0.565284178187404</v>
      </c>
      <c r="Q10" s="16" t="str">
        <f aca="false">COUNTIFS(All_tRNAs!$B$2:$B$381,$B10,All_tRNAs!$M$2:$M$381,"&gt;0")&amp;" / "&amp;C10</f>
        <v>358 / 358</v>
      </c>
    </row>
    <row r="13" customFormat="false" ht="15" hidden="false" customHeight="false" outlineLevel="0" collapsed="false">
      <c r="A13" s="21" t="s">
        <v>28</v>
      </c>
    </row>
    <row r="14" customFormat="false" ht="26.85" hidden="false" customHeight="false" outlineLevel="0" collapsed="false">
      <c r="A14" s="3" t="s">
        <v>2</v>
      </c>
      <c r="B14" s="3" t="s">
        <v>29</v>
      </c>
      <c r="C14" s="3" t="s">
        <v>30</v>
      </c>
      <c r="D14" s="3" t="s">
        <v>31</v>
      </c>
    </row>
    <row r="15" customFormat="false" ht="15" hidden="false" customHeight="false" outlineLevel="0" collapsed="false">
      <c r="A15" s="22" t="s">
        <v>32</v>
      </c>
      <c r="B15" s="8" t="n">
        <f aca="false">K5</f>
        <v>0.730078966259871</v>
      </c>
      <c r="C15" s="8" t="n">
        <f aca="false">L5</f>
        <v>0.412367293542256</v>
      </c>
      <c r="D15" s="8" t="n">
        <f aca="false">M5</f>
        <v>0.317711672717615</v>
      </c>
    </row>
    <row r="16" customFormat="false" ht="15" hidden="false" customHeight="false" outlineLevel="0" collapsed="false">
      <c r="A16" s="22" t="s">
        <v>33</v>
      </c>
      <c r="B16" s="8" t="n">
        <f aca="false">K6</f>
        <v>0.710565476190476</v>
      </c>
      <c r="C16" s="8" t="n">
        <f aca="false">L6</f>
        <v>0.40601145783675</v>
      </c>
      <c r="D16" s="8" t="n">
        <f aca="false">M6</f>
        <v>0.304554018353727</v>
      </c>
    </row>
    <row r="17" customFormat="false" ht="15" hidden="false" customHeight="false" outlineLevel="0" collapsed="false">
      <c r="A17" s="22" t="s">
        <v>34</v>
      </c>
      <c r="B17" s="8" t="n">
        <f aca="false">K7</f>
        <v>0.743386243386243</v>
      </c>
      <c r="C17" s="8" t="n">
        <f aca="false">L7</f>
        <v>0.434923274650633</v>
      </c>
      <c r="D17" s="8" t="n">
        <f aca="false">M7</f>
        <v>0.30846296873561</v>
      </c>
    </row>
    <row r="18" customFormat="false" ht="15" hidden="false" customHeight="false" outlineLevel="0" collapsed="false">
      <c r="A18" s="22" t="s">
        <v>35</v>
      </c>
      <c r="B18" s="8" t="n">
        <f aca="false">K8</f>
        <v>0.476190476190476</v>
      </c>
      <c r="C18" s="8" t="n">
        <f aca="false">L8</f>
        <v>0.377840674371511</v>
      </c>
      <c r="D18" s="8" t="n">
        <f aca="false">M8</f>
        <v>0.0983498018189651</v>
      </c>
    </row>
    <row r="19" customFormat="false" ht="15" hidden="false" customHeight="false" outlineLevel="0" collapsed="false">
      <c r="A19" s="22" t="s">
        <v>36</v>
      </c>
      <c r="B19" s="8" t="n">
        <f aca="false">K9</f>
        <v>0.304029304029304</v>
      </c>
      <c r="C19" s="8" t="n">
        <f aca="false">L9</f>
        <v>0.3044226171712</v>
      </c>
      <c r="D19" s="8" t="n">
        <f aca="false">M9</f>
        <v>-0.000393313141895719</v>
      </c>
    </row>
    <row r="21" customFormat="false" ht="26.85" hidden="false" customHeight="false" outlineLevel="0" collapsed="false">
      <c r="A21" s="3" t="s">
        <v>2</v>
      </c>
      <c r="B21" s="3" t="s">
        <v>37</v>
      </c>
      <c r="C21" s="3" t="s">
        <v>38</v>
      </c>
      <c r="D21" s="3" t="s">
        <v>39</v>
      </c>
      <c r="E21" s="3" t="s">
        <v>40</v>
      </c>
      <c r="F21" s="3" t="s">
        <v>41</v>
      </c>
    </row>
    <row r="22" customFormat="false" ht="15" hidden="false" customHeight="false" outlineLevel="0" collapsed="false">
      <c r="A22" s="22" t="s">
        <v>32</v>
      </c>
      <c r="B22" s="8" t="n">
        <f aca="false">E5</f>
        <v>0.595412021380944</v>
      </c>
      <c r="C22" s="8" t="n">
        <f aca="false">F5</f>
        <v>0.730078966259871</v>
      </c>
      <c r="D22" s="8" t="n">
        <f aca="false">G5</f>
        <v>0.455491744436468</v>
      </c>
      <c r="E22" s="8" t="n">
        <f aca="false">I5</f>
        <v>0.425870124208827</v>
      </c>
      <c r="F22" s="8" t="n">
        <f aca="false">J5</f>
        <v>0.288107202680067</v>
      </c>
    </row>
    <row r="23" customFormat="false" ht="15" hidden="false" customHeight="false" outlineLevel="0" collapsed="false">
      <c r="A23" s="22" t="s">
        <v>33</v>
      </c>
      <c r="B23" s="8" t="n">
        <f aca="false">E6</f>
        <v>0.5836705745988</v>
      </c>
      <c r="C23" s="8" t="n">
        <f aca="false">F6</f>
        <v>0.710565476190476</v>
      </c>
      <c r="D23" s="8" t="n">
        <f aca="false">G6</f>
        <v>0.46577380952381</v>
      </c>
      <c r="E23" s="8" t="n">
        <f aca="false">I6</f>
        <v>0.416535512699306</v>
      </c>
      <c r="F23" s="8" t="n">
        <f aca="false">J6</f>
        <v>0.3125</v>
      </c>
    </row>
    <row r="24" customFormat="false" ht="15" hidden="false" customHeight="false" outlineLevel="0" collapsed="false">
      <c r="A24" s="22" t="s">
        <v>34</v>
      </c>
      <c r="B24" s="8" t="n">
        <f aca="false">E7</f>
        <v>0.608982748044986</v>
      </c>
      <c r="C24" s="8" t="n">
        <f aca="false">F7</f>
        <v>0.743386243386243</v>
      </c>
      <c r="D24" s="8" t="n">
        <f aca="false">G7</f>
        <v>0.482993197278912</v>
      </c>
      <c r="E24" s="8" t="n">
        <f aca="false">I7</f>
        <v>0.442048709275685</v>
      </c>
      <c r="F24" s="8" t="n">
        <f aca="false">J7</f>
        <v>0.365079365079365</v>
      </c>
    </row>
    <row r="25" customFormat="false" ht="15" hidden="false" customHeight="false" outlineLevel="0" collapsed="false">
      <c r="A25" s="22" t="s">
        <v>35</v>
      </c>
      <c r="B25" s="8" t="n">
        <f aca="false">E8</f>
        <v>0.431610691341607</v>
      </c>
      <c r="C25" s="8" t="n">
        <f aca="false">F8</f>
        <v>0.476190476190476</v>
      </c>
      <c r="D25" s="8" t="n">
        <f aca="false">G8</f>
        <v>0.420634920634921</v>
      </c>
      <c r="E25" s="8" t="n">
        <f aca="false">I8</f>
        <v>0.388854473369957</v>
      </c>
      <c r="F25" s="8" t="n">
        <f aca="false">J8</f>
        <v>0.222222222222222</v>
      </c>
    </row>
    <row r="26" customFormat="false" ht="15" hidden="false" customHeight="false" outlineLevel="0" collapsed="false">
      <c r="A26" s="22" t="s">
        <v>36</v>
      </c>
      <c r="B26" s="8" t="n">
        <f aca="false">E9</f>
        <v>0.304170547805978</v>
      </c>
      <c r="C26" s="8" t="n">
        <f aca="false">F9</f>
        <v>0.304029304029304</v>
      </c>
      <c r="D26" s="8" t="n">
        <f aca="false">G9</f>
        <v>0.39010989010989</v>
      </c>
      <c r="E26" s="8" t="n">
        <f aca="false">I9</f>
        <v>0.31583763340596</v>
      </c>
      <c r="F26" s="8" t="n">
        <f aca="false">J9</f>
        <v>0.179487179487179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13" min="5" style="0" width="11"/>
  </cols>
  <sheetData>
    <row r="1" customFormat="false" ht="31.5" hidden="false" customHeight="true" outlineLevel="0" collapsed="false">
      <c r="A1" s="3" t="s">
        <v>2</v>
      </c>
      <c r="B1" s="3" t="s">
        <v>3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29</v>
      </c>
      <c r="L1" s="3" t="s">
        <v>30</v>
      </c>
      <c r="M1" s="3" t="s">
        <v>50</v>
      </c>
    </row>
    <row r="2" customFormat="false" ht="15" hidden="false" customHeight="false" outlineLevel="0" collapsed="false">
      <c r="A2" s="22" t="s">
        <v>19</v>
      </c>
      <c r="B2" s="10" t="s">
        <v>20</v>
      </c>
      <c r="C2" s="22" t="s">
        <v>51</v>
      </c>
      <c r="D2" s="6" t="n">
        <v>74</v>
      </c>
      <c r="E2" s="8" t="n">
        <v>0.716216216216216</v>
      </c>
      <c r="F2" s="8" t="n">
        <v>0.952380952380952</v>
      </c>
      <c r="G2" s="8" t="n">
        <v>0.5</v>
      </c>
      <c r="H2" s="8" t="n">
        <v>0.839285714285714</v>
      </c>
      <c r="I2" s="8" t="n">
        <v>0.413793103448276</v>
      </c>
      <c r="J2" s="8" t="n">
        <v>0.333333333333333</v>
      </c>
      <c r="K2" s="8" t="n">
        <v>0.952380952380952</v>
      </c>
      <c r="L2" s="8" t="n">
        <v>0.40625</v>
      </c>
      <c r="M2" s="8" t="n">
        <v>0.546130952380952</v>
      </c>
    </row>
    <row r="3" customFormat="false" ht="15" hidden="false" customHeight="false" outlineLevel="0" collapsed="false">
      <c r="A3" s="22" t="s">
        <v>19</v>
      </c>
      <c r="B3" s="10" t="s">
        <v>20</v>
      </c>
      <c r="C3" s="22" t="s">
        <v>52</v>
      </c>
      <c r="D3" s="6" t="n">
        <v>74</v>
      </c>
      <c r="E3" s="8" t="n">
        <v>0.662162162162162</v>
      </c>
      <c r="F3" s="8" t="n">
        <v>0.857142857142857</v>
      </c>
      <c r="G3" s="8" t="n">
        <v>0.5</v>
      </c>
      <c r="H3" s="8" t="n">
        <v>0.767857142857143</v>
      </c>
      <c r="I3" s="8" t="n">
        <v>0.413793103448276</v>
      </c>
      <c r="J3" s="8" t="n">
        <v>0.333333333333333</v>
      </c>
      <c r="K3" s="8" t="n">
        <v>0.857142857142857</v>
      </c>
      <c r="L3" s="8" t="n">
        <v>0.40625</v>
      </c>
      <c r="M3" s="8" t="n">
        <v>0.450892857142857</v>
      </c>
    </row>
    <row r="4" customFormat="false" ht="15" hidden="false" customHeight="false" outlineLevel="0" collapsed="false">
      <c r="A4" s="22" t="s">
        <v>19</v>
      </c>
      <c r="B4" s="10" t="s">
        <v>20</v>
      </c>
      <c r="C4" s="22" t="s">
        <v>53</v>
      </c>
      <c r="D4" s="6" t="n">
        <v>74</v>
      </c>
      <c r="E4" s="8" t="n">
        <v>0.743243243243243</v>
      </c>
      <c r="F4" s="8" t="n">
        <v>0.952380952380952</v>
      </c>
      <c r="G4" s="8" t="n">
        <v>0.5</v>
      </c>
      <c r="H4" s="8" t="n">
        <v>0.839285714285714</v>
      </c>
      <c r="I4" s="8" t="n">
        <v>0.448275862068966</v>
      </c>
      <c r="J4" s="8" t="n">
        <v>0.666666666666667</v>
      </c>
      <c r="K4" s="8" t="n">
        <v>0.952380952380952</v>
      </c>
      <c r="L4" s="8" t="n">
        <v>0.46875</v>
      </c>
      <c r="M4" s="8" t="n">
        <v>0.483630952380952</v>
      </c>
    </row>
    <row r="5" customFormat="false" ht="15" hidden="false" customHeight="false" outlineLevel="0" collapsed="false">
      <c r="A5" s="22" t="s">
        <v>19</v>
      </c>
      <c r="B5" s="10" t="s">
        <v>20</v>
      </c>
      <c r="C5" s="22" t="s">
        <v>54</v>
      </c>
      <c r="D5" s="6" t="n">
        <v>81</v>
      </c>
      <c r="E5" s="8" t="n">
        <v>0.703703703703704</v>
      </c>
      <c r="F5" s="8" t="n">
        <v>0.952380952380952</v>
      </c>
      <c r="G5" s="8" t="n">
        <v>0.571428571428571</v>
      </c>
      <c r="H5" s="8" t="n">
        <v>0.857142857142857</v>
      </c>
      <c r="I5" s="8" t="n">
        <v>0.444444444444444</v>
      </c>
      <c r="J5" s="8" t="n">
        <v>0.333333333333333</v>
      </c>
      <c r="K5" s="8" t="n">
        <v>0.952380952380952</v>
      </c>
      <c r="L5" s="8" t="n">
        <v>0.435897435897436</v>
      </c>
      <c r="M5" s="8" t="n">
        <v>0.516483516483516</v>
      </c>
    </row>
    <row r="6" customFormat="false" ht="15" hidden="false" customHeight="false" outlineLevel="0" collapsed="false">
      <c r="A6" s="22" t="s">
        <v>19</v>
      </c>
      <c r="B6" s="10" t="s">
        <v>20</v>
      </c>
      <c r="C6" s="22" t="s">
        <v>55</v>
      </c>
      <c r="D6" s="6" t="n">
        <v>76</v>
      </c>
      <c r="E6" s="8" t="n">
        <v>0.736842105263158</v>
      </c>
      <c r="F6" s="8" t="n">
        <v>0.952380952380952</v>
      </c>
      <c r="G6" s="8" t="n">
        <v>0.642857142857143</v>
      </c>
      <c r="H6" s="8" t="n">
        <v>0.875</v>
      </c>
      <c r="I6" s="8" t="n">
        <v>0.483870967741936</v>
      </c>
      <c r="J6" s="8" t="n">
        <v>0.333333333333333</v>
      </c>
      <c r="K6" s="8" t="n">
        <v>0.952380952380952</v>
      </c>
      <c r="L6" s="8" t="n">
        <v>0.470588235294118</v>
      </c>
      <c r="M6" s="8" t="n">
        <v>0.481792717086835</v>
      </c>
    </row>
    <row r="7" customFormat="false" ht="15" hidden="false" customHeight="false" outlineLevel="0" collapsed="false">
      <c r="A7" s="22" t="s">
        <v>19</v>
      </c>
      <c r="B7" s="10" t="s">
        <v>20</v>
      </c>
      <c r="C7" s="22" t="s">
        <v>56</v>
      </c>
      <c r="D7" s="6" t="n">
        <v>73</v>
      </c>
      <c r="E7" s="8" t="n">
        <v>0.712328767123288</v>
      </c>
      <c r="F7" s="8" t="n">
        <v>0.952380952380952</v>
      </c>
      <c r="G7" s="8" t="n">
        <v>0.5</v>
      </c>
      <c r="H7" s="8" t="n">
        <v>0.839285714285714</v>
      </c>
      <c r="I7" s="8" t="n">
        <v>0.392857142857143</v>
      </c>
      <c r="J7" s="8" t="n">
        <v>0.333333333333333</v>
      </c>
      <c r="K7" s="8" t="n">
        <v>0.952380952380952</v>
      </c>
      <c r="L7" s="8" t="n">
        <v>0.387096774193548</v>
      </c>
      <c r="M7" s="8" t="n">
        <v>0.565284178187404</v>
      </c>
    </row>
    <row r="8" customFormat="false" ht="15" hidden="false" customHeight="false" outlineLevel="0" collapsed="false">
      <c r="A8" s="22" t="s">
        <v>19</v>
      </c>
      <c r="B8" s="10" t="s">
        <v>20</v>
      </c>
      <c r="C8" s="22" t="s">
        <v>57</v>
      </c>
      <c r="D8" s="6" t="n">
        <v>73</v>
      </c>
      <c r="E8" s="8" t="n">
        <v>0.712328767123288</v>
      </c>
      <c r="F8" s="8" t="n">
        <v>0.904761904761905</v>
      </c>
      <c r="G8" s="8" t="n">
        <v>0.5</v>
      </c>
      <c r="H8" s="8" t="n">
        <v>0.803571428571429</v>
      </c>
      <c r="I8" s="8" t="n">
        <v>0.464285714285714</v>
      </c>
      <c r="J8" s="8" t="n">
        <v>0.333333333333333</v>
      </c>
      <c r="K8" s="8" t="n">
        <v>0.904761904761905</v>
      </c>
      <c r="L8" s="8" t="n">
        <v>0.451612903225806</v>
      </c>
      <c r="M8" s="8" t="n">
        <v>0.453149001536098</v>
      </c>
    </row>
    <row r="9" customFormat="false" ht="15" hidden="false" customHeight="false" outlineLevel="0" collapsed="false">
      <c r="A9" s="22" t="s">
        <v>19</v>
      </c>
      <c r="B9" s="10" t="s">
        <v>20</v>
      </c>
      <c r="C9" s="22" t="s">
        <v>58</v>
      </c>
      <c r="D9" s="6" t="n">
        <v>74</v>
      </c>
      <c r="E9" s="8" t="n">
        <v>0.716216216216216</v>
      </c>
      <c r="F9" s="8" t="n">
        <v>0.880952380952381</v>
      </c>
      <c r="G9" s="8" t="n">
        <v>0.428571428571429</v>
      </c>
      <c r="H9" s="8" t="n">
        <v>0.767857142857143</v>
      </c>
      <c r="I9" s="8" t="n">
        <v>0.482758620689655</v>
      </c>
      <c r="J9" s="8" t="n">
        <v>0.666666666666667</v>
      </c>
      <c r="K9" s="8" t="n">
        <v>0.880952380952381</v>
      </c>
      <c r="L9" s="8" t="n">
        <v>0.5</v>
      </c>
      <c r="M9" s="8" t="n">
        <v>0.380952380952381</v>
      </c>
    </row>
    <row r="10" customFormat="false" ht="15" hidden="false" customHeight="false" outlineLevel="0" collapsed="false">
      <c r="A10" s="22" t="s">
        <v>19</v>
      </c>
      <c r="B10" s="10" t="s">
        <v>20</v>
      </c>
      <c r="C10" s="22" t="s">
        <v>59</v>
      </c>
      <c r="D10" s="6" t="n">
        <v>74</v>
      </c>
      <c r="E10" s="8" t="n">
        <v>0.72972972972973</v>
      </c>
      <c r="F10" s="8" t="n">
        <v>0.857142857142857</v>
      </c>
      <c r="G10" s="8" t="n">
        <v>0.571428571428571</v>
      </c>
      <c r="H10" s="8" t="n">
        <v>0.785714285714286</v>
      </c>
      <c r="I10" s="8" t="n">
        <v>0.551724137931035</v>
      </c>
      <c r="J10" s="8" t="n">
        <v>0.666666666666667</v>
      </c>
      <c r="K10" s="8" t="n">
        <v>0.857142857142857</v>
      </c>
      <c r="L10" s="8" t="n">
        <v>0.5625</v>
      </c>
      <c r="M10" s="8" t="n">
        <v>0.294642857142857</v>
      </c>
    </row>
    <row r="11" customFormat="false" ht="15" hidden="false" customHeight="false" outlineLevel="0" collapsed="false">
      <c r="A11" s="22" t="s">
        <v>19</v>
      </c>
      <c r="B11" s="10" t="s">
        <v>20</v>
      </c>
      <c r="C11" s="22" t="s">
        <v>60</v>
      </c>
      <c r="D11" s="6" t="n">
        <v>71</v>
      </c>
      <c r="E11" s="8" t="n">
        <v>0.746478873239437</v>
      </c>
      <c r="F11" s="8" t="n">
        <v>0.952380952380952</v>
      </c>
      <c r="G11" s="8" t="n">
        <v>0.5</v>
      </c>
      <c r="H11" s="8" t="n">
        <v>0.839285714285714</v>
      </c>
      <c r="I11" s="8" t="n">
        <v>0.461538461538462</v>
      </c>
      <c r="J11" s="8" t="n">
        <v>0.333333333333333</v>
      </c>
      <c r="K11" s="8" t="n">
        <v>0.952380952380952</v>
      </c>
      <c r="L11" s="8" t="n">
        <v>0.448275862068966</v>
      </c>
      <c r="M11" s="8" t="n">
        <v>0.504105090311987</v>
      </c>
    </row>
    <row r="12" customFormat="false" ht="15" hidden="false" customHeight="false" outlineLevel="0" collapsed="false">
      <c r="A12" s="22" t="s">
        <v>19</v>
      </c>
      <c r="B12" s="10" t="s">
        <v>20</v>
      </c>
      <c r="C12" s="22" t="s">
        <v>61</v>
      </c>
      <c r="D12" s="6" t="n">
        <v>71</v>
      </c>
      <c r="E12" s="8" t="n">
        <v>0.76056338028169</v>
      </c>
      <c r="F12" s="8" t="n">
        <v>0.952380952380952</v>
      </c>
      <c r="G12" s="8" t="n">
        <v>0.5</v>
      </c>
      <c r="H12" s="8" t="n">
        <v>0.839285714285714</v>
      </c>
      <c r="I12" s="8" t="n">
        <v>0.5</v>
      </c>
      <c r="J12" s="8" t="n">
        <v>0.333333333333333</v>
      </c>
      <c r="K12" s="8" t="n">
        <v>0.952380952380952</v>
      </c>
      <c r="L12" s="8" t="n">
        <v>0.482758620689655</v>
      </c>
      <c r="M12" s="8" t="n">
        <v>0.469622331691297</v>
      </c>
    </row>
    <row r="13" customFormat="false" ht="15" hidden="false" customHeight="false" outlineLevel="0" collapsed="false">
      <c r="A13" s="22" t="s">
        <v>19</v>
      </c>
      <c r="B13" s="10" t="s">
        <v>20</v>
      </c>
      <c r="C13" s="22" t="s">
        <v>62</v>
      </c>
      <c r="D13" s="6" t="n">
        <v>72</v>
      </c>
      <c r="E13" s="8" t="n">
        <v>0.652777777777778</v>
      </c>
      <c r="F13" s="8" t="n">
        <v>0.761904761904762</v>
      </c>
      <c r="G13" s="8" t="n">
        <v>0.5</v>
      </c>
      <c r="H13" s="8" t="n">
        <v>0.696428571428571</v>
      </c>
      <c r="I13" s="8" t="n">
        <v>0.518518518518519</v>
      </c>
      <c r="J13" s="8" t="n">
        <v>0.333333333333333</v>
      </c>
      <c r="K13" s="8" t="n">
        <v>0.761904761904762</v>
      </c>
      <c r="L13" s="8" t="n">
        <v>0.5</v>
      </c>
      <c r="M13" s="8" t="n">
        <v>0.261904761904762</v>
      </c>
    </row>
    <row r="14" customFormat="false" ht="15" hidden="false" customHeight="false" outlineLevel="0" collapsed="false">
      <c r="A14" s="22" t="s">
        <v>19</v>
      </c>
      <c r="B14" s="10" t="s">
        <v>20</v>
      </c>
      <c r="C14" s="22" t="s">
        <v>63</v>
      </c>
      <c r="D14" s="6" t="n">
        <v>72</v>
      </c>
      <c r="E14" s="8" t="n">
        <v>0.583333333333333</v>
      </c>
      <c r="F14" s="8" t="n">
        <v>0.714285714285714</v>
      </c>
      <c r="G14" s="8" t="n">
        <v>0.357142857142857</v>
      </c>
      <c r="H14" s="8" t="n">
        <v>0.625</v>
      </c>
      <c r="I14" s="8" t="n">
        <v>0.407407407407407</v>
      </c>
      <c r="J14" s="8" t="n">
        <v>0.333333333333333</v>
      </c>
      <c r="K14" s="8" t="n">
        <v>0.714285714285714</v>
      </c>
      <c r="L14" s="8" t="n">
        <v>0.4</v>
      </c>
      <c r="M14" s="8" t="n">
        <v>0.314285714285714</v>
      </c>
    </row>
    <row r="15" customFormat="false" ht="15" hidden="false" customHeight="false" outlineLevel="0" collapsed="false">
      <c r="A15" s="22" t="s">
        <v>19</v>
      </c>
      <c r="B15" s="10" t="s">
        <v>20</v>
      </c>
      <c r="C15" s="22" t="s">
        <v>64</v>
      </c>
      <c r="D15" s="6" t="n">
        <v>70</v>
      </c>
      <c r="E15" s="8" t="n">
        <v>0.514285714285714</v>
      </c>
      <c r="F15" s="8" t="n">
        <v>0.595238095238095</v>
      </c>
      <c r="G15" s="8" t="n">
        <v>0.5</v>
      </c>
      <c r="H15" s="8" t="n">
        <v>0.571428571428571</v>
      </c>
      <c r="I15" s="8" t="n">
        <v>0.4</v>
      </c>
      <c r="J15" s="8" t="n">
        <v>0.333333333333333</v>
      </c>
      <c r="K15" s="8" t="n">
        <v>0.595238095238095</v>
      </c>
      <c r="L15" s="8" t="n">
        <v>0.392857142857143</v>
      </c>
      <c r="M15" s="8" t="n">
        <v>0.202380952380952</v>
      </c>
    </row>
    <row r="16" customFormat="false" ht="15" hidden="false" customHeight="false" outlineLevel="0" collapsed="false">
      <c r="A16" s="22" t="s">
        <v>19</v>
      </c>
      <c r="B16" s="10" t="s">
        <v>20</v>
      </c>
      <c r="C16" s="22" t="s">
        <v>65</v>
      </c>
      <c r="D16" s="6" t="n">
        <v>73</v>
      </c>
      <c r="E16" s="8" t="n">
        <v>0.547945205479452</v>
      </c>
      <c r="F16" s="8" t="n">
        <v>0.666666666666667</v>
      </c>
      <c r="G16" s="8" t="n">
        <v>0.5</v>
      </c>
      <c r="H16" s="8" t="n">
        <v>0.625</v>
      </c>
      <c r="I16" s="8" t="n">
        <v>0.428571428571429</v>
      </c>
      <c r="J16" s="8" t="n">
        <v>0</v>
      </c>
      <c r="K16" s="8" t="n">
        <v>0.666666666666667</v>
      </c>
      <c r="L16" s="8" t="n">
        <v>0.387096774193548</v>
      </c>
      <c r="M16" s="8" t="n">
        <v>0.279569892473118</v>
      </c>
    </row>
    <row r="17" customFormat="false" ht="15" hidden="false" customHeight="false" outlineLevel="0" collapsed="false">
      <c r="A17" s="22" t="s">
        <v>19</v>
      </c>
      <c r="B17" s="10" t="s">
        <v>20</v>
      </c>
      <c r="C17" s="22" t="s">
        <v>66</v>
      </c>
      <c r="D17" s="6" t="n">
        <v>73</v>
      </c>
      <c r="E17" s="8" t="n">
        <v>0.643835616438356</v>
      </c>
      <c r="F17" s="8" t="n">
        <v>0.833333333333333</v>
      </c>
      <c r="G17" s="8" t="n">
        <v>0.5</v>
      </c>
      <c r="H17" s="8" t="n">
        <v>0.75</v>
      </c>
      <c r="I17" s="8" t="n">
        <v>0.357142857142857</v>
      </c>
      <c r="J17" s="8" t="n">
        <v>0.666666666666667</v>
      </c>
      <c r="K17" s="8" t="n">
        <v>0.833333333333333</v>
      </c>
      <c r="L17" s="8" t="n">
        <v>0.387096774193548</v>
      </c>
      <c r="M17" s="8" t="n">
        <v>0.446236559139785</v>
      </c>
    </row>
    <row r="18" customFormat="false" ht="15" hidden="false" customHeight="false" outlineLevel="0" collapsed="false">
      <c r="A18" s="22" t="s">
        <v>19</v>
      </c>
      <c r="B18" s="10" t="s">
        <v>20</v>
      </c>
      <c r="C18" s="22" t="s">
        <v>67</v>
      </c>
      <c r="D18" s="6" t="n">
        <v>83</v>
      </c>
      <c r="E18" s="8" t="n">
        <v>0.566265060240964</v>
      </c>
      <c r="F18" s="8" t="n">
        <v>0.714285714285714</v>
      </c>
      <c r="G18" s="8" t="n">
        <v>0.357142857142857</v>
      </c>
      <c r="H18" s="8" t="n">
        <v>0.625</v>
      </c>
      <c r="I18" s="8" t="n">
        <v>0.394736842105263</v>
      </c>
      <c r="J18" s="8" t="n">
        <v>0.666666666666667</v>
      </c>
      <c r="K18" s="8" t="n">
        <v>0.714285714285714</v>
      </c>
      <c r="L18" s="8" t="n">
        <v>0.414634146341463</v>
      </c>
      <c r="M18" s="8" t="n">
        <v>0.299651567944251</v>
      </c>
    </row>
    <row r="19" customFormat="false" ht="15" hidden="false" customHeight="false" outlineLevel="0" collapsed="false">
      <c r="A19" s="22" t="s">
        <v>19</v>
      </c>
      <c r="B19" s="10" t="s">
        <v>20</v>
      </c>
      <c r="C19" s="22" t="s">
        <v>68</v>
      </c>
      <c r="D19" s="6" t="n">
        <v>72</v>
      </c>
      <c r="E19" s="8" t="n">
        <v>0.486111111111111</v>
      </c>
      <c r="F19" s="8" t="n">
        <v>0.571428571428571</v>
      </c>
      <c r="G19" s="8" t="n">
        <v>0.5</v>
      </c>
      <c r="H19" s="8" t="n">
        <v>0.553571428571429</v>
      </c>
      <c r="I19" s="8" t="n">
        <v>0.407407407407407</v>
      </c>
      <c r="J19" s="8" t="n">
        <v>0</v>
      </c>
      <c r="K19" s="8" t="n">
        <v>0.571428571428571</v>
      </c>
      <c r="L19" s="8" t="n">
        <v>0.366666666666667</v>
      </c>
      <c r="M19" s="8" t="n">
        <v>0.204761904761905</v>
      </c>
    </row>
    <row r="20" customFormat="false" ht="15" hidden="false" customHeight="false" outlineLevel="0" collapsed="false">
      <c r="A20" s="22" t="s">
        <v>19</v>
      </c>
      <c r="B20" s="10" t="s">
        <v>20</v>
      </c>
      <c r="C20" s="22" t="s">
        <v>69</v>
      </c>
      <c r="D20" s="6" t="n">
        <v>72</v>
      </c>
      <c r="E20" s="8" t="n">
        <v>0.666666666666667</v>
      </c>
      <c r="F20" s="8" t="n">
        <v>0.80952380952381</v>
      </c>
      <c r="G20" s="8" t="n">
        <v>0.5</v>
      </c>
      <c r="H20" s="8" t="n">
        <v>0.732142857142857</v>
      </c>
      <c r="I20" s="8" t="n">
        <v>0.481481481481481</v>
      </c>
      <c r="J20" s="8" t="n">
        <v>0.333333333333333</v>
      </c>
      <c r="K20" s="8" t="n">
        <v>0.80952380952381</v>
      </c>
      <c r="L20" s="8" t="n">
        <v>0.466666666666667</v>
      </c>
      <c r="M20" s="8" t="n">
        <v>0.342857142857143</v>
      </c>
    </row>
    <row r="21" customFormat="false" ht="15" hidden="false" customHeight="false" outlineLevel="0" collapsed="false">
      <c r="A21" s="22" t="s">
        <v>19</v>
      </c>
      <c r="B21" s="10" t="s">
        <v>20</v>
      </c>
      <c r="C21" s="22" t="s">
        <v>70</v>
      </c>
      <c r="D21" s="6" t="n">
        <v>72</v>
      </c>
      <c r="E21" s="8" t="n">
        <v>0.597222222222222</v>
      </c>
      <c r="F21" s="8" t="n">
        <v>0.785714285714286</v>
      </c>
      <c r="G21" s="8" t="n">
        <v>0.5</v>
      </c>
      <c r="H21" s="8" t="n">
        <v>0.714285714285714</v>
      </c>
      <c r="I21" s="8" t="n">
        <v>0.37037037037037</v>
      </c>
      <c r="J21" s="8" t="n">
        <v>0</v>
      </c>
      <c r="K21" s="8" t="n">
        <v>0.785714285714286</v>
      </c>
      <c r="L21" s="8" t="n">
        <v>0.333333333333333</v>
      </c>
      <c r="M21" s="8" t="n">
        <v>0.452380952380952</v>
      </c>
    </row>
    <row r="22" customFormat="false" ht="15" hidden="false" customHeight="false" outlineLevel="0" collapsed="false">
      <c r="A22" s="22" t="s">
        <v>19</v>
      </c>
      <c r="B22" s="10" t="s">
        <v>20</v>
      </c>
      <c r="C22" s="22" t="s">
        <v>71</v>
      </c>
      <c r="D22" s="6" t="n">
        <v>73</v>
      </c>
      <c r="E22" s="8" t="n">
        <v>0.575342465753425</v>
      </c>
      <c r="F22" s="8" t="n">
        <v>0.690476190476191</v>
      </c>
      <c r="G22" s="8" t="n">
        <v>0.428571428571429</v>
      </c>
      <c r="H22" s="8" t="n">
        <v>0.625</v>
      </c>
      <c r="I22" s="8" t="n">
        <v>0.464285714285714</v>
      </c>
      <c r="J22" s="8" t="n">
        <v>0</v>
      </c>
      <c r="K22" s="8" t="n">
        <v>0.690476190476191</v>
      </c>
      <c r="L22" s="8" t="n">
        <v>0.419354838709677</v>
      </c>
      <c r="M22" s="8" t="n">
        <v>0.271121351766513</v>
      </c>
    </row>
    <row r="23" customFormat="false" ht="15" hidden="false" customHeight="false" outlineLevel="0" collapsed="false">
      <c r="A23" s="22" t="s">
        <v>19</v>
      </c>
      <c r="B23" s="10" t="s">
        <v>20</v>
      </c>
      <c r="C23" s="22" t="s">
        <v>72</v>
      </c>
      <c r="D23" s="6" t="n">
        <v>88</v>
      </c>
      <c r="E23" s="8" t="n">
        <v>0.579545454545455</v>
      </c>
      <c r="F23" s="8" t="n">
        <v>0.690476190476191</v>
      </c>
      <c r="G23" s="8" t="n">
        <v>0.5</v>
      </c>
      <c r="H23" s="8" t="n">
        <v>0.642857142857143</v>
      </c>
      <c r="I23" s="8" t="n">
        <v>0.511627906976744</v>
      </c>
      <c r="J23" s="8" t="n">
        <v>0</v>
      </c>
      <c r="K23" s="8" t="n">
        <v>0.690476190476191</v>
      </c>
      <c r="L23" s="8" t="n">
        <v>0.478260869565217</v>
      </c>
      <c r="M23" s="8" t="n">
        <v>0.212215320910973</v>
      </c>
    </row>
    <row r="24" customFormat="false" ht="15" hidden="false" customHeight="false" outlineLevel="0" collapsed="false">
      <c r="A24" s="22" t="s">
        <v>19</v>
      </c>
      <c r="B24" s="10" t="s">
        <v>20</v>
      </c>
      <c r="C24" s="22" t="s">
        <v>73</v>
      </c>
      <c r="D24" s="6" t="n">
        <v>72</v>
      </c>
      <c r="E24" s="8" t="n">
        <v>0.527777777777778</v>
      </c>
      <c r="F24" s="8" t="n">
        <v>0.714285714285714</v>
      </c>
      <c r="G24" s="8" t="n">
        <v>0.285714285714286</v>
      </c>
      <c r="H24" s="8" t="n">
        <v>0.607142857142857</v>
      </c>
      <c r="I24" s="8" t="n">
        <v>0.296296296296296</v>
      </c>
      <c r="J24" s="8" t="n">
        <v>0</v>
      </c>
      <c r="K24" s="8" t="n">
        <v>0.714285714285714</v>
      </c>
      <c r="L24" s="8" t="n">
        <v>0.266666666666667</v>
      </c>
      <c r="M24" s="8" t="n">
        <v>0.447619047619048</v>
      </c>
    </row>
    <row r="25" customFormat="false" ht="15" hidden="false" customHeight="false" outlineLevel="0" collapsed="false">
      <c r="A25" s="22" t="s">
        <v>19</v>
      </c>
      <c r="B25" s="10" t="s">
        <v>20</v>
      </c>
      <c r="C25" s="22" t="s">
        <v>74</v>
      </c>
      <c r="D25" s="6" t="n">
        <v>70</v>
      </c>
      <c r="E25" s="8" t="n">
        <v>0.528571428571429</v>
      </c>
      <c r="F25" s="8" t="n">
        <v>0.619047619047619</v>
      </c>
      <c r="G25" s="8" t="n">
        <v>0.357142857142857</v>
      </c>
      <c r="H25" s="8" t="n">
        <v>0.553571428571429</v>
      </c>
      <c r="I25" s="8" t="n">
        <v>0.44</v>
      </c>
      <c r="J25" s="8" t="n">
        <v>0</v>
      </c>
      <c r="K25" s="8" t="n">
        <v>0.619047619047619</v>
      </c>
      <c r="L25" s="8" t="n">
        <v>0.392857142857143</v>
      </c>
      <c r="M25" s="8" t="n">
        <v>0.226190476190476</v>
      </c>
    </row>
    <row r="26" customFormat="false" ht="15" hidden="false" customHeight="false" outlineLevel="0" collapsed="false">
      <c r="A26" s="22" t="s">
        <v>19</v>
      </c>
      <c r="B26" s="10" t="s">
        <v>20</v>
      </c>
      <c r="C26" s="22" t="s">
        <v>75</v>
      </c>
      <c r="D26" s="6" t="n">
        <v>72</v>
      </c>
      <c r="E26" s="8" t="n">
        <v>0.611111111111111</v>
      </c>
      <c r="F26" s="8" t="n">
        <v>0.690476190476191</v>
      </c>
      <c r="G26" s="8" t="n">
        <v>0.5</v>
      </c>
      <c r="H26" s="8" t="n">
        <v>0.642857142857143</v>
      </c>
      <c r="I26" s="8" t="n">
        <v>0.555555555555556</v>
      </c>
      <c r="J26" s="8" t="n">
        <v>0</v>
      </c>
      <c r="K26" s="8" t="n">
        <v>0.690476190476191</v>
      </c>
      <c r="L26" s="8" t="n">
        <v>0.5</v>
      </c>
      <c r="M26" s="8" t="n">
        <v>0.19047619047619</v>
      </c>
    </row>
    <row r="27" customFormat="false" ht="15" hidden="false" customHeight="false" outlineLevel="0" collapsed="false">
      <c r="A27" s="22" t="s">
        <v>19</v>
      </c>
      <c r="B27" s="10" t="s">
        <v>20</v>
      </c>
      <c r="C27" s="22" t="s">
        <v>76</v>
      </c>
      <c r="D27" s="6" t="n">
        <v>72</v>
      </c>
      <c r="E27" s="8" t="n">
        <v>0.541666666666667</v>
      </c>
      <c r="F27" s="8" t="n">
        <v>0.595238095238095</v>
      </c>
      <c r="G27" s="8" t="n">
        <v>0.5</v>
      </c>
      <c r="H27" s="8" t="n">
        <v>0.571428571428571</v>
      </c>
      <c r="I27" s="8" t="n">
        <v>0.481481481481481</v>
      </c>
      <c r="J27" s="8" t="n">
        <v>0.333333333333333</v>
      </c>
      <c r="K27" s="8" t="n">
        <v>0.595238095238095</v>
      </c>
      <c r="L27" s="8" t="n">
        <v>0.466666666666667</v>
      </c>
      <c r="M27" s="8" t="n">
        <v>0.128571428571429</v>
      </c>
    </row>
    <row r="28" customFormat="false" ht="15" hidden="false" customHeight="false" outlineLevel="0" collapsed="false">
      <c r="A28" s="22" t="s">
        <v>19</v>
      </c>
      <c r="B28" s="10" t="s">
        <v>20</v>
      </c>
      <c r="C28" s="22" t="s">
        <v>77</v>
      </c>
      <c r="D28" s="6" t="n">
        <v>72</v>
      </c>
      <c r="E28" s="8" t="n">
        <v>0.583333333333333</v>
      </c>
      <c r="F28" s="8" t="n">
        <v>0.761904761904762</v>
      </c>
      <c r="G28" s="8" t="n">
        <v>0.285714285714286</v>
      </c>
      <c r="H28" s="8" t="n">
        <v>0.642857142857143</v>
      </c>
      <c r="I28" s="8" t="n">
        <v>0.333333333333333</v>
      </c>
      <c r="J28" s="8" t="n">
        <v>0.333333333333333</v>
      </c>
      <c r="K28" s="8" t="n">
        <v>0.761904761904762</v>
      </c>
      <c r="L28" s="8" t="n">
        <v>0.333333333333333</v>
      </c>
      <c r="M28" s="8" t="n">
        <v>0.428571428571429</v>
      </c>
    </row>
    <row r="29" customFormat="false" ht="15" hidden="false" customHeight="false" outlineLevel="0" collapsed="false">
      <c r="A29" s="22" t="s">
        <v>19</v>
      </c>
      <c r="B29" s="10" t="s">
        <v>20</v>
      </c>
      <c r="C29" s="22" t="s">
        <v>78</v>
      </c>
      <c r="D29" s="6" t="n">
        <v>72</v>
      </c>
      <c r="E29" s="8" t="n">
        <v>0.597222222222222</v>
      </c>
      <c r="F29" s="8" t="n">
        <v>0.714285714285714</v>
      </c>
      <c r="G29" s="8" t="n">
        <v>0.357142857142857</v>
      </c>
      <c r="H29" s="8" t="n">
        <v>0.625</v>
      </c>
      <c r="I29" s="8" t="n">
        <v>0.444444444444444</v>
      </c>
      <c r="J29" s="8" t="n">
        <v>0.333333333333333</v>
      </c>
      <c r="K29" s="8" t="n">
        <v>0.714285714285714</v>
      </c>
      <c r="L29" s="8" t="n">
        <v>0.433333333333333</v>
      </c>
      <c r="M29" s="8" t="n">
        <v>0.280952380952381</v>
      </c>
    </row>
    <row r="30" customFormat="false" ht="15" hidden="false" customHeight="false" outlineLevel="0" collapsed="false">
      <c r="A30" s="22" t="s">
        <v>19</v>
      </c>
      <c r="B30" s="10" t="s">
        <v>20</v>
      </c>
      <c r="C30" s="22" t="s">
        <v>79</v>
      </c>
      <c r="D30" s="6" t="n">
        <v>72</v>
      </c>
      <c r="E30" s="8" t="n">
        <v>0.583333333333333</v>
      </c>
      <c r="F30" s="8" t="n">
        <v>0.738095238095238</v>
      </c>
      <c r="G30" s="8" t="n">
        <v>0.357142857142857</v>
      </c>
      <c r="H30" s="8" t="n">
        <v>0.642857142857143</v>
      </c>
      <c r="I30" s="8" t="n">
        <v>0.37037037037037</v>
      </c>
      <c r="J30" s="8" t="n">
        <v>0.333333333333333</v>
      </c>
      <c r="K30" s="8" t="n">
        <v>0.738095238095238</v>
      </c>
      <c r="L30" s="8" t="n">
        <v>0.366666666666667</v>
      </c>
      <c r="M30" s="8" t="n">
        <v>0.371428571428572</v>
      </c>
    </row>
    <row r="31" customFormat="false" ht="15" hidden="false" customHeight="false" outlineLevel="0" collapsed="false">
      <c r="A31" s="22" t="s">
        <v>19</v>
      </c>
      <c r="B31" s="10" t="s">
        <v>20</v>
      </c>
      <c r="C31" s="22" t="s">
        <v>80</v>
      </c>
      <c r="D31" s="6" t="n">
        <v>68</v>
      </c>
      <c r="E31" s="8" t="n">
        <v>0.205882352941176</v>
      </c>
      <c r="F31" s="8" t="n">
        <v>0.238095238095238</v>
      </c>
      <c r="G31" s="8" t="n">
        <v>0.0714285714285714</v>
      </c>
      <c r="H31" s="8" t="n">
        <v>0.196428571428571</v>
      </c>
      <c r="I31" s="8" t="n">
        <v>0.173913043478261</v>
      </c>
      <c r="J31" s="8" t="n">
        <v>0</v>
      </c>
      <c r="K31" s="8" t="n">
        <v>0.238095238095238</v>
      </c>
      <c r="L31" s="8" t="n">
        <v>0.153846153846154</v>
      </c>
      <c r="M31" s="8" t="n">
        <v>0.0842490842490842</v>
      </c>
    </row>
    <row r="32" customFormat="false" ht="15" hidden="false" customHeight="false" outlineLevel="0" collapsed="false">
      <c r="A32" s="22" t="s">
        <v>19</v>
      </c>
      <c r="B32" s="10" t="s">
        <v>20</v>
      </c>
      <c r="C32" s="22" t="s">
        <v>81</v>
      </c>
      <c r="D32" s="6" t="n">
        <v>71</v>
      </c>
      <c r="E32" s="8" t="n">
        <v>0.507042253521127</v>
      </c>
      <c r="F32" s="8" t="n">
        <v>0.642857142857143</v>
      </c>
      <c r="G32" s="8" t="n">
        <v>0.357142857142857</v>
      </c>
      <c r="H32" s="8" t="n">
        <v>0.571428571428571</v>
      </c>
      <c r="I32" s="8" t="n">
        <v>0.307692307692308</v>
      </c>
      <c r="J32" s="8" t="n">
        <v>0.333333333333333</v>
      </c>
      <c r="K32" s="8" t="n">
        <v>0.642857142857143</v>
      </c>
      <c r="L32" s="8" t="n">
        <v>0.310344827586207</v>
      </c>
      <c r="M32" s="8" t="n">
        <v>0.332512315270936</v>
      </c>
    </row>
    <row r="33" customFormat="false" ht="15" hidden="false" customHeight="false" outlineLevel="0" collapsed="false">
      <c r="A33" s="22" t="s">
        <v>19</v>
      </c>
      <c r="B33" s="10" t="s">
        <v>20</v>
      </c>
      <c r="C33" s="22" t="s">
        <v>82</v>
      </c>
      <c r="D33" s="6" t="n">
        <v>70</v>
      </c>
      <c r="E33" s="8" t="n">
        <v>0.328571428571429</v>
      </c>
      <c r="F33" s="8" t="n">
        <v>0.333333333333333</v>
      </c>
      <c r="G33" s="8" t="n">
        <v>0.428571428571429</v>
      </c>
      <c r="H33" s="8" t="n">
        <v>0.357142857142857</v>
      </c>
      <c r="I33" s="8" t="n">
        <v>0.32</v>
      </c>
      <c r="J33" s="8" t="n">
        <v>0.333333333333333</v>
      </c>
      <c r="K33" s="8" t="n">
        <v>0.333333333333333</v>
      </c>
      <c r="L33" s="8" t="n">
        <v>0.321428571428571</v>
      </c>
      <c r="M33" s="8" t="n">
        <v>0.0119047619047619</v>
      </c>
    </row>
    <row r="34" customFormat="false" ht="15" hidden="false" customHeight="false" outlineLevel="0" collapsed="false">
      <c r="A34" s="22" t="s">
        <v>19</v>
      </c>
      <c r="B34" s="10" t="s">
        <v>20</v>
      </c>
      <c r="C34" s="22" t="s">
        <v>83</v>
      </c>
      <c r="D34" s="6" t="n">
        <v>83</v>
      </c>
      <c r="E34" s="8" t="n">
        <v>0.578313253012048</v>
      </c>
      <c r="F34" s="8" t="n">
        <v>0.666666666666667</v>
      </c>
      <c r="G34" s="8" t="n">
        <v>0.5</v>
      </c>
      <c r="H34" s="8" t="n">
        <v>0.625</v>
      </c>
      <c r="I34" s="8" t="n">
        <v>0.473684210526316</v>
      </c>
      <c r="J34" s="8" t="n">
        <v>0.666666666666667</v>
      </c>
      <c r="K34" s="8" t="n">
        <v>0.666666666666667</v>
      </c>
      <c r="L34" s="8" t="n">
        <v>0.487804878048781</v>
      </c>
      <c r="M34" s="8" t="n">
        <v>0.178861788617886</v>
      </c>
    </row>
    <row r="35" customFormat="false" ht="15" hidden="false" customHeight="false" outlineLevel="0" collapsed="false">
      <c r="A35" s="22" t="s">
        <v>19</v>
      </c>
      <c r="B35" s="10" t="s">
        <v>20</v>
      </c>
      <c r="C35" s="22" t="s">
        <v>84</v>
      </c>
      <c r="D35" s="6" t="n">
        <v>72</v>
      </c>
      <c r="E35" s="8" t="n">
        <v>0.611111111111111</v>
      </c>
      <c r="F35" s="8" t="n">
        <v>0.738095238095238</v>
      </c>
      <c r="G35" s="8" t="n">
        <v>0.571428571428571</v>
      </c>
      <c r="H35" s="8" t="n">
        <v>0.696428571428571</v>
      </c>
      <c r="I35" s="8" t="n">
        <v>0.407407407407407</v>
      </c>
      <c r="J35" s="8" t="n">
        <v>0.666666666666667</v>
      </c>
      <c r="K35" s="8" t="n">
        <v>0.738095238095238</v>
      </c>
      <c r="L35" s="8" t="n">
        <v>0.433333333333333</v>
      </c>
      <c r="M35" s="8" t="n">
        <v>0.304761904761905</v>
      </c>
    </row>
    <row r="36" customFormat="false" ht="15" hidden="false" customHeight="false" outlineLevel="0" collapsed="false">
      <c r="A36" s="22" t="s">
        <v>19</v>
      </c>
      <c r="B36" s="10" t="s">
        <v>20</v>
      </c>
      <c r="C36" s="22" t="s">
        <v>85</v>
      </c>
      <c r="D36" s="6" t="n">
        <v>71</v>
      </c>
      <c r="E36" s="8" t="n">
        <v>0.591549295774648</v>
      </c>
      <c r="F36" s="8" t="n">
        <v>0.714285714285714</v>
      </c>
      <c r="G36" s="8" t="n">
        <v>0.357142857142857</v>
      </c>
      <c r="H36" s="8" t="n">
        <v>0.625</v>
      </c>
      <c r="I36" s="8" t="n">
        <v>0.384615384615385</v>
      </c>
      <c r="J36" s="8" t="n">
        <v>0.666666666666667</v>
      </c>
      <c r="K36" s="8" t="n">
        <v>0.714285714285714</v>
      </c>
      <c r="L36" s="8" t="n">
        <v>0.413793103448276</v>
      </c>
      <c r="M36" s="8" t="n">
        <v>0.300492610837438</v>
      </c>
    </row>
    <row r="37" customFormat="false" ht="15" hidden="false" customHeight="false" outlineLevel="0" collapsed="false">
      <c r="A37" s="22" t="s">
        <v>19</v>
      </c>
      <c r="B37" s="10" t="s">
        <v>20</v>
      </c>
      <c r="C37" s="22" t="s">
        <v>86</v>
      </c>
      <c r="D37" s="6" t="n">
        <v>73</v>
      </c>
      <c r="E37" s="8" t="n">
        <v>0.547945205479452</v>
      </c>
      <c r="F37" s="8" t="n">
        <v>0.666666666666667</v>
      </c>
      <c r="G37" s="8" t="n">
        <v>0.5</v>
      </c>
      <c r="H37" s="8" t="n">
        <v>0.625</v>
      </c>
      <c r="I37" s="8" t="n">
        <v>0.392857142857143</v>
      </c>
      <c r="J37" s="8" t="n">
        <v>0.333333333333333</v>
      </c>
      <c r="K37" s="8" t="n">
        <v>0.666666666666667</v>
      </c>
      <c r="L37" s="8" t="n">
        <v>0.387096774193548</v>
      </c>
      <c r="M37" s="8" t="n">
        <v>0.279569892473118</v>
      </c>
    </row>
    <row r="38" customFormat="false" ht="15" hidden="false" customHeight="false" outlineLevel="0" collapsed="false">
      <c r="A38" s="22" t="s">
        <v>19</v>
      </c>
      <c r="B38" s="10" t="s">
        <v>20</v>
      </c>
      <c r="C38" s="22" t="s">
        <v>87</v>
      </c>
      <c r="D38" s="6" t="n">
        <v>72</v>
      </c>
      <c r="E38" s="8" t="n">
        <v>0.611111111111111</v>
      </c>
      <c r="F38" s="8" t="n">
        <v>0.690476190476191</v>
      </c>
      <c r="G38" s="8" t="n">
        <v>0.428571428571429</v>
      </c>
      <c r="H38" s="8" t="n">
        <v>0.625</v>
      </c>
      <c r="I38" s="8" t="n">
        <v>0.518518518518519</v>
      </c>
      <c r="J38" s="8" t="n">
        <v>0.333333333333333</v>
      </c>
      <c r="K38" s="8" t="n">
        <v>0.690476190476191</v>
      </c>
      <c r="L38" s="8" t="n">
        <v>0.5</v>
      </c>
      <c r="M38" s="8" t="n">
        <v>0.19047619047619</v>
      </c>
    </row>
    <row r="39" customFormat="false" ht="15" hidden="false" customHeight="false" outlineLevel="0" collapsed="false">
      <c r="A39" s="22" t="s">
        <v>19</v>
      </c>
      <c r="B39" s="10" t="s">
        <v>20</v>
      </c>
      <c r="C39" s="22" t="s">
        <v>88</v>
      </c>
      <c r="D39" s="6" t="n">
        <v>73</v>
      </c>
      <c r="E39" s="8" t="n">
        <v>0.671232876712329</v>
      </c>
      <c r="F39" s="8" t="n">
        <v>0.80952380952381</v>
      </c>
      <c r="G39" s="8" t="n">
        <v>0.5</v>
      </c>
      <c r="H39" s="8" t="n">
        <v>0.732142857142857</v>
      </c>
      <c r="I39" s="8" t="n">
        <v>0.5</v>
      </c>
      <c r="J39" s="8" t="n">
        <v>0.333333333333333</v>
      </c>
      <c r="K39" s="8" t="n">
        <v>0.80952380952381</v>
      </c>
      <c r="L39" s="8" t="n">
        <v>0.483870967741936</v>
      </c>
      <c r="M39" s="8" t="n">
        <v>0.325652841781874</v>
      </c>
    </row>
    <row r="40" customFormat="false" ht="15" hidden="false" customHeight="false" outlineLevel="0" collapsed="false">
      <c r="A40" s="22" t="s">
        <v>19</v>
      </c>
      <c r="B40" s="10" t="s">
        <v>20</v>
      </c>
      <c r="C40" s="22" t="s">
        <v>89</v>
      </c>
      <c r="D40" s="6" t="n">
        <v>71</v>
      </c>
      <c r="E40" s="8" t="n">
        <v>0.577464788732394</v>
      </c>
      <c r="F40" s="8" t="n">
        <v>0.714285714285714</v>
      </c>
      <c r="G40" s="8" t="n">
        <v>0.428571428571429</v>
      </c>
      <c r="H40" s="8" t="n">
        <v>0.642857142857143</v>
      </c>
      <c r="I40" s="8" t="n">
        <v>0.384615384615385</v>
      </c>
      <c r="J40" s="8" t="n">
        <v>0.333333333333333</v>
      </c>
      <c r="K40" s="8" t="n">
        <v>0.714285714285714</v>
      </c>
      <c r="L40" s="8" t="n">
        <v>0.379310344827586</v>
      </c>
      <c r="M40" s="8" t="n">
        <v>0.334975369458128</v>
      </c>
    </row>
    <row r="41" customFormat="false" ht="15" hidden="false" customHeight="false" outlineLevel="0" collapsed="false">
      <c r="A41" s="22" t="s">
        <v>19</v>
      </c>
      <c r="B41" s="10" t="s">
        <v>20</v>
      </c>
      <c r="C41" s="22" t="s">
        <v>90</v>
      </c>
      <c r="D41" s="6" t="n">
        <v>70</v>
      </c>
      <c r="E41" s="8" t="n">
        <v>0.571428571428571</v>
      </c>
      <c r="F41" s="8" t="n">
        <v>0.738095238095238</v>
      </c>
      <c r="G41" s="8" t="n">
        <v>0.357142857142857</v>
      </c>
      <c r="H41" s="8" t="n">
        <v>0.642857142857143</v>
      </c>
      <c r="I41" s="8" t="n">
        <v>0.32</v>
      </c>
      <c r="J41" s="8" t="n">
        <v>0.333333333333333</v>
      </c>
      <c r="K41" s="8" t="n">
        <v>0.738095238095238</v>
      </c>
      <c r="L41" s="8" t="n">
        <v>0.321428571428571</v>
      </c>
      <c r="M41" s="8" t="n">
        <v>0.416666666666667</v>
      </c>
    </row>
    <row r="42" customFormat="false" ht="15" hidden="false" customHeight="false" outlineLevel="0" collapsed="false">
      <c r="A42" s="22" t="s">
        <v>19</v>
      </c>
      <c r="B42" s="10" t="s">
        <v>20</v>
      </c>
      <c r="C42" s="22" t="s">
        <v>91</v>
      </c>
      <c r="D42" s="6" t="n">
        <v>72</v>
      </c>
      <c r="E42" s="8" t="n">
        <v>0.611111111111111</v>
      </c>
      <c r="F42" s="8" t="n">
        <v>0.738095238095238</v>
      </c>
      <c r="G42" s="8" t="n">
        <v>0.428571428571429</v>
      </c>
      <c r="H42" s="8" t="n">
        <v>0.660714285714286</v>
      </c>
      <c r="I42" s="8" t="n">
        <v>0.481481481481481</v>
      </c>
      <c r="J42" s="8" t="n">
        <v>0</v>
      </c>
      <c r="K42" s="8" t="n">
        <v>0.738095238095238</v>
      </c>
      <c r="L42" s="8" t="n">
        <v>0.433333333333333</v>
      </c>
      <c r="M42" s="8" t="n">
        <v>0.304761904761905</v>
      </c>
    </row>
    <row r="43" customFormat="false" ht="15" hidden="false" customHeight="false" outlineLevel="0" collapsed="false">
      <c r="A43" s="22" t="s">
        <v>19</v>
      </c>
      <c r="B43" s="10" t="s">
        <v>20</v>
      </c>
      <c r="C43" s="22" t="s">
        <v>92</v>
      </c>
      <c r="D43" s="6" t="n">
        <v>73</v>
      </c>
      <c r="E43" s="8" t="n">
        <v>0.575342465753425</v>
      </c>
      <c r="F43" s="8" t="n">
        <v>0.714285714285714</v>
      </c>
      <c r="G43" s="8" t="n">
        <v>0.5</v>
      </c>
      <c r="H43" s="8" t="n">
        <v>0.660714285714286</v>
      </c>
      <c r="I43" s="8" t="n">
        <v>0.392857142857143</v>
      </c>
      <c r="J43" s="8" t="n">
        <v>0.333333333333333</v>
      </c>
      <c r="K43" s="8" t="n">
        <v>0.714285714285714</v>
      </c>
      <c r="L43" s="8" t="n">
        <v>0.387096774193548</v>
      </c>
      <c r="M43" s="8" t="n">
        <v>0.327188940092166</v>
      </c>
    </row>
    <row r="44" customFormat="false" ht="15" hidden="false" customHeight="false" outlineLevel="0" collapsed="false">
      <c r="A44" s="22" t="s">
        <v>19</v>
      </c>
      <c r="B44" s="10" t="s">
        <v>20</v>
      </c>
      <c r="C44" s="22" t="s">
        <v>93</v>
      </c>
      <c r="D44" s="6" t="n">
        <v>73</v>
      </c>
      <c r="E44" s="8" t="n">
        <v>0.616438356164384</v>
      </c>
      <c r="F44" s="8" t="n">
        <v>0.690476190476191</v>
      </c>
      <c r="G44" s="8" t="n">
        <v>0.428571428571429</v>
      </c>
      <c r="H44" s="8" t="n">
        <v>0.625</v>
      </c>
      <c r="I44" s="8" t="n">
        <v>0.535714285714286</v>
      </c>
      <c r="J44" s="8" t="n">
        <v>0.333333333333333</v>
      </c>
      <c r="K44" s="8" t="n">
        <v>0.690476190476191</v>
      </c>
      <c r="L44" s="8" t="n">
        <v>0.516129032258065</v>
      </c>
      <c r="M44" s="8" t="n">
        <v>0.174347158218126</v>
      </c>
    </row>
    <row r="45" customFormat="false" ht="15" hidden="false" customHeight="false" outlineLevel="0" collapsed="false">
      <c r="A45" s="22" t="s">
        <v>19</v>
      </c>
      <c r="B45" s="10" t="s">
        <v>20</v>
      </c>
      <c r="C45" s="22" t="s">
        <v>94</v>
      </c>
      <c r="D45" s="6" t="n">
        <v>86</v>
      </c>
      <c r="E45" s="8" t="n">
        <v>0.627906976744186</v>
      </c>
      <c r="F45" s="8" t="n">
        <v>0.785714285714286</v>
      </c>
      <c r="G45" s="8" t="n">
        <v>0.428571428571429</v>
      </c>
      <c r="H45" s="8" t="n">
        <v>0.696428571428571</v>
      </c>
      <c r="I45" s="8" t="n">
        <v>0.487804878048781</v>
      </c>
      <c r="J45" s="8" t="n">
        <v>0.333333333333333</v>
      </c>
      <c r="K45" s="8" t="n">
        <v>0.785714285714286</v>
      </c>
      <c r="L45" s="8" t="n">
        <v>0.477272727272727</v>
      </c>
      <c r="M45" s="8" t="n">
        <v>0.308441558441558</v>
      </c>
    </row>
    <row r="46" customFormat="false" ht="15" hidden="false" customHeight="false" outlineLevel="0" collapsed="false">
      <c r="A46" s="22" t="s">
        <v>19</v>
      </c>
      <c r="B46" s="10" t="s">
        <v>20</v>
      </c>
      <c r="C46" s="22" t="s">
        <v>95</v>
      </c>
      <c r="D46" s="6" t="n">
        <v>72</v>
      </c>
      <c r="E46" s="8" t="n">
        <v>0.541666666666667</v>
      </c>
      <c r="F46" s="8" t="n">
        <v>0.666666666666667</v>
      </c>
      <c r="G46" s="8" t="n">
        <v>0.428571428571429</v>
      </c>
      <c r="H46" s="8" t="n">
        <v>0.607142857142857</v>
      </c>
      <c r="I46" s="8" t="n">
        <v>0.37037037037037</v>
      </c>
      <c r="J46" s="8" t="n">
        <v>0.333333333333333</v>
      </c>
      <c r="K46" s="8" t="n">
        <v>0.666666666666667</v>
      </c>
      <c r="L46" s="8" t="n">
        <v>0.366666666666667</v>
      </c>
      <c r="M46" s="8" t="n">
        <v>0.3</v>
      </c>
    </row>
    <row r="47" customFormat="false" ht="15" hidden="false" customHeight="false" outlineLevel="0" collapsed="false">
      <c r="A47" s="22" t="s">
        <v>19</v>
      </c>
      <c r="B47" s="10" t="s">
        <v>20</v>
      </c>
      <c r="C47" s="22" t="s">
        <v>96</v>
      </c>
      <c r="D47" s="6" t="n">
        <v>71</v>
      </c>
      <c r="E47" s="8" t="n">
        <v>0.563380281690141</v>
      </c>
      <c r="F47" s="8" t="n">
        <v>0.666666666666667</v>
      </c>
      <c r="G47" s="8" t="n">
        <v>0.357142857142857</v>
      </c>
      <c r="H47" s="8" t="n">
        <v>0.589285714285714</v>
      </c>
      <c r="I47" s="8" t="n">
        <v>0.384615384615385</v>
      </c>
      <c r="J47" s="8" t="n">
        <v>0.666666666666667</v>
      </c>
      <c r="K47" s="8" t="n">
        <v>0.666666666666667</v>
      </c>
      <c r="L47" s="8" t="n">
        <v>0.413793103448276</v>
      </c>
      <c r="M47" s="8" t="n">
        <v>0.252873563218391</v>
      </c>
    </row>
    <row r="48" customFormat="false" ht="15" hidden="false" customHeight="false" outlineLevel="0" collapsed="false">
      <c r="A48" s="22" t="s">
        <v>19</v>
      </c>
      <c r="B48" s="10" t="s">
        <v>20</v>
      </c>
      <c r="C48" s="22" t="s">
        <v>97</v>
      </c>
      <c r="D48" s="6" t="n">
        <v>73</v>
      </c>
      <c r="E48" s="8" t="n">
        <v>0.616438356164384</v>
      </c>
      <c r="F48" s="8" t="n">
        <v>0.785714285714286</v>
      </c>
      <c r="G48" s="8" t="n">
        <v>0.428571428571429</v>
      </c>
      <c r="H48" s="8" t="n">
        <v>0.696428571428571</v>
      </c>
      <c r="I48" s="8" t="n">
        <v>0.428571428571429</v>
      </c>
      <c r="J48" s="8" t="n">
        <v>0</v>
      </c>
      <c r="K48" s="8" t="n">
        <v>0.785714285714286</v>
      </c>
      <c r="L48" s="8" t="n">
        <v>0.387096774193548</v>
      </c>
      <c r="M48" s="8" t="n">
        <v>0.398617511520737</v>
      </c>
    </row>
    <row r="49" customFormat="false" ht="15" hidden="false" customHeight="false" outlineLevel="0" collapsed="false">
      <c r="A49" s="22" t="s">
        <v>19</v>
      </c>
      <c r="B49" s="10" t="s">
        <v>20</v>
      </c>
      <c r="C49" s="22" t="s">
        <v>98</v>
      </c>
      <c r="D49" s="6" t="n">
        <v>71</v>
      </c>
      <c r="E49" s="8" t="n">
        <v>0.619718309859155</v>
      </c>
      <c r="F49" s="8" t="n">
        <v>0.738095238095238</v>
      </c>
      <c r="G49" s="8" t="n">
        <v>0.428571428571429</v>
      </c>
      <c r="H49" s="8" t="n">
        <v>0.660714285714286</v>
      </c>
      <c r="I49" s="8" t="n">
        <v>0.461538461538462</v>
      </c>
      <c r="J49" s="8" t="n">
        <v>0.333333333333333</v>
      </c>
      <c r="K49" s="8" t="n">
        <v>0.738095238095238</v>
      </c>
      <c r="L49" s="8" t="n">
        <v>0.448275862068966</v>
      </c>
      <c r="M49" s="8" t="n">
        <v>0.289819376026273</v>
      </c>
    </row>
    <row r="50" customFormat="false" ht="15" hidden="false" customHeight="false" outlineLevel="0" collapsed="false">
      <c r="A50" s="22" t="s">
        <v>19</v>
      </c>
      <c r="B50" s="10" t="s">
        <v>20</v>
      </c>
      <c r="C50" s="22" t="s">
        <v>99</v>
      </c>
      <c r="D50" s="6" t="n">
        <v>71</v>
      </c>
      <c r="E50" s="8" t="n">
        <v>0.633802816901409</v>
      </c>
      <c r="F50" s="8" t="n">
        <v>0.785714285714286</v>
      </c>
      <c r="G50" s="8" t="n">
        <v>0.357142857142857</v>
      </c>
      <c r="H50" s="8" t="n">
        <v>0.678571428571429</v>
      </c>
      <c r="I50" s="8" t="n">
        <v>0.461538461538462</v>
      </c>
      <c r="J50" s="8" t="n">
        <v>0</v>
      </c>
      <c r="K50" s="8" t="n">
        <v>0.785714285714286</v>
      </c>
      <c r="L50" s="8" t="n">
        <v>0.413793103448276</v>
      </c>
      <c r="M50" s="8" t="n">
        <v>0.37192118226601</v>
      </c>
    </row>
    <row r="51" customFormat="false" ht="15" hidden="false" customHeight="false" outlineLevel="0" collapsed="false">
      <c r="A51" s="22" t="s">
        <v>19</v>
      </c>
      <c r="B51" s="10" t="s">
        <v>20</v>
      </c>
      <c r="C51" s="22" t="s">
        <v>100</v>
      </c>
      <c r="D51" s="6" t="n">
        <v>71</v>
      </c>
      <c r="E51" s="8" t="n">
        <v>0.605633802816901</v>
      </c>
      <c r="F51" s="8" t="n">
        <v>0.761904761904762</v>
      </c>
      <c r="G51" s="8" t="n">
        <v>0.428571428571429</v>
      </c>
      <c r="H51" s="8" t="n">
        <v>0.678571428571429</v>
      </c>
      <c r="I51" s="8" t="n">
        <v>0.384615384615385</v>
      </c>
      <c r="J51" s="8" t="n">
        <v>0.333333333333333</v>
      </c>
      <c r="K51" s="8" t="n">
        <v>0.761904761904762</v>
      </c>
      <c r="L51" s="8" t="n">
        <v>0.379310344827586</v>
      </c>
      <c r="M51" s="8" t="n">
        <v>0.382594417077176</v>
      </c>
    </row>
    <row r="52" customFormat="false" ht="15" hidden="false" customHeight="false" outlineLevel="0" collapsed="false">
      <c r="A52" s="22" t="s">
        <v>19</v>
      </c>
      <c r="B52" s="10" t="s">
        <v>20</v>
      </c>
      <c r="C52" s="22" t="s">
        <v>101</v>
      </c>
      <c r="D52" s="6" t="n">
        <v>72</v>
      </c>
      <c r="E52" s="8" t="n">
        <v>0.638888888888889</v>
      </c>
      <c r="F52" s="8" t="n">
        <v>0.785714285714286</v>
      </c>
      <c r="G52" s="8" t="n">
        <v>0.428571428571429</v>
      </c>
      <c r="H52" s="8" t="n">
        <v>0.696428571428571</v>
      </c>
      <c r="I52" s="8" t="n">
        <v>0.444444444444444</v>
      </c>
      <c r="J52" s="8" t="n">
        <v>0.333333333333333</v>
      </c>
      <c r="K52" s="8" t="n">
        <v>0.785714285714286</v>
      </c>
      <c r="L52" s="8" t="n">
        <v>0.433333333333333</v>
      </c>
      <c r="M52" s="8" t="n">
        <v>0.352380952380952</v>
      </c>
    </row>
    <row r="53" customFormat="false" ht="15" hidden="false" customHeight="false" outlineLevel="0" collapsed="false">
      <c r="A53" s="22" t="s">
        <v>19</v>
      </c>
      <c r="B53" s="10" t="s">
        <v>20</v>
      </c>
      <c r="C53" s="22" t="s">
        <v>102</v>
      </c>
      <c r="D53" s="6" t="n">
        <v>70</v>
      </c>
      <c r="E53" s="8" t="n">
        <v>0.671428571428571</v>
      </c>
      <c r="F53" s="8" t="n">
        <v>0.857142857142857</v>
      </c>
      <c r="G53" s="8" t="n">
        <v>0.428571428571429</v>
      </c>
      <c r="H53" s="8" t="n">
        <v>0.75</v>
      </c>
      <c r="I53" s="8" t="n">
        <v>0.4</v>
      </c>
      <c r="J53" s="8" t="n">
        <v>0.333333333333333</v>
      </c>
      <c r="K53" s="8" t="n">
        <v>0.857142857142857</v>
      </c>
      <c r="L53" s="8" t="n">
        <v>0.392857142857143</v>
      </c>
      <c r="M53" s="8" t="n">
        <v>0.464285714285714</v>
      </c>
    </row>
    <row r="54" customFormat="false" ht="15" hidden="false" customHeight="false" outlineLevel="0" collapsed="false">
      <c r="A54" s="22" t="s">
        <v>19</v>
      </c>
      <c r="B54" s="10" t="s">
        <v>20</v>
      </c>
      <c r="C54" s="22" t="s">
        <v>103</v>
      </c>
      <c r="D54" s="6" t="n">
        <v>73</v>
      </c>
      <c r="E54" s="8" t="n">
        <v>0.643835616438356</v>
      </c>
      <c r="F54" s="8" t="n">
        <v>0.833333333333333</v>
      </c>
      <c r="G54" s="8" t="n">
        <v>0.5</v>
      </c>
      <c r="H54" s="8" t="n">
        <v>0.75</v>
      </c>
      <c r="I54" s="8" t="n">
        <v>0.392857142857143</v>
      </c>
      <c r="J54" s="8" t="n">
        <v>0.333333333333333</v>
      </c>
      <c r="K54" s="8" t="n">
        <v>0.833333333333333</v>
      </c>
      <c r="L54" s="8" t="n">
        <v>0.387096774193548</v>
      </c>
      <c r="M54" s="8" t="n">
        <v>0.446236559139785</v>
      </c>
    </row>
    <row r="55" customFormat="false" ht="15" hidden="false" customHeight="false" outlineLevel="0" collapsed="false">
      <c r="A55" s="22" t="s">
        <v>19</v>
      </c>
      <c r="B55" s="10" t="s">
        <v>20</v>
      </c>
      <c r="C55" s="22" t="s">
        <v>104</v>
      </c>
      <c r="D55" s="6" t="n">
        <v>73</v>
      </c>
      <c r="E55" s="8" t="n">
        <v>0.63013698630137</v>
      </c>
      <c r="F55" s="8" t="n">
        <v>0.80952380952381</v>
      </c>
      <c r="G55" s="8" t="n">
        <v>0.5</v>
      </c>
      <c r="H55" s="8" t="n">
        <v>0.732142857142857</v>
      </c>
      <c r="I55" s="8" t="n">
        <v>0.428571428571429</v>
      </c>
      <c r="J55" s="8" t="n">
        <v>0</v>
      </c>
      <c r="K55" s="8" t="n">
        <v>0.80952380952381</v>
      </c>
      <c r="L55" s="8" t="n">
        <v>0.387096774193548</v>
      </c>
      <c r="M55" s="8" t="n">
        <v>0.422427035330261</v>
      </c>
    </row>
    <row r="56" customFormat="false" ht="15" hidden="false" customHeight="false" outlineLevel="0" collapsed="false">
      <c r="A56" s="22" t="s">
        <v>19</v>
      </c>
      <c r="B56" s="10" t="s">
        <v>20</v>
      </c>
      <c r="C56" s="22" t="s">
        <v>105</v>
      </c>
      <c r="D56" s="6" t="n">
        <v>72</v>
      </c>
      <c r="E56" s="8" t="n">
        <v>0.666666666666667</v>
      </c>
      <c r="F56" s="8" t="n">
        <v>0.833333333333333</v>
      </c>
      <c r="G56" s="8" t="n">
        <v>0.428571428571429</v>
      </c>
      <c r="H56" s="8" t="n">
        <v>0.732142857142857</v>
      </c>
      <c r="I56" s="8" t="n">
        <v>0.444444444444444</v>
      </c>
      <c r="J56" s="8" t="n">
        <v>0.333333333333333</v>
      </c>
      <c r="K56" s="8" t="n">
        <v>0.833333333333333</v>
      </c>
      <c r="L56" s="8" t="n">
        <v>0.433333333333333</v>
      </c>
      <c r="M56" s="8" t="n">
        <v>0.4</v>
      </c>
    </row>
    <row r="57" customFormat="false" ht="15" hidden="false" customHeight="false" outlineLevel="0" collapsed="false">
      <c r="A57" s="22" t="s">
        <v>19</v>
      </c>
      <c r="B57" s="10" t="s">
        <v>20</v>
      </c>
      <c r="C57" s="22" t="s">
        <v>106</v>
      </c>
      <c r="D57" s="6" t="n">
        <v>72</v>
      </c>
      <c r="E57" s="8" t="n">
        <v>0.583333333333333</v>
      </c>
      <c r="F57" s="8" t="n">
        <v>0.714285714285714</v>
      </c>
      <c r="G57" s="8" t="n">
        <v>0.428571428571429</v>
      </c>
      <c r="H57" s="8" t="n">
        <v>0.642857142857143</v>
      </c>
      <c r="I57" s="8" t="n">
        <v>0.407407407407407</v>
      </c>
      <c r="J57" s="8" t="n">
        <v>0.333333333333333</v>
      </c>
      <c r="K57" s="8" t="n">
        <v>0.714285714285714</v>
      </c>
      <c r="L57" s="8" t="n">
        <v>0.4</v>
      </c>
      <c r="M57" s="8" t="n">
        <v>0.314285714285714</v>
      </c>
    </row>
    <row r="58" customFormat="false" ht="15" hidden="false" customHeight="false" outlineLevel="0" collapsed="false">
      <c r="A58" s="22" t="s">
        <v>19</v>
      </c>
      <c r="B58" s="10" t="s">
        <v>20</v>
      </c>
      <c r="C58" s="22" t="s">
        <v>107</v>
      </c>
      <c r="D58" s="6" t="n">
        <v>71</v>
      </c>
      <c r="E58" s="8" t="n">
        <v>0.619718309859155</v>
      </c>
      <c r="F58" s="8" t="n">
        <v>0.785714285714286</v>
      </c>
      <c r="G58" s="8" t="n">
        <v>0.428571428571429</v>
      </c>
      <c r="H58" s="8" t="n">
        <v>0.696428571428571</v>
      </c>
      <c r="I58" s="8" t="n">
        <v>0.384615384615385</v>
      </c>
      <c r="J58" s="8" t="n">
        <v>0.333333333333333</v>
      </c>
      <c r="K58" s="8" t="n">
        <v>0.785714285714286</v>
      </c>
      <c r="L58" s="8" t="n">
        <v>0.379310344827586</v>
      </c>
      <c r="M58" s="8" t="n">
        <v>0.4064039408867</v>
      </c>
    </row>
    <row r="59" customFormat="false" ht="15" hidden="false" customHeight="false" outlineLevel="0" collapsed="false">
      <c r="A59" s="22" t="s">
        <v>19</v>
      </c>
      <c r="B59" s="10" t="s">
        <v>20</v>
      </c>
      <c r="C59" s="22" t="s">
        <v>108</v>
      </c>
      <c r="D59" s="6" t="n">
        <v>74</v>
      </c>
      <c r="E59" s="8" t="n">
        <v>0.648648648648649</v>
      </c>
      <c r="F59" s="8" t="n">
        <v>0.761904761904762</v>
      </c>
      <c r="G59" s="8" t="n">
        <v>0.5</v>
      </c>
      <c r="H59" s="8" t="n">
        <v>0.696428571428571</v>
      </c>
      <c r="I59" s="8" t="n">
        <v>0.482758620689655</v>
      </c>
      <c r="J59" s="8" t="n">
        <v>0.666666666666667</v>
      </c>
      <c r="K59" s="8" t="n">
        <v>0.761904761904762</v>
      </c>
      <c r="L59" s="8" t="n">
        <v>0.5</v>
      </c>
      <c r="M59" s="8" t="n">
        <v>0.261904761904762</v>
      </c>
    </row>
    <row r="60" customFormat="false" ht="15" hidden="false" customHeight="false" outlineLevel="0" collapsed="false">
      <c r="A60" s="22" t="s">
        <v>19</v>
      </c>
      <c r="B60" s="10" t="s">
        <v>20</v>
      </c>
      <c r="C60" s="22" t="s">
        <v>109</v>
      </c>
      <c r="D60" s="6" t="n">
        <v>74</v>
      </c>
      <c r="E60" s="8" t="n">
        <v>0.567567567567568</v>
      </c>
      <c r="F60" s="8" t="n">
        <v>0.714285714285714</v>
      </c>
      <c r="G60" s="8" t="n">
        <v>0.357142857142857</v>
      </c>
      <c r="H60" s="8" t="n">
        <v>0.625</v>
      </c>
      <c r="I60" s="8" t="n">
        <v>0.379310344827586</v>
      </c>
      <c r="J60" s="8" t="n">
        <v>0.333333333333333</v>
      </c>
      <c r="K60" s="8" t="n">
        <v>0.714285714285714</v>
      </c>
      <c r="L60" s="8" t="n">
        <v>0.375</v>
      </c>
      <c r="M60" s="8" t="n">
        <v>0.339285714285714</v>
      </c>
    </row>
    <row r="61" customFormat="false" ht="15" hidden="false" customHeight="false" outlineLevel="0" collapsed="false">
      <c r="A61" s="22" t="s">
        <v>19</v>
      </c>
      <c r="B61" s="10" t="s">
        <v>20</v>
      </c>
      <c r="C61" s="22" t="s">
        <v>110</v>
      </c>
      <c r="D61" s="6" t="n">
        <v>72</v>
      </c>
      <c r="E61" s="8" t="n">
        <v>0.652777777777778</v>
      </c>
      <c r="F61" s="8" t="n">
        <v>0.833333333333333</v>
      </c>
      <c r="G61" s="8" t="n">
        <v>0.5</v>
      </c>
      <c r="H61" s="8" t="n">
        <v>0.75</v>
      </c>
      <c r="I61" s="8" t="n">
        <v>0.444444444444444</v>
      </c>
      <c r="J61" s="8" t="n">
        <v>0</v>
      </c>
      <c r="K61" s="8" t="n">
        <v>0.833333333333333</v>
      </c>
      <c r="L61" s="8" t="n">
        <v>0.4</v>
      </c>
      <c r="M61" s="8" t="n">
        <v>0.433333333333333</v>
      </c>
    </row>
    <row r="62" customFormat="false" ht="15" hidden="false" customHeight="false" outlineLevel="0" collapsed="false">
      <c r="A62" s="22" t="s">
        <v>19</v>
      </c>
      <c r="B62" s="10" t="s">
        <v>20</v>
      </c>
      <c r="C62" s="22" t="s">
        <v>111</v>
      </c>
      <c r="D62" s="6" t="n">
        <v>72</v>
      </c>
      <c r="E62" s="8" t="n">
        <v>0.666666666666667</v>
      </c>
      <c r="F62" s="8" t="n">
        <v>0.761904761904762</v>
      </c>
      <c r="G62" s="8" t="n">
        <v>0.571428571428571</v>
      </c>
      <c r="H62" s="8" t="n">
        <v>0.714285714285714</v>
      </c>
      <c r="I62" s="8" t="n">
        <v>0.592592592592593</v>
      </c>
      <c r="J62" s="8" t="n">
        <v>0</v>
      </c>
      <c r="K62" s="8" t="n">
        <v>0.761904761904762</v>
      </c>
      <c r="L62" s="8" t="n">
        <v>0.533333333333333</v>
      </c>
      <c r="M62" s="8" t="n">
        <v>0.228571428571429</v>
      </c>
    </row>
    <row r="63" customFormat="false" ht="15" hidden="false" customHeight="false" outlineLevel="0" collapsed="false">
      <c r="A63" s="22" t="s">
        <v>19</v>
      </c>
      <c r="B63" s="10" t="s">
        <v>20</v>
      </c>
      <c r="C63" s="22" t="s">
        <v>112</v>
      </c>
      <c r="D63" s="6" t="n">
        <v>73</v>
      </c>
      <c r="E63" s="8" t="n">
        <v>0.589041095890411</v>
      </c>
      <c r="F63" s="8" t="n">
        <v>0.738095238095238</v>
      </c>
      <c r="G63" s="8" t="n">
        <v>0.428571428571429</v>
      </c>
      <c r="H63" s="8" t="n">
        <v>0.660714285714286</v>
      </c>
      <c r="I63" s="8" t="n">
        <v>0.428571428571429</v>
      </c>
      <c r="J63" s="8" t="n">
        <v>0</v>
      </c>
      <c r="K63" s="8" t="n">
        <v>0.738095238095238</v>
      </c>
      <c r="L63" s="8" t="n">
        <v>0.387096774193548</v>
      </c>
      <c r="M63" s="8" t="n">
        <v>0.35099846390169</v>
      </c>
    </row>
    <row r="64" customFormat="false" ht="15" hidden="false" customHeight="false" outlineLevel="0" collapsed="false">
      <c r="A64" s="22" t="s">
        <v>19</v>
      </c>
      <c r="B64" s="10" t="s">
        <v>20</v>
      </c>
      <c r="C64" s="22" t="s">
        <v>113</v>
      </c>
      <c r="D64" s="6" t="n">
        <v>73</v>
      </c>
      <c r="E64" s="8" t="n">
        <v>0.63013698630137</v>
      </c>
      <c r="F64" s="8" t="n">
        <v>0.785714285714286</v>
      </c>
      <c r="G64" s="8" t="n">
        <v>0.571428571428571</v>
      </c>
      <c r="H64" s="8" t="n">
        <v>0.732142857142857</v>
      </c>
      <c r="I64" s="8" t="n">
        <v>0.428571428571429</v>
      </c>
      <c r="J64" s="8" t="n">
        <v>0.333333333333333</v>
      </c>
      <c r="K64" s="8" t="n">
        <v>0.785714285714286</v>
      </c>
      <c r="L64" s="8" t="n">
        <v>0.419354838709677</v>
      </c>
      <c r="M64" s="8" t="n">
        <v>0.366359447004608</v>
      </c>
    </row>
    <row r="65" customFormat="false" ht="15" hidden="false" customHeight="false" outlineLevel="0" collapsed="false">
      <c r="A65" s="22" t="s">
        <v>19</v>
      </c>
      <c r="B65" s="10" t="s">
        <v>20</v>
      </c>
      <c r="C65" s="22" t="s">
        <v>114</v>
      </c>
      <c r="D65" s="6" t="n">
        <v>71</v>
      </c>
      <c r="E65" s="8" t="n">
        <v>0.577464788732394</v>
      </c>
      <c r="F65" s="8" t="n">
        <v>0.690476190476191</v>
      </c>
      <c r="G65" s="8" t="n">
        <v>0.571428571428571</v>
      </c>
      <c r="H65" s="8" t="n">
        <v>0.660714285714286</v>
      </c>
      <c r="I65" s="8" t="n">
        <v>0.461538461538462</v>
      </c>
      <c r="J65" s="8" t="n">
        <v>0</v>
      </c>
      <c r="K65" s="8" t="n">
        <v>0.690476190476191</v>
      </c>
      <c r="L65" s="8" t="n">
        <v>0.413793103448276</v>
      </c>
      <c r="M65" s="8" t="n">
        <v>0.276683087027915</v>
      </c>
    </row>
    <row r="66" customFormat="false" ht="15" hidden="false" customHeight="false" outlineLevel="0" collapsed="false">
      <c r="A66" s="22" t="s">
        <v>19</v>
      </c>
      <c r="B66" s="10" t="s">
        <v>20</v>
      </c>
      <c r="C66" s="22" t="s">
        <v>115</v>
      </c>
      <c r="D66" s="6" t="n">
        <v>72</v>
      </c>
      <c r="E66" s="8" t="n">
        <v>0.569444444444444</v>
      </c>
      <c r="F66" s="8" t="n">
        <v>0.690476190476191</v>
      </c>
      <c r="G66" s="8" t="n">
        <v>0.428571428571429</v>
      </c>
      <c r="H66" s="8" t="n">
        <v>0.625</v>
      </c>
      <c r="I66" s="8" t="n">
        <v>0.407407407407407</v>
      </c>
      <c r="J66" s="8" t="n">
        <v>0.333333333333333</v>
      </c>
      <c r="K66" s="8" t="n">
        <v>0.690476190476191</v>
      </c>
      <c r="L66" s="8" t="n">
        <v>0.4</v>
      </c>
      <c r="M66" s="8" t="n">
        <v>0.29047619047619</v>
      </c>
    </row>
    <row r="67" customFormat="false" ht="15" hidden="false" customHeight="false" outlineLevel="0" collapsed="false">
      <c r="A67" s="22" t="s">
        <v>19</v>
      </c>
      <c r="B67" s="10" t="s">
        <v>20</v>
      </c>
      <c r="C67" s="22" t="s">
        <v>116</v>
      </c>
      <c r="D67" s="6" t="n">
        <v>70</v>
      </c>
      <c r="E67" s="8" t="n">
        <v>0.485714285714286</v>
      </c>
      <c r="F67" s="8" t="n">
        <v>0.619047619047619</v>
      </c>
      <c r="G67" s="8" t="n">
        <v>0.285714285714286</v>
      </c>
      <c r="H67" s="8" t="n">
        <v>0.535714285714286</v>
      </c>
      <c r="I67" s="8" t="n">
        <v>0.32</v>
      </c>
      <c r="J67" s="8" t="n">
        <v>0</v>
      </c>
      <c r="K67" s="8" t="n">
        <v>0.619047619047619</v>
      </c>
      <c r="L67" s="8" t="n">
        <v>0.285714285714286</v>
      </c>
      <c r="M67" s="8" t="n">
        <v>0.333333333333333</v>
      </c>
    </row>
    <row r="68" customFormat="false" ht="15" hidden="false" customHeight="false" outlineLevel="0" collapsed="false">
      <c r="A68" s="22" t="s">
        <v>19</v>
      </c>
      <c r="B68" s="10" t="s">
        <v>20</v>
      </c>
      <c r="C68" s="22" t="s">
        <v>117</v>
      </c>
      <c r="D68" s="6" t="n">
        <v>72</v>
      </c>
      <c r="E68" s="8" t="n">
        <v>0.555555555555556</v>
      </c>
      <c r="F68" s="8" t="n">
        <v>0.642857142857143</v>
      </c>
      <c r="G68" s="8" t="n">
        <v>0.5</v>
      </c>
      <c r="H68" s="8" t="n">
        <v>0.607142857142857</v>
      </c>
      <c r="I68" s="8" t="n">
        <v>0.444444444444444</v>
      </c>
      <c r="J68" s="8" t="n">
        <v>0.333333333333333</v>
      </c>
      <c r="K68" s="8" t="n">
        <v>0.642857142857143</v>
      </c>
      <c r="L68" s="8" t="n">
        <v>0.433333333333333</v>
      </c>
      <c r="M68" s="8" t="n">
        <v>0.20952380952381</v>
      </c>
    </row>
    <row r="69" customFormat="false" ht="15" hidden="false" customHeight="false" outlineLevel="0" collapsed="false">
      <c r="A69" s="22" t="s">
        <v>19</v>
      </c>
      <c r="B69" s="10" t="s">
        <v>20</v>
      </c>
      <c r="C69" s="22" t="s">
        <v>118</v>
      </c>
      <c r="D69" s="6" t="n">
        <v>73</v>
      </c>
      <c r="E69" s="8" t="n">
        <v>0.479452054794521</v>
      </c>
      <c r="F69" s="8" t="n">
        <v>0.571428571428571</v>
      </c>
      <c r="G69" s="8" t="n">
        <v>0.428571428571429</v>
      </c>
      <c r="H69" s="8" t="n">
        <v>0.535714285714286</v>
      </c>
      <c r="I69" s="8" t="n">
        <v>0.392857142857143</v>
      </c>
      <c r="J69" s="8" t="n">
        <v>0</v>
      </c>
      <c r="K69" s="8" t="n">
        <v>0.571428571428571</v>
      </c>
      <c r="L69" s="8" t="n">
        <v>0.354838709677419</v>
      </c>
      <c r="M69" s="8" t="n">
        <v>0.216589861751152</v>
      </c>
    </row>
    <row r="70" customFormat="false" ht="15" hidden="false" customHeight="false" outlineLevel="0" collapsed="false">
      <c r="A70" s="22" t="s">
        <v>19</v>
      </c>
      <c r="B70" s="10" t="s">
        <v>20</v>
      </c>
      <c r="C70" s="22" t="s">
        <v>119</v>
      </c>
      <c r="D70" s="6" t="n">
        <v>73</v>
      </c>
      <c r="E70" s="8" t="n">
        <v>0.506849315068493</v>
      </c>
      <c r="F70" s="8" t="n">
        <v>0.619047619047619</v>
      </c>
      <c r="G70" s="8" t="n">
        <v>0.5</v>
      </c>
      <c r="H70" s="8" t="n">
        <v>0.589285714285714</v>
      </c>
      <c r="I70" s="8" t="n">
        <v>0.392857142857143</v>
      </c>
      <c r="J70" s="8" t="n">
        <v>0</v>
      </c>
      <c r="K70" s="8" t="n">
        <v>0.619047619047619</v>
      </c>
      <c r="L70" s="8" t="n">
        <v>0.354838709677419</v>
      </c>
      <c r="M70" s="8" t="n">
        <v>0.2642089093702</v>
      </c>
    </row>
    <row r="71" customFormat="false" ht="15" hidden="false" customHeight="false" outlineLevel="0" collapsed="false">
      <c r="A71" s="22" t="s">
        <v>19</v>
      </c>
      <c r="B71" s="10" t="s">
        <v>20</v>
      </c>
      <c r="C71" s="22" t="s">
        <v>120</v>
      </c>
      <c r="D71" s="6" t="n">
        <v>72</v>
      </c>
      <c r="E71" s="8" t="n">
        <v>0.680555555555556</v>
      </c>
      <c r="F71" s="8" t="n">
        <v>0.880952380952381</v>
      </c>
      <c r="G71" s="8" t="n">
        <v>0.5</v>
      </c>
      <c r="H71" s="8" t="n">
        <v>0.785714285714286</v>
      </c>
      <c r="I71" s="8" t="n">
        <v>0.407407407407407</v>
      </c>
      <c r="J71" s="8" t="n">
        <v>0.333333333333333</v>
      </c>
      <c r="K71" s="8" t="n">
        <v>0.880952380952381</v>
      </c>
      <c r="L71" s="8" t="n">
        <v>0.4</v>
      </c>
      <c r="M71" s="8" t="n">
        <v>0.480952380952381</v>
      </c>
    </row>
    <row r="72" customFormat="false" ht="15" hidden="false" customHeight="false" outlineLevel="0" collapsed="false">
      <c r="A72" s="22" t="s">
        <v>19</v>
      </c>
      <c r="B72" s="10" t="s">
        <v>20</v>
      </c>
      <c r="C72" s="22" t="s">
        <v>121</v>
      </c>
      <c r="D72" s="6" t="n">
        <v>85</v>
      </c>
      <c r="E72" s="8" t="n">
        <v>0.541176470588235</v>
      </c>
      <c r="F72" s="8" t="n">
        <v>0.738095238095238</v>
      </c>
      <c r="G72" s="8" t="n">
        <v>0.357142857142857</v>
      </c>
      <c r="H72" s="8" t="n">
        <v>0.642857142857143</v>
      </c>
      <c r="I72" s="8" t="n">
        <v>0.35</v>
      </c>
      <c r="J72" s="8" t="n">
        <v>0.333333333333333</v>
      </c>
      <c r="K72" s="8" t="n">
        <v>0.738095238095238</v>
      </c>
      <c r="L72" s="8" t="n">
        <v>0.348837209302326</v>
      </c>
      <c r="M72" s="8" t="n">
        <v>0.389258028792913</v>
      </c>
    </row>
    <row r="73" customFormat="false" ht="15" hidden="false" customHeight="false" outlineLevel="0" collapsed="false">
      <c r="A73" s="22" t="s">
        <v>19</v>
      </c>
      <c r="B73" s="10" t="s">
        <v>20</v>
      </c>
      <c r="C73" s="22" t="s">
        <v>122</v>
      </c>
      <c r="D73" s="6" t="n">
        <v>81</v>
      </c>
      <c r="E73" s="8" t="n">
        <v>0.444444444444444</v>
      </c>
      <c r="F73" s="8" t="n">
        <v>0.523809523809524</v>
      </c>
      <c r="G73" s="8" t="n">
        <v>0.357142857142857</v>
      </c>
      <c r="H73" s="8" t="n">
        <v>0.482142857142857</v>
      </c>
      <c r="I73" s="8" t="n">
        <v>0.361111111111111</v>
      </c>
      <c r="J73" s="8" t="n">
        <v>0.333333333333333</v>
      </c>
      <c r="K73" s="8" t="n">
        <v>0.523809523809524</v>
      </c>
      <c r="L73" s="8" t="n">
        <v>0.358974358974359</v>
      </c>
      <c r="M73" s="8" t="n">
        <v>0.164835164835165</v>
      </c>
    </row>
    <row r="74" customFormat="false" ht="15" hidden="false" customHeight="false" outlineLevel="0" collapsed="false">
      <c r="A74" s="22" t="s">
        <v>19</v>
      </c>
      <c r="B74" s="10" t="s">
        <v>20</v>
      </c>
      <c r="C74" s="22" t="s">
        <v>123</v>
      </c>
      <c r="D74" s="6" t="n">
        <v>80</v>
      </c>
      <c r="E74" s="8" t="n">
        <v>0.5375</v>
      </c>
      <c r="F74" s="8" t="n">
        <v>0.642857142857143</v>
      </c>
      <c r="G74" s="8" t="n">
        <v>0.357142857142857</v>
      </c>
      <c r="H74" s="8" t="n">
        <v>0.571428571428571</v>
      </c>
      <c r="I74" s="8" t="n">
        <v>0.428571428571429</v>
      </c>
      <c r="J74" s="8" t="n">
        <v>0.333333333333333</v>
      </c>
      <c r="K74" s="8" t="n">
        <v>0.642857142857143</v>
      </c>
      <c r="L74" s="8" t="n">
        <v>0.421052631578947</v>
      </c>
      <c r="M74" s="8" t="n">
        <v>0.221804511278196</v>
      </c>
    </row>
    <row r="75" customFormat="false" ht="15" hidden="false" customHeight="false" outlineLevel="0" collapsed="false">
      <c r="A75" s="22" t="s">
        <v>19</v>
      </c>
      <c r="B75" s="10" t="s">
        <v>20</v>
      </c>
      <c r="C75" s="22" t="s">
        <v>124</v>
      </c>
      <c r="D75" s="6" t="n">
        <v>72</v>
      </c>
      <c r="E75" s="8" t="n">
        <v>0.583333333333333</v>
      </c>
      <c r="F75" s="8" t="n">
        <v>0.714285714285714</v>
      </c>
      <c r="G75" s="8" t="n">
        <v>0.5</v>
      </c>
      <c r="H75" s="8" t="n">
        <v>0.660714285714286</v>
      </c>
      <c r="I75" s="8" t="n">
        <v>0.444444444444444</v>
      </c>
      <c r="J75" s="8" t="n">
        <v>0</v>
      </c>
      <c r="K75" s="8" t="n">
        <v>0.714285714285714</v>
      </c>
      <c r="L75" s="8" t="n">
        <v>0.4</v>
      </c>
      <c r="M75" s="8" t="n">
        <v>0.314285714285714</v>
      </c>
    </row>
    <row r="76" customFormat="false" ht="15" hidden="false" customHeight="false" outlineLevel="0" collapsed="false">
      <c r="A76" s="22" t="s">
        <v>19</v>
      </c>
      <c r="B76" s="10" t="s">
        <v>20</v>
      </c>
      <c r="C76" s="22" t="s">
        <v>125</v>
      </c>
      <c r="D76" s="6" t="n">
        <v>72</v>
      </c>
      <c r="E76" s="8" t="n">
        <v>0.513888888888889</v>
      </c>
      <c r="F76" s="8" t="n">
        <v>0.619047619047619</v>
      </c>
      <c r="G76" s="8" t="n">
        <v>0.357142857142857</v>
      </c>
      <c r="H76" s="8" t="n">
        <v>0.553571428571429</v>
      </c>
      <c r="I76" s="8" t="n">
        <v>0.407407407407407</v>
      </c>
      <c r="J76" s="8" t="n">
        <v>0</v>
      </c>
      <c r="K76" s="8" t="n">
        <v>0.619047619047619</v>
      </c>
      <c r="L76" s="8" t="n">
        <v>0.366666666666667</v>
      </c>
      <c r="M76" s="8" t="n">
        <v>0.252380952380952</v>
      </c>
    </row>
    <row r="77" customFormat="false" ht="15" hidden="false" customHeight="false" outlineLevel="0" collapsed="false">
      <c r="A77" s="22" t="s">
        <v>19</v>
      </c>
      <c r="B77" s="10" t="s">
        <v>20</v>
      </c>
      <c r="C77" s="22" t="s">
        <v>126</v>
      </c>
      <c r="D77" s="6" t="n">
        <v>73</v>
      </c>
      <c r="E77" s="8" t="n">
        <v>0.561643835616438</v>
      </c>
      <c r="F77" s="8" t="n">
        <v>0.738095238095238</v>
      </c>
      <c r="G77" s="8" t="n">
        <v>0.5</v>
      </c>
      <c r="H77" s="8" t="n">
        <v>0.678571428571429</v>
      </c>
      <c r="I77" s="8" t="n">
        <v>0.321428571428571</v>
      </c>
      <c r="J77" s="8" t="n">
        <v>0.333333333333333</v>
      </c>
      <c r="K77" s="8" t="n">
        <v>0.738095238095238</v>
      </c>
      <c r="L77" s="8" t="n">
        <v>0.32258064516129</v>
      </c>
      <c r="M77" s="8" t="n">
        <v>0.415514592933948</v>
      </c>
    </row>
    <row r="78" customFormat="false" ht="15" hidden="false" customHeight="false" outlineLevel="0" collapsed="false">
      <c r="A78" s="22" t="s">
        <v>19</v>
      </c>
      <c r="B78" s="10" t="s">
        <v>20</v>
      </c>
      <c r="C78" s="22" t="s">
        <v>127</v>
      </c>
      <c r="D78" s="6" t="n">
        <v>72</v>
      </c>
      <c r="E78" s="8" t="n">
        <v>0.597222222222222</v>
      </c>
      <c r="F78" s="8" t="n">
        <v>0.738095238095238</v>
      </c>
      <c r="G78" s="8" t="n">
        <v>0.571428571428571</v>
      </c>
      <c r="H78" s="8" t="n">
        <v>0.696428571428571</v>
      </c>
      <c r="I78" s="8" t="n">
        <v>0.444444444444444</v>
      </c>
      <c r="J78" s="8" t="n">
        <v>0</v>
      </c>
      <c r="K78" s="8" t="n">
        <v>0.738095238095238</v>
      </c>
      <c r="L78" s="8" t="n">
        <v>0.4</v>
      </c>
      <c r="M78" s="8" t="n">
        <v>0.338095238095238</v>
      </c>
    </row>
    <row r="79" customFormat="false" ht="15" hidden="false" customHeight="false" outlineLevel="0" collapsed="false">
      <c r="A79" s="22" t="s">
        <v>19</v>
      </c>
      <c r="B79" s="10" t="s">
        <v>20</v>
      </c>
      <c r="C79" s="22" t="s">
        <v>128</v>
      </c>
      <c r="D79" s="6" t="n">
        <v>73</v>
      </c>
      <c r="E79" s="8" t="n">
        <v>0.561643835616438</v>
      </c>
      <c r="F79" s="8" t="n">
        <v>0.690476190476191</v>
      </c>
      <c r="G79" s="8" t="n">
        <v>0.428571428571429</v>
      </c>
      <c r="H79" s="8" t="n">
        <v>0.625</v>
      </c>
      <c r="I79" s="8" t="n">
        <v>0.392857142857143</v>
      </c>
      <c r="J79" s="8" t="n">
        <v>0.333333333333333</v>
      </c>
      <c r="K79" s="8" t="n">
        <v>0.690476190476191</v>
      </c>
      <c r="L79" s="8" t="n">
        <v>0.387096774193548</v>
      </c>
      <c r="M79" s="8" t="n">
        <v>0.303379416282642</v>
      </c>
    </row>
    <row r="80" customFormat="false" ht="15" hidden="false" customHeight="false" outlineLevel="0" collapsed="false">
      <c r="A80" s="22" t="s">
        <v>19</v>
      </c>
      <c r="B80" s="10" t="s">
        <v>20</v>
      </c>
      <c r="C80" s="22" t="s">
        <v>129</v>
      </c>
      <c r="D80" s="6" t="n">
        <v>88</v>
      </c>
      <c r="E80" s="8" t="n">
        <v>0.568181818181818</v>
      </c>
      <c r="F80" s="8" t="n">
        <v>0.642857142857143</v>
      </c>
      <c r="G80" s="8" t="n">
        <v>0.5</v>
      </c>
      <c r="H80" s="8" t="n">
        <v>0.607142857142857</v>
      </c>
      <c r="I80" s="8" t="n">
        <v>0.534883720930233</v>
      </c>
      <c r="J80" s="8" t="n">
        <v>0</v>
      </c>
      <c r="K80" s="8" t="n">
        <v>0.642857142857143</v>
      </c>
      <c r="L80" s="8" t="n">
        <v>0.5</v>
      </c>
      <c r="M80" s="8" t="n">
        <v>0.142857142857143</v>
      </c>
    </row>
    <row r="81" customFormat="false" ht="15" hidden="false" customHeight="false" outlineLevel="0" collapsed="false">
      <c r="A81" s="22" t="s">
        <v>19</v>
      </c>
      <c r="B81" s="10" t="s">
        <v>20</v>
      </c>
      <c r="C81" s="22" t="s">
        <v>130</v>
      </c>
      <c r="D81" s="6" t="n">
        <v>72</v>
      </c>
      <c r="E81" s="8" t="n">
        <v>0.416666666666667</v>
      </c>
      <c r="F81" s="8" t="n">
        <v>0.5</v>
      </c>
      <c r="G81" s="8" t="n">
        <v>0.428571428571429</v>
      </c>
      <c r="H81" s="8" t="n">
        <v>0.482142857142857</v>
      </c>
      <c r="I81" s="8" t="n">
        <v>0.333333333333333</v>
      </c>
      <c r="J81" s="8" t="n">
        <v>0</v>
      </c>
      <c r="K81" s="8" t="n">
        <v>0.5</v>
      </c>
      <c r="L81" s="8" t="n">
        <v>0.3</v>
      </c>
      <c r="M81" s="8" t="n">
        <v>0.2</v>
      </c>
    </row>
    <row r="82" customFormat="false" ht="15" hidden="false" customHeight="false" outlineLevel="0" collapsed="false">
      <c r="A82" s="22" t="s">
        <v>19</v>
      </c>
      <c r="B82" s="10" t="s">
        <v>20</v>
      </c>
      <c r="C82" s="22" t="s">
        <v>131</v>
      </c>
      <c r="D82" s="6" t="n">
        <v>72</v>
      </c>
      <c r="E82" s="8" t="n">
        <v>0.486111111111111</v>
      </c>
      <c r="F82" s="8" t="n">
        <v>0.547619047619048</v>
      </c>
      <c r="G82" s="8" t="n">
        <v>0.428571428571429</v>
      </c>
      <c r="H82" s="8" t="n">
        <v>0.517857142857143</v>
      </c>
      <c r="I82" s="8" t="n">
        <v>0.444444444444444</v>
      </c>
      <c r="J82" s="8" t="n">
        <v>0</v>
      </c>
      <c r="K82" s="8" t="n">
        <v>0.547619047619048</v>
      </c>
      <c r="L82" s="8" t="n">
        <v>0.4</v>
      </c>
      <c r="M82" s="8" t="n">
        <v>0.147619047619048</v>
      </c>
    </row>
    <row r="83" customFormat="false" ht="15" hidden="false" customHeight="false" outlineLevel="0" collapsed="false">
      <c r="A83" s="22" t="s">
        <v>19</v>
      </c>
      <c r="B83" s="10" t="s">
        <v>20</v>
      </c>
      <c r="C83" s="22" t="s">
        <v>132</v>
      </c>
      <c r="D83" s="6" t="n">
        <v>72</v>
      </c>
      <c r="E83" s="8" t="n">
        <v>0.5</v>
      </c>
      <c r="F83" s="8" t="n">
        <v>0.595238095238095</v>
      </c>
      <c r="G83" s="8" t="n">
        <v>0.5</v>
      </c>
      <c r="H83" s="8" t="n">
        <v>0.571428571428571</v>
      </c>
      <c r="I83" s="8" t="n">
        <v>0.407407407407407</v>
      </c>
      <c r="J83" s="8" t="n">
        <v>0</v>
      </c>
      <c r="K83" s="8" t="n">
        <v>0.595238095238095</v>
      </c>
      <c r="L83" s="8" t="n">
        <v>0.366666666666667</v>
      </c>
      <c r="M83" s="8" t="n">
        <v>0.228571428571429</v>
      </c>
    </row>
    <row r="84" customFormat="false" ht="15" hidden="false" customHeight="false" outlineLevel="0" collapsed="false">
      <c r="A84" s="22" t="s">
        <v>19</v>
      </c>
      <c r="B84" s="10" t="s">
        <v>20</v>
      </c>
      <c r="C84" s="22" t="s">
        <v>133</v>
      </c>
      <c r="D84" s="6" t="n">
        <v>71</v>
      </c>
      <c r="E84" s="8" t="n">
        <v>0.492957746478873</v>
      </c>
      <c r="F84" s="8" t="n">
        <v>0.571428571428571</v>
      </c>
      <c r="G84" s="8" t="n">
        <v>0.428571428571429</v>
      </c>
      <c r="H84" s="8" t="n">
        <v>0.535714285714286</v>
      </c>
      <c r="I84" s="8" t="n">
        <v>0.384615384615385</v>
      </c>
      <c r="J84" s="8" t="n">
        <v>0.333333333333333</v>
      </c>
      <c r="K84" s="8" t="n">
        <v>0.571428571428571</v>
      </c>
      <c r="L84" s="8" t="n">
        <v>0.379310344827586</v>
      </c>
      <c r="M84" s="8" t="n">
        <v>0.192118226600985</v>
      </c>
    </row>
    <row r="85" customFormat="false" ht="15" hidden="false" customHeight="false" outlineLevel="0" collapsed="false">
      <c r="A85" s="22" t="s">
        <v>19</v>
      </c>
      <c r="B85" s="10" t="s">
        <v>20</v>
      </c>
      <c r="C85" s="22" t="s">
        <v>134</v>
      </c>
      <c r="D85" s="6" t="n">
        <v>72</v>
      </c>
      <c r="E85" s="8" t="n">
        <v>0.541666666666667</v>
      </c>
      <c r="F85" s="8" t="n">
        <v>0.619047619047619</v>
      </c>
      <c r="G85" s="8" t="n">
        <v>0.5</v>
      </c>
      <c r="H85" s="8" t="n">
        <v>0.589285714285714</v>
      </c>
      <c r="I85" s="8" t="n">
        <v>0.481481481481481</v>
      </c>
      <c r="J85" s="8" t="n">
        <v>0</v>
      </c>
      <c r="K85" s="8" t="n">
        <v>0.619047619047619</v>
      </c>
      <c r="L85" s="8" t="n">
        <v>0.433333333333333</v>
      </c>
      <c r="M85" s="8" t="n">
        <v>0.185714285714286</v>
      </c>
    </row>
    <row r="86" customFormat="false" ht="15" hidden="false" customHeight="false" outlineLevel="0" collapsed="false">
      <c r="A86" s="22" t="s">
        <v>19</v>
      </c>
      <c r="B86" s="10" t="s">
        <v>20</v>
      </c>
      <c r="C86" s="22" t="s">
        <v>135</v>
      </c>
      <c r="D86" s="6" t="n">
        <v>72</v>
      </c>
      <c r="E86" s="8" t="n">
        <v>0.666666666666667</v>
      </c>
      <c r="F86" s="8" t="n">
        <v>0.761904761904762</v>
      </c>
      <c r="G86" s="8" t="n">
        <v>0.571428571428571</v>
      </c>
      <c r="H86" s="8" t="n">
        <v>0.714285714285714</v>
      </c>
      <c r="I86" s="8" t="n">
        <v>0.592592592592593</v>
      </c>
      <c r="J86" s="8" t="n">
        <v>0</v>
      </c>
      <c r="K86" s="8" t="n">
        <v>0.761904761904762</v>
      </c>
      <c r="L86" s="8" t="n">
        <v>0.533333333333333</v>
      </c>
      <c r="M86" s="8" t="n">
        <v>0.228571428571429</v>
      </c>
    </row>
    <row r="87" customFormat="false" ht="15" hidden="false" customHeight="false" outlineLevel="0" collapsed="false">
      <c r="A87" s="22" t="s">
        <v>19</v>
      </c>
      <c r="B87" s="10" t="s">
        <v>20</v>
      </c>
      <c r="C87" s="22" t="s">
        <v>136</v>
      </c>
      <c r="D87" s="6" t="n">
        <v>70</v>
      </c>
      <c r="E87" s="8" t="n">
        <v>0.5</v>
      </c>
      <c r="F87" s="8" t="n">
        <v>0.619047619047619</v>
      </c>
      <c r="G87" s="8" t="n">
        <v>0.285714285714286</v>
      </c>
      <c r="H87" s="8" t="n">
        <v>0.535714285714286</v>
      </c>
      <c r="I87" s="8" t="n">
        <v>0.36</v>
      </c>
      <c r="J87" s="8" t="n">
        <v>0</v>
      </c>
      <c r="K87" s="8" t="n">
        <v>0.619047619047619</v>
      </c>
      <c r="L87" s="8" t="n">
        <v>0.321428571428571</v>
      </c>
      <c r="M87" s="8" t="n">
        <v>0.297619047619048</v>
      </c>
    </row>
    <row r="88" customFormat="false" ht="15" hidden="false" customHeight="false" outlineLevel="0" collapsed="false">
      <c r="A88" s="22" t="s">
        <v>19</v>
      </c>
      <c r="B88" s="10" t="s">
        <v>20</v>
      </c>
      <c r="C88" s="22" t="s">
        <v>137</v>
      </c>
      <c r="D88" s="6" t="n">
        <v>73</v>
      </c>
      <c r="E88" s="8" t="n">
        <v>0.479452054794521</v>
      </c>
      <c r="F88" s="8" t="n">
        <v>0.571428571428571</v>
      </c>
      <c r="G88" s="8" t="n">
        <v>0.428571428571429</v>
      </c>
      <c r="H88" s="8" t="n">
        <v>0.535714285714286</v>
      </c>
      <c r="I88" s="8" t="n">
        <v>0.392857142857143</v>
      </c>
      <c r="J88" s="8" t="n">
        <v>0</v>
      </c>
      <c r="K88" s="8" t="n">
        <v>0.571428571428571</v>
      </c>
      <c r="L88" s="8" t="n">
        <v>0.354838709677419</v>
      </c>
      <c r="M88" s="8" t="n">
        <v>0.216589861751152</v>
      </c>
    </row>
    <row r="89" customFormat="false" ht="15" hidden="false" customHeight="false" outlineLevel="0" collapsed="false">
      <c r="A89" s="22" t="s">
        <v>19</v>
      </c>
      <c r="B89" s="10" t="s">
        <v>20</v>
      </c>
      <c r="C89" s="22" t="s">
        <v>138</v>
      </c>
      <c r="D89" s="6" t="n">
        <v>72</v>
      </c>
      <c r="E89" s="8" t="n">
        <v>0.694444444444444</v>
      </c>
      <c r="F89" s="8" t="n">
        <v>0.880952380952381</v>
      </c>
      <c r="G89" s="8" t="n">
        <v>0.5</v>
      </c>
      <c r="H89" s="8" t="n">
        <v>0.785714285714286</v>
      </c>
      <c r="I89" s="8" t="n">
        <v>0.444444444444444</v>
      </c>
      <c r="J89" s="8" t="n">
        <v>0.333333333333333</v>
      </c>
      <c r="K89" s="8" t="n">
        <v>0.880952380952381</v>
      </c>
      <c r="L89" s="8" t="n">
        <v>0.433333333333333</v>
      </c>
      <c r="M89" s="8" t="n">
        <v>0.447619047619048</v>
      </c>
    </row>
    <row r="90" customFormat="false" ht="15" hidden="false" customHeight="false" outlineLevel="0" collapsed="false">
      <c r="A90" s="22" t="s">
        <v>19</v>
      </c>
      <c r="B90" s="10" t="s">
        <v>20</v>
      </c>
      <c r="C90" s="22" t="s">
        <v>139</v>
      </c>
      <c r="D90" s="6" t="n">
        <v>73</v>
      </c>
      <c r="E90" s="8" t="n">
        <v>0.561643835616438</v>
      </c>
      <c r="F90" s="8" t="n">
        <v>0.690476190476191</v>
      </c>
      <c r="G90" s="8" t="n">
        <v>0.428571428571429</v>
      </c>
      <c r="H90" s="8" t="n">
        <v>0.625</v>
      </c>
      <c r="I90" s="8" t="n">
        <v>0.392857142857143</v>
      </c>
      <c r="J90" s="8" t="n">
        <v>0.333333333333333</v>
      </c>
      <c r="K90" s="8" t="n">
        <v>0.690476190476191</v>
      </c>
      <c r="L90" s="8" t="n">
        <v>0.387096774193548</v>
      </c>
      <c r="M90" s="8" t="n">
        <v>0.303379416282642</v>
      </c>
    </row>
    <row r="91" customFormat="false" ht="15" hidden="false" customHeight="false" outlineLevel="0" collapsed="false">
      <c r="A91" s="22" t="s">
        <v>19</v>
      </c>
      <c r="B91" s="10" t="s">
        <v>20</v>
      </c>
      <c r="C91" s="22" t="s">
        <v>140</v>
      </c>
      <c r="D91" s="6" t="n">
        <v>72</v>
      </c>
      <c r="E91" s="8" t="n">
        <v>0.541666666666667</v>
      </c>
      <c r="F91" s="8" t="n">
        <v>0.619047619047619</v>
      </c>
      <c r="G91" s="8" t="n">
        <v>0.5</v>
      </c>
      <c r="H91" s="8" t="n">
        <v>0.589285714285714</v>
      </c>
      <c r="I91" s="8" t="n">
        <v>0.481481481481481</v>
      </c>
      <c r="J91" s="8" t="n">
        <v>0</v>
      </c>
      <c r="K91" s="8" t="n">
        <v>0.619047619047619</v>
      </c>
      <c r="L91" s="8" t="n">
        <v>0.433333333333333</v>
      </c>
      <c r="M91" s="8" t="n">
        <v>0.185714285714286</v>
      </c>
    </row>
    <row r="92" customFormat="false" ht="15" hidden="false" customHeight="false" outlineLevel="0" collapsed="false">
      <c r="A92" s="22" t="s">
        <v>19</v>
      </c>
      <c r="B92" s="10" t="s">
        <v>20</v>
      </c>
      <c r="C92" s="22" t="s">
        <v>141</v>
      </c>
      <c r="D92" s="6" t="n">
        <v>72</v>
      </c>
      <c r="E92" s="8" t="n">
        <v>0.694444444444444</v>
      </c>
      <c r="F92" s="8" t="n">
        <v>0.857142857142857</v>
      </c>
      <c r="G92" s="8" t="n">
        <v>0.428571428571429</v>
      </c>
      <c r="H92" s="8" t="n">
        <v>0.75</v>
      </c>
      <c r="I92" s="8" t="n">
        <v>0.444444444444444</v>
      </c>
      <c r="J92" s="8" t="n">
        <v>0.666666666666667</v>
      </c>
      <c r="K92" s="8" t="n">
        <v>0.857142857142857</v>
      </c>
      <c r="L92" s="8" t="n">
        <v>0.466666666666667</v>
      </c>
      <c r="M92" s="8" t="n">
        <v>0.39047619047619</v>
      </c>
    </row>
    <row r="93" customFormat="false" ht="15" hidden="false" customHeight="false" outlineLevel="0" collapsed="false">
      <c r="A93" s="22" t="s">
        <v>19</v>
      </c>
      <c r="B93" s="10" t="s">
        <v>20</v>
      </c>
      <c r="C93" s="22" t="s">
        <v>142</v>
      </c>
      <c r="D93" s="6" t="n">
        <v>74</v>
      </c>
      <c r="E93" s="8" t="n">
        <v>0.689189189189189</v>
      </c>
      <c r="F93" s="8" t="n">
        <v>0.904761904761905</v>
      </c>
      <c r="G93" s="8" t="n">
        <v>0.357142857142857</v>
      </c>
      <c r="H93" s="8" t="n">
        <v>0.767857142857143</v>
      </c>
      <c r="I93" s="8" t="n">
        <v>0.413793103448276</v>
      </c>
      <c r="J93" s="8" t="n">
        <v>0.333333333333333</v>
      </c>
      <c r="K93" s="8" t="n">
        <v>0.904761904761905</v>
      </c>
      <c r="L93" s="8" t="n">
        <v>0.40625</v>
      </c>
      <c r="M93" s="8" t="n">
        <v>0.498511904761905</v>
      </c>
    </row>
    <row r="94" customFormat="false" ht="15" hidden="false" customHeight="false" outlineLevel="0" collapsed="false">
      <c r="A94" s="22" t="s">
        <v>19</v>
      </c>
      <c r="B94" s="10" t="s">
        <v>20</v>
      </c>
      <c r="C94" s="22" t="s">
        <v>143</v>
      </c>
      <c r="D94" s="6" t="n">
        <v>74</v>
      </c>
      <c r="E94" s="8" t="n">
        <v>0.756756756756757</v>
      </c>
      <c r="F94" s="8" t="n">
        <v>1</v>
      </c>
      <c r="G94" s="8" t="n">
        <v>0.5</v>
      </c>
      <c r="H94" s="8" t="n">
        <v>0.875</v>
      </c>
      <c r="I94" s="8" t="n">
        <v>0.413793103448276</v>
      </c>
      <c r="J94" s="8" t="n">
        <v>0.666666666666667</v>
      </c>
      <c r="K94" s="8" t="n">
        <v>1</v>
      </c>
      <c r="L94" s="8" t="n">
        <v>0.4375</v>
      </c>
      <c r="M94" s="8" t="n">
        <v>0.5625</v>
      </c>
    </row>
    <row r="95" customFormat="false" ht="15" hidden="false" customHeight="false" outlineLevel="0" collapsed="false">
      <c r="A95" s="22" t="s">
        <v>19</v>
      </c>
      <c r="B95" s="10" t="s">
        <v>20</v>
      </c>
      <c r="C95" s="22" t="s">
        <v>144</v>
      </c>
      <c r="D95" s="6" t="n">
        <v>74</v>
      </c>
      <c r="E95" s="8" t="n">
        <v>0.72972972972973</v>
      </c>
      <c r="F95" s="8" t="n">
        <v>0.952380952380952</v>
      </c>
      <c r="G95" s="8" t="n">
        <v>0.5</v>
      </c>
      <c r="H95" s="8" t="n">
        <v>0.839285714285714</v>
      </c>
      <c r="I95" s="8" t="n">
        <v>0.413793103448276</v>
      </c>
      <c r="J95" s="8" t="n">
        <v>0.666666666666667</v>
      </c>
      <c r="K95" s="8" t="n">
        <v>0.952380952380952</v>
      </c>
      <c r="L95" s="8" t="n">
        <v>0.4375</v>
      </c>
      <c r="M95" s="8" t="n">
        <v>0.514880952380952</v>
      </c>
    </row>
    <row r="96" customFormat="false" ht="15" hidden="false" customHeight="false" outlineLevel="0" collapsed="false">
      <c r="A96" s="22" t="s">
        <v>19</v>
      </c>
      <c r="B96" s="10" t="s">
        <v>20</v>
      </c>
      <c r="C96" s="22" t="s">
        <v>145</v>
      </c>
      <c r="D96" s="6" t="n">
        <v>73</v>
      </c>
      <c r="E96" s="8" t="n">
        <v>0.753424657534247</v>
      </c>
      <c r="F96" s="8" t="n">
        <v>0.928571428571429</v>
      </c>
      <c r="G96" s="8" t="n">
        <v>0.5</v>
      </c>
      <c r="H96" s="8" t="n">
        <v>0.821428571428571</v>
      </c>
      <c r="I96" s="8" t="n">
        <v>0.535714285714286</v>
      </c>
      <c r="J96" s="8" t="n">
        <v>0.333333333333333</v>
      </c>
      <c r="K96" s="8" t="n">
        <v>0.928571428571429</v>
      </c>
      <c r="L96" s="8" t="n">
        <v>0.516129032258065</v>
      </c>
      <c r="M96" s="8" t="n">
        <v>0.412442396313364</v>
      </c>
    </row>
    <row r="97" customFormat="false" ht="15" hidden="false" customHeight="false" outlineLevel="0" collapsed="false">
      <c r="A97" s="22" t="s">
        <v>19</v>
      </c>
      <c r="B97" s="10" t="s">
        <v>20</v>
      </c>
      <c r="C97" s="22" t="s">
        <v>146</v>
      </c>
      <c r="D97" s="6" t="n">
        <v>70</v>
      </c>
      <c r="E97" s="8" t="n">
        <v>0.6</v>
      </c>
      <c r="F97" s="8" t="n">
        <v>0.714285714285714</v>
      </c>
      <c r="G97" s="8" t="n">
        <v>0.428571428571429</v>
      </c>
      <c r="H97" s="8" t="n">
        <v>0.642857142857143</v>
      </c>
      <c r="I97" s="8" t="n">
        <v>0.44</v>
      </c>
      <c r="J97" s="8" t="n">
        <v>0.333333333333333</v>
      </c>
      <c r="K97" s="8" t="n">
        <v>0.714285714285714</v>
      </c>
      <c r="L97" s="8" t="n">
        <v>0.428571428571429</v>
      </c>
      <c r="M97" s="8" t="n">
        <v>0.285714285714286</v>
      </c>
    </row>
    <row r="98" customFormat="false" ht="15" hidden="false" customHeight="false" outlineLevel="0" collapsed="false">
      <c r="A98" s="22" t="s">
        <v>19</v>
      </c>
      <c r="B98" s="10" t="s">
        <v>20</v>
      </c>
      <c r="C98" s="22" t="s">
        <v>147</v>
      </c>
      <c r="D98" s="6" t="n">
        <v>71</v>
      </c>
      <c r="E98" s="8" t="n">
        <v>0.605633802816901</v>
      </c>
      <c r="F98" s="8" t="n">
        <v>0.714285714285714</v>
      </c>
      <c r="G98" s="8" t="n">
        <v>0.428571428571429</v>
      </c>
      <c r="H98" s="8" t="n">
        <v>0.642857142857143</v>
      </c>
      <c r="I98" s="8" t="n">
        <v>0.461538461538462</v>
      </c>
      <c r="J98" s="8" t="n">
        <v>0.333333333333333</v>
      </c>
      <c r="K98" s="8" t="n">
        <v>0.714285714285714</v>
      </c>
      <c r="L98" s="8" t="n">
        <v>0.448275862068966</v>
      </c>
      <c r="M98" s="8" t="n">
        <v>0.266009852216749</v>
      </c>
    </row>
    <row r="99" customFormat="false" ht="15" hidden="false" customHeight="false" outlineLevel="0" collapsed="false">
      <c r="A99" s="22" t="s">
        <v>19</v>
      </c>
      <c r="B99" s="10" t="s">
        <v>20</v>
      </c>
      <c r="C99" s="22" t="s">
        <v>148</v>
      </c>
      <c r="D99" s="6" t="n">
        <v>71</v>
      </c>
      <c r="E99" s="8" t="n">
        <v>0.563380281690141</v>
      </c>
      <c r="F99" s="8" t="n">
        <v>0.690476190476191</v>
      </c>
      <c r="G99" s="8" t="n">
        <v>0.428571428571429</v>
      </c>
      <c r="H99" s="8" t="n">
        <v>0.625</v>
      </c>
      <c r="I99" s="8" t="n">
        <v>0.423076923076923</v>
      </c>
      <c r="J99" s="8" t="n">
        <v>0</v>
      </c>
      <c r="K99" s="8" t="n">
        <v>0.690476190476191</v>
      </c>
      <c r="L99" s="8" t="n">
        <v>0.379310344827586</v>
      </c>
      <c r="M99" s="8" t="n">
        <v>0.311165845648604</v>
      </c>
    </row>
    <row r="100" customFormat="false" ht="15" hidden="false" customHeight="false" outlineLevel="0" collapsed="false">
      <c r="A100" s="22" t="s">
        <v>19</v>
      </c>
      <c r="B100" s="10" t="s">
        <v>20</v>
      </c>
      <c r="C100" s="22" t="s">
        <v>149</v>
      </c>
      <c r="D100" s="6" t="n">
        <v>71</v>
      </c>
      <c r="E100" s="8" t="n">
        <v>0.591549295774648</v>
      </c>
      <c r="F100" s="8" t="n">
        <v>0.738095238095238</v>
      </c>
      <c r="G100" s="8" t="n">
        <v>0.571428571428571</v>
      </c>
      <c r="H100" s="8" t="n">
        <v>0.696428571428571</v>
      </c>
      <c r="I100" s="8" t="n">
        <v>0.384615384615385</v>
      </c>
      <c r="J100" s="8" t="n">
        <v>0.333333333333333</v>
      </c>
      <c r="K100" s="8" t="n">
        <v>0.738095238095238</v>
      </c>
      <c r="L100" s="8" t="n">
        <v>0.379310344827586</v>
      </c>
      <c r="M100" s="8" t="n">
        <v>0.358784893267652</v>
      </c>
    </row>
    <row r="101" customFormat="false" ht="15" hidden="false" customHeight="false" outlineLevel="0" collapsed="false">
      <c r="A101" s="22" t="s">
        <v>19</v>
      </c>
      <c r="B101" s="10" t="s">
        <v>20</v>
      </c>
      <c r="C101" s="22" t="s">
        <v>150</v>
      </c>
      <c r="D101" s="6" t="n">
        <v>71</v>
      </c>
      <c r="E101" s="8" t="n">
        <v>0.577464788732394</v>
      </c>
      <c r="F101" s="8" t="n">
        <v>0.666666666666667</v>
      </c>
      <c r="G101" s="8" t="n">
        <v>0.428571428571429</v>
      </c>
      <c r="H101" s="8" t="n">
        <v>0.607142857142857</v>
      </c>
      <c r="I101" s="8" t="n">
        <v>0.461538461538462</v>
      </c>
      <c r="J101" s="8" t="n">
        <v>0.333333333333333</v>
      </c>
      <c r="K101" s="8" t="n">
        <v>0.666666666666667</v>
      </c>
      <c r="L101" s="8" t="n">
        <v>0.448275862068966</v>
      </c>
      <c r="M101" s="8" t="n">
        <v>0.218390804597701</v>
      </c>
    </row>
    <row r="102" customFormat="false" ht="15" hidden="false" customHeight="false" outlineLevel="0" collapsed="false">
      <c r="A102" s="22" t="s">
        <v>19</v>
      </c>
      <c r="B102" s="10" t="s">
        <v>20</v>
      </c>
      <c r="C102" s="22" t="s">
        <v>151</v>
      </c>
      <c r="D102" s="6" t="n">
        <v>72</v>
      </c>
      <c r="E102" s="8" t="n">
        <v>0.527777777777778</v>
      </c>
      <c r="F102" s="8" t="n">
        <v>0.595238095238095</v>
      </c>
      <c r="G102" s="8" t="n">
        <v>0.5</v>
      </c>
      <c r="H102" s="8" t="n">
        <v>0.571428571428571</v>
      </c>
      <c r="I102" s="8" t="n">
        <v>0.444444444444444</v>
      </c>
      <c r="J102" s="8" t="n">
        <v>0.333333333333333</v>
      </c>
      <c r="K102" s="8" t="n">
        <v>0.595238095238095</v>
      </c>
      <c r="L102" s="8" t="n">
        <v>0.433333333333333</v>
      </c>
      <c r="M102" s="8" t="n">
        <v>0.161904761904762</v>
      </c>
    </row>
    <row r="103" customFormat="false" ht="15" hidden="false" customHeight="false" outlineLevel="0" collapsed="false">
      <c r="A103" s="22" t="s">
        <v>19</v>
      </c>
      <c r="B103" s="10" t="s">
        <v>20</v>
      </c>
      <c r="C103" s="22" t="s">
        <v>152</v>
      </c>
      <c r="D103" s="6" t="n">
        <v>71</v>
      </c>
      <c r="E103" s="8" t="n">
        <v>0.577464788732394</v>
      </c>
      <c r="F103" s="8" t="n">
        <v>0.690476190476191</v>
      </c>
      <c r="G103" s="8" t="n">
        <v>0.5</v>
      </c>
      <c r="H103" s="8" t="n">
        <v>0.642857142857143</v>
      </c>
      <c r="I103" s="8" t="n">
        <v>0.423076923076923</v>
      </c>
      <c r="J103" s="8" t="n">
        <v>0.333333333333333</v>
      </c>
      <c r="K103" s="8" t="n">
        <v>0.690476190476191</v>
      </c>
      <c r="L103" s="8" t="n">
        <v>0.413793103448276</v>
      </c>
      <c r="M103" s="8" t="n">
        <v>0.276683087027915</v>
      </c>
    </row>
    <row r="104" customFormat="false" ht="15" hidden="false" customHeight="false" outlineLevel="0" collapsed="false">
      <c r="A104" s="22" t="s">
        <v>19</v>
      </c>
      <c r="B104" s="10" t="s">
        <v>20</v>
      </c>
      <c r="C104" s="22" t="s">
        <v>153</v>
      </c>
      <c r="D104" s="6" t="n">
        <v>73</v>
      </c>
      <c r="E104" s="8" t="n">
        <v>0.575342465753425</v>
      </c>
      <c r="F104" s="8" t="n">
        <v>0.738095238095238</v>
      </c>
      <c r="G104" s="8" t="n">
        <v>0.357142857142857</v>
      </c>
      <c r="H104" s="8" t="n">
        <v>0.642857142857143</v>
      </c>
      <c r="I104" s="8" t="n">
        <v>0.321428571428571</v>
      </c>
      <c r="J104" s="8" t="n">
        <v>0.666666666666667</v>
      </c>
      <c r="K104" s="8" t="n">
        <v>0.738095238095238</v>
      </c>
      <c r="L104" s="8" t="n">
        <v>0.354838709677419</v>
      </c>
      <c r="M104" s="8" t="n">
        <v>0.383256528417819</v>
      </c>
    </row>
    <row r="105" customFormat="false" ht="15" hidden="false" customHeight="false" outlineLevel="0" collapsed="false">
      <c r="A105" s="22" t="s">
        <v>19</v>
      </c>
      <c r="B105" s="10" t="s">
        <v>20</v>
      </c>
      <c r="C105" s="22" t="s">
        <v>154</v>
      </c>
      <c r="D105" s="6" t="n">
        <v>73</v>
      </c>
      <c r="E105" s="8" t="n">
        <v>0.616438356164384</v>
      </c>
      <c r="F105" s="8" t="n">
        <v>0.80952380952381</v>
      </c>
      <c r="G105" s="8" t="n">
        <v>0.5</v>
      </c>
      <c r="H105" s="8" t="n">
        <v>0.732142857142857</v>
      </c>
      <c r="I105" s="8" t="n">
        <v>0.357142857142857</v>
      </c>
      <c r="J105" s="8" t="n">
        <v>0.333333333333333</v>
      </c>
      <c r="K105" s="8" t="n">
        <v>0.80952380952381</v>
      </c>
      <c r="L105" s="8" t="n">
        <v>0.354838709677419</v>
      </c>
      <c r="M105" s="8" t="n">
        <v>0.45468509984639</v>
      </c>
    </row>
    <row r="106" customFormat="false" ht="15" hidden="false" customHeight="false" outlineLevel="0" collapsed="false">
      <c r="A106" s="22" t="s">
        <v>19</v>
      </c>
      <c r="B106" s="10" t="s">
        <v>20</v>
      </c>
      <c r="C106" s="22" t="s">
        <v>155</v>
      </c>
      <c r="D106" s="6" t="n">
        <v>72</v>
      </c>
      <c r="E106" s="8" t="n">
        <v>0.555555555555556</v>
      </c>
      <c r="F106" s="8" t="n">
        <v>0.690476190476191</v>
      </c>
      <c r="G106" s="8" t="n">
        <v>0.5</v>
      </c>
      <c r="H106" s="8" t="n">
        <v>0.642857142857143</v>
      </c>
      <c r="I106" s="8" t="n">
        <v>0.407407407407407</v>
      </c>
      <c r="J106" s="8" t="n">
        <v>0</v>
      </c>
      <c r="K106" s="8" t="n">
        <v>0.690476190476191</v>
      </c>
      <c r="L106" s="8" t="n">
        <v>0.366666666666667</v>
      </c>
      <c r="M106" s="8" t="n">
        <v>0.323809523809524</v>
      </c>
    </row>
    <row r="107" customFormat="false" ht="15" hidden="false" customHeight="false" outlineLevel="0" collapsed="false">
      <c r="A107" s="22" t="s">
        <v>19</v>
      </c>
      <c r="B107" s="10" t="s">
        <v>20</v>
      </c>
      <c r="C107" s="22" t="s">
        <v>156</v>
      </c>
      <c r="D107" s="6" t="n">
        <v>72</v>
      </c>
      <c r="E107" s="8" t="n">
        <v>0.625</v>
      </c>
      <c r="F107" s="8" t="n">
        <v>0.738095238095238</v>
      </c>
      <c r="G107" s="8" t="n">
        <v>0.5</v>
      </c>
      <c r="H107" s="8" t="n">
        <v>0.678571428571429</v>
      </c>
      <c r="I107" s="8" t="n">
        <v>0.518518518518519</v>
      </c>
      <c r="J107" s="8" t="n">
        <v>0</v>
      </c>
      <c r="K107" s="8" t="n">
        <v>0.738095238095238</v>
      </c>
      <c r="L107" s="8" t="n">
        <v>0.466666666666667</v>
      </c>
      <c r="M107" s="8" t="n">
        <v>0.271428571428571</v>
      </c>
    </row>
    <row r="108" customFormat="false" ht="15" hidden="false" customHeight="false" outlineLevel="0" collapsed="false">
      <c r="A108" s="22" t="s">
        <v>19</v>
      </c>
      <c r="B108" s="10" t="s">
        <v>20</v>
      </c>
      <c r="C108" s="22" t="s">
        <v>157</v>
      </c>
      <c r="D108" s="6" t="n">
        <v>73</v>
      </c>
      <c r="E108" s="8" t="n">
        <v>0.602739726027397</v>
      </c>
      <c r="F108" s="8" t="n">
        <v>0.738095238095238</v>
      </c>
      <c r="G108" s="8" t="n">
        <v>0.357142857142857</v>
      </c>
      <c r="H108" s="8" t="n">
        <v>0.642857142857143</v>
      </c>
      <c r="I108" s="8" t="n">
        <v>0.392857142857143</v>
      </c>
      <c r="J108" s="8" t="n">
        <v>0.666666666666667</v>
      </c>
      <c r="K108" s="8" t="n">
        <v>0.738095238095238</v>
      </c>
      <c r="L108" s="8" t="n">
        <v>0.419354838709677</v>
      </c>
      <c r="M108" s="8" t="n">
        <v>0.318740399385561</v>
      </c>
    </row>
    <row r="109" customFormat="false" ht="15" hidden="false" customHeight="false" outlineLevel="0" collapsed="false">
      <c r="A109" s="22" t="s">
        <v>19</v>
      </c>
      <c r="B109" s="10" t="s">
        <v>20</v>
      </c>
      <c r="C109" s="22" t="s">
        <v>158</v>
      </c>
      <c r="D109" s="6" t="n">
        <v>73</v>
      </c>
      <c r="E109" s="8" t="n">
        <v>0.602739726027397</v>
      </c>
      <c r="F109" s="8" t="n">
        <v>0.738095238095238</v>
      </c>
      <c r="G109" s="8" t="n">
        <v>0.571428571428571</v>
      </c>
      <c r="H109" s="8" t="n">
        <v>0.696428571428571</v>
      </c>
      <c r="I109" s="8" t="n">
        <v>0.428571428571429</v>
      </c>
      <c r="J109" s="8" t="n">
        <v>0.333333333333333</v>
      </c>
      <c r="K109" s="8" t="n">
        <v>0.738095238095238</v>
      </c>
      <c r="L109" s="8" t="n">
        <v>0.419354838709677</v>
      </c>
      <c r="M109" s="8" t="n">
        <v>0.318740399385561</v>
      </c>
    </row>
    <row r="110" customFormat="false" ht="15" hidden="false" customHeight="false" outlineLevel="0" collapsed="false">
      <c r="A110" s="22" t="s">
        <v>19</v>
      </c>
      <c r="B110" s="10" t="s">
        <v>20</v>
      </c>
      <c r="C110" s="22" t="s">
        <v>159</v>
      </c>
      <c r="D110" s="6" t="n">
        <v>71</v>
      </c>
      <c r="E110" s="8" t="n">
        <v>0.619718309859155</v>
      </c>
      <c r="F110" s="8" t="n">
        <v>0.666666666666667</v>
      </c>
      <c r="G110" s="8" t="n">
        <v>0.5</v>
      </c>
      <c r="H110" s="8" t="n">
        <v>0.625</v>
      </c>
      <c r="I110" s="8" t="n">
        <v>0.538461538461538</v>
      </c>
      <c r="J110" s="8" t="n">
        <v>0.666666666666667</v>
      </c>
      <c r="K110" s="8" t="n">
        <v>0.666666666666667</v>
      </c>
      <c r="L110" s="8" t="n">
        <v>0.551724137931035</v>
      </c>
      <c r="M110" s="8" t="n">
        <v>0.114942528735632</v>
      </c>
    </row>
    <row r="111" customFormat="false" ht="15" hidden="false" customHeight="false" outlineLevel="0" collapsed="false">
      <c r="A111" s="22" t="s">
        <v>19</v>
      </c>
      <c r="B111" s="10" t="s">
        <v>20</v>
      </c>
      <c r="C111" s="22" t="s">
        <v>160</v>
      </c>
      <c r="D111" s="6" t="n">
        <v>71</v>
      </c>
      <c r="E111" s="8" t="n">
        <v>0.549295774647887</v>
      </c>
      <c r="F111" s="8" t="n">
        <v>0.642857142857143</v>
      </c>
      <c r="G111" s="8" t="n">
        <v>0.5</v>
      </c>
      <c r="H111" s="8" t="n">
        <v>0.607142857142857</v>
      </c>
      <c r="I111" s="8" t="n">
        <v>0.423076923076923</v>
      </c>
      <c r="J111" s="8" t="n">
        <v>0.333333333333333</v>
      </c>
      <c r="K111" s="8" t="n">
        <v>0.642857142857143</v>
      </c>
      <c r="L111" s="8" t="n">
        <v>0.413793103448276</v>
      </c>
      <c r="M111" s="8" t="n">
        <v>0.229064039408867</v>
      </c>
    </row>
    <row r="112" customFormat="false" ht="15" hidden="false" customHeight="false" outlineLevel="0" collapsed="false">
      <c r="A112" s="22" t="s">
        <v>19</v>
      </c>
      <c r="B112" s="10" t="s">
        <v>20</v>
      </c>
      <c r="C112" s="22" t="s">
        <v>161</v>
      </c>
      <c r="D112" s="6" t="n">
        <v>73</v>
      </c>
      <c r="E112" s="8" t="n">
        <v>0.575342465753425</v>
      </c>
      <c r="F112" s="8" t="n">
        <v>0.738095238095238</v>
      </c>
      <c r="G112" s="8" t="n">
        <v>0.5</v>
      </c>
      <c r="H112" s="8" t="n">
        <v>0.678571428571429</v>
      </c>
      <c r="I112" s="8" t="n">
        <v>0.357142857142857</v>
      </c>
      <c r="J112" s="8" t="n">
        <v>0.333333333333333</v>
      </c>
      <c r="K112" s="8" t="n">
        <v>0.738095238095238</v>
      </c>
      <c r="L112" s="8" t="n">
        <v>0.354838709677419</v>
      </c>
      <c r="M112" s="8" t="n">
        <v>0.383256528417819</v>
      </c>
    </row>
    <row r="113" customFormat="false" ht="15" hidden="false" customHeight="false" outlineLevel="0" collapsed="false">
      <c r="A113" s="22" t="s">
        <v>19</v>
      </c>
      <c r="B113" s="10" t="s">
        <v>20</v>
      </c>
      <c r="C113" s="22" t="s">
        <v>162</v>
      </c>
      <c r="D113" s="6" t="n">
        <v>74</v>
      </c>
      <c r="E113" s="8" t="n">
        <v>0.540540540540541</v>
      </c>
      <c r="F113" s="8" t="n">
        <v>0.690476190476191</v>
      </c>
      <c r="G113" s="8" t="n">
        <v>0.428571428571429</v>
      </c>
      <c r="H113" s="8" t="n">
        <v>0.625</v>
      </c>
      <c r="I113" s="8" t="n">
        <v>0.344827586206897</v>
      </c>
      <c r="J113" s="8" t="n">
        <v>0.333333333333333</v>
      </c>
      <c r="K113" s="8" t="n">
        <v>0.690476190476191</v>
      </c>
      <c r="L113" s="8" t="n">
        <v>0.34375</v>
      </c>
      <c r="M113" s="8" t="n">
        <v>0.34672619047619</v>
      </c>
    </row>
    <row r="114" customFormat="false" ht="15" hidden="false" customHeight="false" outlineLevel="0" collapsed="false">
      <c r="A114" s="22" t="s">
        <v>19</v>
      </c>
      <c r="B114" s="10" t="s">
        <v>20</v>
      </c>
      <c r="C114" s="22" t="s">
        <v>163</v>
      </c>
      <c r="D114" s="6" t="n">
        <v>74</v>
      </c>
      <c r="E114" s="8" t="n">
        <v>0.648648648648649</v>
      </c>
      <c r="F114" s="8" t="n">
        <v>0.833333333333333</v>
      </c>
      <c r="G114" s="8" t="n">
        <v>0.428571428571429</v>
      </c>
      <c r="H114" s="8" t="n">
        <v>0.732142857142857</v>
      </c>
      <c r="I114" s="8" t="n">
        <v>0.413793103448276</v>
      </c>
      <c r="J114" s="8" t="n">
        <v>0.333333333333333</v>
      </c>
      <c r="K114" s="8" t="n">
        <v>0.833333333333333</v>
      </c>
      <c r="L114" s="8" t="n">
        <v>0.40625</v>
      </c>
      <c r="M114" s="8" t="n">
        <v>0.427083333333333</v>
      </c>
    </row>
    <row r="115" customFormat="false" ht="15" hidden="false" customHeight="false" outlineLevel="0" collapsed="false">
      <c r="A115" s="22" t="s">
        <v>19</v>
      </c>
      <c r="B115" s="10" t="s">
        <v>20</v>
      </c>
      <c r="C115" s="22" t="s">
        <v>164</v>
      </c>
      <c r="D115" s="6" t="n">
        <v>72</v>
      </c>
      <c r="E115" s="8" t="n">
        <v>0.569444444444444</v>
      </c>
      <c r="F115" s="8" t="n">
        <v>0.738095238095238</v>
      </c>
      <c r="G115" s="8" t="n">
        <v>0.428571428571429</v>
      </c>
      <c r="H115" s="8" t="n">
        <v>0.660714285714286</v>
      </c>
      <c r="I115" s="8" t="n">
        <v>0.333333333333333</v>
      </c>
      <c r="J115" s="8" t="n">
        <v>0.333333333333333</v>
      </c>
      <c r="K115" s="8" t="n">
        <v>0.738095238095238</v>
      </c>
      <c r="L115" s="8" t="n">
        <v>0.333333333333333</v>
      </c>
      <c r="M115" s="8" t="n">
        <v>0.404761904761905</v>
      </c>
    </row>
    <row r="116" customFormat="false" ht="15" hidden="false" customHeight="false" outlineLevel="0" collapsed="false">
      <c r="A116" s="22" t="s">
        <v>19</v>
      </c>
      <c r="B116" s="10" t="s">
        <v>20</v>
      </c>
      <c r="C116" s="22" t="s">
        <v>165</v>
      </c>
      <c r="D116" s="6" t="n">
        <v>74</v>
      </c>
      <c r="E116" s="8" t="n">
        <v>0.635135135135135</v>
      </c>
      <c r="F116" s="8" t="n">
        <v>0.80952380952381</v>
      </c>
      <c r="G116" s="8" t="n">
        <v>0.5</v>
      </c>
      <c r="H116" s="8" t="n">
        <v>0.732142857142857</v>
      </c>
      <c r="I116" s="8" t="n">
        <v>0.448275862068966</v>
      </c>
      <c r="J116" s="8" t="n">
        <v>0</v>
      </c>
      <c r="K116" s="8" t="n">
        <v>0.80952380952381</v>
      </c>
      <c r="L116" s="8" t="n">
        <v>0.40625</v>
      </c>
      <c r="M116" s="8" t="n">
        <v>0.40327380952381</v>
      </c>
    </row>
    <row r="117" customFormat="false" ht="15" hidden="false" customHeight="false" outlineLevel="0" collapsed="false">
      <c r="A117" s="22" t="s">
        <v>19</v>
      </c>
      <c r="B117" s="10" t="s">
        <v>20</v>
      </c>
      <c r="C117" s="22" t="s">
        <v>166</v>
      </c>
      <c r="D117" s="6" t="n">
        <v>73</v>
      </c>
      <c r="E117" s="8" t="n">
        <v>0.671232876712329</v>
      </c>
      <c r="F117" s="8" t="n">
        <v>0.880952380952381</v>
      </c>
      <c r="G117" s="8" t="n">
        <v>0.428571428571429</v>
      </c>
      <c r="H117" s="8" t="n">
        <v>0.767857142857143</v>
      </c>
      <c r="I117" s="8" t="n">
        <v>0.428571428571429</v>
      </c>
      <c r="J117" s="8" t="n">
        <v>0</v>
      </c>
      <c r="K117" s="8" t="n">
        <v>0.880952380952381</v>
      </c>
      <c r="L117" s="8" t="n">
        <v>0.387096774193548</v>
      </c>
      <c r="M117" s="8" t="n">
        <v>0.493855606758833</v>
      </c>
    </row>
    <row r="118" customFormat="false" ht="15" hidden="false" customHeight="false" outlineLevel="0" collapsed="false">
      <c r="A118" s="22" t="s">
        <v>19</v>
      </c>
      <c r="B118" s="10" t="s">
        <v>20</v>
      </c>
      <c r="C118" s="22" t="s">
        <v>167</v>
      </c>
      <c r="D118" s="6" t="n">
        <v>72</v>
      </c>
      <c r="E118" s="8" t="n">
        <v>0.597222222222222</v>
      </c>
      <c r="F118" s="8" t="n">
        <v>0.785714285714286</v>
      </c>
      <c r="G118" s="8" t="n">
        <v>0.285714285714286</v>
      </c>
      <c r="H118" s="8" t="n">
        <v>0.660714285714286</v>
      </c>
      <c r="I118" s="8" t="n">
        <v>0.37037037037037</v>
      </c>
      <c r="J118" s="8" t="n">
        <v>0</v>
      </c>
      <c r="K118" s="8" t="n">
        <v>0.785714285714286</v>
      </c>
      <c r="L118" s="8" t="n">
        <v>0.333333333333333</v>
      </c>
      <c r="M118" s="8" t="n">
        <v>0.452380952380952</v>
      </c>
    </row>
    <row r="119" customFormat="false" ht="15" hidden="false" customHeight="false" outlineLevel="0" collapsed="false">
      <c r="A119" s="22" t="s">
        <v>19</v>
      </c>
      <c r="B119" s="10" t="s">
        <v>20</v>
      </c>
      <c r="C119" s="22" t="s">
        <v>168</v>
      </c>
      <c r="D119" s="6" t="n">
        <v>72</v>
      </c>
      <c r="E119" s="8" t="n">
        <v>0.569444444444444</v>
      </c>
      <c r="F119" s="8" t="n">
        <v>0.714285714285714</v>
      </c>
      <c r="G119" s="8" t="n">
        <v>0.357142857142857</v>
      </c>
      <c r="H119" s="8" t="n">
        <v>0.625</v>
      </c>
      <c r="I119" s="8" t="n">
        <v>0.407407407407407</v>
      </c>
      <c r="J119" s="8" t="n">
        <v>0</v>
      </c>
      <c r="K119" s="8" t="n">
        <v>0.714285714285714</v>
      </c>
      <c r="L119" s="8" t="n">
        <v>0.366666666666667</v>
      </c>
      <c r="M119" s="8" t="n">
        <v>0.347619047619048</v>
      </c>
    </row>
    <row r="120" customFormat="false" ht="15" hidden="false" customHeight="false" outlineLevel="0" collapsed="false">
      <c r="A120" s="22" t="s">
        <v>19</v>
      </c>
      <c r="B120" s="10" t="s">
        <v>20</v>
      </c>
      <c r="C120" s="22" t="s">
        <v>169</v>
      </c>
      <c r="D120" s="6" t="n">
        <v>70</v>
      </c>
      <c r="E120" s="8" t="n">
        <v>0.642857142857143</v>
      </c>
      <c r="F120" s="8" t="n">
        <v>0.785714285714286</v>
      </c>
      <c r="G120" s="8" t="n">
        <v>0.5</v>
      </c>
      <c r="H120" s="8" t="n">
        <v>0.714285714285714</v>
      </c>
      <c r="I120" s="8" t="n">
        <v>0.44</v>
      </c>
      <c r="J120" s="8" t="n">
        <v>0.333333333333333</v>
      </c>
      <c r="K120" s="8" t="n">
        <v>0.785714285714286</v>
      </c>
      <c r="L120" s="8" t="n">
        <v>0.428571428571429</v>
      </c>
      <c r="M120" s="8" t="n">
        <v>0.357142857142857</v>
      </c>
    </row>
    <row r="121" customFormat="false" ht="15" hidden="false" customHeight="false" outlineLevel="0" collapsed="false">
      <c r="A121" s="22" t="s">
        <v>19</v>
      </c>
      <c r="B121" s="10" t="s">
        <v>20</v>
      </c>
      <c r="C121" s="22" t="s">
        <v>170</v>
      </c>
      <c r="D121" s="6" t="n">
        <v>70</v>
      </c>
      <c r="E121" s="8" t="n">
        <v>0.642857142857143</v>
      </c>
      <c r="F121" s="8" t="n">
        <v>0.785714285714286</v>
      </c>
      <c r="G121" s="8" t="n">
        <v>0.5</v>
      </c>
      <c r="H121" s="8" t="n">
        <v>0.714285714285714</v>
      </c>
      <c r="I121" s="8" t="n">
        <v>0.44</v>
      </c>
      <c r="J121" s="8" t="n">
        <v>0.333333333333333</v>
      </c>
      <c r="K121" s="8" t="n">
        <v>0.785714285714286</v>
      </c>
      <c r="L121" s="8" t="n">
        <v>0.428571428571429</v>
      </c>
      <c r="M121" s="8" t="n">
        <v>0.357142857142857</v>
      </c>
    </row>
    <row r="122" customFormat="false" ht="15" hidden="false" customHeight="false" outlineLevel="0" collapsed="false">
      <c r="A122" s="22" t="s">
        <v>19</v>
      </c>
      <c r="B122" s="10" t="s">
        <v>20</v>
      </c>
      <c r="C122" s="22" t="s">
        <v>171</v>
      </c>
      <c r="D122" s="6" t="n">
        <v>74</v>
      </c>
      <c r="E122" s="8" t="n">
        <v>0.635135135135135</v>
      </c>
      <c r="F122" s="8" t="n">
        <v>0.690476190476191</v>
      </c>
      <c r="G122" s="8" t="n">
        <v>0.642857142857143</v>
      </c>
      <c r="H122" s="8" t="n">
        <v>0.678571428571429</v>
      </c>
      <c r="I122" s="8" t="n">
        <v>0.551724137931035</v>
      </c>
      <c r="J122" s="8" t="n">
        <v>0.666666666666667</v>
      </c>
      <c r="K122" s="8" t="n">
        <v>0.690476190476191</v>
      </c>
      <c r="L122" s="8" t="n">
        <v>0.5625</v>
      </c>
      <c r="M122" s="8" t="n">
        <v>0.12797619047619</v>
      </c>
    </row>
    <row r="123" customFormat="false" ht="15" hidden="false" customHeight="false" outlineLevel="0" collapsed="false">
      <c r="A123" s="22" t="s">
        <v>19</v>
      </c>
      <c r="B123" s="10" t="s">
        <v>20</v>
      </c>
      <c r="C123" s="22" t="s">
        <v>172</v>
      </c>
      <c r="D123" s="6" t="n">
        <v>72</v>
      </c>
      <c r="E123" s="8" t="n">
        <v>0.5</v>
      </c>
      <c r="F123" s="8" t="n">
        <v>0.595238095238095</v>
      </c>
      <c r="G123" s="8" t="n">
        <v>0.285714285714286</v>
      </c>
      <c r="H123" s="8" t="n">
        <v>0.517857142857143</v>
      </c>
      <c r="I123" s="8" t="n">
        <v>0.37037037037037</v>
      </c>
      <c r="J123" s="8" t="n">
        <v>0.333333333333333</v>
      </c>
      <c r="K123" s="8" t="n">
        <v>0.595238095238095</v>
      </c>
      <c r="L123" s="8" t="n">
        <v>0.366666666666667</v>
      </c>
      <c r="M123" s="8" t="n">
        <v>0.228571428571429</v>
      </c>
    </row>
    <row r="124" customFormat="false" ht="15" hidden="false" customHeight="false" outlineLevel="0" collapsed="false">
      <c r="A124" s="22" t="s">
        <v>19</v>
      </c>
      <c r="B124" s="10" t="s">
        <v>20</v>
      </c>
      <c r="C124" s="22" t="s">
        <v>173</v>
      </c>
      <c r="D124" s="6" t="n">
        <v>72</v>
      </c>
      <c r="E124" s="8" t="n">
        <v>0.527777777777778</v>
      </c>
      <c r="F124" s="8" t="n">
        <v>0.666666666666667</v>
      </c>
      <c r="G124" s="8" t="n">
        <v>0.285714285714286</v>
      </c>
      <c r="H124" s="8" t="n">
        <v>0.571428571428571</v>
      </c>
      <c r="I124" s="8" t="n">
        <v>0.333333333333333</v>
      </c>
      <c r="J124" s="8" t="n">
        <v>0.333333333333333</v>
      </c>
      <c r="K124" s="8" t="n">
        <v>0.666666666666667</v>
      </c>
      <c r="L124" s="8" t="n">
        <v>0.333333333333333</v>
      </c>
      <c r="M124" s="8" t="n">
        <v>0.333333333333333</v>
      </c>
    </row>
    <row r="125" customFormat="false" ht="15" hidden="false" customHeight="false" outlineLevel="0" collapsed="false">
      <c r="A125" s="22" t="s">
        <v>19</v>
      </c>
      <c r="B125" s="10" t="s">
        <v>20</v>
      </c>
      <c r="C125" s="22" t="s">
        <v>174</v>
      </c>
      <c r="D125" s="6" t="n">
        <v>74</v>
      </c>
      <c r="E125" s="8" t="n">
        <v>0.594594594594595</v>
      </c>
      <c r="F125" s="8" t="n">
        <v>0.738095238095238</v>
      </c>
      <c r="G125" s="8" t="n">
        <v>0.428571428571429</v>
      </c>
      <c r="H125" s="8" t="n">
        <v>0.660714285714286</v>
      </c>
      <c r="I125" s="8" t="n">
        <v>0.413793103448276</v>
      </c>
      <c r="J125" s="8" t="n">
        <v>0.333333333333333</v>
      </c>
      <c r="K125" s="8" t="n">
        <v>0.738095238095238</v>
      </c>
      <c r="L125" s="8" t="n">
        <v>0.40625</v>
      </c>
      <c r="M125" s="8" t="n">
        <v>0.331845238095238</v>
      </c>
    </row>
    <row r="126" customFormat="false" ht="15" hidden="false" customHeight="false" outlineLevel="0" collapsed="false">
      <c r="A126" s="22" t="s">
        <v>19</v>
      </c>
      <c r="B126" s="10" t="s">
        <v>20</v>
      </c>
      <c r="C126" s="22" t="s">
        <v>175</v>
      </c>
      <c r="D126" s="6" t="n">
        <v>71</v>
      </c>
      <c r="E126" s="8" t="n">
        <v>0.535211267605634</v>
      </c>
      <c r="F126" s="8" t="n">
        <v>0.666666666666667</v>
      </c>
      <c r="G126" s="8" t="n">
        <v>0.357142857142857</v>
      </c>
      <c r="H126" s="8" t="n">
        <v>0.589285714285714</v>
      </c>
      <c r="I126" s="8" t="n">
        <v>0.384615384615385</v>
      </c>
      <c r="J126" s="8" t="n">
        <v>0</v>
      </c>
      <c r="K126" s="8" t="n">
        <v>0.666666666666667</v>
      </c>
      <c r="L126" s="8" t="n">
        <v>0.344827586206897</v>
      </c>
      <c r="M126" s="8" t="n">
        <v>0.32183908045977</v>
      </c>
    </row>
    <row r="127" customFormat="false" ht="15" hidden="false" customHeight="false" outlineLevel="0" collapsed="false">
      <c r="A127" s="22" t="s">
        <v>19</v>
      </c>
      <c r="B127" s="10" t="s">
        <v>20</v>
      </c>
      <c r="C127" s="22" t="s">
        <v>176</v>
      </c>
      <c r="D127" s="6" t="n">
        <v>71</v>
      </c>
      <c r="E127" s="8" t="n">
        <v>0.605633802816901</v>
      </c>
      <c r="F127" s="8" t="n">
        <v>0.785714285714286</v>
      </c>
      <c r="G127" s="8" t="n">
        <v>0.5</v>
      </c>
      <c r="H127" s="8" t="n">
        <v>0.714285714285714</v>
      </c>
      <c r="I127" s="8" t="n">
        <v>0.346153846153846</v>
      </c>
      <c r="J127" s="8" t="n">
        <v>0.333333333333333</v>
      </c>
      <c r="K127" s="8" t="n">
        <v>0.785714285714286</v>
      </c>
      <c r="L127" s="8" t="n">
        <v>0.344827586206897</v>
      </c>
      <c r="M127" s="8" t="n">
        <v>0.440886699507389</v>
      </c>
    </row>
    <row r="128" customFormat="false" ht="15" hidden="false" customHeight="false" outlineLevel="0" collapsed="false">
      <c r="A128" s="22" t="s">
        <v>19</v>
      </c>
      <c r="B128" s="10" t="s">
        <v>20</v>
      </c>
      <c r="C128" s="22" t="s">
        <v>177</v>
      </c>
      <c r="D128" s="6" t="n">
        <v>72</v>
      </c>
      <c r="E128" s="8" t="n">
        <v>0.569444444444444</v>
      </c>
      <c r="F128" s="8" t="n">
        <v>0.690476190476191</v>
      </c>
      <c r="G128" s="8" t="n">
        <v>0.357142857142857</v>
      </c>
      <c r="H128" s="8" t="n">
        <v>0.607142857142857</v>
      </c>
      <c r="I128" s="8" t="n">
        <v>0.444444444444444</v>
      </c>
      <c r="J128" s="8" t="n">
        <v>0</v>
      </c>
      <c r="K128" s="8" t="n">
        <v>0.690476190476191</v>
      </c>
      <c r="L128" s="8" t="n">
        <v>0.4</v>
      </c>
      <c r="M128" s="8" t="n">
        <v>0.29047619047619</v>
      </c>
    </row>
    <row r="129" customFormat="false" ht="15" hidden="false" customHeight="false" outlineLevel="0" collapsed="false">
      <c r="A129" s="22" t="s">
        <v>19</v>
      </c>
      <c r="B129" s="10" t="s">
        <v>20</v>
      </c>
      <c r="C129" s="22" t="s">
        <v>178</v>
      </c>
      <c r="D129" s="6" t="n">
        <v>75</v>
      </c>
      <c r="E129" s="8" t="n">
        <v>0.6</v>
      </c>
      <c r="F129" s="8" t="n">
        <v>0.785714285714286</v>
      </c>
      <c r="G129" s="8" t="n">
        <v>0.5</v>
      </c>
      <c r="H129" s="8" t="n">
        <v>0.714285714285714</v>
      </c>
      <c r="I129" s="8" t="n">
        <v>0.4</v>
      </c>
      <c r="J129" s="8" t="n">
        <v>0</v>
      </c>
      <c r="K129" s="8" t="n">
        <v>0.785714285714286</v>
      </c>
      <c r="L129" s="8" t="n">
        <v>0.363636363636364</v>
      </c>
      <c r="M129" s="8" t="n">
        <v>0.422077922077922</v>
      </c>
    </row>
    <row r="130" customFormat="false" ht="15" hidden="false" customHeight="false" outlineLevel="0" collapsed="false">
      <c r="A130" s="22" t="s">
        <v>19</v>
      </c>
      <c r="B130" s="10" t="s">
        <v>20</v>
      </c>
      <c r="C130" s="22" t="s">
        <v>179</v>
      </c>
      <c r="D130" s="6" t="n">
        <v>74</v>
      </c>
      <c r="E130" s="8" t="n">
        <v>0.675675675675676</v>
      </c>
      <c r="F130" s="8" t="n">
        <v>0.833333333333333</v>
      </c>
      <c r="G130" s="8" t="n">
        <v>0.5</v>
      </c>
      <c r="H130" s="8" t="n">
        <v>0.75</v>
      </c>
      <c r="I130" s="8" t="n">
        <v>0.517241379310345</v>
      </c>
      <c r="J130" s="8" t="n">
        <v>0</v>
      </c>
      <c r="K130" s="8" t="n">
        <v>0.833333333333333</v>
      </c>
      <c r="L130" s="8" t="n">
        <v>0.46875</v>
      </c>
      <c r="M130" s="8" t="n">
        <v>0.364583333333333</v>
      </c>
    </row>
    <row r="131" customFormat="false" ht="15" hidden="false" customHeight="false" outlineLevel="0" collapsed="false">
      <c r="A131" s="22" t="s">
        <v>19</v>
      </c>
      <c r="B131" s="10" t="s">
        <v>20</v>
      </c>
      <c r="C131" s="22" t="s">
        <v>180</v>
      </c>
      <c r="D131" s="6" t="n">
        <v>74</v>
      </c>
      <c r="E131" s="8" t="n">
        <v>0.635135135135135</v>
      </c>
      <c r="F131" s="8" t="n">
        <v>0.80952380952381</v>
      </c>
      <c r="G131" s="8" t="n">
        <v>0.5</v>
      </c>
      <c r="H131" s="8" t="n">
        <v>0.732142857142857</v>
      </c>
      <c r="I131" s="8" t="n">
        <v>0.379310344827586</v>
      </c>
      <c r="J131" s="8" t="n">
        <v>0.666666666666667</v>
      </c>
      <c r="K131" s="8" t="n">
        <v>0.80952380952381</v>
      </c>
      <c r="L131" s="8" t="n">
        <v>0.40625</v>
      </c>
      <c r="M131" s="8" t="n">
        <v>0.40327380952381</v>
      </c>
    </row>
    <row r="132" customFormat="false" ht="15" hidden="false" customHeight="false" outlineLevel="0" collapsed="false">
      <c r="A132" s="22" t="s">
        <v>19</v>
      </c>
      <c r="B132" s="10" t="s">
        <v>20</v>
      </c>
      <c r="C132" s="22" t="s">
        <v>181</v>
      </c>
      <c r="D132" s="6" t="n">
        <v>73</v>
      </c>
      <c r="E132" s="8" t="n">
        <v>0.575342465753425</v>
      </c>
      <c r="F132" s="8" t="n">
        <v>0.738095238095238</v>
      </c>
      <c r="G132" s="8" t="n">
        <v>0.5</v>
      </c>
      <c r="H132" s="8" t="n">
        <v>0.678571428571429</v>
      </c>
      <c r="I132" s="8" t="n">
        <v>0.392857142857143</v>
      </c>
      <c r="J132" s="8" t="n">
        <v>0</v>
      </c>
      <c r="K132" s="8" t="n">
        <v>0.738095238095238</v>
      </c>
      <c r="L132" s="8" t="n">
        <v>0.354838709677419</v>
      </c>
      <c r="M132" s="8" t="n">
        <v>0.383256528417819</v>
      </c>
    </row>
    <row r="133" customFormat="false" ht="15" hidden="false" customHeight="false" outlineLevel="0" collapsed="false">
      <c r="A133" s="22" t="s">
        <v>19</v>
      </c>
      <c r="B133" s="10" t="s">
        <v>20</v>
      </c>
      <c r="C133" s="22" t="s">
        <v>182</v>
      </c>
      <c r="D133" s="6" t="n">
        <v>74</v>
      </c>
      <c r="E133" s="8" t="n">
        <v>0.635135135135135</v>
      </c>
      <c r="F133" s="8" t="n">
        <v>0.80952380952381</v>
      </c>
      <c r="G133" s="8" t="n">
        <v>0.5</v>
      </c>
      <c r="H133" s="8" t="n">
        <v>0.732142857142857</v>
      </c>
      <c r="I133" s="8" t="n">
        <v>0.413793103448276</v>
      </c>
      <c r="J133" s="8" t="n">
        <v>0.333333333333333</v>
      </c>
      <c r="K133" s="8" t="n">
        <v>0.80952380952381</v>
      </c>
      <c r="L133" s="8" t="n">
        <v>0.40625</v>
      </c>
      <c r="M133" s="8" t="n">
        <v>0.40327380952381</v>
      </c>
    </row>
    <row r="134" customFormat="false" ht="15" hidden="false" customHeight="false" outlineLevel="0" collapsed="false">
      <c r="A134" s="22" t="s">
        <v>19</v>
      </c>
      <c r="B134" s="10" t="s">
        <v>20</v>
      </c>
      <c r="C134" s="22" t="s">
        <v>183</v>
      </c>
      <c r="D134" s="6" t="n">
        <v>74</v>
      </c>
      <c r="E134" s="8" t="n">
        <v>0.635135135135135</v>
      </c>
      <c r="F134" s="8" t="n">
        <v>0.738095238095238</v>
      </c>
      <c r="G134" s="8" t="n">
        <v>0.571428571428571</v>
      </c>
      <c r="H134" s="8" t="n">
        <v>0.696428571428571</v>
      </c>
      <c r="I134" s="8" t="n">
        <v>0.517241379310345</v>
      </c>
      <c r="J134" s="8" t="n">
        <v>0.333333333333333</v>
      </c>
      <c r="K134" s="8" t="n">
        <v>0.738095238095238</v>
      </c>
      <c r="L134" s="8" t="n">
        <v>0.5</v>
      </c>
      <c r="M134" s="8" t="n">
        <v>0.238095238095238</v>
      </c>
    </row>
    <row r="135" customFormat="false" ht="15" hidden="false" customHeight="false" outlineLevel="0" collapsed="false">
      <c r="A135" s="22" t="s">
        <v>19</v>
      </c>
      <c r="B135" s="10" t="s">
        <v>20</v>
      </c>
      <c r="C135" s="22" t="s">
        <v>184</v>
      </c>
      <c r="D135" s="6" t="n">
        <v>73</v>
      </c>
      <c r="E135" s="8" t="n">
        <v>0.671232876712329</v>
      </c>
      <c r="F135" s="8" t="n">
        <v>0.833333333333333</v>
      </c>
      <c r="G135" s="8" t="n">
        <v>0.428571428571429</v>
      </c>
      <c r="H135" s="8" t="n">
        <v>0.732142857142857</v>
      </c>
      <c r="I135" s="8" t="n">
        <v>0.464285714285714</v>
      </c>
      <c r="J135" s="8" t="n">
        <v>0.333333333333333</v>
      </c>
      <c r="K135" s="8" t="n">
        <v>0.833333333333333</v>
      </c>
      <c r="L135" s="8" t="n">
        <v>0.451612903225806</v>
      </c>
      <c r="M135" s="8" t="n">
        <v>0.381720430107527</v>
      </c>
    </row>
    <row r="136" customFormat="false" ht="15" hidden="false" customHeight="false" outlineLevel="0" collapsed="false">
      <c r="A136" s="22" t="s">
        <v>19</v>
      </c>
      <c r="B136" s="10" t="s">
        <v>20</v>
      </c>
      <c r="C136" s="22" t="s">
        <v>185</v>
      </c>
      <c r="D136" s="6" t="n">
        <v>74</v>
      </c>
      <c r="E136" s="8" t="n">
        <v>0.689189189189189</v>
      </c>
      <c r="F136" s="8" t="n">
        <v>0.880952380952381</v>
      </c>
      <c r="G136" s="8" t="n">
        <v>0.428571428571429</v>
      </c>
      <c r="H136" s="8" t="n">
        <v>0.767857142857143</v>
      </c>
      <c r="I136" s="8" t="n">
        <v>0.413793103448276</v>
      </c>
      <c r="J136" s="8" t="n">
        <v>0.666666666666667</v>
      </c>
      <c r="K136" s="8" t="n">
        <v>0.880952380952381</v>
      </c>
      <c r="L136" s="8" t="n">
        <v>0.4375</v>
      </c>
      <c r="M136" s="8" t="n">
        <v>0.443452380952381</v>
      </c>
    </row>
    <row r="137" customFormat="false" ht="15" hidden="false" customHeight="false" outlineLevel="0" collapsed="false">
      <c r="A137" s="22" t="s">
        <v>19</v>
      </c>
      <c r="B137" s="10" t="s">
        <v>20</v>
      </c>
      <c r="C137" s="22" t="s">
        <v>186</v>
      </c>
      <c r="D137" s="6" t="n">
        <v>86</v>
      </c>
      <c r="E137" s="8" t="n">
        <v>0.616279069767442</v>
      </c>
      <c r="F137" s="8" t="n">
        <v>0.738095238095238</v>
      </c>
      <c r="G137" s="8" t="n">
        <v>0.5</v>
      </c>
      <c r="H137" s="8" t="n">
        <v>0.678571428571429</v>
      </c>
      <c r="I137" s="8" t="n">
        <v>0.51219512195122</v>
      </c>
      <c r="J137" s="8" t="n">
        <v>0.333333333333333</v>
      </c>
      <c r="K137" s="8" t="n">
        <v>0.738095238095238</v>
      </c>
      <c r="L137" s="8" t="n">
        <v>0.5</v>
      </c>
      <c r="M137" s="8" t="n">
        <v>0.238095238095238</v>
      </c>
    </row>
    <row r="138" customFormat="false" ht="15" hidden="false" customHeight="false" outlineLevel="0" collapsed="false">
      <c r="A138" s="22" t="s">
        <v>19</v>
      </c>
      <c r="B138" s="10" t="s">
        <v>20</v>
      </c>
      <c r="C138" s="22" t="s">
        <v>187</v>
      </c>
      <c r="D138" s="6" t="n">
        <v>73</v>
      </c>
      <c r="E138" s="8" t="n">
        <v>0.575342465753425</v>
      </c>
      <c r="F138" s="8" t="n">
        <v>0.714285714285714</v>
      </c>
      <c r="G138" s="8" t="n">
        <v>0.428571428571429</v>
      </c>
      <c r="H138" s="8" t="n">
        <v>0.642857142857143</v>
      </c>
      <c r="I138" s="8" t="n">
        <v>0.392857142857143</v>
      </c>
      <c r="J138" s="8" t="n">
        <v>0.333333333333333</v>
      </c>
      <c r="K138" s="8" t="n">
        <v>0.714285714285714</v>
      </c>
      <c r="L138" s="8" t="n">
        <v>0.387096774193548</v>
      </c>
      <c r="M138" s="8" t="n">
        <v>0.327188940092166</v>
      </c>
    </row>
    <row r="139" customFormat="false" ht="15" hidden="false" customHeight="false" outlineLevel="0" collapsed="false">
      <c r="A139" s="22" t="s">
        <v>19</v>
      </c>
      <c r="B139" s="10" t="s">
        <v>20</v>
      </c>
      <c r="C139" s="22" t="s">
        <v>188</v>
      </c>
      <c r="D139" s="6" t="n">
        <v>75</v>
      </c>
      <c r="E139" s="8" t="n">
        <v>0.56</v>
      </c>
      <c r="F139" s="8" t="n">
        <v>0.619047619047619</v>
      </c>
      <c r="G139" s="8" t="n">
        <v>0.5</v>
      </c>
      <c r="H139" s="8" t="n">
        <v>0.589285714285714</v>
      </c>
      <c r="I139" s="8" t="n">
        <v>0.5</v>
      </c>
      <c r="J139" s="8" t="n">
        <v>0.333333333333333</v>
      </c>
      <c r="K139" s="8" t="n">
        <v>0.619047619047619</v>
      </c>
      <c r="L139" s="8" t="n">
        <v>0.484848484848485</v>
      </c>
      <c r="M139" s="8" t="n">
        <v>0.134199134199134</v>
      </c>
    </row>
    <row r="140" customFormat="false" ht="15" hidden="false" customHeight="false" outlineLevel="0" collapsed="false">
      <c r="A140" s="22" t="s">
        <v>19</v>
      </c>
      <c r="B140" s="10" t="s">
        <v>20</v>
      </c>
      <c r="C140" s="22" t="s">
        <v>189</v>
      </c>
      <c r="D140" s="6" t="n">
        <v>74</v>
      </c>
      <c r="E140" s="8" t="n">
        <v>0.608108108108108</v>
      </c>
      <c r="F140" s="8" t="n">
        <v>0.761904761904762</v>
      </c>
      <c r="G140" s="8" t="n">
        <v>0.428571428571429</v>
      </c>
      <c r="H140" s="8" t="n">
        <v>0.678571428571429</v>
      </c>
      <c r="I140" s="8" t="n">
        <v>0.448275862068966</v>
      </c>
      <c r="J140" s="8" t="n">
        <v>0</v>
      </c>
      <c r="K140" s="8" t="n">
        <v>0.761904761904762</v>
      </c>
      <c r="L140" s="8" t="n">
        <v>0.40625</v>
      </c>
      <c r="M140" s="8" t="n">
        <v>0.355654761904762</v>
      </c>
    </row>
    <row r="141" customFormat="false" ht="15" hidden="false" customHeight="false" outlineLevel="0" collapsed="false">
      <c r="A141" s="22" t="s">
        <v>19</v>
      </c>
      <c r="B141" s="10" t="s">
        <v>20</v>
      </c>
      <c r="C141" s="22" t="s">
        <v>190</v>
      </c>
      <c r="D141" s="6" t="n">
        <v>74</v>
      </c>
      <c r="E141" s="8" t="n">
        <v>0.567567567567568</v>
      </c>
      <c r="F141" s="8" t="n">
        <v>0.761904761904762</v>
      </c>
      <c r="G141" s="8" t="n">
        <v>0.357142857142857</v>
      </c>
      <c r="H141" s="8" t="n">
        <v>0.660714285714286</v>
      </c>
      <c r="I141" s="8" t="n">
        <v>0.344827586206897</v>
      </c>
      <c r="J141" s="8" t="n">
        <v>0</v>
      </c>
      <c r="K141" s="8" t="n">
        <v>0.761904761904762</v>
      </c>
      <c r="L141" s="8" t="n">
        <v>0.3125</v>
      </c>
      <c r="M141" s="8" t="n">
        <v>0.449404761904762</v>
      </c>
    </row>
    <row r="142" customFormat="false" ht="15" hidden="false" customHeight="false" outlineLevel="0" collapsed="false">
      <c r="A142" s="22" t="s">
        <v>19</v>
      </c>
      <c r="B142" s="10" t="s">
        <v>20</v>
      </c>
      <c r="C142" s="22" t="s">
        <v>191</v>
      </c>
      <c r="D142" s="6" t="n">
        <v>72</v>
      </c>
      <c r="E142" s="8" t="n">
        <v>0.638888888888889</v>
      </c>
      <c r="F142" s="8" t="n">
        <v>0.761904761904762</v>
      </c>
      <c r="G142" s="8" t="n">
        <v>0.5</v>
      </c>
      <c r="H142" s="8" t="n">
        <v>0.696428571428571</v>
      </c>
      <c r="I142" s="8" t="n">
        <v>0.481481481481481</v>
      </c>
      <c r="J142" s="8" t="n">
        <v>0.333333333333333</v>
      </c>
      <c r="K142" s="8" t="n">
        <v>0.761904761904762</v>
      </c>
      <c r="L142" s="8" t="n">
        <v>0.466666666666667</v>
      </c>
      <c r="M142" s="8" t="n">
        <v>0.295238095238095</v>
      </c>
    </row>
    <row r="143" customFormat="false" ht="15" hidden="false" customHeight="false" outlineLevel="0" collapsed="false">
      <c r="A143" s="22" t="s">
        <v>19</v>
      </c>
      <c r="B143" s="10" t="s">
        <v>20</v>
      </c>
      <c r="C143" s="22" t="s">
        <v>192</v>
      </c>
      <c r="D143" s="6" t="n">
        <v>72</v>
      </c>
      <c r="E143" s="8" t="n">
        <v>0.638888888888889</v>
      </c>
      <c r="F143" s="8" t="n">
        <v>0.761904761904762</v>
      </c>
      <c r="G143" s="8" t="n">
        <v>0.5</v>
      </c>
      <c r="H143" s="8" t="n">
        <v>0.696428571428571</v>
      </c>
      <c r="I143" s="8" t="n">
        <v>0.481481481481481</v>
      </c>
      <c r="J143" s="8" t="n">
        <v>0.333333333333333</v>
      </c>
      <c r="K143" s="8" t="n">
        <v>0.761904761904762</v>
      </c>
      <c r="L143" s="8" t="n">
        <v>0.466666666666667</v>
      </c>
      <c r="M143" s="8" t="n">
        <v>0.295238095238095</v>
      </c>
    </row>
    <row r="144" customFormat="false" ht="15" hidden="false" customHeight="false" outlineLevel="0" collapsed="false">
      <c r="A144" s="22" t="s">
        <v>19</v>
      </c>
      <c r="B144" s="10" t="s">
        <v>20</v>
      </c>
      <c r="C144" s="22" t="s">
        <v>193</v>
      </c>
      <c r="D144" s="6" t="n">
        <v>81</v>
      </c>
      <c r="E144" s="8" t="n">
        <v>0.666666666666667</v>
      </c>
      <c r="F144" s="8" t="n">
        <v>0.80952380952381</v>
      </c>
      <c r="G144" s="8" t="n">
        <v>0.5</v>
      </c>
      <c r="H144" s="8" t="n">
        <v>0.732142857142857</v>
      </c>
      <c r="I144" s="8" t="n">
        <v>0.527777777777778</v>
      </c>
      <c r="J144" s="8" t="n">
        <v>0.333333333333333</v>
      </c>
      <c r="K144" s="8" t="n">
        <v>0.80952380952381</v>
      </c>
      <c r="L144" s="8" t="n">
        <v>0.512820512820513</v>
      </c>
      <c r="M144" s="8" t="n">
        <v>0.296703296703297</v>
      </c>
    </row>
    <row r="145" customFormat="false" ht="15" hidden="false" customHeight="false" outlineLevel="0" collapsed="false">
      <c r="A145" s="22" t="s">
        <v>19</v>
      </c>
      <c r="B145" s="10" t="s">
        <v>20</v>
      </c>
      <c r="C145" s="22" t="s">
        <v>194</v>
      </c>
      <c r="D145" s="6" t="n">
        <v>71</v>
      </c>
      <c r="E145" s="8" t="n">
        <v>0.605633802816901</v>
      </c>
      <c r="F145" s="8" t="n">
        <v>0.666666666666667</v>
      </c>
      <c r="G145" s="8" t="n">
        <v>0.571428571428571</v>
      </c>
      <c r="H145" s="8" t="n">
        <v>0.642857142857143</v>
      </c>
      <c r="I145" s="8" t="n">
        <v>0.538461538461538</v>
      </c>
      <c r="J145" s="8" t="n">
        <v>0.333333333333333</v>
      </c>
      <c r="K145" s="8" t="n">
        <v>0.666666666666667</v>
      </c>
      <c r="L145" s="8" t="n">
        <v>0.517241379310345</v>
      </c>
      <c r="M145" s="8" t="n">
        <v>0.149425287356322</v>
      </c>
    </row>
    <row r="146" customFormat="false" ht="15" hidden="false" customHeight="false" outlineLevel="0" collapsed="false">
      <c r="A146" s="22" t="s">
        <v>19</v>
      </c>
      <c r="B146" s="10" t="s">
        <v>20</v>
      </c>
      <c r="C146" s="22" t="s">
        <v>195</v>
      </c>
      <c r="D146" s="6" t="n">
        <v>71</v>
      </c>
      <c r="E146" s="8" t="n">
        <v>0.577464788732394</v>
      </c>
      <c r="F146" s="8" t="n">
        <v>0.619047619047619</v>
      </c>
      <c r="G146" s="8" t="n">
        <v>0.571428571428571</v>
      </c>
      <c r="H146" s="8" t="n">
        <v>0.607142857142857</v>
      </c>
      <c r="I146" s="8" t="n">
        <v>0.538461538461538</v>
      </c>
      <c r="J146" s="8" t="n">
        <v>0.333333333333333</v>
      </c>
      <c r="K146" s="8" t="n">
        <v>0.619047619047619</v>
      </c>
      <c r="L146" s="8" t="n">
        <v>0.517241379310345</v>
      </c>
      <c r="M146" s="8" t="n">
        <v>0.101806239737274</v>
      </c>
    </row>
    <row r="147" customFormat="false" ht="15" hidden="false" customHeight="false" outlineLevel="0" collapsed="false">
      <c r="A147" s="22" t="s">
        <v>19</v>
      </c>
      <c r="B147" s="10" t="s">
        <v>20</v>
      </c>
      <c r="C147" s="22" t="s">
        <v>196</v>
      </c>
      <c r="D147" s="6" t="n">
        <v>71</v>
      </c>
      <c r="E147" s="8" t="n">
        <v>0.591549295774648</v>
      </c>
      <c r="F147" s="8" t="n">
        <v>0.666666666666667</v>
      </c>
      <c r="G147" s="8" t="n">
        <v>0.5</v>
      </c>
      <c r="H147" s="8" t="n">
        <v>0.625</v>
      </c>
      <c r="I147" s="8" t="n">
        <v>0.5</v>
      </c>
      <c r="J147" s="8" t="n">
        <v>0.333333333333333</v>
      </c>
      <c r="K147" s="8" t="n">
        <v>0.666666666666667</v>
      </c>
      <c r="L147" s="8" t="n">
        <v>0.482758620689655</v>
      </c>
      <c r="M147" s="8" t="n">
        <v>0.183908045977011</v>
      </c>
    </row>
    <row r="148" customFormat="false" ht="15" hidden="false" customHeight="false" outlineLevel="0" collapsed="false">
      <c r="A148" s="22" t="s">
        <v>19</v>
      </c>
      <c r="B148" s="10" t="s">
        <v>20</v>
      </c>
      <c r="C148" s="22" t="s">
        <v>197</v>
      </c>
      <c r="D148" s="6" t="n">
        <v>72</v>
      </c>
      <c r="E148" s="8" t="n">
        <v>0.625</v>
      </c>
      <c r="F148" s="8" t="n">
        <v>0.80952380952381</v>
      </c>
      <c r="G148" s="8" t="n">
        <v>0.5</v>
      </c>
      <c r="H148" s="8" t="n">
        <v>0.732142857142857</v>
      </c>
      <c r="I148" s="8" t="n">
        <v>0.37037037037037</v>
      </c>
      <c r="J148" s="8" t="n">
        <v>0.333333333333333</v>
      </c>
      <c r="K148" s="8" t="n">
        <v>0.80952380952381</v>
      </c>
      <c r="L148" s="8" t="n">
        <v>0.366666666666667</v>
      </c>
      <c r="M148" s="8" t="n">
        <v>0.442857142857143</v>
      </c>
    </row>
    <row r="149" customFormat="false" ht="15" hidden="false" customHeight="false" outlineLevel="0" collapsed="false">
      <c r="A149" s="22" t="s">
        <v>19</v>
      </c>
      <c r="B149" s="10" t="s">
        <v>20</v>
      </c>
      <c r="C149" s="22" t="s">
        <v>198</v>
      </c>
      <c r="D149" s="6" t="n">
        <v>74</v>
      </c>
      <c r="E149" s="8" t="n">
        <v>0.702702702702703</v>
      </c>
      <c r="F149" s="8" t="n">
        <v>0.880952380952381</v>
      </c>
      <c r="G149" s="8" t="n">
        <v>0.571428571428571</v>
      </c>
      <c r="H149" s="8" t="n">
        <v>0.803571428571429</v>
      </c>
      <c r="I149" s="8" t="n">
        <v>0.482758620689655</v>
      </c>
      <c r="J149" s="8" t="n">
        <v>0.333333333333333</v>
      </c>
      <c r="K149" s="8" t="n">
        <v>0.880952380952381</v>
      </c>
      <c r="L149" s="8" t="n">
        <v>0.46875</v>
      </c>
      <c r="M149" s="8" t="n">
        <v>0.412202380952381</v>
      </c>
    </row>
    <row r="150" customFormat="false" ht="15" hidden="false" customHeight="false" outlineLevel="0" collapsed="false">
      <c r="A150" s="22" t="s">
        <v>19</v>
      </c>
      <c r="B150" s="10" t="s">
        <v>20</v>
      </c>
      <c r="C150" s="22" t="s">
        <v>199</v>
      </c>
      <c r="D150" s="6" t="n">
        <v>73</v>
      </c>
      <c r="E150" s="8" t="n">
        <v>0.643835616438356</v>
      </c>
      <c r="F150" s="8" t="n">
        <v>0.833333333333333</v>
      </c>
      <c r="G150" s="8" t="n">
        <v>0.5</v>
      </c>
      <c r="H150" s="8" t="n">
        <v>0.75</v>
      </c>
      <c r="I150" s="8" t="n">
        <v>0.392857142857143</v>
      </c>
      <c r="J150" s="8" t="n">
        <v>0.333333333333333</v>
      </c>
      <c r="K150" s="8" t="n">
        <v>0.833333333333333</v>
      </c>
      <c r="L150" s="8" t="n">
        <v>0.387096774193548</v>
      </c>
      <c r="M150" s="8" t="n">
        <v>0.446236559139785</v>
      </c>
    </row>
    <row r="151" customFormat="false" ht="26.85" hidden="false" customHeight="false" outlineLevel="0" collapsed="false">
      <c r="A151" s="22" t="s">
        <v>19</v>
      </c>
      <c r="B151" s="10" t="s">
        <v>20</v>
      </c>
      <c r="C151" s="22" t="s">
        <v>200</v>
      </c>
      <c r="D151" s="6" t="n">
        <v>71</v>
      </c>
      <c r="E151" s="8" t="n">
        <v>0.690140845070423</v>
      </c>
      <c r="F151" s="8" t="n">
        <v>0.833333333333333</v>
      </c>
      <c r="G151" s="8" t="n">
        <v>0.5</v>
      </c>
      <c r="H151" s="8" t="n">
        <v>0.75</v>
      </c>
      <c r="I151" s="8" t="n">
        <v>0.461538461538462</v>
      </c>
      <c r="J151" s="8" t="n">
        <v>0.666666666666667</v>
      </c>
      <c r="K151" s="8" t="n">
        <v>0.833333333333333</v>
      </c>
      <c r="L151" s="8" t="n">
        <v>0.482758620689655</v>
      </c>
      <c r="M151" s="8" t="n">
        <v>0.350574712643678</v>
      </c>
    </row>
    <row r="152" customFormat="false" ht="26.85" hidden="false" customHeight="false" outlineLevel="0" collapsed="false">
      <c r="A152" s="22" t="s">
        <v>19</v>
      </c>
      <c r="B152" s="10" t="s">
        <v>20</v>
      </c>
      <c r="C152" s="22" t="s">
        <v>201</v>
      </c>
      <c r="D152" s="6" t="n">
        <v>71</v>
      </c>
      <c r="E152" s="8" t="n">
        <v>0.661971830985916</v>
      </c>
      <c r="F152" s="8" t="n">
        <v>0.833333333333333</v>
      </c>
      <c r="G152" s="8" t="n">
        <v>0.5</v>
      </c>
      <c r="H152" s="8" t="n">
        <v>0.75</v>
      </c>
      <c r="I152" s="8" t="n">
        <v>0.461538461538462</v>
      </c>
      <c r="J152" s="8" t="n">
        <v>0</v>
      </c>
      <c r="K152" s="8" t="n">
        <v>0.833333333333333</v>
      </c>
      <c r="L152" s="8" t="n">
        <v>0.413793103448276</v>
      </c>
      <c r="M152" s="8" t="n">
        <v>0.419540229885058</v>
      </c>
    </row>
    <row r="153" customFormat="false" ht="15" hidden="false" customHeight="false" outlineLevel="0" collapsed="false">
      <c r="A153" s="22" t="s">
        <v>19</v>
      </c>
      <c r="B153" s="10" t="s">
        <v>20</v>
      </c>
      <c r="C153" s="22" t="s">
        <v>202</v>
      </c>
      <c r="D153" s="6" t="n">
        <v>71</v>
      </c>
      <c r="E153" s="8" t="n">
        <v>0.676056338028169</v>
      </c>
      <c r="F153" s="8" t="n">
        <v>0.833333333333333</v>
      </c>
      <c r="G153" s="8" t="n">
        <v>0.5</v>
      </c>
      <c r="H153" s="8" t="n">
        <v>0.75</v>
      </c>
      <c r="I153" s="8" t="n">
        <v>0.423076923076923</v>
      </c>
      <c r="J153" s="8" t="n">
        <v>0.666666666666667</v>
      </c>
      <c r="K153" s="8" t="n">
        <v>0.833333333333333</v>
      </c>
      <c r="L153" s="8" t="n">
        <v>0.448275862068966</v>
      </c>
      <c r="M153" s="8" t="n">
        <v>0.385057471264368</v>
      </c>
    </row>
    <row r="154" customFormat="false" ht="15" hidden="false" customHeight="false" outlineLevel="0" collapsed="false">
      <c r="A154" s="22" t="s">
        <v>19</v>
      </c>
      <c r="B154" s="10" t="s">
        <v>20</v>
      </c>
      <c r="C154" s="22" t="s">
        <v>203</v>
      </c>
      <c r="D154" s="6" t="n">
        <v>71</v>
      </c>
      <c r="E154" s="8" t="n">
        <v>0.676056338028169</v>
      </c>
      <c r="F154" s="8" t="n">
        <v>0.833333333333333</v>
      </c>
      <c r="G154" s="8" t="n">
        <v>0.5</v>
      </c>
      <c r="H154" s="8" t="n">
        <v>0.75</v>
      </c>
      <c r="I154" s="8" t="n">
        <v>0.423076923076923</v>
      </c>
      <c r="J154" s="8" t="n">
        <v>0.666666666666667</v>
      </c>
      <c r="K154" s="8" t="n">
        <v>0.833333333333333</v>
      </c>
      <c r="L154" s="8" t="n">
        <v>0.448275862068966</v>
      </c>
      <c r="M154" s="8" t="n">
        <v>0.385057471264368</v>
      </c>
    </row>
    <row r="155" customFormat="false" ht="15" hidden="false" customHeight="false" outlineLevel="0" collapsed="false">
      <c r="A155" s="22" t="s">
        <v>19</v>
      </c>
      <c r="B155" s="10" t="s">
        <v>20</v>
      </c>
      <c r="C155" s="22" t="s">
        <v>204</v>
      </c>
      <c r="D155" s="6" t="n">
        <v>68</v>
      </c>
      <c r="E155" s="8" t="n">
        <v>0.5</v>
      </c>
      <c r="F155" s="8" t="n">
        <v>0.619047619047619</v>
      </c>
      <c r="G155" s="8" t="n">
        <v>0.214285714285714</v>
      </c>
      <c r="H155" s="8" t="n">
        <v>0.517857142857143</v>
      </c>
      <c r="I155" s="8" t="n">
        <v>0.304347826086957</v>
      </c>
      <c r="J155" s="8" t="n">
        <v>0.333333333333333</v>
      </c>
      <c r="K155" s="8" t="n">
        <v>0.619047619047619</v>
      </c>
      <c r="L155" s="8" t="n">
        <v>0.307692307692308</v>
      </c>
      <c r="M155" s="8" t="n">
        <v>0.311355311355311</v>
      </c>
    </row>
    <row r="156" customFormat="false" ht="15" hidden="false" customHeight="false" outlineLevel="0" collapsed="false">
      <c r="A156" s="22" t="s">
        <v>19</v>
      </c>
      <c r="B156" s="10" t="s">
        <v>20</v>
      </c>
      <c r="C156" s="22" t="s">
        <v>205</v>
      </c>
      <c r="D156" s="6" t="n">
        <v>72</v>
      </c>
      <c r="E156" s="8" t="n">
        <v>0.541666666666667</v>
      </c>
      <c r="F156" s="8" t="n">
        <v>0.619047619047619</v>
      </c>
      <c r="G156" s="8" t="n">
        <v>0.428571428571429</v>
      </c>
      <c r="H156" s="8" t="n">
        <v>0.571428571428571</v>
      </c>
      <c r="I156" s="8" t="n">
        <v>0.407407407407407</v>
      </c>
      <c r="J156" s="8" t="n">
        <v>0.666666666666667</v>
      </c>
      <c r="K156" s="8" t="n">
        <v>0.619047619047619</v>
      </c>
      <c r="L156" s="8" t="n">
        <v>0.433333333333333</v>
      </c>
      <c r="M156" s="8" t="n">
        <v>0.185714285714286</v>
      </c>
    </row>
    <row r="157" customFormat="false" ht="15" hidden="false" customHeight="false" outlineLevel="0" collapsed="false">
      <c r="A157" s="22" t="s">
        <v>19</v>
      </c>
      <c r="B157" s="10" t="s">
        <v>20</v>
      </c>
      <c r="C157" s="22" t="s">
        <v>206</v>
      </c>
      <c r="D157" s="6" t="n">
        <v>72</v>
      </c>
      <c r="E157" s="8" t="n">
        <v>0.569444444444444</v>
      </c>
      <c r="F157" s="8" t="n">
        <v>0.666666666666667</v>
      </c>
      <c r="G157" s="8" t="n">
        <v>0.428571428571429</v>
      </c>
      <c r="H157" s="8" t="n">
        <v>0.607142857142857</v>
      </c>
      <c r="I157" s="8" t="n">
        <v>0.444444444444444</v>
      </c>
      <c r="J157" s="8" t="n">
        <v>0.333333333333333</v>
      </c>
      <c r="K157" s="8" t="n">
        <v>0.666666666666667</v>
      </c>
      <c r="L157" s="8" t="n">
        <v>0.433333333333333</v>
      </c>
      <c r="M157" s="8" t="n">
        <v>0.233333333333333</v>
      </c>
    </row>
    <row r="158" customFormat="false" ht="15" hidden="false" customHeight="false" outlineLevel="0" collapsed="false">
      <c r="A158" s="22" t="s">
        <v>19</v>
      </c>
      <c r="B158" s="10" t="s">
        <v>20</v>
      </c>
      <c r="C158" s="22" t="s">
        <v>207</v>
      </c>
      <c r="D158" s="6" t="n">
        <v>72</v>
      </c>
      <c r="E158" s="8" t="n">
        <v>0.611111111111111</v>
      </c>
      <c r="F158" s="8" t="n">
        <v>0.690476190476191</v>
      </c>
      <c r="G158" s="8" t="n">
        <v>0.428571428571429</v>
      </c>
      <c r="H158" s="8" t="n">
        <v>0.625</v>
      </c>
      <c r="I158" s="8" t="n">
        <v>0.518518518518519</v>
      </c>
      <c r="J158" s="8" t="n">
        <v>0.333333333333333</v>
      </c>
      <c r="K158" s="8" t="n">
        <v>0.690476190476191</v>
      </c>
      <c r="L158" s="8" t="n">
        <v>0.5</v>
      </c>
      <c r="M158" s="8" t="n">
        <v>0.19047619047619</v>
      </c>
    </row>
    <row r="159" customFormat="false" ht="15" hidden="false" customHeight="false" outlineLevel="0" collapsed="false">
      <c r="A159" s="22" t="s">
        <v>19</v>
      </c>
      <c r="B159" s="10" t="s">
        <v>20</v>
      </c>
      <c r="C159" s="22" t="s">
        <v>208</v>
      </c>
      <c r="D159" s="6" t="n">
        <v>72</v>
      </c>
      <c r="E159" s="8" t="n">
        <v>0.625</v>
      </c>
      <c r="F159" s="8" t="n">
        <v>0.690476190476191</v>
      </c>
      <c r="G159" s="8" t="n">
        <v>0.571428571428571</v>
      </c>
      <c r="H159" s="8" t="n">
        <v>0.660714285714286</v>
      </c>
      <c r="I159" s="8" t="n">
        <v>0.555555555555556</v>
      </c>
      <c r="J159" s="8" t="n">
        <v>0.333333333333333</v>
      </c>
      <c r="K159" s="8" t="n">
        <v>0.690476190476191</v>
      </c>
      <c r="L159" s="8" t="n">
        <v>0.533333333333333</v>
      </c>
      <c r="M159" s="8" t="n">
        <v>0.157142857142857</v>
      </c>
    </row>
    <row r="160" customFormat="false" ht="15" hidden="false" customHeight="false" outlineLevel="0" collapsed="false">
      <c r="A160" s="22" t="s">
        <v>19</v>
      </c>
      <c r="B160" s="10" t="s">
        <v>20</v>
      </c>
      <c r="C160" s="22" t="s">
        <v>209</v>
      </c>
      <c r="D160" s="6" t="n">
        <v>73</v>
      </c>
      <c r="E160" s="8" t="n">
        <v>0.616438356164384</v>
      </c>
      <c r="F160" s="8" t="n">
        <v>0.738095238095238</v>
      </c>
      <c r="G160" s="8" t="n">
        <v>0.5</v>
      </c>
      <c r="H160" s="8" t="n">
        <v>0.678571428571429</v>
      </c>
      <c r="I160" s="8" t="n">
        <v>0.464285714285714</v>
      </c>
      <c r="J160" s="8" t="n">
        <v>0.333333333333333</v>
      </c>
      <c r="K160" s="8" t="n">
        <v>0.738095238095238</v>
      </c>
      <c r="L160" s="8" t="n">
        <v>0.451612903225806</v>
      </c>
      <c r="M160" s="8" t="n">
        <v>0.286482334869432</v>
      </c>
    </row>
    <row r="161" customFormat="false" ht="15" hidden="false" customHeight="false" outlineLevel="0" collapsed="false">
      <c r="A161" s="22" t="s">
        <v>19</v>
      </c>
      <c r="B161" s="10" t="s">
        <v>20</v>
      </c>
      <c r="C161" s="22" t="s">
        <v>210</v>
      </c>
      <c r="D161" s="6" t="n">
        <v>72</v>
      </c>
      <c r="E161" s="8" t="n">
        <v>0.597222222222222</v>
      </c>
      <c r="F161" s="8" t="n">
        <v>0.690476190476191</v>
      </c>
      <c r="G161" s="8" t="n">
        <v>0.5</v>
      </c>
      <c r="H161" s="8" t="n">
        <v>0.642857142857143</v>
      </c>
      <c r="I161" s="8" t="n">
        <v>0.481481481481481</v>
      </c>
      <c r="J161" s="8" t="n">
        <v>0.333333333333333</v>
      </c>
      <c r="K161" s="8" t="n">
        <v>0.690476190476191</v>
      </c>
      <c r="L161" s="8" t="n">
        <v>0.466666666666667</v>
      </c>
      <c r="M161" s="8" t="n">
        <v>0.223809523809524</v>
      </c>
    </row>
    <row r="162" customFormat="false" ht="15" hidden="false" customHeight="false" outlineLevel="0" collapsed="false">
      <c r="A162" s="22" t="s">
        <v>19</v>
      </c>
      <c r="B162" s="10" t="s">
        <v>20</v>
      </c>
      <c r="C162" s="22" t="s">
        <v>211</v>
      </c>
      <c r="D162" s="6" t="n">
        <v>72</v>
      </c>
      <c r="E162" s="8" t="n">
        <v>0.569444444444444</v>
      </c>
      <c r="F162" s="8" t="n">
        <v>0.690476190476191</v>
      </c>
      <c r="G162" s="8" t="n">
        <v>0.5</v>
      </c>
      <c r="H162" s="8" t="n">
        <v>0.642857142857143</v>
      </c>
      <c r="I162" s="8" t="n">
        <v>0.407407407407407</v>
      </c>
      <c r="J162" s="8" t="n">
        <v>0.333333333333333</v>
      </c>
      <c r="K162" s="8" t="n">
        <v>0.690476190476191</v>
      </c>
      <c r="L162" s="8" t="n">
        <v>0.4</v>
      </c>
      <c r="M162" s="8" t="n">
        <v>0.29047619047619</v>
      </c>
    </row>
    <row r="163" customFormat="false" ht="15" hidden="false" customHeight="false" outlineLevel="0" collapsed="false">
      <c r="A163" s="22" t="s">
        <v>19</v>
      </c>
      <c r="B163" s="10" t="s">
        <v>20</v>
      </c>
      <c r="C163" s="22" t="s">
        <v>212</v>
      </c>
      <c r="D163" s="6" t="n">
        <v>70</v>
      </c>
      <c r="E163" s="8" t="n">
        <v>0.657142857142857</v>
      </c>
      <c r="F163" s="8" t="n">
        <v>0.785714285714286</v>
      </c>
      <c r="G163" s="8" t="n">
        <v>0.428571428571429</v>
      </c>
      <c r="H163" s="8" t="n">
        <v>0.696428571428571</v>
      </c>
      <c r="I163" s="8" t="n">
        <v>0.48</v>
      </c>
      <c r="J163" s="8" t="n">
        <v>0.333333333333333</v>
      </c>
      <c r="K163" s="8" t="n">
        <v>0.785714285714286</v>
      </c>
      <c r="L163" s="8" t="n">
        <v>0.464285714285714</v>
      </c>
      <c r="M163" s="8" t="n">
        <v>0.321428571428571</v>
      </c>
    </row>
    <row r="164" customFormat="false" ht="15" hidden="false" customHeight="false" outlineLevel="0" collapsed="false">
      <c r="A164" s="22" t="s">
        <v>19</v>
      </c>
      <c r="B164" s="10" t="s">
        <v>20</v>
      </c>
      <c r="C164" s="22" t="s">
        <v>213</v>
      </c>
      <c r="D164" s="6" t="n">
        <v>70</v>
      </c>
      <c r="E164" s="8" t="n">
        <v>0.671428571428571</v>
      </c>
      <c r="F164" s="8" t="n">
        <v>0.785714285714286</v>
      </c>
      <c r="G164" s="8" t="n">
        <v>0.428571428571429</v>
      </c>
      <c r="H164" s="8" t="n">
        <v>0.696428571428571</v>
      </c>
      <c r="I164" s="8" t="n">
        <v>0.52</v>
      </c>
      <c r="J164" s="8" t="n">
        <v>0.333333333333333</v>
      </c>
      <c r="K164" s="8" t="n">
        <v>0.785714285714286</v>
      </c>
      <c r="L164" s="8" t="n">
        <v>0.5</v>
      </c>
      <c r="M164" s="8" t="n">
        <v>0.285714285714286</v>
      </c>
    </row>
    <row r="165" customFormat="false" ht="15" hidden="false" customHeight="false" outlineLevel="0" collapsed="false">
      <c r="A165" s="22" t="s">
        <v>19</v>
      </c>
      <c r="B165" s="10" t="s">
        <v>20</v>
      </c>
      <c r="C165" s="22" t="s">
        <v>214</v>
      </c>
      <c r="D165" s="6" t="n">
        <v>71</v>
      </c>
      <c r="E165" s="8" t="n">
        <v>0.577464788732394</v>
      </c>
      <c r="F165" s="8" t="n">
        <v>0.714285714285714</v>
      </c>
      <c r="G165" s="8" t="n">
        <v>0.357142857142857</v>
      </c>
      <c r="H165" s="8" t="n">
        <v>0.625</v>
      </c>
      <c r="I165" s="8" t="n">
        <v>0.346153846153846</v>
      </c>
      <c r="J165" s="8" t="n">
        <v>0.666666666666667</v>
      </c>
      <c r="K165" s="8" t="n">
        <v>0.714285714285714</v>
      </c>
      <c r="L165" s="8" t="n">
        <v>0.379310344827586</v>
      </c>
      <c r="M165" s="8" t="n">
        <v>0.334975369458128</v>
      </c>
    </row>
    <row r="166" customFormat="false" ht="15" hidden="false" customHeight="false" outlineLevel="0" collapsed="false">
      <c r="A166" s="22" t="s">
        <v>19</v>
      </c>
      <c r="B166" s="10" t="s">
        <v>20</v>
      </c>
      <c r="C166" s="22" t="s">
        <v>215</v>
      </c>
      <c r="D166" s="6" t="n">
        <v>73</v>
      </c>
      <c r="E166" s="8" t="n">
        <v>0.575342465753425</v>
      </c>
      <c r="F166" s="8" t="n">
        <v>0.690476190476191</v>
      </c>
      <c r="G166" s="8" t="n">
        <v>0.5</v>
      </c>
      <c r="H166" s="8" t="n">
        <v>0.642857142857143</v>
      </c>
      <c r="I166" s="8" t="n">
        <v>0.428571428571429</v>
      </c>
      <c r="J166" s="8" t="n">
        <v>0.333333333333333</v>
      </c>
      <c r="K166" s="8" t="n">
        <v>0.690476190476191</v>
      </c>
      <c r="L166" s="8" t="n">
        <v>0.419354838709677</v>
      </c>
      <c r="M166" s="8" t="n">
        <v>0.271121351766513</v>
      </c>
    </row>
    <row r="167" customFormat="false" ht="15" hidden="false" customHeight="false" outlineLevel="0" collapsed="false">
      <c r="A167" s="22" t="s">
        <v>19</v>
      </c>
      <c r="B167" s="10" t="s">
        <v>20</v>
      </c>
      <c r="C167" s="22" t="s">
        <v>216</v>
      </c>
      <c r="D167" s="6" t="n">
        <v>80</v>
      </c>
      <c r="E167" s="8" t="n">
        <v>0.5625</v>
      </c>
      <c r="F167" s="8" t="n">
        <v>0.666666666666667</v>
      </c>
      <c r="G167" s="8" t="n">
        <v>0.285714285714286</v>
      </c>
      <c r="H167" s="8" t="n">
        <v>0.571428571428571</v>
      </c>
      <c r="I167" s="8" t="n">
        <v>0.457142857142857</v>
      </c>
      <c r="J167" s="8" t="n">
        <v>0.333333333333333</v>
      </c>
      <c r="K167" s="8" t="n">
        <v>0.666666666666667</v>
      </c>
      <c r="L167" s="8" t="n">
        <v>0.447368421052632</v>
      </c>
      <c r="M167" s="8" t="n">
        <v>0.219298245614035</v>
      </c>
    </row>
    <row r="168" customFormat="false" ht="15" hidden="false" customHeight="false" outlineLevel="0" collapsed="false">
      <c r="A168" s="22" t="s">
        <v>19</v>
      </c>
      <c r="B168" s="10" t="s">
        <v>20</v>
      </c>
      <c r="C168" s="22" t="s">
        <v>217</v>
      </c>
      <c r="D168" s="6" t="n">
        <v>73</v>
      </c>
      <c r="E168" s="8" t="n">
        <v>0.520547945205479</v>
      </c>
      <c r="F168" s="8" t="n">
        <v>0.642857142857143</v>
      </c>
      <c r="G168" s="8" t="n">
        <v>0.5</v>
      </c>
      <c r="H168" s="8" t="n">
        <v>0.607142857142857</v>
      </c>
      <c r="I168" s="8" t="n">
        <v>0.392857142857143</v>
      </c>
      <c r="J168" s="8" t="n">
        <v>0</v>
      </c>
      <c r="K168" s="8" t="n">
        <v>0.642857142857143</v>
      </c>
      <c r="L168" s="8" t="n">
        <v>0.354838709677419</v>
      </c>
      <c r="M168" s="8" t="n">
        <v>0.288018433179724</v>
      </c>
    </row>
    <row r="169" customFormat="false" ht="15" hidden="false" customHeight="false" outlineLevel="0" collapsed="false">
      <c r="A169" s="22" t="s">
        <v>19</v>
      </c>
      <c r="B169" s="10" t="s">
        <v>20</v>
      </c>
      <c r="C169" s="22" t="s">
        <v>218</v>
      </c>
      <c r="D169" s="6" t="n">
        <v>72</v>
      </c>
      <c r="E169" s="8" t="n">
        <v>0.597222222222222</v>
      </c>
      <c r="F169" s="8" t="n">
        <v>0.785714285714286</v>
      </c>
      <c r="G169" s="8" t="n">
        <v>0.428571428571429</v>
      </c>
      <c r="H169" s="8" t="n">
        <v>0.696428571428571</v>
      </c>
      <c r="I169" s="8" t="n">
        <v>0.37037037037037</v>
      </c>
      <c r="J169" s="8" t="n">
        <v>0</v>
      </c>
      <c r="K169" s="8" t="n">
        <v>0.785714285714286</v>
      </c>
      <c r="L169" s="8" t="n">
        <v>0.333333333333333</v>
      </c>
      <c r="M169" s="8" t="n">
        <v>0.452380952380952</v>
      </c>
    </row>
    <row r="170" customFormat="false" ht="15" hidden="false" customHeight="false" outlineLevel="0" collapsed="false">
      <c r="A170" s="22" t="s">
        <v>19</v>
      </c>
      <c r="B170" s="10" t="s">
        <v>20</v>
      </c>
      <c r="C170" s="22" t="s">
        <v>219</v>
      </c>
      <c r="D170" s="6" t="n">
        <v>73</v>
      </c>
      <c r="E170" s="8" t="n">
        <v>0.63013698630137</v>
      </c>
      <c r="F170" s="8" t="n">
        <v>0.785714285714286</v>
      </c>
      <c r="G170" s="8" t="n">
        <v>0.428571428571429</v>
      </c>
      <c r="H170" s="8" t="n">
        <v>0.696428571428571</v>
      </c>
      <c r="I170" s="8" t="n">
        <v>0.464285714285714</v>
      </c>
      <c r="J170" s="8" t="n">
        <v>0</v>
      </c>
      <c r="K170" s="8" t="n">
        <v>0.785714285714286</v>
      </c>
      <c r="L170" s="8" t="n">
        <v>0.419354838709677</v>
      </c>
      <c r="M170" s="8" t="n">
        <v>0.366359447004608</v>
      </c>
    </row>
    <row r="171" customFormat="false" ht="15" hidden="false" customHeight="false" outlineLevel="0" collapsed="false">
      <c r="A171" s="22" t="s">
        <v>19</v>
      </c>
      <c r="B171" s="10" t="s">
        <v>20</v>
      </c>
      <c r="C171" s="22" t="s">
        <v>220</v>
      </c>
      <c r="D171" s="6" t="n">
        <v>73</v>
      </c>
      <c r="E171" s="8" t="n">
        <v>0.589041095890411</v>
      </c>
      <c r="F171" s="8" t="n">
        <v>0.738095238095238</v>
      </c>
      <c r="G171" s="8" t="n">
        <v>0.428571428571429</v>
      </c>
      <c r="H171" s="8" t="n">
        <v>0.660714285714286</v>
      </c>
      <c r="I171" s="8" t="n">
        <v>0.428571428571429</v>
      </c>
      <c r="J171" s="8" t="n">
        <v>0</v>
      </c>
      <c r="K171" s="8" t="n">
        <v>0.738095238095238</v>
      </c>
      <c r="L171" s="8" t="n">
        <v>0.387096774193548</v>
      </c>
      <c r="M171" s="8" t="n">
        <v>0.35099846390169</v>
      </c>
    </row>
    <row r="172" customFormat="false" ht="15" hidden="false" customHeight="false" outlineLevel="0" collapsed="false">
      <c r="A172" s="22" t="s">
        <v>19</v>
      </c>
      <c r="B172" s="10" t="s">
        <v>20</v>
      </c>
      <c r="C172" s="22" t="s">
        <v>221</v>
      </c>
      <c r="D172" s="6" t="n">
        <v>87</v>
      </c>
      <c r="E172" s="8" t="n">
        <v>0.494252873563218</v>
      </c>
      <c r="F172" s="8" t="n">
        <v>0.642857142857143</v>
      </c>
      <c r="G172" s="8" t="n">
        <v>0.5</v>
      </c>
      <c r="H172" s="8" t="n">
        <v>0.607142857142857</v>
      </c>
      <c r="I172" s="8" t="n">
        <v>0.357142857142857</v>
      </c>
      <c r="J172" s="8" t="n">
        <v>0.333333333333333</v>
      </c>
      <c r="K172" s="8" t="n">
        <v>0.642857142857143</v>
      </c>
      <c r="L172" s="8" t="n">
        <v>0.355555555555556</v>
      </c>
      <c r="M172" s="8" t="n">
        <v>0.287301587301587</v>
      </c>
    </row>
    <row r="173" customFormat="false" ht="15" hidden="false" customHeight="false" outlineLevel="0" collapsed="false">
      <c r="A173" s="22" t="s">
        <v>19</v>
      </c>
      <c r="B173" s="10" t="s">
        <v>20</v>
      </c>
      <c r="C173" s="22" t="s">
        <v>222</v>
      </c>
      <c r="D173" s="6" t="n">
        <v>72</v>
      </c>
      <c r="E173" s="8" t="n">
        <v>0.513888888888889</v>
      </c>
      <c r="F173" s="8" t="n">
        <v>0.619047619047619</v>
      </c>
      <c r="G173" s="8" t="n">
        <v>0.428571428571429</v>
      </c>
      <c r="H173" s="8" t="n">
        <v>0.571428571428571</v>
      </c>
      <c r="I173" s="8" t="n">
        <v>0.37037037037037</v>
      </c>
      <c r="J173" s="8" t="n">
        <v>0.333333333333333</v>
      </c>
      <c r="K173" s="8" t="n">
        <v>0.619047619047619</v>
      </c>
      <c r="L173" s="8" t="n">
        <v>0.366666666666667</v>
      </c>
      <c r="M173" s="8" t="n">
        <v>0.252380952380952</v>
      </c>
    </row>
    <row r="174" customFormat="false" ht="15" hidden="false" customHeight="false" outlineLevel="0" collapsed="false">
      <c r="A174" s="22" t="s">
        <v>19</v>
      </c>
      <c r="B174" s="10" t="s">
        <v>20</v>
      </c>
      <c r="C174" s="22" t="s">
        <v>223</v>
      </c>
      <c r="D174" s="6" t="n">
        <v>72</v>
      </c>
      <c r="E174" s="8" t="n">
        <v>0.513888888888889</v>
      </c>
      <c r="F174" s="8" t="n">
        <v>0.642857142857143</v>
      </c>
      <c r="G174" s="8" t="n">
        <v>0.428571428571429</v>
      </c>
      <c r="H174" s="8" t="n">
        <v>0.589285714285714</v>
      </c>
      <c r="I174" s="8" t="n">
        <v>0.37037037037037</v>
      </c>
      <c r="J174" s="8" t="n">
        <v>0</v>
      </c>
      <c r="K174" s="8" t="n">
        <v>0.642857142857143</v>
      </c>
      <c r="L174" s="8" t="n">
        <v>0.333333333333333</v>
      </c>
      <c r="M174" s="8" t="n">
        <v>0.30952380952381</v>
      </c>
    </row>
    <row r="175" customFormat="false" ht="15" hidden="false" customHeight="false" outlineLevel="0" collapsed="false">
      <c r="A175" s="22" t="s">
        <v>19</v>
      </c>
      <c r="B175" s="10" t="s">
        <v>20</v>
      </c>
      <c r="C175" s="22" t="s">
        <v>224</v>
      </c>
      <c r="D175" s="6" t="n">
        <v>72</v>
      </c>
      <c r="E175" s="8" t="n">
        <v>0.569444444444444</v>
      </c>
      <c r="F175" s="8" t="n">
        <v>0.738095238095238</v>
      </c>
      <c r="G175" s="8" t="n">
        <v>0.428571428571429</v>
      </c>
      <c r="H175" s="8" t="n">
        <v>0.660714285714286</v>
      </c>
      <c r="I175" s="8" t="n">
        <v>0.37037037037037</v>
      </c>
      <c r="J175" s="8" t="n">
        <v>0</v>
      </c>
      <c r="K175" s="8" t="n">
        <v>0.738095238095238</v>
      </c>
      <c r="L175" s="8" t="n">
        <v>0.333333333333333</v>
      </c>
      <c r="M175" s="8" t="n">
        <v>0.404761904761905</v>
      </c>
    </row>
    <row r="176" customFormat="false" ht="15" hidden="false" customHeight="false" outlineLevel="0" collapsed="false">
      <c r="A176" s="22" t="s">
        <v>19</v>
      </c>
      <c r="B176" s="10" t="s">
        <v>20</v>
      </c>
      <c r="C176" s="22" t="s">
        <v>225</v>
      </c>
      <c r="D176" s="6" t="n">
        <v>73</v>
      </c>
      <c r="E176" s="8" t="n">
        <v>0.561643835616438</v>
      </c>
      <c r="F176" s="8" t="n">
        <v>0.738095238095238</v>
      </c>
      <c r="G176" s="8" t="n">
        <v>0.357142857142857</v>
      </c>
      <c r="H176" s="8" t="n">
        <v>0.642857142857143</v>
      </c>
      <c r="I176" s="8" t="n">
        <v>0.357142857142857</v>
      </c>
      <c r="J176" s="8" t="n">
        <v>0</v>
      </c>
      <c r="K176" s="8" t="n">
        <v>0.738095238095238</v>
      </c>
      <c r="L176" s="8" t="n">
        <v>0.32258064516129</v>
      </c>
      <c r="M176" s="8" t="n">
        <v>0.415514592933948</v>
      </c>
    </row>
    <row r="177" customFormat="false" ht="15" hidden="false" customHeight="false" outlineLevel="0" collapsed="false">
      <c r="A177" s="22" t="s">
        <v>19</v>
      </c>
      <c r="B177" s="10" t="s">
        <v>20</v>
      </c>
      <c r="C177" s="22" t="s">
        <v>226</v>
      </c>
      <c r="D177" s="6" t="n">
        <v>73</v>
      </c>
      <c r="E177" s="8" t="n">
        <v>0.561643835616438</v>
      </c>
      <c r="F177" s="8" t="n">
        <v>0.690476190476191</v>
      </c>
      <c r="G177" s="8" t="n">
        <v>0.428571428571429</v>
      </c>
      <c r="H177" s="8" t="n">
        <v>0.625</v>
      </c>
      <c r="I177" s="8" t="n">
        <v>0.428571428571429</v>
      </c>
      <c r="J177" s="8" t="n">
        <v>0</v>
      </c>
      <c r="K177" s="8" t="n">
        <v>0.690476190476191</v>
      </c>
      <c r="L177" s="8" t="n">
        <v>0.387096774193548</v>
      </c>
      <c r="M177" s="8" t="n">
        <v>0.303379416282642</v>
      </c>
    </row>
    <row r="178" customFormat="false" ht="15" hidden="false" customHeight="false" outlineLevel="0" collapsed="false">
      <c r="A178" s="22" t="s">
        <v>19</v>
      </c>
      <c r="B178" s="10" t="s">
        <v>20</v>
      </c>
      <c r="C178" s="22" t="s">
        <v>227</v>
      </c>
      <c r="D178" s="6" t="n">
        <v>73</v>
      </c>
      <c r="E178" s="8" t="n">
        <v>0.616438356164384</v>
      </c>
      <c r="F178" s="8" t="n">
        <v>0.785714285714286</v>
      </c>
      <c r="G178" s="8" t="n">
        <v>0.428571428571429</v>
      </c>
      <c r="H178" s="8" t="n">
        <v>0.696428571428571</v>
      </c>
      <c r="I178" s="8" t="n">
        <v>0.428571428571429</v>
      </c>
      <c r="J178" s="8" t="n">
        <v>0</v>
      </c>
      <c r="K178" s="8" t="n">
        <v>0.785714285714286</v>
      </c>
      <c r="L178" s="8" t="n">
        <v>0.387096774193548</v>
      </c>
      <c r="M178" s="8" t="n">
        <v>0.398617511520737</v>
      </c>
    </row>
    <row r="179" customFormat="false" ht="15" hidden="false" customHeight="false" outlineLevel="0" collapsed="false">
      <c r="A179" s="22" t="s">
        <v>19</v>
      </c>
      <c r="B179" s="10" t="s">
        <v>20</v>
      </c>
      <c r="C179" s="22" t="s">
        <v>228</v>
      </c>
      <c r="D179" s="6" t="n">
        <v>72</v>
      </c>
      <c r="E179" s="8" t="n">
        <v>0.611111111111111</v>
      </c>
      <c r="F179" s="8" t="n">
        <v>0.738095238095238</v>
      </c>
      <c r="G179" s="8" t="n">
        <v>0.5</v>
      </c>
      <c r="H179" s="8" t="n">
        <v>0.678571428571429</v>
      </c>
      <c r="I179" s="8" t="n">
        <v>0.481481481481481</v>
      </c>
      <c r="J179" s="8" t="n">
        <v>0</v>
      </c>
      <c r="K179" s="8" t="n">
        <v>0.738095238095238</v>
      </c>
      <c r="L179" s="8" t="n">
        <v>0.433333333333333</v>
      </c>
      <c r="M179" s="8" t="n">
        <v>0.304761904761905</v>
      </c>
    </row>
    <row r="180" customFormat="false" ht="15" hidden="false" customHeight="false" outlineLevel="0" collapsed="false">
      <c r="A180" s="22" t="s">
        <v>19</v>
      </c>
      <c r="B180" s="10" t="s">
        <v>20</v>
      </c>
      <c r="C180" s="22" t="s">
        <v>229</v>
      </c>
      <c r="D180" s="6" t="n">
        <v>74</v>
      </c>
      <c r="E180" s="8" t="n">
        <v>0.554054054054054</v>
      </c>
      <c r="F180" s="8" t="n">
        <v>0.666666666666667</v>
      </c>
      <c r="G180" s="8" t="n">
        <v>0.5</v>
      </c>
      <c r="H180" s="8" t="n">
        <v>0.625</v>
      </c>
      <c r="I180" s="8" t="n">
        <v>0.379310344827586</v>
      </c>
      <c r="J180" s="8" t="n">
        <v>0.666666666666667</v>
      </c>
      <c r="K180" s="8" t="n">
        <v>0.666666666666667</v>
      </c>
      <c r="L180" s="8" t="n">
        <v>0.40625</v>
      </c>
      <c r="M180" s="8" t="n">
        <v>0.260416666666667</v>
      </c>
    </row>
    <row r="181" customFormat="false" ht="15" hidden="false" customHeight="false" outlineLevel="0" collapsed="false">
      <c r="A181" s="22" t="s">
        <v>19</v>
      </c>
      <c r="B181" s="10" t="s">
        <v>20</v>
      </c>
      <c r="C181" s="22" t="s">
        <v>230</v>
      </c>
      <c r="D181" s="6" t="n">
        <v>75</v>
      </c>
      <c r="E181" s="8" t="n">
        <v>0.68</v>
      </c>
      <c r="F181" s="8" t="n">
        <v>0.80952380952381</v>
      </c>
      <c r="G181" s="8" t="n">
        <v>0.428571428571429</v>
      </c>
      <c r="H181" s="8" t="n">
        <v>0.714285714285714</v>
      </c>
      <c r="I181" s="8" t="n">
        <v>0.533333333333333</v>
      </c>
      <c r="J181" s="8" t="n">
        <v>0.333333333333333</v>
      </c>
      <c r="K181" s="8" t="n">
        <v>0.80952380952381</v>
      </c>
      <c r="L181" s="8" t="n">
        <v>0.515151515151515</v>
      </c>
      <c r="M181" s="8" t="n">
        <v>0.294372294372294</v>
      </c>
    </row>
    <row r="182" customFormat="false" ht="15" hidden="false" customHeight="false" outlineLevel="0" collapsed="false">
      <c r="A182" s="22" t="s">
        <v>19</v>
      </c>
      <c r="B182" s="10" t="s">
        <v>20</v>
      </c>
      <c r="C182" s="22" t="s">
        <v>231</v>
      </c>
      <c r="D182" s="6" t="n">
        <v>74</v>
      </c>
      <c r="E182" s="8" t="n">
        <v>0.72972972972973</v>
      </c>
      <c r="F182" s="8" t="n">
        <v>0.880952380952381</v>
      </c>
      <c r="G182" s="8" t="n">
        <v>0.571428571428571</v>
      </c>
      <c r="H182" s="8" t="n">
        <v>0.803571428571429</v>
      </c>
      <c r="I182" s="8" t="n">
        <v>0.517241379310345</v>
      </c>
      <c r="J182" s="8" t="n">
        <v>0.666666666666667</v>
      </c>
      <c r="K182" s="8" t="n">
        <v>0.880952380952381</v>
      </c>
      <c r="L182" s="8" t="n">
        <v>0.53125</v>
      </c>
      <c r="M182" s="8" t="n">
        <v>0.349702380952381</v>
      </c>
    </row>
    <row r="183" customFormat="false" ht="15" hidden="false" customHeight="false" outlineLevel="0" collapsed="false">
      <c r="A183" s="22" t="s">
        <v>19</v>
      </c>
      <c r="B183" s="10" t="s">
        <v>20</v>
      </c>
      <c r="C183" s="22" t="s">
        <v>232</v>
      </c>
      <c r="D183" s="6" t="n">
        <v>74</v>
      </c>
      <c r="E183" s="8" t="n">
        <v>0.675675675675676</v>
      </c>
      <c r="F183" s="8" t="n">
        <v>0.857142857142857</v>
      </c>
      <c r="G183" s="8" t="n">
        <v>0.5</v>
      </c>
      <c r="H183" s="8" t="n">
        <v>0.767857142857143</v>
      </c>
      <c r="I183" s="8" t="n">
        <v>0.413793103448276</v>
      </c>
      <c r="J183" s="8" t="n">
        <v>0.666666666666667</v>
      </c>
      <c r="K183" s="8" t="n">
        <v>0.857142857142857</v>
      </c>
      <c r="L183" s="8" t="n">
        <v>0.4375</v>
      </c>
      <c r="M183" s="8" t="n">
        <v>0.419642857142857</v>
      </c>
    </row>
    <row r="184" customFormat="false" ht="15" hidden="false" customHeight="false" outlineLevel="0" collapsed="false">
      <c r="A184" s="22" t="s">
        <v>19</v>
      </c>
      <c r="B184" s="10" t="s">
        <v>20</v>
      </c>
      <c r="C184" s="22" t="s">
        <v>233</v>
      </c>
      <c r="D184" s="6" t="n">
        <v>74</v>
      </c>
      <c r="E184" s="8" t="n">
        <v>0.716216216216216</v>
      </c>
      <c r="F184" s="8" t="n">
        <v>0.857142857142857</v>
      </c>
      <c r="G184" s="8" t="n">
        <v>0.571428571428571</v>
      </c>
      <c r="H184" s="8" t="n">
        <v>0.785714285714286</v>
      </c>
      <c r="I184" s="8" t="n">
        <v>0.517241379310345</v>
      </c>
      <c r="J184" s="8" t="n">
        <v>0.666666666666667</v>
      </c>
      <c r="K184" s="8" t="n">
        <v>0.857142857142857</v>
      </c>
      <c r="L184" s="8" t="n">
        <v>0.53125</v>
      </c>
      <c r="M184" s="8" t="n">
        <v>0.325892857142857</v>
      </c>
    </row>
    <row r="185" customFormat="false" ht="15" hidden="false" customHeight="false" outlineLevel="0" collapsed="false">
      <c r="A185" s="22" t="s">
        <v>19</v>
      </c>
      <c r="B185" s="10" t="s">
        <v>20</v>
      </c>
      <c r="C185" s="22" t="s">
        <v>234</v>
      </c>
      <c r="D185" s="6" t="n">
        <v>73</v>
      </c>
      <c r="E185" s="8" t="n">
        <v>0.534246575342466</v>
      </c>
      <c r="F185" s="8" t="n">
        <v>0.642857142857143</v>
      </c>
      <c r="G185" s="8" t="n">
        <v>0.5</v>
      </c>
      <c r="H185" s="8" t="n">
        <v>0.607142857142857</v>
      </c>
      <c r="I185" s="8" t="n">
        <v>0.357142857142857</v>
      </c>
      <c r="J185" s="8" t="n">
        <v>0.666666666666667</v>
      </c>
      <c r="K185" s="8" t="n">
        <v>0.642857142857143</v>
      </c>
      <c r="L185" s="8" t="n">
        <v>0.387096774193548</v>
      </c>
      <c r="M185" s="8" t="n">
        <v>0.255760368663595</v>
      </c>
    </row>
    <row r="186" customFormat="false" ht="15" hidden="false" customHeight="false" outlineLevel="0" collapsed="false">
      <c r="A186" s="22" t="s">
        <v>19</v>
      </c>
      <c r="B186" s="10" t="s">
        <v>20</v>
      </c>
      <c r="C186" s="22" t="s">
        <v>235</v>
      </c>
      <c r="D186" s="6" t="n">
        <v>71</v>
      </c>
      <c r="E186" s="8" t="n">
        <v>0.535211267605634</v>
      </c>
      <c r="F186" s="8" t="n">
        <v>0.619047619047619</v>
      </c>
      <c r="G186" s="8" t="n">
        <v>0.357142857142857</v>
      </c>
      <c r="H186" s="8" t="n">
        <v>0.553571428571429</v>
      </c>
      <c r="I186" s="8" t="n">
        <v>0.384615384615385</v>
      </c>
      <c r="J186" s="8" t="n">
        <v>0.666666666666667</v>
      </c>
      <c r="K186" s="8" t="n">
        <v>0.619047619047619</v>
      </c>
      <c r="L186" s="8" t="n">
        <v>0.413793103448276</v>
      </c>
      <c r="M186" s="8" t="n">
        <v>0.205254515599343</v>
      </c>
    </row>
    <row r="187" customFormat="false" ht="15" hidden="false" customHeight="false" outlineLevel="0" collapsed="false">
      <c r="A187" s="22" t="s">
        <v>19</v>
      </c>
      <c r="B187" s="10" t="s">
        <v>20</v>
      </c>
      <c r="C187" s="22" t="s">
        <v>236</v>
      </c>
      <c r="D187" s="6" t="n">
        <v>71</v>
      </c>
      <c r="E187" s="8" t="n">
        <v>0.563380281690141</v>
      </c>
      <c r="F187" s="8" t="n">
        <v>0.714285714285714</v>
      </c>
      <c r="G187" s="8" t="n">
        <v>0.357142857142857</v>
      </c>
      <c r="H187" s="8" t="n">
        <v>0.625</v>
      </c>
      <c r="I187" s="8" t="n">
        <v>0.346153846153846</v>
      </c>
      <c r="J187" s="8" t="n">
        <v>0.333333333333333</v>
      </c>
      <c r="K187" s="8" t="n">
        <v>0.714285714285714</v>
      </c>
      <c r="L187" s="8" t="n">
        <v>0.344827586206897</v>
      </c>
      <c r="M187" s="8" t="n">
        <v>0.369458128078818</v>
      </c>
    </row>
    <row r="188" customFormat="false" ht="15" hidden="false" customHeight="false" outlineLevel="0" collapsed="false">
      <c r="A188" s="22" t="s">
        <v>19</v>
      </c>
      <c r="B188" s="10" t="s">
        <v>20</v>
      </c>
      <c r="C188" s="22" t="s">
        <v>237</v>
      </c>
      <c r="D188" s="6" t="n">
        <v>71</v>
      </c>
      <c r="E188" s="8" t="n">
        <v>0.549295774647887</v>
      </c>
      <c r="F188" s="8" t="n">
        <v>0.642857142857143</v>
      </c>
      <c r="G188" s="8" t="n">
        <v>0.428571428571429</v>
      </c>
      <c r="H188" s="8" t="n">
        <v>0.589285714285714</v>
      </c>
      <c r="I188" s="8" t="n">
        <v>0.461538461538462</v>
      </c>
      <c r="J188" s="8" t="n">
        <v>0</v>
      </c>
      <c r="K188" s="8" t="n">
        <v>0.642857142857143</v>
      </c>
      <c r="L188" s="8" t="n">
        <v>0.413793103448276</v>
      </c>
      <c r="M188" s="8" t="n">
        <v>0.229064039408867</v>
      </c>
    </row>
    <row r="189" customFormat="false" ht="15" hidden="false" customHeight="false" outlineLevel="0" collapsed="false">
      <c r="A189" s="22" t="s">
        <v>19</v>
      </c>
      <c r="B189" s="10" t="s">
        <v>20</v>
      </c>
      <c r="C189" s="22" t="s">
        <v>238</v>
      </c>
      <c r="D189" s="6" t="n">
        <v>71</v>
      </c>
      <c r="E189" s="8" t="n">
        <v>0.47887323943662</v>
      </c>
      <c r="F189" s="8" t="n">
        <v>0.571428571428571</v>
      </c>
      <c r="G189" s="8" t="n">
        <v>0.428571428571429</v>
      </c>
      <c r="H189" s="8" t="n">
        <v>0.535714285714286</v>
      </c>
      <c r="I189" s="8" t="n">
        <v>0.384615384615385</v>
      </c>
      <c r="J189" s="8" t="n">
        <v>0</v>
      </c>
      <c r="K189" s="8" t="n">
        <v>0.571428571428571</v>
      </c>
      <c r="L189" s="8" t="n">
        <v>0.344827586206897</v>
      </c>
      <c r="M189" s="8" t="n">
        <v>0.226600985221675</v>
      </c>
    </row>
    <row r="190" customFormat="false" ht="15" hidden="false" customHeight="false" outlineLevel="0" collapsed="false">
      <c r="A190" s="22" t="s">
        <v>19</v>
      </c>
      <c r="B190" s="10" t="s">
        <v>20</v>
      </c>
      <c r="C190" s="22" t="s">
        <v>239</v>
      </c>
      <c r="D190" s="6" t="n">
        <v>73</v>
      </c>
      <c r="E190" s="8" t="n">
        <v>0.589041095890411</v>
      </c>
      <c r="F190" s="8" t="n">
        <v>0.761904761904762</v>
      </c>
      <c r="G190" s="8" t="n">
        <v>0.5</v>
      </c>
      <c r="H190" s="8" t="n">
        <v>0.696428571428571</v>
      </c>
      <c r="I190" s="8" t="n">
        <v>0.357142857142857</v>
      </c>
      <c r="J190" s="8" t="n">
        <v>0.333333333333333</v>
      </c>
      <c r="K190" s="8" t="n">
        <v>0.761904761904762</v>
      </c>
      <c r="L190" s="8" t="n">
        <v>0.354838709677419</v>
      </c>
      <c r="M190" s="8" t="n">
        <v>0.407066052227343</v>
      </c>
    </row>
    <row r="191" customFormat="false" ht="15" hidden="false" customHeight="false" outlineLevel="0" collapsed="false">
      <c r="A191" s="22" t="s">
        <v>19</v>
      </c>
      <c r="B191" s="10" t="s">
        <v>20</v>
      </c>
      <c r="C191" s="22" t="s">
        <v>240</v>
      </c>
      <c r="D191" s="6" t="n">
        <v>72</v>
      </c>
      <c r="E191" s="8" t="n">
        <v>0.569444444444444</v>
      </c>
      <c r="F191" s="8" t="n">
        <v>0.738095238095238</v>
      </c>
      <c r="G191" s="8" t="n">
        <v>0.5</v>
      </c>
      <c r="H191" s="8" t="n">
        <v>0.678571428571429</v>
      </c>
      <c r="I191" s="8" t="n">
        <v>0.37037037037037</v>
      </c>
      <c r="J191" s="8" t="n">
        <v>0</v>
      </c>
      <c r="K191" s="8" t="n">
        <v>0.738095238095238</v>
      </c>
      <c r="L191" s="8" t="n">
        <v>0.333333333333333</v>
      </c>
      <c r="M191" s="8" t="n">
        <v>0.404761904761905</v>
      </c>
    </row>
    <row r="192" customFormat="false" ht="15" hidden="false" customHeight="false" outlineLevel="0" collapsed="false">
      <c r="A192" s="22" t="s">
        <v>19</v>
      </c>
      <c r="B192" s="10" t="s">
        <v>20</v>
      </c>
      <c r="C192" s="22" t="s">
        <v>241</v>
      </c>
      <c r="D192" s="6" t="n">
        <v>72</v>
      </c>
      <c r="E192" s="8" t="n">
        <v>0.555555555555556</v>
      </c>
      <c r="F192" s="8" t="n">
        <v>0.642857142857143</v>
      </c>
      <c r="G192" s="8" t="n">
        <v>0.357142857142857</v>
      </c>
      <c r="H192" s="8" t="n">
        <v>0.571428571428571</v>
      </c>
      <c r="I192" s="8" t="n">
        <v>0.407407407407407</v>
      </c>
      <c r="J192" s="8" t="n">
        <v>0.666666666666667</v>
      </c>
      <c r="K192" s="8" t="n">
        <v>0.642857142857143</v>
      </c>
      <c r="L192" s="8" t="n">
        <v>0.433333333333333</v>
      </c>
      <c r="M192" s="8" t="n">
        <v>0.20952380952381</v>
      </c>
    </row>
    <row r="193" customFormat="false" ht="15" hidden="false" customHeight="false" outlineLevel="0" collapsed="false">
      <c r="A193" s="22" t="s">
        <v>19</v>
      </c>
      <c r="B193" s="10" t="s">
        <v>20</v>
      </c>
      <c r="C193" s="22" t="s">
        <v>242</v>
      </c>
      <c r="D193" s="6" t="n">
        <v>72</v>
      </c>
      <c r="E193" s="8" t="n">
        <v>0.513888888888889</v>
      </c>
      <c r="F193" s="8" t="n">
        <v>0.595238095238095</v>
      </c>
      <c r="G193" s="8" t="n">
        <v>0.5</v>
      </c>
      <c r="H193" s="8" t="n">
        <v>0.571428571428571</v>
      </c>
      <c r="I193" s="8" t="n">
        <v>0.407407407407407</v>
      </c>
      <c r="J193" s="8" t="n">
        <v>0.333333333333333</v>
      </c>
      <c r="K193" s="8" t="n">
        <v>0.595238095238095</v>
      </c>
      <c r="L193" s="8" t="n">
        <v>0.4</v>
      </c>
      <c r="M193" s="8" t="n">
        <v>0.195238095238095</v>
      </c>
    </row>
    <row r="194" customFormat="false" ht="15" hidden="false" customHeight="false" outlineLevel="0" collapsed="false">
      <c r="A194" s="22" t="s">
        <v>19</v>
      </c>
      <c r="B194" s="10" t="s">
        <v>20</v>
      </c>
      <c r="C194" s="22" t="s">
        <v>243</v>
      </c>
      <c r="D194" s="6" t="n">
        <v>72</v>
      </c>
      <c r="E194" s="8" t="n">
        <v>0.541666666666667</v>
      </c>
      <c r="F194" s="8" t="n">
        <v>0.595238095238095</v>
      </c>
      <c r="G194" s="8" t="n">
        <v>0.5</v>
      </c>
      <c r="H194" s="8" t="n">
        <v>0.571428571428571</v>
      </c>
      <c r="I194" s="8" t="n">
        <v>0.481481481481481</v>
      </c>
      <c r="J194" s="8" t="n">
        <v>0.333333333333333</v>
      </c>
      <c r="K194" s="8" t="n">
        <v>0.595238095238095</v>
      </c>
      <c r="L194" s="8" t="n">
        <v>0.466666666666667</v>
      </c>
      <c r="M194" s="8" t="n">
        <v>0.128571428571429</v>
      </c>
    </row>
    <row r="195" customFormat="false" ht="15" hidden="false" customHeight="false" outlineLevel="0" collapsed="false">
      <c r="A195" s="22" t="s">
        <v>19</v>
      </c>
      <c r="B195" s="10" t="s">
        <v>20</v>
      </c>
      <c r="C195" s="22" t="s">
        <v>244</v>
      </c>
      <c r="D195" s="6" t="n">
        <v>72</v>
      </c>
      <c r="E195" s="8" t="n">
        <v>0.513888888888889</v>
      </c>
      <c r="F195" s="8" t="n">
        <v>0.642857142857143</v>
      </c>
      <c r="G195" s="8" t="n">
        <v>0.5</v>
      </c>
      <c r="H195" s="8" t="n">
        <v>0.607142857142857</v>
      </c>
      <c r="I195" s="8" t="n">
        <v>0.296296296296296</v>
      </c>
      <c r="J195" s="8" t="n">
        <v>0.666666666666667</v>
      </c>
      <c r="K195" s="8" t="n">
        <v>0.642857142857143</v>
      </c>
      <c r="L195" s="8" t="n">
        <v>0.333333333333333</v>
      </c>
      <c r="M195" s="8" t="n">
        <v>0.30952380952381</v>
      </c>
    </row>
    <row r="196" customFormat="false" ht="15" hidden="false" customHeight="false" outlineLevel="0" collapsed="false">
      <c r="A196" s="22" t="s">
        <v>19</v>
      </c>
      <c r="B196" s="10" t="s">
        <v>20</v>
      </c>
      <c r="C196" s="22" t="s">
        <v>245</v>
      </c>
      <c r="D196" s="6" t="n">
        <v>74</v>
      </c>
      <c r="E196" s="8" t="n">
        <v>0.567567567567568</v>
      </c>
      <c r="F196" s="8" t="n">
        <v>0.738095238095238</v>
      </c>
      <c r="G196" s="8" t="n">
        <v>0.5</v>
      </c>
      <c r="H196" s="8" t="n">
        <v>0.678571428571429</v>
      </c>
      <c r="I196" s="8" t="n">
        <v>0.344827586206897</v>
      </c>
      <c r="J196" s="8" t="n">
        <v>0.333333333333333</v>
      </c>
      <c r="K196" s="8" t="n">
        <v>0.738095238095238</v>
      </c>
      <c r="L196" s="8" t="n">
        <v>0.34375</v>
      </c>
      <c r="M196" s="8" t="n">
        <v>0.394345238095238</v>
      </c>
    </row>
    <row r="197" customFormat="false" ht="15" hidden="false" customHeight="false" outlineLevel="0" collapsed="false">
      <c r="A197" s="22" t="s">
        <v>19</v>
      </c>
      <c r="B197" s="10" t="s">
        <v>20</v>
      </c>
      <c r="C197" s="22" t="s">
        <v>246</v>
      </c>
      <c r="D197" s="6" t="n">
        <v>73</v>
      </c>
      <c r="E197" s="8" t="n">
        <v>0.561643835616438</v>
      </c>
      <c r="F197" s="8" t="n">
        <v>0.666666666666667</v>
      </c>
      <c r="G197" s="8" t="n">
        <v>0.5</v>
      </c>
      <c r="H197" s="8" t="n">
        <v>0.625</v>
      </c>
      <c r="I197" s="8" t="n">
        <v>0.392857142857143</v>
      </c>
      <c r="J197" s="8" t="n">
        <v>0.666666666666667</v>
      </c>
      <c r="K197" s="8" t="n">
        <v>0.666666666666667</v>
      </c>
      <c r="L197" s="8" t="n">
        <v>0.419354838709677</v>
      </c>
      <c r="M197" s="8" t="n">
        <v>0.247311827956989</v>
      </c>
    </row>
    <row r="198" customFormat="false" ht="15" hidden="false" customHeight="false" outlineLevel="0" collapsed="false">
      <c r="A198" s="22" t="s">
        <v>19</v>
      </c>
      <c r="B198" s="10" t="s">
        <v>20</v>
      </c>
      <c r="C198" s="22" t="s">
        <v>247</v>
      </c>
      <c r="D198" s="6" t="n">
        <v>72</v>
      </c>
      <c r="E198" s="8" t="n">
        <v>0.541666666666667</v>
      </c>
      <c r="F198" s="8" t="n">
        <v>0.571428571428571</v>
      </c>
      <c r="G198" s="8" t="n">
        <v>0.5</v>
      </c>
      <c r="H198" s="8" t="n">
        <v>0.553571428571429</v>
      </c>
      <c r="I198" s="8" t="n">
        <v>0.518518518518519</v>
      </c>
      <c r="J198" s="8" t="n">
        <v>0.333333333333333</v>
      </c>
      <c r="K198" s="8" t="n">
        <v>0.571428571428571</v>
      </c>
      <c r="L198" s="8" t="n">
        <v>0.5</v>
      </c>
      <c r="M198" s="8" t="n">
        <v>0.0714285714285714</v>
      </c>
    </row>
    <row r="199" customFormat="false" ht="15" hidden="false" customHeight="false" outlineLevel="0" collapsed="false">
      <c r="A199" s="22" t="s">
        <v>19</v>
      </c>
      <c r="B199" s="10" t="s">
        <v>20</v>
      </c>
      <c r="C199" s="22" t="s">
        <v>248</v>
      </c>
      <c r="D199" s="6" t="n">
        <v>73</v>
      </c>
      <c r="E199" s="8" t="n">
        <v>0.534246575342466</v>
      </c>
      <c r="F199" s="8" t="n">
        <v>0.619047619047619</v>
      </c>
      <c r="G199" s="8" t="n">
        <v>0.428571428571429</v>
      </c>
      <c r="H199" s="8" t="n">
        <v>0.571428571428571</v>
      </c>
      <c r="I199" s="8" t="n">
        <v>0.428571428571429</v>
      </c>
      <c r="J199" s="8" t="n">
        <v>0.333333333333333</v>
      </c>
      <c r="K199" s="8" t="n">
        <v>0.619047619047619</v>
      </c>
      <c r="L199" s="8" t="n">
        <v>0.419354838709677</v>
      </c>
      <c r="M199" s="8" t="n">
        <v>0.199692780337942</v>
      </c>
    </row>
    <row r="200" customFormat="false" ht="15" hidden="false" customHeight="false" outlineLevel="0" collapsed="false">
      <c r="A200" s="22" t="s">
        <v>19</v>
      </c>
      <c r="B200" s="10" t="s">
        <v>20</v>
      </c>
      <c r="C200" s="22" t="s">
        <v>249</v>
      </c>
      <c r="D200" s="6" t="n">
        <v>74</v>
      </c>
      <c r="E200" s="8" t="n">
        <v>0.621621621621622</v>
      </c>
      <c r="F200" s="8" t="n">
        <v>0.80952380952381</v>
      </c>
      <c r="G200" s="8" t="n">
        <v>0.5</v>
      </c>
      <c r="H200" s="8" t="n">
        <v>0.732142857142857</v>
      </c>
      <c r="I200" s="8" t="n">
        <v>0.379310344827586</v>
      </c>
      <c r="J200" s="8" t="n">
        <v>0.333333333333333</v>
      </c>
      <c r="K200" s="8" t="n">
        <v>0.80952380952381</v>
      </c>
      <c r="L200" s="8" t="n">
        <v>0.375</v>
      </c>
      <c r="M200" s="8" t="n">
        <v>0.43452380952381</v>
      </c>
    </row>
    <row r="201" customFormat="false" ht="15" hidden="false" customHeight="false" outlineLevel="0" collapsed="false">
      <c r="A201" s="22" t="s">
        <v>21</v>
      </c>
      <c r="B201" s="10" t="s">
        <v>20</v>
      </c>
      <c r="C201" s="22" t="s">
        <v>250</v>
      </c>
      <c r="D201" s="6" t="n">
        <v>73</v>
      </c>
      <c r="E201" s="8" t="n">
        <v>0.671232876712329</v>
      </c>
      <c r="F201" s="8" t="n">
        <v>0.80952380952381</v>
      </c>
      <c r="G201" s="8" t="n">
        <v>0.571428571428571</v>
      </c>
      <c r="H201" s="8" t="n">
        <v>0.75</v>
      </c>
      <c r="I201" s="8" t="n">
        <v>0.464285714285714</v>
      </c>
      <c r="J201" s="8" t="n">
        <v>0.666666666666667</v>
      </c>
      <c r="K201" s="8" t="n">
        <v>0.80952380952381</v>
      </c>
      <c r="L201" s="8" t="n">
        <v>0.483870967741936</v>
      </c>
      <c r="M201" s="8" t="n">
        <v>0.325652841781874</v>
      </c>
    </row>
    <row r="202" customFormat="false" ht="15" hidden="false" customHeight="false" outlineLevel="0" collapsed="false">
      <c r="A202" s="22" t="s">
        <v>21</v>
      </c>
      <c r="B202" s="10" t="s">
        <v>20</v>
      </c>
      <c r="C202" s="22" t="s">
        <v>251</v>
      </c>
      <c r="D202" s="6" t="n">
        <v>72</v>
      </c>
      <c r="E202" s="8" t="n">
        <v>0.652777777777778</v>
      </c>
      <c r="F202" s="8" t="n">
        <v>0.833333333333333</v>
      </c>
      <c r="G202" s="8" t="n">
        <v>0.357142857142857</v>
      </c>
      <c r="H202" s="8" t="n">
        <v>0.714285714285714</v>
      </c>
      <c r="I202" s="8" t="n">
        <v>0.407407407407407</v>
      </c>
      <c r="J202" s="8" t="n">
        <v>0.333333333333333</v>
      </c>
      <c r="K202" s="8" t="n">
        <v>0.833333333333333</v>
      </c>
      <c r="L202" s="8" t="n">
        <v>0.4</v>
      </c>
      <c r="M202" s="8" t="n">
        <v>0.433333333333333</v>
      </c>
    </row>
    <row r="203" customFormat="false" ht="15" hidden="false" customHeight="false" outlineLevel="0" collapsed="false">
      <c r="A203" s="22" t="s">
        <v>21</v>
      </c>
      <c r="B203" s="10" t="s">
        <v>20</v>
      </c>
      <c r="C203" s="22" t="s">
        <v>252</v>
      </c>
      <c r="D203" s="6" t="n">
        <v>74</v>
      </c>
      <c r="E203" s="8" t="n">
        <v>0.581081081081081</v>
      </c>
      <c r="F203" s="8" t="n">
        <v>0.714285714285714</v>
      </c>
      <c r="G203" s="8" t="n">
        <v>0.5</v>
      </c>
      <c r="H203" s="8" t="n">
        <v>0.660714285714286</v>
      </c>
      <c r="I203" s="8" t="n">
        <v>0.379310344827586</v>
      </c>
      <c r="J203" s="8" t="n">
        <v>0.666666666666667</v>
      </c>
      <c r="K203" s="8" t="n">
        <v>0.714285714285714</v>
      </c>
      <c r="L203" s="8" t="n">
        <v>0.40625</v>
      </c>
      <c r="M203" s="8" t="n">
        <v>0.308035714285714</v>
      </c>
    </row>
    <row r="204" customFormat="false" ht="15" hidden="false" customHeight="false" outlineLevel="0" collapsed="false">
      <c r="A204" s="22" t="s">
        <v>21</v>
      </c>
      <c r="B204" s="10" t="s">
        <v>20</v>
      </c>
      <c r="C204" s="22" t="s">
        <v>253</v>
      </c>
      <c r="D204" s="6" t="n">
        <v>71</v>
      </c>
      <c r="E204" s="8" t="n">
        <v>0.591549295774648</v>
      </c>
      <c r="F204" s="8" t="n">
        <v>0.690476190476191</v>
      </c>
      <c r="G204" s="8" t="n">
        <v>0.428571428571429</v>
      </c>
      <c r="H204" s="8" t="n">
        <v>0.625</v>
      </c>
      <c r="I204" s="8" t="n">
        <v>0.461538461538462</v>
      </c>
      <c r="J204" s="8" t="n">
        <v>0.333333333333333</v>
      </c>
      <c r="K204" s="8" t="n">
        <v>0.690476190476191</v>
      </c>
      <c r="L204" s="8" t="n">
        <v>0.448275862068966</v>
      </c>
      <c r="M204" s="8" t="n">
        <v>0.242200328407225</v>
      </c>
    </row>
    <row r="205" customFormat="false" ht="15" hidden="false" customHeight="false" outlineLevel="0" collapsed="false">
      <c r="A205" s="22" t="s">
        <v>21</v>
      </c>
      <c r="B205" s="10" t="s">
        <v>20</v>
      </c>
      <c r="C205" s="22" t="s">
        <v>254</v>
      </c>
      <c r="D205" s="6" t="n">
        <v>74</v>
      </c>
      <c r="E205" s="8" t="n">
        <v>0.567567567567568</v>
      </c>
      <c r="F205" s="8" t="n">
        <v>0.714285714285714</v>
      </c>
      <c r="G205" s="8" t="n">
        <v>0.5</v>
      </c>
      <c r="H205" s="8" t="n">
        <v>0.660714285714286</v>
      </c>
      <c r="I205" s="8" t="n">
        <v>0.344827586206897</v>
      </c>
      <c r="J205" s="8" t="n">
        <v>0.666666666666667</v>
      </c>
      <c r="K205" s="8" t="n">
        <v>0.714285714285714</v>
      </c>
      <c r="L205" s="8" t="n">
        <v>0.375</v>
      </c>
      <c r="M205" s="8" t="n">
        <v>0.339285714285714</v>
      </c>
    </row>
    <row r="206" customFormat="false" ht="15" hidden="false" customHeight="false" outlineLevel="0" collapsed="false">
      <c r="A206" s="22" t="s">
        <v>21</v>
      </c>
      <c r="B206" s="10" t="s">
        <v>20</v>
      </c>
      <c r="C206" s="22" t="s">
        <v>255</v>
      </c>
      <c r="D206" s="6" t="n">
        <v>84</v>
      </c>
      <c r="E206" s="8" t="n">
        <v>0.571428571428571</v>
      </c>
      <c r="F206" s="8" t="n">
        <v>0.666666666666667</v>
      </c>
      <c r="G206" s="8" t="n">
        <v>0.5</v>
      </c>
      <c r="H206" s="8" t="n">
        <v>0.625</v>
      </c>
      <c r="I206" s="8" t="n">
        <v>0.487179487179487</v>
      </c>
      <c r="J206" s="8" t="n">
        <v>0.333333333333333</v>
      </c>
      <c r="K206" s="8" t="n">
        <v>0.666666666666667</v>
      </c>
      <c r="L206" s="8" t="n">
        <v>0.476190476190476</v>
      </c>
      <c r="M206" s="8" t="n">
        <v>0.19047619047619</v>
      </c>
    </row>
    <row r="207" customFormat="false" ht="15" hidden="false" customHeight="false" outlineLevel="0" collapsed="false">
      <c r="A207" s="22" t="s">
        <v>21</v>
      </c>
      <c r="B207" s="10" t="s">
        <v>20</v>
      </c>
      <c r="C207" s="22" t="s">
        <v>256</v>
      </c>
      <c r="D207" s="6" t="n">
        <v>71</v>
      </c>
      <c r="E207" s="8" t="n">
        <v>0.591549295774648</v>
      </c>
      <c r="F207" s="8" t="n">
        <v>0.738095238095238</v>
      </c>
      <c r="G207" s="8" t="n">
        <v>0.428571428571429</v>
      </c>
      <c r="H207" s="8" t="n">
        <v>0.660714285714286</v>
      </c>
      <c r="I207" s="8" t="n">
        <v>0.384615384615385</v>
      </c>
      <c r="J207" s="8" t="n">
        <v>0.333333333333333</v>
      </c>
      <c r="K207" s="8" t="n">
        <v>0.738095238095238</v>
      </c>
      <c r="L207" s="8" t="n">
        <v>0.379310344827586</v>
      </c>
      <c r="M207" s="8" t="n">
        <v>0.358784893267652</v>
      </c>
    </row>
    <row r="208" customFormat="false" ht="15" hidden="false" customHeight="false" outlineLevel="0" collapsed="false">
      <c r="A208" s="22" t="s">
        <v>21</v>
      </c>
      <c r="B208" s="10" t="s">
        <v>20</v>
      </c>
      <c r="C208" s="22" t="s">
        <v>257</v>
      </c>
      <c r="D208" s="6" t="n">
        <v>74</v>
      </c>
      <c r="E208" s="8" t="n">
        <v>0.662162162162162</v>
      </c>
      <c r="F208" s="8" t="n">
        <v>0.80952380952381</v>
      </c>
      <c r="G208" s="8" t="n">
        <v>0.5</v>
      </c>
      <c r="H208" s="8" t="n">
        <v>0.732142857142857</v>
      </c>
      <c r="I208" s="8" t="n">
        <v>0.448275862068966</v>
      </c>
      <c r="J208" s="8" t="n">
        <v>0.666666666666667</v>
      </c>
      <c r="K208" s="8" t="n">
        <v>0.80952380952381</v>
      </c>
      <c r="L208" s="8" t="n">
        <v>0.46875</v>
      </c>
      <c r="M208" s="8" t="n">
        <v>0.34077380952381</v>
      </c>
    </row>
    <row r="209" customFormat="false" ht="15" hidden="false" customHeight="false" outlineLevel="0" collapsed="false">
      <c r="A209" s="22" t="s">
        <v>21</v>
      </c>
      <c r="B209" s="10" t="s">
        <v>20</v>
      </c>
      <c r="C209" s="22" t="s">
        <v>258</v>
      </c>
      <c r="D209" s="6" t="n">
        <v>74</v>
      </c>
      <c r="E209" s="8" t="n">
        <v>0.594594594594595</v>
      </c>
      <c r="F209" s="8" t="n">
        <v>0.761904761904762</v>
      </c>
      <c r="G209" s="8" t="n">
        <v>0.357142857142857</v>
      </c>
      <c r="H209" s="8" t="n">
        <v>0.660714285714286</v>
      </c>
      <c r="I209" s="8" t="n">
        <v>0.379310344827586</v>
      </c>
      <c r="J209" s="8" t="n">
        <v>0.333333333333333</v>
      </c>
      <c r="K209" s="8" t="n">
        <v>0.761904761904762</v>
      </c>
      <c r="L209" s="8" t="n">
        <v>0.375</v>
      </c>
      <c r="M209" s="8" t="n">
        <v>0.386904761904762</v>
      </c>
    </row>
    <row r="210" customFormat="false" ht="15" hidden="false" customHeight="false" outlineLevel="0" collapsed="false">
      <c r="A210" s="22" t="s">
        <v>21</v>
      </c>
      <c r="B210" s="10" t="s">
        <v>20</v>
      </c>
      <c r="C210" s="22" t="s">
        <v>259</v>
      </c>
      <c r="D210" s="6" t="n">
        <v>74</v>
      </c>
      <c r="E210" s="8" t="n">
        <v>0.594594594594595</v>
      </c>
      <c r="F210" s="8" t="n">
        <v>0.761904761904762</v>
      </c>
      <c r="G210" s="8" t="n">
        <v>0.357142857142857</v>
      </c>
      <c r="H210" s="8" t="n">
        <v>0.660714285714286</v>
      </c>
      <c r="I210" s="8" t="n">
        <v>0.379310344827586</v>
      </c>
      <c r="J210" s="8" t="n">
        <v>0.333333333333333</v>
      </c>
      <c r="K210" s="8" t="n">
        <v>0.761904761904762</v>
      </c>
      <c r="L210" s="8" t="n">
        <v>0.375</v>
      </c>
      <c r="M210" s="8" t="n">
        <v>0.386904761904762</v>
      </c>
    </row>
    <row r="211" customFormat="false" ht="15" hidden="false" customHeight="false" outlineLevel="0" collapsed="false">
      <c r="A211" s="22" t="s">
        <v>21</v>
      </c>
      <c r="B211" s="10" t="s">
        <v>20</v>
      </c>
      <c r="C211" s="22" t="s">
        <v>260</v>
      </c>
      <c r="D211" s="6" t="n">
        <v>71</v>
      </c>
      <c r="E211" s="8" t="n">
        <v>0.549295774647887</v>
      </c>
      <c r="F211" s="8" t="n">
        <v>0.619047619047619</v>
      </c>
      <c r="G211" s="8" t="n">
        <v>0.5</v>
      </c>
      <c r="H211" s="8" t="n">
        <v>0.589285714285714</v>
      </c>
      <c r="I211" s="8" t="n">
        <v>0.461538461538462</v>
      </c>
      <c r="J211" s="8" t="n">
        <v>0.333333333333333</v>
      </c>
      <c r="K211" s="8" t="n">
        <v>0.619047619047619</v>
      </c>
      <c r="L211" s="8" t="n">
        <v>0.448275862068966</v>
      </c>
      <c r="M211" s="8" t="n">
        <v>0.170771756978654</v>
      </c>
    </row>
    <row r="212" customFormat="false" ht="15" hidden="false" customHeight="false" outlineLevel="0" collapsed="false">
      <c r="A212" s="22" t="s">
        <v>21</v>
      </c>
      <c r="B212" s="10" t="s">
        <v>20</v>
      </c>
      <c r="C212" s="22" t="s">
        <v>261</v>
      </c>
      <c r="D212" s="6" t="n">
        <v>71</v>
      </c>
      <c r="E212" s="8" t="n">
        <v>0.605633802816901</v>
      </c>
      <c r="F212" s="8" t="n">
        <v>0.738095238095238</v>
      </c>
      <c r="G212" s="8" t="n">
        <v>0.5</v>
      </c>
      <c r="H212" s="8" t="n">
        <v>0.678571428571429</v>
      </c>
      <c r="I212" s="8" t="n">
        <v>0.384615384615385</v>
      </c>
      <c r="J212" s="8" t="n">
        <v>0.666666666666667</v>
      </c>
      <c r="K212" s="8" t="n">
        <v>0.738095238095238</v>
      </c>
      <c r="L212" s="8" t="n">
        <v>0.413793103448276</v>
      </c>
      <c r="M212" s="8" t="n">
        <v>0.324302134646962</v>
      </c>
    </row>
    <row r="213" customFormat="false" ht="15" hidden="false" customHeight="false" outlineLevel="0" collapsed="false">
      <c r="A213" s="22" t="s">
        <v>21</v>
      </c>
      <c r="B213" s="10" t="s">
        <v>20</v>
      </c>
      <c r="C213" s="22" t="s">
        <v>262</v>
      </c>
      <c r="D213" s="6" t="n">
        <v>71</v>
      </c>
      <c r="E213" s="8" t="n">
        <v>0.605633802816901</v>
      </c>
      <c r="F213" s="8" t="n">
        <v>0.714285714285714</v>
      </c>
      <c r="G213" s="8" t="n">
        <v>0.5</v>
      </c>
      <c r="H213" s="8" t="n">
        <v>0.660714285714286</v>
      </c>
      <c r="I213" s="8" t="n">
        <v>0.423076923076923</v>
      </c>
      <c r="J213" s="8" t="n">
        <v>0.666666666666667</v>
      </c>
      <c r="K213" s="8" t="n">
        <v>0.714285714285714</v>
      </c>
      <c r="L213" s="8" t="n">
        <v>0.448275862068966</v>
      </c>
      <c r="M213" s="8" t="n">
        <v>0.266009852216749</v>
      </c>
    </row>
    <row r="214" customFormat="false" ht="15" hidden="false" customHeight="false" outlineLevel="0" collapsed="false">
      <c r="A214" s="22" t="s">
        <v>21</v>
      </c>
      <c r="B214" s="10" t="s">
        <v>20</v>
      </c>
      <c r="C214" s="22" t="s">
        <v>263</v>
      </c>
      <c r="D214" s="6" t="n">
        <v>72</v>
      </c>
      <c r="E214" s="8" t="n">
        <v>0.555555555555556</v>
      </c>
      <c r="F214" s="8" t="n">
        <v>0.690476190476191</v>
      </c>
      <c r="G214" s="8" t="n">
        <v>0.5</v>
      </c>
      <c r="H214" s="8" t="n">
        <v>0.642857142857143</v>
      </c>
      <c r="I214" s="8" t="n">
        <v>0.407407407407407</v>
      </c>
      <c r="J214" s="8" t="n">
        <v>0</v>
      </c>
      <c r="K214" s="8" t="n">
        <v>0.690476190476191</v>
      </c>
      <c r="L214" s="8" t="n">
        <v>0.366666666666667</v>
      </c>
      <c r="M214" s="8" t="n">
        <v>0.323809523809524</v>
      </c>
    </row>
    <row r="215" customFormat="false" ht="15" hidden="false" customHeight="false" outlineLevel="0" collapsed="false">
      <c r="A215" s="22" t="s">
        <v>21</v>
      </c>
      <c r="B215" s="10" t="s">
        <v>20</v>
      </c>
      <c r="C215" s="22" t="s">
        <v>264</v>
      </c>
      <c r="D215" s="6" t="n">
        <v>72</v>
      </c>
      <c r="E215" s="8" t="n">
        <v>0.611111111111111</v>
      </c>
      <c r="F215" s="8" t="n">
        <v>0.714285714285714</v>
      </c>
      <c r="G215" s="8" t="n">
        <v>0.5</v>
      </c>
      <c r="H215" s="8" t="n">
        <v>0.660714285714286</v>
      </c>
      <c r="I215" s="8" t="n">
        <v>0.518518518518519</v>
      </c>
      <c r="J215" s="8" t="n">
        <v>0</v>
      </c>
      <c r="K215" s="8" t="n">
        <v>0.714285714285714</v>
      </c>
      <c r="L215" s="8" t="n">
        <v>0.466666666666667</v>
      </c>
      <c r="M215" s="8" t="n">
        <v>0.247619047619048</v>
      </c>
    </row>
    <row r="216" customFormat="false" ht="15" hidden="false" customHeight="false" outlineLevel="0" collapsed="false">
      <c r="A216" s="22" t="s">
        <v>21</v>
      </c>
      <c r="B216" s="10" t="s">
        <v>20</v>
      </c>
      <c r="C216" s="22" t="s">
        <v>265</v>
      </c>
      <c r="D216" s="6" t="n">
        <v>72</v>
      </c>
      <c r="E216" s="8" t="n">
        <v>0.541666666666667</v>
      </c>
      <c r="F216" s="8" t="n">
        <v>0.619047619047619</v>
      </c>
      <c r="G216" s="8" t="n">
        <v>0.5</v>
      </c>
      <c r="H216" s="8" t="n">
        <v>0.589285714285714</v>
      </c>
      <c r="I216" s="8" t="n">
        <v>0.444444444444444</v>
      </c>
      <c r="J216" s="8" t="n">
        <v>0.333333333333333</v>
      </c>
      <c r="K216" s="8" t="n">
        <v>0.619047619047619</v>
      </c>
      <c r="L216" s="8" t="n">
        <v>0.433333333333333</v>
      </c>
      <c r="M216" s="8" t="n">
        <v>0.185714285714286</v>
      </c>
    </row>
    <row r="217" customFormat="false" ht="15" hidden="false" customHeight="false" outlineLevel="0" collapsed="false">
      <c r="A217" s="22" t="s">
        <v>21</v>
      </c>
      <c r="B217" s="10" t="s">
        <v>20</v>
      </c>
      <c r="C217" s="22" t="s">
        <v>266</v>
      </c>
      <c r="D217" s="6" t="n">
        <v>72</v>
      </c>
      <c r="E217" s="8" t="n">
        <v>0.541666666666667</v>
      </c>
      <c r="F217" s="8" t="n">
        <v>0.666666666666667</v>
      </c>
      <c r="G217" s="8" t="n">
        <v>0.5</v>
      </c>
      <c r="H217" s="8" t="n">
        <v>0.625</v>
      </c>
      <c r="I217" s="8" t="n">
        <v>0.37037037037037</v>
      </c>
      <c r="J217" s="8" t="n">
        <v>0.333333333333333</v>
      </c>
      <c r="K217" s="8" t="n">
        <v>0.666666666666667</v>
      </c>
      <c r="L217" s="8" t="n">
        <v>0.366666666666667</v>
      </c>
      <c r="M217" s="8" t="n">
        <v>0.3</v>
      </c>
    </row>
    <row r="218" customFormat="false" ht="15" hidden="false" customHeight="false" outlineLevel="0" collapsed="false">
      <c r="A218" s="22" t="s">
        <v>21</v>
      </c>
      <c r="B218" s="10" t="s">
        <v>20</v>
      </c>
      <c r="C218" s="22" t="s">
        <v>267</v>
      </c>
      <c r="D218" s="6" t="n">
        <v>72</v>
      </c>
      <c r="E218" s="8" t="n">
        <v>0.597222222222222</v>
      </c>
      <c r="F218" s="8" t="n">
        <v>0.690476190476191</v>
      </c>
      <c r="G218" s="8" t="n">
        <v>0.5</v>
      </c>
      <c r="H218" s="8" t="n">
        <v>0.642857142857143</v>
      </c>
      <c r="I218" s="8" t="n">
        <v>0.481481481481481</v>
      </c>
      <c r="J218" s="8" t="n">
        <v>0.333333333333333</v>
      </c>
      <c r="K218" s="8" t="n">
        <v>0.690476190476191</v>
      </c>
      <c r="L218" s="8" t="n">
        <v>0.466666666666667</v>
      </c>
      <c r="M218" s="8" t="n">
        <v>0.223809523809524</v>
      </c>
    </row>
    <row r="219" customFormat="false" ht="15" hidden="false" customHeight="false" outlineLevel="0" collapsed="false">
      <c r="A219" s="22" t="s">
        <v>21</v>
      </c>
      <c r="B219" s="10" t="s">
        <v>20</v>
      </c>
      <c r="C219" s="22" t="s">
        <v>268</v>
      </c>
      <c r="D219" s="6" t="n">
        <v>72</v>
      </c>
      <c r="E219" s="8" t="n">
        <v>0.597222222222222</v>
      </c>
      <c r="F219" s="8" t="n">
        <v>0.666666666666667</v>
      </c>
      <c r="G219" s="8" t="n">
        <v>0.5</v>
      </c>
      <c r="H219" s="8" t="n">
        <v>0.625</v>
      </c>
      <c r="I219" s="8" t="n">
        <v>0.518518518518519</v>
      </c>
      <c r="J219" s="8" t="n">
        <v>0.333333333333333</v>
      </c>
      <c r="K219" s="8" t="n">
        <v>0.666666666666667</v>
      </c>
      <c r="L219" s="8" t="n">
        <v>0.5</v>
      </c>
      <c r="M219" s="8" t="n">
        <v>0.166666666666667</v>
      </c>
    </row>
    <row r="220" customFormat="false" ht="15" hidden="false" customHeight="false" outlineLevel="0" collapsed="false">
      <c r="A220" s="22" t="s">
        <v>21</v>
      </c>
      <c r="B220" s="10" t="s">
        <v>20</v>
      </c>
      <c r="C220" s="22" t="s">
        <v>269</v>
      </c>
      <c r="D220" s="6" t="n">
        <v>72</v>
      </c>
      <c r="E220" s="8" t="n">
        <v>0.541666666666667</v>
      </c>
      <c r="F220" s="8" t="n">
        <v>0.619047619047619</v>
      </c>
      <c r="G220" s="8" t="n">
        <v>0.5</v>
      </c>
      <c r="H220" s="8" t="n">
        <v>0.589285714285714</v>
      </c>
      <c r="I220" s="8" t="n">
        <v>0.444444444444444</v>
      </c>
      <c r="J220" s="8" t="n">
        <v>0.333333333333333</v>
      </c>
      <c r="K220" s="8" t="n">
        <v>0.619047619047619</v>
      </c>
      <c r="L220" s="8" t="n">
        <v>0.433333333333333</v>
      </c>
      <c r="M220" s="8" t="n">
        <v>0.185714285714286</v>
      </c>
    </row>
    <row r="221" customFormat="false" ht="15" hidden="false" customHeight="false" outlineLevel="0" collapsed="false">
      <c r="A221" s="22" t="s">
        <v>21</v>
      </c>
      <c r="B221" s="10" t="s">
        <v>20</v>
      </c>
      <c r="C221" s="22" t="s">
        <v>270</v>
      </c>
      <c r="D221" s="6" t="n">
        <v>72</v>
      </c>
      <c r="E221" s="8" t="n">
        <v>0.638888888888889</v>
      </c>
      <c r="F221" s="8" t="n">
        <v>0.857142857142857</v>
      </c>
      <c r="G221" s="8" t="n">
        <v>0.357142857142857</v>
      </c>
      <c r="H221" s="8" t="n">
        <v>0.732142857142857</v>
      </c>
      <c r="I221" s="8" t="n">
        <v>0.333333333333333</v>
      </c>
      <c r="J221" s="8" t="n">
        <v>0.333333333333333</v>
      </c>
      <c r="K221" s="8" t="n">
        <v>0.857142857142857</v>
      </c>
      <c r="L221" s="8" t="n">
        <v>0.333333333333333</v>
      </c>
      <c r="M221" s="8" t="n">
        <v>0.523809523809524</v>
      </c>
    </row>
    <row r="222" customFormat="false" ht="15" hidden="false" customHeight="false" outlineLevel="0" collapsed="false">
      <c r="A222" s="22" t="s">
        <v>21</v>
      </c>
      <c r="B222" s="10" t="s">
        <v>20</v>
      </c>
      <c r="C222" s="22" t="s">
        <v>271</v>
      </c>
      <c r="D222" s="6" t="n">
        <v>72</v>
      </c>
      <c r="E222" s="8" t="n">
        <v>0.652777777777778</v>
      </c>
      <c r="F222" s="8" t="n">
        <v>0.880952380952381</v>
      </c>
      <c r="G222" s="8" t="n">
        <v>0.357142857142857</v>
      </c>
      <c r="H222" s="8" t="n">
        <v>0.75</v>
      </c>
      <c r="I222" s="8" t="n">
        <v>0.333333333333333</v>
      </c>
      <c r="J222" s="8" t="n">
        <v>0.333333333333333</v>
      </c>
      <c r="K222" s="8" t="n">
        <v>0.880952380952381</v>
      </c>
      <c r="L222" s="8" t="n">
        <v>0.333333333333333</v>
      </c>
      <c r="M222" s="8" t="n">
        <v>0.547619047619048</v>
      </c>
    </row>
    <row r="223" customFormat="false" ht="15" hidden="false" customHeight="false" outlineLevel="0" collapsed="false">
      <c r="A223" s="22" t="s">
        <v>21</v>
      </c>
      <c r="B223" s="10" t="s">
        <v>20</v>
      </c>
      <c r="C223" s="22" t="s">
        <v>272</v>
      </c>
      <c r="D223" s="6" t="n">
        <v>73</v>
      </c>
      <c r="E223" s="8" t="n">
        <v>0.589041095890411</v>
      </c>
      <c r="F223" s="8" t="n">
        <v>0.761904761904762</v>
      </c>
      <c r="G223" s="8" t="n">
        <v>0.5</v>
      </c>
      <c r="H223" s="8" t="n">
        <v>0.696428571428571</v>
      </c>
      <c r="I223" s="8" t="n">
        <v>0.357142857142857</v>
      </c>
      <c r="J223" s="8" t="n">
        <v>0.333333333333333</v>
      </c>
      <c r="K223" s="8" t="n">
        <v>0.761904761904762</v>
      </c>
      <c r="L223" s="8" t="n">
        <v>0.354838709677419</v>
      </c>
      <c r="M223" s="8" t="n">
        <v>0.407066052227343</v>
      </c>
    </row>
    <row r="224" customFormat="false" ht="15" hidden="false" customHeight="false" outlineLevel="0" collapsed="false">
      <c r="A224" s="22" t="s">
        <v>21</v>
      </c>
      <c r="B224" s="10" t="s">
        <v>20</v>
      </c>
      <c r="C224" s="22" t="s">
        <v>273</v>
      </c>
      <c r="D224" s="6" t="n">
        <v>72</v>
      </c>
      <c r="E224" s="8" t="n">
        <v>0.527777777777778</v>
      </c>
      <c r="F224" s="8" t="n">
        <v>0.595238095238095</v>
      </c>
      <c r="G224" s="8" t="n">
        <v>0.5</v>
      </c>
      <c r="H224" s="8" t="n">
        <v>0.571428571428571</v>
      </c>
      <c r="I224" s="8" t="n">
        <v>0.444444444444444</v>
      </c>
      <c r="J224" s="8" t="n">
        <v>0.333333333333333</v>
      </c>
      <c r="K224" s="8" t="n">
        <v>0.595238095238095</v>
      </c>
      <c r="L224" s="8" t="n">
        <v>0.433333333333333</v>
      </c>
      <c r="M224" s="8" t="n">
        <v>0.161904761904762</v>
      </c>
    </row>
    <row r="225" customFormat="false" ht="15" hidden="false" customHeight="false" outlineLevel="0" collapsed="false">
      <c r="A225" s="22" t="s">
        <v>21</v>
      </c>
      <c r="B225" s="10" t="s">
        <v>20</v>
      </c>
      <c r="C225" s="22" t="s">
        <v>274</v>
      </c>
      <c r="D225" s="6" t="n">
        <v>72</v>
      </c>
      <c r="E225" s="8" t="n">
        <v>0.541666666666667</v>
      </c>
      <c r="F225" s="8" t="n">
        <v>0.595238095238095</v>
      </c>
      <c r="G225" s="8" t="n">
        <v>0.5</v>
      </c>
      <c r="H225" s="8" t="n">
        <v>0.571428571428571</v>
      </c>
      <c r="I225" s="8" t="n">
        <v>0.481481481481481</v>
      </c>
      <c r="J225" s="8" t="n">
        <v>0.333333333333333</v>
      </c>
      <c r="K225" s="8" t="n">
        <v>0.595238095238095</v>
      </c>
      <c r="L225" s="8" t="n">
        <v>0.466666666666667</v>
      </c>
      <c r="M225" s="8" t="n">
        <v>0.128571428571429</v>
      </c>
    </row>
    <row r="226" customFormat="false" ht="15" hidden="false" customHeight="false" outlineLevel="0" collapsed="false">
      <c r="A226" s="22" t="s">
        <v>21</v>
      </c>
      <c r="B226" s="10" t="s">
        <v>20</v>
      </c>
      <c r="C226" s="22" t="s">
        <v>275</v>
      </c>
      <c r="D226" s="6" t="n">
        <v>71</v>
      </c>
      <c r="E226" s="8" t="n">
        <v>0.577464788732394</v>
      </c>
      <c r="F226" s="8" t="n">
        <v>0.738095238095238</v>
      </c>
      <c r="G226" s="8" t="n">
        <v>0.5</v>
      </c>
      <c r="H226" s="8" t="n">
        <v>0.678571428571429</v>
      </c>
      <c r="I226" s="8" t="n">
        <v>0.384615384615385</v>
      </c>
      <c r="J226" s="8" t="n">
        <v>0</v>
      </c>
      <c r="K226" s="8" t="n">
        <v>0.738095238095238</v>
      </c>
      <c r="L226" s="8" t="n">
        <v>0.344827586206897</v>
      </c>
      <c r="M226" s="8" t="n">
        <v>0.393267651888342</v>
      </c>
    </row>
    <row r="227" customFormat="false" ht="15" hidden="false" customHeight="false" outlineLevel="0" collapsed="false">
      <c r="A227" s="22" t="s">
        <v>21</v>
      </c>
      <c r="B227" s="10" t="s">
        <v>20</v>
      </c>
      <c r="C227" s="22" t="s">
        <v>276</v>
      </c>
      <c r="D227" s="6" t="n">
        <v>71</v>
      </c>
      <c r="E227" s="8" t="n">
        <v>0.47887323943662</v>
      </c>
      <c r="F227" s="8" t="n">
        <v>0.619047619047619</v>
      </c>
      <c r="G227" s="8" t="n">
        <v>0.428571428571429</v>
      </c>
      <c r="H227" s="8" t="n">
        <v>0.571428571428571</v>
      </c>
      <c r="I227" s="8" t="n">
        <v>0.307692307692308</v>
      </c>
      <c r="J227" s="8" t="n">
        <v>0</v>
      </c>
      <c r="K227" s="8" t="n">
        <v>0.619047619047619</v>
      </c>
      <c r="L227" s="8" t="n">
        <v>0.275862068965517</v>
      </c>
      <c r="M227" s="8" t="n">
        <v>0.343185550082102</v>
      </c>
    </row>
    <row r="228" customFormat="false" ht="15" hidden="false" customHeight="false" outlineLevel="0" collapsed="false">
      <c r="A228" s="22" t="s">
        <v>21</v>
      </c>
      <c r="B228" s="10" t="s">
        <v>20</v>
      </c>
      <c r="C228" s="22" t="s">
        <v>277</v>
      </c>
      <c r="D228" s="6" t="n">
        <v>71</v>
      </c>
      <c r="E228" s="8" t="n">
        <v>0.52112676056338</v>
      </c>
      <c r="F228" s="8" t="n">
        <v>0.666666666666667</v>
      </c>
      <c r="G228" s="8" t="n">
        <v>0.357142857142857</v>
      </c>
      <c r="H228" s="8" t="n">
        <v>0.589285714285714</v>
      </c>
      <c r="I228" s="8" t="n">
        <v>0.346153846153846</v>
      </c>
      <c r="J228" s="8" t="n">
        <v>0</v>
      </c>
      <c r="K228" s="8" t="n">
        <v>0.666666666666667</v>
      </c>
      <c r="L228" s="8" t="n">
        <v>0.310344827586207</v>
      </c>
      <c r="M228" s="8" t="n">
        <v>0.35632183908046</v>
      </c>
    </row>
    <row r="229" customFormat="false" ht="15" hidden="false" customHeight="false" outlineLevel="0" collapsed="false">
      <c r="A229" s="22" t="s">
        <v>21</v>
      </c>
      <c r="B229" s="10" t="s">
        <v>20</v>
      </c>
      <c r="C229" s="22" t="s">
        <v>278</v>
      </c>
      <c r="D229" s="6" t="n">
        <v>71</v>
      </c>
      <c r="E229" s="8" t="n">
        <v>0.591549295774648</v>
      </c>
      <c r="F229" s="8" t="n">
        <v>0.690476190476191</v>
      </c>
      <c r="G229" s="8" t="n">
        <v>0.5</v>
      </c>
      <c r="H229" s="8" t="n">
        <v>0.642857142857143</v>
      </c>
      <c r="I229" s="8" t="n">
        <v>0.461538461538462</v>
      </c>
      <c r="J229" s="8" t="n">
        <v>0.333333333333333</v>
      </c>
      <c r="K229" s="8" t="n">
        <v>0.690476190476191</v>
      </c>
      <c r="L229" s="8" t="n">
        <v>0.448275862068966</v>
      </c>
      <c r="M229" s="8" t="n">
        <v>0.242200328407225</v>
      </c>
    </row>
    <row r="230" customFormat="false" ht="15" hidden="false" customHeight="false" outlineLevel="0" collapsed="false">
      <c r="A230" s="22" t="s">
        <v>21</v>
      </c>
      <c r="B230" s="10" t="s">
        <v>20</v>
      </c>
      <c r="C230" s="22" t="s">
        <v>279</v>
      </c>
      <c r="D230" s="6" t="n">
        <v>72</v>
      </c>
      <c r="E230" s="8" t="n">
        <v>0.597222222222222</v>
      </c>
      <c r="F230" s="8" t="n">
        <v>0.738095238095238</v>
      </c>
      <c r="G230" s="8" t="n">
        <v>0.5</v>
      </c>
      <c r="H230" s="8" t="n">
        <v>0.678571428571429</v>
      </c>
      <c r="I230" s="8" t="n">
        <v>0.407407407407407</v>
      </c>
      <c r="J230" s="8" t="n">
        <v>0.333333333333333</v>
      </c>
      <c r="K230" s="8" t="n">
        <v>0.738095238095238</v>
      </c>
      <c r="L230" s="8" t="n">
        <v>0.4</v>
      </c>
      <c r="M230" s="8" t="n">
        <v>0.338095238095238</v>
      </c>
    </row>
    <row r="231" customFormat="false" ht="15" hidden="false" customHeight="false" outlineLevel="0" collapsed="false">
      <c r="A231" s="22" t="s">
        <v>21</v>
      </c>
      <c r="B231" s="10" t="s">
        <v>20</v>
      </c>
      <c r="C231" s="22" t="s">
        <v>280</v>
      </c>
      <c r="D231" s="6" t="n">
        <v>71</v>
      </c>
      <c r="E231" s="8" t="n">
        <v>0.619718309859155</v>
      </c>
      <c r="F231" s="8" t="n">
        <v>0.738095238095238</v>
      </c>
      <c r="G231" s="8" t="n">
        <v>0.5</v>
      </c>
      <c r="H231" s="8" t="n">
        <v>0.678571428571429</v>
      </c>
      <c r="I231" s="8" t="n">
        <v>0.5</v>
      </c>
      <c r="J231" s="8" t="n">
        <v>0</v>
      </c>
      <c r="K231" s="8" t="n">
        <v>0.738095238095238</v>
      </c>
      <c r="L231" s="8" t="n">
        <v>0.448275862068966</v>
      </c>
      <c r="M231" s="8" t="n">
        <v>0.289819376026273</v>
      </c>
    </row>
    <row r="232" customFormat="false" ht="15" hidden="false" customHeight="false" outlineLevel="0" collapsed="false">
      <c r="A232" s="22" t="s">
        <v>21</v>
      </c>
      <c r="B232" s="10" t="s">
        <v>20</v>
      </c>
      <c r="C232" s="22" t="s">
        <v>281</v>
      </c>
      <c r="D232" s="6" t="n">
        <v>71</v>
      </c>
      <c r="E232" s="8" t="n">
        <v>0.549295774647887</v>
      </c>
      <c r="F232" s="8" t="n">
        <v>0.666666666666667</v>
      </c>
      <c r="G232" s="8" t="n">
        <v>0.428571428571429</v>
      </c>
      <c r="H232" s="8" t="n">
        <v>0.607142857142857</v>
      </c>
      <c r="I232" s="8" t="n">
        <v>0.423076923076923</v>
      </c>
      <c r="J232" s="8" t="n">
        <v>0</v>
      </c>
      <c r="K232" s="8" t="n">
        <v>0.666666666666667</v>
      </c>
      <c r="L232" s="8" t="n">
        <v>0.379310344827586</v>
      </c>
      <c r="M232" s="8" t="n">
        <v>0.28735632183908</v>
      </c>
    </row>
    <row r="233" customFormat="false" ht="15" hidden="false" customHeight="false" outlineLevel="0" collapsed="false">
      <c r="A233" s="22" t="s">
        <v>21</v>
      </c>
      <c r="B233" s="10" t="s">
        <v>20</v>
      </c>
      <c r="C233" s="22" t="s">
        <v>282</v>
      </c>
      <c r="D233" s="6" t="n">
        <v>72</v>
      </c>
      <c r="E233" s="8" t="n">
        <v>0.597222222222222</v>
      </c>
      <c r="F233" s="8" t="n">
        <v>0.714285714285714</v>
      </c>
      <c r="G233" s="8" t="n">
        <v>0.428571428571429</v>
      </c>
      <c r="H233" s="8" t="n">
        <v>0.642857142857143</v>
      </c>
      <c r="I233" s="8" t="n">
        <v>0.481481481481481</v>
      </c>
      <c r="J233" s="8" t="n">
        <v>0</v>
      </c>
      <c r="K233" s="8" t="n">
        <v>0.714285714285714</v>
      </c>
      <c r="L233" s="8" t="n">
        <v>0.433333333333333</v>
      </c>
      <c r="M233" s="8" t="n">
        <v>0.280952380952381</v>
      </c>
    </row>
    <row r="234" customFormat="false" ht="15" hidden="false" customHeight="false" outlineLevel="0" collapsed="false">
      <c r="A234" s="22" t="s">
        <v>21</v>
      </c>
      <c r="B234" s="10" t="s">
        <v>20</v>
      </c>
      <c r="C234" s="22" t="s">
        <v>283</v>
      </c>
      <c r="D234" s="6" t="n">
        <v>72</v>
      </c>
      <c r="E234" s="8" t="n">
        <v>0.555555555555556</v>
      </c>
      <c r="F234" s="8" t="n">
        <v>0.666666666666667</v>
      </c>
      <c r="G234" s="8" t="n">
        <v>0.5</v>
      </c>
      <c r="H234" s="8" t="n">
        <v>0.625</v>
      </c>
      <c r="I234" s="8" t="n">
        <v>0.444444444444444</v>
      </c>
      <c r="J234" s="8" t="n">
        <v>0</v>
      </c>
      <c r="K234" s="8" t="n">
        <v>0.666666666666667</v>
      </c>
      <c r="L234" s="8" t="n">
        <v>0.4</v>
      </c>
      <c r="M234" s="8" t="n">
        <v>0.266666666666667</v>
      </c>
    </row>
    <row r="235" customFormat="false" ht="15" hidden="false" customHeight="false" outlineLevel="0" collapsed="false">
      <c r="A235" s="22" t="s">
        <v>21</v>
      </c>
      <c r="B235" s="10" t="s">
        <v>20</v>
      </c>
      <c r="C235" s="22" t="s">
        <v>284</v>
      </c>
      <c r="D235" s="6" t="n">
        <v>72</v>
      </c>
      <c r="E235" s="8" t="n">
        <v>0.555555555555556</v>
      </c>
      <c r="F235" s="8" t="n">
        <v>0.666666666666667</v>
      </c>
      <c r="G235" s="8" t="n">
        <v>0.5</v>
      </c>
      <c r="H235" s="8" t="n">
        <v>0.625</v>
      </c>
      <c r="I235" s="8" t="n">
        <v>0.444444444444444</v>
      </c>
      <c r="J235" s="8" t="n">
        <v>0</v>
      </c>
      <c r="K235" s="8" t="n">
        <v>0.666666666666667</v>
      </c>
      <c r="L235" s="8" t="n">
        <v>0.4</v>
      </c>
      <c r="M235" s="8" t="n">
        <v>0.266666666666667</v>
      </c>
    </row>
    <row r="236" customFormat="false" ht="15" hidden="false" customHeight="false" outlineLevel="0" collapsed="false">
      <c r="A236" s="22" t="s">
        <v>21</v>
      </c>
      <c r="B236" s="10" t="s">
        <v>20</v>
      </c>
      <c r="C236" s="22" t="s">
        <v>285</v>
      </c>
      <c r="D236" s="6" t="n">
        <v>72</v>
      </c>
      <c r="E236" s="8" t="n">
        <v>0.555555555555556</v>
      </c>
      <c r="F236" s="8" t="n">
        <v>0.666666666666667</v>
      </c>
      <c r="G236" s="8" t="n">
        <v>0.5</v>
      </c>
      <c r="H236" s="8" t="n">
        <v>0.625</v>
      </c>
      <c r="I236" s="8" t="n">
        <v>0.444444444444444</v>
      </c>
      <c r="J236" s="8" t="n">
        <v>0</v>
      </c>
      <c r="K236" s="8" t="n">
        <v>0.666666666666667</v>
      </c>
      <c r="L236" s="8" t="n">
        <v>0.4</v>
      </c>
      <c r="M236" s="8" t="n">
        <v>0.266666666666667</v>
      </c>
    </row>
    <row r="237" customFormat="false" ht="15" hidden="false" customHeight="false" outlineLevel="0" collapsed="false">
      <c r="A237" s="22" t="s">
        <v>21</v>
      </c>
      <c r="B237" s="10" t="s">
        <v>20</v>
      </c>
      <c r="C237" s="22" t="s">
        <v>286</v>
      </c>
      <c r="D237" s="6" t="n">
        <v>72</v>
      </c>
      <c r="E237" s="8" t="n">
        <v>0.555555555555556</v>
      </c>
      <c r="F237" s="8" t="n">
        <v>0.666666666666667</v>
      </c>
      <c r="G237" s="8" t="n">
        <v>0.5</v>
      </c>
      <c r="H237" s="8" t="n">
        <v>0.625</v>
      </c>
      <c r="I237" s="8" t="n">
        <v>0.407407407407407</v>
      </c>
      <c r="J237" s="8" t="n">
        <v>0.333333333333333</v>
      </c>
      <c r="K237" s="8" t="n">
        <v>0.666666666666667</v>
      </c>
      <c r="L237" s="8" t="n">
        <v>0.4</v>
      </c>
      <c r="M237" s="8" t="n">
        <v>0.266666666666667</v>
      </c>
    </row>
    <row r="238" customFormat="false" ht="15" hidden="false" customHeight="false" outlineLevel="0" collapsed="false">
      <c r="A238" s="22" t="s">
        <v>21</v>
      </c>
      <c r="B238" s="10" t="s">
        <v>20</v>
      </c>
      <c r="C238" s="22" t="s">
        <v>287</v>
      </c>
      <c r="D238" s="6" t="n">
        <v>71</v>
      </c>
      <c r="E238" s="8" t="n">
        <v>0.661971830985916</v>
      </c>
      <c r="F238" s="8" t="n">
        <v>0.785714285714286</v>
      </c>
      <c r="G238" s="8" t="n">
        <v>0.571428571428571</v>
      </c>
      <c r="H238" s="8" t="n">
        <v>0.732142857142857</v>
      </c>
      <c r="I238" s="8" t="n">
        <v>0.5</v>
      </c>
      <c r="J238" s="8" t="n">
        <v>0.333333333333333</v>
      </c>
      <c r="K238" s="8" t="n">
        <v>0.785714285714286</v>
      </c>
      <c r="L238" s="8" t="n">
        <v>0.482758620689655</v>
      </c>
      <c r="M238" s="8" t="n">
        <v>0.302955665024631</v>
      </c>
    </row>
    <row r="239" customFormat="false" ht="15" hidden="false" customHeight="false" outlineLevel="0" collapsed="false">
      <c r="A239" s="22" t="s">
        <v>21</v>
      </c>
      <c r="B239" s="10" t="s">
        <v>20</v>
      </c>
      <c r="C239" s="22" t="s">
        <v>288</v>
      </c>
      <c r="D239" s="6" t="n">
        <v>73</v>
      </c>
      <c r="E239" s="8" t="n">
        <v>0.616438356164384</v>
      </c>
      <c r="F239" s="8" t="n">
        <v>0.80952380952381</v>
      </c>
      <c r="G239" s="8" t="n">
        <v>0.5</v>
      </c>
      <c r="H239" s="8" t="n">
        <v>0.732142857142857</v>
      </c>
      <c r="I239" s="8" t="n">
        <v>0.357142857142857</v>
      </c>
      <c r="J239" s="8" t="n">
        <v>0.333333333333333</v>
      </c>
      <c r="K239" s="8" t="n">
        <v>0.80952380952381</v>
      </c>
      <c r="L239" s="8" t="n">
        <v>0.354838709677419</v>
      </c>
      <c r="M239" s="8" t="n">
        <v>0.45468509984639</v>
      </c>
    </row>
    <row r="240" customFormat="false" ht="15" hidden="false" customHeight="false" outlineLevel="0" collapsed="false">
      <c r="A240" s="22" t="s">
        <v>21</v>
      </c>
      <c r="B240" s="10" t="s">
        <v>20</v>
      </c>
      <c r="C240" s="22" t="s">
        <v>289</v>
      </c>
      <c r="D240" s="6" t="n">
        <v>72</v>
      </c>
      <c r="E240" s="8" t="n">
        <v>0.638888888888889</v>
      </c>
      <c r="F240" s="8" t="n">
        <v>0.761904761904762</v>
      </c>
      <c r="G240" s="8" t="n">
        <v>0.5</v>
      </c>
      <c r="H240" s="8" t="n">
        <v>0.696428571428571</v>
      </c>
      <c r="I240" s="8" t="n">
        <v>0.518518518518519</v>
      </c>
      <c r="J240" s="8" t="n">
        <v>0</v>
      </c>
      <c r="K240" s="8" t="n">
        <v>0.761904761904762</v>
      </c>
      <c r="L240" s="8" t="n">
        <v>0.466666666666667</v>
      </c>
      <c r="M240" s="8" t="n">
        <v>0.295238095238095</v>
      </c>
    </row>
    <row r="241" customFormat="false" ht="15" hidden="false" customHeight="false" outlineLevel="0" collapsed="false">
      <c r="A241" s="22" t="s">
        <v>21</v>
      </c>
      <c r="B241" s="10" t="s">
        <v>20</v>
      </c>
      <c r="C241" s="22" t="s">
        <v>290</v>
      </c>
      <c r="D241" s="6" t="n">
        <v>72</v>
      </c>
      <c r="E241" s="8" t="n">
        <v>0.541666666666667</v>
      </c>
      <c r="F241" s="8" t="n">
        <v>0.595238095238095</v>
      </c>
      <c r="G241" s="8" t="n">
        <v>0.5</v>
      </c>
      <c r="H241" s="8" t="n">
        <v>0.571428571428571</v>
      </c>
      <c r="I241" s="8" t="n">
        <v>0.481481481481481</v>
      </c>
      <c r="J241" s="8" t="n">
        <v>0.333333333333333</v>
      </c>
      <c r="K241" s="8" t="n">
        <v>0.595238095238095</v>
      </c>
      <c r="L241" s="8" t="n">
        <v>0.466666666666667</v>
      </c>
      <c r="M241" s="8" t="n">
        <v>0.128571428571429</v>
      </c>
    </row>
    <row r="242" customFormat="false" ht="15" hidden="false" customHeight="false" outlineLevel="0" collapsed="false">
      <c r="A242" s="22" t="s">
        <v>21</v>
      </c>
      <c r="B242" s="10" t="s">
        <v>20</v>
      </c>
      <c r="C242" s="22" t="s">
        <v>291</v>
      </c>
      <c r="D242" s="6" t="n">
        <v>72</v>
      </c>
      <c r="E242" s="8" t="n">
        <v>0.569444444444444</v>
      </c>
      <c r="F242" s="8" t="n">
        <v>0.690476190476191</v>
      </c>
      <c r="G242" s="8" t="n">
        <v>0.357142857142857</v>
      </c>
      <c r="H242" s="8" t="n">
        <v>0.607142857142857</v>
      </c>
      <c r="I242" s="8" t="n">
        <v>0.37037037037037</v>
      </c>
      <c r="J242" s="8" t="n">
        <v>0.666666666666667</v>
      </c>
      <c r="K242" s="8" t="n">
        <v>0.690476190476191</v>
      </c>
      <c r="L242" s="8" t="n">
        <v>0.4</v>
      </c>
      <c r="M242" s="8" t="n">
        <v>0.29047619047619</v>
      </c>
    </row>
    <row r="243" customFormat="false" ht="15" hidden="false" customHeight="false" outlineLevel="0" collapsed="false">
      <c r="A243" s="22" t="s">
        <v>21</v>
      </c>
      <c r="B243" s="10" t="s">
        <v>20</v>
      </c>
      <c r="C243" s="22" t="s">
        <v>292</v>
      </c>
      <c r="D243" s="6" t="n">
        <v>72</v>
      </c>
      <c r="E243" s="8" t="n">
        <v>0.583333333333333</v>
      </c>
      <c r="F243" s="8" t="n">
        <v>0.714285714285714</v>
      </c>
      <c r="G243" s="8" t="n">
        <v>0.357142857142857</v>
      </c>
      <c r="H243" s="8" t="n">
        <v>0.625</v>
      </c>
      <c r="I243" s="8" t="n">
        <v>0.37037037037037</v>
      </c>
      <c r="J243" s="8" t="n">
        <v>0.666666666666667</v>
      </c>
      <c r="K243" s="8" t="n">
        <v>0.714285714285714</v>
      </c>
      <c r="L243" s="8" t="n">
        <v>0.4</v>
      </c>
      <c r="M243" s="8" t="n">
        <v>0.314285714285714</v>
      </c>
    </row>
    <row r="244" customFormat="false" ht="15" hidden="false" customHeight="false" outlineLevel="0" collapsed="false">
      <c r="A244" s="22" t="s">
        <v>21</v>
      </c>
      <c r="B244" s="10" t="s">
        <v>20</v>
      </c>
      <c r="C244" s="22" t="s">
        <v>293</v>
      </c>
      <c r="D244" s="6" t="n">
        <v>71</v>
      </c>
      <c r="E244" s="8" t="n">
        <v>0.507042253521127</v>
      </c>
      <c r="F244" s="8" t="n">
        <v>0.642857142857143</v>
      </c>
      <c r="G244" s="8" t="n">
        <v>0.357142857142857</v>
      </c>
      <c r="H244" s="8" t="n">
        <v>0.571428571428571</v>
      </c>
      <c r="I244" s="8" t="n">
        <v>0.307692307692308</v>
      </c>
      <c r="J244" s="8" t="n">
        <v>0.333333333333333</v>
      </c>
      <c r="K244" s="8" t="n">
        <v>0.642857142857143</v>
      </c>
      <c r="L244" s="8" t="n">
        <v>0.310344827586207</v>
      </c>
      <c r="M244" s="8" t="n">
        <v>0.332512315270936</v>
      </c>
    </row>
    <row r="245" customFormat="false" ht="15" hidden="false" customHeight="false" outlineLevel="0" collapsed="false">
      <c r="A245" s="22" t="s">
        <v>21</v>
      </c>
      <c r="B245" s="10" t="s">
        <v>20</v>
      </c>
      <c r="C245" s="22" t="s">
        <v>294</v>
      </c>
      <c r="D245" s="6" t="n">
        <v>71</v>
      </c>
      <c r="E245" s="8" t="n">
        <v>0.52112676056338</v>
      </c>
      <c r="F245" s="8" t="n">
        <v>0.690476190476191</v>
      </c>
      <c r="G245" s="8" t="n">
        <v>0.357142857142857</v>
      </c>
      <c r="H245" s="8" t="n">
        <v>0.607142857142857</v>
      </c>
      <c r="I245" s="8" t="n">
        <v>0.269230769230769</v>
      </c>
      <c r="J245" s="8" t="n">
        <v>0.333333333333333</v>
      </c>
      <c r="K245" s="8" t="n">
        <v>0.690476190476191</v>
      </c>
      <c r="L245" s="8" t="n">
        <v>0.275862068965517</v>
      </c>
      <c r="M245" s="8" t="n">
        <v>0.414614121510673</v>
      </c>
    </row>
    <row r="246" customFormat="false" ht="15" hidden="false" customHeight="false" outlineLevel="0" collapsed="false">
      <c r="A246" s="22" t="s">
        <v>21</v>
      </c>
      <c r="B246" s="10" t="s">
        <v>20</v>
      </c>
      <c r="C246" s="22" t="s">
        <v>295</v>
      </c>
      <c r="D246" s="6" t="n">
        <v>72</v>
      </c>
      <c r="E246" s="8" t="n">
        <v>0.541666666666667</v>
      </c>
      <c r="F246" s="8" t="n">
        <v>0.595238095238095</v>
      </c>
      <c r="G246" s="8" t="n">
        <v>0.5</v>
      </c>
      <c r="H246" s="8" t="n">
        <v>0.571428571428571</v>
      </c>
      <c r="I246" s="8" t="n">
        <v>0.481481481481481</v>
      </c>
      <c r="J246" s="8" t="n">
        <v>0.333333333333333</v>
      </c>
      <c r="K246" s="8" t="n">
        <v>0.595238095238095</v>
      </c>
      <c r="L246" s="8" t="n">
        <v>0.466666666666667</v>
      </c>
      <c r="M246" s="8" t="n">
        <v>0.128571428571429</v>
      </c>
    </row>
    <row r="247" customFormat="false" ht="15" hidden="false" customHeight="false" outlineLevel="0" collapsed="false">
      <c r="A247" s="22" t="s">
        <v>21</v>
      </c>
      <c r="B247" s="10" t="s">
        <v>20</v>
      </c>
      <c r="C247" s="22" t="s">
        <v>296</v>
      </c>
      <c r="D247" s="6" t="n">
        <v>71</v>
      </c>
      <c r="E247" s="8" t="n">
        <v>0.605633802816901</v>
      </c>
      <c r="F247" s="8" t="n">
        <v>0.690476190476191</v>
      </c>
      <c r="G247" s="8" t="n">
        <v>0.5</v>
      </c>
      <c r="H247" s="8" t="n">
        <v>0.642857142857143</v>
      </c>
      <c r="I247" s="8" t="n">
        <v>0.461538461538462</v>
      </c>
      <c r="J247" s="8" t="n">
        <v>0.666666666666667</v>
      </c>
      <c r="K247" s="8" t="n">
        <v>0.690476190476191</v>
      </c>
      <c r="L247" s="8" t="n">
        <v>0.482758620689655</v>
      </c>
      <c r="M247" s="8" t="n">
        <v>0.207717569786535</v>
      </c>
    </row>
    <row r="248" customFormat="false" ht="15" hidden="false" customHeight="false" outlineLevel="0" collapsed="false">
      <c r="A248" s="22" t="s">
        <v>21</v>
      </c>
      <c r="B248" s="10" t="s">
        <v>20</v>
      </c>
      <c r="C248" s="22" t="s">
        <v>297</v>
      </c>
      <c r="D248" s="6" t="n">
        <v>72</v>
      </c>
      <c r="E248" s="8" t="n">
        <v>0.611111111111111</v>
      </c>
      <c r="F248" s="8" t="n">
        <v>0.738095238095238</v>
      </c>
      <c r="G248" s="8" t="n">
        <v>0.5</v>
      </c>
      <c r="H248" s="8" t="n">
        <v>0.678571428571429</v>
      </c>
      <c r="I248" s="8" t="n">
        <v>0.481481481481481</v>
      </c>
      <c r="J248" s="8" t="n">
        <v>0</v>
      </c>
      <c r="K248" s="8" t="n">
        <v>0.738095238095238</v>
      </c>
      <c r="L248" s="8" t="n">
        <v>0.433333333333333</v>
      </c>
      <c r="M248" s="8" t="n">
        <v>0.304761904761905</v>
      </c>
    </row>
    <row r="249" customFormat="false" ht="15" hidden="false" customHeight="false" outlineLevel="0" collapsed="false">
      <c r="A249" s="22" t="s">
        <v>21</v>
      </c>
      <c r="B249" s="10" t="s">
        <v>20</v>
      </c>
      <c r="C249" s="22" t="s">
        <v>298</v>
      </c>
      <c r="D249" s="6" t="n">
        <v>71</v>
      </c>
      <c r="E249" s="8" t="n">
        <v>0.605633802816901</v>
      </c>
      <c r="F249" s="8" t="n">
        <v>0.690476190476191</v>
      </c>
      <c r="G249" s="8" t="n">
        <v>0.5</v>
      </c>
      <c r="H249" s="8" t="n">
        <v>0.642857142857143</v>
      </c>
      <c r="I249" s="8" t="n">
        <v>0.461538461538462</v>
      </c>
      <c r="J249" s="8" t="n">
        <v>0.666666666666667</v>
      </c>
      <c r="K249" s="8" t="n">
        <v>0.690476190476191</v>
      </c>
      <c r="L249" s="8" t="n">
        <v>0.482758620689655</v>
      </c>
      <c r="M249" s="8" t="n">
        <v>0.207717569786535</v>
      </c>
    </row>
    <row r="250" customFormat="false" ht="15" hidden="false" customHeight="false" outlineLevel="0" collapsed="false">
      <c r="A250" s="22" t="s">
        <v>21</v>
      </c>
      <c r="B250" s="10" t="s">
        <v>20</v>
      </c>
      <c r="C250" s="22" t="s">
        <v>299</v>
      </c>
      <c r="D250" s="6" t="n">
        <v>72</v>
      </c>
      <c r="E250" s="8" t="n">
        <v>0.555555555555556</v>
      </c>
      <c r="F250" s="8" t="n">
        <v>0.690476190476191</v>
      </c>
      <c r="G250" s="8" t="n">
        <v>0.5</v>
      </c>
      <c r="H250" s="8" t="n">
        <v>0.642857142857143</v>
      </c>
      <c r="I250" s="8" t="n">
        <v>0.407407407407407</v>
      </c>
      <c r="J250" s="8" t="n">
        <v>0</v>
      </c>
      <c r="K250" s="8" t="n">
        <v>0.690476190476191</v>
      </c>
      <c r="L250" s="8" t="n">
        <v>0.366666666666667</v>
      </c>
      <c r="M250" s="8" t="n">
        <v>0.323809523809524</v>
      </c>
    </row>
    <row r="251" customFormat="false" ht="15" hidden="false" customHeight="false" outlineLevel="0" collapsed="false">
      <c r="A251" s="22" t="s">
        <v>21</v>
      </c>
      <c r="B251" s="10" t="s">
        <v>20</v>
      </c>
      <c r="C251" s="22" t="s">
        <v>300</v>
      </c>
      <c r="D251" s="6" t="n">
        <v>72</v>
      </c>
      <c r="E251" s="8" t="n">
        <v>0.638888888888889</v>
      </c>
      <c r="F251" s="8" t="n">
        <v>0.761904761904762</v>
      </c>
      <c r="G251" s="8" t="n">
        <v>0.5</v>
      </c>
      <c r="H251" s="8" t="n">
        <v>0.696428571428571</v>
      </c>
      <c r="I251" s="8" t="n">
        <v>0.518518518518519</v>
      </c>
      <c r="J251" s="8" t="n">
        <v>0</v>
      </c>
      <c r="K251" s="8" t="n">
        <v>0.761904761904762</v>
      </c>
      <c r="L251" s="8" t="n">
        <v>0.466666666666667</v>
      </c>
      <c r="M251" s="8" t="n">
        <v>0.295238095238095</v>
      </c>
    </row>
    <row r="252" customFormat="false" ht="15" hidden="false" customHeight="false" outlineLevel="0" collapsed="false">
      <c r="A252" s="22" t="s">
        <v>21</v>
      </c>
      <c r="B252" s="10" t="s">
        <v>20</v>
      </c>
      <c r="C252" s="22" t="s">
        <v>301</v>
      </c>
      <c r="D252" s="6" t="n">
        <v>72</v>
      </c>
      <c r="E252" s="8" t="n">
        <v>0.611111111111111</v>
      </c>
      <c r="F252" s="8" t="n">
        <v>0.714285714285714</v>
      </c>
      <c r="G252" s="8" t="n">
        <v>0.5</v>
      </c>
      <c r="H252" s="8" t="n">
        <v>0.660714285714286</v>
      </c>
      <c r="I252" s="8" t="n">
        <v>0.518518518518519</v>
      </c>
      <c r="J252" s="8" t="n">
        <v>0</v>
      </c>
      <c r="K252" s="8" t="n">
        <v>0.714285714285714</v>
      </c>
      <c r="L252" s="8" t="n">
        <v>0.466666666666667</v>
      </c>
      <c r="M252" s="8" t="n">
        <v>0.247619047619048</v>
      </c>
    </row>
    <row r="253" customFormat="false" ht="15" hidden="false" customHeight="false" outlineLevel="0" collapsed="false">
      <c r="A253" s="22" t="s">
        <v>21</v>
      </c>
      <c r="B253" s="10" t="s">
        <v>20</v>
      </c>
      <c r="C253" s="22" t="s">
        <v>302</v>
      </c>
      <c r="D253" s="6" t="n">
        <v>72</v>
      </c>
      <c r="E253" s="8" t="n">
        <v>0.569444444444444</v>
      </c>
      <c r="F253" s="8" t="n">
        <v>0.690476190476191</v>
      </c>
      <c r="G253" s="8" t="n">
        <v>0.5</v>
      </c>
      <c r="H253" s="8" t="n">
        <v>0.642857142857143</v>
      </c>
      <c r="I253" s="8" t="n">
        <v>0.407407407407407</v>
      </c>
      <c r="J253" s="8" t="n">
        <v>0.333333333333333</v>
      </c>
      <c r="K253" s="8" t="n">
        <v>0.690476190476191</v>
      </c>
      <c r="L253" s="8" t="n">
        <v>0.4</v>
      </c>
      <c r="M253" s="8" t="n">
        <v>0.29047619047619</v>
      </c>
    </row>
    <row r="254" customFormat="false" ht="15" hidden="false" customHeight="false" outlineLevel="0" collapsed="false">
      <c r="A254" s="22" t="s">
        <v>21</v>
      </c>
      <c r="B254" s="10" t="s">
        <v>20</v>
      </c>
      <c r="C254" s="22" t="s">
        <v>303</v>
      </c>
      <c r="D254" s="6" t="n">
        <v>72</v>
      </c>
      <c r="E254" s="8" t="n">
        <v>0.541666666666667</v>
      </c>
      <c r="F254" s="8" t="n">
        <v>0.595238095238095</v>
      </c>
      <c r="G254" s="8" t="n">
        <v>0.5</v>
      </c>
      <c r="H254" s="8" t="n">
        <v>0.571428571428571</v>
      </c>
      <c r="I254" s="8" t="n">
        <v>0.481481481481481</v>
      </c>
      <c r="J254" s="8" t="n">
        <v>0.333333333333333</v>
      </c>
      <c r="K254" s="8" t="n">
        <v>0.595238095238095</v>
      </c>
      <c r="L254" s="8" t="n">
        <v>0.466666666666667</v>
      </c>
      <c r="M254" s="8" t="n">
        <v>0.128571428571429</v>
      </c>
    </row>
    <row r="255" customFormat="false" ht="15" hidden="false" customHeight="false" outlineLevel="0" collapsed="false">
      <c r="A255" s="22" t="s">
        <v>21</v>
      </c>
      <c r="B255" s="10" t="s">
        <v>20</v>
      </c>
      <c r="C255" s="22" t="s">
        <v>304</v>
      </c>
      <c r="D255" s="6" t="n">
        <v>72</v>
      </c>
      <c r="E255" s="8" t="n">
        <v>0.555555555555556</v>
      </c>
      <c r="F255" s="8" t="n">
        <v>0.666666666666667</v>
      </c>
      <c r="G255" s="8" t="n">
        <v>0.571428571428571</v>
      </c>
      <c r="H255" s="8" t="n">
        <v>0.642857142857143</v>
      </c>
      <c r="I255" s="8" t="n">
        <v>0.407407407407407</v>
      </c>
      <c r="J255" s="8" t="n">
        <v>0.333333333333333</v>
      </c>
      <c r="K255" s="8" t="n">
        <v>0.666666666666667</v>
      </c>
      <c r="L255" s="8" t="n">
        <v>0.4</v>
      </c>
      <c r="M255" s="8" t="n">
        <v>0.266666666666667</v>
      </c>
    </row>
    <row r="256" customFormat="false" ht="15" hidden="false" customHeight="false" outlineLevel="0" collapsed="false">
      <c r="A256" s="22" t="s">
        <v>21</v>
      </c>
      <c r="B256" s="10" t="s">
        <v>20</v>
      </c>
      <c r="C256" s="22" t="s">
        <v>305</v>
      </c>
      <c r="D256" s="6" t="n">
        <v>71</v>
      </c>
      <c r="E256" s="8" t="n">
        <v>0.619718309859155</v>
      </c>
      <c r="F256" s="8" t="n">
        <v>0.738095238095238</v>
      </c>
      <c r="G256" s="8" t="n">
        <v>0.5</v>
      </c>
      <c r="H256" s="8" t="n">
        <v>0.678571428571429</v>
      </c>
      <c r="I256" s="8" t="n">
        <v>0.461538461538462</v>
      </c>
      <c r="J256" s="8" t="n">
        <v>0.333333333333333</v>
      </c>
      <c r="K256" s="8" t="n">
        <v>0.738095238095238</v>
      </c>
      <c r="L256" s="8" t="n">
        <v>0.448275862068966</v>
      </c>
      <c r="M256" s="8" t="n">
        <v>0.289819376026273</v>
      </c>
    </row>
    <row r="257" customFormat="false" ht="15" hidden="false" customHeight="false" outlineLevel="0" collapsed="false">
      <c r="A257" s="22" t="s">
        <v>21</v>
      </c>
      <c r="B257" s="10" t="s">
        <v>20</v>
      </c>
      <c r="C257" s="22" t="s">
        <v>306</v>
      </c>
      <c r="D257" s="6" t="n">
        <v>72</v>
      </c>
      <c r="E257" s="8" t="n">
        <v>0.555555555555556</v>
      </c>
      <c r="F257" s="8" t="n">
        <v>0.666666666666667</v>
      </c>
      <c r="G257" s="8" t="n">
        <v>0.571428571428571</v>
      </c>
      <c r="H257" s="8" t="n">
        <v>0.642857142857143</v>
      </c>
      <c r="I257" s="8" t="n">
        <v>0.407407407407407</v>
      </c>
      <c r="J257" s="8" t="n">
        <v>0.333333333333333</v>
      </c>
      <c r="K257" s="8" t="n">
        <v>0.666666666666667</v>
      </c>
      <c r="L257" s="8" t="n">
        <v>0.4</v>
      </c>
      <c r="M257" s="8" t="n">
        <v>0.266666666666667</v>
      </c>
    </row>
    <row r="258" customFormat="false" ht="15" hidden="false" customHeight="false" outlineLevel="0" collapsed="false">
      <c r="A258" s="22" t="s">
        <v>21</v>
      </c>
      <c r="B258" s="10" t="s">
        <v>20</v>
      </c>
      <c r="C258" s="22" t="s">
        <v>307</v>
      </c>
      <c r="D258" s="6" t="n">
        <v>71</v>
      </c>
      <c r="E258" s="8" t="n">
        <v>0.619718309859155</v>
      </c>
      <c r="F258" s="8" t="n">
        <v>0.738095238095238</v>
      </c>
      <c r="G258" s="8" t="n">
        <v>0.5</v>
      </c>
      <c r="H258" s="8" t="n">
        <v>0.678571428571429</v>
      </c>
      <c r="I258" s="8" t="n">
        <v>0.461538461538462</v>
      </c>
      <c r="J258" s="8" t="n">
        <v>0.333333333333333</v>
      </c>
      <c r="K258" s="8" t="n">
        <v>0.738095238095238</v>
      </c>
      <c r="L258" s="8" t="n">
        <v>0.448275862068966</v>
      </c>
      <c r="M258" s="8" t="n">
        <v>0.289819376026273</v>
      </c>
    </row>
    <row r="259" customFormat="false" ht="15" hidden="false" customHeight="false" outlineLevel="0" collapsed="false">
      <c r="A259" s="22" t="s">
        <v>21</v>
      </c>
      <c r="B259" s="10" t="s">
        <v>20</v>
      </c>
      <c r="C259" s="22" t="s">
        <v>308</v>
      </c>
      <c r="D259" s="6" t="n">
        <v>71</v>
      </c>
      <c r="E259" s="8" t="n">
        <v>0.507042253521127</v>
      </c>
      <c r="F259" s="8" t="n">
        <v>0.642857142857143</v>
      </c>
      <c r="G259" s="8" t="n">
        <v>0.357142857142857</v>
      </c>
      <c r="H259" s="8" t="n">
        <v>0.571428571428571</v>
      </c>
      <c r="I259" s="8" t="n">
        <v>0.307692307692308</v>
      </c>
      <c r="J259" s="8" t="n">
        <v>0.333333333333333</v>
      </c>
      <c r="K259" s="8" t="n">
        <v>0.642857142857143</v>
      </c>
      <c r="L259" s="8" t="n">
        <v>0.310344827586207</v>
      </c>
      <c r="M259" s="8" t="n">
        <v>0.332512315270936</v>
      </c>
    </row>
    <row r="260" customFormat="false" ht="15" hidden="false" customHeight="false" outlineLevel="0" collapsed="false">
      <c r="A260" s="22" t="s">
        <v>21</v>
      </c>
      <c r="B260" s="10" t="s">
        <v>20</v>
      </c>
      <c r="C260" s="22" t="s">
        <v>309</v>
      </c>
      <c r="D260" s="6" t="n">
        <v>71</v>
      </c>
      <c r="E260" s="8" t="n">
        <v>0.619718309859155</v>
      </c>
      <c r="F260" s="8" t="n">
        <v>0.714285714285714</v>
      </c>
      <c r="G260" s="8" t="n">
        <v>0.5</v>
      </c>
      <c r="H260" s="8" t="n">
        <v>0.660714285714286</v>
      </c>
      <c r="I260" s="8" t="n">
        <v>0.5</v>
      </c>
      <c r="J260" s="8" t="n">
        <v>0.333333333333333</v>
      </c>
      <c r="K260" s="8" t="n">
        <v>0.714285714285714</v>
      </c>
      <c r="L260" s="8" t="n">
        <v>0.482758620689655</v>
      </c>
      <c r="M260" s="8" t="n">
        <v>0.231527093596059</v>
      </c>
    </row>
    <row r="261" customFormat="false" ht="15" hidden="false" customHeight="false" outlineLevel="0" collapsed="false">
      <c r="A261" s="22" t="s">
        <v>21</v>
      </c>
      <c r="B261" s="10" t="s">
        <v>20</v>
      </c>
      <c r="C261" s="22" t="s">
        <v>310</v>
      </c>
      <c r="D261" s="6" t="n">
        <v>72</v>
      </c>
      <c r="E261" s="8" t="n">
        <v>0.555555555555556</v>
      </c>
      <c r="F261" s="8" t="n">
        <v>0.690476190476191</v>
      </c>
      <c r="G261" s="8" t="n">
        <v>0.5</v>
      </c>
      <c r="H261" s="8" t="n">
        <v>0.642857142857143</v>
      </c>
      <c r="I261" s="8" t="n">
        <v>0.407407407407407</v>
      </c>
      <c r="J261" s="8" t="n">
        <v>0</v>
      </c>
      <c r="K261" s="8" t="n">
        <v>0.690476190476191</v>
      </c>
      <c r="L261" s="8" t="n">
        <v>0.366666666666667</v>
      </c>
      <c r="M261" s="8" t="n">
        <v>0.323809523809524</v>
      </c>
    </row>
    <row r="262" customFormat="false" ht="15" hidden="false" customHeight="false" outlineLevel="0" collapsed="false">
      <c r="A262" s="22" t="s">
        <v>21</v>
      </c>
      <c r="B262" s="10" t="s">
        <v>20</v>
      </c>
      <c r="C262" s="22" t="s">
        <v>311</v>
      </c>
      <c r="D262" s="6" t="n">
        <v>72</v>
      </c>
      <c r="E262" s="8" t="n">
        <v>0.611111111111111</v>
      </c>
      <c r="F262" s="8" t="n">
        <v>0.714285714285714</v>
      </c>
      <c r="G262" s="8" t="n">
        <v>0.5</v>
      </c>
      <c r="H262" s="8" t="n">
        <v>0.660714285714286</v>
      </c>
      <c r="I262" s="8" t="n">
        <v>0.518518518518519</v>
      </c>
      <c r="J262" s="8" t="n">
        <v>0</v>
      </c>
      <c r="K262" s="8" t="n">
        <v>0.714285714285714</v>
      </c>
      <c r="L262" s="8" t="n">
        <v>0.466666666666667</v>
      </c>
      <c r="M262" s="8" t="n">
        <v>0.247619047619048</v>
      </c>
    </row>
    <row r="263" customFormat="false" ht="15" hidden="false" customHeight="false" outlineLevel="0" collapsed="false">
      <c r="A263" s="22" t="s">
        <v>21</v>
      </c>
      <c r="B263" s="10" t="s">
        <v>20</v>
      </c>
      <c r="C263" s="22" t="s">
        <v>312</v>
      </c>
      <c r="D263" s="6" t="n">
        <v>72</v>
      </c>
      <c r="E263" s="8" t="n">
        <v>0.638888888888889</v>
      </c>
      <c r="F263" s="8" t="n">
        <v>0.761904761904762</v>
      </c>
      <c r="G263" s="8" t="n">
        <v>0.5</v>
      </c>
      <c r="H263" s="8" t="n">
        <v>0.696428571428571</v>
      </c>
      <c r="I263" s="8" t="n">
        <v>0.518518518518519</v>
      </c>
      <c r="J263" s="8" t="n">
        <v>0</v>
      </c>
      <c r="K263" s="8" t="n">
        <v>0.761904761904762</v>
      </c>
      <c r="L263" s="8" t="n">
        <v>0.466666666666667</v>
      </c>
      <c r="M263" s="8" t="n">
        <v>0.295238095238095</v>
      </c>
    </row>
    <row r="264" customFormat="false" ht="15" hidden="false" customHeight="false" outlineLevel="0" collapsed="false">
      <c r="A264" s="22" t="s">
        <v>21</v>
      </c>
      <c r="B264" s="10" t="s">
        <v>20</v>
      </c>
      <c r="C264" s="22" t="s">
        <v>313</v>
      </c>
      <c r="D264" s="6" t="n">
        <v>67</v>
      </c>
      <c r="E264" s="8" t="n">
        <v>0.373134328358209</v>
      </c>
      <c r="F264" s="8" t="n">
        <v>0.428571428571429</v>
      </c>
      <c r="G264" s="8" t="n">
        <v>0.285714285714286</v>
      </c>
      <c r="H264" s="8" t="n">
        <v>0.392857142857143</v>
      </c>
      <c r="I264" s="8" t="n">
        <v>0.318181818181818</v>
      </c>
      <c r="J264" s="8" t="n">
        <v>0</v>
      </c>
      <c r="K264" s="8" t="n">
        <v>0.428571428571429</v>
      </c>
      <c r="L264" s="8" t="n">
        <v>0.28</v>
      </c>
      <c r="M264" s="8" t="n">
        <v>0.148571428571429</v>
      </c>
    </row>
    <row r="265" customFormat="false" ht="15" hidden="false" customHeight="false" outlineLevel="0" collapsed="false">
      <c r="A265" s="22" t="s">
        <v>21</v>
      </c>
      <c r="B265" s="10" t="s">
        <v>20</v>
      </c>
      <c r="C265" s="22" t="s">
        <v>314</v>
      </c>
      <c r="D265" s="6" t="n">
        <v>70</v>
      </c>
      <c r="E265" s="8" t="n">
        <v>0.571428571428571</v>
      </c>
      <c r="F265" s="8" t="n">
        <v>0.738095238095238</v>
      </c>
      <c r="G265" s="8" t="n">
        <v>0.357142857142857</v>
      </c>
      <c r="H265" s="8" t="n">
        <v>0.642857142857143</v>
      </c>
      <c r="I265" s="8" t="n">
        <v>0.32</v>
      </c>
      <c r="J265" s="8" t="n">
        <v>0.333333333333333</v>
      </c>
      <c r="K265" s="8" t="n">
        <v>0.738095238095238</v>
      </c>
      <c r="L265" s="8" t="n">
        <v>0.321428571428571</v>
      </c>
      <c r="M265" s="8" t="n">
        <v>0.416666666666667</v>
      </c>
    </row>
    <row r="266" customFormat="false" ht="15" hidden="false" customHeight="false" outlineLevel="0" collapsed="false">
      <c r="A266" s="22" t="s">
        <v>21</v>
      </c>
      <c r="B266" s="10" t="s">
        <v>20</v>
      </c>
      <c r="C266" s="22" t="s">
        <v>315</v>
      </c>
      <c r="D266" s="6" t="n">
        <v>71</v>
      </c>
      <c r="E266" s="8" t="n">
        <v>0.577464788732394</v>
      </c>
      <c r="F266" s="8" t="n">
        <v>0.714285714285714</v>
      </c>
      <c r="G266" s="8" t="n">
        <v>0.357142857142857</v>
      </c>
      <c r="H266" s="8" t="n">
        <v>0.625</v>
      </c>
      <c r="I266" s="8" t="n">
        <v>0.346153846153846</v>
      </c>
      <c r="J266" s="8" t="n">
        <v>0.666666666666667</v>
      </c>
      <c r="K266" s="8" t="n">
        <v>0.714285714285714</v>
      </c>
      <c r="L266" s="8" t="n">
        <v>0.379310344827586</v>
      </c>
      <c r="M266" s="8" t="n">
        <v>0.334975369458128</v>
      </c>
    </row>
    <row r="267" customFormat="false" ht="15" hidden="false" customHeight="false" outlineLevel="0" collapsed="false">
      <c r="A267" s="22" t="s">
        <v>21</v>
      </c>
      <c r="B267" s="10" t="s">
        <v>20</v>
      </c>
      <c r="C267" s="22" t="s">
        <v>316</v>
      </c>
      <c r="D267" s="6" t="n">
        <v>72</v>
      </c>
      <c r="E267" s="8" t="n">
        <v>0.513888888888889</v>
      </c>
      <c r="F267" s="8" t="n">
        <v>0.642857142857143</v>
      </c>
      <c r="G267" s="8" t="n">
        <v>0.428571428571429</v>
      </c>
      <c r="H267" s="8" t="n">
        <v>0.589285714285714</v>
      </c>
      <c r="I267" s="8" t="n">
        <v>0.333333333333333</v>
      </c>
      <c r="J267" s="8" t="n">
        <v>0.333333333333333</v>
      </c>
      <c r="K267" s="8" t="n">
        <v>0.642857142857143</v>
      </c>
      <c r="L267" s="8" t="n">
        <v>0.333333333333333</v>
      </c>
      <c r="M267" s="8" t="n">
        <v>0.30952380952381</v>
      </c>
    </row>
    <row r="268" customFormat="false" ht="15" hidden="false" customHeight="false" outlineLevel="0" collapsed="false">
      <c r="A268" s="22" t="s">
        <v>21</v>
      </c>
      <c r="B268" s="10" t="s">
        <v>20</v>
      </c>
      <c r="C268" s="22" t="s">
        <v>317</v>
      </c>
      <c r="D268" s="6" t="n">
        <v>73</v>
      </c>
      <c r="E268" s="8" t="n">
        <v>0.616438356164384</v>
      </c>
      <c r="F268" s="8" t="n">
        <v>0.690476190476191</v>
      </c>
      <c r="G268" s="8" t="n">
        <v>0.428571428571429</v>
      </c>
      <c r="H268" s="8" t="n">
        <v>0.625</v>
      </c>
      <c r="I268" s="8" t="n">
        <v>0.535714285714286</v>
      </c>
      <c r="J268" s="8" t="n">
        <v>0.333333333333333</v>
      </c>
      <c r="K268" s="8" t="n">
        <v>0.690476190476191</v>
      </c>
      <c r="L268" s="8" t="n">
        <v>0.516129032258065</v>
      </c>
      <c r="M268" s="8" t="n">
        <v>0.174347158218126</v>
      </c>
    </row>
    <row r="269" customFormat="false" ht="15" hidden="false" customHeight="false" outlineLevel="0" collapsed="false">
      <c r="A269" s="22" t="s">
        <v>21</v>
      </c>
      <c r="B269" s="10" t="s">
        <v>20</v>
      </c>
      <c r="C269" s="22" t="s">
        <v>318</v>
      </c>
      <c r="D269" s="6" t="n">
        <v>73</v>
      </c>
      <c r="E269" s="8" t="n">
        <v>0.684931506849315</v>
      </c>
      <c r="F269" s="8" t="n">
        <v>0.833333333333333</v>
      </c>
      <c r="G269" s="8" t="n">
        <v>0.5</v>
      </c>
      <c r="H269" s="8" t="n">
        <v>0.75</v>
      </c>
      <c r="I269" s="8" t="n">
        <v>0.535714285714286</v>
      </c>
      <c r="J269" s="8" t="n">
        <v>0</v>
      </c>
      <c r="K269" s="8" t="n">
        <v>0.833333333333333</v>
      </c>
      <c r="L269" s="8" t="n">
        <v>0.483870967741936</v>
      </c>
      <c r="M269" s="8" t="n">
        <v>0.349462365591398</v>
      </c>
    </row>
    <row r="270" customFormat="false" ht="15" hidden="false" customHeight="false" outlineLevel="0" collapsed="false">
      <c r="A270" s="22" t="s">
        <v>21</v>
      </c>
      <c r="B270" s="10" t="s">
        <v>20</v>
      </c>
      <c r="C270" s="22" t="s">
        <v>319</v>
      </c>
      <c r="D270" s="6" t="n">
        <v>73</v>
      </c>
      <c r="E270" s="8" t="n">
        <v>0.63013698630137</v>
      </c>
      <c r="F270" s="8" t="n">
        <v>0.785714285714286</v>
      </c>
      <c r="G270" s="8" t="n">
        <v>0.428571428571429</v>
      </c>
      <c r="H270" s="8" t="n">
        <v>0.696428571428571</v>
      </c>
      <c r="I270" s="8" t="n">
        <v>0.464285714285714</v>
      </c>
      <c r="J270" s="8" t="n">
        <v>0</v>
      </c>
      <c r="K270" s="8" t="n">
        <v>0.785714285714286</v>
      </c>
      <c r="L270" s="8" t="n">
        <v>0.419354838709677</v>
      </c>
      <c r="M270" s="8" t="n">
        <v>0.366359447004608</v>
      </c>
    </row>
    <row r="271" customFormat="false" ht="15" hidden="false" customHeight="false" outlineLevel="0" collapsed="false">
      <c r="A271" s="22" t="s">
        <v>21</v>
      </c>
      <c r="B271" s="10" t="s">
        <v>20</v>
      </c>
      <c r="C271" s="22" t="s">
        <v>320</v>
      </c>
      <c r="D271" s="6" t="n">
        <v>71</v>
      </c>
      <c r="E271" s="8" t="n">
        <v>0.492957746478873</v>
      </c>
      <c r="F271" s="8" t="n">
        <v>0.595238095238095</v>
      </c>
      <c r="G271" s="8" t="n">
        <v>0.357142857142857</v>
      </c>
      <c r="H271" s="8" t="n">
        <v>0.535714285714286</v>
      </c>
      <c r="I271" s="8" t="n">
        <v>0.384615384615385</v>
      </c>
      <c r="J271" s="8" t="n">
        <v>0</v>
      </c>
      <c r="K271" s="8" t="n">
        <v>0.595238095238095</v>
      </c>
      <c r="L271" s="8" t="n">
        <v>0.344827586206897</v>
      </c>
      <c r="M271" s="8" t="n">
        <v>0.250410509031199</v>
      </c>
    </row>
    <row r="272" customFormat="false" ht="15" hidden="false" customHeight="false" outlineLevel="0" collapsed="false">
      <c r="A272" s="22" t="s">
        <v>21</v>
      </c>
      <c r="B272" s="10" t="s">
        <v>20</v>
      </c>
      <c r="C272" s="22" t="s">
        <v>321</v>
      </c>
      <c r="D272" s="6" t="n">
        <v>71</v>
      </c>
      <c r="E272" s="8" t="n">
        <v>0.492957746478873</v>
      </c>
      <c r="F272" s="8" t="n">
        <v>0.642857142857143</v>
      </c>
      <c r="G272" s="8" t="n">
        <v>0.428571428571429</v>
      </c>
      <c r="H272" s="8" t="n">
        <v>0.589285714285714</v>
      </c>
      <c r="I272" s="8" t="n">
        <v>0.307692307692308</v>
      </c>
      <c r="J272" s="8" t="n">
        <v>0</v>
      </c>
      <c r="K272" s="8" t="n">
        <v>0.642857142857143</v>
      </c>
      <c r="L272" s="8" t="n">
        <v>0.275862068965517</v>
      </c>
      <c r="M272" s="8" t="n">
        <v>0.366995073891626</v>
      </c>
    </row>
    <row r="273" customFormat="false" ht="15" hidden="false" customHeight="false" outlineLevel="0" collapsed="false">
      <c r="A273" s="22" t="s">
        <v>21</v>
      </c>
      <c r="B273" s="10" t="s">
        <v>20</v>
      </c>
      <c r="C273" s="22" t="s">
        <v>322</v>
      </c>
      <c r="D273" s="6" t="n">
        <v>71</v>
      </c>
      <c r="E273" s="8" t="n">
        <v>0.535211267605634</v>
      </c>
      <c r="F273" s="8" t="n">
        <v>0.619047619047619</v>
      </c>
      <c r="G273" s="8" t="n">
        <v>0.5</v>
      </c>
      <c r="H273" s="8" t="n">
        <v>0.589285714285714</v>
      </c>
      <c r="I273" s="8" t="n">
        <v>0.384615384615385</v>
      </c>
      <c r="J273" s="8" t="n">
        <v>0.666666666666667</v>
      </c>
      <c r="K273" s="8" t="n">
        <v>0.619047619047619</v>
      </c>
      <c r="L273" s="8" t="n">
        <v>0.413793103448276</v>
      </c>
      <c r="M273" s="8" t="n">
        <v>0.205254515599343</v>
      </c>
    </row>
    <row r="274" customFormat="false" ht="15" hidden="false" customHeight="false" outlineLevel="0" collapsed="false">
      <c r="A274" s="22" t="s">
        <v>21</v>
      </c>
      <c r="B274" s="10" t="s">
        <v>20</v>
      </c>
      <c r="C274" s="22" t="s">
        <v>323</v>
      </c>
      <c r="D274" s="6" t="n">
        <v>71</v>
      </c>
      <c r="E274" s="8" t="n">
        <v>0.507042253521127</v>
      </c>
      <c r="F274" s="8" t="n">
        <v>0.619047619047619</v>
      </c>
      <c r="G274" s="8" t="n">
        <v>0.428571428571429</v>
      </c>
      <c r="H274" s="8" t="n">
        <v>0.571428571428571</v>
      </c>
      <c r="I274" s="8" t="n">
        <v>0.307692307692308</v>
      </c>
      <c r="J274" s="8" t="n">
        <v>0.666666666666667</v>
      </c>
      <c r="K274" s="8" t="n">
        <v>0.619047619047619</v>
      </c>
      <c r="L274" s="8" t="n">
        <v>0.344827586206897</v>
      </c>
      <c r="M274" s="8" t="n">
        <v>0.274220032840723</v>
      </c>
    </row>
    <row r="275" customFormat="false" ht="15" hidden="false" customHeight="false" outlineLevel="0" collapsed="false">
      <c r="A275" s="22" t="s">
        <v>21</v>
      </c>
      <c r="B275" s="10" t="s">
        <v>20</v>
      </c>
      <c r="C275" s="22" t="s">
        <v>324</v>
      </c>
      <c r="D275" s="6" t="n">
        <v>73</v>
      </c>
      <c r="E275" s="8" t="n">
        <v>0.561643835616438</v>
      </c>
      <c r="F275" s="8" t="n">
        <v>0.714285714285714</v>
      </c>
      <c r="G275" s="8" t="n">
        <v>0.5</v>
      </c>
      <c r="H275" s="8" t="n">
        <v>0.660714285714286</v>
      </c>
      <c r="I275" s="8" t="n">
        <v>0.321428571428571</v>
      </c>
      <c r="J275" s="8" t="n">
        <v>0.666666666666667</v>
      </c>
      <c r="K275" s="8" t="n">
        <v>0.714285714285714</v>
      </c>
      <c r="L275" s="8" t="n">
        <v>0.354838709677419</v>
      </c>
      <c r="M275" s="8" t="n">
        <v>0.359447004608295</v>
      </c>
    </row>
    <row r="276" customFormat="false" ht="15" hidden="false" customHeight="false" outlineLevel="0" collapsed="false">
      <c r="A276" s="22" t="s">
        <v>21</v>
      </c>
      <c r="B276" s="10" t="s">
        <v>20</v>
      </c>
      <c r="C276" s="22" t="s">
        <v>325</v>
      </c>
      <c r="D276" s="6" t="n">
        <v>72</v>
      </c>
      <c r="E276" s="8" t="n">
        <v>0.694444444444444</v>
      </c>
      <c r="F276" s="8" t="n">
        <v>0.833333333333333</v>
      </c>
      <c r="G276" s="8" t="n">
        <v>0.5</v>
      </c>
      <c r="H276" s="8" t="n">
        <v>0.75</v>
      </c>
      <c r="I276" s="8" t="n">
        <v>0.481481481481481</v>
      </c>
      <c r="J276" s="8" t="n">
        <v>0.666666666666667</v>
      </c>
      <c r="K276" s="8" t="n">
        <v>0.833333333333333</v>
      </c>
      <c r="L276" s="8" t="n">
        <v>0.5</v>
      </c>
      <c r="M276" s="8" t="n">
        <v>0.333333333333333</v>
      </c>
    </row>
    <row r="277" customFormat="false" ht="15" hidden="false" customHeight="false" outlineLevel="0" collapsed="false">
      <c r="A277" s="22" t="s">
        <v>21</v>
      </c>
      <c r="B277" s="10" t="s">
        <v>20</v>
      </c>
      <c r="C277" s="22" t="s">
        <v>326</v>
      </c>
      <c r="D277" s="6" t="n">
        <v>73</v>
      </c>
      <c r="E277" s="8" t="n">
        <v>0.671232876712329</v>
      </c>
      <c r="F277" s="8" t="n">
        <v>0.857142857142857</v>
      </c>
      <c r="G277" s="8" t="n">
        <v>0.5</v>
      </c>
      <c r="H277" s="8" t="n">
        <v>0.767857142857143</v>
      </c>
      <c r="I277" s="8" t="n">
        <v>0.428571428571429</v>
      </c>
      <c r="J277" s="8" t="n">
        <v>0.333333333333333</v>
      </c>
      <c r="K277" s="8" t="n">
        <v>0.857142857142857</v>
      </c>
      <c r="L277" s="8" t="n">
        <v>0.419354838709677</v>
      </c>
      <c r="M277" s="8" t="n">
        <v>0.43778801843318</v>
      </c>
    </row>
    <row r="278" customFormat="false" ht="15" hidden="false" customHeight="false" outlineLevel="0" collapsed="false">
      <c r="A278" s="22" t="s">
        <v>21</v>
      </c>
      <c r="B278" s="10" t="s">
        <v>20</v>
      </c>
      <c r="C278" s="22" t="s">
        <v>327</v>
      </c>
      <c r="D278" s="6" t="n">
        <v>73</v>
      </c>
      <c r="E278" s="8" t="n">
        <v>0.602739726027397</v>
      </c>
      <c r="F278" s="8" t="n">
        <v>0.761904761904762</v>
      </c>
      <c r="G278" s="8" t="n">
        <v>0.5</v>
      </c>
      <c r="H278" s="8" t="n">
        <v>0.696428571428571</v>
      </c>
      <c r="I278" s="8" t="n">
        <v>0.392857142857143</v>
      </c>
      <c r="J278" s="8" t="n">
        <v>0.333333333333333</v>
      </c>
      <c r="K278" s="8" t="n">
        <v>0.761904761904762</v>
      </c>
      <c r="L278" s="8" t="n">
        <v>0.387096774193548</v>
      </c>
      <c r="M278" s="8" t="n">
        <v>0.374807987711214</v>
      </c>
    </row>
    <row r="279" customFormat="false" ht="15" hidden="false" customHeight="false" outlineLevel="0" collapsed="false">
      <c r="A279" s="22" t="s">
        <v>21</v>
      </c>
      <c r="B279" s="10" t="s">
        <v>20</v>
      </c>
      <c r="C279" s="22" t="s">
        <v>328</v>
      </c>
      <c r="D279" s="6" t="n">
        <v>73</v>
      </c>
      <c r="E279" s="8" t="n">
        <v>0.684931506849315</v>
      </c>
      <c r="F279" s="8" t="n">
        <v>0.880952380952381</v>
      </c>
      <c r="G279" s="8" t="n">
        <v>0.5</v>
      </c>
      <c r="H279" s="8" t="n">
        <v>0.785714285714286</v>
      </c>
      <c r="I279" s="8" t="n">
        <v>0.392857142857143</v>
      </c>
      <c r="J279" s="8" t="n">
        <v>0.666666666666667</v>
      </c>
      <c r="K279" s="8" t="n">
        <v>0.880952380952381</v>
      </c>
      <c r="L279" s="8" t="n">
        <v>0.419354838709677</v>
      </c>
      <c r="M279" s="8" t="n">
        <v>0.461597542242704</v>
      </c>
    </row>
    <row r="280" customFormat="false" ht="15" hidden="false" customHeight="false" outlineLevel="0" collapsed="false">
      <c r="A280" s="22" t="s">
        <v>21</v>
      </c>
      <c r="B280" s="10" t="s">
        <v>20</v>
      </c>
      <c r="C280" s="22" t="s">
        <v>329</v>
      </c>
      <c r="D280" s="6" t="n">
        <v>73</v>
      </c>
      <c r="E280" s="8" t="n">
        <v>0.684931506849315</v>
      </c>
      <c r="F280" s="8" t="n">
        <v>0.880952380952381</v>
      </c>
      <c r="G280" s="8" t="n">
        <v>0.5</v>
      </c>
      <c r="H280" s="8" t="n">
        <v>0.785714285714286</v>
      </c>
      <c r="I280" s="8" t="n">
        <v>0.392857142857143</v>
      </c>
      <c r="J280" s="8" t="n">
        <v>0.666666666666667</v>
      </c>
      <c r="K280" s="8" t="n">
        <v>0.880952380952381</v>
      </c>
      <c r="L280" s="8" t="n">
        <v>0.419354838709677</v>
      </c>
      <c r="M280" s="8" t="n">
        <v>0.461597542242704</v>
      </c>
    </row>
    <row r="281" customFormat="false" ht="15" hidden="false" customHeight="false" outlineLevel="0" collapsed="false">
      <c r="A281" s="22" t="s">
        <v>21</v>
      </c>
      <c r="B281" s="10" t="s">
        <v>20</v>
      </c>
      <c r="C281" s="22" t="s">
        <v>330</v>
      </c>
      <c r="D281" s="6" t="n">
        <v>73</v>
      </c>
      <c r="E281" s="8" t="n">
        <v>0.684931506849315</v>
      </c>
      <c r="F281" s="8" t="n">
        <v>0.880952380952381</v>
      </c>
      <c r="G281" s="8" t="n">
        <v>0.5</v>
      </c>
      <c r="H281" s="8" t="n">
        <v>0.785714285714286</v>
      </c>
      <c r="I281" s="8" t="n">
        <v>0.392857142857143</v>
      </c>
      <c r="J281" s="8" t="n">
        <v>0.666666666666667</v>
      </c>
      <c r="K281" s="8" t="n">
        <v>0.880952380952381</v>
      </c>
      <c r="L281" s="8" t="n">
        <v>0.419354838709677</v>
      </c>
      <c r="M281" s="8" t="n">
        <v>0.461597542242704</v>
      </c>
    </row>
    <row r="282" customFormat="false" ht="15" hidden="false" customHeight="false" outlineLevel="0" collapsed="false">
      <c r="A282" s="22" t="s">
        <v>21</v>
      </c>
      <c r="B282" s="10" t="s">
        <v>20</v>
      </c>
      <c r="C282" s="22" t="s">
        <v>331</v>
      </c>
      <c r="D282" s="6" t="n">
        <v>72</v>
      </c>
      <c r="E282" s="8" t="n">
        <v>0.597222222222222</v>
      </c>
      <c r="F282" s="8" t="n">
        <v>0.785714285714286</v>
      </c>
      <c r="G282" s="8" t="n">
        <v>0.5</v>
      </c>
      <c r="H282" s="8" t="n">
        <v>0.714285714285714</v>
      </c>
      <c r="I282" s="8" t="n">
        <v>0.37037037037037</v>
      </c>
      <c r="J282" s="8" t="n">
        <v>0</v>
      </c>
      <c r="K282" s="8" t="n">
        <v>0.785714285714286</v>
      </c>
      <c r="L282" s="8" t="n">
        <v>0.333333333333333</v>
      </c>
      <c r="M282" s="8" t="n">
        <v>0.452380952380952</v>
      </c>
    </row>
    <row r="283" customFormat="false" ht="15" hidden="false" customHeight="false" outlineLevel="0" collapsed="false">
      <c r="A283" s="22" t="s">
        <v>21</v>
      </c>
      <c r="B283" s="10" t="s">
        <v>20</v>
      </c>
      <c r="C283" s="22" t="s">
        <v>332</v>
      </c>
      <c r="D283" s="6" t="n">
        <v>72</v>
      </c>
      <c r="E283" s="8" t="n">
        <v>0.597222222222222</v>
      </c>
      <c r="F283" s="8" t="n">
        <v>0.785714285714286</v>
      </c>
      <c r="G283" s="8" t="n">
        <v>0.285714285714286</v>
      </c>
      <c r="H283" s="8" t="n">
        <v>0.660714285714286</v>
      </c>
      <c r="I283" s="8" t="n">
        <v>0.333333333333333</v>
      </c>
      <c r="J283" s="8" t="n">
        <v>0.333333333333333</v>
      </c>
      <c r="K283" s="8" t="n">
        <v>0.785714285714286</v>
      </c>
      <c r="L283" s="8" t="n">
        <v>0.333333333333333</v>
      </c>
      <c r="M283" s="8" t="n">
        <v>0.452380952380952</v>
      </c>
    </row>
    <row r="284" customFormat="false" ht="15" hidden="false" customHeight="false" outlineLevel="0" collapsed="false">
      <c r="A284" s="22" t="s">
        <v>21</v>
      </c>
      <c r="B284" s="10" t="s">
        <v>20</v>
      </c>
      <c r="C284" s="22" t="s">
        <v>333</v>
      </c>
      <c r="D284" s="6" t="n">
        <v>72</v>
      </c>
      <c r="E284" s="8" t="n">
        <v>0.569444444444444</v>
      </c>
      <c r="F284" s="8" t="n">
        <v>0.738095238095238</v>
      </c>
      <c r="G284" s="8" t="n">
        <v>0.285714285714286</v>
      </c>
      <c r="H284" s="8" t="n">
        <v>0.625</v>
      </c>
      <c r="I284" s="8" t="n">
        <v>0.333333333333333</v>
      </c>
      <c r="J284" s="8" t="n">
        <v>0.333333333333333</v>
      </c>
      <c r="K284" s="8" t="n">
        <v>0.738095238095238</v>
      </c>
      <c r="L284" s="8" t="n">
        <v>0.333333333333333</v>
      </c>
      <c r="M284" s="8" t="n">
        <v>0.404761904761905</v>
      </c>
    </row>
    <row r="285" customFormat="false" ht="15" hidden="false" customHeight="false" outlineLevel="0" collapsed="false">
      <c r="A285" s="22" t="s">
        <v>21</v>
      </c>
      <c r="B285" s="10" t="s">
        <v>20</v>
      </c>
      <c r="C285" s="22" t="s">
        <v>334</v>
      </c>
      <c r="D285" s="6" t="n">
        <v>71</v>
      </c>
      <c r="E285" s="8" t="n">
        <v>0.535211267605634</v>
      </c>
      <c r="F285" s="8" t="n">
        <v>0.714285714285714</v>
      </c>
      <c r="G285" s="8" t="n">
        <v>0.357142857142857</v>
      </c>
      <c r="H285" s="8" t="n">
        <v>0.625</v>
      </c>
      <c r="I285" s="8" t="n">
        <v>0.269230769230769</v>
      </c>
      <c r="J285" s="8" t="n">
        <v>0.333333333333333</v>
      </c>
      <c r="K285" s="8" t="n">
        <v>0.714285714285714</v>
      </c>
      <c r="L285" s="8" t="n">
        <v>0.275862068965517</v>
      </c>
      <c r="M285" s="8" t="n">
        <v>0.438423645320197</v>
      </c>
    </row>
    <row r="286" customFormat="false" ht="15" hidden="false" customHeight="false" outlineLevel="0" collapsed="false">
      <c r="A286" s="22" t="s">
        <v>21</v>
      </c>
      <c r="B286" s="10" t="s">
        <v>20</v>
      </c>
      <c r="C286" s="22" t="s">
        <v>335</v>
      </c>
      <c r="D286" s="6" t="n">
        <v>71</v>
      </c>
      <c r="E286" s="8" t="n">
        <v>0.52112676056338</v>
      </c>
      <c r="F286" s="8" t="n">
        <v>0.690476190476191</v>
      </c>
      <c r="G286" s="8" t="n">
        <v>0.357142857142857</v>
      </c>
      <c r="H286" s="8" t="n">
        <v>0.607142857142857</v>
      </c>
      <c r="I286" s="8" t="n">
        <v>0.269230769230769</v>
      </c>
      <c r="J286" s="8" t="n">
        <v>0.333333333333333</v>
      </c>
      <c r="K286" s="8" t="n">
        <v>0.690476190476191</v>
      </c>
      <c r="L286" s="8" t="n">
        <v>0.275862068965517</v>
      </c>
      <c r="M286" s="8" t="n">
        <v>0.414614121510673</v>
      </c>
    </row>
    <row r="287" customFormat="false" ht="15" hidden="false" customHeight="false" outlineLevel="0" collapsed="false">
      <c r="A287" s="22" t="s">
        <v>21</v>
      </c>
      <c r="B287" s="10" t="s">
        <v>20</v>
      </c>
      <c r="C287" s="22" t="s">
        <v>336</v>
      </c>
      <c r="D287" s="6" t="n">
        <v>71</v>
      </c>
      <c r="E287" s="8" t="n">
        <v>0.661971830985916</v>
      </c>
      <c r="F287" s="8" t="n">
        <v>0.785714285714286</v>
      </c>
      <c r="G287" s="8" t="n">
        <v>0.571428571428571</v>
      </c>
      <c r="H287" s="8" t="n">
        <v>0.732142857142857</v>
      </c>
      <c r="I287" s="8" t="n">
        <v>0.5</v>
      </c>
      <c r="J287" s="8" t="n">
        <v>0.333333333333333</v>
      </c>
      <c r="K287" s="8" t="n">
        <v>0.785714285714286</v>
      </c>
      <c r="L287" s="8" t="n">
        <v>0.482758620689655</v>
      </c>
      <c r="M287" s="8" t="n">
        <v>0.302955665024631</v>
      </c>
    </row>
    <row r="288" customFormat="false" ht="15" hidden="false" customHeight="false" outlineLevel="0" collapsed="false">
      <c r="A288" s="22" t="s">
        <v>21</v>
      </c>
      <c r="B288" s="10" t="s">
        <v>20</v>
      </c>
      <c r="C288" s="22" t="s">
        <v>337</v>
      </c>
      <c r="D288" s="6" t="n">
        <v>71</v>
      </c>
      <c r="E288" s="8" t="n">
        <v>0.577464788732394</v>
      </c>
      <c r="F288" s="8" t="n">
        <v>0.690476190476191</v>
      </c>
      <c r="G288" s="8" t="n">
        <v>0.5</v>
      </c>
      <c r="H288" s="8" t="n">
        <v>0.642857142857143</v>
      </c>
      <c r="I288" s="8" t="n">
        <v>0.423076923076923</v>
      </c>
      <c r="J288" s="8" t="n">
        <v>0.333333333333333</v>
      </c>
      <c r="K288" s="8" t="n">
        <v>0.690476190476191</v>
      </c>
      <c r="L288" s="8" t="n">
        <v>0.413793103448276</v>
      </c>
      <c r="M288" s="8" t="n">
        <v>0.276683087027915</v>
      </c>
    </row>
    <row r="289" customFormat="false" ht="15" hidden="false" customHeight="false" outlineLevel="0" collapsed="false">
      <c r="A289" s="22" t="s">
        <v>21</v>
      </c>
      <c r="B289" s="10" t="s">
        <v>20</v>
      </c>
      <c r="C289" s="22" t="s">
        <v>338</v>
      </c>
      <c r="D289" s="6" t="n">
        <v>72</v>
      </c>
      <c r="E289" s="8" t="n">
        <v>0.569444444444444</v>
      </c>
      <c r="F289" s="8" t="n">
        <v>0.690476190476191</v>
      </c>
      <c r="G289" s="8" t="n">
        <v>0.5</v>
      </c>
      <c r="H289" s="8" t="n">
        <v>0.642857142857143</v>
      </c>
      <c r="I289" s="8" t="n">
        <v>0.407407407407407</v>
      </c>
      <c r="J289" s="8" t="n">
        <v>0.333333333333333</v>
      </c>
      <c r="K289" s="8" t="n">
        <v>0.690476190476191</v>
      </c>
      <c r="L289" s="8" t="n">
        <v>0.4</v>
      </c>
      <c r="M289" s="8" t="n">
        <v>0.29047619047619</v>
      </c>
    </row>
    <row r="290" customFormat="false" ht="15" hidden="false" customHeight="false" outlineLevel="0" collapsed="false">
      <c r="A290" s="22" t="s">
        <v>21</v>
      </c>
      <c r="B290" s="10" t="s">
        <v>20</v>
      </c>
      <c r="C290" s="22" t="s">
        <v>339</v>
      </c>
      <c r="D290" s="6" t="n">
        <v>71</v>
      </c>
      <c r="E290" s="8" t="n">
        <v>0.605633802816901</v>
      </c>
      <c r="F290" s="8" t="n">
        <v>0.690476190476191</v>
      </c>
      <c r="G290" s="8" t="n">
        <v>0.5</v>
      </c>
      <c r="H290" s="8" t="n">
        <v>0.642857142857143</v>
      </c>
      <c r="I290" s="8" t="n">
        <v>0.461538461538462</v>
      </c>
      <c r="J290" s="8" t="n">
        <v>0.666666666666667</v>
      </c>
      <c r="K290" s="8" t="n">
        <v>0.690476190476191</v>
      </c>
      <c r="L290" s="8" t="n">
        <v>0.482758620689655</v>
      </c>
      <c r="M290" s="8" t="n">
        <v>0.207717569786535</v>
      </c>
    </row>
    <row r="291" customFormat="false" ht="15" hidden="false" customHeight="false" outlineLevel="0" collapsed="false">
      <c r="A291" s="22" t="s">
        <v>21</v>
      </c>
      <c r="B291" s="10" t="s">
        <v>20</v>
      </c>
      <c r="C291" s="22" t="s">
        <v>340</v>
      </c>
      <c r="D291" s="6" t="n">
        <v>72</v>
      </c>
      <c r="E291" s="8" t="n">
        <v>0.541666666666667</v>
      </c>
      <c r="F291" s="8" t="n">
        <v>0.595238095238095</v>
      </c>
      <c r="G291" s="8" t="n">
        <v>0.5</v>
      </c>
      <c r="H291" s="8" t="n">
        <v>0.571428571428571</v>
      </c>
      <c r="I291" s="8" t="n">
        <v>0.481481481481481</v>
      </c>
      <c r="J291" s="8" t="n">
        <v>0.333333333333333</v>
      </c>
      <c r="K291" s="8" t="n">
        <v>0.595238095238095</v>
      </c>
      <c r="L291" s="8" t="n">
        <v>0.466666666666667</v>
      </c>
      <c r="M291" s="8" t="n">
        <v>0.128571428571429</v>
      </c>
    </row>
    <row r="292" customFormat="false" ht="15" hidden="false" customHeight="false" outlineLevel="0" collapsed="false">
      <c r="A292" s="22" t="s">
        <v>21</v>
      </c>
      <c r="B292" s="10" t="s">
        <v>20</v>
      </c>
      <c r="C292" s="22" t="s">
        <v>341</v>
      </c>
      <c r="D292" s="6" t="n">
        <v>72</v>
      </c>
      <c r="E292" s="8" t="n">
        <v>0.569444444444444</v>
      </c>
      <c r="F292" s="8" t="n">
        <v>0.666666666666667</v>
      </c>
      <c r="G292" s="8" t="n">
        <v>0.5</v>
      </c>
      <c r="H292" s="8" t="n">
        <v>0.625</v>
      </c>
      <c r="I292" s="8" t="n">
        <v>0.444444444444444</v>
      </c>
      <c r="J292" s="8" t="n">
        <v>0.333333333333333</v>
      </c>
      <c r="K292" s="8" t="n">
        <v>0.666666666666667</v>
      </c>
      <c r="L292" s="8" t="n">
        <v>0.433333333333333</v>
      </c>
      <c r="M292" s="8" t="n">
        <v>0.233333333333333</v>
      </c>
    </row>
    <row r="293" customFormat="false" ht="15" hidden="false" customHeight="false" outlineLevel="0" collapsed="false">
      <c r="A293" s="22" t="s">
        <v>21</v>
      </c>
      <c r="B293" s="10" t="s">
        <v>20</v>
      </c>
      <c r="C293" s="22" t="s">
        <v>342</v>
      </c>
      <c r="D293" s="6" t="n">
        <v>72</v>
      </c>
      <c r="E293" s="8" t="n">
        <v>0.555555555555556</v>
      </c>
      <c r="F293" s="8" t="n">
        <v>0.666666666666667</v>
      </c>
      <c r="G293" s="8" t="n">
        <v>0.5</v>
      </c>
      <c r="H293" s="8" t="n">
        <v>0.625</v>
      </c>
      <c r="I293" s="8" t="n">
        <v>0.407407407407407</v>
      </c>
      <c r="J293" s="8" t="n">
        <v>0.333333333333333</v>
      </c>
      <c r="K293" s="8" t="n">
        <v>0.666666666666667</v>
      </c>
      <c r="L293" s="8" t="n">
        <v>0.4</v>
      </c>
      <c r="M293" s="8" t="n">
        <v>0.266666666666667</v>
      </c>
    </row>
    <row r="294" customFormat="false" ht="15" hidden="false" customHeight="false" outlineLevel="0" collapsed="false">
      <c r="A294" s="22" t="s">
        <v>21</v>
      </c>
      <c r="B294" s="10" t="s">
        <v>20</v>
      </c>
      <c r="C294" s="22" t="s">
        <v>343</v>
      </c>
      <c r="D294" s="6" t="n">
        <v>72</v>
      </c>
      <c r="E294" s="8" t="n">
        <v>0.638888888888889</v>
      </c>
      <c r="F294" s="8" t="n">
        <v>0.738095238095238</v>
      </c>
      <c r="G294" s="8" t="n">
        <v>0.5</v>
      </c>
      <c r="H294" s="8" t="n">
        <v>0.678571428571429</v>
      </c>
      <c r="I294" s="8" t="n">
        <v>0.518518518518519</v>
      </c>
      <c r="J294" s="8" t="n">
        <v>0.333333333333333</v>
      </c>
      <c r="K294" s="8" t="n">
        <v>0.738095238095238</v>
      </c>
      <c r="L294" s="8" t="n">
        <v>0.5</v>
      </c>
      <c r="M294" s="8" t="n">
        <v>0.238095238095238</v>
      </c>
    </row>
    <row r="295" customFormat="false" ht="15" hidden="false" customHeight="false" outlineLevel="0" collapsed="false">
      <c r="A295" s="22" t="s">
        <v>21</v>
      </c>
      <c r="B295" s="10" t="s">
        <v>20</v>
      </c>
      <c r="C295" s="22" t="s">
        <v>344</v>
      </c>
      <c r="D295" s="6" t="n">
        <v>73</v>
      </c>
      <c r="E295" s="8" t="n">
        <v>0.657534246575342</v>
      </c>
      <c r="F295" s="8" t="n">
        <v>0.857142857142857</v>
      </c>
      <c r="G295" s="8" t="n">
        <v>0.5</v>
      </c>
      <c r="H295" s="8" t="n">
        <v>0.767857142857143</v>
      </c>
      <c r="I295" s="8" t="n">
        <v>0.357142857142857</v>
      </c>
      <c r="J295" s="8" t="n">
        <v>0.666666666666667</v>
      </c>
      <c r="K295" s="8" t="n">
        <v>0.857142857142857</v>
      </c>
      <c r="L295" s="8" t="n">
        <v>0.387096774193548</v>
      </c>
      <c r="M295" s="8" t="n">
        <v>0.470046082949309</v>
      </c>
    </row>
    <row r="296" customFormat="false" ht="15" hidden="false" customHeight="false" outlineLevel="0" collapsed="false">
      <c r="A296" s="22" t="s">
        <v>21</v>
      </c>
      <c r="B296" s="10" t="s">
        <v>20</v>
      </c>
      <c r="C296" s="22" t="s">
        <v>345</v>
      </c>
      <c r="D296" s="6" t="n">
        <v>73</v>
      </c>
      <c r="E296" s="8" t="n">
        <v>0.520547945205479</v>
      </c>
      <c r="F296" s="8" t="n">
        <v>0.642857142857143</v>
      </c>
      <c r="G296" s="8" t="n">
        <v>0.5</v>
      </c>
      <c r="H296" s="8" t="n">
        <v>0.607142857142857</v>
      </c>
      <c r="I296" s="8" t="n">
        <v>0.392857142857143</v>
      </c>
      <c r="J296" s="8" t="n">
        <v>0</v>
      </c>
      <c r="K296" s="8" t="n">
        <v>0.642857142857143</v>
      </c>
      <c r="L296" s="8" t="n">
        <v>0.354838709677419</v>
      </c>
      <c r="M296" s="8" t="n">
        <v>0.288018433179724</v>
      </c>
    </row>
    <row r="297" customFormat="false" ht="15" hidden="false" customHeight="false" outlineLevel="0" collapsed="false">
      <c r="A297" s="22" t="s">
        <v>22</v>
      </c>
      <c r="B297" s="10" t="s">
        <v>20</v>
      </c>
      <c r="C297" s="22" t="s">
        <v>346</v>
      </c>
      <c r="D297" s="6" t="n">
        <v>71</v>
      </c>
      <c r="E297" s="8" t="n">
        <v>0.591549295774648</v>
      </c>
      <c r="F297" s="8" t="n">
        <v>0.690476190476191</v>
      </c>
      <c r="G297" s="8" t="n">
        <v>0.428571428571429</v>
      </c>
      <c r="H297" s="8" t="n">
        <v>0.625</v>
      </c>
      <c r="I297" s="8" t="n">
        <v>0.461538461538462</v>
      </c>
      <c r="J297" s="8" t="n">
        <v>0.333333333333333</v>
      </c>
      <c r="K297" s="8" t="n">
        <v>0.690476190476191</v>
      </c>
      <c r="L297" s="8" t="n">
        <v>0.448275862068966</v>
      </c>
      <c r="M297" s="8" t="n">
        <v>0.242200328407225</v>
      </c>
    </row>
    <row r="298" customFormat="false" ht="15" hidden="false" customHeight="false" outlineLevel="0" collapsed="false">
      <c r="A298" s="22" t="s">
        <v>22</v>
      </c>
      <c r="B298" s="10" t="s">
        <v>20</v>
      </c>
      <c r="C298" s="22" t="s">
        <v>347</v>
      </c>
      <c r="D298" s="6" t="n">
        <v>71</v>
      </c>
      <c r="E298" s="8" t="n">
        <v>0.619718309859155</v>
      </c>
      <c r="F298" s="8" t="n">
        <v>0.738095238095238</v>
      </c>
      <c r="G298" s="8" t="n">
        <v>0.428571428571429</v>
      </c>
      <c r="H298" s="8" t="n">
        <v>0.660714285714286</v>
      </c>
      <c r="I298" s="8" t="n">
        <v>0.461538461538462</v>
      </c>
      <c r="J298" s="8" t="n">
        <v>0.333333333333333</v>
      </c>
      <c r="K298" s="8" t="n">
        <v>0.738095238095238</v>
      </c>
      <c r="L298" s="8" t="n">
        <v>0.448275862068966</v>
      </c>
      <c r="M298" s="8" t="n">
        <v>0.289819376026273</v>
      </c>
    </row>
    <row r="299" customFormat="false" ht="15" hidden="false" customHeight="false" outlineLevel="0" collapsed="false">
      <c r="A299" s="22" t="s">
        <v>22</v>
      </c>
      <c r="B299" s="10" t="s">
        <v>20</v>
      </c>
      <c r="C299" s="22" t="s">
        <v>348</v>
      </c>
      <c r="D299" s="6" t="n">
        <v>72</v>
      </c>
      <c r="E299" s="8" t="n">
        <v>0.569444444444444</v>
      </c>
      <c r="F299" s="8" t="n">
        <v>0.690476190476191</v>
      </c>
      <c r="G299" s="8" t="n">
        <v>0.428571428571429</v>
      </c>
      <c r="H299" s="8" t="n">
        <v>0.625</v>
      </c>
      <c r="I299" s="8" t="n">
        <v>0.407407407407407</v>
      </c>
      <c r="J299" s="8" t="n">
        <v>0.333333333333333</v>
      </c>
      <c r="K299" s="8" t="n">
        <v>0.690476190476191</v>
      </c>
      <c r="L299" s="8" t="n">
        <v>0.4</v>
      </c>
      <c r="M299" s="8" t="n">
        <v>0.29047619047619</v>
      </c>
    </row>
    <row r="300" customFormat="false" ht="15" hidden="false" customHeight="false" outlineLevel="0" collapsed="false">
      <c r="A300" s="22" t="s">
        <v>22</v>
      </c>
      <c r="B300" s="10" t="s">
        <v>20</v>
      </c>
      <c r="C300" s="22" t="s">
        <v>349</v>
      </c>
      <c r="D300" s="6" t="n">
        <v>71</v>
      </c>
      <c r="E300" s="8" t="n">
        <v>0.563380281690141</v>
      </c>
      <c r="F300" s="8" t="n">
        <v>0.666666666666667</v>
      </c>
      <c r="G300" s="8" t="n">
        <v>0.5</v>
      </c>
      <c r="H300" s="8" t="n">
        <v>0.625</v>
      </c>
      <c r="I300" s="8" t="n">
        <v>0.461538461538462</v>
      </c>
      <c r="J300" s="8" t="n">
        <v>0</v>
      </c>
      <c r="K300" s="8" t="n">
        <v>0.666666666666667</v>
      </c>
      <c r="L300" s="8" t="n">
        <v>0.413793103448276</v>
      </c>
      <c r="M300" s="8" t="n">
        <v>0.252873563218391</v>
      </c>
    </row>
    <row r="301" customFormat="false" ht="15" hidden="false" customHeight="false" outlineLevel="0" collapsed="false">
      <c r="A301" s="22" t="s">
        <v>22</v>
      </c>
      <c r="B301" s="10" t="s">
        <v>20</v>
      </c>
      <c r="C301" s="22" t="s">
        <v>350</v>
      </c>
      <c r="D301" s="6" t="n">
        <v>74</v>
      </c>
      <c r="E301" s="8" t="n">
        <v>0.635135135135135</v>
      </c>
      <c r="F301" s="8" t="n">
        <v>0.833333333333333</v>
      </c>
      <c r="G301" s="8" t="n">
        <v>0.5</v>
      </c>
      <c r="H301" s="8" t="n">
        <v>0.75</v>
      </c>
      <c r="I301" s="8" t="n">
        <v>0.344827586206897</v>
      </c>
      <c r="J301" s="8" t="n">
        <v>0.666666666666667</v>
      </c>
      <c r="K301" s="8" t="n">
        <v>0.833333333333333</v>
      </c>
      <c r="L301" s="8" t="n">
        <v>0.375</v>
      </c>
      <c r="M301" s="8" t="n">
        <v>0.458333333333333</v>
      </c>
    </row>
    <row r="302" customFormat="false" ht="15" hidden="false" customHeight="false" outlineLevel="0" collapsed="false">
      <c r="A302" s="22" t="s">
        <v>22</v>
      </c>
      <c r="B302" s="10" t="s">
        <v>20</v>
      </c>
      <c r="C302" s="22" t="s">
        <v>351</v>
      </c>
      <c r="D302" s="6" t="n">
        <v>71</v>
      </c>
      <c r="E302" s="8" t="n">
        <v>0.563380281690141</v>
      </c>
      <c r="F302" s="8" t="n">
        <v>0.666666666666667</v>
      </c>
      <c r="G302" s="8" t="n">
        <v>0.428571428571429</v>
      </c>
      <c r="H302" s="8" t="n">
        <v>0.607142857142857</v>
      </c>
      <c r="I302" s="8" t="n">
        <v>0.461538461538462</v>
      </c>
      <c r="J302" s="8" t="n">
        <v>0</v>
      </c>
      <c r="K302" s="8" t="n">
        <v>0.666666666666667</v>
      </c>
      <c r="L302" s="8" t="n">
        <v>0.413793103448276</v>
      </c>
      <c r="M302" s="8" t="n">
        <v>0.252873563218391</v>
      </c>
    </row>
    <row r="303" customFormat="false" ht="15" hidden="false" customHeight="false" outlineLevel="0" collapsed="false">
      <c r="A303" s="22" t="s">
        <v>22</v>
      </c>
      <c r="B303" s="10" t="s">
        <v>20</v>
      </c>
      <c r="C303" s="22" t="s">
        <v>352</v>
      </c>
      <c r="D303" s="6" t="n">
        <v>73</v>
      </c>
      <c r="E303" s="8" t="n">
        <v>0.602739726027397</v>
      </c>
      <c r="F303" s="8" t="n">
        <v>0.761904761904762</v>
      </c>
      <c r="G303" s="8" t="n">
        <v>0.428571428571429</v>
      </c>
      <c r="H303" s="8" t="n">
        <v>0.678571428571429</v>
      </c>
      <c r="I303" s="8" t="n">
        <v>0.428571428571429</v>
      </c>
      <c r="J303" s="8" t="n">
        <v>0</v>
      </c>
      <c r="K303" s="8" t="n">
        <v>0.761904761904762</v>
      </c>
      <c r="L303" s="8" t="n">
        <v>0.387096774193548</v>
      </c>
      <c r="M303" s="8" t="n">
        <v>0.374807987711214</v>
      </c>
    </row>
    <row r="304" customFormat="false" ht="15" hidden="false" customHeight="false" outlineLevel="0" collapsed="false">
      <c r="A304" s="22" t="s">
        <v>22</v>
      </c>
      <c r="B304" s="10" t="s">
        <v>20</v>
      </c>
      <c r="C304" s="22" t="s">
        <v>353</v>
      </c>
      <c r="D304" s="6" t="n">
        <v>74</v>
      </c>
      <c r="E304" s="8" t="n">
        <v>0.608108108108108</v>
      </c>
      <c r="F304" s="8" t="n">
        <v>0.761904761904762</v>
      </c>
      <c r="G304" s="8" t="n">
        <v>0.5</v>
      </c>
      <c r="H304" s="8" t="n">
        <v>0.696428571428571</v>
      </c>
      <c r="I304" s="8" t="n">
        <v>0.379310344827586</v>
      </c>
      <c r="J304" s="8" t="n">
        <v>0.666666666666667</v>
      </c>
      <c r="K304" s="8" t="n">
        <v>0.761904761904762</v>
      </c>
      <c r="L304" s="8" t="n">
        <v>0.40625</v>
      </c>
      <c r="M304" s="8" t="n">
        <v>0.355654761904762</v>
      </c>
    </row>
    <row r="305" customFormat="false" ht="15" hidden="false" customHeight="false" outlineLevel="0" collapsed="false">
      <c r="A305" s="22" t="s">
        <v>22</v>
      </c>
      <c r="B305" s="10" t="s">
        <v>20</v>
      </c>
      <c r="C305" s="22" t="s">
        <v>354</v>
      </c>
      <c r="D305" s="6" t="n">
        <v>72</v>
      </c>
      <c r="E305" s="8" t="n">
        <v>0.541666666666667</v>
      </c>
      <c r="F305" s="8" t="n">
        <v>0.642857142857143</v>
      </c>
      <c r="G305" s="8" t="n">
        <v>0.5</v>
      </c>
      <c r="H305" s="8" t="n">
        <v>0.607142857142857</v>
      </c>
      <c r="I305" s="8" t="n">
        <v>0.407407407407407</v>
      </c>
      <c r="J305" s="8" t="n">
        <v>0.333333333333333</v>
      </c>
      <c r="K305" s="8" t="n">
        <v>0.642857142857143</v>
      </c>
      <c r="L305" s="8" t="n">
        <v>0.4</v>
      </c>
      <c r="M305" s="8" t="n">
        <v>0.242857142857143</v>
      </c>
    </row>
    <row r="306" customFormat="false" ht="15" hidden="false" customHeight="false" outlineLevel="0" collapsed="false">
      <c r="A306" s="22" t="s">
        <v>22</v>
      </c>
      <c r="B306" s="10" t="s">
        <v>20</v>
      </c>
      <c r="C306" s="22" t="s">
        <v>355</v>
      </c>
      <c r="D306" s="6" t="n">
        <v>72</v>
      </c>
      <c r="E306" s="8" t="n">
        <v>0.541666666666667</v>
      </c>
      <c r="F306" s="8" t="n">
        <v>0.642857142857143</v>
      </c>
      <c r="G306" s="8" t="n">
        <v>0.5</v>
      </c>
      <c r="H306" s="8" t="n">
        <v>0.607142857142857</v>
      </c>
      <c r="I306" s="8" t="n">
        <v>0.407407407407407</v>
      </c>
      <c r="J306" s="8" t="n">
        <v>0.333333333333333</v>
      </c>
      <c r="K306" s="8" t="n">
        <v>0.642857142857143</v>
      </c>
      <c r="L306" s="8" t="n">
        <v>0.4</v>
      </c>
      <c r="M306" s="8" t="n">
        <v>0.242857142857143</v>
      </c>
    </row>
    <row r="307" customFormat="false" ht="15" hidden="false" customHeight="false" outlineLevel="0" collapsed="false">
      <c r="A307" s="22" t="s">
        <v>22</v>
      </c>
      <c r="B307" s="10" t="s">
        <v>20</v>
      </c>
      <c r="C307" s="22" t="s">
        <v>356</v>
      </c>
      <c r="D307" s="6" t="n">
        <v>72</v>
      </c>
      <c r="E307" s="8" t="n">
        <v>0.638888888888889</v>
      </c>
      <c r="F307" s="8" t="n">
        <v>0.738095238095238</v>
      </c>
      <c r="G307" s="8" t="n">
        <v>0.571428571428571</v>
      </c>
      <c r="H307" s="8" t="n">
        <v>0.696428571428571</v>
      </c>
      <c r="I307" s="8" t="n">
        <v>0.518518518518519</v>
      </c>
      <c r="J307" s="8" t="n">
        <v>0.333333333333333</v>
      </c>
      <c r="K307" s="8" t="n">
        <v>0.738095238095238</v>
      </c>
      <c r="L307" s="8" t="n">
        <v>0.5</v>
      </c>
      <c r="M307" s="8" t="n">
        <v>0.238095238095238</v>
      </c>
    </row>
    <row r="308" customFormat="false" ht="15" hidden="false" customHeight="false" outlineLevel="0" collapsed="false">
      <c r="A308" s="22" t="s">
        <v>22</v>
      </c>
      <c r="B308" s="10" t="s">
        <v>20</v>
      </c>
      <c r="C308" s="22" t="s">
        <v>357</v>
      </c>
      <c r="D308" s="6" t="n">
        <v>71</v>
      </c>
      <c r="E308" s="8" t="n">
        <v>0.605633802816901</v>
      </c>
      <c r="F308" s="8" t="n">
        <v>0.690476190476191</v>
      </c>
      <c r="G308" s="8" t="n">
        <v>0.357142857142857</v>
      </c>
      <c r="H308" s="8" t="n">
        <v>0.607142857142857</v>
      </c>
      <c r="I308" s="8" t="n">
        <v>0.5</v>
      </c>
      <c r="J308" s="8" t="n">
        <v>0.333333333333333</v>
      </c>
      <c r="K308" s="8" t="n">
        <v>0.690476190476191</v>
      </c>
      <c r="L308" s="8" t="n">
        <v>0.482758620689655</v>
      </c>
      <c r="M308" s="8" t="n">
        <v>0.207717569786535</v>
      </c>
    </row>
    <row r="309" customFormat="false" ht="15" hidden="false" customHeight="false" outlineLevel="0" collapsed="false">
      <c r="A309" s="22" t="s">
        <v>22</v>
      </c>
      <c r="B309" s="10" t="s">
        <v>20</v>
      </c>
      <c r="C309" s="22" t="s">
        <v>358</v>
      </c>
      <c r="D309" s="6" t="n">
        <v>71</v>
      </c>
      <c r="E309" s="8" t="n">
        <v>0.605633802816901</v>
      </c>
      <c r="F309" s="8" t="n">
        <v>0.690476190476191</v>
      </c>
      <c r="G309" s="8" t="n">
        <v>0.357142857142857</v>
      </c>
      <c r="H309" s="8" t="n">
        <v>0.607142857142857</v>
      </c>
      <c r="I309" s="8" t="n">
        <v>0.5</v>
      </c>
      <c r="J309" s="8" t="n">
        <v>0.333333333333333</v>
      </c>
      <c r="K309" s="8" t="n">
        <v>0.690476190476191</v>
      </c>
      <c r="L309" s="8" t="n">
        <v>0.482758620689655</v>
      </c>
      <c r="M309" s="8" t="n">
        <v>0.207717569786535</v>
      </c>
    </row>
    <row r="310" customFormat="false" ht="15" hidden="false" customHeight="false" outlineLevel="0" collapsed="false">
      <c r="A310" s="22" t="s">
        <v>22</v>
      </c>
      <c r="B310" s="10" t="s">
        <v>20</v>
      </c>
      <c r="C310" s="22" t="s">
        <v>359</v>
      </c>
      <c r="D310" s="6" t="n">
        <v>71</v>
      </c>
      <c r="E310" s="8" t="n">
        <v>0.591549295774648</v>
      </c>
      <c r="F310" s="8" t="n">
        <v>0.714285714285714</v>
      </c>
      <c r="G310" s="8" t="n">
        <v>0.357142857142857</v>
      </c>
      <c r="H310" s="8" t="n">
        <v>0.625</v>
      </c>
      <c r="I310" s="8" t="n">
        <v>0.423076923076923</v>
      </c>
      <c r="J310" s="8" t="n">
        <v>0.333333333333333</v>
      </c>
      <c r="K310" s="8" t="n">
        <v>0.714285714285714</v>
      </c>
      <c r="L310" s="8" t="n">
        <v>0.413793103448276</v>
      </c>
      <c r="M310" s="8" t="n">
        <v>0.300492610837438</v>
      </c>
    </row>
    <row r="311" customFormat="false" ht="15" hidden="false" customHeight="false" outlineLevel="0" collapsed="false">
      <c r="A311" s="22" t="s">
        <v>22</v>
      </c>
      <c r="B311" s="10" t="s">
        <v>20</v>
      </c>
      <c r="C311" s="22" t="s">
        <v>360</v>
      </c>
      <c r="D311" s="6" t="n">
        <v>71</v>
      </c>
      <c r="E311" s="8" t="n">
        <v>0.535211267605634</v>
      </c>
      <c r="F311" s="8" t="n">
        <v>0.642857142857143</v>
      </c>
      <c r="G311" s="8" t="n">
        <v>0.428571428571429</v>
      </c>
      <c r="H311" s="8" t="n">
        <v>0.589285714285714</v>
      </c>
      <c r="I311" s="8" t="n">
        <v>0.384615384615385</v>
      </c>
      <c r="J311" s="8" t="n">
        <v>0.333333333333333</v>
      </c>
      <c r="K311" s="8" t="n">
        <v>0.642857142857143</v>
      </c>
      <c r="L311" s="8" t="n">
        <v>0.379310344827586</v>
      </c>
      <c r="M311" s="8" t="n">
        <v>0.263546798029557</v>
      </c>
    </row>
    <row r="312" customFormat="false" ht="15" hidden="false" customHeight="false" outlineLevel="0" collapsed="false">
      <c r="A312" s="22" t="s">
        <v>22</v>
      </c>
      <c r="B312" s="10" t="s">
        <v>20</v>
      </c>
      <c r="C312" s="22" t="s">
        <v>361</v>
      </c>
      <c r="D312" s="6" t="n">
        <v>72</v>
      </c>
      <c r="E312" s="8" t="n">
        <v>0.597222222222222</v>
      </c>
      <c r="F312" s="8" t="n">
        <v>0.714285714285714</v>
      </c>
      <c r="G312" s="8" t="n">
        <v>0.571428571428571</v>
      </c>
      <c r="H312" s="8" t="n">
        <v>0.678571428571429</v>
      </c>
      <c r="I312" s="8" t="n">
        <v>0.444444444444444</v>
      </c>
      <c r="J312" s="8" t="n">
        <v>0.333333333333333</v>
      </c>
      <c r="K312" s="8" t="n">
        <v>0.714285714285714</v>
      </c>
      <c r="L312" s="8" t="n">
        <v>0.433333333333333</v>
      </c>
      <c r="M312" s="8" t="n">
        <v>0.280952380952381</v>
      </c>
    </row>
    <row r="313" customFormat="false" ht="15" hidden="false" customHeight="false" outlineLevel="0" collapsed="false">
      <c r="A313" s="22" t="s">
        <v>22</v>
      </c>
      <c r="B313" s="10" t="s">
        <v>20</v>
      </c>
      <c r="C313" s="22" t="s">
        <v>362</v>
      </c>
      <c r="D313" s="6" t="n">
        <v>72</v>
      </c>
      <c r="E313" s="8" t="n">
        <v>0.597222222222222</v>
      </c>
      <c r="F313" s="8" t="n">
        <v>0.738095238095238</v>
      </c>
      <c r="G313" s="8" t="n">
        <v>0.5</v>
      </c>
      <c r="H313" s="8" t="n">
        <v>0.678571428571429</v>
      </c>
      <c r="I313" s="8" t="n">
        <v>0.444444444444444</v>
      </c>
      <c r="J313" s="8" t="n">
        <v>0</v>
      </c>
      <c r="K313" s="8" t="n">
        <v>0.738095238095238</v>
      </c>
      <c r="L313" s="8" t="n">
        <v>0.4</v>
      </c>
      <c r="M313" s="8" t="n">
        <v>0.338095238095238</v>
      </c>
    </row>
    <row r="314" customFormat="false" ht="15" hidden="false" customHeight="false" outlineLevel="0" collapsed="false">
      <c r="A314" s="22" t="s">
        <v>22</v>
      </c>
      <c r="B314" s="10" t="s">
        <v>20</v>
      </c>
      <c r="C314" s="22" t="s">
        <v>363</v>
      </c>
      <c r="D314" s="6" t="n">
        <v>74</v>
      </c>
      <c r="E314" s="8" t="n">
        <v>0.567567567567568</v>
      </c>
      <c r="F314" s="8" t="n">
        <v>0.642857142857143</v>
      </c>
      <c r="G314" s="8" t="n">
        <v>0.571428571428571</v>
      </c>
      <c r="H314" s="8" t="n">
        <v>0.625</v>
      </c>
      <c r="I314" s="8" t="n">
        <v>0.517241379310345</v>
      </c>
      <c r="J314" s="8" t="n">
        <v>0</v>
      </c>
      <c r="K314" s="8" t="n">
        <v>0.642857142857143</v>
      </c>
      <c r="L314" s="8" t="n">
        <v>0.46875</v>
      </c>
      <c r="M314" s="8" t="n">
        <v>0.174107142857143</v>
      </c>
    </row>
    <row r="315" customFormat="false" ht="15" hidden="false" customHeight="false" outlineLevel="0" collapsed="false">
      <c r="A315" s="22" t="s">
        <v>22</v>
      </c>
      <c r="B315" s="10" t="s">
        <v>20</v>
      </c>
      <c r="C315" s="22" t="s">
        <v>364</v>
      </c>
      <c r="D315" s="6" t="n">
        <v>74</v>
      </c>
      <c r="E315" s="8" t="n">
        <v>0.635135135135135</v>
      </c>
      <c r="F315" s="8" t="n">
        <v>0.785714285714286</v>
      </c>
      <c r="G315" s="8" t="n">
        <v>0.428571428571429</v>
      </c>
      <c r="H315" s="8" t="n">
        <v>0.696428571428571</v>
      </c>
      <c r="I315" s="8" t="n">
        <v>0.482758620689655</v>
      </c>
      <c r="J315" s="8" t="n">
        <v>0</v>
      </c>
      <c r="K315" s="8" t="n">
        <v>0.785714285714286</v>
      </c>
      <c r="L315" s="8" t="n">
        <v>0.4375</v>
      </c>
      <c r="M315" s="8" t="n">
        <v>0.348214285714286</v>
      </c>
    </row>
    <row r="316" customFormat="false" ht="15" hidden="false" customHeight="false" outlineLevel="0" collapsed="false">
      <c r="A316" s="22" t="s">
        <v>22</v>
      </c>
      <c r="B316" s="10" t="s">
        <v>20</v>
      </c>
      <c r="C316" s="22" t="s">
        <v>365</v>
      </c>
      <c r="D316" s="6" t="n">
        <v>74</v>
      </c>
      <c r="E316" s="8" t="n">
        <v>0.635135135135135</v>
      </c>
      <c r="F316" s="8" t="n">
        <v>0.785714285714286</v>
      </c>
      <c r="G316" s="8" t="n">
        <v>0.428571428571429</v>
      </c>
      <c r="H316" s="8" t="n">
        <v>0.696428571428571</v>
      </c>
      <c r="I316" s="8" t="n">
        <v>0.482758620689655</v>
      </c>
      <c r="J316" s="8" t="n">
        <v>0</v>
      </c>
      <c r="K316" s="8" t="n">
        <v>0.785714285714286</v>
      </c>
      <c r="L316" s="8" t="n">
        <v>0.4375</v>
      </c>
      <c r="M316" s="8" t="n">
        <v>0.348214285714286</v>
      </c>
    </row>
    <row r="317" customFormat="false" ht="15" hidden="false" customHeight="false" outlineLevel="0" collapsed="false">
      <c r="A317" s="22" t="s">
        <v>22</v>
      </c>
      <c r="B317" s="10" t="s">
        <v>20</v>
      </c>
      <c r="C317" s="22" t="s">
        <v>366</v>
      </c>
      <c r="D317" s="6" t="n">
        <v>71</v>
      </c>
      <c r="E317" s="8" t="n">
        <v>0.605633802816901</v>
      </c>
      <c r="F317" s="8" t="n">
        <v>0.690476190476191</v>
      </c>
      <c r="G317" s="8" t="n">
        <v>0.5</v>
      </c>
      <c r="H317" s="8" t="n">
        <v>0.642857142857143</v>
      </c>
      <c r="I317" s="8" t="n">
        <v>0.461538461538462</v>
      </c>
      <c r="J317" s="8" t="n">
        <v>0.666666666666667</v>
      </c>
      <c r="K317" s="8" t="n">
        <v>0.690476190476191</v>
      </c>
      <c r="L317" s="8" t="n">
        <v>0.482758620689655</v>
      </c>
      <c r="M317" s="8" t="n">
        <v>0.207717569786535</v>
      </c>
    </row>
    <row r="318" customFormat="false" ht="15" hidden="false" customHeight="false" outlineLevel="0" collapsed="false">
      <c r="A318" s="22" t="s">
        <v>22</v>
      </c>
      <c r="B318" s="10" t="s">
        <v>20</v>
      </c>
      <c r="C318" s="22" t="s">
        <v>367</v>
      </c>
      <c r="D318" s="6" t="n">
        <v>71</v>
      </c>
      <c r="E318" s="8" t="n">
        <v>0.591549295774648</v>
      </c>
      <c r="F318" s="8" t="n">
        <v>0.690476190476191</v>
      </c>
      <c r="G318" s="8" t="n">
        <v>0.5</v>
      </c>
      <c r="H318" s="8" t="n">
        <v>0.642857142857143</v>
      </c>
      <c r="I318" s="8" t="n">
        <v>0.461538461538462</v>
      </c>
      <c r="J318" s="8" t="n">
        <v>0.333333333333333</v>
      </c>
      <c r="K318" s="8" t="n">
        <v>0.690476190476191</v>
      </c>
      <c r="L318" s="8" t="n">
        <v>0.448275862068966</v>
      </c>
      <c r="M318" s="8" t="n">
        <v>0.242200328407225</v>
      </c>
    </row>
    <row r="319" customFormat="false" ht="15" hidden="false" customHeight="false" outlineLevel="0" collapsed="false">
      <c r="A319" s="22" t="s">
        <v>22</v>
      </c>
      <c r="B319" s="10" t="s">
        <v>20</v>
      </c>
      <c r="C319" s="22" t="s">
        <v>368</v>
      </c>
      <c r="D319" s="6" t="n">
        <v>71</v>
      </c>
      <c r="E319" s="8" t="n">
        <v>0.605633802816901</v>
      </c>
      <c r="F319" s="8" t="n">
        <v>0.714285714285714</v>
      </c>
      <c r="G319" s="8" t="n">
        <v>0.5</v>
      </c>
      <c r="H319" s="8" t="n">
        <v>0.660714285714286</v>
      </c>
      <c r="I319" s="8" t="n">
        <v>0.461538461538462</v>
      </c>
      <c r="J319" s="8" t="n">
        <v>0.333333333333333</v>
      </c>
      <c r="K319" s="8" t="n">
        <v>0.714285714285714</v>
      </c>
      <c r="L319" s="8" t="n">
        <v>0.448275862068966</v>
      </c>
      <c r="M319" s="8" t="n">
        <v>0.266009852216749</v>
      </c>
    </row>
    <row r="320" customFormat="false" ht="15" hidden="false" customHeight="false" outlineLevel="0" collapsed="false">
      <c r="A320" s="22" t="s">
        <v>22</v>
      </c>
      <c r="B320" s="10" t="s">
        <v>20</v>
      </c>
      <c r="C320" s="22" t="s">
        <v>369</v>
      </c>
      <c r="D320" s="6" t="n">
        <v>71</v>
      </c>
      <c r="E320" s="8" t="n">
        <v>0.605633802816901</v>
      </c>
      <c r="F320" s="8" t="n">
        <v>0.714285714285714</v>
      </c>
      <c r="G320" s="8" t="n">
        <v>0.5</v>
      </c>
      <c r="H320" s="8" t="n">
        <v>0.660714285714286</v>
      </c>
      <c r="I320" s="8" t="n">
        <v>0.461538461538462</v>
      </c>
      <c r="J320" s="8" t="n">
        <v>0.333333333333333</v>
      </c>
      <c r="K320" s="8" t="n">
        <v>0.714285714285714</v>
      </c>
      <c r="L320" s="8" t="n">
        <v>0.448275862068966</v>
      </c>
      <c r="M320" s="8" t="n">
        <v>0.266009852216749</v>
      </c>
    </row>
    <row r="321" customFormat="false" ht="15" hidden="false" customHeight="false" outlineLevel="0" collapsed="false">
      <c r="A321" s="22" t="s">
        <v>22</v>
      </c>
      <c r="B321" s="10" t="s">
        <v>20</v>
      </c>
      <c r="C321" s="22" t="s">
        <v>370</v>
      </c>
      <c r="D321" s="6" t="n">
        <v>71</v>
      </c>
      <c r="E321" s="8" t="n">
        <v>0.605633802816901</v>
      </c>
      <c r="F321" s="8" t="n">
        <v>0.761904761904762</v>
      </c>
      <c r="G321" s="8" t="n">
        <v>0.428571428571429</v>
      </c>
      <c r="H321" s="8" t="n">
        <v>0.678571428571429</v>
      </c>
      <c r="I321" s="8" t="n">
        <v>0.384615384615385</v>
      </c>
      <c r="J321" s="8" t="n">
        <v>0.333333333333333</v>
      </c>
      <c r="K321" s="8" t="n">
        <v>0.761904761904762</v>
      </c>
      <c r="L321" s="8" t="n">
        <v>0.379310344827586</v>
      </c>
      <c r="M321" s="8" t="n">
        <v>0.382594417077176</v>
      </c>
    </row>
    <row r="322" customFormat="false" ht="15" hidden="false" customHeight="false" outlineLevel="0" collapsed="false">
      <c r="A322" s="22" t="s">
        <v>22</v>
      </c>
      <c r="B322" s="10" t="s">
        <v>20</v>
      </c>
      <c r="C322" s="22" t="s">
        <v>371</v>
      </c>
      <c r="D322" s="6" t="n">
        <v>71</v>
      </c>
      <c r="E322" s="8" t="n">
        <v>0.676056338028169</v>
      </c>
      <c r="F322" s="8" t="n">
        <v>0.785714285714286</v>
      </c>
      <c r="G322" s="8" t="n">
        <v>0.571428571428571</v>
      </c>
      <c r="H322" s="8" t="n">
        <v>0.732142857142857</v>
      </c>
      <c r="I322" s="8" t="n">
        <v>0.538461538461538</v>
      </c>
      <c r="J322" s="8" t="n">
        <v>0.333333333333333</v>
      </c>
      <c r="K322" s="8" t="n">
        <v>0.785714285714286</v>
      </c>
      <c r="L322" s="8" t="n">
        <v>0.517241379310345</v>
      </c>
      <c r="M322" s="8" t="n">
        <v>0.268472906403941</v>
      </c>
    </row>
    <row r="323" customFormat="false" ht="15" hidden="false" customHeight="false" outlineLevel="0" collapsed="false">
      <c r="A323" s="22" t="s">
        <v>22</v>
      </c>
      <c r="B323" s="10" t="s">
        <v>20</v>
      </c>
      <c r="C323" s="22" t="s">
        <v>372</v>
      </c>
      <c r="D323" s="6" t="n">
        <v>73</v>
      </c>
      <c r="E323" s="8" t="n">
        <v>0.657534246575342</v>
      </c>
      <c r="F323" s="8" t="n">
        <v>0.833333333333333</v>
      </c>
      <c r="G323" s="8" t="n">
        <v>0.5</v>
      </c>
      <c r="H323" s="8" t="n">
        <v>0.75</v>
      </c>
      <c r="I323" s="8" t="n">
        <v>0.428571428571429</v>
      </c>
      <c r="J323" s="8" t="n">
        <v>0.333333333333333</v>
      </c>
      <c r="K323" s="8" t="n">
        <v>0.833333333333333</v>
      </c>
      <c r="L323" s="8" t="n">
        <v>0.419354838709677</v>
      </c>
      <c r="M323" s="8" t="n">
        <v>0.413978494623656</v>
      </c>
    </row>
    <row r="324" customFormat="false" ht="15" hidden="false" customHeight="false" outlineLevel="0" collapsed="false">
      <c r="A324" s="22" t="s">
        <v>22</v>
      </c>
      <c r="B324" s="10" t="s">
        <v>20</v>
      </c>
      <c r="C324" s="22" t="s">
        <v>373</v>
      </c>
      <c r="D324" s="6" t="n">
        <v>73</v>
      </c>
      <c r="E324" s="8" t="n">
        <v>0.657534246575342</v>
      </c>
      <c r="F324" s="8" t="n">
        <v>0.833333333333333</v>
      </c>
      <c r="G324" s="8" t="n">
        <v>0.5</v>
      </c>
      <c r="H324" s="8" t="n">
        <v>0.75</v>
      </c>
      <c r="I324" s="8" t="n">
        <v>0.428571428571429</v>
      </c>
      <c r="J324" s="8" t="n">
        <v>0.333333333333333</v>
      </c>
      <c r="K324" s="8" t="n">
        <v>0.833333333333333</v>
      </c>
      <c r="L324" s="8" t="n">
        <v>0.419354838709677</v>
      </c>
      <c r="M324" s="8" t="n">
        <v>0.413978494623656</v>
      </c>
    </row>
    <row r="325" customFormat="false" ht="15" hidden="false" customHeight="false" outlineLevel="0" collapsed="false">
      <c r="A325" s="22" t="s">
        <v>22</v>
      </c>
      <c r="B325" s="10" t="s">
        <v>20</v>
      </c>
      <c r="C325" s="22" t="s">
        <v>374</v>
      </c>
      <c r="D325" s="6" t="n">
        <v>74</v>
      </c>
      <c r="E325" s="8" t="n">
        <v>0.621621621621622</v>
      </c>
      <c r="F325" s="8" t="n">
        <v>0.80952380952381</v>
      </c>
      <c r="G325" s="8" t="n">
        <v>0.571428571428571</v>
      </c>
      <c r="H325" s="8" t="n">
        <v>0.75</v>
      </c>
      <c r="I325" s="8" t="n">
        <v>0.379310344827586</v>
      </c>
      <c r="J325" s="8" t="n">
        <v>0.333333333333333</v>
      </c>
      <c r="K325" s="8" t="n">
        <v>0.80952380952381</v>
      </c>
      <c r="L325" s="8" t="n">
        <v>0.375</v>
      </c>
      <c r="M325" s="8" t="n">
        <v>0.43452380952381</v>
      </c>
    </row>
    <row r="326" customFormat="false" ht="15" hidden="false" customHeight="false" outlineLevel="0" collapsed="false">
      <c r="A326" s="22" t="s">
        <v>22</v>
      </c>
      <c r="B326" s="10" t="s">
        <v>20</v>
      </c>
      <c r="C326" s="22" t="s">
        <v>375</v>
      </c>
      <c r="D326" s="6" t="n">
        <v>74</v>
      </c>
      <c r="E326" s="8" t="n">
        <v>0.635135135135135</v>
      </c>
      <c r="F326" s="8" t="n">
        <v>0.761904761904762</v>
      </c>
      <c r="G326" s="8" t="n">
        <v>0.5</v>
      </c>
      <c r="H326" s="8" t="n">
        <v>0.696428571428571</v>
      </c>
      <c r="I326" s="8" t="n">
        <v>0.448275862068966</v>
      </c>
      <c r="J326" s="8" t="n">
        <v>0.666666666666667</v>
      </c>
      <c r="K326" s="8" t="n">
        <v>0.761904761904762</v>
      </c>
      <c r="L326" s="8" t="n">
        <v>0.46875</v>
      </c>
      <c r="M326" s="8" t="n">
        <v>0.293154761904762</v>
      </c>
    </row>
    <row r="327" customFormat="false" ht="15" hidden="false" customHeight="false" outlineLevel="0" collapsed="false">
      <c r="A327" s="22" t="s">
        <v>22</v>
      </c>
      <c r="B327" s="10" t="s">
        <v>20</v>
      </c>
      <c r="C327" s="22" t="s">
        <v>376</v>
      </c>
      <c r="D327" s="6" t="n">
        <v>74</v>
      </c>
      <c r="E327" s="8" t="n">
        <v>0.635135135135135</v>
      </c>
      <c r="F327" s="8" t="n">
        <v>0.761904761904762</v>
      </c>
      <c r="G327" s="8" t="n">
        <v>0.5</v>
      </c>
      <c r="H327" s="8" t="n">
        <v>0.696428571428571</v>
      </c>
      <c r="I327" s="8" t="n">
        <v>0.448275862068966</v>
      </c>
      <c r="J327" s="8" t="n">
        <v>0.666666666666667</v>
      </c>
      <c r="K327" s="8" t="n">
        <v>0.761904761904762</v>
      </c>
      <c r="L327" s="8" t="n">
        <v>0.46875</v>
      </c>
      <c r="M327" s="8" t="n">
        <v>0.293154761904762</v>
      </c>
    </row>
    <row r="328" customFormat="false" ht="15" hidden="false" customHeight="false" outlineLevel="0" collapsed="false">
      <c r="A328" s="22" t="s">
        <v>22</v>
      </c>
      <c r="B328" s="10" t="s">
        <v>20</v>
      </c>
      <c r="C328" s="22" t="s">
        <v>377</v>
      </c>
      <c r="D328" s="6" t="n">
        <v>74</v>
      </c>
      <c r="E328" s="8" t="n">
        <v>0.635135135135135</v>
      </c>
      <c r="F328" s="8" t="n">
        <v>0.761904761904762</v>
      </c>
      <c r="G328" s="8" t="n">
        <v>0.5</v>
      </c>
      <c r="H328" s="8" t="n">
        <v>0.696428571428571</v>
      </c>
      <c r="I328" s="8" t="n">
        <v>0.448275862068966</v>
      </c>
      <c r="J328" s="8" t="n">
        <v>0.666666666666667</v>
      </c>
      <c r="K328" s="8" t="n">
        <v>0.761904761904762</v>
      </c>
      <c r="L328" s="8" t="n">
        <v>0.46875</v>
      </c>
      <c r="M328" s="8" t="n">
        <v>0.293154761904762</v>
      </c>
    </row>
    <row r="329" customFormat="false" ht="15" hidden="false" customHeight="false" outlineLevel="0" collapsed="false">
      <c r="A329" s="22" t="s">
        <v>22</v>
      </c>
      <c r="B329" s="10" t="s">
        <v>20</v>
      </c>
      <c r="C329" s="22" t="s">
        <v>378</v>
      </c>
      <c r="D329" s="6" t="n">
        <v>82</v>
      </c>
      <c r="E329" s="8" t="n">
        <v>0.585365853658537</v>
      </c>
      <c r="F329" s="8" t="n">
        <v>0.690476190476191</v>
      </c>
      <c r="G329" s="8" t="n">
        <v>0.5</v>
      </c>
      <c r="H329" s="8" t="n">
        <v>0.642857142857143</v>
      </c>
      <c r="I329" s="8" t="n">
        <v>0.486486486486487</v>
      </c>
      <c r="J329" s="8" t="n">
        <v>0.333333333333333</v>
      </c>
      <c r="K329" s="8" t="n">
        <v>0.690476190476191</v>
      </c>
      <c r="L329" s="8" t="n">
        <v>0.475</v>
      </c>
      <c r="M329" s="8" t="n">
        <v>0.215476190476191</v>
      </c>
    </row>
    <row r="330" customFormat="false" ht="15" hidden="false" customHeight="false" outlineLevel="0" collapsed="false">
      <c r="A330" s="22" t="s">
        <v>22</v>
      </c>
      <c r="B330" s="10" t="s">
        <v>20</v>
      </c>
      <c r="C330" s="22" t="s">
        <v>379</v>
      </c>
      <c r="D330" s="6" t="n">
        <v>84</v>
      </c>
      <c r="E330" s="8" t="n">
        <v>0.595238095238095</v>
      </c>
      <c r="F330" s="8" t="n">
        <v>0.785714285714286</v>
      </c>
      <c r="G330" s="8" t="n">
        <v>0.5</v>
      </c>
      <c r="H330" s="8" t="n">
        <v>0.714285714285714</v>
      </c>
      <c r="I330" s="8" t="n">
        <v>0.41025641025641</v>
      </c>
      <c r="J330" s="8" t="n">
        <v>0.333333333333333</v>
      </c>
      <c r="K330" s="8" t="n">
        <v>0.785714285714286</v>
      </c>
      <c r="L330" s="8" t="n">
        <v>0.404761904761905</v>
      </c>
      <c r="M330" s="8" t="n">
        <v>0.380952380952381</v>
      </c>
    </row>
    <row r="331" customFormat="false" ht="15" hidden="false" customHeight="false" outlineLevel="0" collapsed="false">
      <c r="A331" s="22" t="s">
        <v>22</v>
      </c>
      <c r="B331" s="10" t="s">
        <v>20</v>
      </c>
      <c r="C331" s="22" t="s">
        <v>380</v>
      </c>
      <c r="D331" s="6" t="n">
        <v>84</v>
      </c>
      <c r="E331" s="8" t="n">
        <v>0.595238095238095</v>
      </c>
      <c r="F331" s="8" t="n">
        <v>0.761904761904762</v>
      </c>
      <c r="G331" s="8" t="n">
        <v>0.5</v>
      </c>
      <c r="H331" s="8" t="n">
        <v>0.696428571428571</v>
      </c>
      <c r="I331" s="8" t="n">
        <v>0.435897435897436</v>
      </c>
      <c r="J331" s="8" t="n">
        <v>0.333333333333333</v>
      </c>
      <c r="K331" s="8" t="n">
        <v>0.761904761904762</v>
      </c>
      <c r="L331" s="8" t="n">
        <v>0.428571428571429</v>
      </c>
      <c r="M331" s="8" t="n">
        <v>0.333333333333333</v>
      </c>
    </row>
    <row r="332" customFormat="false" ht="15" hidden="false" customHeight="false" outlineLevel="0" collapsed="false">
      <c r="A332" s="22" t="s">
        <v>22</v>
      </c>
      <c r="B332" s="10" t="s">
        <v>20</v>
      </c>
      <c r="C332" s="22" t="s">
        <v>381</v>
      </c>
      <c r="D332" s="6" t="n">
        <v>84</v>
      </c>
      <c r="E332" s="8" t="n">
        <v>0.595238095238095</v>
      </c>
      <c r="F332" s="8" t="n">
        <v>0.761904761904762</v>
      </c>
      <c r="G332" s="8" t="n">
        <v>0.5</v>
      </c>
      <c r="H332" s="8" t="n">
        <v>0.696428571428571</v>
      </c>
      <c r="I332" s="8" t="n">
        <v>0.435897435897436</v>
      </c>
      <c r="J332" s="8" t="n">
        <v>0.333333333333333</v>
      </c>
      <c r="K332" s="8" t="n">
        <v>0.761904761904762</v>
      </c>
      <c r="L332" s="8" t="n">
        <v>0.428571428571429</v>
      </c>
      <c r="M332" s="8" t="n">
        <v>0.333333333333333</v>
      </c>
    </row>
    <row r="333" customFormat="false" ht="15" hidden="false" customHeight="false" outlineLevel="0" collapsed="false">
      <c r="A333" s="22" t="s">
        <v>22</v>
      </c>
      <c r="B333" s="10" t="s">
        <v>20</v>
      </c>
      <c r="C333" s="22" t="s">
        <v>382</v>
      </c>
      <c r="D333" s="6" t="n">
        <v>84</v>
      </c>
      <c r="E333" s="8" t="n">
        <v>0.607142857142857</v>
      </c>
      <c r="F333" s="8" t="n">
        <v>0.833333333333333</v>
      </c>
      <c r="G333" s="8" t="n">
        <v>0.5</v>
      </c>
      <c r="H333" s="8" t="n">
        <v>0.75</v>
      </c>
      <c r="I333" s="8" t="n">
        <v>0.384615384615385</v>
      </c>
      <c r="J333" s="8" t="n">
        <v>0.333333333333333</v>
      </c>
      <c r="K333" s="8" t="n">
        <v>0.833333333333333</v>
      </c>
      <c r="L333" s="8" t="n">
        <v>0.380952380952381</v>
      </c>
      <c r="M333" s="8" t="n">
        <v>0.452380952380952</v>
      </c>
    </row>
    <row r="334" customFormat="false" ht="15" hidden="false" customHeight="false" outlineLevel="0" collapsed="false">
      <c r="A334" s="22" t="s">
        <v>22</v>
      </c>
      <c r="B334" s="10" t="s">
        <v>20</v>
      </c>
      <c r="C334" s="22" t="s">
        <v>383</v>
      </c>
      <c r="D334" s="6" t="n">
        <v>84</v>
      </c>
      <c r="E334" s="8" t="n">
        <v>0.583333333333333</v>
      </c>
      <c r="F334" s="8" t="n">
        <v>0.761904761904762</v>
      </c>
      <c r="G334" s="8" t="n">
        <v>0.5</v>
      </c>
      <c r="H334" s="8" t="n">
        <v>0.696428571428571</v>
      </c>
      <c r="I334" s="8" t="n">
        <v>0.41025641025641</v>
      </c>
      <c r="J334" s="8" t="n">
        <v>0.333333333333333</v>
      </c>
      <c r="K334" s="8" t="n">
        <v>0.761904761904762</v>
      </c>
      <c r="L334" s="8" t="n">
        <v>0.404761904761905</v>
      </c>
      <c r="M334" s="8" t="n">
        <v>0.357142857142857</v>
      </c>
    </row>
    <row r="335" customFormat="false" ht="15" hidden="false" customHeight="false" outlineLevel="0" collapsed="false">
      <c r="A335" s="22" t="s">
        <v>22</v>
      </c>
      <c r="B335" s="10" t="s">
        <v>20</v>
      </c>
      <c r="C335" s="22" t="s">
        <v>384</v>
      </c>
      <c r="D335" s="6" t="n">
        <v>84</v>
      </c>
      <c r="E335" s="8" t="n">
        <v>0.55952380952381</v>
      </c>
      <c r="F335" s="8" t="n">
        <v>0.714285714285714</v>
      </c>
      <c r="G335" s="8" t="n">
        <v>0.5</v>
      </c>
      <c r="H335" s="8" t="n">
        <v>0.660714285714286</v>
      </c>
      <c r="I335" s="8" t="n">
        <v>0.41025641025641</v>
      </c>
      <c r="J335" s="8" t="n">
        <v>0.333333333333333</v>
      </c>
      <c r="K335" s="8" t="n">
        <v>0.714285714285714</v>
      </c>
      <c r="L335" s="8" t="n">
        <v>0.404761904761905</v>
      </c>
      <c r="M335" s="8" t="n">
        <v>0.30952380952381</v>
      </c>
    </row>
    <row r="336" customFormat="false" ht="15" hidden="false" customHeight="false" outlineLevel="0" collapsed="false">
      <c r="A336" s="22" t="s">
        <v>22</v>
      </c>
      <c r="B336" s="10" t="s">
        <v>20</v>
      </c>
      <c r="C336" s="22" t="s">
        <v>385</v>
      </c>
      <c r="D336" s="6" t="n">
        <v>84</v>
      </c>
      <c r="E336" s="8" t="n">
        <v>0.583333333333333</v>
      </c>
      <c r="F336" s="8" t="n">
        <v>0.785714285714286</v>
      </c>
      <c r="G336" s="8" t="n">
        <v>0.5</v>
      </c>
      <c r="H336" s="8" t="n">
        <v>0.714285714285714</v>
      </c>
      <c r="I336" s="8" t="n">
        <v>0.384615384615385</v>
      </c>
      <c r="J336" s="8" t="n">
        <v>0.333333333333333</v>
      </c>
      <c r="K336" s="8" t="n">
        <v>0.785714285714286</v>
      </c>
      <c r="L336" s="8" t="n">
        <v>0.380952380952381</v>
      </c>
      <c r="M336" s="8" t="n">
        <v>0.404761904761905</v>
      </c>
    </row>
    <row r="337" customFormat="false" ht="15" hidden="false" customHeight="false" outlineLevel="0" collapsed="false">
      <c r="A337" s="22" t="s">
        <v>22</v>
      </c>
      <c r="B337" s="10" t="s">
        <v>20</v>
      </c>
      <c r="C337" s="22" t="s">
        <v>386</v>
      </c>
      <c r="D337" s="6" t="n">
        <v>73</v>
      </c>
      <c r="E337" s="8" t="n">
        <v>0.602739726027397</v>
      </c>
      <c r="F337" s="8" t="n">
        <v>0.738095238095238</v>
      </c>
      <c r="G337" s="8" t="n">
        <v>0.5</v>
      </c>
      <c r="H337" s="8" t="n">
        <v>0.678571428571429</v>
      </c>
      <c r="I337" s="8" t="n">
        <v>0.428571428571429</v>
      </c>
      <c r="J337" s="8" t="n">
        <v>0.333333333333333</v>
      </c>
      <c r="K337" s="8" t="n">
        <v>0.738095238095238</v>
      </c>
      <c r="L337" s="8" t="n">
        <v>0.419354838709677</v>
      </c>
      <c r="M337" s="8" t="n">
        <v>0.318740399385561</v>
      </c>
    </row>
    <row r="338" customFormat="false" ht="15" hidden="false" customHeight="false" outlineLevel="0" collapsed="false">
      <c r="A338" s="22" t="s">
        <v>22</v>
      </c>
      <c r="B338" s="10" t="s">
        <v>20</v>
      </c>
      <c r="C338" s="22" t="s">
        <v>387</v>
      </c>
      <c r="D338" s="6" t="n">
        <v>73</v>
      </c>
      <c r="E338" s="8" t="n">
        <v>0.616438356164384</v>
      </c>
      <c r="F338" s="8" t="n">
        <v>0.761904761904762</v>
      </c>
      <c r="G338" s="8" t="n">
        <v>0.571428571428571</v>
      </c>
      <c r="H338" s="8" t="n">
        <v>0.714285714285714</v>
      </c>
      <c r="I338" s="8" t="n">
        <v>0.428571428571429</v>
      </c>
      <c r="J338" s="8" t="n">
        <v>0.333333333333333</v>
      </c>
      <c r="K338" s="8" t="n">
        <v>0.761904761904762</v>
      </c>
      <c r="L338" s="8" t="n">
        <v>0.419354838709677</v>
      </c>
      <c r="M338" s="8" t="n">
        <v>0.342549923195084</v>
      </c>
    </row>
    <row r="339" customFormat="false" ht="15" hidden="false" customHeight="false" outlineLevel="0" collapsed="false">
      <c r="A339" s="22" t="s">
        <v>22</v>
      </c>
      <c r="B339" s="10" t="s">
        <v>20</v>
      </c>
      <c r="C339" s="22" t="s">
        <v>388</v>
      </c>
      <c r="D339" s="6" t="n">
        <v>73</v>
      </c>
      <c r="E339" s="8" t="n">
        <v>0.63013698630137</v>
      </c>
      <c r="F339" s="8" t="n">
        <v>0.785714285714286</v>
      </c>
      <c r="G339" s="8" t="n">
        <v>0.5</v>
      </c>
      <c r="H339" s="8" t="n">
        <v>0.714285714285714</v>
      </c>
      <c r="I339" s="8" t="n">
        <v>0.428571428571429</v>
      </c>
      <c r="J339" s="8" t="n">
        <v>0.333333333333333</v>
      </c>
      <c r="K339" s="8" t="n">
        <v>0.785714285714286</v>
      </c>
      <c r="L339" s="8" t="n">
        <v>0.419354838709677</v>
      </c>
      <c r="M339" s="8" t="n">
        <v>0.366359447004608</v>
      </c>
    </row>
    <row r="340" customFormat="false" ht="15" hidden="false" customHeight="false" outlineLevel="0" collapsed="false">
      <c r="A340" s="22" t="s">
        <v>22</v>
      </c>
      <c r="B340" s="10" t="s">
        <v>20</v>
      </c>
      <c r="C340" s="22" t="s">
        <v>389</v>
      </c>
      <c r="D340" s="6" t="n">
        <v>71</v>
      </c>
      <c r="E340" s="8" t="n">
        <v>0.661971830985916</v>
      </c>
      <c r="F340" s="8" t="n">
        <v>0.833333333333333</v>
      </c>
      <c r="G340" s="8" t="n">
        <v>0.5</v>
      </c>
      <c r="H340" s="8" t="n">
        <v>0.75</v>
      </c>
      <c r="I340" s="8" t="n">
        <v>0.423076923076923</v>
      </c>
      <c r="J340" s="8" t="n">
        <v>0.333333333333333</v>
      </c>
      <c r="K340" s="8" t="n">
        <v>0.833333333333333</v>
      </c>
      <c r="L340" s="8" t="n">
        <v>0.413793103448276</v>
      </c>
      <c r="M340" s="8" t="n">
        <v>0.419540229885058</v>
      </c>
    </row>
    <row r="341" customFormat="false" ht="15" hidden="false" customHeight="false" outlineLevel="0" collapsed="false">
      <c r="A341" s="22" t="s">
        <v>22</v>
      </c>
      <c r="B341" s="10" t="s">
        <v>20</v>
      </c>
      <c r="C341" s="22" t="s">
        <v>390</v>
      </c>
      <c r="D341" s="6" t="n">
        <v>71</v>
      </c>
      <c r="E341" s="8" t="n">
        <v>0.661971830985916</v>
      </c>
      <c r="F341" s="8" t="n">
        <v>0.833333333333333</v>
      </c>
      <c r="G341" s="8" t="n">
        <v>0.5</v>
      </c>
      <c r="H341" s="8" t="n">
        <v>0.75</v>
      </c>
      <c r="I341" s="8" t="n">
        <v>0.423076923076923</v>
      </c>
      <c r="J341" s="8" t="n">
        <v>0.333333333333333</v>
      </c>
      <c r="K341" s="8" t="n">
        <v>0.833333333333333</v>
      </c>
      <c r="L341" s="8" t="n">
        <v>0.413793103448276</v>
      </c>
      <c r="M341" s="8" t="n">
        <v>0.419540229885058</v>
      </c>
    </row>
    <row r="342" customFormat="false" ht="15" hidden="false" customHeight="false" outlineLevel="0" collapsed="false">
      <c r="A342" s="22" t="s">
        <v>22</v>
      </c>
      <c r="B342" s="10" t="s">
        <v>20</v>
      </c>
      <c r="C342" s="22" t="s">
        <v>391</v>
      </c>
      <c r="D342" s="6" t="n">
        <v>74</v>
      </c>
      <c r="E342" s="8" t="n">
        <v>0.635135135135135</v>
      </c>
      <c r="F342" s="8" t="n">
        <v>0.785714285714286</v>
      </c>
      <c r="G342" s="8" t="n">
        <v>0.428571428571429</v>
      </c>
      <c r="H342" s="8" t="n">
        <v>0.696428571428571</v>
      </c>
      <c r="I342" s="8" t="n">
        <v>0.482758620689655</v>
      </c>
      <c r="J342" s="8" t="n">
        <v>0</v>
      </c>
      <c r="K342" s="8" t="n">
        <v>0.785714285714286</v>
      </c>
      <c r="L342" s="8" t="n">
        <v>0.4375</v>
      </c>
      <c r="M342" s="8" t="n">
        <v>0.348214285714286</v>
      </c>
    </row>
    <row r="343" customFormat="false" ht="15" hidden="false" customHeight="false" outlineLevel="0" collapsed="false">
      <c r="A343" s="22" t="s">
        <v>22</v>
      </c>
      <c r="B343" s="10" t="s">
        <v>20</v>
      </c>
      <c r="C343" s="22" t="s">
        <v>392</v>
      </c>
      <c r="D343" s="6" t="n">
        <v>74</v>
      </c>
      <c r="E343" s="8" t="n">
        <v>0.662162162162162</v>
      </c>
      <c r="F343" s="8" t="n">
        <v>0.714285714285714</v>
      </c>
      <c r="G343" s="8" t="n">
        <v>0.714285714285714</v>
      </c>
      <c r="H343" s="8" t="n">
        <v>0.714285714285714</v>
      </c>
      <c r="I343" s="8" t="n">
        <v>0.620689655172414</v>
      </c>
      <c r="J343" s="8" t="n">
        <v>0.333333333333333</v>
      </c>
      <c r="K343" s="8" t="n">
        <v>0.714285714285714</v>
      </c>
      <c r="L343" s="8" t="n">
        <v>0.59375</v>
      </c>
      <c r="M343" s="8" t="n">
        <v>0.120535714285714</v>
      </c>
    </row>
    <row r="344" customFormat="false" ht="15" hidden="false" customHeight="false" outlineLevel="0" collapsed="false">
      <c r="A344" s="22" t="s">
        <v>22</v>
      </c>
      <c r="B344" s="10" t="s">
        <v>20</v>
      </c>
      <c r="C344" s="22" t="s">
        <v>393</v>
      </c>
      <c r="D344" s="6" t="n">
        <v>74</v>
      </c>
      <c r="E344" s="8" t="n">
        <v>0.594594594594595</v>
      </c>
      <c r="F344" s="8" t="n">
        <v>0.714285714285714</v>
      </c>
      <c r="G344" s="8" t="n">
        <v>0.5</v>
      </c>
      <c r="H344" s="8" t="n">
        <v>0.660714285714286</v>
      </c>
      <c r="I344" s="8" t="n">
        <v>0.448275862068966</v>
      </c>
      <c r="J344" s="8" t="n">
        <v>0.333333333333333</v>
      </c>
      <c r="K344" s="8" t="n">
        <v>0.714285714285714</v>
      </c>
      <c r="L344" s="8" t="n">
        <v>0.4375</v>
      </c>
      <c r="M344" s="8" t="n">
        <v>0.276785714285714</v>
      </c>
    </row>
    <row r="345" customFormat="false" ht="15" hidden="false" customHeight="false" outlineLevel="0" collapsed="false">
      <c r="A345" s="22" t="s">
        <v>22</v>
      </c>
      <c r="B345" s="10" t="s">
        <v>20</v>
      </c>
      <c r="C345" s="22" t="s">
        <v>394</v>
      </c>
      <c r="D345" s="6" t="n">
        <v>83</v>
      </c>
      <c r="E345" s="8" t="n">
        <v>0.566265060240964</v>
      </c>
      <c r="F345" s="8" t="n">
        <v>0.738095238095238</v>
      </c>
      <c r="G345" s="8" t="n">
        <v>0.5</v>
      </c>
      <c r="H345" s="8" t="n">
        <v>0.678571428571429</v>
      </c>
      <c r="I345" s="8" t="n">
        <v>0.394736842105263</v>
      </c>
      <c r="J345" s="8" t="n">
        <v>0.333333333333333</v>
      </c>
      <c r="K345" s="8" t="n">
        <v>0.738095238095238</v>
      </c>
      <c r="L345" s="8" t="n">
        <v>0.390243902439024</v>
      </c>
      <c r="M345" s="8" t="n">
        <v>0.347851335656214</v>
      </c>
    </row>
    <row r="346" customFormat="false" ht="15" hidden="false" customHeight="false" outlineLevel="0" collapsed="false">
      <c r="A346" s="22" t="s">
        <v>22</v>
      </c>
      <c r="B346" s="10" t="s">
        <v>20</v>
      </c>
      <c r="C346" s="22" t="s">
        <v>395</v>
      </c>
      <c r="D346" s="6" t="n">
        <v>84</v>
      </c>
      <c r="E346" s="8" t="n">
        <v>0.642857142857143</v>
      </c>
      <c r="F346" s="8" t="n">
        <v>0.761904761904762</v>
      </c>
      <c r="G346" s="8" t="n">
        <v>0.428571428571429</v>
      </c>
      <c r="H346" s="8" t="n">
        <v>0.678571428571429</v>
      </c>
      <c r="I346" s="8" t="n">
        <v>0.538461538461538</v>
      </c>
      <c r="J346" s="8" t="n">
        <v>0.333333333333333</v>
      </c>
      <c r="K346" s="8" t="n">
        <v>0.761904761904762</v>
      </c>
      <c r="L346" s="8" t="n">
        <v>0.523809523809524</v>
      </c>
      <c r="M346" s="8" t="n">
        <v>0.238095238095238</v>
      </c>
    </row>
    <row r="347" customFormat="false" ht="15" hidden="false" customHeight="false" outlineLevel="0" collapsed="false">
      <c r="A347" s="22" t="s">
        <v>22</v>
      </c>
      <c r="B347" s="10" t="s">
        <v>20</v>
      </c>
      <c r="C347" s="22" t="s">
        <v>396</v>
      </c>
      <c r="D347" s="6" t="n">
        <v>82</v>
      </c>
      <c r="E347" s="8" t="n">
        <v>0.646341463414634</v>
      </c>
      <c r="F347" s="8" t="n">
        <v>0.761904761904762</v>
      </c>
      <c r="G347" s="8" t="n">
        <v>0.5</v>
      </c>
      <c r="H347" s="8" t="n">
        <v>0.696428571428571</v>
      </c>
      <c r="I347" s="8" t="n">
        <v>0.540540540540541</v>
      </c>
      <c r="J347" s="8" t="n">
        <v>0.333333333333333</v>
      </c>
      <c r="K347" s="8" t="n">
        <v>0.761904761904762</v>
      </c>
      <c r="L347" s="8" t="n">
        <v>0.525</v>
      </c>
      <c r="M347" s="8" t="n">
        <v>0.236904761904762</v>
      </c>
    </row>
    <row r="348" customFormat="false" ht="15" hidden="false" customHeight="false" outlineLevel="0" collapsed="false">
      <c r="A348" s="22" t="s">
        <v>22</v>
      </c>
      <c r="B348" s="10" t="s">
        <v>20</v>
      </c>
      <c r="C348" s="22" t="s">
        <v>397</v>
      </c>
      <c r="D348" s="6" t="n">
        <v>84</v>
      </c>
      <c r="E348" s="8" t="n">
        <v>0.630952380952381</v>
      </c>
      <c r="F348" s="8" t="n">
        <v>0.80952380952381</v>
      </c>
      <c r="G348" s="8" t="n">
        <v>0.5</v>
      </c>
      <c r="H348" s="8" t="n">
        <v>0.732142857142857</v>
      </c>
      <c r="I348" s="8" t="n">
        <v>0.461538461538462</v>
      </c>
      <c r="J348" s="8" t="n">
        <v>0.333333333333333</v>
      </c>
      <c r="K348" s="8" t="n">
        <v>0.80952380952381</v>
      </c>
      <c r="L348" s="8" t="n">
        <v>0.452380952380952</v>
      </c>
      <c r="M348" s="8" t="n">
        <v>0.357142857142857</v>
      </c>
    </row>
    <row r="349" customFormat="false" ht="15" hidden="false" customHeight="false" outlineLevel="0" collapsed="false">
      <c r="A349" s="22" t="s">
        <v>22</v>
      </c>
      <c r="B349" s="10" t="s">
        <v>20</v>
      </c>
      <c r="C349" s="22" t="s">
        <v>398</v>
      </c>
      <c r="D349" s="6" t="n">
        <v>71</v>
      </c>
      <c r="E349" s="8" t="n">
        <v>0.633802816901409</v>
      </c>
      <c r="F349" s="8" t="n">
        <v>0.761904761904762</v>
      </c>
      <c r="G349" s="8" t="n">
        <v>0.428571428571429</v>
      </c>
      <c r="H349" s="8" t="n">
        <v>0.678571428571429</v>
      </c>
      <c r="I349" s="8" t="n">
        <v>0.423076923076923</v>
      </c>
      <c r="J349" s="8" t="n">
        <v>0.666666666666667</v>
      </c>
      <c r="K349" s="8" t="n">
        <v>0.761904761904762</v>
      </c>
      <c r="L349" s="8" t="n">
        <v>0.448275862068966</v>
      </c>
      <c r="M349" s="8" t="n">
        <v>0.313628899835796</v>
      </c>
    </row>
    <row r="350" customFormat="false" ht="15" hidden="false" customHeight="false" outlineLevel="0" collapsed="false">
      <c r="A350" s="22" t="s">
        <v>22</v>
      </c>
      <c r="B350" s="10" t="s">
        <v>20</v>
      </c>
      <c r="C350" s="22" t="s">
        <v>399</v>
      </c>
      <c r="D350" s="6" t="n">
        <v>71</v>
      </c>
      <c r="E350" s="8" t="n">
        <v>0.633802816901409</v>
      </c>
      <c r="F350" s="8" t="n">
        <v>0.785714285714286</v>
      </c>
      <c r="G350" s="8" t="n">
        <v>0.428571428571429</v>
      </c>
      <c r="H350" s="8" t="n">
        <v>0.696428571428571</v>
      </c>
      <c r="I350" s="8" t="n">
        <v>0.384615384615385</v>
      </c>
      <c r="J350" s="8" t="n">
        <v>0.666666666666667</v>
      </c>
      <c r="K350" s="8" t="n">
        <v>0.785714285714286</v>
      </c>
      <c r="L350" s="8" t="n">
        <v>0.413793103448276</v>
      </c>
      <c r="M350" s="8" t="n">
        <v>0.37192118226601</v>
      </c>
    </row>
    <row r="351" customFormat="false" ht="15" hidden="false" customHeight="false" outlineLevel="0" collapsed="false">
      <c r="A351" s="22" t="s">
        <v>22</v>
      </c>
      <c r="B351" s="10" t="s">
        <v>20</v>
      </c>
      <c r="C351" s="22" t="s">
        <v>400</v>
      </c>
      <c r="D351" s="6" t="n">
        <v>73</v>
      </c>
      <c r="E351" s="8" t="n">
        <v>0.589041095890411</v>
      </c>
      <c r="F351" s="8" t="n">
        <v>0.690476190476191</v>
      </c>
      <c r="G351" s="8" t="n">
        <v>0.5</v>
      </c>
      <c r="H351" s="8" t="n">
        <v>0.642857142857143</v>
      </c>
      <c r="I351" s="8" t="n">
        <v>0.428571428571429</v>
      </c>
      <c r="J351" s="8" t="n">
        <v>0.666666666666667</v>
      </c>
      <c r="K351" s="8" t="n">
        <v>0.690476190476191</v>
      </c>
      <c r="L351" s="8" t="n">
        <v>0.451612903225806</v>
      </c>
      <c r="M351" s="8" t="n">
        <v>0.238863287250384</v>
      </c>
    </row>
    <row r="352" customFormat="false" ht="15" hidden="false" customHeight="false" outlineLevel="0" collapsed="false">
      <c r="A352" s="22" t="s">
        <v>22</v>
      </c>
      <c r="B352" s="10" t="s">
        <v>20</v>
      </c>
      <c r="C352" s="22" t="s">
        <v>401</v>
      </c>
      <c r="D352" s="6" t="n">
        <v>73</v>
      </c>
      <c r="E352" s="8" t="n">
        <v>0.520547945205479</v>
      </c>
      <c r="F352" s="8" t="n">
        <v>0.642857142857143</v>
      </c>
      <c r="G352" s="8" t="n">
        <v>0.285714285714286</v>
      </c>
      <c r="H352" s="8" t="n">
        <v>0.553571428571429</v>
      </c>
      <c r="I352" s="8" t="n">
        <v>0.357142857142857</v>
      </c>
      <c r="J352" s="8" t="n">
        <v>0.333333333333333</v>
      </c>
      <c r="K352" s="8" t="n">
        <v>0.642857142857143</v>
      </c>
      <c r="L352" s="8" t="n">
        <v>0.354838709677419</v>
      </c>
      <c r="M352" s="8" t="n">
        <v>0.288018433179724</v>
      </c>
    </row>
    <row r="353" customFormat="false" ht="15" hidden="false" customHeight="false" outlineLevel="0" collapsed="false">
      <c r="A353" s="22" t="s">
        <v>22</v>
      </c>
      <c r="B353" s="10" t="s">
        <v>20</v>
      </c>
      <c r="C353" s="22" t="s">
        <v>402</v>
      </c>
      <c r="D353" s="6" t="n">
        <v>73</v>
      </c>
      <c r="E353" s="8" t="n">
        <v>0.671232876712329</v>
      </c>
      <c r="F353" s="8" t="n">
        <v>0.738095238095238</v>
      </c>
      <c r="G353" s="8" t="n">
        <v>0.571428571428571</v>
      </c>
      <c r="H353" s="8" t="n">
        <v>0.696428571428571</v>
      </c>
      <c r="I353" s="8" t="n">
        <v>0.571428571428571</v>
      </c>
      <c r="J353" s="8" t="n">
        <v>0.666666666666667</v>
      </c>
      <c r="K353" s="8" t="n">
        <v>0.738095238095238</v>
      </c>
      <c r="L353" s="8" t="n">
        <v>0.580645161290323</v>
      </c>
      <c r="M353" s="8" t="n">
        <v>0.157450076804916</v>
      </c>
    </row>
    <row r="354" customFormat="false" ht="15" hidden="false" customHeight="false" outlineLevel="0" collapsed="false">
      <c r="A354" s="22" t="s">
        <v>22</v>
      </c>
      <c r="B354" s="10" t="s">
        <v>20</v>
      </c>
      <c r="C354" s="22" t="s">
        <v>403</v>
      </c>
      <c r="D354" s="6" t="n">
        <v>71</v>
      </c>
      <c r="E354" s="8" t="n">
        <v>0.661971830985916</v>
      </c>
      <c r="F354" s="8" t="n">
        <v>0.833333333333333</v>
      </c>
      <c r="G354" s="8" t="n">
        <v>0.5</v>
      </c>
      <c r="H354" s="8" t="n">
        <v>0.75</v>
      </c>
      <c r="I354" s="8" t="n">
        <v>0.423076923076923</v>
      </c>
      <c r="J354" s="8" t="n">
        <v>0.333333333333333</v>
      </c>
      <c r="K354" s="8" t="n">
        <v>0.833333333333333</v>
      </c>
      <c r="L354" s="8" t="n">
        <v>0.413793103448276</v>
      </c>
      <c r="M354" s="8" t="n">
        <v>0.419540229885058</v>
      </c>
    </row>
    <row r="355" customFormat="false" ht="15" hidden="false" customHeight="false" outlineLevel="0" collapsed="false">
      <c r="A355" s="22" t="s">
        <v>22</v>
      </c>
      <c r="B355" s="10" t="s">
        <v>20</v>
      </c>
      <c r="C355" s="22" t="s">
        <v>404</v>
      </c>
      <c r="D355" s="6" t="n">
        <v>72</v>
      </c>
      <c r="E355" s="8" t="n">
        <v>0.555555555555556</v>
      </c>
      <c r="F355" s="8" t="n">
        <v>0.642857142857143</v>
      </c>
      <c r="G355" s="8" t="n">
        <v>0.428571428571429</v>
      </c>
      <c r="H355" s="8" t="n">
        <v>0.589285714285714</v>
      </c>
      <c r="I355" s="8" t="n">
        <v>0.407407407407407</v>
      </c>
      <c r="J355" s="8" t="n">
        <v>0.666666666666667</v>
      </c>
      <c r="K355" s="8" t="n">
        <v>0.642857142857143</v>
      </c>
      <c r="L355" s="8" t="n">
        <v>0.433333333333333</v>
      </c>
      <c r="M355" s="8" t="n">
        <v>0.20952380952381</v>
      </c>
    </row>
    <row r="356" customFormat="false" ht="15" hidden="false" customHeight="false" outlineLevel="0" collapsed="false">
      <c r="A356" s="22" t="s">
        <v>22</v>
      </c>
      <c r="B356" s="10" t="s">
        <v>20</v>
      </c>
      <c r="C356" s="22" t="s">
        <v>405</v>
      </c>
      <c r="D356" s="6" t="n">
        <v>73</v>
      </c>
      <c r="E356" s="8" t="n">
        <v>0.63013698630137</v>
      </c>
      <c r="F356" s="8" t="n">
        <v>0.761904761904762</v>
      </c>
      <c r="G356" s="8" t="n">
        <v>0.5</v>
      </c>
      <c r="H356" s="8" t="n">
        <v>0.696428571428571</v>
      </c>
      <c r="I356" s="8" t="n">
        <v>0.428571428571429</v>
      </c>
      <c r="J356" s="8" t="n">
        <v>0.666666666666667</v>
      </c>
      <c r="K356" s="8" t="n">
        <v>0.761904761904762</v>
      </c>
      <c r="L356" s="8" t="n">
        <v>0.451612903225806</v>
      </c>
      <c r="M356" s="8" t="n">
        <v>0.310291858678955</v>
      </c>
    </row>
    <row r="357" customFormat="false" ht="15" hidden="false" customHeight="false" outlineLevel="0" collapsed="false">
      <c r="A357" s="22" t="s">
        <v>22</v>
      </c>
      <c r="B357" s="10" t="s">
        <v>20</v>
      </c>
      <c r="C357" s="22" t="s">
        <v>406</v>
      </c>
      <c r="D357" s="6" t="n">
        <v>73</v>
      </c>
      <c r="E357" s="8" t="n">
        <v>0.616438356164384</v>
      </c>
      <c r="F357" s="8" t="n">
        <v>0.761904761904762</v>
      </c>
      <c r="G357" s="8" t="n">
        <v>0.428571428571429</v>
      </c>
      <c r="H357" s="8" t="n">
        <v>0.678571428571429</v>
      </c>
      <c r="I357" s="8" t="n">
        <v>0.392857142857143</v>
      </c>
      <c r="J357" s="8" t="n">
        <v>0.666666666666667</v>
      </c>
      <c r="K357" s="8" t="n">
        <v>0.761904761904762</v>
      </c>
      <c r="L357" s="8" t="n">
        <v>0.419354838709677</v>
      </c>
      <c r="M357" s="8" t="n">
        <v>0.342549923195084</v>
      </c>
    </row>
    <row r="358" customFormat="false" ht="15" hidden="false" customHeight="false" outlineLevel="0" collapsed="false">
      <c r="A358" s="22" t="s">
        <v>22</v>
      </c>
      <c r="B358" s="10" t="s">
        <v>20</v>
      </c>
      <c r="C358" s="22" t="s">
        <v>407</v>
      </c>
      <c r="D358" s="6" t="n">
        <v>73</v>
      </c>
      <c r="E358" s="8" t="n">
        <v>0.616438356164384</v>
      </c>
      <c r="F358" s="8" t="n">
        <v>0.761904761904762</v>
      </c>
      <c r="G358" s="8" t="n">
        <v>0.428571428571429</v>
      </c>
      <c r="H358" s="8" t="n">
        <v>0.678571428571429</v>
      </c>
      <c r="I358" s="8" t="n">
        <v>0.392857142857143</v>
      </c>
      <c r="J358" s="8" t="n">
        <v>0.666666666666667</v>
      </c>
      <c r="K358" s="8" t="n">
        <v>0.761904761904762</v>
      </c>
      <c r="L358" s="8" t="n">
        <v>0.419354838709677</v>
      </c>
      <c r="M358" s="8" t="n">
        <v>0.342549923195084</v>
      </c>
    </row>
    <row r="359" customFormat="false" ht="15" hidden="false" customHeight="false" outlineLevel="0" collapsed="false">
      <c r="A359" s="22" t="s">
        <v>22</v>
      </c>
      <c r="B359" s="10" t="s">
        <v>20</v>
      </c>
      <c r="C359" s="22" t="s">
        <v>408</v>
      </c>
      <c r="D359" s="6" t="n">
        <v>73</v>
      </c>
      <c r="E359" s="8" t="n">
        <v>0.602739726027397</v>
      </c>
      <c r="F359" s="8" t="n">
        <v>0.761904761904762</v>
      </c>
      <c r="G359" s="8" t="n">
        <v>0.5</v>
      </c>
      <c r="H359" s="8" t="n">
        <v>0.696428571428571</v>
      </c>
      <c r="I359" s="8" t="n">
        <v>0.392857142857143</v>
      </c>
      <c r="J359" s="8" t="n">
        <v>0.333333333333333</v>
      </c>
      <c r="K359" s="8" t="n">
        <v>0.761904761904762</v>
      </c>
      <c r="L359" s="8" t="n">
        <v>0.387096774193548</v>
      </c>
      <c r="M359" s="8" t="n">
        <v>0.374807987711214</v>
      </c>
    </row>
    <row r="360" customFormat="false" ht="15" hidden="false" customHeight="false" outlineLevel="0" collapsed="false">
      <c r="A360" s="22" t="s">
        <v>23</v>
      </c>
      <c r="B360" s="10" t="s">
        <v>24</v>
      </c>
      <c r="C360" s="22" t="s">
        <v>409</v>
      </c>
      <c r="D360" s="6" t="n">
        <v>70</v>
      </c>
      <c r="E360" s="8" t="n">
        <v>0.328571428571429</v>
      </c>
      <c r="F360" s="8" t="n">
        <v>0.357142857142857</v>
      </c>
      <c r="G360" s="8" t="n">
        <v>0.285714285714286</v>
      </c>
      <c r="H360" s="8" t="n">
        <v>0.339285714285714</v>
      </c>
      <c r="I360" s="8" t="n">
        <v>0.28</v>
      </c>
      <c r="J360" s="8" t="n">
        <v>0.333333333333333</v>
      </c>
      <c r="K360" s="8" t="n">
        <v>0.357142857142857</v>
      </c>
      <c r="L360" s="8" t="n">
        <v>0.285714285714286</v>
      </c>
      <c r="M360" s="8" t="n">
        <v>0.0714285714285715</v>
      </c>
    </row>
    <row r="361" customFormat="false" ht="15" hidden="false" customHeight="false" outlineLevel="0" collapsed="false">
      <c r="A361" s="22" t="s">
        <v>23</v>
      </c>
      <c r="B361" s="10" t="s">
        <v>24</v>
      </c>
      <c r="C361" s="22" t="s">
        <v>410</v>
      </c>
      <c r="D361" s="6" t="n">
        <v>70</v>
      </c>
      <c r="E361" s="8" t="n">
        <v>0.3</v>
      </c>
      <c r="F361" s="8" t="n">
        <v>0.285714285714286</v>
      </c>
      <c r="G361" s="8" t="n">
        <v>0.357142857142857</v>
      </c>
      <c r="H361" s="8" t="n">
        <v>0.303571428571429</v>
      </c>
      <c r="I361" s="8" t="n">
        <v>0.28</v>
      </c>
      <c r="J361" s="8" t="n">
        <v>0.666666666666667</v>
      </c>
      <c r="K361" s="8" t="n">
        <v>0.285714285714286</v>
      </c>
      <c r="L361" s="8" t="n">
        <v>0.321428571428571</v>
      </c>
      <c r="M361" s="8" t="n">
        <v>-0.0357142857142858</v>
      </c>
    </row>
    <row r="362" customFormat="false" ht="15" hidden="false" customHeight="false" outlineLevel="0" collapsed="false">
      <c r="A362" s="22" t="s">
        <v>23</v>
      </c>
      <c r="B362" s="10" t="s">
        <v>24</v>
      </c>
      <c r="C362" s="22" t="s">
        <v>411</v>
      </c>
      <c r="D362" s="6" t="n">
        <v>70</v>
      </c>
      <c r="E362" s="8" t="n">
        <v>0.442857142857143</v>
      </c>
      <c r="F362" s="8" t="n">
        <v>0.476190476190476</v>
      </c>
      <c r="G362" s="8" t="n">
        <v>0.428571428571429</v>
      </c>
      <c r="H362" s="8" t="n">
        <v>0.464285714285714</v>
      </c>
      <c r="I362" s="8" t="n">
        <v>0.44</v>
      </c>
      <c r="J362" s="8" t="n">
        <v>0</v>
      </c>
      <c r="K362" s="8" t="n">
        <v>0.476190476190476</v>
      </c>
      <c r="L362" s="8" t="n">
        <v>0.392857142857143</v>
      </c>
      <c r="M362" s="8" t="n">
        <v>0.0833333333333333</v>
      </c>
    </row>
    <row r="363" customFormat="false" ht="15" hidden="false" customHeight="false" outlineLevel="0" collapsed="false">
      <c r="A363" s="22" t="s">
        <v>23</v>
      </c>
      <c r="B363" s="10" t="s">
        <v>24</v>
      </c>
      <c r="C363" s="22" t="s">
        <v>412</v>
      </c>
      <c r="D363" s="6" t="n">
        <v>71</v>
      </c>
      <c r="E363" s="8" t="n">
        <v>0.647887323943662</v>
      </c>
      <c r="F363" s="8" t="n">
        <v>0.80952380952381</v>
      </c>
      <c r="G363" s="8" t="n">
        <v>0.5</v>
      </c>
      <c r="H363" s="8" t="n">
        <v>0.732142857142857</v>
      </c>
      <c r="I363" s="8" t="n">
        <v>0.423076923076923</v>
      </c>
      <c r="J363" s="8" t="n">
        <v>0.333333333333333</v>
      </c>
      <c r="K363" s="8" t="n">
        <v>0.80952380952381</v>
      </c>
      <c r="L363" s="8" t="n">
        <v>0.413793103448276</v>
      </c>
      <c r="M363" s="8" t="n">
        <v>0.395730706075534</v>
      </c>
    </row>
    <row r="364" customFormat="false" ht="15" hidden="false" customHeight="false" outlineLevel="0" collapsed="false">
      <c r="A364" s="22" t="s">
        <v>23</v>
      </c>
      <c r="B364" s="10" t="s">
        <v>24</v>
      </c>
      <c r="C364" s="22" t="s">
        <v>413</v>
      </c>
      <c r="D364" s="6" t="n">
        <v>80</v>
      </c>
      <c r="E364" s="8" t="n">
        <v>0.35</v>
      </c>
      <c r="F364" s="8" t="n">
        <v>0.380952380952381</v>
      </c>
      <c r="G364" s="8" t="n">
        <v>0.285714285714286</v>
      </c>
      <c r="H364" s="8" t="n">
        <v>0.357142857142857</v>
      </c>
      <c r="I364" s="8" t="n">
        <v>0.314285714285714</v>
      </c>
      <c r="J364" s="8" t="n">
        <v>0.333333333333333</v>
      </c>
      <c r="K364" s="8" t="n">
        <v>0.380952380952381</v>
      </c>
      <c r="L364" s="8" t="n">
        <v>0.315789473684211</v>
      </c>
      <c r="M364" s="8" t="n">
        <v>0.0651629072681704</v>
      </c>
    </row>
    <row r="365" customFormat="false" ht="15" hidden="false" customHeight="false" outlineLevel="0" collapsed="false">
      <c r="A365" s="22" t="s">
        <v>23</v>
      </c>
      <c r="B365" s="10" t="s">
        <v>24</v>
      </c>
      <c r="C365" s="22" t="s">
        <v>414</v>
      </c>
      <c r="D365" s="6" t="n">
        <v>86</v>
      </c>
      <c r="E365" s="8" t="n">
        <v>0.453488372093023</v>
      </c>
      <c r="F365" s="8" t="n">
        <v>0.5</v>
      </c>
      <c r="G365" s="8" t="n">
        <v>0.357142857142857</v>
      </c>
      <c r="H365" s="8" t="n">
        <v>0.464285714285714</v>
      </c>
      <c r="I365" s="8" t="n">
        <v>0.439024390243902</v>
      </c>
      <c r="J365" s="8" t="n">
        <v>0</v>
      </c>
      <c r="K365" s="8" t="n">
        <v>0.5</v>
      </c>
      <c r="L365" s="8" t="n">
        <v>0.409090909090909</v>
      </c>
      <c r="M365" s="8" t="n">
        <v>0.0909090909090909</v>
      </c>
    </row>
    <row r="366" customFormat="false" ht="15" hidden="false" customHeight="false" outlineLevel="0" collapsed="false">
      <c r="A366" s="22" t="s">
        <v>23</v>
      </c>
      <c r="B366" s="10" t="s">
        <v>24</v>
      </c>
      <c r="C366" s="22" t="s">
        <v>415</v>
      </c>
      <c r="D366" s="6" t="n">
        <v>88</v>
      </c>
      <c r="E366" s="8" t="n">
        <v>0.431818181818182</v>
      </c>
      <c r="F366" s="8" t="n">
        <v>0.476190476190476</v>
      </c>
      <c r="G366" s="8" t="n">
        <v>0.5</v>
      </c>
      <c r="H366" s="8" t="n">
        <v>0.482142857142857</v>
      </c>
      <c r="I366" s="8" t="n">
        <v>0.418604651162791</v>
      </c>
      <c r="J366" s="8" t="n">
        <v>0</v>
      </c>
      <c r="K366" s="8" t="n">
        <v>0.476190476190476</v>
      </c>
      <c r="L366" s="8" t="n">
        <v>0.391304347826087</v>
      </c>
      <c r="M366" s="8" t="n">
        <v>0.0848861283643892</v>
      </c>
    </row>
    <row r="367" customFormat="false" ht="15" hidden="false" customHeight="false" outlineLevel="0" collapsed="false">
      <c r="A367" s="22" t="s">
        <v>23</v>
      </c>
      <c r="B367" s="10" t="s">
        <v>24</v>
      </c>
      <c r="C367" s="22" t="s">
        <v>416</v>
      </c>
      <c r="D367" s="6" t="n">
        <v>92</v>
      </c>
      <c r="E367" s="8" t="n">
        <v>0.478260869565217</v>
      </c>
      <c r="F367" s="8" t="n">
        <v>0.571428571428571</v>
      </c>
      <c r="G367" s="8" t="n">
        <v>0.428571428571429</v>
      </c>
      <c r="H367" s="8" t="n">
        <v>0.535714285714286</v>
      </c>
      <c r="I367" s="8" t="n">
        <v>0.425531914893617</v>
      </c>
      <c r="J367" s="8" t="n">
        <v>0</v>
      </c>
      <c r="K367" s="8" t="n">
        <v>0.571428571428571</v>
      </c>
      <c r="L367" s="8" t="n">
        <v>0.4</v>
      </c>
      <c r="M367" s="8" t="n">
        <v>0.171428571428571</v>
      </c>
    </row>
    <row r="368" customFormat="false" ht="15" hidden="false" customHeight="false" outlineLevel="0" collapsed="false">
      <c r="A368" s="22" t="s">
        <v>23</v>
      </c>
      <c r="B368" s="10" t="s">
        <v>24</v>
      </c>
      <c r="C368" s="22" t="s">
        <v>417</v>
      </c>
      <c r="D368" s="6" t="n">
        <v>93</v>
      </c>
      <c r="E368" s="8" t="n">
        <v>0.451612903225806</v>
      </c>
      <c r="F368" s="8" t="n">
        <v>0.428571428571429</v>
      </c>
      <c r="G368" s="8" t="n">
        <v>0.642857142857143</v>
      </c>
      <c r="H368" s="8" t="n">
        <v>0.482142857142857</v>
      </c>
      <c r="I368" s="8" t="n">
        <v>0.479166666666667</v>
      </c>
      <c r="J368" s="8" t="n">
        <v>0.333333333333333</v>
      </c>
      <c r="K368" s="8" t="n">
        <v>0.428571428571429</v>
      </c>
      <c r="L368" s="8" t="n">
        <v>0.470588235294118</v>
      </c>
      <c r="M368" s="8" t="n">
        <v>-0.0420168067226891</v>
      </c>
    </row>
    <row r="369" customFormat="false" ht="15" hidden="false" customHeight="false" outlineLevel="0" collapsed="false">
      <c r="A369" s="22" t="s">
        <v>25</v>
      </c>
      <c r="B369" s="10" t="s">
        <v>26</v>
      </c>
      <c r="C369" s="22" t="s">
        <v>418</v>
      </c>
      <c r="D369" s="6" t="n">
        <v>78</v>
      </c>
      <c r="E369" s="8" t="n">
        <v>0.423076923076923</v>
      </c>
      <c r="F369" s="8" t="n">
        <v>0.476190476190476</v>
      </c>
      <c r="G369" s="8" t="n">
        <v>0.428571428571429</v>
      </c>
      <c r="H369" s="8" t="n">
        <v>0.464285714285714</v>
      </c>
      <c r="I369" s="8" t="n">
        <v>0.333333333333333</v>
      </c>
      <c r="J369" s="8" t="n">
        <v>0.666666666666667</v>
      </c>
      <c r="K369" s="8" t="n">
        <v>0.476190476190476</v>
      </c>
      <c r="L369" s="8" t="n">
        <v>0.361111111111111</v>
      </c>
      <c r="M369" s="8" t="n">
        <v>0.115079365079365</v>
      </c>
    </row>
    <row r="370" customFormat="false" ht="15" hidden="false" customHeight="false" outlineLevel="0" collapsed="false">
      <c r="A370" s="22" t="s">
        <v>25</v>
      </c>
      <c r="B370" s="10" t="s">
        <v>26</v>
      </c>
      <c r="C370" s="22" t="s">
        <v>419</v>
      </c>
      <c r="D370" s="6" t="n">
        <v>95</v>
      </c>
      <c r="E370" s="8" t="n">
        <v>0.273684210526316</v>
      </c>
      <c r="F370" s="8" t="n">
        <v>0.30952380952381</v>
      </c>
      <c r="G370" s="8" t="n">
        <v>0.357142857142857</v>
      </c>
      <c r="H370" s="8" t="n">
        <v>0.321428571428571</v>
      </c>
      <c r="I370" s="8" t="n">
        <v>0.26</v>
      </c>
      <c r="J370" s="8" t="n">
        <v>0</v>
      </c>
      <c r="K370" s="8" t="n">
        <v>0.30952380952381</v>
      </c>
      <c r="L370" s="8" t="n">
        <v>0.245283018867925</v>
      </c>
      <c r="M370" s="8" t="n">
        <v>0.064240790655885</v>
      </c>
    </row>
    <row r="371" customFormat="false" ht="15" hidden="false" customHeight="false" outlineLevel="0" collapsed="false">
      <c r="A371" s="22" t="s">
        <v>25</v>
      </c>
      <c r="B371" s="10" t="s">
        <v>26</v>
      </c>
      <c r="C371" s="22" t="s">
        <v>420</v>
      </c>
      <c r="D371" s="6" t="n">
        <v>86</v>
      </c>
      <c r="E371" s="8" t="n">
        <v>0.325581395348837</v>
      </c>
      <c r="F371" s="8" t="n">
        <v>0.333333333333333</v>
      </c>
      <c r="G371" s="8" t="n">
        <v>0.357142857142857</v>
      </c>
      <c r="H371" s="8" t="n">
        <v>0.339285714285714</v>
      </c>
      <c r="I371" s="8" t="n">
        <v>0.317073170731707</v>
      </c>
      <c r="J371" s="8" t="n">
        <v>0.333333333333333</v>
      </c>
      <c r="K371" s="8" t="n">
        <v>0.333333333333333</v>
      </c>
      <c r="L371" s="8" t="n">
        <v>0.318181818181818</v>
      </c>
      <c r="M371" s="8" t="n">
        <v>0.0151515151515151</v>
      </c>
    </row>
    <row r="372" customFormat="false" ht="15" hidden="false" customHeight="false" outlineLevel="0" collapsed="false">
      <c r="A372" s="22" t="s">
        <v>25</v>
      </c>
      <c r="B372" s="10" t="s">
        <v>26</v>
      </c>
      <c r="C372" s="22" t="s">
        <v>421</v>
      </c>
      <c r="D372" s="6" t="n">
        <v>85</v>
      </c>
      <c r="E372" s="8" t="n">
        <v>0.282352941176471</v>
      </c>
      <c r="F372" s="8" t="n">
        <v>0.357142857142857</v>
      </c>
      <c r="G372" s="8" t="n">
        <v>0.428571428571429</v>
      </c>
      <c r="H372" s="8" t="n">
        <v>0.375</v>
      </c>
      <c r="I372" s="8" t="n">
        <v>0.225</v>
      </c>
      <c r="J372" s="8" t="n">
        <v>0</v>
      </c>
      <c r="K372" s="8" t="n">
        <v>0.357142857142857</v>
      </c>
      <c r="L372" s="8" t="n">
        <v>0.209302325581395</v>
      </c>
      <c r="M372" s="8" t="n">
        <v>0.147840531561462</v>
      </c>
    </row>
    <row r="373" customFormat="false" ht="15" hidden="false" customHeight="false" outlineLevel="0" collapsed="false">
      <c r="A373" s="22" t="s">
        <v>25</v>
      </c>
      <c r="B373" s="10" t="s">
        <v>26</v>
      </c>
      <c r="C373" s="22" t="s">
        <v>422</v>
      </c>
      <c r="D373" s="6" t="n">
        <v>86</v>
      </c>
      <c r="E373" s="8" t="n">
        <v>0.302325581395349</v>
      </c>
      <c r="F373" s="8" t="n">
        <v>0.261904761904762</v>
      </c>
      <c r="G373" s="8" t="n">
        <v>0.5</v>
      </c>
      <c r="H373" s="8" t="n">
        <v>0.321428571428571</v>
      </c>
      <c r="I373" s="8" t="n">
        <v>0.317073170731707</v>
      </c>
      <c r="J373" s="8" t="n">
        <v>0.666666666666667</v>
      </c>
      <c r="K373" s="8" t="n">
        <v>0.261904761904762</v>
      </c>
      <c r="L373" s="8" t="n">
        <v>0.340909090909091</v>
      </c>
      <c r="M373" s="8" t="n">
        <v>-0.079004329004329</v>
      </c>
    </row>
    <row r="374" customFormat="false" ht="15" hidden="false" customHeight="false" outlineLevel="0" collapsed="false">
      <c r="A374" s="22" t="s">
        <v>25</v>
      </c>
      <c r="B374" s="10" t="s">
        <v>26</v>
      </c>
      <c r="C374" s="22" t="s">
        <v>423</v>
      </c>
      <c r="D374" s="6" t="n">
        <v>92</v>
      </c>
      <c r="E374" s="8" t="n">
        <v>0.358695652173913</v>
      </c>
      <c r="F374" s="8" t="n">
        <v>0.261904761904762</v>
      </c>
      <c r="G374" s="8" t="n">
        <v>0.428571428571429</v>
      </c>
      <c r="H374" s="8" t="n">
        <v>0.303571428571429</v>
      </c>
      <c r="I374" s="8" t="n">
        <v>0.446808510638298</v>
      </c>
      <c r="J374" s="8" t="n">
        <v>0.333333333333333</v>
      </c>
      <c r="K374" s="8" t="n">
        <v>0.261904761904762</v>
      </c>
      <c r="L374" s="8" t="n">
        <v>0.44</v>
      </c>
      <c r="M374" s="8" t="n">
        <v>-0.178095238095238</v>
      </c>
    </row>
    <row r="375" customFormat="false" ht="15" hidden="false" customHeight="false" outlineLevel="0" collapsed="false">
      <c r="A375" s="22" t="s">
        <v>25</v>
      </c>
      <c r="B375" s="10" t="s">
        <v>26</v>
      </c>
      <c r="C375" s="22" t="s">
        <v>424</v>
      </c>
      <c r="D375" s="6" t="n">
        <v>78</v>
      </c>
      <c r="E375" s="8" t="n">
        <v>0.294871794871795</v>
      </c>
      <c r="F375" s="8" t="n">
        <v>0.285714285714286</v>
      </c>
      <c r="G375" s="8" t="n">
        <v>0.357142857142857</v>
      </c>
      <c r="H375" s="8" t="n">
        <v>0.303571428571429</v>
      </c>
      <c r="I375" s="8" t="n">
        <v>0.303030303030303</v>
      </c>
      <c r="J375" s="8" t="n">
        <v>0.333333333333333</v>
      </c>
      <c r="K375" s="8" t="n">
        <v>0.285714285714286</v>
      </c>
      <c r="L375" s="8" t="n">
        <v>0.305555555555556</v>
      </c>
      <c r="M375" s="8" t="n">
        <v>-0.0198412698412699</v>
      </c>
    </row>
    <row r="376" customFormat="false" ht="15" hidden="false" customHeight="false" outlineLevel="0" collapsed="false">
      <c r="A376" s="22" t="s">
        <v>25</v>
      </c>
      <c r="B376" s="10" t="s">
        <v>26</v>
      </c>
      <c r="C376" s="22" t="s">
        <v>425</v>
      </c>
      <c r="D376" s="6" t="n">
        <v>71</v>
      </c>
      <c r="E376" s="8" t="n">
        <v>0.225352112676056</v>
      </c>
      <c r="F376" s="8" t="n">
        <v>0.166666666666667</v>
      </c>
      <c r="G376" s="8" t="n">
        <v>0.357142857142857</v>
      </c>
      <c r="H376" s="8" t="n">
        <v>0.214285714285714</v>
      </c>
      <c r="I376" s="8" t="n">
        <v>0.346153846153846</v>
      </c>
      <c r="J376" s="8" t="n">
        <v>0</v>
      </c>
      <c r="K376" s="8" t="n">
        <v>0.166666666666667</v>
      </c>
      <c r="L376" s="8" t="n">
        <v>0.310344827586207</v>
      </c>
      <c r="M376" s="8" t="n">
        <v>-0.14367816091954</v>
      </c>
    </row>
    <row r="377" customFormat="false" ht="15" hidden="false" customHeight="false" outlineLevel="0" collapsed="false">
      <c r="A377" s="22" t="s">
        <v>25</v>
      </c>
      <c r="B377" s="10" t="s">
        <v>26</v>
      </c>
      <c r="C377" s="22" t="s">
        <v>426</v>
      </c>
      <c r="D377" s="6" t="n">
        <v>85</v>
      </c>
      <c r="E377" s="8" t="n">
        <v>0.294117647058824</v>
      </c>
      <c r="F377" s="8" t="n">
        <v>0.285714285714286</v>
      </c>
      <c r="G377" s="8" t="n">
        <v>0.285714285714286</v>
      </c>
      <c r="H377" s="8" t="n">
        <v>0.285714285714286</v>
      </c>
      <c r="I377" s="8" t="n">
        <v>0.325</v>
      </c>
      <c r="J377" s="8" t="n">
        <v>0</v>
      </c>
      <c r="K377" s="8" t="n">
        <v>0.285714285714286</v>
      </c>
      <c r="L377" s="8" t="n">
        <v>0.302325581395349</v>
      </c>
      <c r="M377" s="8" t="n">
        <v>-0.0166112956810631</v>
      </c>
    </row>
    <row r="378" customFormat="false" ht="15" hidden="false" customHeight="false" outlineLevel="0" collapsed="false">
      <c r="A378" s="22" t="s">
        <v>25</v>
      </c>
      <c r="B378" s="10" t="s">
        <v>26</v>
      </c>
      <c r="C378" s="22" t="s">
        <v>427</v>
      </c>
      <c r="D378" s="6" t="n">
        <v>73</v>
      </c>
      <c r="E378" s="8" t="n">
        <v>0.205479452054795</v>
      </c>
      <c r="F378" s="8" t="n">
        <v>0.19047619047619</v>
      </c>
      <c r="G378" s="8" t="n">
        <v>0.357142857142857</v>
      </c>
      <c r="H378" s="8" t="n">
        <v>0.232142857142857</v>
      </c>
      <c r="I378" s="8" t="n">
        <v>0.25</v>
      </c>
      <c r="J378" s="8" t="n">
        <v>0</v>
      </c>
      <c r="K378" s="8" t="n">
        <v>0.19047619047619</v>
      </c>
      <c r="L378" s="8" t="n">
        <v>0.225806451612903</v>
      </c>
      <c r="M378" s="8" t="n">
        <v>-0.0353302611367128</v>
      </c>
    </row>
    <row r="379" customFormat="false" ht="15" hidden="false" customHeight="false" outlineLevel="0" collapsed="false">
      <c r="A379" s="22" t="s">
        <v>25</v>
      </c>
      <c r="B379" s="10" t="s">
        <v>26</v>
      </c>
      <c r="C379" s="22" t="s">
        <v>428</v>
      </c>
      <c r="D379" s="6" t="n">
        <v>74</v>
      </c>
      <c r="E379" s="8" t="n">
        <v>0.297297297297297</v>
      </c>
      <c r="F379" s="8" t="n">
        <v>0.30952380952381</v>
      </c>
      <c r="G379" s="8" t="n">
        <v>0.357142857142857</v>
      </c>
      <c r="H379" s="8" t="n">
        <v>0.321428571428571</v>
      </c>
      <c r="I379" s="8" t="n">
        <v>0.310344827586207</v>
      </c>
      <c r="J379" s="8" t="n">
        <v>0</v>
      </c>
      <c r="K379" s="8" t="n">
        <v>0.30952380952381</v>
      </c>
      <c r="L379" s="8" t="n">
        <v>0.28125</v>
      </c>
      <c r="M379" s="8" t="n">
        <v>0.0282738095238095</v>
      </c>
    </row>
    <row r="380" customFormat="false" ht="15" hidden="false" customHeight="false" outlineLevel="0" collapsed="false">
      <c r="A380" s="22" t="s">
        <v>25</v>
      </c>
      <c r="B380" s="10" t="s">
        <v>26</v>
      </c>
      <c r="C380" s="22" t="s">
        <v>429</v>
      </c>
      <c r="D380" s="6" t="n">
        <v>82</v>
      </c>
      <c r="E380" s="8" t="n">
        <v>0.378048780487805</v>
      </c>
      <c r="F380" s="8" t="n">
        <v>0.380952380952381</v>
      </c>
      <c r="G380" s="8" t="n">
        <v>0.5</v>
      </c>
      <c r="H380" s="8" t="n">
        <v>0.410714285714286</v>
      </c>
      <c r="I380" s="8" t="n">
        <v>0.405405405405405</v>
      </c>
      <c r="J380" s="8" t="n">
        <v>0</v>
      </c>
      <c r="K380" s="8" t="n">
        <v>0.380952380952381</v>
      </c>
      <c r="L380" s="8" t="n">
        <v>0.375</v>
      </c>
      <c r="M380" s="8" t="n">
        <v>0.00595238095238093</v>
      </c>
    </row>
    <row r="381" customFormat="false" ht="15" hidden="false" customHeight="false" outlineLevel="0" collapsed="false">
      <c r="A381" s="22" t="s">
        <v>25</v>
      </c>
      <c r="B381" s="10" t="s">
        <v>26</v>
      </c>
      <c r="C381" s="22" t="s">
        <v>430</v>
      </c>
      <c r="D381" s="6" t="n">
        <v>75</v>
      </c>
      <c r="E381" s="8" t="n">
        <v>0.293333333333333</v>
      </c>
      <c r="F381" s="8" t="n">
        <v>0.333333333333333</v>
      </c>
      <c r="G381" s="8" t="n">
        <v>0.357142857142857</v>
      </c>
      <c r="H381" s="8" t="n">
        <v>0.339285714285714</v>
      </c>
      <c r="I381" s="8" t="n">
        <v>0.266666666666667</v>
      </c>
      <c r="J381" s="8" t="n">
        <v>0</v>
      </c>
      <c r="K381" s="8" t="n">
        <v>0.333333333333333</v>
      </c>
      <c r="L381" s="8" t="n">
        <v>0.242424242424242</v>
      </c>
      <c r="M381" s="8" t="n">
        <v>0.0909090909090909</v>
      </c>
    </row>
  </sheetData>
  <autoFilter ref="A1:M3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23" t="s">
        <v>431</v>
      </c>
    </row>
    <row r="3" customFormat="false" ht="45" hidden="false" customHeight="true" outlineLevel="0" collapsed="false">
      <c r="A3" s="3" t="s">
        <v>432</v>
      </c>
      <c r="B3" s="3" t="s">
        <v>433</v>
      </c>
      <c r="C3" s="3" t="s">
        <v>434</v>
      </c>
      <c r="D3" s="3" t="s">
        <v>435</v>
      </c>
      <c r="E3" s="3" t="s">
        <v>436</v>
      </c>
      <c r="F3" s="3" t="s">
        <v>437</v>
      </c>
    </row>
    <row r="4" customFormat="false" ht="15" hidden="false" customHeight="false" outlineLevel="0" collapsed="false">
      <c r="A4" s="22" t="s">
        <v>19</v>
      </c>
      <c r="B4" s="10" t="n">
        <v>199</v>
      </c>
      <c r="C4" s="8" t="n">
        <v>0.314285714285714</v>
      </c>
      <c r="D4" s="7" t="n">
        <v>0</v>
      </c>
      <c r="E4" s="24" t="n">
        <v>2.09242537817073E-034</v>
      </c>
      <c r="F4" s="10" t="s">
        <v>438</v>
      </c>
    </row>
    <row r="5" customFormat="false" ht="15" hidden="false" customHeight="false" outlineLevel="0" collapsed="false">
      <c r="A5" s="22" t="s">
        <v>21</v>
      </c>
      <c r="B5" s="10" t="n">
        <v>96</v>
      </c>
      <c r="C5" s="8" t="n">
        <v>0.295238095238095</v>
      </c>
      <c r="D5" s="7" t="n">
        <v>0</v>
      </c>
      <c r="E5" s="24" t="n">
        <v>1.7692286058734E-017</v>
      </c>
      <c r="F5" s="10" t="s">
        <v>438</v>
      </c>
    </row>
    <row r="6" customFormat="false" ht="15" hidden="false" customHeight="false" outlineLevel="0" collapsed="false">
      <c r="A6" s="22" t="s">
        <v>22</v>
      </c>
      <c r="B6" s="10" t="n">
        <v>63</v>
      </c>
      <c r="C6" s="8" t="n">
        <v>0.30952380952381</v>
      </c>
      <c r="D6" s="7" t="n">
        <v>0</v>
      </c>
      <c r="E6" s="24" t="n">
        <v>5.14710411217207E-012</v>
      </c>
      <c r="F6" s="10" t="s">
        <v>438</v>
      </c>
    </row>
    <row r="7" customFormat="false" ht="15" hidden="false" customHeight="false" outlineLevel="0" collapsed="false">
      <c r="A7" s="22" t="s">
        <v>23</v>
      </c>
      <c r="B7" s="10" t="n">
        <v>9</v>
      </c>
      <c r="C7" s="8" t="n">
        <v>0.0833333333333333</v>
      </c>
      <c r="D7" s="7" t="n">
        <v>3</v>
      </c>
      <c r="E7" s="25" t="n">
        <v>0.01953125</v>
      </c>
      <c r="F7" s="10" t="s">
        <v>438</v>
      </c>
    </row>
    <row r="8" customFormat="false" ht="15" hidden="false" customHeight="false" outlineLevel="0" collapsed="false">
      <c r="A8" s="22" t="s">
        <v>25</v>
      </c>
      <c r="B8" s="10" t="n">
        <v>13</v>
      </c>
      <c r="C8" s="8" t="n">
        <v>0.00595238095238093</v>
      </c>
      <c r="D8" s="7" t="n">
        <v>45</v>
      </c>
      <c r="E8" s="25" t="n">
        <v>1</v>
      </c>
      <c r="F8" s="10" t="s">
        <v>439</v>
      </c>
    </row>
    <row r="9" customFormat="false" ht="15" hidden="false" customHeight="false" outlineLevel="0" collapsed="false">
      <c r="A9" s="22" t="s">
        <v>27</v>
      </c>
      <c r="B9" s="10" t="n">
        <v>358</v>
      </c>
      <c r="C9" s="8" t="n">
        <v>0.308982683982684</v>
      </c>
      <c r="D9" s="7" t="n">
        <v>0</v>
      </c>
      <c r="E9" s="24" t="n">
        <v>1.99115701315977E-060</v>
      </c>
      <c r="F9" s="10" t="s">
        <v>438</v>
      </c>
    </row>
    <row r="11" customFormat="false" ht="26.85" hidden="false" customHeight="false" outlineLevel="0" collapsed="false">
      <c r="A11" s="3" t="s">
        <v>440</v>
      </c>
      <c r="B11" s="3" t="s">
        <v>441</v>
      </c>
      <c r="C11" s="3" t="s">
        <v>442</v>
      </c>
      <c r="D11" s="3" t="s">
        <v>443</v>
      </c>
      <c r="E11" s="3" t="s">
        <v>444</v>
      </c>
      <c r="F11" s="3" t="s">
        <v>436</v>
      </c>
      <c r="G11" s="3" t="s">
        <v>437</v>
      </c>
    </row>
    <row r="12" customFormat="false" ht="15" hidden="false" customHeight="false" outlineLevel="0" collapsed="false">
      <c r="A12" s="22" t="s">
        <v>445</v>
      </c>
      <c r="B12" s="10" t="s">
        <v>446</v>
      </c>
      <c r="C12" s="8" t="n">
        <v>0.0833333333333333</v>
      </c>
      <c r="D12" s="8" t="n">
        <v>0.00595238095238093</v>
      </c>
      <c r="E12" s="7" t="n">
        <v>82.5</v>
      </c>
      <c r="F12" s="25" t="n">
        <v>0.116478506232947</v>
      </c>
      <c r="G12" s="10" t="s">
        <v>439</v>
      </c>
    </row>
    <row r="13" customFormat="false" ht="15" hidden="false" customHeight="false" outlineLevel="0" collapsed="false">
      <c r="A13" s="22" t="s">
        <v>447</v>
      </c>
      <c r="B13" s="10" t="s">
        <v>448</v>
      </c>
      <c r="C13" s="8" t="n">
        <v>0.0833333333333333</v>
      </c>
      <c r="D13" s="8" t="n">
        <v>0.308982683982684</v>
      </c>
      <c r="E13" s="7" t="n">
        <v>317</v>
      </c>
      <c r="F13" s="24" t="n">
        <v>3.86927342670769E-005</v>
      </c>
      <c r="G13" s="10" t="s">
        <v>438</v>
      </c>
    </row>
    <row r="14" customFormat="false" ht="15" hidden="false" customHeight="false" outlineLevel="0" collapsed="false">
      <c r="A14" s="22" t="s">
        <v>449</v>
      </c>
      <c r="B14" s="10" t="s">
        <v>450</v>
      </c>
      <c r="C14" s="8" t="n">
        <v>0.00595238095238093</v>
      </c>
      <c r="D14" s="8" t="n">
        <v>0.308982683982684</v>
      </c>
      <c r="E14" s="7" t="n">
        <v>28</v>
      </c>
      <c r="F14" s="24" t="n">
        <v>1.43475248534046E-009</v>
      </c>
      <c r="G14" s="10" t="s">
        <v>438</v>
      </c>
    </row>
    <row r="15" customFormat="false" ht="15" hidden="false" customHeight="false" outlineLevel="0" collapsed="false">
      <c r="A15" s="22" t="s">
        <v>451</v>
      </c>
      <c r="B15" s="10" t="s">
        <v>452</v>
      </c>
      <c r="C15" s="8" t="n">
        <v>0.0833333333333333</v>
      </c>
      <c r="D15" s="8" t="n">
        <v>0.30952380952381</v>
      </c>
      <c r="E15" s="7" t="n">
        <v>56</v>
      </c>
      <c r="F15" s="24" t="n">
        <v>0.000110623058476109</v>
      </c>
      <c r="G15" s="10" t="s">
        <v>438</v>
      </c>
    </row>
    <row r="16" customFormat="false" ht="15" hidden="false" customHeight="false" outlineLevel="0" collapsed="false">
      <c r="A16" s="22" t="s">
        <v>453</v>
      </c>
      <c r="B16" s="10" t="s">
        <v>454</v>
      </c>
      <c r="C16" s="8" t="n">
        <v>0.00595238095238093</v>
      </c>
      <c r="D16" s="8" t="n">
        <v>0.30952380952381</v>
      </c>
      <c r="E16" s="7" t="n">
        <v>1</v>
      </c>
      <c r="F16" s="24" t="n">
        <v>1.81007953378358E-008</v>
      </c>
      <c r="G16" s="10" t="s">
        <v>438</v>
      </c>
    </row>
    <row r="17" customFormat="false" ht="15" hidden="false" customHeight="false" outlineLevel="0" collapsed="false">
      <c r="A17" s="22" t="s">
        <v>455</v>
      </c>
      <c r="B17" s="10" t="s">
        <v>456</v>
      </c>
      <c r="C17" s="8" t="n">
        <v>0.314285714285714</v>
      </c>
      <c r="D17" s="8" t="n">
        <v>0.295238095238095</v>
      </c>
      <c r="E17" s="7" t="n">
        <v>10363</v>
      </c>
      <c r="F17" s="25" t="n">
        <v>0.237705880646939</v>
      </c>
      <c r="G17" s="10" t="s">
        <v>439</v>
      </c>
    </row>
    <row r="18" customFormat="false" ht="15" hidden="false" customHeight="false" outlineLevel="0" collapsed="false">
      <c r="A18" s="22" t="s">
        <v>457</v>
      </c>
      <c r="B18" s="10" t="s">
        <v>458</v>
      </c>
      <c r="C18" s="8" t="n">
        <v>0.30952380952381</v>
      </c>
      <c r="D18" s="8" t="n">
        <v>0.308441558441558</v>
      </c>
      <c r="E18" s="7" t="n">
        <v>9037.5</v>
      </c>
      <c r="F18" s="25" t="n">
        <v>0.732859933641659</v>
      </c>
      <c r="G18" s="10" t="s">
        <v>439</v>
      </c>
    </row>
    <row r="20" customFormat="false" ht="15" hidden="false" customHeight="false" outlineLevel="0" collapsed="false">
      <c r="A20" s="3" t="s">
        <v>459</v>
      </c>
      <c r="B20" s="3" t="s">
        <v>460</v>
      </c>
      <c r="C20" s="3" t="s">
        <v>436</v>
      </c>
    </row>
    <row r="21" customFormat="false" ht="15" hidden="false" customHeight="false" outlineLevel="0" collapsed="false">
      <c r="A21" s="22" t="s">
        <v>461</v>
      </c>
      <c r="B21" s="26" t="n">
        <v>53.654780114804</v>
      </c>
      <c r="C21" s="24" t="n">
        <v>6.21562793370275E-011</v>
      </c>
    </row>
    <row r="23" customFormat="false" ht="15" hidden="false" customHeight="false" outlineLevel="0" collapsed="false">
      <c r="A23" s="2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27" t="s">
        <v>463</v>
      </c>
    </row>
    <row r="2" customFormat="false" ht="15" hidden="false" customHeight="false" outlineLevel="0" collapsed="false">
      <c r="A2" s="28" t="s">
        <v>464</v>
      </c>
    </row>
    <row r="3" customFormat="false" ht="15" hidden="false" customHeight="false" outlineLevel="0" collapsed="false">
      <c r="A3" s="28" t="s">
        <v>465</v>
      </c>
    </row>
    <row r="4" customFormat="false" ht="15" hidden="false" customHeight="false" outlineLevel="0" collapsed="false">
      <c r="A4" s="28" t="s">
        <v>466</v>
      </c>
    </row>
    <row r="5" customFormat="false" ht="15" hidden="false" customHeight="false" outlineLevel="0" collapsed="false">
      <c r="A5" s="28" t="s">
        <v>467</v>
      </c>
    </row>
    <row r="6" customFormat="false" ht="15" hidden="false" customHeight="false" outlineLevel="0" collapsed="false">
      <c r="A6" s="28" t="s">
        <v>468</v>
      </c>
    </row>
    <row r="7" customFormat="false" ht="15" hidden="false" customHeight="false" outlineLevel="0" collapsed="false">
      <c r="A7" s="28" t="s">
        <v>469</v>
      </c>
    </row>
    <row r="8" customFormat="false" ht="15" hidden="false" customHeight="false" outlineLevel="0" collapsed="false">
      <c r="A8" s="28" t="s">
        <v>470</v>
      </c>
    </row>
    <row r="9" customFormat="false" ht="15" hidden="false" customHeight="false" outlineLevel="0" collapsed="false">
      <c r="A9" s="28" t="s">
        <v>471</v>
      </c>
    </row>
    <row r="10" customFormat="false" ht="15" hidden="false" customHeight="false" outlineLevel="0" collapsed="false">
      <c r="A10" s="28" t="s">
        <v>472</v>
      </c>
    </row>
    <row r="11" customFormat="false" ht="15" hidden="false" customHeight="false" outlineLevel="0" collapsed="false">
      <c r="A11" s="28" t="s">
        <v>473</v>
      </c>
    </row>
    <row r="12" customFormat="false" ht="15" hidden="false" customHeight="false" outlineLevel="0" collapsed="false">
      <c r="A12" s="28" t="s">
        <v>474</v>
      </c>
    </row>
    <row r="13" customFormat="false" ht="23.85" hidden="false" customHeight="false" outlineLevel="0" collapsed="false">
      <c r="A13" s="28" t="s">
        <v>475</v>
      </c>
    </row>
    <row r="14" customFormat="false" ht="23.85" hidden="false" customHeight="false" outlineLevel="0" collapsed="false">
      <c r="A14" s="28" t="s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2026-10-28T15:59:25Z</dcterms:created>
  <dc:creator>openpyxl</dc:creator>
  <dc:description/>
  <dc:language>en-US</dc:language>
  <cp:lastModifiedBy/>
  <dcterms:modified xsi:type="dcterms:W3CDTF">2026-10-28T15:59:28Z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